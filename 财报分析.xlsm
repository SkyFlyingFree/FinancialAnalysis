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8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F14" i="9" l="1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BS22" i="7" l="1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BS11" i="8" l="1"/>
  <c r="BS5" i="8"/>
  <c r="BS7" i="8" s="1"/>
  <c r="BS13" i="8" s="1"/>
  <c r="BK11" i="8"/>
  <c r="BK5" i="8"/>
  <c r="BK7" i="8" s="1"/>
  <c r="BK13" i="8" s="1"/>
  <c r="BC11" i="8"/>
  <c r="BC5" i="8"/>
  <c r="BC7" i="8" s="1"/>
  <c r="BC13" i="8" s="1"/>
  <c r="AU11" i="8"/>
  <c r="AU5" i="8"/>
  <c r="AU7" i="8" s="1"/>
  <c r="AU13" i="8" s="1"/>
  <c r="AM11" i="8"/>
  <c r="AM5" i="8"/>
  <c r="AM7" i="8" s="1"/>
  <c r="AM13" i="8" s="1"/>
  <c r="AE11" i="8"/>
  <c r="AE5" i="8"/>
  <c r="AE7" i="8" s="1"/>
  <c r="AE13" i="8" s="1"/>
  <c r="W11" i="8"/>
  <c r="W5" i="8"/>
  <c r="W7" i="8" s="1"/>
  <c r="W13" i="8" s="1"/>
  <c r="O11" i="8"/>
  <c r="O5" i="8"/>
  <c r="O7" i="8" s="1"/>
  <c r="O13" i="8" s="1"/>
  <c r="G5" i="8"/>
  <c r="G7" i="8" s="1"/>
  <c r="G13" i="8" s="1"/>
  <c r="G11" i="8"/>
  <c r="BR11" i="8"/>
  <c r="BR5" i="8"/>
  <c r="BR7" i="8" s="1"/>
  <c r="BR13" i="8" s="1"/>
  <c r="BJ13" i="8"/>
  <c r="BJ11" i="8"/>
  <c r="BJ5" i="8"/>
  <c r="BJ7" i="8" s="1"/>
  <c r="BB11" i="8"/>
  <c r="BB5" i="8"/>
  <c r="BB7" i="8" s="1"/>
  <c r="BB13" i="8" s="1"/>
  <c r="AT11" i="8"/>
  <c r="AT5" i="8"/>
  <c r="AT7" i="8" s="1"/>
  <c r="AT13" i="8" s="1"/>
  <c r="AL11" i="8"/>
  <c r="AL5" i="8"/>
  <c r="AL7" i="8" s="1"/>
  <c r="AL13" i="8" s="1"/>
  <c r="AD11" i="8"/>
  <c r="AD5" i="8"/>
  <c r="AD7" i="8" s="1"/>
  <c r="AD13" i="8" s="1"/>
  <c r="V11" i="8"/>
  <c r="V5" i="8"/>
  <c r="V7" i="8" s="1"/>
  <c r="V13" i="8" s="1"/>
  <c r="N11" i="8"/>
  <c r="N5" i="8"/>
  <c r="N7" i="8" s="1"/>
  <c r="N13" i="8" s="1"/>
  <c r="F5" i="8"/>
  <c r="F7" i="8" s="1"/>
  <c r="F13" i="8" s="1"/>
  <c r="F11" i="8"/>
  <c r="BQ11" i="8"/>
  <c r="BQ5" i="8"/>
  <c r="BQ7" i="8" s="1"/>
  <c r="BQ13" i="8" s="1"/>
  <c r="BI11" i="8"/>
  <c r="BI5" i="8"/>
  <c r="BI7" i="8" s="1"/>
  <c r="BI13" i="8" s="1"/>
  <c r="BA11" i="8"/>
  <c r="BA5" i="8"/>
  <c r="BA7" i="8" s="1"/>
  <c r="BA13" i="8" s="1"/>
  <c r="AS11" i="8"/>
  <c r="AS5" i="8"/>
  <c r="AS7" i="8" s="1"/>
  <c r="AS13" i="8" s="1"/>
  <c r="AK11" i="8"/>
  <c r="AK5" i="8"/>
  <c r="AK7" i="8" s="1"/>
  <c r="AK13" i="8" s="1"/>
  <c r="AC11" i="8"/>
  <c r="AC5" i="8"/>
  <c r="AC7" i="8" s="1"/>
  <c r="AC13" i="8" s="1"/>
  <c r="U11" i="8"/>
  <c r="U5" i="8"/>
  <c r="U7" i="8" s="1"/>
  <c r="U13" i="8" s="1"/>
  <c r="M5" i="8"/>
  <c r="M7" i="8" s="1"/>
  <c r="M11" i="8"/>
  <c r="BP11" i="8"/>
  <c r="BP5" i="8"/>
  <c r="BP7" i="8" s="1"/>
  <c r="BP13" i="8" s="1"/>
  <c r="BH11" i="8"/>
  <c r="BH5" i="8"/>
  <c r="BH7" i="8" s="1"/>
  <c r="BH13" i="8"/>
  <c r="AZ11" i="8"/>
  <c r="AZ5" i="8"/>
  <c r="AZ7" i="8" s="1"/>
  <c r="AZ13" i="8" s="1"/>
  <c r="AR11" i="8"/>
  <c r="AR5" i="8"/>
  <c r="AR7" i="8" s="1"/>
  <c r="AR13" i="8" s="1"/>
  <c r="AJ11" i="8"/>
  <c r="AJ5" i="8"/>
  <c r="AJ7" i="8" s="1"/>
  <c r="AJ13" i="8"/>
  <c r="AB11" i="8"/>
  <c r="AB5" i="8"/>
  <c r="AB7" i="8" s="1"/>
  <c r="AB13" i="8"/>
  <c r="T11" i="8"/>
  <c r="T5" i="8"/>
  <c r="T7" i="8" s="1"/>
  <c r="T13" i="8" s="1"/>
  <c r="L11" i="8"/>
  <c r="L5" i="8"/>
  <c r="L7" i="8" s="1"/>
  <c r="L13" i="8" s="1"/>
  <c r="BO11" i="8"/>
  <c r="BO5" i="8"/>
  <c r="BO7" i="8" s="1"/>
  <c r="BO13" i="8" s="1"/>
  <c r="BG11" i="8"/>
  <c r="BG5" i="8"/>
  <c r="BG7" i="8" s="1"/>
  <c r="BG13" i="8" s="1"/>
  <c r="AY11" i="8"/>
  <c r="AY5" i="8"/>
  <c r="AY7" i="8" s="1"/>
  <c r="AY13" i="8" s="1"/>
  <c r="AQ11" i="8"/>
  <c r="AQ5" i="8"/>
  <c r="AQ7" i="8" s="1"/>
  <c r="AQ13" i="8" s="1"/>
  <c r="AI11" i="8"/>
  <c r="AI5" i="8"/>
  <c r="AI7" i="8" s="1"/>
  <c r="AI13" i="8" s="1"/>
  <c r="AA11" i="8"/>
  <c r="AA5" i="8"/>
  <c r="AA7" i="8" s="1"/>
  <c r="AA13" i="8"/>
  <c r="S11" i="8"/>
  <c r="S5" i="8"/>
  <c r="S7" i="8" s="1"/>
  <c r="S13" i="8" s="1"/>
  <c r="K11" i="8"/>
  <c r="K5" i="8"/>
  <c r="K7" i="8" s="1"/>
  <c r="K13" i="8" s="1"/>
  <c r="BV5" i="8"/>
  <c r="BV7" i="8" s="1"/>
  <c r="BV11" i="8"/>
  <c r="BN5" i="8"/>
  <c r="BN7" i="8" s="1"/>
  <c r="BN13" i="8" s="1"/>
  <c r="BN11" i="8"/>
  <c r="BF5" i="8"/>
  <c r="BF7" i="8" s="1"/>
  <c r="BF13" i="8"/>
  <c r="BF11" i="8"/>
  <c r="AX5" i="8"/>
  <c r="AX7" i="8" s="1"/>
  <c r="AX13" i="8"/>
  <c r="AX11" i="8"/>
  <c r="AP5" i="8"/>
  <c r="AP7" i="8" s="1"/>
  <c r="AP13" i="8" s="1"/>
  <c r="AP11" i="8"/>
  <c r="AH5" i="8"/>
  <c r="AH7" i="8" s="1"/>
  <c r="AH13" i="8" s="1"/>
  <c r="AH11" i="8"/>
  <c r="Z5" i="8"/>
  <c r="Z7" i="8" s="1"/>
  <c r="Z13" i="8" s="1"/>
  <c r="Z11" i="8"/>
  <c r="R5" i="8"/>
  <c r="R7" i="8" s="1"/>
  <c r="R13" i="8" s="1"/>
  <c r="R11" i="8"/>
  <c r="J5" i="8"/>
  <c r="J7" i="8" s="1"/>
  <c r="J13" i="8"/>
  <c r="J11" i="8"/>
  <c r="BU11" i="8"/>
  <c r="BU5" i="8"/>
  <c r="BU7" i="8" s="1"/>
  <c r="BU13" i="8" s="1"/>
  <c r="BM13" i="8"/>
  <c r="BM11" i="8"/>
  <c r="BM5" i="8"/>
  <c r="BM7" i="8" s="1"/>
  <c r="BE11" i="8"/>
  <c r="BE5" i="8"/>
  <c r="BE7" i="8" s="1"/>
  <c r="BE13" i="8" s="1"/>
  <c r="AW11" i="8"/>
  <c r="AW5" i="8"/>
  <c r="AW7" i="8" s="1"/>
  <c r="AW13" i="8" s="1"/>
  <c r="AO13" i="8"/>
  <c r="AO11" i="8"/>
  <c r="AO5" i="8"/>
  <c r="AO7" i="8" s="1"/>
  <c r="AG11" i="8"/>
  <c r="AG5" i="8"/>
  <c r="AG7" i="8" s="1"/>
  <c r="AG13" i="8" s="1"/>
  <c r="Y11" i="8"/>
  <c r="Y5" i="8"/>
  <c r="Y7" i="8" s="1"/>
  <c r="Y13" i="8" s="1"/>
  <c r="Q11" i="8"/>
  <c r="Q5" i="8"/>
  <c r="Q7" i="8" s="1"/>
  <c r="Q13" i="8" s="1"/>
  <c r="I5" i="8"/>
  <c r="I7" i="8" s="1"/>
  <c r="I13" i="8" s="1"/>
  <c r="I11" i="8"/>
  <c r="BT13" i="8"/>
  <c r="BT11" i="8"/>
  <c r="BT5" i="8"/>
  <c r="BT7" i="8" s="1"/>
  <c r="BL11" i="8"/>
  <c r="BL5" i="8"/>
  <c r="BL7" i="8" s="1"/>
  <c r="BL13" i="8" s="1"/>
  <c r="BD11" i="8"/>
  <c r="BD5" i="8"/>
  <c r="BD7" i="8" s="1"/>
  <c r="BD13" i="8" s="1"/>
  <c r="AV11" i="8"/>
  <c r="AV5" i="8"/>
  <c r="AV7" i="8" s="1"/>
  <c r="AV13" i="8" s="1"/>
  <c r="AN11" i="8"/>
  <c r="AN5" i="8"/>
  <c r="AN7" i="8" s="1"/>
  <c r="AN13" i="8" s="1"/>
  <c r="AF11" i="8"/>
  <c r="AF5" i="8"/>
  <c r="AF7" i="8" s="1"/>
  <c r="AF13" i="8" s="1"/>
  <c r="X11" i="8"/>
  <c r="X5" i="8"/>
  <c r="X7" i="8" s="1"/>
  <c r="X13" i="8" s="1"/>
  <c r="P13" i="8"/>
  <c r="P11" i="8"/>
  <c r="P5" i="8"/>
  <c r="P7" i="8" s="1"/>
  <c r="H5" i="8"/>
  <c r="H7" i="8" s="1"/>
  <c r="H13" i="8" s="1"/>
  <c r="H11" i="8"/>
  <c r="M13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BH16" i="6" s="1"/>
  <c r="BH17" i="6" s="1"/>
  <c r="AZ31" i="6"/>
  <c r="AZ38" i="6" s="1"/>
  <c r="AZ41" i="6" s="1"/>
  <c r="AZ16" i="6" s="1"/>
  <c r="AZ17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16" i="6" s="1"/>
  <c r="BP17" i="6" s="1"/>
  <c r="BP42" i="6"/>
  <c r="BP43" i="6" s="1"/>
  <c r="BP39" i="6"/>
  <c r="BH42" i="6"/>
  <c r="BH43" i="6" s="1"/>
  <c r="AJ41" i="6"/>
  <c r="AJ16" i="6" s="1"/>
  <c r="AJ17" i="6" s="1"/>
  <c r="AJ42" i="6"/>
  <c r="AJ43" i="6" s="1"/>
  <c r="AJ39" i="6"/>
  <c r="AB41" i="6"/>
  <c r="AB16" i="6" s="1"/>
  <c r="AB17" i="6" s="1"/>
  <c r="AB42" i="6"/>
  <c r="AB43" i="6" s="1"/>
  <c r="AB39" i="6"/>
  <c r="T41" i="6"/>
  <c r="T16" i="6" s="1"/>
  <c r="T17" i="6" s="1"/>
  <c r="T42" i="6"/>
  <c r="T43" i="6" s="1"/>
  <c r="T39" i="6"/>
  <c r="L41" i="6"/>
  <c r="L16" i="6" s="1"/>
  <c r="L17" i="6" s="1"/>
  <c r="L42" i="6"/>
  <c r="L43" i="6" s="1"/>
  <c r="L39" i="6"/>
  <c r="BP32" i="6"/>
  <c r="AJ32" i="6"/>
  <c r="AQ41" i="6"/>
  <c r="AQ16" i="6" s="1"/>
  <c r="AQ17" i="6" s="1"/>
  <c r="AQ42" i="6"/>
  <c r="AQ43" i="6" s="1"/>
  <c r="AQ39" i="6"/>
  <c r="AI41" i="6"/>
  <c r="AI16" i="6" s="1"/>
  <c r="AI17" i="6" s="1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K22" i="7" l="1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AR16" i="6" s="1"/>
  <c r="AR17" i="6" s="1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CH38" i="6"/>
  <c r="CH39" i="6" s="1"/>
  <c r="AV38" i="6"/>
  <c r="AV41" i="6" s="1"/>
  <c r="V38" i="6"/>
  <c r="V39" i="6" s="1"/>
  <c r="BP47" i="6"/>
  <c r="AK38" i="6"/>
  <c r="AK41" i="6" s="1"/>
  <c r="AR39" i="6"/>
  <c r="BK38" i="6"/>
  <c r="BK41" i="6" s="1"/>
  <c r="BS38" i="6"/>
  <c r="BS42" i="6" s="1"/>
  <c r="AQ47" i="6"/>
  <c r="T47" i="6"/>
  <c r="AB47" i="6"/>
  <c r="AJ47" i="6"/>
  <c r="BH47" i="6"/>
  <c r="AR47" i="6"/>
  <c r="AG42" i="6"/>
  <c r="AG39" i="6"/>
  <c r="AG41" i="6"/>
  <c r="BM42" i="6"/>
  <c r="BM39" i="6"/>
  <c r="BM41" i="6"/>
  <c r="AH41" i="6"/>
  <c r="AH42" i="6"/>
  <c r="AH39" i="6"/>
  <c r="BN41" i="6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CB42" i="6"/>
  <c r="CB39" i="6"/>
  <c r="CB41" i="6"/>
  <c r="BI41" i="6"/>
  <c r="BI42" i="6"/>
  <c r="BI39" i="6"/>
  <c r="AT39" i="6"/>
  <c r="AT41" i="6"/>
  <c r="AT42" i="6"/>
  <c r="AE39" i="6"/>
  <c r="AE41" i="6"/>
  <c r="AE42" i="6"/>
  <c r="AJ36" i="6"/>
  <c r="AJ37" i="6" s="1"/>
  <c r="AJ28" i="6"/>
  <c r="AJ29" i="6" s="1"/>
  <c r="U41" i="6"/>
  <c r="U42" i="6"/>
  <c r="U39" i="6"/>
  <c r="BV41" i="6"/>
  <c r="BV42" i="6"/>
  <c r="BV39" i="6"/>
  <c r="BO41" i="6"/>
  <c r="BO42" i="6"/>
  <c r="BO39" i="6"/>
  <c r="CF41" i="6"/>
  <c r="CF42" i="6"/>
  <c r="CF39" i="6"/>
  <c r="AO42" i="6"/>
  <c r="AO39" i="6"/>
  <c r="AO41" i="6"/>
  <c r="AP41" i="6"/>
  <c r="AP42" i="6"/>
  <c r="AP39" i="6"/>
  <c r="BH36" i="6"/>
  <c r="BH37" i="6" s="1"/>
  <c r="BH28" i="6"/>
  <c r="BH29" i="6" s="1"/>
  <c r="BH33" i="6" s="1"/>
  <c r="BH34" i="6" s="1"/>
  <c r="X42" i="6"/>
  <c r="X39" i="6"/>
  <c r="X41" i="6"/>
  <c r="CJ42" i="6"/>
  <c r="CJ39" i="6"/>
  <c r="CJ41" i="6"/>
  <c r="BQ41" i="6"/>
  <c r="BQ42" i="6"/>
  <c r="BQ39" i="6"/>
  <c r="BB39" i="6"/>
  <c r="BB41" i="6"/>
  <c r="BB42" i="6"/>
  <c r="AM39" i="6"/>
  <c r="AM41" i="6"/>
  <c r="AM42" i="6"/>
  <c r="S41" i="6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42" i="6"/>
  <c r="AC39" i="6"/>
  <c r="CD41" i="6"/>
  <c r="CD42" i="6"/>
  <c r="CD39" i="6"/>
  <c r="BW41" i="6"/>
  <c r="BW42" i="6"/>
  <c r="BW39" i="6"/>
  <c r="Q42" i="6"/>
  <c r="Q39" i="6"/>
  <c r="Q41" i="6"/>
  <c r="AW42" i="6"/>
  <c r="AW39" i="6"/>
  <c r="AW41" i="6"/>
  <c r="R41" i="6"/>
  <c r="R42" i="6"/>
  <c r="R39" i="6"/>
  <c r="AX41" i="6"/>
  <c r="AX42" i="6"/>
  <c r="AX39" i="6"/>
  <c r="AR36" i="6"/>
  <c r="AR37" i="6" s="1"/>
  <c r="AR28" i="6"/>
  <c r="AR29" i="6" s="1"/>
  <c r="AR33" i="6" s="1"/>
  <c r="AR34" i="6" s="1"/>
  <c r="AF42" i="6"/>
  <c r="AF39" i="6"/>
  <c r="AF41" i="6"/>
  <c r="BL42" i="6"/>
  <c r="BL39" i="6"/>
  <c r="BL41" i="6"/>
  <c r="AS41" i="6"/>
  <c r="AS42" i="6"/>
  <c r="AS39" i="6"/>
  <c r="BY41" i="6"/>
  <c r="BY42" i="6"/>
  <c r="BY39" i="6"/>
  <c r="AD39" i="6"/>
  <c r="AD41" i="6"/>
  <c r="AD42" i="6"/>
  <c r="BJ39" i="6"/>
  <c r="BJ41" i="6"/>
  <c r="BJ42" i="6"/>
  <c r="O39" i="6"/>
  <c r="O41" i="6"/>
  <c r="O42" i="6"/>
  <c r="AU39" i="6"/>
  <c r="AU41" i="6"/>
  <c r="AU42" i="6"/>
  <c r="CA39" i="6"/>
  <c r="CA41" i="6"/>
  <c r="CA42" i="6"/>
  <c r="AA41" i="6"/>
  <c r="AA42" i="6"/>
  <c r="AA39" i="6"/>
  <c r="BP36" i="6"/>
  <c r="BP37" i="6" s="1"/>
  <c r="BP28" i="6"/>
  <c r="BP29" i="6" s="1"/>
  <c r="BP33" i="6" s="1"/>
  <c r="BP34" i="6" s="1"/>
  <c r="BU42" i="6"/>
  <c r="BU39" i="6"/>
  <c r="BU41" i="6"/>
  <c r="AY41" i="6"/>
  <c r="AY42" i="6"/>
  <c r="AY39" i="6"/>
  <c r="CE39" i="6"/>
  <c r="Y42" i="6"/>
  <c r="Y39" i="6"/>
  <c r="Y41" i="6"/>
  <c r="BE42" i="6"/>
  <c r="BE39" i="6"/>
  <c r="BE41" i="6"/>
  <c r="Z41" i="6"/>
  <c r="Z42" i="6"/>
  <c r="Z39" i="6"/>
  <c r="BF41" i="6"/>
  <c r="BF42" i="6"/>
  <c r="BF39" i="6"/>
  <c r="AB36" i="6"/>
  <c r="AB37" i="6" s="1"/>
  <c r="AB28" i="6"/>
  <c r="AB29" i="6" s="1"/>
  <c r="AB33" i="6" s="1"/>
  <c r="AB34" i="6" s="1"/>
  <c r="AN42" i="6"/>
  <c r="AN39" i="6"/>
  <c r="AN41" i="6"/>
  <c r="BT42" i="6"/>
  <c r="BT39" i="6"/>
  <c r="BT41" i="6"/>
  <c r="BA41" i="6"/>
  <c r="BA42" i="6"/>
  <c r="BA39" i="6"/>
  <c r="CG41" i="6"/>
  <c r="CG42" i="6"/>
  <c r="CG39" i="6"/>
  <c r="AL39" i="6"/>
  <c r="AL41" i="6"/>
  <c r="AL42" i="6"/>
  <c r="BR39" i="6"/>
  <c r="BR41" i="6"/>
  <c r="BR42" i="6"/>
  <c r="W39" i="6"/>
  <c r="W41" i="6"/>
  <c r="W42" i="6"/>
  <c r="BC39" i="6"/>
  <c r="BC41" i="6"/>
  <c r="BC42" i="6"/>
  <c r="CI39" i="6"/>
  <c r="CI41" i="6"/>
  <c r="CI42" i="6"/>
  <c r="AZ36" i="6"/>
  <c r="AZ37" i="6" s="1"/>
  <c r="AZ28" i="6"/>
  <c r="AZ29" i="6" s="1"/>
  <c r="AZ33" i="6" s="1"/>
  <c r="AZ34" i="6" s="1"/>
  <c r="M41" i="6"/>
  <c r="M42" i="6"/>
  <c r="M39" i="6"/>
  <c r="CC42" i="6"/>
  <c r="CC39" i="6"/>
  <c r="CC41" i="6"/>
  <c r="BG41" i="6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AR18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K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E108" i="5" l="1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BS41" i="6"/>
  <c r="N42" i="6"/>
  <c r="N47" i="6" s="1"/>
  <c r="N39" i="6"/>
  <c r="BD41" i="6"/>
  <c r="BD36" i="6" s="1"/>
  <c r="BD37" i="6" s="1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7" i="6"/>
  <c r="J15" i="6"/>
  <c r="K7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E11" i="8" l="1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K36" i="6" s="1"/>
  <c r="K37" i="6" s="1"/>
  <c r="J39" i="6"/>
  <c r="J42" i="6"/>
  <c r="J41" i="6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AU22" i="7" l="1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<sst xmlns="http://schemas.openxmlformats.org/spreadsheetml/2006/main" count="681" uniqueCount="429">
  <si>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</si>
  <si>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</si>
  <si>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</si>
  <si>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</si>
  <si>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</si>
  <si>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</si>
  <si>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</si>
  <si>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</si>
  <si>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</si>
  <si>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</si>
  <si>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</si>
  <si>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</si>
  <si>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</si>
  <si>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</si>
  <si>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</si>
  <si>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</si>
  <si>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</si>
  <si>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</si>
  <si>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</si>
  <si>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</si>
  <si>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</si>
  <si>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</si>
  <si>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</si>
  <si>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</si>
  <si>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</si>
  <si>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</si>
  <si>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</si>
  <si>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</si>
  <si>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</si>
  <si>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</si>
  <si>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</si>
  <si>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</si>
  <si>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</si>
  <si>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</si>
  <si>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</si>
  <si>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</si>
  <si>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</si>
  <si>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</si>
  <si>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</si>
  <si>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</si>
  <si>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</si>
  <si>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</si>
  <si>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</si>
  <si>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</si>
  <si>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</si>
  <si>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</si>
  <si>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</si>
  <si>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</si>
  <si>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</si>
  <si>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</si>
  <si>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</si>
  <si>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</si>
  <si>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</si>
  <si>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</si>
  <si>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</si>
  <si>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</si>
  <si>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</si>
  <si>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</si>
  <si>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</si>
  <si>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</si>
  <si>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</si>
  <si>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</si>
  <si>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</si>
  <si>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</si>
  <si>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</si>
  <si>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</si>
  <si>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</si>
  <si>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</si>
  <si>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</si>
  <si>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</si>
  <si>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</si>
  <si>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</si>
  <si>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</si>
  <si>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</si>
  <si>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</si>
  <si>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</si>
  <si>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</si>
  <si>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</si>
  <si>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</si>
  <si>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</si>
  <si>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</si>
  <si>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</si>
  <si>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</si>
  <si>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</si>
  <si>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</si>
  <si>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</si>
  <si>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</si>
  <si>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</si>
  <si>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</si>
  <si>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</si>
  <si>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</si>
  <si>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</si>
  <si>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</si>
  <si>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</si>
  <si>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</si>
  <si>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</si>
  <si>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</si>
  <si>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</si>
  <si>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</si>
  <si>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</si>
  <si>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</si>
  <si>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</si>
  <si>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</si>
  <si>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</si>
  <si>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</si>
  <si>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</si>
  <si>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</si>
  <si>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</si>
  <si>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</si>
  <si>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</si>
  <si>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</si>
  <si>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</si>
  <si>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</si>
  <si>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</si>
  <si>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</si>
  <si>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</si>
  <si>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</si>
  <si>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</si>
  <si>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</si>
  <si>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</si>
  <si>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</si>
  <si>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</si>
  <si>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</si>
  <si>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</si>
  <si>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</si>
  <si>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</si>
  <si>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</si>
  <si>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</si>
  <si>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</si>
  <si>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</si>
  <si>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</si>
  <si>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</si>
  <si>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</si>
  <si>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</si>
  <si>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</si>
  <si>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</si>
  <si>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</si>
  <si>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</si>
  <si>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</si>
  <si>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</si>
  <si>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</si>
  <si>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</si>
  <si>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</si>
  <si>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</si>
  <si>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</si>
  <si>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</si>
  <si>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</si>
  <si>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</si>
  <si>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</si>
  <si>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</si>
  <si>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</si>
  <si>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</si>
  <si>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</si>
  <si>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</si>
  <si>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</si>
  <si>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</si>
  <si>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</si>
  <si>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</si>
  <si>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</si>
  <si>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</si>
  <si>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</si>
  <si>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</si>
  <si>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</si>
  <si>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</si>
  <si>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</si>
  <si>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</si>
  <si>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</si>
  <si>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</si>
  <si>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</si>
  <si>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</si>
  <si>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</si>
  <si>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</si>
  <si>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</si>
  <si>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</si>
  <si>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</si>
  <si>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</si>
  <si>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</si>
  <si>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</si>
  <si>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</si>
  <si>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</si>
  <si>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</si>
  <si>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</si>
  <si>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</si>
  <si>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</si>
  <si>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</si>
  <si>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</si>
  <si>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</si>
  <si>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</si>
  <si>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</si>
  <si>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</si>
  <si>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</si>
  <si>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</si>
  <si>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</si>
  <si>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</si>
  <si>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</si>
  <si>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</si>
  <si>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</si>
  <si>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</si>
  <si>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</si>
  <si>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</si>
  <si>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</si>
  <si>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</si>
  <si>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</si>
  <si>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</si>
  <si>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</si>
  <si>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</si>
  <si>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</si>
  <si>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</si>
  <si>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</si>
  <si>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</si>
  <si>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</si>
  <si>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</si>
  <si>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</si>
  <si>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</si>
  <si>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</si>
  <si>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</si>
  <si>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</si>
  <si>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</si>
  <si>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</si>
  <si>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</si>
  <si>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</si>
  <si>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</si>
  <si>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</si>
  <si>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</si>
  <si>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</si>
  <si>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</si>
  <si>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</si>
  <si>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</si>
  <si>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</si>
  <si>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</si>
  <si>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</si>
  <si>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</si>
  <si>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</si>
  <si>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</si>
  <si>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</si>
  <si>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</si>
  <si>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</si>
  <si>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</si>
  <si>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</si>
  <si>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</si>
  <si>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</si>
  <si>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</si>
  <si>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</si>
  <si>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</si>
  <si>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</si>
  <si>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</si>
  <si>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</si>
  <si>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</si>
  <si>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</si>
  <si>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</si>
  <si>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</si>
  <si>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</si>
  <si>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</si>
  <si>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</si>
  <si>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</si>
  <si>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</si>
  <si>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</si>
  <si>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</si>
  <si>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</si>
  <si>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</si>
  <si>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</si>
  <si>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</si>
  <si>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</si>
  <si>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</si>
  <si>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</si>
  <si>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</si>
  <si>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</si>
  <si>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</si>
  <si>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</si>
  <si>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</si>
  <si>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</si>
  <si>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</si>
  <si>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</si>
  <si>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</si>
  <si>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</si>
  <si>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</si>
  <si>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</si>
  <si>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</si>
  <si>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</si>
  <si>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</si>
  <si>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</si>
  <si>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</si>
  <si>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</si>
  <si>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</si>
  <si>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</si>
  <si>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</si>
  <si>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</si>
  <si>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</si>
  <si>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</si>
  <si>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</si>
  <si>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</si>
  <si>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</si>
  <si>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</si>
  <si>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</si>
  <si>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</si>
  <si>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</si>
  <si>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</si>
  <si>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</si>
  <si>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</si>
  <si>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</si>
  <si>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</si>
  <si>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</si>
  <si>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</si>
  <si>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</si>
  <si>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</si>
  <si>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</si>
  <si>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</si>
  <si>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</si>
  <si>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</si>
  <si>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</si>
  <si>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</si>
  <si>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</si>
  <si>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</si>
  <si>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</si>
  <si>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</si>
  <si>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</si>
  <si>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</si>
  <si>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</si>
  <si>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</si>
  <si>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</si>
  <si>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</si>
  <si>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</si>
  <si>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</si>
  <si>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</si>
  <si>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</si>
  <si>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</si>
  <si>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</si>
  <si>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</si>
  <si>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</si>
  <si>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</si>
  <si>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</si>
  <si>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</si>
  <si>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</si>
  <si>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</si>
  <si>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</si>
  <si>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</si>
  <si>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</si>
  <si>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</si>
  <si>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</si>
  <si>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</si>
  <si>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</si>
  <si>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</si>
  <si>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</si>
  <si>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</si>
  <si>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</si>
  <si>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</si>
  <si>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</si>
  <si>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</si>
  <si>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</si>
  <si>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</si>
  <si>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</si>
  <si>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</si>
  <si>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</si>
  <si>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</si>
  <si>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</si>
  <si>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</si>
  <si>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</si>
  <si>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</si>
  <si>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 xml:space="preserve">  (19) 其他综合收益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</si>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</sst>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52" workbookViewId="0">
      <selection activeCell="A84" sqref="A84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  <c r="CK2" s="48" t="s">
        <v>172</v>
      </c>
    </row>
    <row r="3" spans="1:90">
      <c r="A3" s="48" t="s">
        <v>173</v>
      </c>
    </row>
    <row r="4" spans="1:90">
      <c r="A4" s="48" t="s">
        <v>174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175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176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177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178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179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180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181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182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183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184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185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186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187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188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189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190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191</v>
      </c>
    </row>
    <row r="22" spans="1:90">
      <c r="A22" s="48" t="s">
        <v>192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193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194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195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196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197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198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199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200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201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202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203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204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205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206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207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208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209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210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211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212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213</v>
      </c>
    </row>
    <row r="44" spans="1:90">
      <c r="A44" s="48" t="s">
        <v>214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215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216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217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218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219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220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221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222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223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224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225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226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227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228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229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230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231</v>
      </c>
    </row>
    <row r="62" spans="1:90">
      <c r="A62" s="48" t="s">
        <v>232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233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234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235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236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237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238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239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240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241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242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243</v>
      </c>
    </row>
    <row r="74" spans="1:90">
      <c r="A74" s="48" t="s">
        <v>244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245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246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247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248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249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250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251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252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253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254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255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</row>
    <row r="3" spans="1:89">
      <c r="A3" s="48" t="s">
        <v>256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257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258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259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260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261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262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263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264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265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266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267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268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269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270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271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272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273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274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275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276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277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278</v>
      </c>
    </row>
    <row r="26" spans="1:89">
      <c r="A26" s="48" t="s">
        <v>279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280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281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282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283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284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3" workbookViewId="0">
      <selection activeCell="A48" sqref="A48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</row>
    <row r="3" spans="1:74">
      <c r="A3" s="48" t="s">
        <v>285</v>
      </c>
    </row>
    <row r="4" spans="1:74">
      <c r="A4" s="48" t="s">
        <v>286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287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288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289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290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291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292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293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294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295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296</v>
      </c>
    </row>
    <row r="15" spans="1:74">
      <c r="A15" s="48" t="s">
        <v>297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298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299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300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301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302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303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304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305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306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307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308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309</v>
      </c>
    </row>
    <row r="28" spans="1:74">
      <c r="A28" s="48" t="s">
        <v>310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311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312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313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314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315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316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393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317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318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319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320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321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322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323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324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325</v>
      </c>
    </row>
    <row r="45" spans="1:74">
      <c r="A45" s="48" t="s">
        <v>326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253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327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328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329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330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331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332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333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334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335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336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337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338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263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339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340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341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342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343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344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345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346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347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348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349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350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351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352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353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354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355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356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26" sqref="D26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64" workbookViewId="0">
      <selection activeCell="E100" sqref="E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383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 t="shared" ref="C49:D49" si="4">SUM(C35:C41)+SUM(C43:C45)</f>
        <v>20063253440.389999</v>
      </c>
      <c r="D49" s="43">
        <f t="shared" si="4"/>
        <v>20625700554.999996</v>
      </c>
      <c r="E49" s="43">
        <f>SUM(E35:E45)</f>
        <v>21014947872.370003</v>
      </c>
      <c r="F49" s="43">
        <f t="shared" ref="F49:BQ49" si="5">SUM(F35:F45)</f>
        <v>20098583907.759998</v>
      </c>
      <c r="G49" s="43">
        <f t="shared" si="5"/>
        <v>19334848747.740002</v>
      </c>
      <c r="H49" s="43">
        <f t="shared" si="5"/>
        <v>20714476173.669998</v>
      </c>
      <c r="I49" s="43">
        <f t="shared" si="5"/>
        <v>20062866383.040001</v>
      </c>
      <c r="J49" s="43">
        <f t="shared" si="5"/>
        <v>19843861606.869995</v>
      </c>
      <c r="K49" s="43">
        <f t="shared" si="5"/>
        <v>19604830594.279999</v>
      </c>
      <c r="L49" s="43">
        <f t="shared" si="5"/>
        <v>19508554531.549995</v>
      </c>
      <c r="M49" s="43">
        <f t="shared" si="5"/>
        <v>19249245283.729996</v>
      </c>
      <c r="N49" s="43">
        <f t="shared" si="5"/>
        <v>19030540423.420002</v>
      </c>
      <c r="O49" s="43">
        <f t="shared" si="5"/>
        <v>20472004388</v>
      </c>
      <c r="P49" s="43">
        <f t="shared" si="5"/>
        <v>19326643368.910004</v>
      </c>
      <c r="Q49" s="43">
        <f t="shared" si="5"/>
        <v>19475422657.77</v>
      </c>
      <c r="R49" s="43">
        <f t="shared" si="5"/>
        <v>18946815532.669998</v>
      </c>
      <c r="S49" s="43">
        <f t="shared" si="5"/>
        <v>17998433452.75</v>
      </c>
      <c r="T49" s="43">
        <f t="shared" si="5"/>
        <v>17845034933.790001</v>
      </c>
      <c r="U49" s="43">
        <f t="shared" si="5"/>
        <v>17183744127.170002</v>
      </c>
      <c r="V49" s="43">
        <f t="shared" si="5"/>
        <v>16574099771.549999</v>
      </c>
      <c r="W49" s="43">
        <f t="shared" si="5"/>
        <v>15571344750.809999</v>
      </c>
      <c r="X49" s="43">
        <f t="shared" si="5"/>
        <v>14976470042.85</v>
      </c>
      <c r="Y49" s="43">
        <f t="shared" si="5"/>
        <v>14920680843.160002</v>
      </c>
      <c r="Z49" s="43">
        <f t="shared" si="5"/>
        <v>13792006291.129999</v>
      </c>
      <c r="AA49" s="43">
        <f t="shared" si="5"/>
        <v>10801519457.929998</v>
      </c>
      <c r="AB49" s="43">
        <f t="shared" si="5"/>
        <v>9641535494.3899994</v>
      </c>
      <c r="AC49" s="43">
        <f t="shared" si="5"/>
        <v>11720988041.969999</v>
      </c>
      <c r="AD49" s="43">
        <f t="shared" si="5"/>
        <v>9188720058.3099995</v>
      </c>
      <c r="AE49" s="43">
        <f t="shared" si="5"/>
        <v>8616642861.5699997</v>
      </c>
      <c r="AF49" s="43">
        <f t="shared" si="5"/>
        <v>7731745994.8699989</v>
      </c>
      <c r="AG49" s="43">
        <f t="shared" si="5"/>
        <v>7451446059.8199997</v>
      </c>
      <c r="AH49" s="43">
        <f t="shared" si="5"/>
        <v>7397660025.3300009</v>
      </c>
      <c r="AI49" s="43">
        <f t="shared" si="5"/>
        <v>6700620708.6800003</v>
      </c>
      <c r="AJ49" s="43">
        <f t="shared" si="5"/>
        <v>5916292588.6400003</v>
      </c>
      <c r="AK49" s="43">
        <f t="shared" si="5"/>
        <v>5653536965.3299999</v>
      </c>
      <c r="AL49" s="43">
        <f t="shared" si="5"/>
        <v>5351165385.1900005</v>
      </c>
      <c r="AM49" s="43">
        <f t="shared" si="5"/>
        <v>4544575315.1799994</v>
      </c>
      <c r="AN49" s="43">
        <f t="shared" si="5"/>
        <v>4087716834.7300005</v>
      </c>
      <c r="AO49" s="43">
        <f t="shared" si="5"/>
        <v>3841676297.5800004</v>
      </c>
      <c r="AP49" s="43">
        <f t="shared" si="5"/>
        <v>4044324550.6399999</v>
      </c>
      <c r="AQ49" s="43">
        <f t="shared" si="5"/>
        <v>3810885964.0999999</v>
      </c>
      <c r="AR49" s="43">
        <f t="shared" si="5"/>
        <v>3620492640.4800005</v>
      </c>
      <c r="AS49" s="43">
        <f t="shared" si="5"/>
        <v>3915225858.4099998</v>
      </c>
      <c r="AT49" s="43">
        <f t="shared" si="5"/>
        <v>3743681612.8000007</v>
      </c>
      <c r="AU49" s="43">
        <f t="shared" si="5"/>
        <v>3340882064.71</v>
      </c>
      <c r="AV49" s="43">
        <f t="shared" si="5"/>
        <v>2981405251.4100003</v>
      </c>
      <c r="AW49" s="43">
        <f t="shared" si="5"/>
        <v>2916950317.6400003</v>
      </c>
      <c r="AX49" s="43">
        <f t="shared" si="5"/>
        <v>2487412651.6399999</v>
      </c>
      <c r="AY49" s="43">
        <f t="shared" si="5"/>
        <v>2286314418.8200002</v>
      </c>
      <c r="AZ49" s="43">
        <f t="shared" si="5"/>
        <v>1898972342.9300001</v>
      </c>
      <c r="BA49" s="43">
        <f t="shared" si="5"/>
        <v>2226542316.4499998</v>
      </c>
      <c r="BB49" s="43">
        <f t="shared" si="5"/>
        <v>2157939925.4499998</v>
      </c>
      <c r="BC49" s="43">
        <f t="shared" si="5"/>
        <v>2233366658.9699998</v>
      </c>
      <c r="BD49" s="43">
        <f t="shared" si="5"/>
        <v>2325194986.21</v>
      </c>
      <c r="BE49" s="43">
        <f t="shared" si="5"/>
        <v>2570165102.1300001</v>
      </c>
      <c r="BF49" s="43">
        <f t="shared" si="5"/>
        <v>2962400247.1799998</v>
      </c>
      <c r="BG49" s="43">
        <f t="shared" si="5"/>
        <v>2840971645.6999998</v>
      </c>
      <c r="BH49" s="43">
        <f t="shared" si="5"/>
        <v>2828934154.8200002</v>
      </c>
      <c r="BI49" s="43">
        <f t="shared" si="5"/>
        <v>3011070398.1999998</v>
      </c>
      <c r="BJ49" s="43">
        <f t="shared" si="5"/>
        <v>2859396410.79</v>
      </c>
      <c r="BK49" s="43">
        <f t="shared" si="5"/>
        <v>2573009455.4699998</v>
      </c>
      <c r="BL49" s="43">
        <f t="shared" si="5"/>
        <v>2588597829.3100004</v>
      </c>
      <c r="BM49" s="43">
        <f t="shared" si="5"/>
        <v>2878587895.6300001</v>
      </c>
      <c r="BN49" s="43">
        <f t="shared" si="5"/>
        <v>2380136484.6500001</v>
      </c>
      <c r="BO49" s="43">
        <f t="shared" si="5"/>
        <v>2578441143.4999995</v>
      </c>
      <c r="BP49" s="43">
        <f t="shared" si="5"/>
        <v>2471521979.5999999</v>
      </c>
      <c r="BQ49" s="43">
        <f t="shared" si="5"/>
        <v>2393784934.8400002</v>
      </c>
      <c r="BR49" s="43">
        <f t="shared" ref="BR49:CK49" si="6">SUM(BR35:BR45)</f>
        <v>2277363305.0999999</v>
      </c>
      <c r="BS49" s="43">
        <f t="shared" si="6"/>
        <v>2227882855.7600002</v>
      </c>
      <c r="BT49" s="43">
        <f t="shared" si="6"/>
        <v>2250609312.7999997</v>
      </c>
      <c r="BU49" s="43">
        <f t="shared" si="6"/>
        <v>2352849265.5499997</v>
      </c>
      <c r="BV49" s="43">
        <f t="shared" si="6"/>
        <v>2034119243.5499997</v>
      </c>
      <c r="BW49" s="43">
        <f t="shared" si="6"/>
        <v>2267600232.6700001</v>
      </c>
      <c r="BX49" s="43">
        <f t="shared" si="6"/>
        <v>618616059.02999997</v>
      </c>
      <c r="BY49" s="43">
        <f t="shared" si="6"/>
        <v>736612368.26999998</v>
      </c>
      <c r="BZ49" s="43">
        <f t="shared" si="6"/>
        <v>0</v>
      </c>
      <c r="CA49" s="43">
        <f t="shared" si="6"/>
        <v>870469081.37</v>
      </c>
      <c r="CB49" s="43">
        <f t="shared" si="6"/>
        <v>0</v>
      </c>
      <c r="CC49" s="43">
        <f t="shared" si="6"/>
        <v>385549755.56999993</v>
      </c>
      <c r="CD49" s="43">
        <f t="shared" si="6"/>
        <v>0</v>
      </c>
      <c r="CE49" s="43">
        <f t="shared" si="6"/>
        <v>128652000</v>
      </c>
      <c r="CF49" s="43">
        <f t="shared" si="6"/>
        <v>0</v>
      </c>
      <c r="CG49" s="43">
        <f t="shared" si="6"/>
        <v>213689403.94</v>
      </c>
      <c r="CH49" s="43">
        <f t="shared" si="6"/>
        <v>0</v>
      </c>
      <c r="CI49" s="43">
        <f t="shared" si="6"/>
        <v>0</v>
      </c>
      <c r="CJ49" s="43">
        <f t="shared" si="6"/>
        <v>0</v>
      </c>
      <c r="CK49" s="43">
        <f t="shared" si="6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7">C33-C49</f>
        <v>-5463727749.5499992</v>
      </c>
      <c r="D50" s="44">
        <f t="shared" si="7"/>
        <v>-5230563505.4999943</v>
      </c>
      <c r="E50" s="44">
        <f t="shared" si="7"/>
        <v>-6969156528.1200047</v>
      </c>
      <c r="F50" s="44">
        <f t="shared" si="7"/>
        <v>-6672987430.1099987</v>
      </c>
      <c r="G50" s="44">
        <f t="shared" si="7"/>
        <v>-6712471921.0500031</v>
      </c>
      <c r="H50" s="44">
        <f t="shared" si="7"/>
        <v>-6646489677.3899994</v>
      </c>
      <c r="I50" s="44">
        <f t="shared" si="7"/>
        <v>-7256521933.7400017</v>
      </c>
      <c r="J50" s="44">
        <f t="shared" si="7"/>
        <v>-7479174601.6399937</v>
      </c>
      <c r="K50" s="44">
        <f t="shared" si="7"/>
        <v>-7447782539.2699966</v>
      </c>
      <c r="L50" s="44">
        <f t="shared" si="7"/>
        <v>-6625510323.1899948</v>
      </c>
      <c r="M50" s="44">
        <f t="shared" si="7"/>
        <v>-6988829959.1799946</v>
      </c>
      <c r="N50" s="44">
        <f t="shared" si="7"/>
        <v>-7465889469.6100025</v>
      </c>
      <c r="O50" s="44">
        <f t="shared" si="7"/>
        <v>-7946063589.2799988</v>
      </c>
      <c r="P50" s="44">
        <f t="shared" si="7"/>
        <v>-6466894792.4600029</v>
      </c>
      <c r="Q50" s="44">
        <f t="shared" si="7"/>
        <v>-7005361828.8899994</v>
      </c>
      <c r="R50" s="44">
        <f t="shared" si="7"/>
        <v>-6758445421.7599983</v>
      </c>
      <c r="S50" s="44">
        <f t="shared" si="7"/>
        <v>-6467532727.5900002</v>
      </c>
      <c r="T50" s="44">
        <f t="shared" si="7"/>
        <v>-5989126659.0400009</v>
      </c>
      <c r="U50" s="44">
        <f t="shared" si="7"/>
        <v>-6239016379.5200005</v>
      </c>
      <c r="V50" s="44">
        <f t="shared" si="7"/>
        <v>-6321566435.4799976</v>
      </c>
      <c r="W50" s="44">
        <f t="shared" si="7"/>
        <v>-6277911081.6799984</v>
      </c>
      <c r="X50" s="44">
        <f t="shared" si="7"/>
        <v>-4931428365.1100006</v>
      </c>
      <c r="Y50" s="44">
        <f t="shared" si="7"/>
        <v>-5865860535.6400013</v>
      </c>
      <c r="Z50" s="44">
        <f t="shared" si="7"/>
        <v>-5081467887.4299984</v>
      </c>
      <c r="AA50" s="44">
        <f t="shared" si="7"/>
        <v>-4750064897.8399982</v>
      </c>
      <c r="AB50" s="44">
        <f t="shared" si="7"/>
        <v>-3509734148.6899996</v>
      </c>
      <c r="AC50" s="44">
        <f t="shared" si="7"/>
        <v>-3312375926.4399986</v>
      </c>
      <c r="AD50" s="44">
        <f t="shared" si="7"/>
        <v>-3485802672.1999989</v>
      </c>
      <c r="AE50" s="44">
        <f t="shared" si="7"/>
        <v>-3114302743.8899994</v>
      </c>
      <c r="AF50" s="44">
        <f t="shared" si="7"/>
        <v>-2371501385.2099991</v>
      </c>
      <c r="AG50" s="44">
        <f t="shared" si="7"/>
        <v>-2860590372.5899992</v>
      </c>
      <c r="AH50" s="44">
        <f t="shared" si="7"/>
        <v>-2946473558.7600012</v>
      </c>
      <c r="AI50" s="44">
        <f t="shared" si="7"/>
        <v>-2565323649.1900005</v>
      </c>
      <c r="AJ50" s="44">
        <f t="shared" si="7"/>
        <v>-1720618991.5300007</v>
      </c>
      <c r="AK50" s="44">
        <f t="shared" si="7"/>
        <v>-1896536140.5299997</v>
      </c>
      <c r="AL50" s="44">
        <f t="shared" si="7"/>
        <v>-1466710664.5900002</v>
      </c>
      <c r="AM50" s="44">
        <f t="shared" si="7"/>
        <v>-1025906895.2999992</v>
      </c>
      <c r="AN50" s="44">
        <f t="shared" si="7"/>
        <v>-839702275.53000021</v>
      </c>
      <c r="AO50" s="44">
        <f t="shared" si="7"/>
        <v>-479690258.43000031</v>
      </c>
      <c r="AP50" s="44">
        <f t="shared" si="7"/>
        <v>-612441739.57999992</v>
      </c>
      <c r="AQ50" s="44">
        <f t="shared" si="7"/>
        <v>-426334653.28999949</v>
      </c>
      <c r="AR50" s="44">
        <f t="shared" si="7"/>
        <v>-423840616.51000023</v>
      </c>
      <c r="AS50" s="44">
        <f t="shared" si="7"/>
        <v>-909246717.10999966</v>
      </c>
      <c r="AT50" s="44">
        <f t="shared" si="7"/>
        <v>-708457077.14000082</v>
      </c>
      <c r="AU50" s="44">
        <f t="shared" si="7"/>
        <v>-493439672.11999989</v>
      </c>
      <c r="AV50" s="44">
        <f t="shared" si="7"/>
        <v>-379704464.38000059</v>
      </c>
      <c r="AW50" s="44">
        <f t="shared" si="7"/>
        <v>-553464198.96000051</v>
      </c>
      <c r="AX50" s="44">
        <f t="shared" si="7"/>
        <v>-379277051.30999994</v>
      </c>
      <c r="AY50" s="44">
        <f t="shared" si="7"/>
        <v>-225013488.39000034</v>
      </c>
      <c r="AZ50" s="44">
        <f t="shared" si="7"/>
        <v>170248609.9599998</v>
      </c>
      <c r="BA50" s="44">
        <f t="shared" si="7"/>
        <v>-157863213.64999986</v>
      </c>
      <c r="BB50" s="44">
        <f t="shared" si="7"/>
        <v>218694111.80000019</v>
      </c>
      <c r="BC50" s="44">
        <f t="shared" si="7"/>
        <v>29418910.429999828</v>
      </c>
      <c r="BD50" s="44">
        <f t="shared" si="7"/>
        <v>-97659283.860000134</v>
      </c>
      <c r="BE50" s="44">
        <f t="shared" si="7"/>
        <v>-450644735.62000012</v>
      </c>
      <c r="BF50" s="44">
        <f t="shared" si="7"/>
        <v>-415148818.6500001</v>
      </c>
      <c r="BG50" s="44">
        <f t="shared" si="7"/>
        <v>-324359697.23999977</v>
      </c>
      <c r="BH50" s="44">
        <f t="shared" si="7"/>
        <v>-561050103.0800004</v>
      </c>
      <c r="BI50" s="44">
        <f t="shared" si="7"/>
        <v>-724033772.13000011</v>
      </c>
      <c r="BJ50" s="44">
        <f t="shared" si="7"/>
        <v>-523055324.67000008</v>
      </c>
      <c r="BK50" s="44">
        <f t="shared" si="7"/>
        <v>-266939843.69999981</v>
      </c>
      <c r="BL50" s="44">
        <f t="shared" si="7"/>
        <v>-325773285.45000076</v>
      </c>
      <c r="BM50" s="44">
        <f t="shared" si="7"/>
        <v>-646594059.03000021</v>
      </c>
      <c r="BN50" s="44">
        <f t="shared" si="7"/>
        <v>-227717318.46999979</v>
      </c>
      <c r="BO50" s="44">
        <f t="shared" ref="BO50:CK50" si="8">BO33-BO49</f>
        <v>-583631254.98999977</v>
      </c>
      <c r="BP50" s="44">
        <f t="shared" si="8"/>
        <v>-543265196.29999995</v>
      </c>
      <c r="BQ50" s="44">
        <f t="shared" si="8"/>
        <v>-549348619.72000027</v>
      </c>
      <c r="BR50" s="44">
        <f t="shared" si="8"/>
        <v>-493088470.3499999</v>
      </c>
      <c r="BS50" s="44">
        <f t="shared" si="8"/>
        <v>-427834186.63000011</v>
      </c>
      <c r="BT50" s="44">
        <f t="shared" si="8"/>
        <v>132451824.28000021</v>
      </c>
      <c r="BU50" s="44">
        <f t="shared" si="8"/>
        <v>-86951869.659999847</v>
      </c>
      <c r="BV50" s="44">
        <f t="shared" si="8"/>
        <v>-40920519.129999638</v>
      </c>
      <c r="BW50" s="44">
        <f t="shared" si="8"/>
        <v>-422369060.96000028</v>
      </c>
      <c r="BX50" s="44">
        <f t="shared" si="8"/>
        <v>1223553321.74</v>
      </c>
      <c r="BY50" s="44">
        <f t="shared" si="8"/>
        <v>1103570654.97</v>
      </c>
      <c r="BZ50" s="44">
        <f t="shared" si="8"/>
        <v>0</v>
      </c>
      <c r="CA50" s="44">
        <f t="shared" si="8"/>
        <v>962522479.01999986</v>
      </c>
      <c r="CB50" s="44">
        <f t="shared" si="8"/>
        <v>0</v>
      </c>
      <c r="CC50" s="44">
        <f t="shared" si="8"/>
        <v>685762452.16000009</v>
      </c>
      <c r="CD50" s="44">
        <f t="shared" si="8"/>
        <v>0</v>
      </c>
      <c r="CE50" s="44">
        <f t="shared" si="8"/>
        <v>194727000</v>
      </c>
      <c r="CF50" s="44">
        <f t="shared" si="8"/>
        <v>0</v>
      </c>
      <c r="CG50" s="44">
        <f t="shared" si="8"/>
        <v>218046895.90000004</v>
      </c>
      <c r="CH50" s="44">
        <f t="shared" si="8"/>
        <v>0</v>
      </c>
      <c r="CI50" s="44">
        <f t="shared" si="8"/>
        <v>0</v>
      </c>
      <c r="CJ50" s="44">
        <f t="shared" si="8"/>
        <v>0</v>
      </c>
      <c r="CK50" s="44">
        <f t="shared" si="8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9">SUM(C52:C64)-2*C63</f>
        <v>2428661360.2100005</v>
      </c>
      <c r="D68" s="44">
        <f t="shared" si="9"/>
        <v>2406589332.0599995</v>
      </c>
      <c r="E68" s="44">
        <f t="shared" si="9"/>
        <v>2454890527.3099999</v>
      </c>
      <c r="F68" s="44">
        <f t="shared" si="9"/>
        <v>2346658997.96</v>
      </c>
      <c r="G68" s="44">
        <f t="shared" si="9"/>
        <v>2321028456.0099998</v>
      </c>
      <c r="H68" s="44">
        <f t="shared" si="9"/>
        <v>2370979739.6600003</v>
      </c>
      <c r="I68" s="44">
        <f t="shared" si="9"/>
        <v>2412303475.0899997</v>
      </c>
      <c r="J68" s="44">
        <f t="shared" si="9"/>
        <v>2470406281.8300004</v>
      </c>
      <c r="K68" s="44">
        <f t="shared" si="9"/>
        <v>2494493018.0699997</v>
      </c>
      <c r="L68" s="44">
        <f t="shared" si="9"/>
        <v>2182152344.7200003</v>
      </c>
      <c r="M68" s="44">
        <f t="shared" si="9"/>
        <v>2152577164.2399998</v>
      </c>
      <c r="N68" s="44">
        <f t="shared" si="9"/>
        <v>2164865015.4299998</v>
      </c>
      <c r="O68" s="44">
        <f t="shared" si="9"/>
        <v>2313387131.1999998</v>
      </c>
      <c r="P68" s="44">
        <f t="shared" si="9"/>
        <v>2470892138.5</v>
      </c>
      <c r="Q68" s="44">
        <f t="shared" si="9"/>
        <v>2509457579.0300002</v>
      </c>
      <c r="R68" s="44">
        <f t="shared" si="9"/>
        <v>2454288355.1100001</v>
      </c>
      <c r="S68" s="44">
        <f t="shared" si="9"/>
        <v>2364512974.75</v>
      </c>
      <c r="T68" s="44">
        <f t="shared" si="9"/>
        <v>2349442788.3999996</v>
      </c>
      <c r="U68" s="44">
        <f t="shared" si="9"/>
        <v>2333913055.750001</v>
      </c>
      <c r="V68" s="44">
        <f t="shared" si="9"/>
        <v>2273126750.1999998</v>
      </c>
      <c r="W68" s="44">
        <f t="shared" si="9"/>
        <v>2271648667.499999</v>
      </c>
      <c r="X68" s="44">
        <f t="shared" si="9"/>
        <v>2284542290.6700001</v>
      </c>
      <c r="Y68" s="44">
        <f t="shared" si="9"/>
        <v>2417151666.0300002</v>
      </c>
      <c r="Z68" s="44">
        <f t="shared" si="9"/>
        <v>2365112559.9700003</v>
      </c>
      <c r="AA68" s="44">
        <f t="shared" si="9"/>
        <v>1665128995.6599998</v>
      </c>
      <c r="AB68" s="44">
        <f t="shared" si="9"/>
        <v>1663553695.26</v>
      </c>
      <c r="AC68" s="44">
        <f t="shared" si="9"/>
        <v>2379075025.6399994</v>
      </c>
      <c r="AD68" s="44">
        <f t="shared" si="9"/>
        <v>1895315967.5499997</v>
      </c>
      <c r="AE68" s="44">
        <f t="shared" si="9"/>
        <v>2018164183.1700001</v>
      </c>
      <c r="AF68" s="44">
        <f t="shared" si="9"/>
        <v>2030582059.45</v>
      </c>
      <c r="AG68" s="44">
        <f t="shared" si="9"/>
        <v>2041521028.8299997</v>
      </c>
      <c r="AH68" s="44">
        <f t="shared" si="9"/>
        <v>2117003238.0300004</v>
      </c>
      <c r="AI68" s="44">
        <f t="shared" si="9"/>
        <v>2127767595.3</v>
      </c>
      <c r="AJ68" s="44">
        <f t="shared" si="9"/>
        <v>2123264784.5799999</v>
      </c>
      <c r="AK68" s="44">
        <f t="shared" si="9"/>
        <v>2106733677.9799995</v>
      </c>
      <c r="AL68" s="44">
        <f t="shared" si="9"/>
        <v>2181311978.2000003</v>
      </c>
      <c r="AM68" s="44">
        <f t="shared" si="9"/>
        <v>1766549255.0699997</v>
      </c>
      <c r="AN68" s="44">
        <f t="shared" si="9"/>
        <v>1754765166.9699998</v>
      </c>
      <c r="AO68" s="44">
        <f t="shared" si="9"/>
        <v>1753220374.0200002</v>
      </c>
      <c r="AP68" s="44">
        <f t="shared" si="9"/>
        <v>1649673554.8800004</v>
      </c>
      <c r="AQ68" s="44">
        <f t="shared" si="9"/>
        <v>1614270453.4799998</v>
      </c>
      <c r="AR68" s="44">
        <f t="shared" si="9"/>
        <v>1636219769.9099998</v>
      </c>
      <c r="AS68" s="44">
        <f t="shared" si="9"/>
        <v>1622178981.0399997</v>
      </c>
      <c r="AT68" s="44">
        <f t="shared" si="9"/>
        <v>1577433801.45</v>
      </c>
      <c r="AU68" s="44">
        <f t="shared" si="9"/>
        <v>1708833997.0599997</v>
      </c>
      <c r="AV68" s="44">
        <f t="shared" si="9"/>
        <v>1602023740.5600002</v>
      </c>
      <c r="AW68" s="44">
        <f t="shared" si="9"/>
        <v>1607615691.8999999</v>
      </c>
      <c r="AX68" s="44">
        <f t="shared" si="9"/>
        <v>1541397866.6100001</v>
      </c>
      <c r="AY68" s="44">
        <f t="shared" si="9"/>
        <v>1531323889.3399999</v>
      </c>
      <c r="AZ68" s="44">
        <f t="shared" si="9"/>
        <v>1533389587.6100004</v>
      </c>
      <c r="BA68" s="44">
        <f t="shared" si="9"/>
        <v>1528953112.1300001</v>
      </c>
      <c r="BB68" s="44">
        <f t="shared" si="9"/>
        <v>1454249169.7900002</v>
      </c>
      <c r="BC68" s="44">
        <f t="shared" si="9"/>
        <v>1475873605.3299999</v>
      </c>
      <c r="BD68" s="44">
        <f t="shared" si="9"/>
        <v>1420004646.6199999</v>
      </c>
      <c r="BE68" s="44">
        <f t="shared" si="9"/>
        <v>1418837796.5700002</v>
      </c>
      <c r="BF68" s="44">
        <f t="shared" si="9"/>
        <v>1248334291.0599999</v>
      </c>
      <c r="BG68" s="44">
        <f t="shared" si="9"/>
        <v>1260288251.3700001</v>
      </c>
      <c r="BH68" s="44">
        <f t="shared" si="9"/>
        <v>1367407857.2199998</v>
      </c>
      <c r="BI68" s="44">
        <f t="shared" si="9"/>
        <v>1382409784.6800001</v>
      </c>
      <c r="BJ68" s="44">
        <f t="shared" si="9"/>
        <v>1318899201.0300002</v>
      </c>
      <c r="BK68" s="44">
        <f t="shared" si="9"/>
        <v>1193317891.78</v>
      </c>
      <c r="BL68" s="44">
        <f t="shared" si="9"/>
        <v>1143911773.3999999</v>
      </c>
      <c r="BM68" s="44">
        <f t="shared" si="9"/>
        <v>1153504140.2</v>
      </c>
      <c r="BN68" s="44">
        <f t="shared" si="9"/>
        <v>897625045.82000005</v>
      </c>
      <c r="BO68" s="44">
        <f t="shared" ref="BO68:CK68" si="10">SUM(BO52:BO64)-2*BO63</f>
        <v>921016822.43999994</v>
      </c>
      <c r="BP68" s="44">
        <f t="shared" si="10"/>
        <v>898781839.95000005</v>
      </c>
      <c r="BQ68" s="44">
        <f t="shared" si="10"/>
        <v>855768959.73999989</v>
      </c>
      <c r="BR68" s="44">
        <f t="shared" si="10"/>
        <v>967022671.55999994</v>
      </c>
      <c r="BS68" s="44">
        <f t="shared" si="10"/>
        <v>912510795.08000004</v>
      </c>
      <c r="BT68" s="44">
        <f t="shared" si="10"/>
        <v>1085005791.3399999</v>
      </c>
      <c r="BU68" s="44">
        <f t="shared" si="10"/>
        <v>1048137506.5799999</v>
      </c>
      <c r="BV68" s="44">
        <f t="shared" si="10"/>
        <v>914153133.79000008</v>
      </c>
      <c r="BW68" s="44">
        <f t="shared" si="10"/>
        <v>935461711.29000008</v>
      </c>
      <c r="BX68" s="44">
        <f t="shared" si="10"/>
        <v>399043480.84000003</v>
      </c>
      <c r="BY68" s="44">
        <f t="shared" si="10"/>
        <v>411345651.89999998</v>
      </c>
      <c r="BZ68" s="44">
        <f t="shared" si="10"/>
        <v>385662297.44</v>
      </c>
      <c r="CA68" s="44">
        <f t="shared" si="10"/>
        <v>460069877.17000002</v>
      </c>
      <c r="CB68" s="44">
        <f t="shared" si="10"/>
        <v>371093035.31</v>
      </c>
      <c r="CC68" s="44">
        <f t="shared" si="10"/>
        <v>510456316.62</v>
      </c>
      <c r="CD68" s="44">
        <f t="shared" si="10"/>
        <v>363612293.70000005</v>
      </c>
      <c r="CE68" s="44">
        <f t="shared" si="10"/>
        <v>407232000</v>
      </c>
      <c r="CF68" s="44">
        <f t="shared" si="10"/>
        <v>390871397.48000002</v>
      </c>
      <c r="CG68" s="44">
        <f t="shared" si="10"/>
        <v>369720545.36000001</v>
      </c>
      <c r="CH68" s="44">
        <f t="shared" si="10"/>
        <v>0</v>
      </c>
      <c r="CI68" s="44">
        <f t="shared" si="10"/>
        <v>0</v>
      </c>
      <c r="CJ68" s="44">
        <f t="shared" si="10"/>
        <v>0</v>
      </c>
      <c r="CK68" s="44">
        <f t="shared" si="10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1">C50+C68</f>
        <v>-3035066389.3399987</v>
      </c>
      <c r="D69" s="41">
        <f t="shared" si="11"/>
        <v>-2823974173.4399948</v>
      </c>
      <c r="E69" s="41">
        <f t="shared" si="11"/>
        <v>-4514266000.8100052</v>
      </c>
      <c r="F69" s="41">
        <f t="shared" si="11"/>
        <v>-4326328432.1499987</v>
      </c>
      <c r="G69" s="41">
        <f t="shared" si="11"/>
        <v>-4391443465.0400028</v>
      </c>
      <c r="H69" s="41">
        <f t="shared" si="11"/>
        <v>-4275509937.7299991</v>
      </c>
      <c r="I69" s="41">
        <f t="shared" si="11"/>
        <v>-4844218458.6500015</v>
      </c>
      <c r="J69" s="41">
        <f t="shared" si="11"/>
        <v>-5008768319.8099937</v>
      </c>
      <c r="K69" s="41">
        <f t="shared" si="11"/>
        <v>-4953289521.1999969</v>
      </c>
      <c r="L69" s="41">
        <f t="shared" si="11"/>
        <v>-4443357978.4699945</v>
      </c>
      <c r="M69" s="41">
        <f t="shared" si="11"/>
        <v>-4836252794.9399948</v>
      </c>
      <c r="N69" s="41">
        <f t="shared" si="11"/>
        <v>-5301024454.1800022</v>
      </c>
      <c r="O69" s="41">
        <f t="shared" si="11"/>
        <v>-5632676458.079999</v>
      </c>
      <c r="P69" s="41">
        <f t="shared" si="11"/>
        <v>-3996002653.9600029</v>
      </c>
      <c r="Q69" s="41">
        <f t="shared" si="11"/>
        <v>-4495904249.8599987</v>
      </c>
      <c r="R69" s="41">
        <f t="shared" si="11"/>
        <v>-4304157066.6499977</v>
      </c>
      <c r="S69" s="41">
        <f t="shared" si="11"/>
        <v>-4103019752.8400002</v>
      </c>
      <c r="T69" s="41">
        <f t="shared" si="11"/>
        <v>-3639683870.6400013</v>
      </c>
      <c r="U69" s="41">
        <f t="shared" si="11"/>
        <v>-3905103323.7699995</v>
      </c>
      <c r="V69" s="41">
        <f t="shared" si="11"/>
        <v>-4048439685.2799978</v>
      </c>
      <c r="W69" s="41">
        <f t="shared" si="11"/>
        <v>-4006262414.1799994</v>
      </c>
      <c r="X69" s="41">
        <f t="shared" si="11"/>
        <v>-2646886074.4400005</v>
      </c>
      <c r="Y69" s="41">
        <f t="shared" si="11"/>
        <v>-3448708869.6100011</v>
      </c>
      <c r="Z69" s="41">
        <f t="shared" si="11"/>
        <v>-2716355327.4599981</v>
      </c>
      <c r="AA69" s="41">
        <f t="shared" si="11"/>
        <v>-3084935902.1799984</v>
      </c>
      <c r="AB69" s="41">
        <f t="shared" si="11"/>
        <v>-1846180453.4299996</v>
      </c>
      <c r="AC69" s="41">
        <f t="shared" si="11"/>
        <v>-933300900.79999924</v>
      </c>
      <c r="AD69" s="41">
        <f t="shared" si="11"/>
        <v>-1590486704.6499991</v>
      </c>
      <c r="AE69" s="41">
        <f t="shared" si="11"/>
        <v>-1096138560.7199993</v>
      </c>
      <c r="AF69" s="41">
        <f t="shared" si="11"/>
        <v>-340919325.75999904</v>
      </c>
      <c r="AG69" s="41">
        <f t="shared" si="11"/>
        <v>-819069343.75999951</v>
      </c>
      <c r="AH69" s="41">
        <f t="shared" si="11"/>
        <v>-829470320.73000073</v>
      </c>
      <c r="AI69" s="41">
        <f t="shared" si="11"/>
        <v>-437556053.89000058</v>
      </c>
      <c r="AJ69" s="41">
        <f t="shared" si="11"/>
        <v>402645793.04999924</v>
      </c>
      <c r="AK69" s="41">
        <f t="shared" si="11"/>
        <v>210197537.44999981</v>
      </c>
      <c r="AL69" s="41">
        <f t="shared" si="11"/>
        <v>714601313.61000013</v>
      </c>
      <c r="AM69" s="41">
        <f t="shared" si="11"/>
        <v>740642359.77000046</v>
      </c>
      <c r="AN69" s="41">
        <f t="shared" si="11"/>
        <v>915062891.43999958</v>
      </c>
      <c r="AO69" s="41">
        <f t="shared" si="11"/>
        <v>1273530115.5899999</v>
      </c>
      <c r="AP69" s="41">
        <f t="shared" si="11"/>
        <v>1037231815.3000004</v>
      </c>
      <c r="AQ69" s="41">
        <f t="shared" si="11"/>
        <v>1187935800.1900003</v>
      </c>
      <c r="AR69" s="41">
        <f t="shared" si="11"/>
        <v>1212379153.3999996</v>
      </c>
      <c r="AS69" s="41">
        <f t="shared" si="11"/>
        <v>712932263.93000007</v>
      </c>
      <c r="AT69" s="41">
        <f t="shared" si="11"/>
        <v>868976724.30999923</v>
      </c>
      <c r="AU69" s="41">
        <f t="shared" si="11"/>
        <v>1215394324.9399998</v>
      </c>
      <c r="AV69" s="41">
        <f t="shared" si="11"/>
        <v>1222319276.1799996</v>
      </c>
      <c r="AW69" s="41">
        <f t="shared" si="11"/>
        <v>1054151492.9399993</v>
      </c>
      <c r="AX69" s="41">
        <f t="shared" si="11"/>
        <v>1162120815.3000002</v>
      </c>
      <c r="AY69" s="41">
        <f t="shared" si="11"/>
        <v>1306310400.9499996</v>
      </c>
      <c r="AZ69" s="41">
        <f t="shared" si="11"/>
        <v>1703638197.5700002</v>
      </c>
      <c r="BA69" s="41">
        <f t="shared" si="11"/>
        <v>1371089898.4800003</v>
      </c>
      <c r="BB69" s="41">
        <f t="shared" si="11"/>
        <v>1672943281.5900004</v>
      </c>
      <c r="BC69" s="41">
        <f t="shared" si="11"/>
        <v>1505292515.7599998</v>
      </c>
      <c r="BD69" s="41">
        <f t="shared" si="11"/>
        <v>1322345362.7599998</v>
      </c>
      <c r="BE69" s="41">
        <f t="shared" si="11"/>
        <v>968193060.95000005</v>
      </c>
      <c r="BF69" s="41">
        <f t="shared" si="11"/>
        <v>833185472.40999985</v>
      </c>
      <c r="BG69" s="41">
        <f t="shared" si="11"/>
        <v>935928554.13000035</v>
      </c>
      <c r="BH69" s="41">
        <f t="shared" si="11"/>
        <v>806357754.13999939</v>
      </c>
      <c r="BI69" s="41">
        <f t="shared" si="11"/>
        <v>658376012.54999995</v>
      </c>
      <c r="BJ69" s="41">
        <f t="shared" si="11"/>
        <v>795843876.36000013</v>
      </c>
      <c r="BK69" s="41">
        <f t="shared" si="11"/>
        <v>926378048.08000016</v>
      </c>
      <c r="BL69" s="41">
        <f t="shared" si="11"/>
        <v>818138487.94999909</v>
      </c>
      <c r="BM69" s="41">
        <f t="shared" si="11"/>
        <v>506910081.16999984</v>
      </c>
      <c r="BN69" s="41">
        <f t="shared" si="11"/>
        <v>669907727.35000026</v>
      </c>
      <c r="BO69" s="41">
        <f t="shared" ref="BO69:CL69" si="12">BO50+BO68</f>
        <v>337385567.45000017</v>
      </c>
      <c r="BP69" s="41">
        <f t="shared" si="12"/>
        <v>355516643.6500001</v>
      </c>
      <c r="BQ69" s="41">
        <f t="shared" si="12"/>
        <v>306420340.01999962</v>
      </c>
      <c r="BR69" s="41">
        <f t="shared" si="12"/>
        <v>473934201.21000004</v>
      </c>
      <c r="BS69" s="41">
        <f t="shared" si="12"/>
        <v>484676608.44999993</v>
      </c>
      <c r="BT69" s="41">
        <f t="shared" si="12"/>
        <v>1217457615.6200001</v>
      </c>
      <c r="BU69" s="41">
        <f t="shared" si="12"/>
        <v>961185636.92000008</v>
      </c>
      <c r="BV69" s="41">
        <f t="shared" si="12"/>
        <v>873232614.66000044</v>
      </c>
      <c r="BW69" s="41">
        <f t="shared" si="12"/>
        <v>513092650.3299998</v>
      </c>
      <c r="BX69" s="41">
        <f t="shared" si="12"/>
        <v>1622596802.5799999</v>
      </c>
      <c r="BY69" s="41">
        <f t="shared" si="12"/>
        <v>1514916306.8699999</v>
      </c>
      <c r="BZ69" s="41">
        <f t="shared" si="12"/>
        <v>385662297.44</v>
      </c>
      <c r="CA69" s="41">
        <f t="shared" si="12"/>
        <v>1422592356.1899998</v>
      </c>
      <c r="CB69" s="41">
        <f t="shared" si="12"/>
        <v>371093035.31</v>
      </c>
      <c r="CC69" s="41">
        <f t="shared" si="12"/>
        <v>1196218768.7800002</v>
      </c>
      <c r="CD69" s="41">
        <f t="shared" si="12"/>
        <v>363612293.70000005</v>
      </c>
      <c r="CE69" s="41">
        <f t="shared" si="12"/>
        <v>601959000</v>
      </c>
      <c r="CF69" s="41">
        <f t="shared" si="12"/>
        <v>390871397.48000002</v>
      </c>
      <c r="CG69" s="41">
        <f t="shared" si="12"/>
        <v>587767441.25999999</v>
      </c>
      <c r="CH69" s="41">
        <f t="shared" si="12"/>
        <v>0</v>
      </c>
      <c r="CI69" s="41">
        <f t="shared" si="12"/>
        <v>0</v>
      </c>
      <c r="CJ69" s="41">
        <f t="shared" si="12"/>
        <v>0</v>
      </c>
      <c r="CK69" s="41">
        <f t="shared" si="12"/>
        <v>0</v>
      </c>
      <c r="CL69" s="41">
        <f t="shared" si="12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3">C17+C19+C69</f>
        <v>13107678389.220001</v>
      </c>
      <c r="D70" s="45">
        <f t="shared" si="13"/>
        <v>13067433970.510004</v>
      </c>
      <c r="E70" s="45">
        <f t="shared" si="13"/>
        <v>12466964524.469995</v>
      </c>
      <c r="F70" s="45">
        <f t="shared" si="13"/>
        <v>12179598099.500004</v>
      </c>
      <c r="G70" s="45">
        <f t="shared" si="13"/>
        <v>12130146338.639996</v>
      </c>
      <c r="H70" s="45">
        <f t="shared" si="13"/>
        <v>12023831929.66</v>
      </c>
      <c r="I70" s="45">
        <f t="shared" si="13"/>
        <v>11623144965.309998</v>
      </c>
      <c r="J70" s="45">
        <f t="shared" si="13"/>
        <v>11341725783.080006</v>
      </c>
      <c r="K70" s="45">
        <f t="shared" si="13"/>
        <v>11301436117.700003</v>
      </c>
      <c r="L70" s="45">
        <f t="shared" si="13"/>
        <v>10882579696.250008</v>
      </c>
      <c r="M70" s="45">
        <f t="shared" si="13"/>
        <v>10539105171.650005</v>
      </c>
      <c r="N70" s="45">
        <f t="shared" si="13"/>
        <v>10265971346.089998</v>
      </c>
      <c r="O70" s="45">
        <f t="shared" si="13"/>
        <v>9740280558.1600037</v>
      </c>
      <c r="P70" s="45">
        <f t="shared" si="13"/>
        <v>10554374558.019997</v>
      </c>
      <c r="Q70" s="45">
        <f t="shared" si="13"/>
        <v>10215204831.640001</v>
      </c>
      <c r="R70" s="45">
        <f t="shared" si="13"/>
        <v>10226530564.660002</v>
      </c>
      <c r="S70" s="45">
        <f t="shared" si="13"/>
        <v>10653991504.91</v>
      </c>
      <c r="T70" s="45">
        <f t="shared" si="13"/>
        <v>10187387890.889999</v>
      </c>
      <c r="U70" s="45">
        <f t="shared" si="13"/>
        <v>9849589265.5699997</v>
      </c>
      <c r="V70" s="45">
        <f t="shared" si="13"/>
        <v>9763858775.4400024</v>
      </c>
      <c r="W70" s="45">
        <f t="shared" si="13"/>
        <v>9765471855.2200012</v>
      </c>
      <c r="X70" s="45">
        <f t="shared" si="13"/>
        <v>9482152678.8500004</v>
      </c>
      <c r="Y70" s="45">
        <f t="shared" si="13"/>
        <v>10694473943.880001</v>
      </c>
      <c r="Z70" s="45">
        <f t="shared" si="13"/>
        <v>9318747845.1599998</v>
      </c>
      <c r="AA70" s="45">
        <f t="shared" si="13"/>
        <v>8943660768.7200031</v>
      </c>
      <c r="AB70" s="45">
        <f t="shared" si="13"/>
        <v>8544350433.0500002</v>
      </c>
      <c r="AC70" s="45">
        <f t="shared" si="13"/>
        <v>9238518250.2200012</v>
      </c>
      <c r="AD70" s="45">
        <f t="shared" si="13"/>
        <v>8087076231.4799995</v>
      </c>
      <c r="AE70" s="45">
        <f t="shared" si="13"/>
        <v>8073605739.210001</v>
      </c>
      <c r="AF70" s="45">
        <f t="shared" si="13"/>
        <v>7981291938.1400003</v>
      </c>
      <c r="AG70" s="45">
        <f t="shared" si="13"/>
        <v>7695938118.6600008</v>
      </c>
      <c r="AH70" s="45">
        <f t="shared" si="13"/>
        <v>7679670736.8899984</v>
      </c>
      <c r="AI70" s="45">
        <f t="shared" si="13"/>
        <v>7706379849.3699999</v>
      </c>
      <c r="AJ70" s="45">
        <f t="shared" si="13"/>
        <v>7638796456.2600002</v>
      </c>
      <c r="AK70" s="45">
        <f t="shared" si="13"/>
        <v>7410754735.6399994</v>
      </c>
      <c r="AL70" s="45">
        <f t="shared" si="13"/>
        <v>7535117366.25</v>
      </c>
      <c r="AM70" s="45">
        <f t="shared" si="13"/>
        <v>7089801949.1200008</v>
      </c>
      <c r="AN70" s="45">
        <f t="shared" si="13"/>
        <v>6832227835.3299999</v>
      </c>
      <c r="AO70" s="45">
        <f t="shared" si="13"/>
        <v>6625100037.3500004</v>
      </c>
      <c r="AP70" s="45">
        <f t="shared" si="13"/>
        <v>6438030179.3299999</v>
      </c>
      <c r="AQ70" s="45">
        <f t="shared" si="13"/>
        <v>6568210939.6500006</v>
      </c>
      <c r="AR70" s="45">
        <f t="shared" si="13"/>
        <v>6277045495.4499998</v>
      </c>
      <c r="AS70" s="45">
        <f t="shared" si="13"/>
        <v>6083747306.9000006</v>
      </c>
      <c r="AT70" s="45">
        <f t="shared" si="13"/>
        <v>5954249904.1999989</v>
      </c>
      <c r="AU70" s="45">
        <f t="shared" si="13"/>
        <v>5979473018.6699991</v>
      </c>
      <c r="AV70" s="45">
        <f t="shared" si="13"/>
        <v>5702242088.3999996</v>
      </c>
      <c r="AW70" s="45">
        <f t="shared" si="13"/>
        <v>5602896259.3299999</v>
      </c>
      <c r="AX70" s="45">
        <f t="shared" si="13"/>
        <v>5630226389.2300005</v>
      </c>
      <c r="AY70" s="45">
        <f t="shared" si="13"/>
        <v>5610383691.54</v>
      </c>
      <c r="AZ70" s="45">
        <f t="shared" si="13"/>
        <v>5742365500.0299997</v>
      </c>
      <c r="BA70" s="45">
        <f t="shared" si="13"/>
        <v>5519718719.7200003</v>
      </c>
      <c r="BB70" s="45">
        <f t="shared" si="13"/>
        <v>5521624770.0500002</v>
      </c>
      <c r="BC70" s="45">
        <f t="shared" si="13"/>
        <v>5679940370.9499998</v>
      </c>
      <c r="BD70" s="45">
        <f t="shared" si="13"/>
        <v>5846712764.1299992</v>
      </c>
      <c r="BE70" s="45">
        <f t="shared" si="13"/>
        <v>5652888376.0199995</v>
      </c>
      <c r="BF70" s="45">
        <f t="shared" si="13"/>
        <v>5507281537.8100004</v>
      </c>
      <c r="BG70" s="45">
        <f t="shared" si="13"/>
        <v>5766777137.2200003</v>
      </c>
      <c r="BH70" s="45">
        <f t="shared" si="13"/>
        <v>5679446660.1499996</v>
      </c>
      <c r="BI70" s="45">
        <f t="shared" si="13"/>
        <v>5510735701.04</v>
      </c>
      <c r="BJ70" s="45">
        <f t="shared" si="13"/>
        <v>5618637937.1800003</v>
      </c>
      <c r="BK70" s="45">
        <f t="shared" si="13"/>
        <v>6020657540.6999998</v>
      </c>
      <c r="BL70" s="45">
        <f t="shared" si="13"/>
        <v>5957640591.7299986</v>
      </c>
      <c r="BM70" s="45">
        <f t="shared" si="13"/>
        <v>5623524658.5500002</v>
      </c>
      <c r="BN70" s="45">
        <f t="shared" si="13"/>
        <v>5528804685.8000002</v>
      </c>
      <c r="BO70" s="45">
        <f t="shared" ref="BO70:CL70" si="14">BO17+BO19+BO69</f>
        <v>5560543335.1699991</v>
      </c>
      <c r="BP70" s="45">
        <f t="shared" si="14"/>
        <v>5297951558.5900002</v>
      </c>
      <c r="BQ70" s="45">
        <f t="shared" si="14"/>
        <v>5039796175.749999</v>
      </c>
      <c r="BR70" s="45">
        <f t="shared" si="14"/>
        <v>5114612634.25</v>
      </c>
      <c r="BS70" s="45">
        <f t="shared" si="14"/>
        <v>4666968162.75</v>
      </c>
      <c r="BT70" s="45">
        <f t="shared" si="14"/>
        <v>5043729164.71</v>
      </c>
      <c r="BU70" s="45">
        <f t="shared" si="14"/>
        <v>4706644952.9300003</v>
      </c>
      <c r="BV70" s="45">
        <f t="shared" si="14"/>
        <v>3010962349.8500004</v>
      </c>
      <c r="BW70" s="45">
        <f t="shared" si="14"/>
        <v>2841796941.2199998</v>
      </c>
      <c r="BX70" s="45">
        <f t="shared" si="14"/>
        <v>1814177805.9299998</v>
      </c>
      <c r="BY70" s="45">
        <f t="shared" si="14"/>
        <v>1685492516.3</v>
      </c>
      <c r="BZ70" s="45">
        <f t="shared" si="14"/>
        <v>612314478.98000002</v>
      </c>
      <c r="CA70" s="45">
        <f t="shared" si="14"/>
        <v>1689149770.2499998</v>
      </c>
      <c r="CB70" s="45">
        <f t="shared" si="14"/>
        <v>718577940.61000001</v>
      </c>
      <c r="CC70" s="45">
        <f t="shared" si="14"/>
        <v>1258879922.4500003</v>
      </c>
      <c r="CD70" s="45">
        <f t="shared" si="14"/>
        <v>694151416.42000008</v>
      </c>
      <c r="CE70" s="45">
        <f t="shared" si="14"/>
        <v>1037203000</v>
      </c>
      <c r="CF70" s="45">
        <f t="shared" si="14"/>
        <v>564216151.12</v>
      </c>
      <c r="CG70" s="45">
        <f t="shared" si="14"/>
        <v>795546945.86000001</v>
      </c>
      <c r="CH70" s="45">
        <f t="shared" si="14"/>
        <v>0</v>
      </c>
      <c r="CI70" s="45">
        <f t="shared" si="14"/>
        <v>66170000</v>
      </c>
      <c r="CJ70" s="45">
        <f t="shared" si="14"/>
        <v>0</v>
      </c>
      <c r="CK70" s="45">
        <f t="shared" si="14"/>
        <v>0</v>
      </c>
      <c r="CL70" s="45">
        <f t="shared" si="14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5">SUM(F73:F77)</f>
        <v>34741589.369999997</v>
      </c>
      <c r="G72" s="35">
        <f t="shared" si="15"/>
        <v>29746038.039999999</v>
      </c>
      <c r="H72" s="35">
        <f t="shared" si="15"/>
        <v>29581140.57</v>
      </c>
      <c r="I72" s="35">
        <f t="shared" si="15"/>
        <v>29604185</v>
      </c>
      <c r="J72" s="35">
        <f t="shared" si="15"/>
        <v>48244185</v>
      </c>
      <c r="K72" s="35">
        <f t="shared" si="15"/>
        <v>39104185</v>
      </c>
      <c r="L72" s="35">
        <f t="shared" si="15"/>
        <v>43604185</v>
      </c>
      <c r="M72" s="35">
        <f t="shared" si="15"/>
        <v>50021405</v>
      </c>
      <c r="N72" s="35">
        <f t="shared" si="15"/>
        <v>51947150.439999998</v>
      </c>
      <c r="O72" s="35">
        <f t="shared" si="15"/>
        <v>62598855.009999998</v>
      </c>
      <c r="P72" s="35">
        <f t="shared" si="15"/>
        <v>166270000</v>
      </c>
      <c r="Q72" s="35">
        <f t="shared" si="15"/>
        <v>174252959.53999999</v>
      </c>
      <c r="R72" s="35">
        <f t="shared" si="15"/>
        <v>1577578269</v>
      </c>
      <c r="S72" s="35">
        <f t="shared" si="15"/>
        <v>1575329062.24</v>
      </c>
      <c r="T72" s="35">
        <f t="shared" si="15"/>
        <v>1585705084</v>
      </c>
      <c r="U72" s="35">
        <f t="shared" si="15"/>
        <v>1564361130.24</v>
      </c>
      <c r="V72" s="35">
        <f t="shared" si="15"/>
        <v>335631456</v>
      </c>
      <c r="W72" s="35">
        <f t="shared" si="15"/>
        <v>325646105.60000002</v>
      </c>
      <c r="X72" s="35">
        <f t="shared" si="15"/>
        <v>321500000</v>
      </c>
      <c r="Y72" s="35">
        <f t="shared" si="15"/>
        <v>1729100012</v>
      </c>
      <c r="Z72" s="35">
        <f t="shared" si="15"/>
        <v>1485885750</v>
      </c>
      <c r="AA72" s="35">
        <f t="shared" si="15"/>
        <v>310400000</v>
      </c>
      <c r="AB72" s="35">
        <f t="shared" si="15"/>
        <v>308340000</v>
      </c>
      <c r="AC72" s="35">
        <f t="shared" si="15"/>
        <v>332973674.69999999</v>
      </c>
      <c r="AD72" s="35">
        <f t="shared" si="15"/>
        <v>246500000</v>
      </c>
      <c r="AE72" s="35">
        <f t="shared" si="15"/>
        <v>316500000</v>
      </c>
      <c r="AF72" s="35">
        <f t="shared" si="15"/>
        <v>226500000</v>
      </c>
      <c r="AG72" s="35">
        <f t="shared" si="15"/>
        <v>231084536</v>
      </c>
      <c r="AH72" s="35">
        <f t="shared" si="15"/>
        <v>306719387</v>
      </c>
      <c r="AI72" s="35">
        <f t="shared" si="15"/>
        <v>383500000</v>
      </c>
      <c r="AJ72" s="35">
        <f t="shared" si="15"/>
        <v>413500000</v>
      </c>
      <c r="AK72" s="35">
        <f t="shared" si="15"/>
        <v>445500000</v>
      </c>
      <c r="AL72" s="35">
        <f t="shared" si="15"/>
        <v>610000000</v>
      </c>
      <c r="AM72" s="35">
        <f t="shared" si="15"/>
        <v>276500000</v>
      </c>
      <c r="AN72" s="35">
        <f t="shared" si="15"/>
        <v>331500000</v>
      </c>
      <c r="AO72" s="35">
        <f t="shared" si="15"/>
        <v>355500000</v>
      </c>
      <c r="AP72" s="35">
        <f t="shared" si="15"/>
        <v>323500000</v>
      </c>
      <c r="AQ72" s="35">
        <f t="shared" si="15"/>
        <v>394555709</v>
      </c>
      <c r="AR72" s="35">
        <f t="shared" si="15"/>
        <v>365500000</v>
      </c>
      <c r="AS72" s="35">
        <f t="shared" si="15"/>
        <v>368715528</v>
      </c>
      <c r="AT72" s="35">
        <f t="shared" si="15"/>
        <v>330500000</v>
      </c>
      <c r="AU72" s="35">
        <f t="shared" si="15"/>
        <v>354000000</v>
      </c>
      <c r="AV72" s="35">
        <f t="shared" si="15"/>
        <v>379475880</v>
      </c>
      <c r="AW72" s="35">
        <f t="shared" si="15"/>
        <v>373275880</v>
      </c>
      <c r="AX72" s="35">
        <f t="shared" si="15"/>
        <v>365000000</v>
      </c>
      <c r="AY72" s="35">
        <f t="shared" si="15"/>
        <v>421000000</v>
      </c>
      <c r="AZ72" s="35">
        <f t="shared" si="15"/>
        <v>535300000</v>
      </c>
      <c r="BA72" s="35">
        <f t="shared" si="15"/>
        <v>570500000</v>
      </c>
      <c r="BB72" s="35">
        <f t="shared" si="15"/>
        <v>557300000</v>
      </c>
      <c r="BC72" s="35">
        <f t="shared" si="15"/>
        <v>619300000</v>
      </c>
      <c r="BD72" s="35">
        <f t="shared" si="15"/>
        <v>681037000</v>
      </c>
      <c r="BE72" s="35">
        <f t="shared" si="15"/>
        <v>639537000</v>
      </c>
      <c r="BF72" s="35">
        <f t="shared" si="15"/>
        <v>616290000</v>
      </c>
      <c r="BG72" s="35">
        <f t="shared" si="15"/>
        <v>719730000</v>
      </c>
      <c r="BH72" s="35">
        <f t="shared" si="15"/>
        <v>765960000</v>
      </c>
      <c r="BI72" s="35">
        <f t="shared" si="15"/>
        <v>781494800</v>
      </c>
      <c r="BJ72" s="35">
        <f t="shared" si="15"/>
        <v>853264800</v>
      </c>
      <c r="BK72" s="35">
        <f t="shared" si="15"/>
        <v>1298364800</v>
      </c>
      <c r="BL72" s="35">
        <f t="shared" si="15"/>
        <v>1431067000</v>
      </c>
      <c r="BM72" s="35">
        <f t="shared" si="15"/>
        <v>1337907000</v>
      </c>
      <c r="BN72" s="35">
        <f t="shared" si="15"/>
        <v>1219227000</v>
      </c>
      <c r="BO72" s="35">
        <f t="shared" si="15"/>
        <v>1181777000</v>
      </c>
      <c r="BP72" s="35">
        <f t="shared" si="15"/>
        <v>1155797000</v>
      </c>
      <c r="BQ72" s="35">
        <f t="shared" si="15"/>
        <v>1063637000</v>
      </c>
      <c r="BR72" s="35">
        <f t="shared" ref="BR72:CL72" si="16">SUM(BR73:BR77)</f>
        <v>1029712000</v>
      </c>
      <c r="BS72" s="35">
        <f t="shared" si="16"/>
        <v>872476630</v>
      </c>
      <c r="BT72" s="35">
        <f t="shared" si="16"/>
        <v>900951400</v>
      </c>
      <c r="BU72" s="35">
        <f t="shared" si="16"/>
        <v>847357990</v>
      </c>
      <c r="BV72" s="35">
        <f t="shared" si="16"/>
        <v>730478991.92999995</v>
      </c>
      <c r="BW72" s="35">
        <f t="shared" si="16"/>
        <v>711228840</v>
      </c>
      <c r="BX72" s="35">
        <f t="shared" si="16"/>
        <v>604506560</v>
      </c>
      <c r="BY72" s="35">
        <f t="shared" si="16"/>
        <v>636557000</v>
      </c>
      <c r="BZ72" s="35">
        <f t="shared" si="16"/>
        <v>0</v>
      </c>
      <c r="CA72" s="35">
        <f t="shared" si="16"/>
        <v>529874106</v>
      </c>
      <c r="CB72" s="35">
        <f t="shared" si="16"/>
        <v>0</v>
      </c>
      <c r="CC72" s="35">
        <f t="shared" si="16"/>
        <v>321895360</v>
      </c>
      <c r="CD72" s="35">
        <f t="shared" si="16"/>
        <v>0</v>
      </c>
      <c r="CE72" s="35">
        <f t="shared" si="16"/>
        <v>186794000</v>
      </c>
      <c r="CF72" s="35">
        <f t="shared" si="16"/>
        <v>0</v>
      </c>
      <c r="CG72" s="35">
        <f t="shared" si="16"/>
        <v>234825329.94</v>
      </c>
      <c r="CH72" s="35">
        <f t="shared" si="16"/>
        <v>0</v>
      </c>
      <c r="CI72" s="35">
        <f t="shared" si="16"/>
        <v>0</v>
      </c>
      <c r="CJ72" s="35">
        <f t="shared" si="16"/>
        <v>0</v>
      </c>
      <c r="CK72" s="35">
        <f t="shared" si="16"/>
        <v>0</v>
      </c>
      <c r="CL72" s="35">
        <f t="shared" si="16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7">SUM(F82:F85)</f>
        <v>1366071.97</v>
      </c>
      <c r="G81" s="35">
        <f t="shared" si="17"/>
        <v>1366071.97</v>
      </c>
      <c r="H81" s="35">
        <f t="shared" si="17"/>
        <v>1539766.99</v>
      </c>
      <c r="I81" s="35">
        <f t="shared" si="17"/>
        <v>1788900.19</v>
      </c>
      <c r="J81" s="35">
        <f t="shared" si="17"/>
        <v>1423744.13</v>
      </c>
      <c r="K81" s="35">
        <f t="shared" si="17"/>
        <v>1428379.59</v>
      </c>
      <c r="L81" s="35">
        <f t="shared" si="17"/>
        <v>1450763.23</v>
      </c>
      <c r="M81" s="35">
        <f t="shared" si="17"/>
        <v>1308704.6599999999</v>
      </c>
      <c r="N81" s="35">
        <f t="shared" si="17"/>
        <v>817573.56</v>
      </c>
      <c r="O81" s="35">
        <f t="shared" si="17"/>
        <v>52378554.380000003</v>
      </c>
      <c r="P81" s="35">
        <f t="shared" si="17"/>
        <v>1466868147.4699998</v>
      </c>
      <c r="Q81" s="35">
        <f t="shared" si="17"/>
        <v>1428355122.4000001</v>
      </c>
      <c r="R81" s="35">
        <f t="shared" si="17"/>
        <v>171702112.31999999</v>
      </c>
      <c r="S81" s="35">
        <f t="shared" si="17"/>
        <v>177331468.66</v>
      </c>
      <c r="T81" s="35">
        <f t="shared" si="17"/>
        <v>180226087.94</v>
      </c>
      <c r="U81" s="35">
        <f t="shared" si="17"/>
        <v>181937445.48000002</v>
      </c>
      <c r="V81" s="35">
        <f t="shared" si="17"/>
        <v>1732671689.8099999</v>
      </c>
      <c r="W81" s="35">
        <f t="shared" si="17"/>
        <v>1743772937.4200001</v>
      </c>
      <c r="X81" s="35">
        <f t="shared" si="17"/>
        <v>1810935452.3</v>
      </c>
      <c r="Y81" s="35">
        <f t="shared" si="17"/>
        <v>1833199154.77</v>
      </c>
      <c r="Z81" s="35">
        <f t="shared" si="17"/>
        <v>689053458.50999999</v>
      </c>
      <c r="AA81" s="35">
        <f t="shared" si="17"/>
        <v>5908650</v>
      </c>
      <c r="AB81" s="35">
        <f t="shared" si="17"/>
        <v>5908650</v>
      </c>
      <c r="AC81" s="35">
        <f t="shared" si="17"/>
        <v>1526249776.8900001</v>
      </c>
      <c r="AD81" s="35">
        <f t="shared" si="17"/>
        <v>69252904.219999999</v>
      </c>
      <c r="AE81" s="35">
        <f t="shared" si="17"/>
        <v>69252904.219999999</v>
      </c>
      <c r="AF81" s="35">
        <f t="shared" si="17"/>
        <v>69252904.219999999</v>
      </c>
      <c r="AG81" s="35">
        <f t="shared" si="17"/>
        <v>69302904.219999999</v>
      </c>
      <c r="AH81" s="35">
        <f t="shared" si="17"/>
        <v>68099970.890000001</v>
      </c>
      <c r="AI81" s="35">
        <f t="shared" si="17"/>
        <v>69219970.890000001</v>
      </c>
      <c r="AJ81" s="35">
        <f t="shared" si="17"/>
        <v>179920805.53999999</v>
      </c>
      <c r="AK81" s="35">
        <f t="shared" si="17"/>
        <v>171923493.25</v>
      </c>
      <c r="AL81" s="35">
        <f t="shared" si="17"/>
        <v>19760898.689999998</v>
      </c>
      <c r="AM81" s="35">
        <f t="shared" si="17"/>
        <v>10321944.68</v>
      </c>
      <c r="AN81" s="35">
        <f t="shared" si="17"/>
        <v>10513926.109999999</v>
      </c>
      <c r="AO81" s="35">
        <f t="shared" si="17"/>
        <v>9846225.4800000004</v>
      </c>
      <c r="AP81" s="35">
        <f t="shared" si="17"/>
        <v>11865866.890000001</v>
      </c>
      <c r="AQ81" s="35">
        <f t="shared" si="17"/>
        <v>11887506.210000001</v>
      </c>
      <c r="AR81" s="35">
        <f t="shared" si="17"/>
        <v>11925967.020000001</v>
      </c>
      <c r="AS81" s="35">
        <f t="shared" si="17"/>
        <v>11990733.82</v>
      </c>
      <c r="AT81" s="35">
        <f t="shared" si="17"/>
        <v>12010785.57</v>
      </c>
      <c r="AU81" s="35">
        <f t="shared" si="17"/>
        <v>12023464.18</v>
      </c>
      <c r="AV81" s="35">
        <f t="shared" si="17"/>
        <v>12063125.65</v>
      </c>
      <c r="AW81" s="35">
        <f t="shared" si="17"/>
        <v>12086296.370000001</v>
      </c>
      <c r="AX81" s="35">
        <f t="shared" si="17"/>
        <v>70614661.820000008</v>
      </c>
      <c r="AY81" s="35">
        <f t="shared" si="17"/>
        <v>72394538.739999995</v>
      </c>
      <c r="AZ81" s="35">
        <f t="shared" si="17"/>
        <v>32061146.199999999</v>
      </c>
      <c r="BA81" s="35">
        <f t="shared" si="17"/>
        <v>46232360.640000001</v>
      </c>
      <c r="BB81" s="35">
        <f t="shared" si="17"/>
        <v>51843307.269999996</v>
      </c>
      <c r="BC81" s="35">
        <f t="shared" si="17"/>
        <v>40128372.75</v>
      </c>
      <c r="BD81" s="35">
        <f t="shared" si="17"/>
        <v>69736905.150000006</v>
      </c>
      <c r="BE81" s="35">
        <f t="shared" si="17"/>
        <v>70569905.150000006</v>
      </c>
      <c r="BF81" s="35">
        <f t="shared" si="17"/>
        <v>48741007.269999996</v>
      </c>
      <c r="BG81" s="35">
        <f t="shared" si="17"/>
        <v>48620507.269999996</v>
      </c>
      <c r="BH81" s="35">
        <f t="shared" si="17"/>
        <v>68980507.269999996</v>
      </c>
      <c r="BI81" s="35">
        <f t="shared" si="17"/>
        <v>69056710.560000002</v>
      </c>
      <c r="BJ81" s="35">
        <f t="shared" si="17"/>
        <v>87842440.019999996</v>
      </c>
      <c r="BK81" s="35">
        <f t="shared" si="17"/>
        <v>68841378.019999996</v>
      </c>
      <c r="BL81" s="35">
        <f t="shared" si="17"/>
        <v>53375118.140000001</v>
      </c>
      <c r="BM81" s="35">
        <f t="shared" si="17"/>
        <v>53342793.359999999</v>
      </c>
      <c r="BN81" s="35">
        <f t="shared" si="17"/>
        <v>52051084.32</v>
      </c>
      <c r="BO81" s="35">
        <f t="shared" si="17"/>
        <v>52051884.32</v>
      </c>
      <c r="BP81" s="35">
        <f t="shared" si="17"/>
        <v>21130129.289999999</v>
      </c>
      <c r="BQ81" s="35">
        <f t="shared" si="17"/>
        <v>6245819.1200000001</v>
      </c>
      <c r="BR81" s="35">
        <f t="shared" ref="BR81:CG81" si="18">SUM(BR82:BR85)</f>
        <v>16990316.530000001</v>
      </c>
      <c r="BS81" s="35">
        <f t="shared" si="18"/>
        <v>-14687918.809999999</v>
      </c>
      <c r="BT81" s="35">
        <f t="shared" si="18"/>
        <v>22680037.130000003</v>
      </c>
      <c r="BU81" s="35">
        <f t="shared" si="18"/>
        <v>22680037.130000003</v>
      </c>
      <c r="BV81" s="35">
        <f t="shared" si="18"/>
        <v>21407005.670000002</v>
      </c>
      <c r="BW81" s="35">
        <f t="shared" si="18"/>
        <v>23332005.670000002</v>
      </c>
      <c r="BX81" s="35">
        <f t="shared" si="18"/>
        <v>10694835</v>
      </c>
      <c r="BY81" s="35">
        <f t="shared" si="18"/>
        <v>7978028.7800000003</v>
      </c>
      <c r="BZ81" s="35">
        <f t="shared" si="18"/>
        <v>0</v>
      </c>
      <c r="CA81" s="35">
        <f t="shared" si="18"/>
        <v>8938271.4700000007</v>
      </c>
      <c r="CB81" s="35">
        <f t="shared" si="18"/>
        <v>0</v>
      </c>
      <c r="CC81" s="35">
        <f t="shared" si="18"/>
        <v>10202357.359999999</v>
      </c>
      <c r="CD81" s="35">
        <f t="shared" si="18"/>
        <v>0</v>
      </c>
      <c r="CE81" s="35">
        <f t="shared" si="18"/>
        <v>4410000</v>
      </c>
      <c r="CF81" s="35">
        <f t="shared" si="18"/>
        <v>0</v>
      </c>
      <c r="CG81" s="35">
        <f t="shared" si="18"/>
        <v>55535094.369999997</v>
      </c>
      <c r="CH81" s="35">
        <f>SUM(CH82:CH85)</f>
        <v>0</v>
      </c>
      <c r="CI81" s="35">
        <f t="shared" ref="CI81" si="19">SUM(CI82:CI85)</f>
        <v>0</v>
      </c>
      <c r="CJ81" s="35">
        <f t="shared" ref="CJ81" si="20">SUM(CJ82:CJ85)</f>
        <v>0</v>
      </c>
      <c r="CK81" s="35">
        <f t="shared" ref="CK81" si="21"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 t="shared" ref="C89:BN89" si="22">SUM(C73:C85)</f>
        <v>39247185</v>
      </c>
      <c r="D89" s="41">
        <f t="shared" si="22"/>
        <v>39996591.140000001</v>
      </c>
      <c r="E89" s="41">
        <f>E72+E81</f>
        <v>35496591.159999996</v>
      </c>
      <c r="F89" s="41">
        <f t="shared" ref="F89:BQ89" si="23">F72+F81</f>
        <v>36107661.339999996</v>
      </c>
      <c r="G89" s="41">
        <f t="shared" si="23"/>
        <v>31112110.009999998</v>
      </c>
      <c r="H89" s="41">
        <f t="shared" si="23"/>
        <v>31120907.559999999</v>
      </c>
      <c r="I89" s="41">
        <f t="shared" si="23"/>
        <v>31393085.190000001</v>
      </c>
      <c r="J89" s="41">
        <f t="shared" si="23"/>
        <v>49667929.130000003</v>
      </c>
      <c r="K89" s="41">
        <f t="shared" si="23"/>
        <v>40532564.590000004</v>
      </c>
      <c r="L89" s="41">
        <f t="shared" si="23"/>
        <v>45054948.229999997</v>
      </c>
      <c r="M89" s="41">
        <f t="shared" si="23"/>
        <v>51330109.659999996</v>
      </c>
      <c r="N89" s="41">
        <f t="shared" si="23"/>
        <v>52764724</v>
      </c>
      <c r="O89" s="41">
        <f t="shared" si="23"/>
        <v>114977409.39</v>
      </c>
      <c r="P89" s="41">
        <f t="shared" si="23"/>
        <v>1633138147.4699998</v>
      </c>
      <c r="Q89" s="41">
        <f t="shared" si="23"/>
        <v>1602608081.9400001</v>
      </c>
      <c r="R89" s="41">
        <f t="shared" si="23"/>
        <v>1749280381.3199999</v>
      </c>
      <c r="S89" s="41">
        <f t="shared" si="23"/>
        <v>1752660530.9000001</v>
      </c>
      <c r="T89" s="41">
        <f t="shared" si="23"/>
        <v>1765931171.9400001</v>
      </c>
      <c r="U89" s="41">
        <f t="shared" si="23"/>
        <v>1746298575.72</v>
      </c>
      <c r="V89" s="41">
        <f t="shared" si="23"/>
        <v>2068303145.8099999</v>
      </c>
      <c r="W89" s="41">
        <f t="shared" si="23"/>
        <v>2069419043.02</v>
      </c>
      <c r="X89" s="41">
        <f t="shared" si="23"/>
        <v>2132435452.3</v>
      </c>
      <c r="Y89" s="41">
        <f t="shared" si="23"/>
        <v>3562299166.77</v>
      </c>
      <c r="Z89" s="41">
        <f t="shared" si="23"/>
        <v>2174939208.5100002</v>
      </c>
      <c r="AA89" s="41">
        <f t="shared" si="23"/>
        <v>316308650</v>
      </c>
      <c r="AB89" s="41">
        <f t="shared" si="23"/>
        <v>314248650</v>
      </c>
      <c r="AC89" s="41">
        <f t="shared" si="23"/>
        <v>1859223451.5900002</v>
      </c>
      <c r="AD89" s="41">
        <f t="shared" si="23"/>
        <v>315752904.22000003</v>
      </c>
      <c r="AE89" s="41">
        <f t="shared" si="23"/>
        <v>385752904.22000003</v>
      </c>
      <c r="AF89" s="41">
        <f t="shared" si="23"/>
        <v>295752904.22000003</v>
      </c>
      <c r="AG89" s="41">
        <f t="shared" si="23"/>
        <v>300387440.22000003</v>
      </c>
      <c r="AH89" s="41">
        <f t="shared" si="23"/>
        <v>374819357.88999999</v>
      </c>
      <c r="AI89" s="41">
        <f t="shared" si="23"/>
        <v>452719970.88999999</v>
      </c>
      <c r="AJ89" s="41">
        <f t="shared" si="23"/>
        <v>593420805.53999996</v>
      </c>
      <c r="AK89" s="41">
        <f t="shared" si="23"/>
        <v>617423493.25</v>
      </c>
      <c r="AL89" s="41">
        <f t="shared" si="23"/>
        <v>629760898.69000006</v>
      </c>
      <c r="AM89" s="41">
        <f t="shared" si="23"/>
        <v>286821944.68000001</v>
      </c>
      <c r="AN89" s="41">
        <f t="shared" si="23"/>
        <v>342013926.11000001</v>
      </c>
      <c r="AO89" s="41">
        <f t="shared" si="23"/>
        <v>365346225.48000002</v>
      </c>
      <c r="AP89" s="41">
        <f t="shared" si="23"/>
        <v>335365866.88999999</v>
      </c>
      <c r="AQ89" s="41">
        <f t="shared" si="23"/>
        <v>406443215.20999998</v>
      </c>
      <c r="AR89" s="41">
        <f t="shared" si="23"/>
        <v>377425967.01999998</v>
      </c>
      <c r="AS89" s="41">
        <f t="shared" si="23"/>
        <v>380706261.81999999</v>
      </c>
      <c r="AT89" s="41">
        <f t="shared" si="23"/>
        <v>342510785.56999999</v>
      </c>
      <c r="AU89" s="41">
        <f t="shared" si="23"/>
        <v>366023464.18000001</v>
      </c>
      <c r="AV89" s="41">
        <f t="shared" si="23"/>
        <v>391539005.64999998</v>
      </c>
      <c r="AW89" s="41">
        <f t="shared" si="23"/>
        <v>385362176.37</v>
      </c>
      <c r="AX89" s="41">
        <f t="shared" si="23"/>
        <v>435614661.81999999</v>
      </c>
      <c r="AY89" s="41">
        <f t="shared" si="23"/>
        <v>493394538.74000001</v>
      </c>
      <c r="AZ89" s="41">
        <f t="shared" si="23"/>
        <v>567361146.20000005</v>
      </c>
      <c r="BA89" s="41">
        <f t="shared" si="23"/>
        <v>616732360.63999999</v>
      </c>
      <c r="BB89" s="41">
        <f t="shared" si="23"/>
        <v>609143307.26999998</v>
      </c>
      <c r="BC89" s="41">
        <f t="shared" si="23"/>
        <v>659428372.75</v>
      </c>
      <c r="BD89" s="41">
        <f t="shared" si="23"/>
        <v>750773905.14999998</v>
      </c>
      <c r="BE89" s="41">
        <f t="shared" si="23"/>
        <v>710106905.14999998</v>
      </c>
      <c r="BF89" s="41">
        <f t="shared" si="23"/>
        <v>665031007.26999998</v>
      </c>
      <c r="BG89" s="41">
        <f t="shared" si="23"/>
        <v>768350507.26999998</v>
      </c>
      <c r="BH89" s="41">
        <f t="shared" si="23"/>
        <v>834940507.26999998</v>
      </c>
      <c r="BI89" s="41">
        <f t="shared" si="23"/>
        <v>850551510.55999994</v>
      </c>
      <c r="BJ89" s="41">
        <f t="shared" si="23"/>
        <v>941107240.01999998</v>
      </c>
      <c r="BK89" s="41">
        <f t="shared" si="23"/>
        <v>1367206178.02</v>
      </c>
      <c r="BL89" s="41">
        <f t="shared" si="23"/>
        <v>1484442118.1400001</v>
      </c>
      <c r="BM89" s="41">
        <f t="shared" si="23"/>
        <v>1391249793.3599999</v>
      </c>
      <c r="BN89" s="41">
        <f t="shared" si="23"/>
        <v>1271278084.3199999</v>
      </c>
      <c r="BO89" s="41">
        <f t="shared" si="23"/>
        <v>1233828884.3199999</v>
      </c>
      <c r="BP89" s="41">
        <f t="shared" si="23"/>
        <v>1176927129.29</v>
      </c>
      <c r="BQ89" s="41">
        <f t="shared" si="23"/>
        <v>1069882819.12</v>
      </c>
      <c r="BR89" s="41">
        <f t="shared" ref="BR89:CK89" si="24">BR72+BR81</f>
        <v>1046702316.53</v>
      </c>
      <c r="BS89" s="41">
        <f t="shared" si="24"/>
        <v>857788711.19000006</v>
      </c>
      <c r="BT89" s="41">
        <f t="shared" si="24"/>
        <v>923631437.13</v>
      </c>
      <c r="BU89" s="41">
        <f t="shared" si="24"/>
        <v>870038027.13</v>
      </c>
      <c r="BV89" s="41">
        <f t="shared" si="24"/>
        <v>751885997.5999999</v>
      </c>
      <c r="BW89" s="41">
        <f t="shared" si="24"/>
        <v>734560845.66999996</v>
      </c>
      <c r="BX89" s="41">
        <f t="shared" si="24"/>
        <v>615201395</v>
      </c>
      <c r="BY89" s="41">
        <f t="shared" si="24"/>
        <v>644535028.77999997</v>
      </c>
      <c r="BZ89" s="41">
        <f t="shared" si="24"/>
        <v>0</v>
      </c>
      <c r="CA89" s="41">
        <f t="shared" si="24"/>
        <v>538812377.47000003</v>
      </c>
      <c r="CB89" s="41">
        <f t="shared" si="24"/>
        <v>0</v>
      </c>
      <c r="CC89" s="41">
        <f t="shared" si="24"/>
        <v>332097717.36000001</v>
      </c>
      <c r="CD89" s="41">
        <f t="shared" si="24"/>
        <v>0</v>
      </c>
      <c r="CE89" s="41">
        <f t="shared" si="24"/>
        <v>191204000</v>
      </c>
      <c r="CF89" s="41">
        <f t="shared" si="24"/>
        <v>0</v>
      </c>
      <c r="CG89" s="41">
        <f t="shared" si="24"/>
        <v>290360424.31</v>
      </c>
      <c r="CH89" s="41">
        <f t="shared" si="24"/>
        <v>0</v>
      </c>
      <c r="CI89" s="41">
        <f t="shared" si="24"/>
        <v>0</v>
      </c>
      <c r="CJ89" s="41">
        <f t="shared" si="24"/>
        <v>0</v>
      </c>
      <c r="CK89" s="41">
        <f t="shared" si="24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357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 t="shared" ref="C107:D107" si="25">C102+C103</f>
        <v>12221434455.6</v>
      </c>
      <c r="D107" s="41">
        <f t="shared" si="25"/>
        <v>12912562278.25</v>
      </c>
      <c r="E107" s="41">
        <f>E102+E103</f>
        <v>12430597523.120001</v>
      </c>
      <c r="F107" s="41">
        <f t="shared" ref="F107:BQ107" si="26">F102+F103</f>
        <v>12029747314.17</v>
      </c>
      <c r="G107" s="41">
        <f t="shared" si="26"/>
        <v>11334539158.960001</v>
      </c>
      <c r="H107" s="41">
        <f t="shared" si="26"/>
        <v>11991421359.690001</v>
      </c>
      <c r="I107" s="41">
        <f t="shared" si="26"/>
        <v>11590462217.709999</v>
      </c>
      <c r="J107" s="41">
        <f t="shared" si="26"/>
        <v>11154331271.540001</v>
      </c>
      <c r="K107" s="41">
        <f t="shared" si="26"/>
        <v>10473866210.700001</v>
      </c>
      <c r="L107" s="41">
        <f t="shared" si="26"/>
        <v>10836235085.610001</v>
      </c>
      <c r="M107" s="41">
        <f t="shared" si="26"/>
        <v>10486485399.58</v>
      </c>
      <c r="N107" s="41">
        <f t="shared" si="26"/>
        <v>10150002302.440001</v>
      </c>
      <c r="O107" s="41">
        <f t="shared" si="26"/>
        <v>8793691583.7700005</v>
      </c>
      <c r="P107" s="41">
        <f t="shared" si="26"/>
        <v>8920783725.5499992</v>
      </c>
      <c r="Q107" s="41">
        <f t="shared" si="26"/>
        <v>8611904664.5600014</v>
      </c>
      <c r="R107" s="41">
        <f t="shared" si="26"/>
        <v>8393095128.8099995</v>
      </c>
      <c r="S107" s="41">
        <f t="shared" si="26"/>
        <v>7812351103.7199993</v>
      </c>
      <c r="T107" s="41">
        <f t="shared" si="26"/>
        <v>8385910806.2999992</v>
      </c>
      <c r="U107" s="41">
        <f t="shared" si="26"/>
        <v>8066834877.1999998</v>
      </c>
      <c r="V107" s="41">
        <f t="shared" si="26"/>
        <v>7641813652.96</v>
      </c>
      <c r="W107" s="41">
        <f t="shared" si="26"/>
        <v>6963644930.1800003</v>
      </c>
      <c r="X107" s="41">
        <f t="shared" si="26"/>
        <v>7347942839.2099991</v>
      </c>
      <c r="Y107" s="41">
        <f t="shared" si="26"/>
        <v>7130400389.7700005</v>
      </c>
      <c r="Z107" s="41">
        <f t="shared" si="26"/>
        <v>7074987759.5700006</v>
      </c>
      <c r="AA107" s="41">
        <f t="shared" si="26"/>
        <v>7912902249.2399998</v>
      </c>
      <c r="AB107" s="41">
        <f t="shared" si="26"/>
        <v>8229113686.3800001</v>
      </c>
      <c r="AC107" s="41">
        <f t="shared" si="26"/>
        <v>7378235361.5500002</v>
      </c>
      <c r="AD107" s="41">
        <f t="shared" si="26"/>
        <v>7765121215.1100006</v>
      </c>
      <c r="AE107" s="41">
        <f t="shared" si="26"/>
        <v>7424720722.8400002</v>
      </c>
      <c r="AF107" s="41">
        <f t="shared" si="26"/>
        <v>7684546151.0600004</v>
      </c>
      <c r="AG107" s="41">
        <f t="shared" si="26"/>
        <v>7394374040.6700001</v>
      </c>
      <c r="AH107" s="41">
        <f t="shared" si="26"/>
        <v>7235412065.5400009</v>
      </c>
      <c r="AI107" s="41">
        <f t="shared" si="26"/>
        <v>6972334431.0200005</v>
      </c>
      <c r="AJ107" s="41">
        <f t="shared" si="26"/>
        <v>7020191577.8800001</v>
      </c>
      <c r="AK107" s="41">
        <f t="shared" si="26"/>
        <v>6768024834.9300003</v>
      </c>
      <c r="AL107" s="41">
        <f t="shared" si="26"/>
        <v>6797030814.6999998</v>
      </c>
      <c r="AM107" s="41">
        <f t="shared" si="26"/>
        <v>6382528020.7799997</v>
      </c>
      <c r="AN107" s="41">
        <f t="shared" si="26"/>
        <v>6425202958.3599997</v>
      </c>
      <c r="AO107" s="41">
        <f t="shared" si="26"/>
        <v>6194742861.0100002</v>
      </c>
      <c r="AP107" s="41">
        <f t="shared" si="26"/>
        <v>6018031781.5100002</v>
      </c>
      <c r="AQ107" s="41">
        <f t="shared" si="26"/>
        <v>5789448818.9700003</v>
      </c>
      <c r="AR107" s="41">
        <f t="shared" si="26"/>
        <v>5856405893.5</v>
      </c>
      <c r="AS107" s="41">
        <f t="shared" si="26"/>
        <v>5658752935.3099995</v>
      </c>
      <c r="AT107" s="41">
        <f t="shared" si="26"/>
        <v>5557397185.8000002</v>
      </c>
      <c r="AU107" s="41">
        <f t="shared" si="26"/>
        <v>5294185121.96</v>
      </c>
      <c r="AV107" s="41">
        <f t="shared" si="26"/>
        <v>5276800465.9200001</v>
      </c>
      <c r="AW107" s="41">
        <f t="shared" si="26"/>
        <v>5181853244.1599998</v>
      </c>
      <c r="AX107" s="41">
        <f t="shared" si="26"/>
        <v>5011911653.6700001</v>
      </c>
      <c r="AY107" s="41">
        <f t="shared" si="26"/>
        <v>4820276191.9800005</v>
      </c>
      <c r="AZ107" s="41">
        <f t="shared" si="26"/>
        <v>5010338103.3099995</v>
      </c>
      <c r="BA107" s="41">
        <f t="shared" si="26"/>
        <v>4895309580.54</v>
      </c>
      <c r="BB107" s="41">
        <f t="shared" si="26"/>
        <v>4888570328.4099998</v>
      </c>
      <c r="BC107" s="41">
        <f t="shared" si="26"/>
        <v>4807601462.5599995</v>
      </c>
      <c r="BD107" s="41">
        <f t="shared" si="26"/>
        <v>5068821027.4499998</v>
      </c>
      <c r="BE107" s="41">
        <f t="shared" si="26"/>
        <v>4926753550.1099997</v>
      </c>
      <c r="BF107" s="41">
        <f t="shared" si="26"/>
        <v>4808299542.9399996</v>
      </c>
      <c r="BG107" s="41">
        <f t="shared" si="26"/>
        <v>4751398778.0100002</v>
      </c>
      <c r="BH107" s="41">
        <f t="shared" si="26"/>
        <v>4805853655.8899994</v>
      </c>
      <c r="BI107" s="41">
        <f t="shared" si="26"/>
        <v>4648133672.2799997</v>
      </c>
      <c r="BJ107" s="41">
        <f t="shared" si="26"/>
        <v>4488942480.3800001</v>
      </c>
      <c r="BK107" s="41">
        <f t="shared" si="26"/>
        <v>4292913533.4400001</v>
      </c>
      <c r="BL107" s="41">
        <f t="shared" si="26"/>
        <v>4290589554.0599995</v>
      </c>
      <c r="BM107" s="41">
        <f t="shared" si="26"/>
        <v>4205781132.7200003</v>
      </c>
      <c r="BN107" s="41">
        <f t="shared" si="26"/>
        <v>4125320111.8000002</v>
      </c>
      <c r="BO107" s="41">
        <f t="shared" si="26"/>
        <v>3954027963.8899999</v>
      </c>
      <c r="BP107" s="41">
        <f t="shared" si="26"/>
        <v>3988477317.79</v>
      </c>
      <c r="BQ107" s="41">
        <f t="shared" si="26"/>
        <v>3875929168.1599998</v>
      </c>
      <c r="BR107" s="41">
        <f t="shared" ref="BR107:CK107" si="27">BR102+BR103</f>
        <v>3795371454.2599998</v>
      </c>
      <c r="BS107" s="41">
        <f t="shared" si="27"/>
        <v>3599541620.5700002</v>
      </c>
      <c r="BT107" s="41">
        <f t="shared" si="27"/>
        <v>3730682761.7999997</v>
      </c>
      <c r="BU107" s="41">
        <f t="shared" si="27"/>
        <v>3598065094.6499996</v>
      </c>
      <c r="BV107" s="41">
        <f t="shared" si="27"/>
        <v>2191187359.48</v>
      </c>
      <c r="BW107" s="41">
        <f t="shared" si="27"/>
        <v>2108608785.3</v>
      </c>
      <c r="BX107" s="41">
        <f t="shared" si="27"/>
        <v>1229599139.29</v>
      </c>
      <c r="BY107" s="41">
        <f t="shared" si="27"/>
        <v>1243135953.28</v>
      </c>
      <c r="BZ107" s="41">
        <f t="shared" si="27"/>
        <v>1174616352.97</v>
      </c>
      <c r="CA107" s="41">
        <f t="shared" si="27"/>
        <v>1161133968.48</v>
      </c>
      <c r="CB107" s="41">
        <f t="shared" si="27"/>
        <v>1183711862.5699999</v>
      </c>
      <c r="CC107" s="41">
        <f t="shared" si="27"/>
        <v>1077817608.03</v>
      </c>
      <c r="CD107" s="41">
        <f t="shared" si="27"/>
        <v>1076597245.8300002</v>
      </c>
      <c r="CE107" s="41">
        <f t="shared" si="27"/>
        <v>1079738000</v>
      </c>
      <c r="CF107" s="41">
        <f t="shared" si="27"/>
        <v>1004228352.76</v>
      </c>
      <c r="CG107" s="41">
        <f t="shared" si="27"/>
        <v>492689900.37</v>
      </c>
      <c r="CH107" s="41">
        <f t="shared" si="27"/>
        <v>203800000</v>
      </c>
      <c r="CI107" s="41">
        <f t="shared" si="27"/>
        <v>162870000</v>
      </c>
      <c r="CJ107" s="41">
        <f t="shared" si="27"/>
        <v>92660000</v>
      </c>
      <c r="CK107" s="41">
        <f t="shared" si="27"/>
        <v>75420000</v>
      </c>
      <c r="CL107" s="41">
        <f t="shared" ref="CL107" si="28"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9">SUM(C89+C107)</f>
        <v>12260681640.6</v>
      </c>
      <c r="D108" s="46">
        <f t="shared" si="29"/>
        <v>12952558869.389999</v>
      </c>
      <c r="E108" s="46">
        <f>E107-E89</f>
        <v>12395100931.960001</v>
      </c>
      <c r="F108" s="46">
        <f t="shared" si="29"/>
        <v>12065854975.51</v>
      </c>
      <c r="G108" s="46">
        <f t="shared" si="29"/>
        <v>11365651268.970001</v>
      </c>
      <c r="H108" s="46">
        <f t="shared" si="29"/>
        <v>12022542267.25</v>
      </c>
      <c r="I108" s="46">
        <f t="shared" si="29"/>
        <v>11621855302.9</v>
      </c>
      <c r="J108" s="46">
        <f t="shared" si="29"/>
        <v>11203999200.67</v>
      </c>
      <c r="K108" s="46">
        <f t="shared" si="29"/>
        <v>10514398775.290001</v>
      </c>
      <c r="L108" s="46">
        <f t="shared" si="29"/>
        <v>10881290033.84</v>
      </c>
      <c r="M108" s="46">
        <f t="shared" si="29"/>
        <v>10537815509.24</v>
      </c>
      <c r="N108" s="46">
        <f t="shared" si="29"/>
        <v>10202767026.440001</v>
      </c>
      <c r="O108" s="46">
        <f t="shared" si="29"/>
        <v>8908668993.1599998</v>
      </c>
      <c r="P108" s="46">
        <f t="shared" si="29"/>
        <v>10553921873.019999</v>
      </c>
      <c r="Q108" s="46">
        <f t="shared" si="29"/>
        <v>10214512746.500002</v>
      </c>
      <c r="R108" s="46">
        <f t="shared" si="29"/>
        <v>10142375510.129999</v>
      </c>
      <c r="S108" s="46">
        <f t="shared" si="29"/>
        <v>9565011634.6199989</v>
      </c>
      <c r="T108" s="46">
        <f t="shared" si="29"/>
        <v>10151841978.24</v>
      </c>
      <c r="U108" s="46">
        <f t="shared" si="29"/>
        <v>9813133452.9200001</v>
      </c>
      <c r="V108" s="46">
        <f t="shared" si="29"/>
        <v>9710116798.7700005</v>
      </c>
      <c r="W108" s="46">
        <f t="shared" si="29"/>
        <v>9033063973.2000008</v>
      </c>
      <c r="X108" s="46">
        <f t="shared" si="29"/>
        <v>9480378291.5099983</v>
      </c>
      <c r="Y108" s="46">
        <f t="shared" si="29"/>
        <v>10692699556.540001</v>
      </c>
      <c r="Z108" s="46">
        <f t="shared" si="29"/>
        <v>9249926968.0800018</v>
      </c>
      <c r="AA108" s="46">
        <f t="shared" si="29"/>
        <v>8229210899.2399998</v>
      </c>
      <c r="AB108" s="46">
        <f t="shared" si="29"/>
        <v>8543362336.3800001</v>
      </c>
      <c r="AC108" s="46">
        <f t="shared" si="29"/>
        <v>9237458813.1399994</v>
      </c>
      <c r="AD108" s="46">
        <f t="shared" si="29"/>
        <v>8080874119.3300009</v>
      </c>
      <c r="AE108" s="46">
        <f t="shared" si="29"/>
        <v>7810473627.0600004</v>
      </c>
      <c r="AF108" s="46">
        <f t="shared" si="29"/>
        <v>7980299055.2800007</v>
      </c>
      <c r="AG108" s="46">
        <f t="shared" si="29"/>
        <v>7694761480.8900003</v>
      </c>
      <c r="AH108" s="46">
        <f t="shared" si="29"/>
        <v>7610231423.4300013</v>
      </c>
      <c r="AI108" s="46">
        <f t="shared" si="29"/>
        <v>7425054401.9100008</v>
      </c>
      <c r="AJ108" s="46">
        <f t="shared" si="29"/>
        <v>7613612383.4200001</v>
      </c>
      <c r="AK108" s="46">
        <f t="shared" si="29"/>
        <v>7385448328.1800003</v>
      </c>
      <c r="AL108" s="46">
        <f t="shared" si="29"/>
        <v>7426791713.3899994</v>
      </c>
      <c r="AM108" s="46">
        <f t="shared" si="29"/>
        <v>6669349965.46</v>
      </c>
      <c r="AN108" s="46">
        <f t="shared" si="29"/>
        <v>6767216884.4699993</v>
      </c>
      <c r="AO108" s="46">
        <f t="shared" si="29"/>
        <v>6560089086.4899998</v>
      </c>
      <c r="AP108" s="46">
        <f t="shared" si="29"/>
        <v>6353397648.4000006</v>
      </c>
      <c r="AQ108" s="46">
        <f t="shared" si="29"/>
        <v>6195892034.1800003</v>
      </c>
      <c r="AR108" s="46">
        <f t="shared" si="29"/>
        <v>6233831860.5200005</v>
      </c>
      <c r="AS108" s="46">
        <f t="shared" si="29"/>
        <v>6039459197.1299992</v>
      </c>
      <c r="AT108" s="46">
        <f t="shared" si="29"/>
        <v>5899907971.3699999</v>
      </c>
      <c r="AU108" s="46">
        <f t="shared" si="29"/>
        <v>5660208586.1400003</v>
      </c>
      <c r="AV108" s="46">
        <f t="shared" si="29"/>
        <v>5668339471.5699997</v>
      </c>
      <c r="AW108" s="46">
        <f t="shared" si="29"/>
        <v>5567215420.5299997</v>
      </c>
      <c r="AX108" s="46">
        <f t="shared" si="29"/>
        <v>5447526315.4899998</v>
      </c>
      <c r="AY108" s="46">
        <f t="shared" si="29"/>
        <v>5313670730.7200003</v>
      </c>
      <c r="AZ108" s="46">
        <f t="shared" si="29"/>
        <v>5577699249.5099993</v>
      </c>
      <c r="BA108" s="46">
        <f t="shared" si="29"/>
        <v>5512041941.1800003</v>
      </c>
      <c r="BB108" s="46">
        <f t="shared" si="29"/>
        <v>5497713635.6800003</v>
      </c>
      <c r="BC108" s="46">
        <f t="shared" si="29"/>
        <v>5467029835.3099995</v>
      </c>
      <c r="BD108" s="46">
        <f t="shared" si="29"/>
        <v>5819594932.5999994</v>
      </c>
      <c r="BE108" s="46">
        <f t="shared" si="29"/>
        <v>5636860455.2599993</v>
      </c>
      <c r="BF108" s="46">
        <f t="shared" si="29"/>
        <v>5473330550.2099991</v>
      </c>
      <c r="BG108" s="46">
        <f t="shared" si="29"/>
        <v>5519749285.2800007</v>
      </c>
      <c r="BH108" s="46">
        <f t="shared" si="29"/>
        <v>5640794163.1599998</v>
      </c>
      <c r="BI108" s="46">
        <f t="shared" si="29"/>
        <v>5498685182.8400002</v>
      </c>
      <c r="BJ108" s="46">
        <f t="shared" si="29"/>
        <v>5430049720.3999996</v>
      </c>
      <c r="BK108" s="46">
        <f t="shared" si="29"/>
        <v>5660119711.46</v>
      </c>
      <c r="BL108" s="46">
        <f t="shared" si="29"/>
        <v>5775031672.1999998</v>
      </c>
      <c r="BM108" s="46">
        <f t="shared" si="29"/>
        <v>5597030926.0799999</v>
      </c>
      <c r="BN108" s="46">
        <f t="shared" si="29"/>
        <v>5396598196.1199999</v>
      </c>
      <c r="BO108" s="46">
        <f t="shared" ref="BO108:CK108" si="30">SUM(BO89+BO107)</f>
        <v>5187856848.21</v>
      </c>
      <c r="BP108" s="46">
        <f t="shared" si="30"/>
        <v>5165404447.0799999</v>
      </c>
      <c r="BQ108" s="46">
        <f t="shared" si="30"/>
        <v>4945811987.2799997</v>
      </c>
      <c r="BR108" s="46">
        <f t="shared" si="30"/>
        <v>4842073770.79</v>
      </c>
      <c r="BS108" s="46">
        <f t="shared" si="30"/>
        <v>4457330331.7600002</v>
      </c>
      <c r="BT108" s="46">
        <f t="shared" si="30"/>
        <v>4654314198.9299994</v>
      </c>
      <c r="BU108" s="46">
        <f t="shared" si="30"/>
        <v>4468103121.7799997</v>
      </c>
      <c r="BV108" s="46">
        <f t="shared" si="30"/>
        <v>2943073357.0799999</v>
      </c>
      <c r="BW108" s="46">
        <f t="shared" si="30"/>
        <v>2843169630.9699998</v>
      </c>
      <c r="BX108" s="46">
        <f t="shared" si="30"/>
        <v>1844800534.29</v>
      </c>
      <c r="BY108" s="46">
        <f t="shared" si="30"/>
        <v>1887670982.0599999</v>
      </c>
      <c r="BZ108" s="46">
        <f t="shared" si="30"/>
        <v>1174616352.97</v>
      </c>
      <c r="CA108" s="46">
        <f t="shared" si="30"/>
        <v>1699946345.95</v>
      </c>
      <c r="CB108" s="46">
        <f t="shared" si="30"/>
        <v>1183711862.5699999</v>
      </c>
      <c r="CC108" s="46">
        <f t="shared" si="30"/>
        <v>1409915325.3899999</v>
      </c>
      <c r="CD108" s="46">
        <f t="shared" si="30"/>
        <v>1076597245.8300002</v>
      </c>
      <c r="CE108" s="46">
        <f t="shared" si="30"/>
        <v>1270942000</v>
      </c>
      <c r="CF108" s="46">
        <f t="shared" si="30"/>
        <v>1004228352.76</v>
      </c>
      <c r="CG108" s="46">
        <f t="shared" si="30"/>
        <v>783050324.68000007</v>
      </c>
      <c r="CH108" s="46">
        <f t="shared" si="30"/>
        <v>203800000</v>
      </c>
      <c r="CI108" s="46">
        <f t="shared" si="30"/>
        <v>162870000</v>
      </c>
      <c r="CJ108" s="46">
        <f t="shared" si="30"/>
        <v>92660000</v>
      </c>
      <c r="CK108" s="46">
        <f t="shared" si="30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9" workbookViewId="0">
      <selection activeCell="E53" sqref="E53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112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113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114</v>
      </c>
      <c r="B6" s="34">
        <f>B4-B5</f>
        <v>3140510356.0999985</v>
      </c>
      <c r="C6" s="34">
        <f t="shared" ref="C6:J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ref="K6" si="1">K4-K5</f>
        <v>1979953210.1399994</v>
      </c>
    </row>
    <row r="7" spans="1:89" s="31" customFormat="1">
      <c r="A7" s="31" t="s">
        <v>123</v>
      </c>
      <c r="B7" s="35">
        <f>B6/B4*100</f>
        <v>19.739442297845137</v>
      </c>
      <c r="C7" s="35">
        <f t="shared" ref="C7:K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</row>
    <row r="8" spans="1:89">
      <c r="A8" s="23" t="s">
        <v>115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150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116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117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118</v>
      </c>
      <c r="B12" s="36">
        <f>B55</f>
        <v>463</v>
      </c>
      <c r="C12" s="36">
        <f t="shared" ref="C12:BN12" si="3">C55</f>
        <v>603</v>
      </c>
      <c r="D12" s="36">
        <f t="shared" si="3"/>
        <v>653</v>
      </c>
      <c r="E12" s="36">
        <f t="shared" si="3"/>
        <v>4634933.82</v>
      </c>
      <c r="F12" s="36">
        <f t="shared" si="3"/>
        <v>1204</v>
      </c>
      <c r="G12" s="36">
        <f t="shared" si="3"/>
        <v>868</v>
      </c>
      <c r="H12" s="36">
        <f t="shared" si="3"/>
        <v>644</v>
      </c>
      <c r="I12" s="36">
        <f t="shared" si="3"/>
        <v>6030893.5800000001</v>
      </c>
      <c r="J12" s="36">
        <f t="shared" si="3"/>
        <v>0</v>
      </c>
      <c r="K12" s="36">
        <f t="shared" si="3"/>
        <v>0</v>
      </c>
      <c r="L12" s="36">
        <f t="shared" si="3"/>
        <v>0</v>
      </c>
      <c r="M12" s="36">
        <f t="shared" si="3"/>
        <v>0</v>
      </c>
      <c r="N12" s="36">
        <f t="shared" si="3"/>
        <v>0</v>
      </c>
      <c r="O12" s="36">
        <f t="shared" si="3"/>
        <v>0</v>
      </c>
      <c r="P12" s="36">
        <f t="shared" si="3"/>
        <v>0</v>
      </c>
      <c r="Q12" s="36">
        <f t="shared" si="3"/>
        <v>0</v>
      </c>
      <c r="R12" s="36">
        <f t="shared" si="3"/>
        <v>0</v>
      </c>
      <c r="S12" s="36">
        <f t="shared" si="3"/>
        <v>0</v>
      </c>
      <c r="T12" s="36">
        <f t="shared" si="3"/>
        <v>0</v>
      </c>
      <c r="U12" s="36">
        <f t="shared" si="3"/>
        <v>0</v>
      </c>
      <c r="V12" s="36">
        <f t="shared" si="3"/>
        <v>0</v>
      </c>
      <c r="W12" s="36">
        <f t="shared" si="3"/>
        <v>0</v>
      </c>
      <c r="X12" s="36">
        <f t="shared" si="3"/>
        <v>0</v>
      </c>
      <c r="Y12" s="36">
        <f t="shared" si="3"/>
        <v>0</v>
      </c>
      <c r="Z12" s="36">
        <f t="shared" si="3"/>
        <v>0</v>
      </c>
      <c r="AA12" s="36">
        <f t="shared" si="3"/>
        <v>0</v>
      </c>
      <c r="AB12" s="36">
        <f t="shared" si="3"/>
        <v>0</v>
      </c>
      <c r="AC12" s="36">
        <f t="shared" si="3"/>
        <v>0</v>
      </c>
      <c r="AD12" s="36">
        <f t="shared" si="3"/>
        <v>0</v>
      </c>
      <c r="AE12" s="36">
        <f t="shared" si="3"/>
        <v>0</v>
      </c>
      <c r="AF12" s="36">
        <f t="shared" si="3"/>
        <v>0</v>
      </c>
      <c r="AG12" s="36">
        <f t="shared" si="3"/>
        <v>0</v>
      </c>
      <c r="AH12" s="36">
        <f t="shared" si="3"/>
        <v>0</v>
      </c>
      <c r="AI12" s="36">
        <f t="shared" si="3"/>
        <v>0</v>
      </c>
      <c r="AJ12" s="36">
        <f t="shared" si="3"/>
        <v>0</v>
      </c>
      <c r="AK12" s="36">
        <f t="shared" si="3"/>
        <v>0</v>
      </c>
      <c r="AL12" s="36">
        <f t="shared" si="3"/>
        <v>0</v>
      </c>
      <c r="AM12" s="36">
        <f t="shared" si="3"/>
        <v>0</v>
      </c>
      <c r="AN12" s="36">
        <f t="shared" si="3"/>
        <v>0</v>
      </c>
      <c r="AO12" s="36">
        <f t="shared" si="3"/>
        <v>0</v>
      </c>
      <c r="AP12" s="36">
        <f t="shared" si="3"/>
        <v>0</v>
      </c>
      <c r="AQ12" s="36">
        <f t="shared" si="3"/>
        <v>0</v>
      </c>
      <c r="AR12" s="36">
        <f t="shared" si="3"/>
        <v>0</v>
      </c>
      <c r="AS12" s="36">
        <f t="shared" si="3"/>
        <v>0</v>
      </c>
      <c r="AT12" s="36">
        <f t="shared" si="3"/>
        <v>0</v>
      </c>
      <c r="AU12" s="36">
        <f t="shared" si="3"/>
        <v>0</v>
      </c>
      <c r="AV12" s="36">
        <f t="shared" si="3"/>
        <v>0</v>
      </c>
      <c r="AW12" s="36">
        <f t="shared" si="3"/>
        <v>0</v>
      </c>
      <c r="AX12" s="36">
        <f t="shared" si="3"/>
        <v>0</v>
      </c>
      <c r="AY12" s="36">
        <f t="shared" si="3"/>
        <v>0</v>
      </c>
      <c r="AZ12" s="36">
        <f t="shared" si="3"/>
        <v>0</v>
      </c>
      <c r="BA12" s="36">
        <f t="shared" si="3"/>
        <v>0</v>
      </c>
      <c r="BB12" s="36">
        <f t="shared" si="3"/>
        <v>0</v>
      </c>
      <c r="BC12" s="36">
        <f t="shared" si="3"/>
        <v>0</v>
      </c>
      <c r="BD12" s="36">
        <f t="shared" si="3"/>
        <v>0</v>
      </c>
      <c r="BE12" s="36">
        <f t="shared" si="3"/>
        <v>0</v>
      </c>
      <c r="BF12" s="36">
        <f t="shared" si="3"/>
        <v>0</v>
      </c>
      <c r="BG12" s="36">
        <f t="shared" si="3"/>
        <v>0</v>
      </c>
      <c r="BH12" s="36">
        <f t="shared" si="3"/>
        <v>0</v>
      </c>
      <c r="BI12" s="36">
        <f t="shared" si="3"/>
        <v>0</v>
      </c>
      <c r="BJ12" s="36">
        <f t="shared" si="3"/>
        <v>0</v>
      </c>
      <c r="BK12" s="36">
        <f t="shared" si="3"/>
        <v>0</v>
      </c>
      <c r="BL12" s="36">
        <f t="shared" si="3"/>
        <v>0</v>
      </c>
      <c r="BM12" s="36">
        <f t="shared" si="3"/>
        <v>0</v>
      </c>
      <c r="BN12" s="36">
        <f t="shared" si="3"/>
        <v>0</v>
      </c>
      <c r="BO12" s="36">
        <f t="shared" ref="BO12:CJ12" si="4">BO55</f>
        <v>0</v>
      </c>
      <c r="BP12" s="36">
        <f t="shared" si="4"/>
        <v>0</v>
      </c>
      <c r="BQ12" s="36">
        <f t="shared" si="4"/>
        <v>0</v>
      </c>
      <c r="BR12" s="36">
        <f t="shared" si="4"/>
        <v>0</v>
      </c>
      <c r="BS12" s="36">
        <f t="shared" si="4"/>
        <v>0</v>
      </c>
      <c r="BT12" s="36">
        <f t="shared" si="4"/>
        <v>0</v>
      </c>
      <c r="BU12" s="36">
        <f t="shared" si="4"/>
        <v>0</v>
      </c>
      <c r="BV12" s="36">
        <f t="shared" si="4"/>
        <v>0</v>
      </c>
      <c r="BW12" s="36">
        <f t="shared" si="4"/>
        <v>0</v>
      </c>
      <c r="BX12" s="36">
        <f t="shared" si="4"/>
        <v>0</v>
      </c>
      <c r="BY12" s="36">
        <f t="shared" si="4"/>
        <v>0</v>
      </c>
      <c r="BZ12" s="36">
        <f t="shared" si="4"/>
        <v>0</v>
      </c>
      <c r="CA12" s="36">
        <f t="shared" si="4"/>
        <v>0</v>
      </c>
      <c r="CB12" s="36">
        <f t="shared" si="4"/>
        <v>0</v>
      </c>
      <c r="CC12" s="36">
        <f t="shared" si="4"/>
        <v>0</v>
      </c>
      <c r="CD12" s="36">
        <f t="shared" si="4"/>
        <v>0</v>
      </c>
      <c r="CE12" s="36">
        <f t="shared" si="4"/>
        <v>0</v>
      </c>
      <c r="CF12" s="36">
        <f t="shared" si="4"/>
        <v>0</v>
      </c>
      <c r="CG12" s="36">
        <f t="shared" si="4"/>
        <v>0</v>
      </c>
      <c r="CH12" s="36">
        <f t="shared" si="4"/>
        <v>0</v>
      </c>
      <c r="CI12" s="36">
        <f t="shared" si="4"/>
        <v>0</v>
      </c>
      <c r="CJ12" s="36">
        <f t="shared" si="4"/>
        <v>0</v>
      </c>
    </row>
    <row r="13" spans="1:89">
      <c r="A13" s="23" t="s">
        <v>119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120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121</v>
      </c>
      <c r="B15" s="35">
        <f>B6-(B8+B9+B10+B11+B12)+B13-B14</f>
        <v>2075693962.6299987</v>
      </c>
      <c r="C15" s="35">
        <f t="shared" ref="C15:BN15" si="5">C6-(C8+C9+C10+C11+C12)+C13-C14</f>
        <v>950179957.07000113</v>
      </c>
      <c r="D15" s="35">
        <f t="shared" si="5"/>
        <v>367791074.14000034</v>
      </c>
      <c r="E15" s="35">
        <f t="shared" si="5"/>
        <v>2107315932.1699991</v>
      </c>
      <c r="F15" s="35">
        <f t="shared" si="5"/>
        <v>1567745317.8899999</v>
      </c>
      <c r="G15" s="35">
        <f t="shared" si="5"/>
        <v>899170478.30999959</v>
      </c>
      <c r="H15" s="35">
        <f t="shared" si="5"/>
        <v>334578995.05999982</v>
      </c>
      <c r="I15" s="35">
        <f t="shared" si="5"/>
        <v>1903363759.4799986</v>
      </c>
      <c r="J15" s="35">
        <f t="shared" si="5"/>
        <v>1423150204.4200008</v>
      </c>
      <c r="K15" s="35">
        <f t="shared" si="5"/>
        <v>811950773.78999949</v>
      </c>
      <c r="L15" s="35">
        <f t="shared" si="5"/>
        <v>-487482220.01000005</v>
      </c>
      <c r="M15" s="35">
        <f t="shared" si="5"/>
        <v>-2452087740.2500005</v>
      </c>
      <c r="N15" s="35">
        <f t="shared" si="5"/>
        <v>-1929738307.3700001</v>
      </c>
      <c r="O15" s="35">
        <f t="shared" si="5"/>
        <v>-1289094370.7599998</v>
      </c>
      <c r="P15" s="35">
        <f t="shared" si="5"/>
        <v>-615339941.58000004</v>
      </c>
      <c r="Q15" s="35">
        <f t="shared" si="5"/>
        <v>-2954271622.6100001</v>
      </c>
      <c r="R15" s="35">
        <f t="shared" si="5"/>
        <v>-2092635516.8299997</v>
      </c>
      <c r="S15" s="35">
        <f t="shared" si="5"/>
        <v>-1385626753.0500002</v>
      </c>
      <c r="T15" s="35">
        <f t="shared" si="5"/>
        <v>-642601023.96000004</v>
      </c>
      <c r="U15" s="35">
        <f t="shared" si="5"/>
        <v>-2656826669.9499998</v>
      </c>
      <c r="V15" s="35">
        <f t="shared" si="5"/>
        <v>-1897332004.25</v>
      </c>
      <c r="W15" s="35">
        <f t="shared" si="5"/>
        <v>-1259634074.3299997</v>
      </c>
      <c r="X15" s="35">
        <f t="shared" si="5"/>
        <v>-572273812.25999999</v>
      </c>
      <c r="Y15" s="35">
        <f t="shared" si="5"/>
        <v>-2365491861.8600006</v>
      </c>
      <c r="Z15" s="35">
        <f t="shared" si="5"/>
        <v>-1875580645.73</v>
      </c>
      <c r="AA15" s="35">
        <f t="shared" si="5"/>
        <v>-908919538.59000003</v>
      </c>
      <c r="AB15" s="35">
        <f t="shared" si="5"/>
        <v>-434565129.53000003</v>
      </c>
      <c r="AC15" s="35">
        <f t="shared" si="5"/>
        <v>-1980963941.21</v>
      </c>
      <c r="AD15" s="35">
        <f t="shared" si="5"/>
        <v>-1396485924.0199997</v>
      </c>
      <c r="AE15" s="35">
        <f t="shared" si="5"/>
        <v>-891934197.23999989</v>
      </c>
      <c r="AF15" s="35">
        <f t="shared" si="5"/>
        <v>-408407976.84000003</v>
      </c>
      <c r="AG15" s="35">
        <f t="shared" si="5"/>
        <v>-1757642747.4499998</v>
      </c>
      <c r="AH15" s="35">
        <f t="shared" si="5"/>
        <v>-1223873879.9099996</v>
      </c>
      <c r="AI15" s="35">
        <f t="shared" si="5"/>
        <v>-783321301.84000003</v>
      </c>
      <c r="AJ15" s="35">
        <f t="shared" si="5"/>
        <v>-335307663.34000003</v>
      </c>
      <c r="AK15" s="35">
        <f t="shared" si="5"/>
        <v>-1493473573.4300003</v>
      </c>
      <c r="AL15" s="35">
        <f t="shared" si="5"/>
        <v>-922473230.77999997</v>
      </c>
      <c r="AM15" s="35">
        <f t="shared" si="5"/>
        <v>-565534860.89999986</v>
      </c>
      <c r="AN15" s="35">
        <f t="shared" si="5"/>
        <v>-273132230.56</v>
      </c>
      <c r="AO15" s="35">
        <f t="shared" si="5"/>
        <v>-1330987364.25</v>
      </c>
      <c r="AP15" s="35">
        <f t="shared" si="5"/>
        <v>-909160714.55999994</v>
      </c>
      <c r="AQ15" s="35">
        <f t="shared" si="5"/>
        <v>-596055812.04999995</v>
      </c>
      <c r="AR15" s="35">
        <f t="shared" si="5"/>
        <v>-261139970.27000001</v>
      </c>
      <c r="AS15" s="35">
        <f t="shared" si="5"/>
        <v>-1164872709.4199998</v>
      </c>
      <c r="AT15" s="35">
        <f t="shared" si="5"/>
        <v>-786904781.95000005</v>
      </c>
      <c r="AU15" s="35">
        <f t="shared" si="5"/>
        <v>-508123508.84000003</v>
      </c>
      <c r="AV15" s="35">
        <f t="shared" si="5"/>
        <v>-208789678.26000002</v>
      </c>
      <c r="AW15" s="35">
        <f t="shared" si="5"/>
        <v>-941467382.28999996</v>
      </c>
      <c r="AX15" s="35">
        <f t="shared" si="5"/>
        <v>-644295512.31999993</v>
      </c>
      <c r="AY15" s="35">
        <f t="shared" si="5"/>
        <v>-420550443.42000002</v>
      </c>
      <c r="AZ15" s="35">
        <f t="shared" si="5"/>
        <v>-188356445.92000002</v>
      </c>
      <c r="BA15" s="35">
        <f t="shared" si="5"/>
        <v>-910103663.63999999</v>
      </c>
      <c r="BB15" s="35">
        <f t="shared" si="5"/>
        <v>-660862639.52999997</v>
      </c>
      <c r="BC15" s="35">
        <f t="shared" si="5"/>
        <v>-455266049.49000001</v>
      </c>
      <c r="BD15" s="35">
        <f t="shared" si="5"/>
        <v>-204638043.11000001</v>
      </c>
      <c r="BE15" s="35">
        <f t="shared" si="5"/>
        <v>-1005555886.3800001</v>
      </c>
      <c r="BF15" s="35">
        <f t="shared" si="5"/>
        <v>-636906652.36000013</v>
      </c>
      <c r="BG15" s="35">
        <f t="shared" si="5"/>
        <v>-413188374.11000001</v>
      </c>
      <c r="BH15" s="35">
        <f t="shared" si="5"/>
        <v>-199927462.25999999</v>
      </c>
      <c r="BI15" s="35">
        <f t="shared" si="5"/>
        <v>-739987302.88</v>
      </c>
      <c r="BJ15" s="35">
        <f t="shared" si="5"/>
        <v>-582066605.43999982</v>
      </c>
      <c r="BK15" s="35">
        <f t="shared" si="5"/>
        <v>-361997950.07999992</v>
      </c>
      <c r="BL15" s="35">
        <f t="shared" si="5"/>
        <v>-187113888.88</v>
      </c>
      <c r="BM15" s="35">
        <f t="shared" si="5"/>
        <v>-943276459.20000005</v>
      </c>
      <c r="BN15" s="35">
        <f t="shared" si="5"/>
        <v>-603519148.41000009</v>
      </c>
      <c r="BO15" s="35">
        <f t="shared" ref="BO15:CJ15" si="6">BO6-(BO8+BO9+BO10+BO11+BO12)+BO13-BO14</f>
        <v>-379362267.59999996</v>
      </c>
      <c r="BP15" s="35">
        <f t="shared" si="6"/>
        <v>-151943768.74000001</v>
      </c>
      <c r="BQ15" s="35">
        <f t="shared" si="6"/>
        <v>-727711214.75</v>
      </c>
      <c r="BR15" s="35">
        <f t="shared" si="6"/>
        <v>-305256352.54000002</v>
      </c>
      <c r="BS15" s="35">
        <f t="shared" si="6"/>
        <v>-800481482.18000007</v>
      </c>
      <c r="BT15" s="35">
        <f t="shared" si="6"/>
        <v>-262841709.51999998</v>
      </c>
      <c r="BU15" s="35">
        <f t="shared" si="6"/>
        <v>-604750618.96000004</v>
      </c>
      <c r="BV15" s="35">
        <f t="shared" si="6"/>
        <v>-222041906.03</v>
      </c>
      <c r="BW15" s="35">
        <f t="shared" si="6"/>
        <v>-73645323.940000013</v>
      </c>
      <c r="BX15" s="35">
        <f t="shared" si="6"/>
        <v>-49658761.140000008</v>
      </c>
      <c r="BY15" s="35">
        <f t="shared" si="6"/>
        <v>-114664895.17</v>
      </c>
      <c r="BZ15" s="35">
        <f t="shared" si="6"/>
        <v>0</v>
      </c>
      <c r="CA15" s="35">
        <f t="shared" si="6"/>
        <v>-174635527.74000001</v>
      </c>
      <c r="CB15" s="35">
        <f t="shared" si="6"/>
        <v>0</v>
      </c>
      <c r="CC15" s="35">
        <f t="shared" si="6"/>
        <v>-197806387.63</v>
      </c>
      <c r="CD15" s="35">
        <f t="shared" si="6"/>
        <v>0</v>
      </c>
      <c r="CE15" s="35">
        <f t="shared" si="6"/>
        <v>0</v>
      </c>
      <c r="CF15" s="35">
        <f t="shared" si="6"/>
        <v>-10369984.130000001</v>
      </c>
      <c r="CG15" s="35">
        <f t="shared" si="6"/>
        <v>-45960000</v>
      </c>
      <c r="CH15" s="35">
        <f t="shared" si="6"/>
        <v>-71370000</v>
      </c>
      <c r="CI15" s="35">
        <f t="shared" si="6"/>
        <v>-52680000</v>
      </c>
      <c r="CJ15" s="35">
        <f t="shared" si="6"/>
        <v>-34650000</v>
      </c>
    </row>
    <row r="16" spans="1:89" s="30" customFormat="1">
      <c r="A16" s="30" t="s">
        <v>122</v>
      </c>
      <c r="B16" s="33">
        <f>B15*B41</f>
        <v>188794452.51814556</v>
      </c>
      <c r="C16" s="33">
        <f t="shared" ref="C16:BN16" si="7">C15*C41</f>
        <v>99998992.855293781</v>
      </c>
      <c r="D16" s="33">
        <f t="shared" si="7"/>
        <v>48011300.603242248</v>
      </c>
      <c r="E16" s="33">
        <f t="shared" si="7"/>
        <v>277432322.28904164</v>
      </c>
      <c r="F16" s="33">
        <f t="shared" si="7"/>
        <v>189825783.82995316</v>
      </c>
      <c r="G16" s="33">
        <f t="shared" si="7"/>
        <v>100497172.56909353</v>
      </c>
      <c r="H16" s="33">
        <f t="shared" si="7"/>
        <v>41734100.787941657</v>
      </c>
      <c r="I16" s="33">
        <f t="shared" si="7"/>
        <v>236888402.92017746</v>
      </c>
      <c r="J16" s="33">
        <f t="shared" si="7"/>
        <v>163699885.49130899</v>
      </c>
      <c r="K16" s="33">
        <f t="shared" si="7"/>
        <v>84112794.469030768</v>
      </c>
      <c r="L16" s="33">
        <f t="shared" si="7"/>
        <v>71992776.016225815</v>
      </c>
      <c r="M16" s="33">
        <f t="shared" si="7"/>
        <v>989893674.78070998</v>
      </c>
      <c r="N16" s="33">
        <f t="shared" si="7"/>
        <v>965637062.84410071</v>
      </c>
      <c r="O16" s="33">
        <f t="shared" si="7"/>
        <v>207915272.83165482</v>
      </c>
      <c r="P16" s="33">
        <f t="shared" si="7"/>
        <v>78626957.857578784</v>
      </c>
      <c r="Q16" s="33">
        <f t="shared" si="7"/>
        <v>402850957.34148335</v>
      </c>
      <c r="R16" s="33">
        <f t="shared" si="7"/>
        <v>335445889.03759241</v>
      </c>
      <c r="S16" s="33">
        <f t="shared" si="7"/>
        <v>192766993.29303479</v>
      </c>
      <c r="T16" s="33">
        <f t="shared" si="7"/>
        <v>67822078.098892748</v>
      </c>
      <c r="U16" s="33">
        <f t="shared" si="7"/>
        <v>298013414.73103988</v>
      </c>
      <c r="V16" s="33">
        <f t="shared" si="7"/>
        <v>218896672.16349339</v>
      </c>
      <c r="W16" s="33">
        <f t="shared" si="7"/>
        <v>110658014.21440923</v>
      </c>
      <c r="X16" s="33">
        <f t="shared" si="7"/>
        <v>56391594.554269269</v>
      </c>
      <c r="Y16" s="33">
        <f t="shared" si="7"/>
        <v>477996456.16648525</v>
      </c>
      <c r="Z16" s="33">
        <f t="shared" si="7"/>
        <v>223438280.76100039</v>
      </c>
      <c r="AA16" s="33">
        <f t="shared" si="7"/>
        <v>173494613.10164633</v>
      </c>
      <c r="AB16" s="33">
        <f t="shared" si="7"/>
        <v>96144708.348285362</v>
      </c>
      <c r="AC16" s="33">
        <f t="shared" si="7"/>
        <v>230891849.06631425</v>
      </c>
      <c r="AD16" s="33">
        <f t="shared" si="7"/>
        <v>204488657.44854632</v>
      </c>
      <c r="AE16" s="33">
        <f t="shared" si="7"/>
        <v>134364452.31802019</v>
      </c>
      <c r="AF16" s="33">
        <f t="shared" si="7"/>
        <v>63423443.33910758</v>
      </c>
      <c r="AG16" s="33">
        <f t="shared" si="7"/>
        <v>217297514.95819011</v>
      </c>
      <c r="AH16" s="33">
        <f t="shared" si="7"/>
        <v>165989068.23735264</v>
      </c>
      <c r="AI16" s="33">
        <f t="shared" si="7"/>
        <v>109355890.96615981</v>
      </c>
      <c r="AJ16" s="33">
        <f t="shared" si="7"/>
        <v>48363981.738866001</v>
      </c>
      <c r="AK16" s="33">
        <f t="shared" si="7"/>
        <v>184557252.5262287</v>
      </c>
      <c r="AL16" s="33">
        <f t="shared" si="7"/>
        <v>143438226.18764314</v>
      </c>
      <c r="AM16" s="33">
        <f t="shared" si="7"/>
        <v>93264334.291019782</v>
      </c>
      <c r="AN16" s="33">
        <f t="shared" si="7"/>
        <v>41381806.998489626</v>
      </c>
      <c r="AO16" s="33">
        <f t="shared" si="7"/>
        <v>243550562.15212688</v>
      </c>
      <c r="AP16" s="33">
        <f t="shared" si="7"/>
        <v>195904239.17638242</v>
      </c>
      <c r="AQ16" s="33">
        <f t="shared" si="7"/>
        <v>141469192.23998398</v>
      </c>
      <c r="AR16" s="33">
        <f t="shared" si="7"/>
        <v>57874130.008407414</v>
      </c>
      <c r="AS16" s="33">
        <f t="shared" si="7"/>
        <v>185055636.1227265</v>
      </c>
      <c r="AT16" s="33">
        <f t="shared" si="7"/>
        <v>190598688.94771469</v>
      </c>
      <c r="AU16" s="33">
        <f t="shared" si="7"/>
        <v>122251128.43374957</v>
      </c>
      <c r="AV16" s="33">
        <f t="shared" si="7"/>
        <v>35495321.360642985</v>
      </c>
      <c r="AW16" s="33">
        <f t="shared" si="7"/>
        <v>129912471.07313071</v>
      </c>
      <c r="AX16" s="33">
        <f t="shared" si="7"/>
        <v>79411200.455700323</v>
      </c>
      <c r="AY16" s="33">
        <f t="shared" si="7"/>
        <v>45652177.643415183</v>
      </c>
      <c r="AZ16" s="33">
        <f t="shared" si="7"/>
        <v>22497177.740294233</v>
      </c>
      <c r="BA16" s="33">
        <f t="shared" si="7"/>
        <v>103592433.77192496</v>
      </c>
      <c r="BB16" s="33">
        <f t="shared" si="7"/>
        <v>87813093.731357902</v>
      </c>
      <c r="BC16" s="33">
        <f t="shared" si="7"/>
        <v>67505969.957748711</v>
      </c>
      <c r="BD16" s="33">
        <f t="shared" si="7"/>
        <v>31661659.698397219</v>
      </c>
      <c r="BE16" s="33">
        <f t="shared" si="7"/>
        <v>144961388.47103611</v>
      </c>
      <c r="BF16" s="33">
        <f t="shared" si="7"/>
        <v>103513531.82778709</v>
      </c>
      <c r="BG16" s="33">
        <f t="shared" si="7"/>
        <v>74455687.504033744</v>
      </c>
      <c r="BH16" s="33">
        <f t="shared" si="7"/>
        <v>35730523.865756795</v>
      </c>
      <c r="BI16" s="33">
        <f t="shared" si="7"/>
        <v>186312301.28211921</v>
      </c>
      <c r="BJ16" s="33">
        <f t="shared" si="7"/>
        <v>134066440.73285295</v>
      </c>
      <c r="BK16" s="33">
        <f t="shared" si="7"/>
        <v>89422377.527394593</v>
      </c>
      <c r="BL16" s="33">
        <f t="shared" si="7"/>
        <v>30388656.95978485</v>
      </c>
      <c r="BM16" s="33">
        <f t="shared" si="7"/>
        <v>155758440.96687028</v>
      </c>
      <c r="BN16" s="33">
        <f t="shared" si="7"/>
        <v>109613012.87592451</v>
      </c>
      <c r="BO16" s="33">
        <f t="shared" ref="BO16:CK16" si="8">BO15*BO41</f>
        <v>72298978.539238304</v>
      </c>
      <c r="BP16" s="33">
        <f t="shared" si="8"/>
        <v>28135908.352945734</v>
      </c>
      <c r="BQ16" s="33">
        <f t="shared" si="8"/>
        <v>120339943.73535343</v>
      </c>
      <c r="BR16" s="33">
        <f t="shared" si="8"/>
        <v>60193129.243853152</v>
      </c>
      <c r="BS16" s="33">
        <f t="shared" si="8"/>
        <v>116381232.34091599</v>
      </c>
      <c r="BT16" s="33">
        <f t="shared" si="8"/>
        <v>59895191.598194867</v>
      </c>
      <c r="BU16" s="33">
        <f t="shared" si="8"/>
        <v>106014227.17229374</v>
      </c>
      <c r="BV16" s="33">
        <f t="shared" si="8"/>
        <v>36843380.533184797</v>
      </c>
      <c r="BW16" s="33">
        <f t="shared" si="8"/>
        <v>6845627.9536107546</v>
      </c>
      <c r="BX16" s="33">
        <f t="shared" si="8"/>
        <v>0</v>
      </c>
      <c r="BY16" s="33">
        <f t="shared" si="8"/>
        <v>9978472.3286805358</v>
      </c>
      <c r="BZ16" s="33">
        <f t="shared" si="8"/>
        <v>0</v>
      </c>
      <c r="CA16" s="33">
        <f t="shared" si="8"/>
        <v>1433521.9510949543</v>
      </c>
      <c r="CB16" s="33">
        <f t="shared" si="8"/>
        <v>0</v>
      </c>
      <c r="CC16" s="33">
        <f t="shared" si="8"/>
        <v>26533781.598819915</v>
      </c>
      <c r="CD16" s="33">
        <f t="shared" si="8"/>
        <v>0</v>
      </c>
      <c r="CE16" s="33">
        <f t="shared" si="8"/>
        <v>0</v>
      </c>
      <c r="CF16" s="33">
        <f t="shared" si="8"/>
        <v>20605090.983848747</v>
      </c>
      <c r="CG16" s="33">
        <f t="shared" si="8"/>
        <v>4330000</v>
      </c>
      <c r="CH16" s="33">
        <f t="shared" si="8"/>
        <v>4220000</v>
      </c>
      <c r="CI16" s="33">
        <f t="shared" si="8"/>
        <v>12510000</v>
      </c>
      <c r="CJ16" s="33">
        <f t="shared" si="8"/>
        <v>3630000</v>
      </c>
      <c r="CK16" s="33">
        <f t="shared" si="8"/>
        <v>0</v>
      </c>
    </row>
    <row r="17" spans="1:89" s="32" customFormat="1">
      <c r="A17" s="31" t="s">
        <v>129</v>
      </c>
      <c r="B17" s="34">
        <f>B15-B16</f>
        <v>1886899510.1118531</v>
      </c>
      <c r="C17" s="34">
        <f t="shared" ref="C17:BN17" si="9">C15-C16</f>
        <v>850180964.21470737</v>
      </c>
      <c r="D17" s="34">
        <f t="shared" si="9"/>
        <v>319779773.53675807</v>
      </c>
      <c r="E17" s="34">
        <f t="shared" si="9"/>
        <v>1829883609.8809576</v>
      </c>
      <c r="F17" s="34">
        <f t="shared" si="9"/>
        <v>1377919534.0600467</v>
      </c>
      <c r="G17" s="34">
        <f t="shared" si="9"/>
        <v>798673305.740906</v>
      </c>
      <c r="H17" s="34">
        <f t="shared" si="9"/>
        <v>292844894.27205819</v>
      </c>
      <c r="I17" s="34">
        <f t="shared" si="9"/>
        <v>1666475356.5598211</v>
      </c>
      <c r="J17" s="34">
        <f t="shared" si="9"/>
        <v>1259450318.9286919</v>
      </c>
      <c r="K17" s="34">
        <f t="shared" si="9"/>
        <v>727837979.32096875</v>
      </c>
      <c r="L17" s="34">
        <f t="shared" si="9"/>
        <v>-559474996.02622581</v>
      </c>
      <c r="M17" s="34">
        <f t="shared" si="9"/>
        <v>-3441981415.0307102</v>
      </c>
      <c r="N17" s="34">
        <f t="shared" si="9"/>
        <v>-2895375370.2141008</v>
      </c>
      <c r="O17" s="34">
        <f t="shared" si="9"/>
        <v>-1497009643.5916545</v>
      </c>
      <c r="P17" s="34">
        <f t="shared" si="9"/>
        <v>-693966899.4375788</v>
      </c>
      <c r="Q17" s="34">
        <f t="shared" si="9"/>
        <v>-3357122579.9514837</v>
      </c>
      <c r="R17" s="34">
        <f t="shared" si="9"/>
        <v>-2428081405.8675919</v>
      </c>
      <c r="S17" s="34">
        <f t="shared" si="9"/>
        <v>-1578393746.343035</v>
      </c>
      <c r="T17" s="34">
        <f t="shared" si="9"/>
        <v>-710423102.05889273</v>
      </c>
      <c r="U17" s="34">
        <f t="shared" si="9"/>
        <v>-2954840084.6810398</v>
      </c>
      <c r="V17" s="34">
        <f t="shared" si="9"/>
        <v>-2116228676.4134934</v>
      </c>
      <c r="W17" s="34">
        <f t="shared" si="9"/>
        <v>-1370292088.5444088</v>
      </c>
      <c r="X17" s="34">
        <f t="shared" si="9"/>
        <v>-628665406.8142693</v>
      </c>
      <c r="Y17" s="34">
        <f t="shared" si="9"/>
        <v>-2843488318.0264859</v>
      </c>
      <c r="Z17" s="34">
        <f t="shared" si="9"/>
        <v>-2099018926.4910004</v>
      </c>
      <c r="AA17" s="34">
        <f t="shared" si="9"/>
        <v>-1082414151.6916463</v>
      </c>
      <c r="AB17" s="34">
        <f t="shared" si="9"/>
        <v>-530709837.87828541</v>
      </c>
      <c r="AC17" s="34">
        <f t="shared" si="9"/>
        <v>-2211855790.2763143</v>
      </c>
      <c r="AD17" s="34">
        <f t="shared" si="9"/>
        <v>-1600974581.4685462</v>
      </c>
      <c r="AE17" s="34">
        <f t="shared" si="9"/>
        <v>-1026298649.5580201</v>
      </c>
      <c r="AF17" s="34">
        <f t="shared" si="9"/>
        <v>-471831420.17910761</v>
      </c>
      <c r="AG17" s="34">
        <f t="shared" si="9"/>
        <v>-1974940262.40819</v>
      </c>
      <c r="AH17" s="34">
        <f t="shared" si="9"/>
        <v>-1389862948.1473522</v>
      </c>
      <c r="AI17" s="34">
        <f t="shared" si="9"/>
        <v>-892677192.80615985</v>
      </c>
      <c r="AJ17" s="34">
        <f t="shared" si="9"/>
        <v>-383671645.078866</v>
      </c>
      <c r="AK17" s="34">
        <f t="shared" si="9"/>
        <v>-1678030825.956229</v>
      </c>
      <c r="AL17" s="34">
        <f t="shared" si="9"/>
        <v>-1065911456.9676431</v>
      </c>
      <c r="AM17" s="34">
        <f t="shared" si="9"/>
        <v>-658799195.19101965</v>
      </c>
      <c r="AN17" s="34">
        <f t="shared" si="9"/>
        <v>-314514037.55848962</v>
      </c>
      <c r="AO17" s="34">
        <f t="shared" si="9"/>
        <v>-1574537926.4021268</v>
      </c>
      <c r="AP17" s="34">
        <f t="shared" si="9"/>
        <v>-1105064953.7363825</v>
      </c>
      <c r="AQ17" s="34">
        <f t="shared" si="9"/>
        <v>-737525004.28998399</v>
      </c>
      <c r="AR17" s="34">
        <f t="shared" si="9"/>
        <v>-319014100.27840745</v>
      </c>
      <c r="AS17" s="34">
        <f t="shared" si="9"/>
        <v>-1349928345.5427263</v>
      </c>
      <c r="AT17" s="34">
        <f t="shared" si="9"/>
        <v>-977503470.89771473</v>
      </c>
      <c r="AU17" s="34">
        <f t="shared" si="9"/>
        <v>-630374637.27374959</v>
      </c>
      <c r="AV17" s="34">
        <f t="shared" si="9"/>
        <v>-244284999.62064302</v>
      </c>
      <c r="AW17" s="34">
        <f t="shared" si="9"/>
        <v>-1071379853.3631307</v>
      </c>
      <c r="AX17" s="34">
        <f t="shared" si="9"/>
        <v>-723706712.77570021</v>
      </c>
      <c r="AY17" s="34">
        <f t="shared" si="9"/>
        <v>-466202621.06341517</v>
      </c>
      <c r="AZ17" s="34">
        <f t="shared" si="9"/>
        <v>-210853623.66029423</v>
      </c>
      <c r="BA17" s="34">
        <f t="shared" si="9"/>
        <v>-1013696097.411925</v>
      </c>
      <c r="BB17" s="34">
        <f t="shared" si="9"/>
        <v>-748675733.2613579</v>
      </c>
      <c r="BC17" s="34">
        <f t="shared" si="9"/>
        <v>-522772019.44774872</v>
      </c>
      <c r="BD17" s="34">
        <f t="shared" si="9"/>
        <v>-236299702.80839723</v>
      </c>
      <c r="BE17" s="34">
        <f t="shared" si="9"/>
        <v>-1150517274.8510363</v>
      </c>
      <c r="BF17" s="34">
        <f t="shared" si="9"/>
        <v>-740420184.18778718</v>
      </c>
      <c r="BG17" s="34">
        <f t="shared" si="9"/>
        <v>-487644061.61403376</v>
      </c>
      <c r="BH17" s="34">
        <f t="shared" si="9"/>
        <v>-235657986.1257568</v>
      </c>
      <c r="BI17" s="34">
        <f t="shared" si="9"/>
        <v>-926299604.16211915</v>
      </c>
      <c r="BJ17" s="34">
        <f t="shared" si="9"/>
        <v>-716133046.17285275</v>
      </c>
      <c r="BK17" s="34">
        <f t="shared" si="9"/>
        <v>-451420327.60739452</v>
      </c>
      <c r="BL17" s="34">
        <f t="shared" si="9"/>
        <v>-217502545.83978486</v>
      </c>
      <c r="BM17" s="34">
        <f t="shared" si="9"/>
        <v>-1099034900.1668704</v>
      </c>
      <c r="BN17" s="34">
        <f t="shared" si="9"/>
        <v>-713132161.28592455</v>
      </c>
      <c r="BO17" s="34">
        <f t="shared" ref="BO17:CJ17" si="10">BO15-BO16</f>
        <v>-451661246.13923824</v>
      </c>
      <c r="BP17" s="34">
        <f t="shared" si="10"/>
        <v>-180079677.09294575</v>
      </c>
      <c r="BQ17" s="34">
        <f t="shared" si="10"/>
        <v>-848051158.48535347</v>
      </c>
      <c r="BR17" s="34">
        <f t="shared" si="10"/>
        <v>-365449481.78385317</v>
      </c>
      <c r="BS17" s="34">
        <f t="shared" si="10"/>
        <v>-916862714.5209161</v>
      </c>
      <c r="BT17" s="34">
        <f t="shared" si="10"/>
        <v>-322736901.11819482</v>
      </c>
      <c r="BU17" s="34">
        <f t="shared" si="10"/>
        <v>-710764846.13229382</v>
      </c>
      <c r="BV17" s="34">
        <f t="shared" si="10"/>
        <v>-258885286.5631848</v>
      </c>
      <c r="BW17" s="34">
        <f t="shared" si="10"/>
        <v>-80490951.893610761</v>
      </c>
      <c r="BX17" s="34">
        <f t="shared" si="10"/>
        <v>-49658761.140000008</v>
      </c>
      <c r="BY17" s="34">
        <f t="shared" si="10"/>
        <v>-124643367.49868053</v>
      </c>
      <c r="BZ17" s="34">
        <f t="shared" si="10"/>
        <v>0</v>
      </c>
      <c r="CA17" s="34">
        <f t="shared" si="10"/>
        <v>-176069049.69109496</v>
      </c>
      <c r="CB17" s="34">
        <f t="shared" si="10"/>
        <v>0</v>
      </c>
      <c r="CC17" s="34">
        <f t="shared" si="10"/>
        <v>-224340169.22881991</v>
      </c>
      <c r="CD17" s="34">
        <f t="shared" si="10"/>
        <v>0</v>
      </c>
      <c r="CE17" s="34">
        <f t="shared" si="10"/>
        <v>0</v>
      </c>
      <c r="CF17" s="34">
        <f t="shared" si="10"/>
        <v>-30975075.113848746</v>
      </c>
      <c r="CG17" s="34">
        <f t="shared" si="10"/>
        <v>-50290000</v>
      </c>
      <c r="CH17" s="34">
        <f t="shared" si="10"/>
        <v>-75590000</v>
      </c>
      <c r="CI17" s="34">
        <f t="shared" si="10"/>
        <v>-65190000</v>
      </c>
      <c r="CJ17" s="34">
        <f t="shared" si="10"/>
        <v>-38280000</v>
      </c>
    </row>
    <row r="18" spans="1:89" s="31" customFormat="1">
      <c r="A18" s="31" t="s">
        <v>130</v>
      </c>
      <c r="B18" s="35">
        <f>B17/B4*100</f>
        <v>11.859965349052077</v>
      </c>
      <c r="C18" s="35">
        <f t="shared" ref="C18:BN18" si="11">C17/C4*100</f>
        <v>8.2474317434143085</v>
      </c>
      <c r="D18" s="35">
        <f t="shared" si="11"/>
        <v>8.0313216317464882</v>
      </c>
      <c r="E18" s="35">
        <f t="shared" si="11"/>
        <v>9.3979243504762877</v>
      </c>
      <c r="F18" s="35">
        <f t="shared" si="11"/>
        <v>9.3777312771236527</v>
      </c>
      <c r="G18" s="35">
        <f t="shared" si="11"/>
        <v>8.308073163112967</v>
      </c>
      <c r="H18" s="35">
        <f t="shared" si="11"/>
        <v>7.7175175372311191</v>
      </c>
      <c r="I18" s="35">
        <f t="shared" si="11"/>
        <v>8.799381103226283</v>
      </c>
      <c r="J18" s="35">
        <f t="shared" si="11"/>
        <v>8.8578588993007834</v>
      </c>
      <c r="K18" s="35">
        <f t="shared" si="11"/>
        <v>7.850428567379188</v>
      </c>
      <c r="L18" s="35">
        <f t="shared" si="11"/>
        <v>-14.819117022568934</v>
      </c>
      <c r="M18" s="35">
        <f t="shared" si="11"/>
        <v>-17.838227727109494</v>
      </c>
      <c r="N18" s="35">
        <f t="shared" si="11"/>
        <v>-19.625280995184387</v>
      </c>
      <c r="O18" s="35">
        <f t="shared" si="11"/>
        <v>-15.22976732116447</v>
      </c>
      <c r="P18" s="35">
        <f t="shared" si="11"/>
        <v>-16.716874811840899</v>
      </c>
      <c r="Q18" s="35">
        <f t="shared" si="11"/>
        <v>-16.156376000266441</v>
      </c>
      <c r="R18" s="35">
        <f t="shared" si="11"/>
        <v>-15.589424283210507</v>
      </c>
      <c r="S18" s="35">
        <f t="shared" si="11"/>
        <v>-15.571669698187593</v>
      </c>
      <c r="T18" s="35">
        <f t="shared" si="11"/>
        <v>-17.188042746686069</v>
      </c>
      <c r="U18" s="35">
        <f t="shared" si="11"/>
        <v>-14.843163933772594</v>
      </c>
      <c r="V18" s="35">
        <f t="shared" si="11"/>
        <v>-14.476106614295617</v>
      </c>
      <c r="W18" s="35">
        <f t="shared" si="11"/>
        <v>-14.606259567538265</v>
      </c>
      <c r="X18" s="35">
        <f t="shared" si="11"/>
        <v>-16.186599970913505</v>
      </c>
      <c r="Y18" s="35">
        <f t="shared" si="11"/>
        <v>-16.025745999561686</v>
      </c>
      <c r="Z18" s="35">
        <f t="shared" si="11"/>
        <v>-15.601291872650799</v>
      </c>
      <c r="AA18" s="35">
        <f t="shared" si="11"/>
        <v>-15.04172665945536</v>
      </c>
      <c r="AB18" s="35">
        <f t="shared" si="11"/>
        <v>-16.590639859450231</v>
      </c>
      <c r="AC18" s="35">
        <f t="shared" si="11"/>
        <v>-15.251675503956333</v>
      </c>
      <c r="AD18" s="35">
        <f t="shared" si="11"/>
        <v>-14.004843599251235</v>
      </c>
      <c r="AE18" s="35">
        <f t="shared" si="11"/>
        <v>-13.93286713749621</v>
      </c>
      <c r="AF18" s="35">
        <f t="shared" si="11"/>
        <v>-14.615536018860103</v>
      </c>
      <c r="AG18" s="35">
        <f t="shared" si="11"/>
        <v>-14.893992574015829</v>
      </c>
      <c r="AH18" s="35">
        <f t="shared" si="11"/>
        <v>-14.263120084935132</v>
      </c>
      <c r="AI18" s="35">
        <f t="shared" si="11"/>
        <v>-14.145013978695129</v>
      </c>
      <c r="AJ18" s="35">
        <f t="shared" si="11"/>
        <v>-14.007265679407569</v>
      </c>
      <c r="AK18" s="35">
        <f t="shared" si="11"/>
        <v>-15.273938500428924</v>
      </c>
      <c r="AL18" s="35">
        <f t="shared" si="11"/>
        <v>-13.214503368816599</v>
      </c>
      <c r="AM18" s="35">
        <f t="shared" si="11"/>
        <v>-12.716412654208616</v>
      </c>
      <c r="AN18" s="35">
        <f t="shared" si="11"/>
        <v>-13.415116261102639</v>
      </c>
      <c r="AO18" s="35">
        <f t="shared" si="11"/>
        <v>-15.07112271818492</v>
      </c>
      <c r="AP18" s="35">
        <f t="shared" si="11"/>
        <v>-13.954745742498734</v>
      </c>
      <c r="AQ18" s="35">
        <f t="shared" si="11"/>
        <v>-14.205793477380317</v>
      </c>
      <c r="AR18" s="35">
        <f t="shared" si="11"/>
        <v>-13.771434617845438</v>
      </c>
      <c r="AS18" s="35">
        <f t="shared" si="11"/>
        <v>-14.69518894729546</v>
      </c>
      <c r="AT18" s="35">
        <f t="shared" si="11"/>
        <v>-14.661135852538361</v>
      </c>
      <c r="AU18" s="35">
        <f t="shared" si="11"/>
        <v>-14.970603364710211</v>
      </c>
      <c r="AV18" s="35">
        <f t="shared" si="11"/>
        <v>-12.901334648803406</v>
      </c>
      <c r="AW18" s="35">
        <f t="shared" si="11"/>
        <v>-14.7041863408549</v>
      </c>
      <c r="AX18" s="35">
        <f t="shared" si="11"/>
        <v>-13.795637288157833</v>
      </c>
      <c r="AY18" s="35">
        <f t="shared" si="11"/>
        <v>-13.621683557581211</v>
      </c>
      <c r="AZ18" s="35">
        <f t="shared" si="11"/>
        <v>-13.538955965615553</v>
      </c>
      <c r="BA18" s="35">
        <f t="shared" si="11"/>
        <v>-14.838485879312783</v>
      </c>
      <c r="BB18" s="35">
        <f t="shared" si="11"/>
        <v>-14.797943527534896</v>
      </c>
      <c r="BC18" s="35">
        <f t="shared" si="11"/>
        <v>-15.573227178332976</v>
      </c>
      <c r="BD18" s="35">
        <f t="shared" si="11"/>
        <v>-15.434779918491653</v>
      </c>
      <c r="BE18" s="35">
        <f t="shared" si="11"/>
        <v>-17.551009744023201</v>
      </c>
      <c r="BF18" s="35">
        <f t="shared" si="11"/>
        <v>-15.417749830390919</v>
      </c>
      <c r="BG18" s="35">
        <f t="shared" si="11"/>
        <v>-14.775285753317604</v>
      </c>
      <c r="BH18" s="35">
        <f t="shared" si="11"/>
        <v>-14.732046615359046</v>
      </c>
      <c r="BI18" s="35">
        <f t="shared" si="11"/>
        <v>-16.660859559635096</v>
      </c>
      <c r="BJ18" s="35">
        <f t="shared" si="11"/>
        <v>-17.580985877158056</v>
      </c>
      <c r="BK18" s="35">
        <f t="shared" si="11"/>
        <v>-16.935318176211375</v>
      </c>
      <c r="BL18" s="35">
        <f t="shared" si="11"/>
        <v>-17.356007854615658</v>
      </c>
      <c r="BM18" s="35">
        <f t="shared" si="11"/>
        <v>-24.596061492967465</v>
      </c>
      <c r="BN18" s="35">
        <f t="shared" si="11"/>
        <v>-20.852599125290219</v>
      </c>
      <c r="BO18" s="35">
        <f t="shared" ref="BO18:CK18" si="12">BO17/BO4*100</f>
        <v>-19.727089177747697</v>
      </c>
      <c r="BP18" s="35">
        <f t="shared" si="12"/>
        <v>-16.944934692391584</v>
      </c>
      <c r="BQ18" s="35">
        <f t="shared" si="12"/>
        <v>-22.057269136150463</v>
      </c>
      <c r="BR18" s="35">
        <f t="shared" si="12"/>
        <v>-19.349497385985259</v>
      </c>
      <c r="BS18" s="35">
        <f t="shared" si="12"/>
        <v>-25.296705891664807</v>
      </c>
      <c r="BT18" s="35">
        <f t="shared" si="12"/>
        <v>-18.338647764768783</v>
      </c>
      <c r="BU18" s="35">
        <f t="shared" si="12"/>
        <v>-20.289210930251528</v>
      </c>
      <c r="BV18" s="35">
        <f t="shared" si="12"/>
        <v>-15.776364079921933</v>
      </c>
      <c r="BW18" s="35">
        <f t="shared" si="12"/>
        <v>-18.115412381570955</v>
      </c>
      <c r="BX18" s="35">
        <f t="shared" si="12"/>
        <v>-24.572381608495512</v>
      </c>
      <c r="BY18" s="35">
        <f t="shared" si="12"/>
        <v>-13.564583178240024</v>
      </c>
      <c r="BZ18" s="35">
        <f t="shared" si="12"/>
        <v>0</v>
      </c>
      <c r="CA18" s="35">
        <f t="shared" si="12"/>
        <v>-13.034464750293861</v>
      </c>
      <c r="CB18" s="35">
        <f t="shared" si="12"/>
        <v>0</v>
      </c>
      <c r="CC18" s="35">
        <f t="shared" si="12"/>
        <v>-11.656634637246398</v>
      </c>
      <c r="CD18" s="35">
        <f t="shared" si="12"/>
        <v>0</v>
      </c>
      <c r="CE18" s="35">
        <f t="shared" si="12"/>
        <v>0</v>
      </c>
      <c r="CF18" s="35">
        <f t="shared" si="12"/>
        <v>-4.0378346188401757</v>
      </c>
      <c r="CG18" s="35">
        <f t="shared" si="12"/>
        <v>-8.5933495095861385</v>
      </c>
      <c r="CH18" s="35">
        <f t="shared" si="12"/>
        <v>-9.7741055380994872</v>
      </c>
      <c r="CI18" s="35">
        <f t="shared" si="12"/>
        <v>-10.333840593494388</v>
      </c>
      <c r="CJ18" s="35">
        <f t="shared" si="12"/>
        <v>-7.0620791439904078</v>
      </c>
      <c r="CK18" s="35" t="e">
        <f t="shared" si="12"/>
        <v>#DIV/0!</v>
      </c>
    </row>
    <row r="19" spans="1:89" s="22" customFormat="1">
      <c r="A19" s="24" t="s">
        <v>124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125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126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160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162</v>
      </c>
      <c r="B23" s="36">
        <f>-B52</f>
        <v>25636</v>
      </c>
      <c r="C23" s="36">
        <f t="shared" ref="C23:BN23" si="13">-C52</f>
        <v>27718</v>
      </c>
      <c r="D23" s="36">
        <f t="shared" si="13"/>
        <v>35317</v>
      </c>
      <c r="E23" s="36">
        <f t="shared" si="13"/>
        <v>256369789.46000001</v>
      </c>
      <c r="F23" s="36">
        <f t="shared" si="13"/>
        <v>34414</v>
      </c>
      <c r="G23" s="36">
        <f t="shared" si="13"/>
        <v>23309</v>
      </c>
      <c r="H23" s="36">
        <f t="shared" si="13"/>
        <v>16814</v>
      </c>
      <c r="I23" s="36">
        <f t="shared" si="13"/>
        <v>277179369.72000003</v>
      </c>
      <c r="J23" s="36">
        <f t="shared" si="13"/>
        <v>0</v>
      </c>
      <c r="K23" s="36">
        <f t="shared" si="13"/>
        <v>0</v>
      </c>
      <c r="L23" s="36">
        <f t="shared" si="13"/>
        <v>0</v>
      </c>
      <c r="M23" s="36">
        <f t="shared" si="13"/>
        <v>0</v>
      </c>
      <c r="N23" s="36">
        <f t="shared" si="13"/>
        <v>0</v>
      </c>
      <c r="O23" s="36">
        <f t="shared" si="13"/>
        <v>0</v>
      </c>
      <c r="P23" s="36">
        <f t="shared" si="13"/>
        <v>0</v>
      </c>
      <c r="Q23" s="36">
        <f t="shared" si="13"/>
        <v>0</v>
      </c>
      <c r="R23" s="36">
        <f t="shared" si="13"/>
        <v>0</v>
      </c>
      <c r="S23" s="36">
        <f t="shared" si="13"/>
        <v>0</v>
      </c>
      <c r="T23" s="36">
        <f t="shared" si="13"/>
        <v>0</v>
      </c>
      <c r="U23" s="36">
        <f t="shared" si="13"/>
        <v>0</v>
      </c>
      <c r="V23" s="36">
        <f t="shared" si="13"/>
        <v>0</v>
      </c>
      <c r="W23" s="36">
        <f t="shared" si="13"/>
        <v>0</v>
      </c>
      <c r="X23" s="36">
        <f t="shared" si="13"/>
        <v>0</v>
      </c>
      <c r="Y23" s="36">
        <f t="shared" si="13"/>
        <v>0</v>
      </c>
      <c r="Z23" s="36">
        <f t="shared" si="13"/>
        <v>0</v>
      </c>
      <c r="AA23" s="36">
        <f t="shared" si="13"/>
        <v>0</v>
      </c>
      <c r="AB23" s="36">
        <f t="shared" si="13"/>
        <v>0</v>
      </c>
      <c r="AC23" s="36">
        <f t="shared" si="13"/>
        <v>0</v>
      </c>
      <c r="AD23" s="36">
        <f t="shared" si="13"/>
        <v>0</v>
      </c>
      <c r="AE23" s="36">
        <f t="shared" si="13"/>
        <v>0</v>
      </c>
      <c r="AF23" s="36">
        <f t="shared" si="13"/>
        <v>0</v>
      </c>
      <c r="AG23" s="36">
        <f t="shared" si="13"/>
        <v>0</v>
      </c>
      <c r="AH23" s="36">
        <f t="shared" si="13"/>
        <v>0</v>
      </c>
      <c r="AI23" s="36">
        <f t="shared" si="13"/>
        <v>0</v>
      </c>
      <c r="AJ23" s="36">
        <f t="shared" si="13"/>
        <v>0</v>
      </c>
      <c r="AK23" s="36">
        <f t="shared" si="13"/>
        <v>0</v>
      </c>
      <c r="AL23" s="36">
        <f t="shared" si="13"/>
        <v>0</v>
      </c>
      <c r="AM23" s="36">
        <f t="shared" si="13"/>
        <v>0</v>
      </c>
      <c r="AN23" s="36">
        <f t="shared" si="13"/>
        <v>0</v>
      </c>
      <c r="AO23" s="36">
        <f t="shared" si="13"/>
        <v>0</v>
      </c>
      <c r="AP23" s="36">
        <f t="shared" si="13"/>
        <v>0</v>
      </c>
      <c r="AQ23" s="36">
        <f t="shared" si="13"/>
        <v>0</v>
      </c>
      <c r="AR23" s="36">
        <f t="shared" si="13"/>
        <v>0</v>
      </c>
      <c r="AS23" s="36">
        <f t="shared" si="13"/>
        <v>0</v>
      </c>
      <c r="AT23" s="36">
        <f t="shared" si="13"/>
        <v>0</v>
      </c>
      <c r="AU23" s="36">
        <f t="shared" si="13"/>
        <v>0</v>
      </c>
      <c r="AV23" s="36">
        <f t="shared" si="13"/>
        <v>0</v>
      </c>
      <c r="AW23" s="36">
        <f t="shared" si="13"/>
        <v>0</v>
      </c>
      <c r="AX23" s="36">
        <f t="shared" si="13"/>
        <v>0</v>
      </c>
      <c r="AY23" s="36">
        <f t="shared" si="13"/>
        <v>0</v>
      </c>
      <c r="AZ23" s="36">
        <f t="shared" si="13"/>
        <v>0</v>
      </c>
      <c r="BA23" s="36">
        <f t="shared" si="13"/>
        <v>0</v>
      </c>
      <c r="BB23" s="36">
        <f t="shared" si="13"/>
        <v>0</v>
      </c>
      <c r="BC23" s="36">
        <f t="shared" si="13"/>
        <v>0</v>
      </c>
      <c r="BD23" s="36">
        <f t="shared" si="13"/>
        <v>0</v>
      </c>
      <c r="BE23" s="36">
        <f t="shared" si="13"/>
        <v>0</v>
      </c>
      <c r="BF23" s="36">
        <f t="shared" si="13"/>
        <v>0</v>
      </c>
      <c r="BG23" s="36">
        <f t="shared" si="13"/>
        <v>0</v>
      </c>
      <c r="BH23" s="36">
        <f t="shared" si="13"/>
        <v>0</v>
      </c>
      <c r="BI23" s="36">
        <f t="shared" si="13"/>
        <v>0</v>
      </c>
      <c r="BJ23" s="36">
        <f t="shared" si="13"/>
        <v>0</v>
      </c>
      <c r="BK23" s="36">
        <f t="shared" si="13"/>
        <v>0</v>
      </c>
      <c r="BL23" s="36">
        <f t="shared" si="13"/>
        <v>0</v>
      </c>
      <c r="BM23" s="36">
        <f t="shared" si="13"/>
        <v>0</v>
      </c>
      <c r="BN23" s="36">
        <f t="shared" si="13"/>
        <v>0</v>
      </c>
      <c r="BO23" s="36">
        <f t="shared" ref="BO23:CK23" si="14">-BO52</f>
        <v>0</v>
      </c>
      <c r="BP23" s="36">
        <f t="shared" si="14"/>
        <v>0</v>
      </c>
      <c r="BQ23" s="36">
        <f t="shared" si="14"/>
        <v>0</v>
      </c>
      <c r="BR23" s="36">
        <f t="shared" si="14"/>
        <v>0</v>
      </c>
      <c r="BS23" s="36">
        <f t="shared" si="14"/>
        <v>0</v>
      </c>
      <c r="BT23" s="36">
        <f t="shared" si="14"/>
        <v>0</v>
      </c>
      <c r="BU23" s="36">
        <f t="shared" si="14"/>
        <v>0</v>
      </c>
      <c r="BV23" s="36">
        <f t="shared" si="14"/>
        <v>0</v>
      </c>
      <c r="BW23" s="36">
        <f t="shared" si="14"/>
        <v>0</v>
      </c>
      <c r="BX23" s="36">
        <f t="shared" si="14"/>
        <v>0</v>
      </c>
      <c r="BY23" s="36">
        <f t="shared" si="14"/>
        <v>0</v>
      </c>
      <c r="BZ23" s="36">
        <f t="shared" si="14"/>
        <v>0</v>
      </c>
      <c r="CA23" s="36">
        <f t="shared" si="14"/>
        <v>0</v>
      </c>
      <c r="CB23" s="36">
        <f t="shared" si="14"/>
        <v>0</v>
      </c>
      <c r="CC23" s="36">
        <f t="shared" si="14"/>
        <v>0</v>
      </c>
      <c r="CD23" s="36">
        <f t="shared" si="14"/>
        <v>0</v>
      </c>
      <c r="CE23" s="36">
        <f t="shared" si="14"/>
        <v>0</v>
      </c>
      <c r="CF23" s="36">
        <f t="shared" si="14"/>
        <v>0</v>
      </c>
      <c r="CG23" s="36">
        <f t="shared" si="14"/>
        <v>0</v>
      </c>
      <c r="CH23" s="36">
        <f t="shared" si="14"/>
        <v>0</v>
      </c>
      <c r="CI23" s="36">
        <f t="shared" si="14"/>
        <v>0</v>
      </c>
      <c r="CJ23" s="36">
        <f t="shared" si="14"/>
        <v>0</v>
      </c>
      <c r="CK23" s="36">
        <f t="shared" si="14"/>
        <v>0</v>
      </c>
    </row>
    <row r="24" spans="1:89">
      <c r="A24" s="23" t="s">
        <v>163</v>
      </c>
      <c r="B24" s="33">
        <f>B67</f>
        <v>1834389.2599999905</v>
      </c>
      <c r="C24" s="33">
        <f t="shared" ref="C24:BN24" si="15">C67</f>
        <v>925673.07999998331</v>
      </c>
      <c r="D24" s="33">
        <f t="shared" si="15"/>
        <v>0</v>
      </c>
      <c r="E24" s="33">
        <f t="shared" si="15"/>
        <v>55020129.629999995</v>
      </c>
      <c r="F24" s="33">
        <f t="shared" si="15"/>
        <v>2234606.9099999964</v>
      </c>
      <c r="G24" s="33">
        <f t="shared" si="15"/>
        <v>1005519.3700000048</v>
      </c>
      <c r="H24" s="33">
        <f t="shared" si="15"/>
        <v>0</v>
      </c>
      <c r="I24" s="33">
        <f t="shared" si="15"/>
        <v>289157870.09999996</v>
      </c>
      <c r="J24" s="33">
        <f t="shared" si="15"/>
        <v>213180522.73000002</v>
      </c>
      <c r="K24" s="33">
        <f t="shared" si="15"/>
        <v>190825180.55000001</v>
      </c>
      <c r="L24" s="33">
        <f t="shared" si="15"/>
        <v>0</v>
      </c>
      <c r="M24" s="33">
        <f t="shared" si="15"/>
        <v>934487706.18999994</v>
      </c>
      <c r="N24" s="33">
        <f t="shared" si="15"/>
        <v>927982151.03999996</v>
      </c>
      <c r="O24" s="33">
        <f t="shared" si="15"/>
        <v>79983204.839999974</v>
      </c>
      <c r="P24" s="33">
        <f t="shared" si="15"/>
        <v>0</v>
      </c>
      <c r="Q24" s="33">
        <f t="shared" si="15"/>
        <v>7967386.7099999785</v>
      </c>
      <c r="R24" s="33">
        <f t="shared" si="15"/>
        <v>5952926.2199999988</v>
      </c>
      <c r="S24" s="33">
        <f t="shared" si="15"/>
        <v>1265414</v>
      </c>
      <c r="T24" s="33">
        <f t="shared" si="15"/>
        <v>0</v>
      </c>
      <c r="U24" s="33">
        <f t="shared" si="15"/>
        <v>-124623073.77000001</v>
      </c>
      <c r="V24" s="33">
        <f t="shared" si="15"/>
        <v>-165451603.54999998</v>
      </c>
      <c r="W24" s="33">
        <f t="shared" si="15"/>
        <v>-157412474.31</v>
      </c>
      <c r="X24" s="33">
        <f t="shared" si="15"/>
        <v>1489054.4200000018</v>
      </c>
      <c r="Y24" s="33">
        <f t="shared" si="15"/>
        <v>156426642.10999995</v>
      </c>
      <c r="Z24" s="33">
        <f t="shared" si="15"/>
        <v>152814403.46000001</v>
      </c>
      <c r="AA24" s="33">
        <f t="shared" si="15"/>
        <v>152614767.44999999</v>
      </c>
      <c r="AB24" s="33">
        <f t="shared" si="15"/>
        <v>151747645.91</v>
      </c>
      <c r="AC24" s="33">
        <f t="shared" si="15"/>
        <v>2884505.1999999881</v>
      </c>
      <c r="AD24" s="33">
        <f t="shared" si="15"/>
        <v>-13941498.210000008</v>
      </c>
      <c r="AE24" s="33">
        <f t="shared" si="15"/>
        <v>3937500</v>
      </c>
      <c r="AF24" s="33">
        <f t="shared" si="15"/>
        <v>37710</v>
      </c>
      <c r="AG24" s="33">
        <f t="shared" si="15"/>
        <v>-8047922.6299999952</v>
      </c>
      <c r="AH24" s="33">
        <f t="shared" si="15"/>
        <v>-8173224.6100000143</v>
      </c>
      <c r="AI24" s="33">
        <f t="shared" si="15"/>
        <v>-6583661.7199999988</v>
      </c>
      <c r="AJ24" s="33">
        <f t="shared" si="15"/>
        <v>-21430.629999995232</v>
      </c>
      <c r="AK24" s="33">
        <f t="shared" si="15"/>
        <v>4466039.2100000083</v>
      </c>
      <c r="AL24" s="33">
        <f t="shared" si="15"/>
        <v>3937500</v>
      </c>
      <c r="AM24" s="33">
        <f t="shared" si="15"/>
        <v>3937500</v>
      </c>
      <c r="AN24" s="33">
        <f t="shared" si="15"/>
        <v>0</v>
      </c>
      <c r="AO24" s="33">
        <f t="shared" si="15"/>
        <v>175967870.43000001</v>
      </c>
      <c r="AP24" s="33">
        <f t="shared" si="15"/>
        <v>5029496.2899999917</v>
      </c>
      <c r="AQ24" s="33">
        <f t="shared" si="15"/>
        <v>4736035.099999994</v>
      </c>
      <c r="AR24" s="33">
        <f t="shared" si="15"/>
        <v>4868227.6099999994</v>
      </c>
      <c r="AS24" s="33">
        <f t="shared" si="15"/>
        <v>1021045.0499999821</v>
      </c>
      <c r="AT24" s="33">
        <f t="shared" si="15"/>
        <v>3145948.9100000262</v>
      </c>
      <c r="AU24" s="33">
        <f t="shared" si="15"/>
        <v>3221938.3999999762</v>
      </c>
      <c r="AV24" s="33">
        <f t="shared" si="15"/>
        <v>0</v>
      </c>
      <c r="AW24" s="33">
        <f t="shared" si="15"/>
        <v>106002085.7</v>
      </c>
      <c r="AX24" s="33">
        <f t="shared" si="15"/>
        <v>78146813.989999995</v>
      </c>
      <c r="AY24" s="33">
        <f t="shared" si="15"/>
        <v>31508275.550000001</v>
      </c>
      <c r="AZ24" s="33">
        <f t="shared" si="15"/>
        <v>6818330.1399999997</v>
      </c>
      <c r="BA24" s="33">
        <f t="shared" si="15"/>
        <v>-52414533.450000003</v>
      </c>
      <c r="BB24" s="33">
        <f t="shared" si="15"/>
        <v>-47415743.689999998</v>
      </c>
      <c r="BC24" s="33">
        <f t="shared" si="15"/>
        <v>-4476487.08</v>
      </c>
      <c r="BD24" s="33">
        <f t="shared" si="15"/>
        <v>13731417.210000001</v>
      </c>
      <c r="BE24" s="33">
        <f t="shared" si="15"/>
        <v>74080792.579999998</v>
      </c>
      <c r="BF24" s="33">
        <f t="shared" si="15"/>
        <v>53634658.140000001</v>
      </c>
      <c r="BG24" s="33">
        <f t="shared" si="15"/>
        <v>44718368.039999999</v>
      </c>
      <c r="BH24" s="33">
        <f t="shared" si="15"/>
        <v>13012623.23</v>
      </c>
      <c r="BI24" s="33">
        <f t="shared" si="15"/>
        <v>129351232.81999999</v>
      </c>
      <c r="BJ24" s="33">
        <f t="shared" si="15"/>
        <v>126231548.87</v>
      </c>
      <c r="BK24" s="33">
        <f t="shared" si="15"/>
        <v>99137772.019999996</v>
      </c>
      <c r="BL24" s="33">
        <f t="shared" si="15"/>
        <v>21058739.870000001</v>
      </c>
      <c r="BM24" s="33">
        <f t="shared" si="15"/>
        <v>80579243.650000006</v>
      </c>
      <c r="BN24" s="33">
        <f t="shared" si="15"/>
        <v>68017088.620000005</v>
      </c>
      <c r="BO24" s="33">
        <f t="shared" ref="BO24:CJ24" si="16">BO67</f>
        <v>47536007.049999997</v>
      </c>
      <c r="BP24" s="33">
        <f t="shared" si="16"/>
        <v>23536334.48</v>
      </c>
      <c r="BQ24" s="33">
        <f t="shared" si="16"/>
        <v>47111894.539999999</v>
      </c>
      <c r="BR24" s="33">
        <f t="shared" si="16"/>
        <v>43130624.329999998</v>
      </c>
      <c r="BS24" s="33">
        <f t="shared" si="16"/>
        <v>110636895.03</v>
      </c>
      <c r="BT24" s="33">
        <f t="shared" si="16"/>
        <v>55492097.759999998</v>
      </c>
      <c r="BU24" s="33">
        <f t="shared" si="16"/>
        <v>42252799.109999999</v>
      </c>
      <c r="BV24" s="33">
        <f t="shared" si="16"/>
        <v>-8467811.9100000001</v>
      </c>
      <c r="BW24" s="33">
        <f t="shared" si="16"/>
        <v>44423828.259999998</v>
      </c>
      <c r="BX24" s="33">
        <f t="shared" si="16"/>
        <v>-2405395.41</v>
      </c>
      <c r="BY24" s="33">
        <f t="shared" si="16"/>
        <v>43588942.600000001</v>
      </c>
      <c r="BZ24" s="33">
        <f t="shared" si="16"/>
        <v>2100000</v>
      </c>
      <c r="CA24" s="33">
        <f t="shared" si="16"/>
        <v>5299206.3</v>
      </c>
      <c r="CB24" s="33">
        <f t="shared" si="16"/>
        <v>3033836.53</v>
      </c>
      <c r="CC24" s="33">
        <f t="shared" si="16"/>
        <v>10641347.550000001</v>
      </c>
      <c r="CD24" s="33">
        <f t="shared" si="16"/>
        <v>5790000</v>
      </c>
      <c r="CE24" s="33">
        <f t="shared" si="16"/>
        <v>7729000</v>
      </c>
      <c r="CF24" s="33">
        <f t="shared" si="16"/>
        <v>2092581.44</v>
      </c>
      <c r="CG24" s="33">
        <f t="shared" si="16"/>
        <v>0</v>
      </c>
      <c r="CH24" s="33">
        <f t="shared" si="16"/>
        <v>0</v>
      </c>
      <c r="CI24" s="33">
        <f t="shared" si="16"/>
        <v>0</v>
      </c>
      <c r="CJ24" s="33">
        <f t="shared" si="16"/>
        <v>0</v>
      </c>
    </row>
    <row r="25" spans="1:89" s="9" customFormat="1">
      <c r="A25" s="27" t="s">
        <v>161</v>
      </c>
      <c r="B25" s="36">
        <f>-B54</f>
        <v>-3104</v>
      </c>
      <c r="C25" s="36">
        <f t="shared" ref="C25:BN25" si="17">-C54</f>
        <v>1424</v>
      </c>
      <c r="D25" s="36">
        <f t="shared" si="17"/>
        <v>340</v>
      </c>
      <c r="E25" s="36">
        <f t="shared" si="17"/>
        <v>-31036899.960000001</v>
      </c>
      <c r="F25" s="36">
        <f t="shared" si="17"/>
        <v>-2684</v>
      </c>
      <c r="G25" s="36">
        <f t="shared" si="17"/>
        <v>377</v>
      </c>
      <c r="H25" s="36">
        <f t="shared" si="17"/>
        <v>-1008</v>
      </c>
      <c r="I25" s="36">
        <f t="shared" si="17"/>
        <v>14236468.01</v>
      </c>
      <c r="J25" s="36">
        <f t="shared" si="17"/>
        <v>0</v>
      </c>
      <c r="K25" s="36">
        <f t="shared" si="17"/>
        <v>0</v>
      </c>
      <c r="L25" s="36">
        <f t="shared" si="17"/>
        <v>0</v>
      </c>
      <c r="M25" s="36">
        <f t="shared" si="17"/>
        <v>0</v>
      </c>
      <c r="N25" s="36">
        <f t="shared" si="17"/>
        <v>0</v>
      </c>
      <c r="O25" s="36">
        <f t="shared" si="17"/>
        <v>0</v>
      </c>
      <c r="P25" s="36">
        <f t="shared" si="17"/>
        <v>0</v>
      </c>
      <c r="Q25" s="36">
        <f t="shared" si="17"/>
        <v>0</v>
      </c>
      <c r="R25" s="36">
        <f t="shared" si="17"/>
        <v>0</v>
      </c>
      <c r="S25" s="36">
        <f t="shared" si="17"/>
        <v>0</v>
      </c>
      <c r="T25" s="36">
        <f t="shared" si="17"/>
        <v>0</v>
      </c>
      <c r="U25" s="36">
        <f t="shared" si="17"/>
        <v>0</v>
      </c>
      <c r="V25" s="36">
        <f t="shared" si="17"/>
        <v>0</v>
      </c>
      <c r="W25" s="36">
        <f t="shared" si="17"/>
        <v>0</v>
      </c>
      <c r="X25" s="36">
        <f t="shared" si="17"/>
        <v>0</v>
      </c>
      <c r="Y25" s="36">
        <f t="shared" si="17"/>
        <v>0</v>
      </c>
      <c r="Z25" s="36">
        <f t="shared" si="17"/>
        <v>0</v>
      </c>
      <c r="AA25" s="36">
        <f t="shared" si="17"/>
        <v>0</v>
      </c>
      <c r="AB25" s="36">
        <f t="shared" si="17"/>
        <v>0</v>
      </c>
      <c r="AC25" s="36">
        <f t="shared" si="17"/>
        <v>0</v>
      </c>
      <c r="AD25" s="36">
        <f t="shared" si="17"/>
        <v>0</v>
      </c>
      <c r="AE25" s="36">
        <f t="shared" si="17"/>
        <v>0</v>
      </c>
      <c r="AF25" s="36">
        <f t="shared" si="17"/>
        <v>0</v>
      </c>
      <c r="AG25" s="36">
        <f t="shared" si="17"/>
        <v>0</v>
      </c>
      <c r="AH25" s="36">
        <f t="shared" si="17"/>
        <v>0</v>
      </c>
      <c r="AI25" s="36">
        <f t="shared" si="17"/>
        <v>0</v>
      </c>
      <c r="AJ25" s="36">
        <f t="shared" si="17"/>
        <v>0</v>
      </c>
      <c r="AK25" s="36">
        <f t="shared" si="17"/>
        <v>0</v>
      </c>
      <c r="AL25" s="36">
        <f t="shared" si="17"/>
        <v>0</v>
      </c>
      <c r="AM25" s="36">
        <f t="shared" si="17"/>
        <v>0</v>
      </c>
      <c r="AN25" s="36">
        <f t="shared" si="17"/>
        <v>0</v>
      </c>
      <c r="AO25" s="36">
        <f t="shared" si="17"/>
        <v>0</v>
      </c>
      <c r="AP25" s="36">
        <f t="shared" si="17"/>
        <v>0</v>
      </c>
      <c r="AQ25" s="36">
        <f t="shared" si="17"/>
        <v>0</v>
      </c>
      <c r="AR25" s="36">
        <f t="shared" si="17"/>
        <v>0</v>
      </c>
      <c r="AS25" s="36">
        <f t="shared" si="17"/>
        <v>0</v>
      </c>
      <c r="AT25" s="36">
        <f t="shared" si="17"/>
        <v>0</v>
      </c>
      <c r="AU25" s="36">
        <f t="shared" si="17"/>
        <v>0</v>
      </c>
      <c r="AV25" s="36">
        <f t="shared" si="17"/>
        <v>0</v>
      </c>
      <c r="AW25" s="36">
        <f t="shared" si="17"/>
        <v>0</v>
      </c>
      <c r="AX25" s="36">
        <f t="shared" si="17"/>
        <v>0</v>
      </c>
      <c r="AY25" s="36">
        <f t="shared" si="17"/>
        <v>0</v>
      </c>
      <c r="AZ25" s="36">
        <f t="shared" si="17"/>
        <v>0</v>
      </c>
      <c r="BA25" s="36">
        <f t="shared" si="17"/>
        <v>0</v>
      </c>
      <c r="BB25" s="36">
        <f t="shared" si="17"/>
        <v>0</v>
      </c>
      <c r="BC25" s="36">
        <f t="shared" si="17"/>
        <v>0</v>
      </c>
      <c r="BD25" s="36">
        <f t="shared" si="17"/>
        <v>0</v>
      </c>
      <c r="BE25" s="36">
        <f t="shared" si="17"/>
        <v>0</v>
      </c>
      <c r="BF25" s="36">
        <f t="shared" si="17"/>
        <v>0</v>
      </c>
      <c r="BG25" s="36">
        <f t="shared" si="17"/>
        <v>0</v>
      </c>
      <c r="BH25" s="36">
        <f t="shared" si="17"/>
        <v>0</v>
      </c>
      <c r="BI25" s="36">
        <f t="shared" si="17"/>
        <v>0</v>
      </c>
      <c r="BJ25" s="36">
        <f t="shared" si="17"/>
        <v>0</v>
      </c>
      <c r="BK25" s="36">
        <f t="shared" si="17"/>
        <v>0</v>
      </c>
      <c r="BL25" s="36">
        <f t="shared" si="17"/>
        <v>0</v>
      </c>
      <c r="BM25" s="36">
        <f t="shared" si="17"/>
        <v>0</v>
      </c>
      <c r="BN25" s="36">
        <f t="shared" si="17"/>
        <v>0</v>
      </c>
      <c r="BO25" s="36">
        <f t="shared" ref="BO25:CK25" si="18">-BO54</f>
        <v>0</v>
      </c>
      <c r="BP25" s="36">
        <f t="shared" si="18"/>
        <v>0</v>
      </c>
      <c r="BQ25" s="36">
        <f t="shared" si="18"/>
        <v>0</v>
      </c>
      <c r="BR25" s="36">
        <f t="shared" si="18"/>
        <v>0</v>
      </c>
      <c r="BS25" s="36">
        <f t="shared" si="18"/>
        <v>0</v>
      </c>
      <c r="BT25" s="36">
        <f t="shared" si="18"/>
        <v>0</v>
      </c>
      <c r="BU25" s="36">
        <f t="shared" si="18"/>
        <v>0</v>
      </c>
      <c r="BV25" s="36">
        <f t="shared" si="18"/>
        <v>0</v>
      </c>
      <c r="BW25" s="36">
        <f t="shared" si="18"/>
        <v>0</v>
      </c>
      <c r="BX25" s="36">
        <f t="shared" si="18"/>
        <v>0</v>
      </c>
      <c r="BY25" s="36">
        <f t="shared" si="18"/>
        <v>0</v>
      </c>
      <c r="BZ25" s="36">
        <f t="shared" si="18"/>
        <v>0</v>
      </c>
      <c r="CA25" s="36">
        <f t="shared" si="18"/>
        <v>0</v>
      </c>
      <c r="CB25" s="36">
        <f t="shared" si="18"/>
        <v>0</v>
      </c>
      <c r="CC25" s="36">
        <f t="shared" si="18"/>
        <v>0</v>
      </c>
      <c r="CD25" s="36">
        <f t="shared" si="18"/>
        <v>0</v>
      </c>
      <c r="CE25" s="36">
        <f t="shared" si="18"/>
        <v>0</v>
      </c>
      <c r="CF25" s="36">
        <f t="shared" si="18"/>
        <v>0</v>
      </c>
      <c r="CG25" s="36">
        <f t="shared" si="18"/>
        <v>0</v>
      </c>
      <c r="CH25" s="36">
        <f t="shared" si="18"/>
        <v>0</v>
      </c>
      <c r="CI25" s="36">
        <f t="shared" si="18"/>
        <v>0</v>
      </c>
      <c r="CJ25" s="36">
        <f t="shared" si="18"/>
        <v>0</v>
      </c>
      <c r="CK25" s="36">
        <f t="shared" si="18"/>
        <v>0</v>
      </c>
    </row>
    <row r="26" spans="1:89">
      <c r="A26" s="23" t="s">
        <v>358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127</v>
      </c>
      <c r="B27" s="33">
        <f>SUM(B22:B26)</f>
        <v>-8064688.9600000102</v>
      </c>
      <c r="C27" s="33">
        <f t="shared" ref="C27:BN27" si="19">SUM(C22:C26)</f>
        <v>-17081750.740000017</v>
      </c>
      <c r="D27" s="33">
        <f t="shared" si="19"/>
        <v>-304925.65000000002</v>
      </c>
      <c r="E27" s="33">
        <f t="shared" si="19"/>
        <v>232254428.28000006</v>
      </c>
      <c r="F27" s="33">
        <f t="shared" si="19"/>
        <v>1089086.9399999965</v>
      </c>
      <c r="G27" s="33">
        <f t="shared" si="19"/>
        <v>7585628.8400000045</v>
      </c>
      <c r="H27" s="33">
        <f t="shared" si="19"/>
        <v>8812074.1999999993</v>
      </c>
      <c r="I27" s="33">
        <f t="shared" si="19"/>
        <v>579590919.80999994</v>
      </c>
      <c r="J27" s="33">
        <f t="shared" si="19"/>
        <v>184814178.28000003</v>
      </c>
      <c r="K27" s="33">
        <f t="shared" si="19"/>
        <v>163952038.71000001</v>
      </c>
      <c r="L27" s="33">
        <f t="shared" si="19"/>
        <v>-21554469.379999999</v>
      </c>
      <c r="M27" s="33">
        <f t="shared" si="19"/>
        <v>940106245.94999993</v>
      </c>
      <c r="N27" s="33">
        <f t="shared" si="19"/>
        <v>1007109303.6799999</v>
      </c>
      <c r="O27" s="33">
        <f t="shared" si="19"/>
        <v>101144357.89999998</v>
      </c>
      <c r="P27" s="33">
        <f t="shared" si="19"/>
        <v>16491510.01</v>
      </c>
      <c r="Q27" s="33">
        <f t="shared" si="19"/>
        <v>20645886.05999998</v>
      </c>
      <c r="R27" s="33">
        <f t="shared" si="19"/>
        <v>13059355.739999998</v>
      </c>
      <c r="S27" s="33">
        <f t="shared" si="19"/>
        <v>-9390586.9900000002</v>
      </c>
      <c r="T27" s="33">
        <f t="shared" si="19"/>
        <v>-2020226.36</v>
      </c>
      <c r="U27" s="33">
        <f t="shared" si="19"/>
        <v>-150177813.42000002</v>
      </c>
      <c r="V27" s="33">
        <f t="shared" si="19"/>
        <v>-128743086.16999999</v>
      </c>
      <c r="W27" s="33">
        <f t="shared" si="19"/>
        <v>-145502523.11000001</v>
      </c>
      <c r="X27" s="33">
        <f t="shared" si="19"/>
        <v>918597.47000000183</v>
      </c>
      <c r="Y27" s="33">
        <f t="shared" si="19"/>
        <v>122436904.28999996</v>
      </c>
      <c r="Z27" s="33">
        <f t="shared" si="19"/>
        <v>121474136.35000001</v>
      </c>
      <c r="AA27" s="33">
        <f t="shared" si="19"/>
        <v>155124631.04999998</v>
      </c>
      <c r="AB27" s="33">
        <f t="shared" si="19"/>
        <v>158622886.96000001</v>
      </c>
      <c r="AC27" s="33">
        <f t="shared" si="19"/>
        <v>8062308.8999999883</v>
      </c>
      <c r="AD27" s="33">
        <f t="shared" si="19"/>
        <v>-9033517.8500000089</v>
      </c>
      <c r="AE27" s="33">
        <f t="shared" si="19"/>
        <v>3649534.07</v>
      </c>
      <c r="AF27" s="33">
        <f t="shared" si="19"/>
        <v>-124785.17000000001</v>
      </c>
      <c r="AG27" s="33">
        <f t="shared" si="19"/>
        <v>-3851279.1299999952</v>
      </c>
      <c r="AH27" s="33">
        <f t="shared" si="19"/>
        <v>-2842416.4900000142</v>
      </c>
      <c r="AI27" s="33">
        <f t="shared" si="19"/>
        <v>-2662862.4999999986</v>
      </c>
      <c r="AJ27" s="33">
        <f t="shared" si="19"/>
        <v>-683160.42999999528</v>
      </c>
      <c r="AK27" s="33">
        <f t="shared" si="19"/>
        <v>61614881.820000008</v>
      </c>
      <c r="AL27" s="33">
        <f t="shared" si="19"/>
        <v>3937500</v>
      </c>
      <c r="AM27" s="33">
        <f t="shared" si="19"/>
        <v>3937500</v>
      </c>
      <c r="AN27" s="33">
        <f t="shared" si="19"/>
        <v>0</v>
      </c>
      <c r="AO27" s="33">
        <f t="shared" si="19"/>
        <v>175967870.43000001</v>
      </c>
      <c r="AP27" s="33">
        <f t="shared" si="19"/>
        <v>5029496.2899999917</v>
      </c>
      <c r="AQ27" s="33">
        <f t="shared" si="19"/>
        <v>4736035.099999994</v>
      </c>
      <c r="AR27" s="33">
        <f t="shared" si="19"/>
        <v>4868227.6099999994</v>
      </c>
      <c r="AS27" s="33">
        <f t="shared" si="19"/>
        <v>1021045.0499999821</v>
      </c>
      <c r="AT27" s="33">
        <f t="shared" si="19"/>
        <v>3145948.9100000262</v>
      </c>
      <c r="AU27" s="33">
        <f t="shared" si="19"/>
        <v>3221938.3999999762</v>
      </c>
      <c r="AV27" s="33">
        <f t="shared" si="19"/>
        <v>0</v>
      </c>
      <c r="AW27" s="33">
        <f t="shared" si="19"/>
        <v>106002085.7</v>
      </c>
      <c r="AX27" s="33">
        <f t="shared" si="19"/>
        <v>78146813.989999995</v>
      </c>
      <c r="AY27" s="33">
        <f t="shared" si="19"/>
        <v>31508275.550000001</v>
      </c>
      <c r="AZ27" s="33">
        <f t="shared" si="19"/>
        <v>6818330.1399999997</v>
      </c>
      <c r="BA27" s="33">
        <f t="shared" si="19"/>
        <v>-52414533.450000003</v>
      </c>
      <c r="BB27" s="33">
        <f t="shared" si="19"/>
        <v>-47415743.689999998</v>
      </c>
      <c r="BC27" s="33">
        <f t="shared" si="19"/>
        <v>-4476487.08</v>
      </c>
      <c r="BD27" s="33">
        <f t="shared" si="19"/>
        <v>13731417.210000001</v>
      </c>
      <c r="BE27" s="33">
        <f t="shared" si="19"/>
        <v>74080792.579999998</v>
      </c>
      <c r="BF27" s="33">
        <f t="shared" si="19"/>
        <v>53634658.140000001</v>
      </c>
      <c r="BG27" s="33">
        <f t="shared" si="19"/>
        <v>44718368.039999999</v>
      </c>
      <c r="BH27" s="33">
        <f t="shared" si="19"/>
        <v>13012623.23</v>
      </c>
      <c r="BI27" s="33">
        <f t="shared" si="19"/>
        <v>129351232.81999999</v>
      </c>
      <c r="BJ27" s="33">
        <f t="shared" si="19"/>
        <v>126231548.87</v>
      </c>
      <c r="BK27" s="33">
        <f t="shared" si="19"/>
        <v>99137772.019999996</v>
      </c>
      <c r="BL27" s="33">
        <f t="shared" si="19"/>
        <v>21058739.870000001</v>
      </c>
      <c r="BM27" s="33">
        <f t="shared" si="19"/>
        <v>80579243.650000006</v>
      </c>
      <c r="BN27" s="33">
        <f t="shared" si="19"/>
        <v>68017088.620000005</v>
      </c>
      <c r="BO27" s="33">
        <f t="shared" ref="BO27:CJ27" si="20">SUM(BO22:BO26)</f>
        <v>47536007.049999997</v>
      </c>
      <c r="BP27" s="33">
        <f t="shared" si="20"/>
        <v>23536334.48</v>
      </c>
      <c r="BQ27" s="33">
        <f t="shared" si="20"/>
        <v>47111894.539999999</v>
      </c>
      <c r="BR27" s="33">
        <f t="shared" si="20"/>
        <v>43130624.329999998</v>
      </c>
      <c r="BS27" s="33">
        <f t="shared" si="20"/>
        <v>110636895.03</v>
      </c>
      <c r="BT27" s="33">
        <f t="shared" si="20"/>
        <v>55492097.759999998</v>
      </c>
      <c r="BU27" s="33">
        <f t="shared" si="20"/>
        <v>42252799.109999999</v>
      </c>
      <c r="BV27" s="33">
        <f t="shared" si="20"/>
        <v>-8467811.9100000001</v>
      </c>
      <c r="BW27" s="33">
        <f t="shared" si="20"/>
        <v>44423828.259999998</v>
      </c>
      <c r="BX27" s="33">
        <f t="shared" si="20"/>
        <v>-2405395.41</v>
      </c>
      <c r="BY27" s="33">
        <f t="shared" si="20"/>
        <v>43588942.600000001</v>
      </c>
      <c r="BZ27" s="33">
        <f t="shared" si="20"/>
        <v>2100000</v>
      </c>
      <c r="CA27" s="33">
        <f t="shared" si="20"/>
        <v>5299206.3</v>
      </c>
      <c r="CB27" s="33">
        <f t="shared" si="20"/>
        <v>3033836.53</v>
      </c>
      <c r="CC27" s="33">
        <f t="shared" si="20"/>
        <v>10641347.550000001</v>
      </c>
      <c r="CD27" s="33">
        <f t="shared" si="20"/>
        <v>5790000</v>
      </c>
      <c r="CE27" s="33">
        <f t="shared" si="20"/>
        <v>7729000</v>
      </c>
      <c r="CF27" s="33">
        <f t="shared" si="20"/>
        <v>2092581.44</v>
      </c>
      <c r="CG27" s="33">
        <f t="shared" si="20"/>
        <v>0</v>
      </c>
      <c r="CH27" s="33">
        <f t="shared" si="20"/>
        <v>0</v>
      </c>
      <c r="CI27" s="33">
        <f t="shared" si="20"/>
        <v>0</v>
      </c>
      <c r="CJ27" s="33">
        <f t="shared" si="20"/>
        <v>0</v>
      </c>
    </row>
    <row r="28" spans="1:89">
      <c r="A28" s="23" t="s">
        <v>128</v>
      </c>
      <c r="B28" s="33">
        <f>SUM(B22:B25)*B41</f>
        <v>-752239.62152881315</v>
      </c>
      <c r="C28" s="33">
        <f t="shared" ref="C28:BN28" si="21">SUM(C22:C25)*C41</f>
        <v>-1819377.4327576905</v>
      </c>
      <c r="D28" s="33">
        <f t="shared" si="21"/>
        <v>-39804.873128096471</v>
      </c>
      <c r="E28" s="33">
        <f t="shared" si="21"/>
        <v>36909031.043051749</v>
      </c>
      <c r="F28" s="33">
        <f t="shared" si="21"/>
        <v>274412.67114898108</v>
      </c>
      <c r="G28" s="33">
        <f t="shared" si="21"/>
        <v>115030.72239685872</v>
      </c>
      <c r="H28" s="33">
        <f t="shared" si="21"/>
        <v>1971.579826569541</v>
      </c>
      <c r="I28" s="33">
        <f t="shared" si="21"/>
        <v>72256907.141527221</v>
      </c>
      <c r="J28" s="33">
        <f t="shared" si="21"/>
        <v>24521394.194016777</v>
      </c>
      <c r="K28" s="33">
        <f t="shared" si="21"/>
        <v>19768241.757066395</v>
      </c>
      <c r="L28" s="33">
        <f t="shared" si="21"/>
        <v>0</v>
      </c>
      <c r="M28" s="33">
        <f t="shared" si="21"/>
        <v>-377247295.98113954</v>
      </c>
      <c r="N28" s="33">
        <f t="shared" si="21"/>
        <v>-464360351.49412763</v>
      </c>
      <c r="O28" s="33">
        <f t="shared" si="21"/>
        <v>-12900319.971496336</v>
      </c>
      <c r="P28" s="33">
        <f t="shared" si="21"/>
        <v>0</v>
      </c>
      <c r="Q28" s="33">
        <f t="shared" si="21"/>
        <v>-1086450.3246988736</v>
      </c>
      <c r="R28" s="33">
        <f t="shared" si="21"/>
        <v>-954243.87676839565</v>
      </c>
      <c r="S28" s="33">
        <f t="shared" si="21"/>
        <v>-176043.11659974864</v>
      </c>
      <c r="T28" s="33">
        <f t="shared" si="21"/>
        <v>0</v>
      </c>
      <c r="U28" s="33">
        <f t="shared" si="21"/>
        <v>13978837.305624809</v>
      </c>
      <c r="V28" s="33">
        <f t="shared" si="21"/>
        <v>19088280.459130734</v>
      </c>
      <c r="W28" s="33">
        <f t="shared" si="21"/>
        <v>13828580.994037068</v>
      </c>
      <c r="X28" s="33">
        <f t="shared" si="21"/>
        <v>-146730.72805877877</v>
      </c>
      <c r="Y28" s="33">
        <f t="shared" si="21"/>
        <v>-31609231.798333004</v>
      </c>
      <c r="Z28" s="33">
        <f t="shared" si="21"/>
        <v>-18204809.087977532</v>
      </c>
      <c r="AA28" s="33">
        <f t="shared" si="21"/>
        <v>-29131115.470804323</v>
      </c>
      <c r="AB28" s="33">
        <f t="shared" si="21"/>
        <v>-33573179.638999619</v>
      </c>
      <c r="AC28" s="33">
        <f t="shared" si="21"/>
        <v>-336204.37273713754</v>
      </c>
      <c r="AD28" s="33">
        <f t="shared" si="21"/>
        <v>2041465.7983644558</v>
      </c>
      <c r="AE28" s="33">
        <f t="shared" si="21"/>
        <v>-593160.38407242065</v>
      </c>
      <c r="AF28" s="33">
        <f t="shared" si="21"/>
        <v>-5856.1492036056152</v>
      </c>
      <c r="AG28" s="33">
        <f t="shared" si="21"/>
        <v>994965.3253551909</v>
      </c>
      <c r="AH28" s="33">
        <f t="shared" si="21"/>
        <v>1108501.4230455412</v>
      </c>
      <c r="AI28" s="33">
        <f t="shared" si="21"/>
        <v>919114.78919216013</v>
      </c>
      <c r="AJ28" s="33">
        <f t="shared" si="21"/>
        <v>3091.1032203913219</v>
      </c>
      <c r="AK28" s="33">
        <f t="shared" si="21"/>
        <v>-551894.55035284755</v>
      </c>
      <c r="AL28" s="33">
        <f t="shared" si="21"/>
        <v>-612254.09775445377</v>
      </c>
      <c r="AM28" s="33">
        <f t="shared" si="21"/>
        <v>-649346.91326804901</v>
      </c>
      <c r="AN28" s="33">
        <f t="shared" si="21"/>
        <v>0</v>
      </c>
      <c r="AO28" s="33">
        <f t="shared" si="21"/>
        <v>-32199459.525364257</v>
      </c>
      <c r="AP28" s="33">
        <f t="shared" si="21"/>
        <v>-1083746.3919783807</v>
      </c>
      <c r="AQ28" s="33">
        <f t="shared" si="21"/>
        <v>-1124060.946093095</v>
      </c>
      <c r="AR28" s="33">
        <f t="shared" si="21"/>
        <v>-1078902.0053895039</v>
      </c>
      <c r="AS28" s="33">
        <f t="shared" si="21"/>
        <v>-162206.68551140465</v>
      </c>
      <c r="AT28" s="33">
        <f t="shared" si="21"/>
        <v>-761990.20707005507</v>
      </c>
      <c r="AU28" s="33">
        <f t="shared" si="21"/>
        <v>-775176.89752877573</v>
      </c>
      <c r="AV28" s="33">
        <f t="shared" si="21"/>
        <v>0</v>
      </c>
      <c r="AW28" s="33">
        <f t="shared" si="21"/>
        <v>-14627158.785572134</v>
      </c>
      <c r="AX28" s="33">
        <f t="shared" si="21"/>
        <v>-9631810.5466673449</v>
      </c>
      <c r="AY28" s="33">
        <f t="shared" si="21"/>
        <v>-3420330.2247139388</v>
      </c>
      <c r="AZ28" s="33">
        <f t="shared" si="21"/>
        <v>-814377.14702227607</v>
      </c>
      <c r="BA28" s="33">
        <f t="shared" si="21"/>
        <v>5966077.6041587926</v>
      </c>
      <c r="BB28" s="33">
        <f t="shared" si="21"/>
        <v>6300436.5747672115</v>
      </c>
      <c r="BC28" s="33">
        <f t="shared" si="21"/>
        <v>663764.85283110908</v>
      </c>
      <c r="BD28" s="33">
        <f t="shared" si="21"/>
        <v>-2124529.008743681</v>
      </c>
      <c r="BE28" s="33">
        <f t="shared" si="21"/>
        <v>-10679520.349775378</v>
      </c>
      <c r="BF28" s="33">
        <f t="shared" si="21"/>
        <v>-8716996.2377928663</v>
      </c>
      <c r="BG28" s="33">
        <f t="shared" si="21"/>
        <v>-8058157.1145324921</v>
      </c>
      <c r="BH28" s="33">
        <f t="shared" si="21"/>
        <v>-2325582.6869395501</v>
      </c>
      <c r="BI28" s="33">
        <f t="shared" si="21"/>
        <v>-32567755.91497077</v>
      </c>
      <c r="BJ28" s="33">
        <f t="shared" si="21"/>
        <v>-29074704.350034341</v>
      </c>
      <c r="BK28" s="33">
        <f t="shared" si="21"/>
        <v>-24489462.647062123</v>
      </c>
      <c r="BL28" s="33">
        <f t="shared" si="21"/>
        <v>-3420092.5743421717</v>
      </c>
      <c r="BM28" s="33">
        <f t="shared" si="21"/>
        <v>-13305640.401392072</v>
      </c>
      <c r="BN28" s="33">
        <f t="shared" si="21"/>
        <v>-12353473.838119274</v>
      </c>
      <c r="BO28" s="33">
        <f t="shared" ref="BO28:CJ28" si="22">SUM(BO22:BO25)*BO41</f>
        <v>-9059426.9569603093</v>
      </c>
      <c r="BP28" s="33">
        <f t="shared" si="22"/>
        <v>-4358297.5161470035</v>
      </c>
      <c r="BQ28" s="33">
        <f t="shared" si="22"/>
        <v>-7790786.5418251129</v>
      </c>
      <c r="BR28" s="33">
        <f t="shared" si="22"/>
        <v>-8504875.4041034151</v>
      </c>
      <c r="BS28" s="33">
        <f t="shared" si="22"/>
        <v>-16085391.695630245</v>
      </c>
      <c r="BT28" s="33">
        <f t="shared" si="22"/>
        <v>-12645290.709722973</v>
      </c>
      <c r="BU28" s="33">
        <f t="shared" si="22"/>
        <v>-7407016.5504189599</v>
      </c>
      <c r="BV28" s="33">
        <f t="shared" si="22"/>
        <v>1405062.7742378167</v>
      </c>
      <c r="BW28" s="33">
        <f t="shared" si="22"/>
        <v>-4129372.8409806667</v>
      </c>
      <c r="BX28" s="33">
        <f t="shared" si="22"/>
        <v>0</v>
      </c>
      <c r="BY28" s="33">
        <f t="shared" si="22"/>
        <v>-3793236.4297346105</v>
      </c>
      <c r="BZ28" s="33">
        <f t="shared" si="22"/>
        <v>1624615.5</v>
      </c>
      <c r="CA28" s="33">
        <f t="shared" si="22"/>
        <v>-43499.330592916347</v>
      </c>
      <c r="CB28" s="33">
        <f t="shared" si="22"/>
        <v>9698012.9700000007</v>
      </c>
      <c r="CC28" s="33">
        <f t="shared" si="22"/>
        <v>-1427432.1228543303</v>
      </c>
      <c r="CD28" s="33">
        <f t="shared" si="22"/>
        <v>19730000</v>
      </c>
      <c r="CE28" s="33">
        <f t="shared" si="22"/>
        <v>27810000</v>
      </c>
      <c r="CF28" s="33">
        <f t="shared" si="22"/>
        <v>-4157945.7038487508</v>
      </c>
      <c r="CG28" s="33">
        <f t="shared" si="22"/>
        <v>0</v>
      </c>
      <c r="CH28" s="33">
        <f t="shared" si="22"/>
        <v>0</v>
      </c>
      <c r="CI28" s="33">
        <f t="shared" si="22"/>
        <v>0</v>
      </c>
      <c r="CJ28" s="33">
        <f t="shared" si="22"/>
        <v>0</v>
      </c>
    </row>
    <row r="29" spans="1:89" s="2" customFormat="1">
      <c r="A29" s="26" t="s">
        <v>131</v>
      </c>
      <c r="B29" s="35">
        <f>B27-B28</f>
        <v>-7312449.3384711966</v>
      </c>
      <c r="C29" s="35">
        <f t="shared" ref="C29:BN29" si="23">C27-C28</f>
        <v>-15262373.307242326</v>
      </c>
      <c r="D29" s="35">
        <f t="shared" si="23"/>
        <v>-265120.77687190357</v>
      </c>
      <c r="E29" s="35">
        <f t="shared" si="23"/>
        <v>195345397.23694831</v>
      </c>
      <c r="F29" s="35">
        <f t="shared" si="23"/>
        <v>814674.26885101537</v>
      </c>
      <c r="G29" s="35">
        <f t="shared" si="23"/>
        <v>7470598.1176031455</v>
      </c>
      <c r="H29" s="35">
        <f t="shared" si="23"/>
        <v>8810102.6201734301</v>
      </c>
      <c r="I29" s="35">
        <f t="shared" si="23"/>
        <v>507334012.66847271</v>
      </c>
      <c r="J29" s="35">
        <f t="shared" si="23"/>
        <v>160292784.08598325</v>
      </c>
      <c r="K29" s="35">
        <f t="shared" si="23"/>
        <v>144183796.95293361</v>
      </c>
      <c r="L29" s="35">
        <f t="shared" si="23"/>
        <v>-21554469.379999999</v>
      </c>
      <c r="M29" s="35">
        <f t="shared" si="23"/>
        <v>1317353541.9311395</v>
      </c>
      <c r="N29" s="35">
        <f t="shared" si="23"/>
        <v>1471469655.1741276</v>
      </c>
      <c r="O29" s="35">
        <f t="shared" si="23"/>
        <v>114044677.87149632</v>
      </c>
      <c r="P29" s="35">
        <f t="shared" si="23"/>
        <v>16491510.01</v>
      </c>
      <c r="Q29" s="35">
        <f t="shared" si="23"/>
        <v>21732336.384698853</v>
      </c>
      <c r="R29" s="35">
        <f t="shared" si="23"/>
        <v>14013599.616768394</v>
      </c>
      <c r="S29" s="35">
        <f t="shared" si="23"/>
        <v>-9214543.8734002523</v>
      </c>
      <c r="T29" s="35">
        <f t="shared" si="23"/>
        <v>-2020226.36</v>
      </c>
      <c r="U29" s="35">
        <f t="shared" si="23"/>
        <v>-164156650.72562483</v>
      </c>
      <c r="V29" s="35">
        <f t="shared" si="23"/>
        <v>-147831366.62913072</v>
      </c>
      <c r="W29" s="35">
        <f t="shared" si="23"/>
        <v>-159331104.10403708</v>
      </c>
      <c r="X29" s="35">
        <f t="shared" si="23"/>
        <v>1065328.1980587805</v>
      </c>
      <c r="Y29" s="35">
        <f t="shared" si="23"/>
        <v>154046136.08833295</v>
      </c>
      <c r="Z29" s="35">
        <f t="shared" si="23"/>
        <v>139678945.43797755</v>
      </c>
      <c r="AA29" s="35">
        <f t="shared" si="23"/>
        <v>184255746.52080432</v>
      </c>
      <c r="AB29" s="35">
        <f t="shared" si="23"/>
        <v>192196066.59899962</v>
      </c>
      <c r="AC29" s="35">
        <f t="shared" si="23"/>
        <v>8398513.2727371249</v>
      </c>
      <c r="AD29" s="35">
        <f t="shared" si="23"/>
        <v>-11074983.648364466</v>
      </c>
      <c r="AE29" s="35">
        <f t="shared" si="23"/>
        <v>4242694.4540724205</v>
      </c>
      <c r="AF29" s="35">
        <f t="shared" si="23"/>
        <v>-118929.0207963944</v>
      </c>
      <c r="AG29" s="35">
        <f t="shared" si="23"/>
        <v>-4846244.455355186</v>
      </c>
      <c r="AH29" s="35">
        <f t="shared" si="23"/>
        <v>-3950917.9130455554</v>
      </c>
      <c r="AI29" s="35">
        <f t="shared" si="23"/>
        <v>-3581977.2891921587</v>
      </c>
      <c r="AJ29" s="35">
        <f t="shared" si="23"/>
        <v>-686251.5332203866</v>
      </c>
      <c r="AK29" s="35">
        <f t="shared" si="23"/>
        <v>62166776.370352857</v>
      </c>
      <c r="AL29" s="35">
        <f t="shared" si="23"/>
        <v>4549754.0977544542</v>
      </c>
      <c r="AM29" s="35">
        <f t="shared" si="23"/>
        <v>4586846.9132680492</v>
      </c>
      <c r="AN29" s="35">
        <f t="shared" si="23"/>
        <v>0</v>
      </c>
      <c r="AO29" s="35">
        <f t="shared" si="23"/>
        <v>208167329.95536426</v>
      </c>
      <c r="AP29" s="35">
        <f t="shared" si="23"/>
        <v>6113242.6819783729</v>
      </c>
      <c r="AQ29" s="35">
        <f t="shared" si="23"/>
        <v>5860096.0460930895</v>
      </c>
      <c r="AR29" s="35">
        <f t="shared" si="23"/>
        <v>5947129.6153895035</v>
      </c>
      <c r="AS29" s="35">
        <f t="shared" si="23"/>
        <v>1183251.7355113868</v>
      </c>
      <c r="AT29" s="35">
        <f t="shared" si="23"/>
        <v>3907939.1170700812</v>
      </c>
      <c r="AU29" s="35">
        <f t="shared" si="23"/>
        <v>3997115.2975287521</v>
      </c>
      <c r="AV29" s="35">
        <f t="shared" si="23"/>
        <v>0</v>
      </c>
      <c r="AW29" s="35">
        <f t="shared" si="23"/>
        <v>120629244.48557213</v>
      </c>
      <c r="AX29" s="35">
        <f t="shared" si="23"/>
        <v>87778624.536667347</v>
      </c>
      <c r="AY29" s="35">
        <f t="shared" si="23"/>
        <v>34928605.774713941</v>
      </c>
      <c r="AZ29" s="35">
        <f t="shared" si="23"/>
        <v>7632707.2870222759</v>
      </c>
      <c r="BA29" s="35">
        <f t="shared" si="23"/>
        <v>-58380611.054158792</v>
      </c>
      <c r="BB29" s="35">
        <f t="shared" si="23"/>
        <v>-53716180.264767207</v>
      </c>
      <c r="BC29" s="35">
        <f t="shared" si="23"/>
        <v>-5140251.9328311095</v>
      </c>
      <c r="BD29" s="35">
        <f t="shared" si="23"/>
        <v>15855946.218743682</v>
      </c>
      <c r="BE29" s="35">
        <f t="shared" si="23"/>
        <v>84760312.929775372</v>
      </c>
      <c r="BF29" s="35">
        <f t="shared" si="23"/>
        <v>62351654.377792865</v>
      </c>
      <c r="BG29" s="35">
        <f t="shared" si="23"/>
        <v>52776525.154532492</v>
      </c>
      <c r="BH29" s="35">
        <f t="shared" si="23"/>
        <v>15338205.916939551</v>
      </c>
      <c r="BI29" s="35">
        <f t="shared" si="23"/>
        <v>161918988.73497075</v>
      </c>
      <c r="BJ29" s="35">
        <f t="shared" si="23"/>
        <v>155306253.22003436</v>
      </c>
      <c r="BK29" s="35">
        <f t="shared" si="23"/>
        <v>123627234.66706212</v>
      </c>
      <c r="BL29" s="35">
        <f t="shared" si="23"/>
        <v>24478832.444342174</v>
      </c>
      <c r="BM29" s="35">
        <f t="shared" si="23"/>
        <v>93884884.051392078</v>
      </c>
      <c r="BN29" s="35">
        <f t="shared" si="23"/>
        <v>80370562.458119273</v>
      </c>
      <c r="BO29" s="35">
        <f t="shared" ref="BO29:CK29" si="24">BO27-BO28</f>
        <v>56595434.006960303</v>
      </c>
      <c r="BP29" s="35">
        <f t="shared" si="24"/>
        <v>27894631.996147003</v>
      </c>
      <c r="BQ29" s="35">
        <f t="shared" si="24"/>
        <v>54902681.081825115</v>
      </c>
      <c r="BR29" s="35">
        <f t="shared" si="24"/>
        <v>51635499.734103411</v>
      </c>
      <c r="BS29" s="35">
        <f t="shared" si="24"/>
        <v>126722286.72563025</v>
      </c>
      <c r="BT29" s="35">
        <f t="shared" si="24"/>
        <v>68137388.469722971</v>
      </c>
      <c r="BU29" s="35">
        <f t="shared" si="24"/>
        <v>49659815.660418957</v>
      </c>
      <c r="BV29" s="35">
        <f t="shared" si="24"/>
        <v>-9872874.6842378173</v>
      </c>
      <c r="BW29" s="35">
        <f t="shared" si="24"/>
        <v>48553201.100980662</v>
      </c>
      <c r="BX29" s="35">
        <f t="shared" si="24"/>
        <v>-2405395.41</v>
      </c>
      <c r="BY29" s="35">
        <f t="shared" si="24"/>
        <v>47382179.029734612</v>
      </c>
      <c r="BZ29" s="35">
        <f t="shared" si="24"/>
        <v>475384.5</v>
      </c>
      <c r="CA29" s="35">
        <f t="shared" si="24"/>
        <v>5342705.6305929162</v>
      </c>
      <c r="CB29" s="35">
        <f t="shared" si="24"/>
        <v>-6664176.4400000013</v>
      </c>
      <c r="CC29" s="35">
        <f t="shared" si="24"/>
        <v>12068779.67285433</v>
      </c>
      <c r="CD29" s="35">
        <f t="shared" si="24"/>
        <v>-13940000</v>
      </c>
      <c r="CE29" s="35">
        <f t="shared" si="24"/>
        <v>-20081000</v>
      </c>
      <c r="CF29" s="35">
        <f t="shared" si="24"/>
        <v>6250527.1438487507</v>
      </c>
      <c r="CG29" s="35">
        <f t="shared" si="24"/>
        <v>0</v>
      </c>
      <c r="CH29" s="35">
        <f t="shared" si="24"/>
        <v>0</v>
      </c>
      <c r="CI29" s="35">
        <f t="shared" si="24"/>
        <v>0</v>
      </c>
      <c r="CJ29" s="35">
        <f t="shared" si="24"/>
        <v>0</v>
      </c>
      <c r="CK29" s="35">
        <f t="shared" si="24"/>
        <v>0</v>
      </c>
    </row>
    <row r="30" spans="1:89" s="22" customFormat="1">
      <c r="A30" s="24" t="s">
        <v>132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133</v>
      </c>
      <c r="B31" s="33">
        <f>B15+B20+B27</f>
        <v>2280003000.1899986</v>
      </c>
      <c r="C31" s="33">
        <f t="shared" ref="C31:BN31" si="25">C15+C20+C27</f>
        <v>1074608088.8900011</v>
      </c>
      <c r="D31" s="33">
        <f t="shared" si="25"/>
        <v>423714846.00000036</v>
      </c>
      <c r="E31" s="33">
        <f t="shared" si="25"/>
        <v>2619710358.8999991</v>
      </c>
      <c r="F31" s="33">
        <f t="shared" si="25"/>
        <v>1803100723.79</v>
      </c>
      <c r="G31" s="33">
        <f t="shared" si="25"/>
        <v>1060897665.5599996</v>
      </c>
      <c r="H31" s="33">
        <f t="shared" si="25"/>
        <v>409989317.60999984</v>
      </c>
      <c r="I31" s="33">
        <f t="shared" si="25"/>
        <v>2758628191.5899987</v>
      </c>
      <c r="J31" s="33">
        <f t="shared" si="25"/>
        <v>1820331312.2100008</v>
      </c>
      <c r="K31" s="33">
        <f t="shared" si="25"/>
        <v>1111315365.0499995</v>
      </c>
      <c r="L31" s="33">
        <f t="shared" si="25"/>
        <v>-457503476.79000002</v>
      </c>
      <c r="M31" s="33">
        <f t="shared" si="25"/>
        <v>-1295263107.6800008</v>
      </c>
      <c r="N31" s="33">
        <f t="shared" si="25"/>
        <v>-707153469.98000014</v>
      </c>
      <c r="O31" s="33">
        <f t="shared" si="25"/>
        <v>-1027817379.5599998</v>
      </c>
      <c r="P31" s="33">
        <f t="shared" si="25"/>
        <v>-529048923.42000008</v>
      </c>
      <c r="Q31" s="33">
        <f t="shared" si="25"/>
        <v>-2625281450.6100001</v>
      </c>
      <c r="R31" s="33">
        <f t="shared" si="25"/>
        <v>-1811697801.8599997</v>
      </c>
      <c r="S31" s="33">
        <f t="shared" si="25"/>
        <v>-1214000608.9100001</v>
      </c>
      <c r="T31" s="33">
        <f t="shared" si="25"/>
        <v>-554456016.75000012</v>
      </c>
      <c r="U31" s="33">
        <f t="shared" si="25"/>
        <v>-2439124467.8899999</v>
      </c>
      <c r="V31" s="33">
        <f t="shared" si="25"/>
        <v>-1725452896.3300002</v>
      </c>
      <c r="W31" s="33">
        <f t="shared" si="25"/>
        <v>-1194738443.6799998</v>
      </c>
      <c r="X31" s="33">
        <f t="shared" si="25"/>
        <v>-480920050.71999997</v>
      </c>
      <c r="Y31" s="33">
        <f t="shared" si="25"/>
        <v>-1962421215.9000006</v>
      </c>
      <c r="Z31" s="33">
        <f t="shared" si="25"/>
        <v>-1525539569.6500001</v>
      </c>
      <c r="AA31" s="33">
        <f t="shared" si="25"/>
        <v>-589630666.42000008</v>
      </c>
      <c r="AB31" s="33">
        <f t="shared" si="25"/>
        <v>-196952364.23000005</v>
      </c>
      <c r="AC31" s="33">
        <f t="shared" si="25"/>
        <v>-1630338064.74</v>
      </c>
      <c r="AD31" s="33">
        <f t="shared" si="25"/>
        <v>-1125522401.9999995</v>
      </c>
      <c r="AE31" s="33">
        <f t="shared" si="25"/>
        <v>-686067397.40999985</v>
      </c>
      <c r="AF31" s="33">
        <f t="shared" si="25"/>
        <v>-313383319.20000005</v>
      </c>
      <c r="AG31" s="33">
        <f t="shared" si="25"/>
        <v>-1394959053.52</v>
      </c>
      <c r="AH31" s="33">
        <f t="shared" si="25"/>
        <v>-953317881.47999954</v>
      </c>
      <c r="AI31" s="33">
        <f t="shared" si="25"/>
        <v>-607915855.03999996</v>
      </c>
      <c r="AJ31" s="33">
        <f t="shared" si="25"/>
        <v>-255436537.53000003</v>
      </c>
      <c r="AK31" s="33">
        <f t="shared" si="25"/>
        <v>-1184816361.2300003</v>
      </c>
      <c r="AL31" s="33">
        <f t="shared" si="25"/>
        <v>-721461336.39999998</v>
      </c>
      <c r="AM31" s="33">
        <f t="shared" si="25"/>
        <v>-435009289.65999985</v>
      </c>
      <c r="AN31" s="33">
        <f t="shared" si="25"/>
        <v>-225117575.69</v>
      </c>
      <c r="AO31" s="33">
        <f t="shared" si="25"/>
        <v>-918884389.31999993</v>
      </c>
      <c r="AP31" s="33">
        <f t="shared" si="25"/>
        <v>-706962514.46000004</v>
      </c>
      <c r="AQ31" s="33">
        <f t="shared" si="25"/>
        <v>-449036358.03999996</v>
      </c>
      <c r="AR31" s="33">
        <f t="shared" si="25"/>
        <v>-208434470.22000003</v>
      </c>
      <c r="AS31" s="33">
        <f t="shared" si="25"/>
        <v>-913443386.77999985</v>
      </c>
      <c r="AT31" s="33">
        <f t="shared" si="25"/>
        <v>-569338083.87000012</v>
      </c>
      <c r="AU31" s="33">
        <f t="shared" si="25"/>
        <v>-358948163.08000004</v>
      </c>
      <c r="AV31" s="33">
        <f t="shared" si="25"/>
        <v>-180697254.00000003</v>
      </c>
      <c r="AW31" s="33">
        <f t="shared" si="25"/>
        <v>-835465296.58999991</v>
      </c>
      <c r="AX31" s="33">
        <f t="shared" si="25"/>
        <v>-566148698.32999992</v>
      </c>
      <c r="AY31" s="33">
        <f t="shared" si="25"/>
        <v>-389042167.87</v>
      </c>
      <c r="AZ31" s="33">
        <f t="shared" si="25"/>
        <v>-181538115.78000003</v>
      </c>
      <c r="BA31" s="33">
        <f t="shared" si="25"/>
        <v>-962518197.09000003</v>
      </c>
      <c r="BB31" s="33">
        <f t="shared" si="25"/>
        <v>-708278383.22000003</v>
      </c>
      <c r="BC31" s="33">
        <f t="shared" si="25"/>
        <v>-459742536.56999999</v>
      </c>
      <c r="BD31" s="33">
        <f t="shared" si="25"/>
        <v>-190906625.90000001</v>
      </c>
      <c r="BE31" s="33">
        <f t="shared" si="25"/>
        <v>-931475093.80000007</v>
      </c>
      <c r="BF31" s="33">
        <f t="shared" si="25"/>
        <v>-583271994.22000015</v>
      </c>
      <c r="BG31" s="33">
        <f t="shared" si="25"/>
        <v>-368470006.06999999</v>
      </c>
      <c r="BH31" s="33">
        <f t="shared" si="25"/>
        <v>-186914839.03</v>
      </c>
      <c r="BI31" s="33">
        <f t="shared" si="25"/>
        <v>-610636070.05999994</v>
      </c>
      <c r="BJ31" s="33">
        <f t="shared" si="25"/>
        <v>-455835056.56999981</v>
      </c>
      <c r="BK31" s="33">
        <f t="shared" si="25"/>
        <v>-262860178.05999994</v>
      </c>
      <c r="BL31" s="33">
        <f t="shared" si="25"/>
        <v>-166055149.00999999</v>
      </c>
      <c r="BM31" s="33">
        <f t="shared" si="25"/>
        <v>-862697215.55000007</v>
      </c>
      <c r="BN31" s="33">
        <f t="shared" si="25"/>
        <v>-535502059.79000008</v>
      </c>
      <c r="BO31" s="33">
        <f t="shared" ref="BO31:CJ31" si="26">BO15+BO20+BO27</f>
        <v>-331826260.54999995</v>
      </c>
      <c r="BP31" s="33">
        <f t="shared" si="26"/>
        <v>-128407434.26000001</v>
      </c>
      <c r="BQ31" s="33">
        <f t="shared" si="26"/>
        <v>-680599320.21000004</v>
      </c>
      <c r="BR31" s="33">
        <f t="shared" si="26"/>
        <v>-262125728.21000004</v>
      </c>
      <c r="BS31" s="33">
        <f t="shared" si="26"/>
        <v>-689844587.1500001</v>
      </c>
      <c r="BT31" s="33">
        <f t="shared" si="26"/>
        <v>-207349611.75999999</v>
      </c>
      <c r="BU31" s="33">
        <f t="shared" si="26"/>
        <v>-562497819.85000002</v>
      </c>
      <c r="BV31" s="33">
        <f t="shared" si="26"/>
        <v>-230509717.94</v>
      </c>
      <c r="BW31" s="33">
        <f t="shared" si="26"/>
        <v>-29221495.680000015</v>
      </c>
      <c r="BX31" s="33">
        <f t="shared" si="26"/>
        <v>-52064156.550000012</v>
      </c>
      <c r="BY31" s="33">
        <f t="shared" si="26"/>
        <v>-71075952.569999993</v>
      </c>
      <c r="BZ31" s="33">
        <f t="shared" si="26"/>
        <v>2100000</v>
      </c>
      <c r="CA31" s="33">
        <f t="shared" si="26"/>
        <v>-169336321.44</v>
      </c>
      <c r="CB31" s="33">
        <f t="shared" si="26"/>
        <v>3033836.53</v>
      </c>
      <c r="CC31" s="33">
        <f t="shared" si="26"/>
        <v>-187165040.07999998</v>
      </c>
      <c r="CD31" s="33">
        <f t="shared" si="26"/>
        <v>5790000</v>
      </c>
      <c r="CE31" s="33">
        <f t="shared" si="26"/>
        <v>7729000</v>
      </c>
      <c r="CF31" s="33">
        <f t="shared" si="26"/>
        <v>-8277402.6900000013</v>
      </c>
      <c r="CG31" s="33">
        <f t="shared" si="26"/>
        <v>-45960000</v>
      </c>
      <c r="CH31" s="33">
        <f t="shared" si="26"/>
        <v>-71370000</v>
      </c>
      <c r="CI31" s="33">
        <f t="shared" si="26"/>
        <v>-52680000</v>
      </c>
      <c r="CJ31" s="33">
        <f t="shared" si="26"/>
        <v>-34650000</v>
      </c>
    </row>
    <row r="32" spans="1:89" s="31" customFormat="1">
      <c r="A32" s="31" t="s">
        <v>134</v>
      </c>
      <c r="B32" s="35">
        <f>B31/B4*100</f>
        <v>14.330787852282189</v>
      </c>
      <c r="C32" s="35">
        <f t="shared" ref="C32:BN32" si="27">C31/C4*100</f>
        <v>10.424553403436297</v>
      </c>
      <c r="D32" s="35">
        <f t="shared" si="27"/>
        <v>10.641668079049934</v>
      </c>
      <c r="E32" s="35">
        <f t="shared" si="27"/>
        <v>13.454320067221603</v>
      </c>
      <c r="F32" s="35">
        <f t="shared" si="27"/>
        <v>12.271394399546208</v>
      </c>
      <c r="G32" s="35">
        <f t="shared" si="27"/>
        <v>11.035820730069002</v>
      </c>
      <c r="H32" s="35">
        <f t="shared" si="27"/>
        <v>10.80469494473442</v>
      </c>
      <c r="I32" s="35">
        <f t="shared" si="27"/>
        <v>14.566204465222143</v>
      </c>
      <c r="J32" s="35">
        <f t="shared" si="27"/>
        <v>12.802599412774581</v>
      </c>
      <c r="K32" s="35">
        <f t="shared" si="27"/>
        <v>11.986598854452774</v>
      </c>
      <c r="L32" s="35">
        <f t="shared" si="27"/>
        <v>-12.118142202847171</v>
      </c>
      <c r="M32" s="35">
        <f t="shared" si="27"/>
        <v>-6.7127609058032212</v>
      </c>
      <c r="N32" s="35">
        <f t="shared" si="27"/>
        <v>-4.7931904435765649</v>
      </c>
      <c r="O32" s="35">
        <f t="shared" si="27"/>
        <v>-10.456458718456748</v>
      </c>
      <c r="P32" s="35">
        <f t="shared" si="27"/>
        <v>-12.744187985506148</v>
      </c>
      <c r="Q32" s="35">
        <f t="shared" si="27"/>
        <v>-12.634341824716167</v>
      </c>
      <c r="R32" s="35">
        <f t="shared" si="27"/>
        <v>-11.631951728596839</v>
      </c>
      <c r="S32" s="35">
        <f t="shared" si="27"/>
        <v>-11.976743153692587</v>
      </c>
      <c r="T32" s="35">
        <f t="shared" si="27"/>
        <v>-13.414560547703399</v>
      </c>
      <c r="U32" s="35">
        <f t="shared" si="27"/>
        <v>-12.252549476184322</v>
      </c>
      <c r="V32" s="35">
        <f t="shared" si="27"/>
        <v>-11.802996700502977</v>
      </c>
      <c r="W32" s="35">
        <f t="shared" si="27"/>
        <v>-12.734992757816851</v>
      </c>
      <c r="X32" s="35">
        <f t="shared" si="27"/>
        <v>-12.382517623235291</v>
      </c>
      <c r="Y32" s="35">
        <f t="shared" si="27"/>
        <v>-11.060099579375686</v>
      </c>
      <c r="Z32" s="35">
        <f t="shared" si="27"/>
        <v>-11.338815381324666</v>
      </c>
      <c r="AA32" s="35">
        <f t="shared" si="27"/>
        <v>-8.1937798951179346</v>
      </c>
      <c r="AB32" s="35">
        <f t="shared" si="27"/>
        <v>-6.156972249601659</v>
      </c>
      <c r="AC32" s="35">
        <f t="shared" si="27"/>
        <v>-11.241866325316057</v>
      </c>
      <c r="AD32" s="35">
        <f t="shared" si="27"/>
        <v>-9.8457310877507229</v>
      </c>
      <c r="AE32" s="35">
        <f t="shared" si="27"/>
        <v>-9.3139418039748119</v>
      </c>
      <c r="AF32" s="35">
        <f t="shared" si="27"/>
        <v>-9.707418780501861</v>
      </c>
      <c r="AG32" s="35">
        <f t="shared" si="27"/>
        <v>-10.520069988774599</v>
      </c>
      <c r="AH32" s="35">
        <f t="shared" si="27"/>
        <v>-9.7831857743887536</v>
      </c>
      <c r="AI32" s="35">
        <f t="shared" si="27"/>
        <v>-9.6327970925078006</v>
      </c>
      <c r="AJ32" s="35">
        <f t="shared" si="27"/>
        <v>-9.3255977899414493</v>
      </c>
      <c r="AK32" s="35">
        <f t="shared" si="27"/>
        <v>-10.784552915120916</v>
      </c>
      <c r="AL32" s="35">
        <f t="shared" si="27"/>
        <v>-8.9442262750893136</v>
      </c>
      <c r="AM32" s="35">
        <f t="shared" si="27"/>
        <v>-8.396727980408027</v>
      </c>
      <c r="AN32" s="35">
        <f t="shared" si="27"/>
        <v>-9.602046616877324</v>
      </c>
      <c r="AO32" s="35">
        <f t="shared" si="27"/>
        <v>-8.7953546008959584</v>
      </c>
      <c r="AP32" s="35">
        <f t="shared" si="27"/>
        <v>-8.9275133605588355</v>
      </c>
      <c r="AQ32" s="35">
        <f t="shared" si="27"/>
        <v>-8.6490867822064317</v>
      </c>
      <c r="AR32" s="35">
        <f t="shared" si="27"/>
        <v>-8.9978520580592303</v>
      </c>
      <c r="AS32" s="35">
        <f t="shared" si="27"/>
        <v>-9.943656050864611</v>
      </c>
      <c r="AT32" s="35">
        <f t="shared" si="27"/>
        <v>-8.5392463987633143</v>
      </c>
      <c r="AU32" s="35">
        <f t="shared" si="27"/>
        <v>-8.5245665993195754</v>
      </c>
      <c r="AV32" s="35">
        <f t="shared" si="27"/>
        <v>-9.5430982155845481</v>
      </c>
      <c r="AW32" s="35">
        <f t="shared" si="27"/>
        <v>-11.466369620274325</v>
      </c>
      <c r="AX32" s="35">
        <f t="shared" si="27"/>
        <v>-10.792192410883514</v>
      </c>
      <c r="AY32" s="35">
        <f t="shared" si="27"/>
        <v>-11.367180410081128</v>
      </c>
      <c r="AZ32" s="35">
        <f t="shared" si="27"/>
        <v>-11.656600977301926</v>
      </c>
      <c r="BA32" s="35">
        <f t="shared" si="27"/>
        <v>-14.08934365296053</v>
      </c>
      <c r="BB32" s="35">
        <f t="shared" si="27"/>
        <v>-13.999470065639763</v>
      </c>
      <c r="BC32" s="35">
        <f t="shared" si="27"/>
        <v>-13.695597123027122</v>
      </c>
      <c r="BD32" s="35">
        <f t="shared" si="27"/>
        <v>-12.469764966812338</v>
      </c>
      <c r="BE32" s="35">
        <f t="shared" si="27"/>
        <v>-14.209546266669863</v>
      </c>
      <c r="BF32" s="35">
        <f t="shared" si="27"/>
        <v>-12.145457244418422</v>
      </c>
      <c r="BG32" s="35">
        <f t="shared" si="27"/>
        <v>-11.164392350418902</v>
      </c>
      <c r="BH32" s="35">
        <f t="shared" si="27"/>
        <v>-11.684892020688141</v>
      </c>
      <c r="BI32" s="35">
        <f t="shared" si="27"/>
        <v>-10.983187037545761</v>
      </c>
      <c r="BJ32" s="35">
        <f t="shared" si="27"/>
        <v>-11.190699458290837</v>
      </c>
      <c r="BK32" s="35">
        <f t="shared" si="27"/>
        <v>-9.861365293175945</v>
      </c>
      <c r="BL32" s="35">
        <f t="shared" si="27"/>
        <v>-13.250670052569829</v>
      </c>
      <c r="BM32" s="35">
        <f t="shared" si="27"/>
        <v>-19.306897133346595</v>
      </c>
      <c r="BN32" s="35">
        <f t="shared" si="27"/>
        <v>-15.658541838068786</v>
      </c>
      <c r="BO32" s="35">
        <f t="shared" ref="BO32:CJ32" si="28">BO31/BO4*100</f>
        <v>-14.493088103844979</v>
      </c>
      <c r="BP32" s="35">
        <f t="shared" si="28"/>
        <v>-12.08273816722931</v>
      </c>
      <c r="BQ32" s="35">
        <f t="shared" si="28"/>
        <v>-17.70195374364587</v>
      </c>
      <c r="BR32" s="35">
        <f t="shared" si="28"/>
        <v>-13.87880225754086</v>
      </c>
      <c r="BS32" s="35">
        <f t="shared" si="28"/>
        <v>-19.033160969152252</v>
      </c>
      <c r="BT32" s="35">
        <f t="shared" si="28"/>
        <v>-11.782078470275756</v>
      </c>
      <c r="BU32" s="35">
        <f t="shared" si="28"/>
        <v>-16.056839300433065</v>
      </c>
      <c r="BV32" s="35">
        <f t="shared" si="28"/>
        <v>-14.047168467776114</v>
      </c>
      <c r="BW32" s="35">
        <f t="shared" si="28"/>
        <v>-6.5766329282473572</v>
      </c>
      <c r="BX32" s="35">
        <f t="shared" si="28"/>
        <v>-25.762630671842235</v>
      </c>
      <c r="BY32" s="35">
        <f t="shared" si="28"/>
        <v>-7.7349937662636865</v>
      </c>
      <c r="BZ32" s="35">
        <f t="shared" si="28"/>
        <v>0.53372364329878319</v>
      </c>
      <c r="CA32" s="35">
        <f t="shared" si="28"/>
        <v>-12.536038086344851</v>
      </c>
      <c r="CB32" s="35">
        <f t="shared" si="28"/>
        <v>0.31831390819566979</v>
      </c>
      <c r="CC32" s="35">
        <f t="shared" si="28"/>
        <v>-9.7250282754884534</v>
      </c>
      <c r="CD32" s="35">
        <f t="shared" si="28"/>
        <v>0.5265168048886949</v>
      </c>
      <c r="CE32" s="35">
        <f t="shared" si="28"/>
        <v>0.53892324126524593</v>
      </c>
      <c r="CF32" s="35">
        <f t="shared" si="28"/>
        <v>-1.0790218591211649</v>
      </c>
      <c r="CG32" s="35">
        <f t="shared" si="28"/>
        <v>-7.8534568196575645</v>
      </c>
      <c r="CH32" s="35">
        <f t="shared" si="28"/>
        <v>-9.2284417549167923</v>
      </c>
      <c r="CI32" s="35">
        <f t="shared" si="28"/>
        <v>-8.3507704013696014</v>
      </c>
      <c r="CJ32" s="35">
        <f t="shared" si="28"/>
        <v>-6.3923992251637305</v>
      </c>
    </row>
    <row r="33" spans="1:89">
      <c r="A33" s="23" t="s">
        <v>136</v>
      </c>
      <c r="B33" s="33">
        <f>B17+B20+B29</f>
        <v>2091960787.2933819</v>
      </c>
      <c r="C33" s="33">
        <f t="shared" ref="C33:BN33" si="29">C17+C20+C29</f>
        <v>976428473.46746504</v>
      </c>
      <c r="D33" s="33">
        <f t="shared" si="29"/>
        <v>375743350.26988614</v>
      </c>
      <c r="E33" s="33">
        <f t="shared" si="29"/>
        <v>2305369005.5679059</v>
      </c>
      <c r="F33" s="33">
        <f t="shared" si="29"/>
        <v>1613000527.2888978</v>
      </c>
      <c r="G33" s="33">
        <f t="shared" si="29"/>
        <v>960285462.26850915</v>
      </c>
      <c r="H33" s="33">
        <f t="shared" si="29"/>
        <v>368253245.24223167</v>
      </c>
      <c r="I33" s="33">
        <f t="shared" si="29"/>
        <v>2449482881.5282936</v>
      </c>
      <c r="J33" s="33">
        <f t="shared" si="29"/>
        <v>1632110032.5246751</v>
      </c>
      <c r="K33" s="33">
        <f t="shared" si="29"/>
        <v>1007434328.8239024</v>
      </c>
      <c r="L33" s="33">
        <f t="shared" si="29"/>
        <v>-529496252.80622578</v>
      </c>
      <c r="M33" s="33">
        <f t="shared" si="29"/>
        <v>-1907909486.4795709</v>
      </c>
      <c r="N33" s="33">
        <f t="shared" si="29"/>
        <v>-1208430181.3299732</v>
      </c>
      <c r="O33" s="33">
        <f t="shared" si="29"/>
        <v>-1222832332.4201584</v>
      </c>
      <c r="P33" s="33">
        <f t="shared" si="29"/>
        <v>-607675881.27757883</v>
      </c>
      <c r="Q33" s="33">
        <f t="shared" si="29"/>
        <v>-3027045957.6267848</v>
      </c>
      <c r="R33" s="33">
        <f t="shared" si="29"/>
        <v>-2146189447.0208235</v>
      </c>
      <c r="S33" s="33">
        <f t="shared" si="29"/>
        <v>-1406591559.0864353</v>
      </c>
      <c r="T33" s="33">
        <f t="shared" si="29"/>
        <v>-622278094.84889281</v>
      </c>
      <c r="U33" s="33">
        <f t="shared" si="29"/>
        <v>-2751116719.9266648</v>
      </c>
      <c r="V33" s="33">
        <f t="shared" si="29"/>
        <v>-1963437848.9526243</v>
      </c>
      <c r="W33" s="33">
        <f t="shared" si="29"/>
        <v>-1319225038.8884459</v>
      </c>
      <c r="X33" s="33">
        <f t="shared" si="29"/>
        <v>-537164914.54621065</v>
      </c>
      <c r="Y33" s="33">
        <f t="shared" si="29"/>
        <v>-2408808440.2681527</v>
      </c>
      <c r="Z33" s="33">
        <f t="shared" si="29"/>
        <v>-1730773041.3230228</v>
      </c>
      <c r="AA33" s="33">
        <f t="shared" si="29"/>
        <v>-733994164.05084205</v>
      </c>
      <c r="AB33" s="33">
        <f t="shared" si="29"/>
        <v>-259523892.93928576</v>
      </c>
      <c r="AC33" s="33">
        <f t="shared" si="29"/>
        <v>-1860893709.4335773</v>
      </c>
      <c r="AD33" s="33">
        <f t="shared" si="29"/>
        <v>-1332052525.2469106</v>
      </c>
      <c r="AE33" s="33">
        <f t="shared" si="29"/>
        <v>-819838689.34394765</v>
      </c>
      <c r="AF33" s="33">
        <f t="shared" si="29"/>
        <v>-376800906.38990402</v>
      </c>
      <c r="AG33" s="33">
        <f t="shared" si="29"/>
        <v>-1613251533.8035452</v>
      </c>
      <c r="AH33" s="33">
        <f t="shared" si="29"/>
        <v>-1120415451.1403978</v>
      </c>
      <c r="AI33" s="33">
        <f t="shared" si="29"/>
        <v>-718190860.79535198</v>
      </c>
      <c r="AJ33" s="33">
        <f t="shared" si="29"/>
        <v>-303803610.37208641</v>
      </c>
      <c r="AK33" s="33">
        <f t="shared" si="29"/>
        <v>-1368821719.2058764</v>
      </c>
      <c r="AL33" s="33">
        <f t="shared" si="29"/>
        <v>-864287308.48988867</v>
      </c>
      <c r="AM33" s="33">
        <f t="shared" si="29"/>
        <v>-527624277.03775162</v>
      </c>
      <c r="AN33" s="33">
        <f t="shared" si="29"/>
        <v>-266499382.68848962</v>
      </c>
      <c r="AO33" s="33">
        <f t="shared" si="29"/>
        <v>-1130235491.9467626</v>
      </c>
      <c r="AP33" s="33">
        <f t="shared" si="29"/>
        <v>-901783007.2444042</v>
      </c>
      <c r="AQ33" s="33">
        <f t="shared" si="29"/>
        <v>-589381489.33389091</v>
      </c>
      <c r="AR33" s="33">
        <f t="shared" si="29"/>
        <v>-265229698.22301796</v>
      </c>
      <c r="AS33" s="33">
        <f t="shared" si="29"/>
        <v>-1098336816.2172151</v>
      </c>
      <c r="AT33" s="33">
        <f t="shared" si="29"/>
        <v>-759174782.6106447</v>
      </c>
      <c r="AU33" s="33">
        <f t="shared" si="29"/>
        <v>-480424114.61622083</v>
      </c>
      <c r="AV33" s="33">
        <f t="shared" si="29"/>
        <v>-216192575.36064303</v>
      </c>
      <c r="AW33" s="33">
        <f t="shared" si="29"/>
        <v>-950750608.87755859</v>
      </c>
      <c r="AX33" s="33">
        <f t="shared" si="29"/>
        <v>-635928088.23903286</v>
      </c>
      <c r="AY33" s="33">
        <f t="shared" si="29"/>
        <v>-431274015.28870124</v>
      </c>
      <c r="AZ33" s="33">
        <f t="shared" si="29"/>
        <v>-203220916.37327197</v>
      </c>
      <c r="BA33" s="33">
        <f t="shared" si="29"/>
        <v>-1072076708.4660838</v>
      </c>
      <c r="BB33" s="33">
        <f t="shared" si="29"/>
        <v>-802391913.52612507</v>
      </c>
      <c r="BC33" s="33">
        <f t="shared" si="29"/>
        <v>-527912271.38057983</v>
      </c>
      <c r="BD33" s="33">
        <f t="shared" si="29"/>
        <v>-220443756.58965355</v>
      </c>
      <c r="BE33" s="33">
        <f t="shared" si="29"/>
        <v>-1065756961.921261</v>
      </c>
      <c r="BF33" s="33">
        <f t="shared" si="29"/>
        <v>-678068529.80999434</v>
      </c>
      <c r="BG33" s="33">
        <f t="shared" si="29"/>
        <v>-434867536.45950127</v>
      </c>
      <c r="BH33" s="33">
        <f t="shared" si="29"/>
        <v>-220319780.20881724</v>
      </c>
      <c r="BI33" s="33">
        <f t="shared" si="29"/>
        <v>-764380615.42714834</v>
      </c>
      <c r="BJ33" s="33">
        <f t="shared" si="29"/>
        <v>-560826792.95281839</v>
      </c>
      <c r="BK33" s="33">
        <f t="shared" si="29"/>
        <v>-327793092.94033241</v>
      </c>
      <c r="BL33" s="33">
        <f t="shared" si="29"/>
        <v>-193023713.39544269</v>
      </c>
      <c r="BM33" s="33">
        <f t="shared" si="29"/>
        <v>-1005150016.1154783</v>
      </c>
      <c r="BN33" s="33">
        <f t="shared" si="29"/>
        <v>-632761598.82780528</v>
      </c>
      <c r="BO33" s="33">
        <f t="shared" ref="BO33:CJ33" si="30">BO17+BO20+BO29</f>
        <v>-395065812.13227797</v>
      </c>
      <c r="BP33" s="33">
        <f t="shared" si="30"/>
        <v>-152185045.09679875</v>
      </c>
      <c r="BQ33" s="33">
        <f t="shared" si="30"/>
        <v>-793148477.40352833</v>
      </c>
      <c r="BR33" s="33">
        <f t="shared" si="30"/>
        <v>-313813982.04974973</v>
      </c>
      <c r="BS33" s="33">
        <f t="shared" si="30"/>
        <v>-790140427.79528582</v>
      </c>
      <c r="BT33" s="33">
        <f t="shared" si="30"/>
        <v>-254599512.64847183</v>
      </c>
      <c r="BU33" s="33">
        <f t="shared" si="30"/>
        <v>-661105030.47187483</v>
      </c>
      <c r="BV33" s="33">
        <f t="shared" si="30"/>
        <v>-268758161.24742264</v>
      </c>
      <c r="BW33" s="33">
        <f t="shared" si="30"/>
        <v>-31937750.792630099</v>
      </c>
      <c r="BX33" s="33">
        <f t="shared" si="30"/>
        <v>-52064156.550000012</v>
      </c>
      <c r="BY33" s="33">
        <f t="shared" si="30"/>
        <v>-77261188.46894592</v>
      </c>
      <c r="BZ33" s="33">
        <f t="shared" si="30"/>
        <v>475384.5</v>
      </c>
      <c r="CA33" s="33">
        <f t="shared" si="30"/>
        <v>-170726344.06050205</v>
      </c>
      <c r="CB33" s="33">
        <f t="shared" si="30"/>
        <v>-6664176.4400000013</v>
      </c>
      <c r="CC33" s="33">
        <f t="shared" si="30"/>
        <v>-212271389.55596557</v>
      </c>
      <c r="CD33" s="33">
        <f t="shared" si="30"/>
        <v>-13940000</v>
      </c>
      <c r="CE33" s="33">
        <f t="shared" si="30"/>
        <v>-20081000</v>
      </c>
      <c r="CF33" s="33">
        <f t="shared" si="30"/>
        <v>-24724547.969999995</v>
      </c>
      <c r="CG33" s="33">
        <f t="shared" si="30"/>
        <v>-50290000</v>
      </c>
      <c r="CH33" s="33">
        <f t="shared" si="30"/>
        <v>-75590000</v>
      </c>
      <c r="CI33" s="33">
        <f t="shared" si="30"/>
        <v>-65190000</v>
      </c>
      <c r="CJ33" s="33">
        <f t="shared" si="30"/>
        <v>-38280000</v>
      </c>
    </row>
    <row r="34" spans="1:89" s="31" customFormat="1">
      <c r="A34" s="31" t="s">
        <v>135</v>
      </c>
      <c r="B34" s="35">
        <f>B33/B4*100</f>
        <v>13.148862626714273</v>
      </c>
      <c r="C34" s="35">
        <f t="shared" ref="C34:BN34" si="31">C33/C4*100</f>
        <v>9.4721330236881318</v>
      </c>
      <c r="D34" s="35">
        <f t="shared" si="31"/>
        <v>9.4368560701371376</v>
      </c>
      <c r="E34" s="35">
        <f t="shared" si="31"/>
        <v>11.839924352166518</v>
      </c>
      <c r="F34" s="35">
        <f t="shared" si="31"/>
        <v>10.977626139172557</v>
      </c>
      <c r="G34" s="35">
        <f t="shared" si="31"/>
        <v>9.9892181454586844</v>
      </c>
      <c r="H34" s="35">
        <f t="shared" si="31"/>
        <v>9.7047991407319021</v>
      </c>
      <c r="I34" s="35">
        <f t="shared" si="31"/>
        <v>12.933844653359333</v>
      </c>
      <c r="J34" s="35">
        <f t="shared" si="31"/>
        <v>11.478817511860361</v>
      </c>
      <c r="K34" s="35">
        <f t="shared" si="31"/>
        <v>10.866142547461031</v>
      </c>
      <c r="L34" s="35">
        <f t="shared" si="31"/>
        <v>-14.025053825603647</v>
      </c>
      <c r="M34" s="35">
        <f t="shared" si="31"/>
        <v>-9.8878290724970306</v>
      </c>
      <c r="N34" s="35">
        <f t="shared" si="31"/>
        <v>-8.1909178739434605</v>
      </c>
      <c r="O34" s="35">
        <f t="shared" si="31"/>
        <v>-12.440435487692724</v>
      </c>
      <c r="P34" s="35">
        <f t="shared" si="31"/>
        <v>-14.638222142475707</v>
      </c>
      <c r="Q34" s="35">
        <f t="shared" si="31"/>
        <v>-14.567860272236979</v>
      </c>
      <c r="R34" s="35">
        <f t="shared" si="31"/>
        <v>-13.779545364872778</v>
      </c>
      <c r="S34" s="35">
        <f t="shared" si="31"/>
        <v>-13.876752368728962</v>
      </c>
      <c r="T34" s="35">
        <f t="shared" si="31"/>
        <v>-15.055454226631387</v>
      </c>
      <c r="U34" s="35">
        <f t="shared" si="31"/>
        <v>-13.819792376081223</v>
      </c>
      <c r="V34" s="35">
        <f t="shared" si="31"/>
        <v>-13.430937756760574</v>
      </c>
      <c r="W34" s="35">
        <f t="shared" si="31"/>
        <v>-14.061924101502196</v>
      </c>
      <c r="X34" s="35">
        <f t="shared" si="31"/>
        <v>-13.830685601471679</v>
      </c>
      <c r="Y34" s="35">
        <f t="shared" si="31"/>
        <v>-13.575913774855961</v>
      </c>
      <c r="Z34" s="35">
        <f t="shared" si="31"/>
        <v>-12.864245787500646</v>
      </c>
      <c r="AA34" s="35">
        <f t="shared" si="31"/>
        <v>-10.199921691742059</v>
      </c>
      <c r="AB34" s="35">
        <f t="shared" si="31"/>
        <v>-8.1130349116793337</v>
      </c>
      <c r="AC34" s="35">
        <f t="shared" si="31"/>
        <v>-12.831644417509224</v>
      </c>
      <c r="AD34" s="35">
        <f t="shared" si="31"/>
        <v>-11.652394421502033</v>
      </c>
      <c r="AE34" s="35">
        <f t="shared" si="31"/>
        <v>-11.129999574419676</v>
      </c>
      <c r="AF34" s="35">
        <f t="shared" si="31"/>
        <v>-11.671853513253227</v>
      </c>
      <c r="AG34" s="35">
        <f t="shared" si="31"/>
        <v>-12.166320582877194</v>
      </c>
      <c r="AH34" s="35">
        <f t="shared" si="31"/>
        <v>-11.497982693857676</v>
      </c>
      <c r="AI34" s="35">
        <f t="shared" si="31"/>
        <v>-11.380171743143523</v>
      </c>
      <c r="AJ34" s="35">
        <f t="shared" si="31"/>
        <v>-11.091405735678748</v>
      </c>
      <c r="AK34" s="35">
        <f t="shared" si="31"/>
        <v>-12.459424722002876</v>
      </c>
      <c r="AL34" s="35">
        <f t="shared" si="31"/>
        <v>-10.714893319710106</v>
      </c>
      <c r="AM34" s="35">
        <f t="shared" si="31"/>
        <v>-10.184420506532515</v>
      </c>
      <c r="AN34" s="35">
        <f t="shared" si="31"/>
        <v>-11.367124437532661</v>
      </c>
      <c r="AO34" s="35">
        <f t="shared" si="31"/>
        <v>-10.818359795562911</v>
      </c>
      <c r="AP34" s="35">
        <f t="shared" si="31"/>
        <v>-11.387703988306514</v>
      </c>
      <c r="AQ34" s="35">
        <f t="shared" si="31"/>
        <v>-11.352336081036905</v>
      </c>
      <c r="AR34" s="35">
        <f t="shared" si="31"/>
        <v>-11.449630109144096</v>
      </c>
      <c r="AS34" s="35">
        <f t="shared" si="31"/>
        <v>-11.956387978203285</v>
      </c>
      <c r="AT34" s="35">
        <f t="shared" si="31"/>
        <v>-11.386521843706694</v>
      </c>
      <c r="AU34" s="35">
        <f t="shared" si="31"/>
        <v>-11.409467388895251</v>
      </c>
      <c r="AV34" s="35">
        <f t="shared" si="31"/>
        <v>-11.417699685390792</v>
      </c>
      <c r="AW34" s="35">
        <f t="shared" si="31"/>
        <v>-13.048606498183352</v>
      </c>
      <c r="AX34" s="35">
        <f t="shared" si="31"/>
        <v>-12.122359917112401</v>
      </c>
      <c r="AY34" s="35">
        <f t="shared" si="31"/>
        <v>-12.601126414669011</v>
      </c>
      <c r="AZ34" s="35">
        <f t="shared" si="31"/>
        <v>-13.048858209344994</v>
      </c>
      <c r="BA34" s="35">
        <f t="shared" si="31"/>
        <v>-15.69306140245477</v>
      </c>
      <c r="BB34" s="35">
        <f t="shared" si="31"/>
        <v>-15.859670209405882</v>
      </c>
      <c r="BC34" s="35">
        <f t="shared" si="31"/>
        <v>-15.726353795913637</v>
      </c>
      <c r="BD34" s="35">
        <f t="shared" si="31"/>
        <v>-14.399090760286533</v>
      </c>
      <c r="BE34" s="35">
        <f t="shared" si="31"/>
        <v>-16.258000842153777</v>
      </c>
      <c r="BF34" s="35">
        <f t="shared" si="31"/>
        <v>-14.119402987290819</v>
      </c>
      <c r="BG34" s="35">
        <f t="shared" si="31"/>
        <v>-13.17619268194013</v>
      </c>
      <c r="BH34" s="35">
        <f t="shared" si="31"/>
        <v>-13.773185987382083</v>
      </c>
      <c r="BI34" s="35">
        <f t="shared" si="31"/>
        <v>-13.748508610514602</v>
      </c>
      <c r="BJ34" s="35">
        <f t="shared" si="31"/>
        <v>-13.768234798168312</v>
      </c>
      <c r="BK34" s="35">
        <f t="shared" si="31"/>
        <v>-12.297364530152413</v>
      </c>
      <c r="BL34" s="35">
        <f t="shared" si="31"/>
        <v>-15.402675278505139</v>
      </c>
      <c r="BM34" s="35">
        <f t="shared" si="31"/>
        <v>-22.494946795847703</v>
      </c>
      <c r="BN34" s="35">
        <f t="shared" si="31"/>
        <v>-18.502494598534334</v>
      </c>
      <c r="BO34" s="35">
        <f t="shared" ref="BO34:CK34" si="32">BO33/BO4*100</f>
        <v>-17.255185326682167</v>
      </c>
      <c r="BP34" s="35">
        <f t="shared" si="32"/>
        <v>-14.320137019086983</v>
      </c>
      <c r="BQ34" s="35">
        <f t="shared" si="32"/>
        <v>-20.629285457570337</v>
      </c>
      <c r="BR34" s="35">
        <f t="shared" si="32"/>
        <v>-16.615546410731142</v>
      </c>
      <c r="BS34" s="35">
        <f t="shared" si="32"/>
        <v>-21.800373925659926</v>
      </c>
      <c r="BT34" s="35">
        <f t="shared" si="32"/>
        <v>-14.466925744670899</v>
      </c>
      <c r="BU34" s="35">
        <f t="shared" si="32"/>
        <v>-18.871641560896261</v>
      </c>
      <c r="BV34" s="35">
        <f t="shared" si="32"/>
        <v>-16.378013048087475</v>
      </c>
      <c r="BW34" s="35">
        <f t="shared" si="32"/>
        <v>-7.1879573111902086</v>
      </c>
      <c r="BX34" s="35">
        <f t="shared" si="32"/>
        <v>-25.762630671842235</v>
      </c>
      <c r="BY34" s="35">
        <f t="shared" si="32"/>
        <v>-8.4081153972977365</v>
      </c>
      <c r="BZ34" s="35">
        <f t="shared" si="32"/>
        <v>0.12082092728941449</v>
      </c>
      <c r="CA34" s="35">
        <f t="shared" si="32"/>
        <v>-12.638942037271109</v>
      </c>
      <c r="CB34" s="35">
        <f t="shared" si="32"/>
        <v>-0.69921369412804391</v>
      </c>
      <c r="CC34" s="35">
        <f t="shared" si="32"/>
        <v>-11.029545179092347</v>
      </c>
      <c r="CD34" s="35">
        <f t="shared" si="32"/>
        <v>-1.2676414957078421</v>
      </c>
      <c r="CE34" s="35">
        <f t="shared" si="32"/>
        <v>-1.4001963524191232</v>
      </c>
      <c r="CF34" s="35">
        <f t="shared" si="32"/>
        <v>-3.2230312714820708</v>
      </c>
      <c r="CG34" s="35">
        <f t="shared" si="32"/>
        <v>-8.5933495095861385</v>
      </c>
      <c r="CH34" s="35">
        <f t="shared" si="32"/>
        <v>-9.7741055380994872</v>
      </c>
      <c r="CI34" s="35">
        <f t="shared" si="32"/>
        <v>-10.333840593494388</v>
      </c>
      <c r="CJ34" s="35">
        <f t="shared" si="32"/>
        <v>-7.0620791439904078</v>
      </c>
      <c r="CK34" s="35" t="e">
        <f t="shared" si="32"/>
        <v>#DIV/0!</v>
      </c>
    </row>
    <row r="35" spans="1:89">
      <c r="A35" s="23" t="s">
        <v>137</v>
      </c>
      <c r="B35" s="33">
        <f>B23+B68</f>
        <v>-222977765.37</v>
      </c>
      <c r="C35" s="33">
        <f t="shared" ref="C35:BN35" si="33">C23+C68</f>
        <v>-139359825.87</v>
      </c>
      <c r="D35" s="33">
        <f t="shared" si="33"/>
        <v>-29986781.690000001</v>
      </c>
      <c r="E35" s="33">
        <f t="shared" si="33"/>
        <v>37844710.960000008</v>
      </c>
      <c r="F35" s="33">
        <f t="shared" si="33"/>
        <v>-185028643.88999999</v>
      </c>
      <c r="G35" s="33">
        <f t="shared" si="33"/>
        <v>-126157811.72</v>
      </c>
      <c r="H35" s="33">
        <f t="shared" si="33"/>
        <v>-47601533.409999996</v>
      </c>
      <c r="I35" s="33">
        <f t="shared" si="33"/>
        <v>-6320416.8199999928</v>
      </c>
      <c r="J35" s="33">
        <f t="shared" si="33"/>
        <v>-235356508.59</v>
      </c>
      <c r="K35" s="33">
        <f t="shared" si="33"/>
        <v>-158272204.97999999</v>
      </c>
      <c r="L35" s="33">
        <f t="shared" si="33"/>
        <v>-69286065.950000003</v>
      </c>
      <c r="M35" s="33">
        <f t="shared" si="33"/>
        <v>-318083164.19</v>
      </c>
      <c r="N35" s="33">
        <f t="shared" si="33"/>
        <v>-232714382.28</v>
      </c>
      <c r="O35" s="33">
        <f t="shared" si="33"/>
        <v>-138132029.40000001</v>
      </c>
      <c r="P35" s="33">
        <f t="shared" si="33"/>
        <v>-58736729.450000003</v>
      </c>
      <c r="Q35" s="33">
        <f t="shared" si="33"/>
        <v>-227863780.55000001</v>
      </c>
      <c r="R35" s="33">
        <f t="shared" si="33"/>
        <v>-190844994.93000001</v>
      </c>
      <c r="S35" s="33">
        <f t="shared" si="33"/>
        <v>-119308104.13</v>
      </c>
      <c r="T35" s="33">
        <f t="shared" si="33"/>
        <v>-54076508.649999999</v>
      </c>
      <c r="U35" s="33">
        <f t="shared" si="33"/>
        <v>-258834817.97999999</v>
      </c>
      <c r="V35" s="33">
        <f t="shared" si="33"/>
        <v>-194751671.66999999</v>
      </c>
      <c r="W35" s="33">
        <f t="shared" si="33"/>
        <v>-111189186.41</v>
      </c>
      <c r="X35" s="33">
        <f t="shared" si="33"/>
        <v>-13005963.01</v>
      </c>
      <c r="Y35" s="33">
        <f t="shared" si="33"/>
        <v>-159518248.33000001</v>
      </c>
      <c r="Z35" s="33">
        <f t="shared" si="33"/>
        <v>-147003306.55000001</v>
      </c>
      <c r="AA35" s="33">
        <f t="shared" si="33"/>
        <v>-103599118.69</v>
      </c>
      <c r="AB35" s="33">
        <f t="shared" si="33"/>
        <v>-7717898.0800000001</v>
      </c>
      <c r="AC35" s="33">
        <f t="shared" si="33"/>
        <v>-139850915.75</v>
      </c>
      <c r="AD35" s="33">
        <f t="shared" si="33"/>
        <v>-86436407.409999996</v>
      </c>
      <c r="AE35" s="33">
        <f t="shared" si="33"/>
        <v>-60403988.409999996</v>
      </c>
      <c r="AF35" s="33">
        <f t="shared" si="33"/>
        <v>-17185715.280000001</v>
      </c>
      <c r="AG35" s="33">
        <f t="shared" si="33"/>
        <v>-87600537.700000003</v>
      </c>
      <c r="AH35" s="33">
        <f t="shared" si="33"/>
        <v>-52935929.310000002</v>
      </c>
      <c r="AI35" s="33">
        <f t="shared" si="33"/>
        <v>-28857004.609999999</v>
      </c>
      <c r="AJ35" s="33">
        <f t="shared" si="33"/>
        <v>-7999584.46</v>
      </c>
      <c r="AK35" s="33">
        <f t="shared" si="33"/>
        <v>-86387668.629999995</v>
      </c>
      <c r="AL35" s="33">
        <f t="shared" si="33"/>
        <v>-63976100.18</v>
      </c>
      <c r="AM35" s="33">
        <f t="shared" si="33"/>
        <v>-31004034.359999999</v>
      </c>
      <c r="AN35" s="33">
        <f t="shared" si="33"/>
        <v>-10473263.51</v>
      </c>
      <c r="AO35" s="33">
        <f t="shared" si="33"/>
        <v>-81025713.319999993</v>
      </c>
      <c r="AP35" s="33">
        <f t="shared" si="33"/>
        <v>-50001404.32</v>
      </c>
      <c r="AQ35" s="33">
        <f t="shared" si="33"/>
        <v>-29987967.289999999</v>
      </c>
      <c r="AR35" s="33">
        <f t="shared" si="33"/>
        <v>-9773908.9499999993</v>
      </c>
      <c r="AS35" s="33">
        <f t="shared" si="33"/>
        <v>-36694705.93</v>
      </c>
      <c r="AT35" s="33">
        <f t="shared" si="33"/>
        <v>-22649401.350000001</v>
      </c>
      <c r="AU35" s="33">
        <f t="shared" si="33"/>
        <v>-8345207.46</v>
      </c>
      <c r="AV35" s="33">
        <f t="shared" si="33"/>
        <v>-6288958.1900000004</v>
      </c>
      <c r="AW35" s="33">
        <f t="shared" si="33"/>
        <v>-22650844.379999999</v>
      </c>
      <c r="AX35" s="33">
        <f t="shared" si="33"/>
        <v>-13369914.74</v>
      </c>
      <c r="AY35" s="33">
        <f t="shared" si="33"/>
        <v>-8061296.04</v>
      </c>
      <c r="AZ35" s="33">
        <f t="shared" si="33"/>
        <v>-3526988.6</v>
      </c>
      <c r="BA35" s="33">
        <f t="shared" si="33"/>
        <v>-8333112.9000000004</v>
      </c>
      <c r="BB35" s="33">
        <f t="shared" si="33"/>
        <v>-821838.79</v>
      </c>
      <c r="BC35" s="33">
        <f t="shared" si="33"/>
        <v>-2071650.69</v>
      </c>
      <c r="BD35" s="33">
        <f t="shared" si="33"/>
        <v>-3633490.4</v>
      </c>
      <c r="BE35" s="33">
        <f t="shared" si="33"/>
        <v>-12576168.560000001</v>
      </c>
      <c r="BF35" s="33">
        <f t="shared" si="33"/>
        <v>-7133253.9900000002</v>
      </c>
      <c r="BG35" s="33">
        <f t="shared" si="33"/>
        <v>-2940819.66</v>
      </c>
      <c r="BH35" s="33">
        <f t="shared" si="33"/>
        <v>-2516879.5699999998</v>
      </c>
      <c r="BI35" s="33">
        <f t="shared" si="33"/>
        <v>8744950.6500000004</v>
      </c>
      <c r="BJ35" s="33">
        <f t="shared" si="33"/>
        <v>14650393.49</v>
      </c>
      <c r="BK35" s="33">
        <f t="shared" si="33"/>
        <v>15927037.050000001</v>
      </c>
      <c r="BL35" s="33">
        <f t="shared" si="33"/>
        <v>6393201.8399999999</v>
      </c>
      <c r="BM35" s="33">
        <f t="shared" si="33"/>
        <v>7360831.6900000004</v>
      </c>
      <c r="BN35" s="33">
        <f t="shared" si="33"/>
        <v>8294311.9100000001</v>
      </c>
      <c r="BO35" s="33">
        <f t="shared" ref="BO35:CJ35" si="34">BO23+BO68</f>
        <v>4854831.74</v>
      </c>
      <c r="BP35" s="33">
        <f t="shared" si="34"/>
        <v>8338188.3899999997</v>
      </c>
      <c r="BQ35" s="33">
        <f t="shared" si="34"/>
        <v>5508116.9500000002</v>
      </c>
      <c r="BR35" s="33">
        <f t="shared" si="34"/>
        <v>3768713.32</v>
      </c>
      <c r="BS35" s="33">
        <f t="shared" si="34"/>
        <v>3410802.03</v>
      </c>
      <c r="BT35" s="33">
        <f t="shared" si="34"/>
        <v>-87429.7</v>
      </c>
      <c r="BU35" s="33">
        <f t="shared" si="34"/>
        <v>-6568664.4100000001</v>
      </c>
      <c r="BV35" s="33">
        <f t="shared" si="34"/>
        <v>5932455.8700000001</v>
      </c>
      <c r="BW35" s="33">
        <f t="shared" si="34"/>
        <v>868607.39</v>
      </c>
      <c r="BX35" s="33">
        <f t="shared" si="34"/>
        <v>17436730.539999999</v>
      </c>
      <c r="BY35" s="33">
        <f t="shared" si="34"/>
        <v>22884335.809999999</v>
      </c>
      <c r="BZ35" s="33">
        <f t="shared" si="34"/>
        <v>0</v>
      </c>
      <c r="CA35" s="33">
        <f t="shared" si="34"/>
        <v>49930619.770000003</v>
      </c>
      <c r="CB35" s="33">
        <f t="shared" si="34"/>
        <v>0</v>
      </c>
      <c r="CC35" s="33">
        <f t="shared" si="34"/>
        <v>24077630.73</v>
      </c>
      <c r="CD35" s="33">
        <f t="shared" si="34"/>
        <v>0</v>
      </c>
      <c r="CE35" s="33">
        <f t="shared" si="34"/>
        <v>0</v>
      </c>
      <c r="CF35" s="33">
        <f t="shared" si="34"/>
        <v>0</v>
      </c>
      <c r="CG35" s="33">
        <f t="shared" si="34"/>
        <v>0</v>
      </c>
      <c r="CH35" s="33">
        <f t="shared" si="34"/>
        <v>0</v>
      </c>
      <c r="CI35" s="33">
        <f t="shared" si="34"/>
        <v>0</v>
      </c>
      <c r="CJ35" s="33">
        <f t="shared" si="34"/>
        <v>0</v>
      </c>
    </row>
    <row r="36" spans="1:89" s="30" customFormat="1">
      <c r="A36" s="30" t="s">
        <v>138</v>
      </c>
      <c r="B36" s="33">
        <f>B35*B41</f>
        <v>-20280911.297448639</v>
      </c>
      <c r="C36" s="33">
        <f t="shared" ref="C36:BN36" si="35">C35*C41</f>
        <v>-14666529.353515338</v>
      </c>
      <c r="D36" s="33">
        <f t="shared" si="35"/>
        <v>-3914462.5605959226</v>
      </c>
      <c r="E36" s="33">
        <f t="shared" si="35"/>
        <v>4982331.2621087125</v>
      </c>
      <c r="F36" s="33">
        <f t="shared" si="35"/>
        <v>-22403643.599895556</v>
      </c>
      <c r="G36" s="33">
        <f t="shared" si="35"/>
        <v>-14100222.017067811</v>
      </c>
      <c r="H36" s="33">
        <f t="shared" si="35"/>
        <v>-5937632.7334513478</v>
      </c>
      <c r="I36" s="33">
        <f t="shared" si="35"/>
        <v>-786624.9626864132</v>
      </c>
      <c r="J36" s="33">
        <f t="shared" si="35"/>
        <v>-27072218.649976689</v>
      </c>
      <c r="K36" s="33">
        <f t="shared" si="35"/>
        <v>-16395966.20556483</v>
      </c>
      <c r="L36" s="33">
        <f t="shared" si="35"/>
        <v>10232365.45300355</v>
      </c>
      <c r="M36" s="33">
        <f t="shared" si="35"/>
        <v>128408338.37936521</v>
      </c>
      <c r="N36" s="33">
        <f t="shared" si="35"/>
        <v>116449796.18645877</v>
      </c>
      <c r="O36" s="33">
        <f t="shared" si="35"/>
        <v>22279019.465858899</v>
      </c>
      <c r="P36" s="33">
        <f t="shared" si="35"/>
        <v>7505266.6649573175</v>
      </c>
      <c r="Q36" s="33">
        <f t="shared" si="35"/>
        <v>31072004.833773289</v>
      </c>
      <c r="R36" s="33">
        <f t="shared" si="35"/>
        <v>30592125.803945888</v>
      </c>
      <c r="S36" s="33">
        <f t="shared" si="35"/>
        <v>16598022.849954672</v>
      </c>
      <c r="T36" s="33">
        <f t="shared" si="35"/>
        <v>5707400.169353053</v>
      </c>
      <c r="U36" s="33">
        <f t="shared" si="35"/>
        <v>29033225.550599664</v>
      </c>
      <c r="V36" s="33">
        <f t="shared" si="35"/>
        <v>22468652.15542062</v>
      </c>
      <c r="W36" s="33">
        <f t="shared" si="35"/>
        <v>9767895.947710745</v>
      </c>
      <c r="X36" s="33">
        <f t="shared" si="35"/>
        <v>1281601.5290850443</v>
      </c>
      <c r="Y36" s="33">
        <f t="shared" si="35"/>
        <v>32233954.648091745</v>
      </c>
      <c r="Z36" s="33">
        <f t="shared" si="35"/>
        <v>17512532.002552286</v>
      </c>
      <c r="AA36" s="33">
        <f t="shared" si="35"/>
        <v>19775005.65415927</v>
      </c>
      <c r="AB36" s="33">
        <f t="shared" si="35"/>
        <v>1707534.7503513061</v>
      </c>
      <c r="AC36" s="33">
        <f t="shared" si="35"/>
        <v>16300365.624732871</v>
      </c>
      <c r="AD36" s="33">
        <f t="shared" si="35"/>
        <v>12656958.872213699</v>
      </c>
      <c r="AE36" s="33">
        <f t="shared" si="35"/>
        <v>9099492.8164524809</v>
      </c>
      <c r="AF36" s="33">
        <f t="shared" si="35"/>
        <v>2668844.1487765806</v>
      </c>
      <c r="AG36" s="33">
        <f t="shared" si="35"/>
        <v>10830061.557633318</v>
      </c>
      <c r="AH36" s="33">
        <f t="shared" si="35"/>
        <v>7179486.1600375213</v>
      </c>
      <c r="AI36" s="33">
        <f t="shared" si="35"/>
        <v>4028593.9400965068</v>
      </c>
      <c r="AJ36" s="33">
        <f t="shared" si="35"/>
        <v>1153841.081018331</v>
      </c>
      <c r="AK36" s="33">
        <f t="shared" si="35"/>
        <v>10675428.784375709</v>
      </c>
      <c r="AL36" s="33">
        <f t="shared" si="35"/>
        <v>9947842.4110614471</v>
      </c>
      <c r="AM36" s="33">
        <f t="shared" si="35"/>
        <v>5112983.8756882623</v>
      </c>
      <c r="AN36" s="33">
        <f t="shared" si="35"/>
        <v>1586786.6209950524</v>
      </c>
      <c r="AO36" s="33">
        <f t="shared" si="35"/>
        <v>14826480.369318107</v>
      </c>
      <c r="AP36" s="33">
        <f t="shared" si="35"/>
        <v>10774208.469622374</v>
      </c>
      <c r="AQ36" s="33">
        <f t="shared" si="35"/>
        <v>7117409.8526858948</v>
      </c>
      <c r="AR36" s="33">
        <f t="shared" si="35"/>
        <v>2166104.5479854671</v>
      </c>
      <c r="AS36" s="33">
        <f t="shared" si="35"/>
        <v>5829445.6495539444</v>
      </c>
      <c r="AT36" s="33">
        <f t="shared" si="35"/>
        <v>5485982.9318395201</v>
      </c>
      <c r="AU36" s="33">
        <f t="shared" si="35"/>
        <v>2007801.2751816865</v>
      </c>
      <c r="AV36" s="33">
        <f t="shared" si="35"/>
        <v>1069155.3042182347</v>
      </c>
      <c r="AW36" s="33">
        <f t="shared" si="35"/>
        <v>3125575.2675585719</v>
      </c>
      <c r="AX36" s="33">
        <f t="shared" si="35"/>
        <v>1647878.8990329662</v>
      </c>
      <c r="AY36" s="33">
        <f t="shared" si="35"/>
        <v>875081.03870123683</v>
      </c>
      <c r="AZ36" s="33">
        <f t="shared" si="35"/>
        <v>421261.34327196016</v>
      </c>
      <c r="BA36" s="33">
        <f t="shared" si="35"/>
        <v>948515.51608376915</v>
      </c>
      <c r="BB36" s="33">
        <f t="shared" si="35"/>
        <v>109203.03612511851</v>
      </c>
      <c r="BC36" s="33">
        <f t="shared" si="35"/>
        <v>307180.36057982221</v>
      </c>
      <c r="BD36" s="33">
        <f t="shared" si="35"/>
        <v>562174.72965353739</v>
      </c>
      <c r="BE36" s="33">
        <f t="shared" si="35"/>
        <v>1812986.111260708</v>
      </c>
      <c r="BF36" s="33">
        <f t="shared" si="35"/>
        <v>1159335.2199942062</v>
      </c>
      <c r="BG36" s="33">
        <f t="shared" si="35"/>
        <v>529929.59950123494</v>
      </c>
      <c r="BH36" s="33">
        <f t="shared" si="35"/>
        <v>449810.26881724742</v>
      </c>
      <c r="BI36" s="33">
        <f t="shared" si="35"/>
        <v>-2201783.5628515892</v>
      </c>
      <c r="BJ36" s="33">
        <f t="shared" si="35"/>
        <v>-3374400.9571813932</v>
      </c>
      <c r="BK36" s="33">
        <f t="shared" si="35"/>
        <v>-3934369.0196675202</v>
      </c>
      <c r="BL36" s="33">
        <f t="shared" si="35"/>
        <v>-1038302.4945573207</v>
      </c>
      <c r="BM36" s="33">
        <f t="shared" si="35"/>
        <v>-1215456.6745218027</v>
      </c>
      <c r="BN36" s="33">
        <f t="shared" si="35"/>
        <v>-1506438.562194756</v>
      </c>
      <c r="BO36" s="33">
        <f t="shared" ref="BO36:CJ36" si="36">BO35*BO41</f>
        <v>-925235.33772200858</v>
      </c>
      <c r="BP36" s="33">
        <f t="shared" si="36"/>
        <v>-1544008.7232012679</v>
      </c>
      <c r="BQ36" s="33">
        <f t="shared" si="36"/>
        <v>-910864.73647168232</v>
      </c>
      <c r="BR36" s="33">
        <f t="shared" si="36"/>
        <v>-743148.00025026489</v>
      </c>
      <c r="BS36" s="33">
        <f t="shared" si="36"/>
        <v>-495893.22471426899</v>
      </c>
      <c r="BT36" s="33">
        <f t="shared" si="36"/>
        <v>19923.08847190113</v>
      </c>
      <c r="BU36" s="33">
        <f t="shared" si="36"/>
        <v>1151502.5518747934</v>
      </c>
      <c r="BV36" s="33">
        <f t="shared" si="36"/>
        <v>-984371.52257738565</v>
      </c>
      <c r="BW36" s="33">
        <f t="shared" si="36"/>
        <v>-80740.537369912447</v>
      </c>
      <c r="BX36" s="33">
        <f t="shared" si="36"/>
        <v>0</v>
      </c>
      <c r="BY36" s="33">
        <f t="shared" si="36"/>
        <v>-1991461.3910540764</v>
      </c>
      <c r="BZ36" s="33">
        <f t="shared" si="36"/>
        <v>0</v>
      </c>
      <c r="CA36" s="33">
        <f t="shared" si="36"/>
        <v>-409862.98949796217</v>
      </c>
      <c r="CB36" s="33">
        <f t="shared" si="36"/>
        <v>0</v>
      </c>
      <c r="CC36" s="33">
        <f t="shared" si="36"/>
        <v>-3229777.374034415</v>
      </c>
      <c r="CD36" s="33">
        <f t="shared" si="36"/>
        <v>0</v>
      </c>
      <c r="CE36" s="33">
        <f t="shared" si="36"/>
        <v>0</v>
      </c>
      <c r="CF36" s="33">
        <f t="shared" si="36"/>
        <v>0</v>
      </c>
      <c r="CG36" s="33">
        <f t="shared" si="36"/>
        <v>0</v>
      </c>
      <c r="CH36" s="33">
        <f t="shared" si="36"/>
        <v>0</v>
      </c>
      <c r="CI36" s="33">
        <f t="shared" si="36"/>
        <v>0</v>
      </c>
      <c r="CJ36" s="33">
        <f t="shared" si="36"/>
        <v>0</v>
      </c>
    </row>
    <row r="37" spans="1:89" s="30" customFormat="1">
      <c r="A37" s="30" t="s">
        <v>139</v>
      </c>
      <c r="B37" s="33">
        <f>B35-B36</f>
        <v>-202696854.07255137</v>
      </c>
      <c r="C37" s="33">
        <f t="shared" ref="C37:BN37" si="37">C35-C36</f>
        <v>-124693296.51648466</v>
      </c>
      <c r="D37" s="33">
        <f t="shared" si="37"/>
        <v>-26072319.129404079</v>
      </c>
      <c r="E37" s="33">
        <f t="shared" si="37"/>
        <v>32862379.697891295</v>
      </c>
      <c r="F37" s="33">
        <f t="shared" si="37"/>
        <v>-162625000.29010442</v>
      </c>
      <c r="G37" s="33">
        <f t="shared" si="37"/>
        <v>-112057589.70293219</v>
      </c>
      <c r="H37" s="33">
        <f t="shared" si="37"/>
        <v>-41663900.676548645</v>
      </c>
      <c r="I37" s="33">
        <f t="shared" si="37"/>
        <v>-5533791.8573135799</v>
      </c>
      <c r="J37" s="33">
        <f t="shared" si="37"/>
        <v>-208284289.9400233</v>
      </c>
      <c r="K37" s="33">
        <f t="shared" si="37"/>
        <v>-141876238.77443516</v>
      </c>
      <c r="L37" s="33">
        <f t="shared" si="37"/>
        <v>-79518431.403003559</v>
      </c>
      <c r="M37" s="33">
        <f t="shared" si="37"/>
        <v>-446491502.5693652</v>
      </c>
      <c r="N37" s="33">
        <f t="shared" si="37"/>
        <v>-349164178.4664588</v>
      </c>
      <c r="O37" s="33">
        <f t="shared" si="37"/>
        <v>-160411048.86585891</v>
      </c>
      <c r="P37" s="33">
        <f t="shared" si="37"/>
        <v>-66241996.114957318</v>
      </c>
      <c r="Q37" s="33">
        <f t="shared" si="37"/>
        <v>-258935785.3837733</v>
      </c>
      <c r="R37" s="33">
        <f t="shared" si="37"/>
        <v>-221437120.73394591</v>
      </c>
      <c r="S37" s="33">
        <f t="shared" si="37"/>
        <v>-135906126.97995466</v>
      </c>
      <c r="T37" s="33">
        <f t="shared" si="37"/>
        <v>-59783908.819353051</v>
      </c>
      <c r="U37" s="33">
        <f t="shared" si="37"/>
        <v>-287868043.53059965</v>
      </c>
      <c r="V37" s="33">
        <f t="shared" si="37"/>
        <v>-217220323.82542062</v>
      </c>
      <c r="W37" s="33">
        <f t="shared" si="37"/>
        <v>-120957082.35771075</v>
      </c>
      <c r="X37" s="33">
        <f t="shared" si="37"/>
        <v>-14287564.539085044</v>
      </c>
      <c r="Y37" s="33">
        <f t="shared" si="37"/>
        <v>-191752202.97809175</v>
      </c>
      <c r="Z37" s="33">
        <f t="shared" si="37"/>
        <v>-164515838.55255228</v>
      </c>
      <c r="AA37" s="33">
        <f t="shared" si="37"/>
        <v>-123374124.34415928</v>
      </c>
      <c r="AB37" s="33">
        <f t="shared" si="37"/>
        <v>-9425432.8303513061</v>
      </c>
      <c r="AC37" s="33">
        <f t="shared" si="37"/>
        <v>-156151281.37473288</v>
      </c>
      <c r="AD37" s="33">
        <f t="shared" si="37"/>
        <v>-99093366.282213688</v>
      </c>
      <c r="AE37" s="33">
        <f t="shared" si="37"/>
        <v>-69503481.22645247</v>
      </c>
      <c r="AF37" s="33">
        <f t="shared" si="37"/>
        <v>-19854559.428776581</v>
      </c>
      <c r="AG37" s="33">
        <f t="shared" si="37"/>
        <v>-98430599.257633328</v>
      </c>
      <c r="AH37" s="33">
        <f t="shared" si="37"/>
        <v>-60115415.47003752</v>
      </c>
      <c r="AI37" s="33">
        <f t="shared" si="37"/>
        <v>-32885598.550096504</v>
      </c>
      <c r="AJ37" s="33">
        <f t="shared" si="37"/>
        <v>-9153425.5410183314</v>
      </c>
      <c r="AK37" s="33">
        <f t="shared" si="37"/>
        <v>-97063097.414375708</v>
      </c>
      <c r="AL37" s="33">
        <f t="shared" si="37"/>
        <v>-73923942.591061443</v>
      </c>
      <c r="AM37" s="33">
        <f t="shared" si="37"/>
        <v>-36117018.235688262</v>
      </c>
      <c r="AN37" s="33">
        <f t="shared" si="37"/>
        <v>-12060050.130995052</v>
      </c>
      <c r="AO37" s="33">
        <f t="shared" si="37"/>
        <v>-95852193.689318106</v>
      </c>
      <c r="AP37" s="33">
        <f t="shared" si="37"/>
        <v>-60775612.789622374</v>
      </c>
      <c r="AQ37" s="33">
        <f t="shared" si="37"/>
        <v>-37105377.14268589</v>
      </c>
      <c r="AR37" s="33">
        <f t="shared" si="37"/>
        <v>-11940013.497985467</v>
      </c>
      <c r="AS37" s="33">
        <f t="shared" si="37"/>
        <v>-42524151.579553947</v>
      </c>
      <c r="AT37" s="33">
        <f t="shared" si="37"/>
        <v>-28135384.28183952</v>
      </c>
      <c r="AU37" s="33">
        <f t="shared" si="37"/>
        <v>-10353008.735181686</v>
      </c>
      <c r="AV37" s="33">
        <f t="shared" si="37"/>
        <v>-7358113.4942182349</v>
      </c>
      <c r="AW37" s="33">
        <f t="shared" si="37"/>
        <v>-25776419.64755857</v>
      </c>
      <c r="AX37" s="33">
        <f t="shared" si="37"/>
        <v>-15017793.639032967</v>
      </c>
      <c r="AY37" s="33">
        <f t="shared" si="37"/>
        <v>-8936377.0787012372</v>
      </c>
      <c r="AZ37" s="33">
        <f t="shared" si="37"/>
        <v>-3948249.9432719601</v>
      </c>
      <c r="BA37" s="33">
        <f t="shared" si="37"/>
        <v>-9281628.4160837699</v>
      </c>
      <c r="BB37" s="33">
        <f t="shared" si="37"/>
        <v>-931041.82612511853</v>
      </c>
      <c r="BC37" s="33">
        <f t="shared" si="37"/>
        <v>-2378831.0505798222</v>
      </c>
      <c r="BD37" s="33">
        <f t="shared" si="37"/>
        <v>-4195665.1296535376</v>
      </c>
      <c r="BE37" s="33">
        <f t="shared" si="37"/>
        <v>-14389154.671260709</v>
      </c>
      <c r="BF37" s="33">
        <f t="shared" si="37"/>
        <v>-8292589.2099942062</v>
      </c>
      <c r="BG37" s="33">
        <f t="shared" si="37"/>
        <v>-3470749.2595012351</v>
      </c>
      <c r="BH37" s="33">
        <f t="shared" si="37"/>
        <v>-2966689.8388172472</v>
      </c>
      <c r="BI37" s="33">
        <f t="shared" si="37"/>
        <v>10946734.21285159</v>
      </c>
      <c r="BJ37" s="33">
        <f t="shared" si="37"/>
        <v>18024794.447181392</v>
      </c>
      <c r="BK37" s="33">
        <f t="shared" si="37"/>
        <v>19861406.069667522</v>
      </c>
      <c r="BL37" s="33">
        <f t="shared" si="37"/>
        <v>7431504.3345573209</v>
      </c>
      <c r="BM37" s="33">
        <f t="shared" si="37"/>
        <v>8576288.3645218033</v>
      </c>
      <c r="BN37" s="33">
        <f t="shared" si="37"/>
        <v>9800750.4721947554</v>
      </c>
      <c r="BO37" s="33">
        <f t="shared" ref="BO37:CJ37" si="38">BO35-BO36</f>
        <v>5780067.0777220093</v>
      </c>
      <c r="BP37" s="33">
        <f t="shared" si="38"/>
        <v>9882197.113201268</v>
      </c>
      <c r="BQ37" s="33">
        <f t="shared" si="38"/>
        <v>6418981.686471682</v>
      </c>
      <c r="BR37" s="33">
        <f t="shared" si="38"/>
        <v>4511861.3202502644</v>
      </c>
      <c r="BS37" s="33">
        <f t="shared" si="38"/>
        <v>3906695.2547142687</v>
      </c>
      <c r="BT37" s="33">
        <f t="shared" si="38"/>
        <v>-107352.78847190112</v>
      </c>
      <c r="BU37" s="33">
        <f t="shared" si="38"/>
        <v>-7720166.9618747933</v>
      </c>
      <c r="BV37" s="33">
        <f t="shared" si="38"/>
        <v>6916827.3925773855</v>
      </c>
      <c r="BW37" s="33">
        <f t="shared" si="38"/>
        <v>949347.9273699125</v>
      </c>
      <c r="BX37" s="33">
        <f t="shared" si="38"/>
        <v>17436730.539999999</v>
      </c>
      <c r="BY37" s="33">
        <f t="shared" si="38"/>
        <v>24875797.201054074</v>
      </c>
      <c r="BZ37" s="33">
        <f t="shared" si="38"/>
        <v>0</v>
      </c>
      <c r="CA37" s="33">
        <f t="shared" si="38"/>
        <v>50340482.759497963</v>
      </c>
      <c r="CB37" s="33">
        <f t="shared" si="38"/>
        <v>0</v>
      </c>
      <c r="CC37" s="33">
        <f t="shared" si="38"/>
        <v>27307408.104034416</v>
      </c>
      <c r="CD37" s="33">
        <f t="shared" si="38"/>
        <v>0</v>
      </c>
      <c r="CE37" s="33">
        <f t="shared" si="38"/>
        <v>0</v>
      </c>
      <c r="CF37" s="33">
        <f t="shared" si="38"/>
        <v>0</v>
      </c>
      <c r="CG37" s="33">
        <f t="shared" si="38"/>
        <v>0</v>
      </c>
      <c r="CH37" s="33">
        <f t="shared" si="38"/>
        <v>0</v>
      </c>
      <c r="CI37" s="33">
        <f t="shared" si="38"/>
        <v>0</v>
      </c>
      <c r="CJ37" s="33">
        <f t="shared" si="38"/>
        <v>0</v>
      </c>
    </row>
    <row r="38" spans="1:89" s="2" customFormat="1">
      <c r="A38" s="26" t="s">
        <v>140</v>
      </c>
      <c r="B38" s="35">
        <f>B31-B35</f>
        <v>2502980765.5599985</v>
      </c>
      <c r="C38" s="35">
        <f t="shared" ref="C38:BN38" si="39">C31-C35</f>
        <v>1213967914.7600012</v>
      </c>
      <c r="D38" s="35">
        <f t="shared" si="39"/>
        <v>453701627.69000036</v>
      </c>
      <c r="E38" s="35">
        <f t="shared" si="39"/>
        <v>2581865647.9399991</v>
      </c>
      <c r="F38" s="35">
        <f t="shared" si="39"/>
        <v>1988129367.6799998</v>
      </c>
      <c r="G38" s="35">
        <f t="shared" si="39"/>
        <v>1187055477.2799995</v>
      </c>
      <c r="H38" s="35">
        <f t="shared" si="39"/>
        <v>457590851.01999986</v>
      </c>
      <c r="I38" s="35">
        <f t="shared" si="39"/>
        <v>2764948608.4099989</v>
      </c>
      <c r="J38" s="35">
        <f t="shared" si="39"/>
        <v>2055687820.8000007</v>
      </c>
      <c r="K38" s="35">
        <f t="shared" si="39"/>
        <v>1269587570.0299995</v>
      </c>
      <c r="L38" s="35">
        <f t="shared" si="39"/>
        <v>-388217410.84000003</v>
      </c>
      <c r="M38" s="35">
        <f t="shared" si="39"/>
        <v>-977179943.49000072</v>
      </c>
      <c r="N38" s="35">
        <f t="shared" si="39"/>
        <v>-474439087.70000017</v>
      </c>
      <c r="O38" s="35">
        <f t="shared" si="39"/>
        <v>-889685350.15999985</v>
      </c>
      <c r="P38" s="35">
        <f t="shared" si="39"/>
        <v>-470312193.97000009</v>
      </c>
      <c r="Q38" s="35">
        <f t="shared" si="39"/>
        <v>-2397417670.0599999</v>
      </c>
      <c r="R38" s="35">
        <f t="shared" si="39"/>
        <v>-1620852806.9299996</v>
      </c>
      <c r="S38" s="35">
        <f t="shared" si="39"/>
        <v>-1094692504.7800002</v>
      </c>
      <c r="T38" s="35">
        <f t="shared" si="39"/>
        <v>-500379508.10000014</v>
      </c>
      <c r="U38" s="35">
        <f t="shared" si="39"/>
        <v>-2180289649.9099998</v>
      </c>
      <c r="V38" s="35">
        <f t="shared" si="39"/>
        <v>-1530701224.6600001</v>
      </c>
      <c r="W38" s="35">
        <f t="shared" si="39"/>
        <v>-1083549257.2699997</v>
      </c>
      <c r="X38" s="35">
        <f t="shared" si="39"/>
        <v>-467914087.70999998</v>
      </c>
      <c r="Y38" s="35">
        <f t="shared" si="39"/>
        <v>-1802902967.5700006</v>
      </c>
      <c r="Z38" s="35">
        <f t="shared" si="39"/>
        <v>-1378536263.1000001</v>
      </c>
      <c r="AA38" s="35">
        <f t="shared" si="39"/>
        <v>-486031547.73000008</v>
      </c>
      <c r="AB38" s="35">
        <f t="shared" si="39"/>
        <v>-189234466.15000004</v>
      </c>
      <c r="AC38" s="35">
        <f t="shared" si="39"/>
        <v>-1490487148.99</v>
      </c>
      <c r="AD38" s="35">
        <f t="shared" si="39"/>
        <v>-1039085994.5899996</v>
      </c>
      <c r="AE38" s="35">
        <f t="shared" si="39"/>
        <v>-625663408.99999988</v>
      </c>
      <c r="AF38" s="35">
        <f t="shared" si="39"/>
        <v>-296197603.92000008</v>
      </c>
      <c r="AG38" s="35">
        <f t="shared" si="39"/>
        <v>-1307358515.8199999</v>
      </c>
      <c r="AH38" s="35">
        <f t="shared" si="39"/>
        <v>-900381952.1699996</v>
      </c>
      <c r="AI38" s="35">
        <f t="shared" si="39"/>
        <v>-579058850.42999995</v>
      </c>
      <c r="AJ38" s="35">
        <f t="shared" si="39"/>
        <v>-247436953.07000002</v>
      </c>
      <c r="AK38" s="35">
        <f t="shared" si="39"/>
        <v>-1098428692.6000004</v>
      </c>
      <c r="AL38" s="35">
        <f t="shared" si="39"/>
        <v>-657485236.22000003</v>
      </c>
      <c r="AM38" s="35">
        <f t="shared" si="39"/>
        <v>-404005255.29999983</v>
      </c>
      <c r="AN38" s="35">
        <f t="shared" si="39"/>
        <v>-214644312.18000001</v>
      </c>
      <c r="AO38" s="35">
        <f t="shared" si="39"/>
        <v>-837858676</v>
      </c>
      <c r="AP38" s="35">
        <f t="shared" si="39"/>
        <v>-656961110.13999999</v>
      </c>
      <c r="AQ38" s="35">
        <f t="shared" si="39"/>
        <v>-419048390.74999994</v>
      </c>
      <c r="AR38" s="35">
        <f t="shared" si="39"/>
        <v>-198660561.27000004</v>
      </c>
      <c r="AS38" s="35">
        <f t="shared" si="39"/>
        <v>-876748680.8499999</v>
      </c>
      <c r="AT38" s="35">
        <f t="shared" si="39"/>
        <v>-546688682.5200001</v>
      </c>
      <c r="AU38" s="35">
        <f t="shared" si="39"/>
        <v>-350602955.62000006</v>
      </c>
      <c r="AV38" s="35">
        <f t="shared" si="39"/>
        <v>-174408295.81000003</v>
      </c>
      <c r="AW38" s="35">
        <f t="shared" si="39"/>
        <v>-812814452.20999992</v>
      </c>
      <c r="AX38" s="35">
        <f t="shared" si="39"/>
        <v>-552778783.58999991</v>
      </c>
      <c r="AY38" s="35">
        <f t="shared" si="39"/>
        <v>-380980871.82999998</v>
      </c>
      <c r="AZ38" s="35">
        <f t="shared" si="39"/>
        <v>-178011127.18000004</v>
      </c>
      <c r="BA38" s="35">
        <f t="shared" si="39"/>
        <v>-954185084.19000006</v>
      </c>
      <c r="BB38" s="35">
        <f t="shared" si="39"/>
        <v>-707456544.43000007</v>
      </c>
      <c r="BC38" s="35">
        <f t="shared" si="39"/>
        <v>-457670885.88</v>
      </c>
      <c r="BD38" s="35">
        <f t="shared" si="39"/>
        <v>-187273135.5</v>
      </c>
      <c r="BE38" s="35">
        <f t="shared" si="39"/>
        <v>-918898925.24000013</v>
      </c>
      <c r="BF38" s="35">
        <f t="shared" si="39"/>
        <v>-576138740.23000014</v>
      </c>
      <c r="BG38" s="35">
        <f t="shared" si="39"/>
        <v>-365529186.40999997</v>
      </c>
      <c r="BH38" s="35">
        <f t="shared" si="39"/>
        <v>-184397959.46000001</v>
      </c>
      <c r="BI38" s="35">
        <f t="shared" si="39"/>
        <v>-619381020.70999992</v>
      </c>
      <c r="BJ38" s="35">
        <f t="shared" si="39"/>
        <v>-470485450.05999982</v>
      </c>
      <c r="BK38" s="35">
        <f t="shared" si="39"/>
        <v>-278787215.10999995</v>
      </c>
      <c r="BL38" s="35">
        <f t="shared" si="39"/>
        <v>-172448350.84999999</v>
      </c>
      <c r="BM38" s="35">
        <f t="shared" si="39"/>
        <v>-870058047.24000013</v>
      </c>
      <c r="BN38" s="35">
        <f t="shared" si="39"/>
        <v>-543796371.70000005</v>
      </c>
      <c r="BO38" s="35">
        <f t="shared" ref="BO38:CJ38" si="40">BO31-BO35</f>
        <v>-336681092.28999996</v>
      </c>
      <c r="BP38" s="35">
        <f t="shared" si="40"/>
        <v>-136745622.65000001</v>
      </c>
      <c r="BQ38" s="35">
        <f t="shared" si="40"/>
        <v>-686107437.16000009</v>
      </c>
      <c r="BR38" s="35">
        <f t="shared" si="40"/>
        <v>-265894441.53000003</v>
      </c>
      <c r="BS38" s="35">
        <f t="shared" si="40"/>
        <v>-693255389.18000007</v>
      </c>
      <c r="BT38" s="35">
        <f t="shared" si="40"/>
        <v>-207262182.06</v>
      </c>
      <c r="BU38" s="35">
        <f t="shared" si="40"/>
        <v>-555929155.44000006</v>
      </c>
      <c r="BV38" s="35">
        <f t="shared" si="40"/>
        <v>-236442173.81</v>
      </c>
      <c r="BW38" s="35">
        <f t="shared" si="40"/>
        <v>-30090103.070000015</v>
      </c>
      <c r="BX38" s="35">
        <f t="shared" si="40"/>
        <v>-69500887.090000004</v>
      </c>
      <c r="BY38" s="35">
        <f t="shared" si="40"/>
        <v>-93960288.379999995</v>
      </c>
      <c r="BZ38" s="35">
        <f t="shared" si="40"/>
        <v>2100000</v>
      </c>
      <c r="CA38" s="35">
        <f t="shared" si="40"/>
        <v>-219266941.21000001</v>
      </c>
      <c r="CB38" s="35">
        <f t="shared" si="40"/>
        <v>3033836.53</v>
      </c>
      <c r="CC38" s="35">
        <f t="shared" si="40"/>
        <v>-211242670.80999997</v>
      </c>
      <c r="CD38" s="35">
        <f t="shared" si="40"/>
        <v>5790000</v>
      </c>
      <c r="CE38" s="35">
        <f t="shared" si="40"/>
        <v>7729000</v>
      </c>
      <c r="CF38" s="35">
        <f t="shared" si="40"/>
        <v>-8277402.6900000013</v>
      </c>
      <c r="CG38" s="35">
        <f t="shared" si="40"/>
        <v>-45960000</v>
      </c>
      <c r="CH38" s="35">
        <f t="shared" si="40"/>
        <v>-71370000</v>
      </c>
      <c r="CI38" s="35">
        <f t="shared" si="40"/>
        <v>-52680000</v>
      </c>
      <c r="CJ38" s="35">
        <f t="shared" si="40"/>
        <v>-34650000</v>
      </c>
    </row>
    <row r="39" spans="1:89" s="32" customFormat="1">
      <c r="A39" s="31" t="s">
        <v>141</v>
      </c>
      <c r="B39" s="34">
        <f>B38/B4*100</f>
        <v>15.732297872675643</v>
      </c>
      <c r="C39" s="34">
        <f t="shared" ref="C39:BN39" si="41">C38/C4*100</f>
        <v>11.776454586849134</v>
      </c>
      <c r="D39" s="34">
        <f t="shared" si="41"/>
        <v>11.394791035482553</v>
      </c>
      <c r="E39" s="34">
        <f t="shared" si="41"/>
        <v>13.259957033011544</v>
      </c>
      <c r="F39" s="34">
        <f t="shared" si="41"/>
        <v>13.530647104860865</v>
      </c>
      <c r="G39" s="34">
        <f t="shared" si="41"/>
        <v>12.34815747944323</v>
      </c>
      <c r="H39" s="34">
        <f t="shared" si="41"/>
        <v>12.059166769500056</v>
      </c>
      <c r="I39" s="34">
        <f t="shared" si="41"/>
        <v>14.599577749808383</v>
      </c>
      <c r="J39" s="34">
        <f t="shared" si="41"/>
        <v>14.457888797984802</v>
      </c>
      <c r="K39" s="34">
        <f t="shared" si="41"/>
        <v>13.693715925419959</v>
      </c>
      <c r="L39" s="34">
        <f t="shared" si="41"/>
        <v>-10.282924674558652</v>
      </c>
      <c r="M39" s="34">
        <f t="shared" si="41"/>
        <v>-5.0642802097126074</v>
      </c>
      <c r="N39" s="34">
        <f t="shared" si="41"/>
        <v>-3.2158180617951864</v>
      </c>
      <c r="O39" s="34">
        <f t="shared" si="41"/>
        <v>-9.0511780802405717</v>
      </c>
      <c r="P39" s="34">
        <f t="shared" si="41"/>
        <v>-11.329286851362157</v>
      </c>
      <c r="Q39" s="34">
        <f t="shared" si="41"/>
        <v>-11.537732205099235</v>
      </c>
      <c r="R39" s="34">
        <f t="shared" si="41"/>
        <v>-10.406637127899645</v>
      </c>
      <c r="S39" s="34">
        <f t="shared" si="41"/>
        <v>-10.799707072465257</v>
      </c>
      <c r="T39" s="34">
        <f t="shared" si="41"/>
        <v>-12.106228457187166</v>
      </c>
      <c r="U39" s="34">
        <f t="shared" si="41"/>
        <v>-10.952334396876555</v>
      </c>
      <c r="V39" s="34">
        <f t="shared" si="41"/>
        <v>-10.470793808712866</v>
      </c>
      <c r="W39" s="34">
        <f t="shared" si="41"/>
        <v>-11.549801562899415</v>
      </c>
      <c r="X39" s="34">
        <f t="shared" si="41"/>
        <v>-12.047645816710769</v>
      </c>
      <c r="Y39" s="34">
        <f t="shared" si="41"/>
        <v>-10.161063380132271</v>
      </c>
      <c r="Z39" s="34">
        <f t="shared" si="41"/>
        <v>-10.246189934842711</v>
      </c>
      <c r="AA39" s="34">
        <f t="shared" si="41"/>
        <v>-6.7541187237815699</v>
      </c>
      <c r="AB39" s="34">
        <f t="shared" si="41"/>
        <v>-5.9157012981734161</v>
      </c>
      <c r="AC39" s="34">
        <f t="shared" si="41"/>
        <v>-10.277535470055517</v>
      </c>
      <c r="AD39" s="34">
        <f t="shared" si="41"/>
        <v>-9.0896114209738705</v>
      </c>
      <c r="AE39" s="34">
        <f t="shared" si="41"/>
        <v>-8.4939068702312763</v>
      </c>
      <c r="AF39" s="34">
        <f t="shared" si="41"/>
        <v>-9.175070933490387</v>
      </c>
      <c r="AG39" s="34">
        <f t="shared" si="41"/>
        <v>-9.8594313948797883</v>
      </c>
      <c r="AH39" s="34">
        <f t="shared" si="41"/>
        <v>-9.2399440701886366</v>
      </c>
      <c r="AI39" s="34">
        <f t="shared" si="41"/>
        <v>-9.1755402734906308</v>
      </c>
      <c r="AJ39" s="34">
        <f t="shared" si="41"/>
        <v>-9.0335451811721796</v>
      </c>
      <c r="AK39" s="34">
        <f t="shared" si="41"/>
        <v>-9.998226515486305</v>
      </c>
      <c r="AL39" s="34">
        <f t="shared" si="41"/>
        <v>-8.1510906109344035</v>
      </c>
      <c r="AM39" s="34">
        <f t="shared" si="41"/>
        <v>-7.79827537490248</v>
      </c>
      <c r="AN39" s="34">
        <f t="shared" si="41"/>
        <v>-9.1553255461407446</v>
      </c>
      <c r="AO39" s="34">
        <f t="shared" si="41"/>
        <v>-8.0197947059593186</v>
      </c>
      <c r="AP39" s="34">
        <f t="shared" si="41"/>
        <v>-8.2960962825904652</v>
      </c>
      <c r="AQ39" s="34">
        <f t="shared" si="41"/>
        <v>-8.0714753552714367</v>
      </c>
      <c r="AR39" s="34">
        <f t="shared" si="41"/>
        <v>-8.5759247891760317</v>
      </c>
      <c r="AS39" s="34">
        <f t="shared" si="41"/>
        <v>-9.5442010436508777</v>
      </c>
      <c r="AT39" s="34">
        <f t="shared" si="41"/>
        <v>-8.1995381930563251</v>
      </c>
      <c r="AU39" s="34">
        <f t="shared" si="41"/>
        <v>-8.3263784370860954</v>
      </c>
      <c r="AV39" s="34">
        <f t="shared" si="41"/>
        <v>-9.2109617588740615</v>
      </c>
      <c r="AW39" s="34">
        <f t="shared" si="41"/>
        <v>-11.155497397415438</v>
      </c>
      <c r="AX39" s="34">
        <f t="shared" si="41"/>
        <v>-10.537328816183376</v>
      </c>
      <c r="AY39" s="34">
        <f t="shared" si="41"/>
        <v>-11.13164242989906</v>
      </c>
      <c r="AZ39" s="34">
        <f t="shared" si="41"/>
        <v>-11.430132290078602</v>
      </c>
      <c r="BA39" s="34">
        <f t="shared" si="41"/>
        <v>-13.967363526556706</v>
      </c>
      <c r="BB39" s="34">
        <f t="shared" si="41"/>
        <v>-13.983226018366882</v>
      </c>
      <c r="BC39" s="34">
        <f t="shared" si="41"/>
        <v>-13.633883248471248</v>
      </c>
      <c r="BD39" s="34">
        <f t="shared" si="41"/>
        <v>-12.232430243182041</v>
      </c>
      <c r="BE39" s="34">
        <f t="shared" si="41"/>
        <v>-14.017698250335108</v>
      </c>
      <c r="BF39" s="34">
        <f t="shared" si="41"/>
        <v>-11.996921686038013</v>
      </c>
      <c r="BG39" s="34">
        <f t="shared" si="41"/>
        <v>-11.075287500701966</v>
      </c>
      <c r="BH39" s="34">
        <f t="shared" si="41"/>
        <v>-11.527550494690807</v>
      </c>
      <c r="BI39" s="34">
        <f t="shared" si="41"/>
        <v>-11.140477825516442</v>
      </c>
      <c r="BJ39" s="34">
        <f t="shared" si="41"/>
        <v>-11.550364973545287</v>
      </c>
      <c r="BK39" s="34">
        <f t="shared" si="41"/>
        <v>-10.458878128886445</v>
      </c>
      <c r="BL39" s="34">
        <f t="shared" si="41"/>
        <v>-13.760827121871069</v>
      </c>
      <c r="BM39" s="34">
        <f t="shared" si="41"/>
        <v>-19.471630272266147</v>
      </c>
      <c r="BN39" s="34">
        <f t="shared" si="41"/>
        <v>-15.901074668122995</v>
      </c>
      <c r="BO39" s="34">
        <f t="shared" ref="BO39:CJ39" si="42">BO38/BO4*100</f>
        <v>-14.705131309890634</v>
      </c>
      <c r="BP39" s="34">
        <f t="shared" si="42"/>
        <v>-12.867335629876264</v>
      </c>
      <c r="BQ39" s="34">
        <f t="shared" si="42"/>
        <v>-17.845216348482747</v>
      </c>
      <c r="BR39" s="34">
        <f t="shared" si="42"/>
        <v>-14.078344772084627</v>
      </c>
      <c r="BS39" s="34">
        <f t="shared" si="42"/>
        <v>-19.127266721781407</v>
      </c>
      <c r="BT39" s="34">
        <f t="shared" si="42"/>
        <v>-11.777110515056121</v>
      </c>
      <c r="BU39" s="34">
        <f t="shared" si="42"/>
        <v>-15.869332815735987</v>
      </c>
      <c r="BV39" s="34">
        <f t="shared" si="42"/>
        <v>-14.408689915888026</v>
      </c>
      <c r="BW39" s="34">
        <f t="shared" si="42"/>
        <v>-6.772122988898249</v>
      </c>
      <c r="BX39" s="34">
        <f t="shared" si="42"/>
        <v>-34.390755639065041</v>
      </c>
      <c r="BY39" s="34">
        <f t="shared" si="42"/>
        <v>-10.225430945576962</v>
      </c>
      <c r="BZ39" s="34">
        <f t="shared" si="42"/>
        <v>0.53372364329878319</v>
      </c>
      <c r="CA39" s="34">
        <f t="shared" si="42"/>
        <v>-16.232422570126769</v>
      </c>
      <c r="CB39" s="34">
        <f t="shared" si="42"/>
        <v>0.31831390819566979</v>
      </c>
      <c r="CC39" s="34">
        <f t="shared" si="42"/>
        <v>-10.976093322443454</v>
      </c>
      <c r="CD39" s="34">
        <f t="shared" si="42"/>
        <v>0.5265168048886949</v>
      </c>
      <c r="CE39" s="34">
        <f t="shared" si="42"/>
        <v>0.53892324126524593</v>
      </c>
      <c r="CF39" s="34">
        <f t="shared" si="42"/>
        <v>-1.0790218591211649</v>
      </c>
      <c r="CG39" s="34">
        <f t="shared" si="42"/>
        <v>-7.8534568196575645</v>
      </c>
      <c r="CH39" s="34">
        <f t="shared" si="42"/>
        <v>-9.2284417549167923</v>
      </c>
      <c r="CI39" s="34">
        <f t="shared" si="42"/>
        <v>-8.3507704013696014</v>
      </c>
      <c r="CJ39" s="34">
        <f t="shared" si="42"/>
        <v>-6.3923992251637305</v>
      </c>
    </row>
    <row r="40" spans="1:89">
      <c r="A40" s="23" t="s">
        <v>142</v>
      </c>
      <c r="B40" s="33">
        <f>B60</f>
        <v>227658263.59999999</v>
      </c>
      <c r="C40" s="33">
        <f t="shared" ref="C40:BN40" si="43">C60</f>
        <v>127760607.8</v>
      </c>
      <c r="D40" s="33">
        <f t="shared" si="43"/>
        <v>59226030.109999999</v>
      </c>
      <c r="E40" s="33">
        <f t="shared" si="43"/>
        <v>339907733.63</v>
      </c>
      <c r="F40" s="33">
        <f t="shared" si="43"/>
        <v>240726737.47999999</v>
      </c>
      <c r="G40" s="33">
        <f t="shared" si="43"/>
        <v>132673082.61</v>
      </c>
      <c r="H40" s="33">
        <f t="shared" si="43"/>
        <v>57078127.969999999</v>
      </c>
      <c r="I40" s="33">
        <f t="shared" si="43"/>
        <v>344119329.13</v>
      </c>
      <c r="J40" s="33">
        <f t="shared" si="43"/>
        <v>236458428.50999999</v>
      </c>
      <c r="K40" s="33">
        <f t="shared" si="43"/>
        <v>131520976.13</v>
      </c>
      <c r="L40" s="33">
        <f t="shared" si="43"/>
        <v>57333063.560000002</v>
      </c>
      <c r="M40" s="33">
        <f t="shared" si="43"/>
        <v>394481905.88999999</v>
      </c>
      <c r="N40" s="33">
        <f t="shared" si="43"/>
        <v>237408339.46000001</v>
      </c>
      <c r="O40" s="33">
        <f t="shared" si="43"/>
        <v>143495446.5</v>
      </c>
      <c r="P40" s="33">
        <f t="shared" si="43"/>
        <v>60095590.350000001</v>
      </c>
      <c r="Q40" s="33">
        <f t="shared" si="43"/>
        <v>326917131.16000003</v>
      </c>
      <c r="R40" s="33">
        <f t="shared" si="43"/>
        <v>259819928.72</v>
      </c>
      <c r="S40" s="33">
        <f t="shared" si="43"/>
        <v>152292514.75</v>
      </c>
      <c r="T40" s="33">
        <f t="shared" si="43"/>
        <v>52811584.189999998</v>
      </c>
      <c r="U40" s="33">
        <f t="shared" si="43"/>
        <v>244560765.30000001</v>
      </c>
      <c r="V40" s="33">
        <f t="shared" si="43"/>
        <v>176598193.36000001</v>
      </c>
      <c r="W40" s="33">
        <f t="shared" si="43"/>
        <v>95189080.349999994</v>
      </c>
      <c r="X40" s="33">
        <f t="shared" si="43"/>
        <v>46108035.969999999</v>
      </c>
      <c r="Y40" s="33">
        <f t="shared" si="43"/>
        <v>364313757.82999998</v>
      </c>
      <c r="Z40" s="33">
        <f t="shared" si="43"/>
        <v>164225288.47</v>
      </c>
      <c r="AA40" s="33">
        <f t="shared" si="43"/>
        <v>92773729.409999996</v>
      </c>
      <c r="AB40" s="33">
        <f t="shared" si="43"/>
        <v>41866894.789999999</v>
      </c>
      <c r="AC40" s="33">
        <f t="shared" si="43"/>
        <v>173724178.75999999</v>
      </c>
      <c r="AD40" s="33">
        <f t="shared" si="43"/>
        <v>152154272.63</v>
      </c>
      <c r="AE40" s="33">
        <f t="shared" si="43"/>
        <v>94252380.439999998</v>
      </c>
      <c r="AF40" s="33">
        <f t="shared" si="43"/>
        <v>45997808.600000001</v>
      </c>
      <c r="AG40" s="33">
        <f t="shared" si="43"/>
        <v>161628839</v>
      </c>
      <c r="AH40" s="33">
        <f t="shared" si="43"/>
        <v>122115165.42</v>
      </c>
      <c r="AI40" s="33">
        <f t="shared" si="43"/>
        <v>80839747.829999998</v>
      </c>
      <c r="AJ40" s="33">
        <f t="shared" si="43"/>
        <v>35689718.990000002</v>
      </c>
      <c r="AK40" s="33">
        <f t="shared" si="43"/>
        <v>135739249.22999999</v>
      </c>
      <c r="AL40" s="33">
        <f t="shared" si="43"/>
        <v>102234420.34</v>
      </c>
      <c r="AM40" s="33">
        <f t="shared" si="43"/>
        <v>66625921.390000001</v>
      </c>
      <c r="AN40" s="33">
        <f t="shared" si="43"/>
        <v>32520400.399999999</v>
      </c>
      <c r="AO40" s="33">
        <f t="shared" si="43"/>
        <v>153315468.66999999</v>
      </c>
      <c r="AP40" s="33">
        <f t="shared" si="43"/>
        <v>141560743.21000001</v>
      </c>
      <c r="AQ40" s="33">
        <f t="shared" si="43"/>
        <v>99457863.090000004</v>
      </c>
      <c r="AR40" s="33">
        <f t="shared" si="43"/>
        <v>44027374.049999997</v>
      </c>
      <c r="AS40" s="33">
        <f t="shared" si="43"/>
        <v>139283274.08000001</v>
      </c>
      <c r="AT40" s="33">
        <f t="shared" si="43"/>
        <v>132415189.92</v>
      </c>
      <c r="AU40" s="33">
        <f t="shared" si="43"/>
        <v>84352733.560000002</v>
      </c>
      <c r="AV40" s="33">
        <f t="shared" si="43"/>
        <v>29650309.149999999</v>
      </c>
      <c r="AW40" s="33">
        <f t="shared" si="43"/>
        <v>112159737.02</v>
      </c>
      <c r="AX40" s="33">
        <f t="shared" si="43"/>
        <v>68131511.010000005</v>
      </c>
      <c r="AY40" s="33">
        <f t="shared" si="43"/>
        <v>41356766.380000003</v>
      </c>
      <c r="AZ40" s="33">
        <f t="shared" si="43"/>
        <v>21261539.25</v>
      </c>
      <c r="BA40" s="33">
        <f t="shared" si="43"/>
        <v>108609995.86</v>
      </c>
      <c r="BB40" s="33">
        <f t="shared" si="43"/>
        <v>94004327.269999996</v>
      </c>
      <c r="BC40" s="33">
        <f t="shared" si="43"/>
        <v>67862554.450000003</v>
      </c>
      <c r="BD40" s="33">
        <f t="shared" si="43"/>
        <v>28974955.960000001</v>
      </c>
      <c r="BE40" s="33">
        <f t="shared" si="43"/>
        <v>132468882.01000001</v>
      </c>
      <c r="BF40" s="33">
        <f t="shared" si="43"/>
        <v>93637200.370000005</v>
      </c>
      <c r="BG40" s="33">
        <f t="shared" si="43"/>
        <v>65867600.789999999</v>
      </c>
      <c r="BH40" s="33">
        <f t="shared" si="43"/>
        <v>32955130.91</v>
      </c>
      <c r="BI40" s="33">
        <f t="shared" si="43"/>
        <v>155946328.93000001</v>
      </c>
      <c r="BJ40" s="33">
        <f t="shared" si="43"/>
        <v>108366137.34</v>
      </c>
      <c r="BK40" s="33">
        <f t="shared" si="43"/>
        <v>68867283.900000006</v>
      </c>
      <c r="BL40" s="33">
        <f t="shared" si="43"/>
        <v>28006866.879999999</v>
      </c>
      <c r="BM40" s="33">
        <f t="shared" si="43"/>
        <v>143668257.24000001</v>
      </c>
      <c r="BN40" s="33">
        <f t="shared" si="43"/>
        <v>98765977.599999994</v>
      </c>
      <c r="BO40" s="33">
        <f t="shared" ref="BO40:CJ40" si="44">BO60</f>
        <v>64164786.920000002</v>
      </c>
      <c r="BP40" s="33">
        <f t="shared" si="44"/>
        <v>25321619.559999999</v>
      </c>
      <c r="BQ40" s="33">
        <f t="shared" si="44"/>
        <v>113460021.93000001</v>
      </c>
      <c r="BR40" s="33">
        <f t="shared" si="44"/>
        <v>52431401.840000004</v>
      </c>
      <c r="BS40" s="33">
        <f t="shared" si="44"/>
        <v>100791733.87</v>
      </c>
      <c r="BT40" s="33">
        <f t="shared" si="44"/>
        <v>47229977.799999997</v>
      </c>
      <c r="BU40" s="33">
        <f t="shared" si="44"/>
        <v>97455708.069999993</v>
      </c>
      <c r="BV40" s="33">
        <f t="shared" si="44"/>
        <v>39232814.829999998</v>
      </c>
      <c r="BW40" s="33">
        <f t="shared" si="44"/>
        <v>2796995.65</v>
      </c>
      <c r="BX40" s="33">
        <f t="shared" si="44"/>
        <v>0</v>
      </c>
      <c r="BY40" s="33">
        <f t="shared" si="44"/>
        <v>8176697.29</v>
      </c>
      <c r="BZ40" s="33">
        <f t="shared" si="44"/>
        <v>1624615.5</v>
      </c>
      <c r="CA40" s="33">
        <f t="shared" si="44"/>
        <v>1799885.61</v>
      </c>
      <c r="CB40" s="33">
        <f t="shared" si="44"/>
        <v>9698012.9700000007</v>
      </c>
      <c r="CC40" s="33">
        <f t="shared" si="44"/>
        <v>28336126.850000001</v>
      </c>
      <c r="CD40" s="33">
        <f t="shared" si="44"/>
        <v>19730000</v>
      </c>
      <c r="CE40" s="33">
        <f t="shared" si="44"/>
        <v>27810000</v>
      </c>
      <c r="CF40" s="33">
        <f t="shared" si="44"/>
        <v>16447145.279999999</v>
      </c>
      <c r="CG40" s="33">
        <f t="shared" si="44"/>
        <v>4330000</v>
      </c>
      <c r="CH40" s="33">
        <f t="shared" si="44"/>
        <v>4220000</v>
      </c>
      <c r="CI40" s="33">
        <f t="shared" si="44"/>
        <v>12510000</v>
      </c>
      <c r="CJ40" s="33">
        <f t="shared" si="44"/>
        <v>3630000</v>
      </c>
    </row>
    <row r="41" spans="1:89" s="4" customFormat="1">
      <c r="A41" s="26" t="s">
        <v>143</v>
      </c>
      <c r="B41" s="39">
        <f>B40/B38</f>
        <v>9.0954859395040305E-2</v>
      </c>
      <c r="C41" s="39">
        <f t="shared" ref="C41:BN41" si="45">C40/C38</f>
        <v>0.10524216187810696</v>
      </c>
      <c r="D41" s="39">
        <f t="shared" si="45"/>
        <v>0.13053960245094653</v>
      </c>
      <c r="E41" s="39">
        <f t="shared" si="45"/>
        <v>0.13165198347993173</v>
      </c>
      <c r="F41" s="39">
        <f t="shared" si="45"/>
        <v>0.12108202886259374</v>
      </c>
      <c r="G41" s="39">
        <f t="shared" si="45"/>
        <v>0.11176653926403259</v>
      </c>
      <c r="H41" s="39">
        <f t="shared" si="45"/>
        <v>0.12473616516320012</v>
      </c>
      <c r="I41" s="39">
        <f t="shared" si="45"/>
        <v>0.12445776680380616</v>
      </c>
      <c r="J41" s="39">
        <f t="shared" si="45"/>
        <v>0.11502642868116948</v>
      </c>
      <c r="K41" s="39">
        <f t="shared" si="45"/>
        <v>0.10359346549595806</v>
      </c>
      <c r="L41" s="39">
        <f t="shared" si="45"/>
        <v>-0.14768287552056561</v>
      </c>
      <c r="M41" s="39">
        <f t="shared" si="45"/>
        <v>-0.40369423105544594</v>
      </c>
      <c r="N41" s="39">
        <f t="shared" si="45"/>
        <v>-0.5003979343500452</v>
      </c>
      <c r="O41" s="39">
        <f t="shared" si="45"/>
        <v>-0.16128786033645937</v>
      </c>
      <c r="P41" s="39">
        <f t="shared" si="45"/>
        <v>-0.12777808255984394</v>
      </c>
      <c r="Q41" s="39">
        <f t="shared" si="45"/>
        <v>-0.13636219305575498</v>
      </c>
      <c r="R41" s="39">
        <f t="shared" si="45"/>
        <v>-0.1602982871789054</v>
      </c>
      <c r="S41" s="39">
        <f t="shared" si="45"/>
        <v>-0.13911898920017374</v>
      </c>
      <c r="T41" s="39">
        <f t="shared" si="45"/>
        <v>-0.10554305948805097</v>
      </c>
      <c r="U41" s="39">
        <f t="shared" si="45"/>
        <v>-0.11216893375157527</v>
      </c>
      <c r="V41" s="39">
        <f t="shared" si="45"/>
        <v>-0.11537077942772671</v>
      </c>
      <c r="W41" s="39">
        <f t="shared" si="45"/>
        <v>-8.7849333762480442E-2</v>
      </c>
      <c r="X41" s="39">
        <f t="shared" si="45"/>
        <v>-9.853953360467417E-2</v>
      </c>
      <c r="Y41" s="39">
        <f t="shared" si="45"/>
        <v>-0.2020706407295072</v>
      </c>
      <c r="Z41" s="39">
        <f t="shared" si="45"/>
        <v>-0.11913019110625091</v>
      </c>
      <c r="AA41" s="39">
        <f t="shared" si="45"/>
        <v>-0.19088005674384248</v>
      </c>
      <c r="AB41" s="39">
        <f t="shared" si="45"/>
        <v>-0.22124349565799217</v>
      </c>
      <c r="AC41" s="39">
        <f t="shared" si="45"/>
        <v>-0.11655530131723768</v>
      </c>
      <c r="AD41" s="39">
        <f t="shared" si="45"/>
        <v>-0.14643087619522455</v>
      </c>
      <c r="AE41" s="39">
        <f t="shared" si="45"/>
        <v>-0.15064390706601161</v>
      </c>
      <c r="AF41" s="39">
        <f t="shared" si="45"/>
        <v>-0.15529433051194949</v>
      </c>
      <c r="AG41" s="39">
        <f t="shared" si="45"/>
        <v>-0.12363008084176767</v>
      </c>
      <c r="AH41" s="39">
        <f t="shared" si="45"/>
        <v>-0.13562595865642546</v>
      </c>
      <c r="AI41" s="39">
        <f t="shared" si="45"/>
        <v>-0.1396054093119718</v>
      </c>
      <c r="AJ41" s="39">
        <f t="shared" si="45"/>
        <v>-0.14423762719024172</v>
      </c>
      <c r="AK41" s="39">
        <f t="shared" si="45"/>
        <v>-0.12357584078462368</v>
      </c>
      <c r="AL41" s="39">
        <f t="shared" si="45"/>
        <v>-0.15549310419160731</v>
      </c>
      <c r="AM41" s="39">
        <f t="shared" si="45"/>
        <v>-0.16491350178236167</v>
      </c>
      <c r="AN41" s="39">
        <f t="shared" si="45"/>
        <v>-0.15150832588905733</v>
      </c>
      <c r="AO41" s="39">
        <f t="shared" si="45"/>
        <v>-0.18298487926620216</v>
      </c>
      <c r="AP41" s="39">
        <f t="shared" si="45"/>
        <v>-0.21547811738785128</v>
      </c>
      <c r="AQ41" s="39">
        <f t="shared" si="45"/>
        <v>-0.23734219074793098</v>
      </c>
      <c r="AR41" s="39">
        <f t="shared" si="45"/>
        <v>-0.22162110973884891</v>
      </c>
      <c r="AS41" s="39">
        <f t="shared" si="45"/>
        <v>-0.15886339737057389</v>
      </c>
      <c r="AT41" s="39">
        <f t="shared" si="45"/>
        <v>-0.24221315376353289</v>
      </c>
      <c r="AU41" s="39">
        <f t="shared" si="45"/>
        <v>-0.24059333273683367</v>
      </c>
      <c r="AV41" s="39">
        <f t="shared" si="45"/>
        <v>-0.17000515378179587</v>
      </c>
      <c r="AW41" s="39">
        <f t="shared" si="45"/>
        <v>-0.13798934887912431</v>
      </c>
      <c r="AX41" s="39">
        <f t="shared" si="45"/>
        <v>-0.1232527604759405</v>
      </c>
      <c r="AY41" s="39">
        <f t="shared" si="45"/>
        <v>-0.10855339319621821</v>
      </c>
      <c r="AZ41" s="39">
        <f t="shared" si="45"/>
        <v>-0.11943938329484823</v>
      </c>
      <c r="BA41" s="39">
        <f t="shared" si="45"/>
        <v>-0.11382487282558827</v>
      </c>
      <c r="BB41" s="39">
        <f t="shared" si="45"/>
        <v>-0.1328764685408905</v>
      </c>
      <c r="BC41" s="39">
        <f t="shared" si="45"/>
        <v>-0.14827806737043214</v>
      </c>
      <c r="BD41" s="39">
        <f t="shared" si="45"/>
        <v>-0.15472030135363435</v>
      </c>
      <c r="BE41" s="39">
        <f t="shared" si="45"/>
        <v>-0.14416044939371486</v>
      </c>
      <c r="BF41" s="39">
        <f t="shared" si="45"/>
        <v>-0.16252543672487488</v>
      </c>
      <c r="BG41" s="39">
        <f t="shared" si="45"/>
        <v>-0.18019792464976753</v>
      </c>
      <c r="BH41" s="39">
        <f t="shared" si="45"/>
        <v>-0.17871743812408453</v>
      </c>
      <c r="BI41" s="39">
        <f t="shared" si="45"/>
        <v>-0.25177770018079965</v>
      </c>
      <c r="BJ41" s="39">
        <f t="shared" si="45"/>
        <v>-0.23032834984839667</v>
      </c>
      <c r="BK41" s="39">
        <f t="shared" si="45"/>
        <v>-0.24702454118216044</v>
      </c>
      <c r="BL41" s="39">
        <f t="shared" si="45"/>
        <v>-0.16240727581304093</v>
      </c>
      <c r="BM41" s="39">
        <f t="shared" si="45"/>
        <v>-0.16512491056860487</v>
      </c>
      <c r="BN41" s="39">
        <f t="shared" si="45"/>
        <v>-0.1816230904432862</v>
      </c>
      <c r="BO41" s="39">
        <f t="shared" ref="BO41:CJ41" si="46">BO40/BO38</f>
        <v>-0.19058030994128924</v>
      </c>
      <c r="BP41" s="39">
        <f t="shared" si="46"/>
        <v>-0.18517316363983807</v>
      </c>
      <c r="BQ41" s="39">
        <f t="shared" si="46"/>
        <v>-0.16536771908441092</v>
      </c>
      <c r="BR41" s="39">
        <f t="shared" si="46"/>
        <v>-0.19718878491141506</v>
      </c>
      <c r="BS41" s="39">
        <f t="shared" si="46"/>
        <v>-0.14538903763765762</v>
      </c>
      <c r="BT41" s="39">
        <f t="shared" si="46"/>
        <v>-0.22787552138347875</v>
      </c>
      <c r="BU41" s="39">
        <f t="shared" si="46"/>
        <v>-0.17530238721310978</v>
      </c>
      <c r="BV41" s="39">
        <f t="shared" si="46"/>
        <v>-0.16592985167496671</v>
      </c>
      <c r="BW41" s="39">
        <f t="shared" si="46"/>
        <v>-9.2954006953489585E-2</v>
      </c>
      <c r="BX41" s="39">
        <f t="shared" si="46"/>
        <v>0</v>
      </c>
      <c r="BY41" s="39">
        <f t="shared" si="46"/>
        <v>-8.7022905431402009E-2</v>
      </c>
      <c r="BZ41" s="39">
        <f t="shared" si="46"/>
        <v>0.7736264285714286</v>
      </c>
      <c r="CA41" s="39">
        <f t="shared" si="46"/>
        <v>-8.2086501506681009E-3</v>
      </c>
      <c r="CB41" s="39">
        <f t="shared" si="46"/>
        <v>3.1966168493593825</v>
      </c>
      <c r="CC41" s="39">
        <f t="shared" si="46"/>
        <v>-0.13414016562726871</v>
      </c>
      <c r="CD41" s="39">
        <f t="shared" si="46"/>
        <v>3.4075993091537131</v>
      </c>
      <c r="CE41" s="39">
        <f t="shared" si="46"/>
        <v>3.5981368870487773</v>
      </c>
      <c r="CF41" s="39">
        <f t="shared" si="46"/>
        <v>-1.9869934925202963</v>
      </c>
      <c r="CG41" s="39">
        <f t="shared" si="46"/>
        <v>-9.4212358572671892E-2</v>
      </c>
      <c r="CH41" s="39">
        <f t="shared" si="46"/>
        <v>-5.9128485357993553E-2</v>
      </c>
      <c r="CI41" s="39">
        <f t="shared" si="46"/>
        <v>-0.23747152619589978</v>
      </c>
      <c r="CJ41" s="39">
        <f t="shared" si="46"/>
        <v>-0.10476190476190476</v>
      </c>
    </row>
    <row r="42" spans="1:89" s="2" customFormat="1">
      <c r="A42" s="26" t="s">
        <v>144</v>
      </c>
      <c r="B42" s="35">
        <f>B38-B40</f>
        <v>2275322501.9599986</v>
      </c>
      <c r="C42" s="35">
        <f t="shared" ref="C42:BN42" si="47">C38-C40</f>
        <v>1086207306.9600012</v>
      </c>
      <c r="D42" s="35">
        <f t="shared" si="47"/>
        <v>394475597.58000034</v>
      </c>
      <c r="E42" s="35">
        <f t="shared" si="47"/>
        <v>2241957914.309999</v>
      </c>
      <c r="F42" s="35">
        <f t="shared" si="47"/>
        <v>1747402630.1999998</v>
      </c>
      <c r="G42" s="35">
        <f t="shared" si="47"/>
        <v>1054382394.6699995</v>
      </c>
      <c r="H42" s="35">
        <f t="shared" si="47"/>
        <v>400512723.04999983</v>
      </c>
      <c r="I42" s="35">
        <f t="shared" si="47"/>
        <v>2420829279.2799988</v>
      </c>
      <c r="J42" s="35">
        <f t="shared" si="47"/>
        <v>1819229392.2900007</v>
      </c>
      <c r="K42" s="35">
        <f t="shared" si="47"/>
        <v>1138066593.8999996</v>
      </c>
      <c r="L42" s="35">
        <f t="shared" si="47"/>
        <v>-445550474.40000004</v>
      </c>
      <c r="M42" s="35">
        <f t="shared" si="47"/>
        <v>-1371661849.3800006</v>
      </c>
      <c r="N42" s="35">
        <f t="shared" si="47"/>
        <v>-711847427.16000021</v>
      </c>
      <c r="O42" s="35">
        <f t="shared" si="47"/>
        <v>-1033180796.6599998</v>
      </c>
      <c r="P42" s="35">
        <f t="shared" si="47"/>
        <v>-530407784.32000011</v>
      </c>
      <c r="Q42" s="35">
        <f t="shared" si="47"/>
        <v>-2724334801.2199998</v>
      </c>
      <c r="R42" s="35">
        <f t="shared" si="47"/>
        <v>-1880672735.6499996</v>
      </c>
      <c r="S42" s="35">
        <f t="shared" si="47"/>
        <v>-1246985019.5300002</v>
      </c>
      <c r="T42" s="35">
        <f t="shared" si="47"/>
        <v>-553191092.2900002</v>
      </c>
      <c r="U42" s="35">
        <f t="shared" si="47"/>
        <v>-2424850415.21</v>
      </c>
      <c r="V42" s="35">
        <f t="shared" si="47"/>
        <v>-1707299418.02</v>
      </c>
      <c r="W42" s="35">
        <f t="shared" si="47"/>
        <v>-1178738337.6199996</v>
      </c>
      <c r="X42" s="35">
        <f t="shared" si="47"/>
        <v>-514022123.67999995</v>
      </c>
      <c r="Y42" s="35">
        <f t="shared" si="47"/>
        <v>-2167216725.4000006</v>
      </c>
      <c r="Z42" s="35">
        <f t="shared" si="47"/>
        <v>-1542761551.5700002</v>
      </c>
      <c r="AA42" s="35">
        <f t="shared" si="47"/>
        <v>-578805277.1400001</v>
      </c>
      <c r="AB42" s="35">
        <f t="shared" si="47"/>
        <v>-231101360.94000003</v>
      </c>
      <c r="AC42" s="35">
        <f t="shared" si="47"/>
        <v>-1664211327.75</v>
      </c>
      <c r="AD42" s="35">
        <f t="shared" si="47"/>
        <v>-1191240267.2199996</v>
      </c>
      <c r="AE42" s="35">
        <f t="shared" si="47"/>
        <v>-719915789.43999982</v>
      </c>
      <c r="AF42" s="35">
        <f t="shared" si="47"/>
        <v>-342195412.5200001</v>
      </c>
      <c r="AG42" s="35">
        <f t="shared" si="47"/>
        <v>-1468987354.8199999</v>
      </c>
      <c r="AH42" s="35">
        <f t="shared" si="47"/>
        <v>-1022497117.5899996</v>
      </c>
      <c r="AI42" s="35">
        <f t="shared" si="47"/>
        <v>-659898598.25999999</v>
      </c>
      <c r="AJ42" s="35">
        <f t="shared" si="47"/>
        <v>-283126672.06</v>
      </c>
      <c r="AK42" s="35">
        <f t="shared" si="47"/>
        <v>-1234167941.8300004</v>
      </c>
      <c r="AL42" s="35">
        <f t="shared" si="47"/>
        <v>-759719656.56000006</v>
      </c>
      <c r="AM42" s="35">
        <f t="shared" si="47"/>
        <v>-470631176.68999982</v>
      </c>
      <c r="AN42" s="35">
        <f t="shared" si="47"/>
        <v>-247164712.58000001</v>
      </c>
      <c r="AO42" s="35">
        <f t="shared" si="47"/>
        <v>-991174144.66999996</v>
      </c>
      <c r="AP42" s="35">
        <f t="shared" si="47"/>
        <v>-798521853.35000002</v>
      </c>
      <c r="AQ42" s="35">
        <f t="shared" si="47"/>
        <v>-518506253.83999991</v>
      </c>
      <c r="AR42" s="35">
        <f t="shared" si="47"/>
        <v>-242687935.32000005</v>
      </c>
      <c r="AS42" s="35">
        <f t="shared" si="47"/>
        <v>-1016031954.9299999</v>
      </c>
      <c r="AT42" s="35">
        <f t="shared" si="47"/>
        <v>-679103872.44000006</v>
      </c>
      <c r="AU42" s="35">
        <f t="shared" si="47"/>
        <v>-434955689.18000007</v>
      </c>
      <c r="AV42" s="35">
        <f t="shared" si="47"/>
        <v>-204058604.96000004</v>
      </c>
      <c r="AW42" s="35">
        <f t="shared" si="47"/>
        <v>-924974189.2299999</v>
      </c>
      <c r="AX42" s="35">
        <f t="shared" si="47"/>
        <v>-620910294.5999999</v>
      </c>
      <c r="AY42" s="35">
        <f t="shared" si="47"/>
        <v>-422337638.20999998</v>
      </c>
      <c r="AZ42" s="35">
        <f t="shared" si="47"/>
        <v>-199272666.43000004</v>
      </c>
      <c r="BA42" s="35">
        <f t="shared" si="47"/>
        <v>-1062795080.0500001</v>
      </c>
      <c r="BB42" s="35">
        <f t="shared" si="47"/>
        <v>-801460871.70000005</v>
      </c>
      <c r="BC42" s="35">
        <f t="shared" si="47"/>
        <v>-525533440.32999998</v>
      </c>
      <c r="BD42" s="35">
        <f t="shared" si="47"/>
        <v>-216248091.46000001</v>
      </c>
      <c r="BE42" s="35">
        <f t="shared" si="47"/>
        <v>-1051367807.2500001</v>
      </c>
      <c r="BF42" s="35">
        <f t="shared" si="47"/>
        <v>-669775940.60000014</v>
      </c>
      <c r="BG42" s="35">
        <f t="shared" si="47"/>
        <v>-431396787.19999999</v>
      </c>
      <c r="BH42" s="35">
        <f t="shared" si="47"/>
        <v>-217353090.37</v>
      </c>
      <c r="BI42" s="35">
        <f t="shared" si="47"/>
        <v>-775327349.63999987</v>
      </c>
      <c r="BJ42" s="35">
        <f t="shared" si="47"/>
        <v>-578851587.39999986</v>
      </c>
      <c r="BK42" s="35">
        <f t="shared" si="47"/>
        <v>-347654499.00999999</v>
      </c>
      <c r="BL42" s="35">
        <f t="shared" si="47"/>
        <v>-200455217.72999999</v>
      </c>
      <c r="BM42" s="35">
        <f t="shared" si="47"/>
        <v>-1013726304.4800001</v>
      </c>
      <c r="BN42" s="35">
        <f t="shared" si="47"/>
        <v>-642562349.30000007</v>
      </c>
      <c r="BO42" s="35">
        <f t="shared" ref="BO42:CK42" si="48">BO38-BO40</f>
        <v>-400845879.20999998</v>
      </c>
      <c r="BP42" s="35">
        <f t="shared" si="48"/>
        <v>-162067242.21000001</v>
      </c>
      <c r="BQ42" s="35">
        <f t="shared" si="48"/>
        <v>-799567459.09000015</v>
      </c>
      <c r="BR42" s="35">
        <f t="shared" si="48"/>
        <v>-318325843.37</v>
      </c>
      <c r="BS42" s="35">
        <f t="shared" si="48"/>
        <v>-794047123.05000007</v>
      </c>
      <c r="BT42" s="35">
        <f t="shared" si="48"/>
        <v>-254492159.86000001</v>
      </c>
      <c r="BU42" s="35">
        <f t="shared" si="48"/>
        <v>-653384863.50999999</v>
      </c>
      <c r="BV42" s="35">
        <f t="shared" si="48"/>
        <v>-275674988.63999999</v>
      </c>
      <c r="BW42" s="35">
        <f t="shared" si="48"/>
        <v>-32887098.720000014</v>
      </c>
      <c r="BX42" s="35">
        <f t="shared" si="48"/>
        <v>-69500887.090000004</v>
      </c>
      <c r="BY42" s="35">
        <f t="shared" si="48"/>
        <v>-102136985.67</v>
      </c>
      <c r="BZ42" s="35">
        <f t="shared" si="48"/>
        <v>475384.5</v>
      </c>
      <c r="CA42" s="35">
        <f t="shared" si="48"/>
        <v>-221066826.82000002</v>
      </c>
      <c r="CB42" s="35">
        <f t="shared" si="48"/>
        <v>-6664176.4400000013</v>
      </c>
      <c r="CC42" s="35">
        <f t="shared" si="48"/>
        <v>-239578797.65999997</v>
      </c>
      <c r="CD42" s="35">
        <f t="shared" si="48"/>
        <v>-13940000</v>
      </c>
      <c r="CE42" s="35">
        <f t="shared" si="48"/>
        <v>-20081000</v>
      </c>
      <c r="CF42" s="35">
        <f t="shared" si="48"/>
        <v>-24724547.969999999</v>
      </c>
      <c r="CG42" s="35">
        <f t="shared" si="48"/>
        <v>-50290000</v>
      </c>
      <c r="CH42" s="35">
        <f t="shared" si="48"/>
        <v>-75590000</v>
      </c>
      <c r="CI42" s="35">
        <f t="shared" si="48"/>
        <v>-65190000</v>
      </c>
      <c r="CJ42" s="35">
        <f t="shared" si="48"/>
        <v>-38280000</v>
      </c>
      <c r="CK42" s="35">
        <f t="shared" si="48"/>
        <v>0</v>
      </c>
    </row>
    <row r="43" spans="1:89" s="4" customFormat="1">
      <c r="A43" s="26" t="s">
        <v>145</v>
      </c>
      <c r="B43" s="34">
        <f>B42/B4*100</f>
        <v>14.301368931705541</v>
      </c>
      <c r="C43" s="34">
        <f t="shared" ref="C43:BN43" si="49">C42/C4*100</f>
        <v>10.537075046869782</v>
      </c>
      <c r="D43" s="34">
        <f t="shared" si="49"/>
        <v>9.9073195436990495</v>
      </c>
      <c r="E43" s="34">
        <f t="shared" si="49"/>
        <v>11.514257388756903</v>
      </c>
      <c r="F43" s="34">
        <f t="shared" si="49"/>
        <v>11.892328901580532</v>
      </c>
      <c r="G43" s="34">
        <f t="shared" si="49"/>
        <v>10.968046651678581</v>
      </c>
      <c r="H43" s="34">
        <f t="shared" si="49"/>
        <v>10.554952551609121</v>
      </c>
      <c r="I43" s="34">
        <f t="shared" si="49"/>
        <v>12.782546906788692</v>
      </c>
      <c r="J43" s="34">
        <f t="shared" si="49"/>
        <v>12.794849483283125</v>
      </c>
      <c r="K43" s="34">
        <f t="shared" si="49"/>
        <v>12.275136437188516</v>
      </c>
      <c r="L43" s="34">
        <f t="shared" si="49"/>
        <v>-11.801536559258849</v>
      </c>
      <c r="M43" s="34">
        <f t="shared" si="49"/>
        <v>-7.1087009148218501</v>
      </c>
      <c r="N43" s="34">
        <f t="shared" si="49"/>
        <v>-4.8250067771630638</v>
      </c>
      <c r="O43" s="34">
        <f t="shared" si="49"/>
        <v>-10.511023226326836</v>
      </c>
      <c r="P43" s="34">
        <f t="shared" si="49"/>
        <v>-12.776921401999667</v>
      </c>
      <c r="Q43" s="34">
        <f t="shared" si="49"/>
        <v>-13.111042671476577</v>
      </c>
      <c r="R43" s="34">
        <f t="shared" si="49"/>
        <v>-12.074803234794361</v>
      </c>
      <c r="S43" s="34">
        <f t="shared" si="49"/>
        <v>-12.30215140404459</v>
      </c>
      <c r="T43" s="34">
        <f t="shared" si="49"/>
        <v>-13.383956847420009</v>
      </c>
      <c r="U43" s="34">
        <f t="shared" si="49"/>
        <v>-12.180846068264902</v>
      </c>
      <c r="V43" s="34">
        <f t="shared" si="49"/>
        <v>-11.678817451651083</v>
      </c>
      <c r="W43" s="34">
        <f t="shared" si="49"/>
        <v>-12.564443935288983</v>
      </c>
      <c r="X43" s="34">
        <f t="shared" si="49"/>
        <v>-13.234815216523751</v>
      </c>
      <c r="Y43" s="34">
        <f t="shared" si="49"/>
        <v>-12.21431596784873</v>
      </c>
      <c r="Z43" s="34">
        <f t="shared" si="49"/>
        <v>-11.466820499891467</v>
      </c>
      <c r="AA43" s="34">
        <f t="shared" si="49"/>
        <v>-8.0433452890316453</v>
      </c>
      <c r="AB43" s="34">
        <f t="shared" si="49"/>
        <v>-7.224511732649824</v>
      </c>
      <c r="AC43" s="34">
        <f t="shared" si="49"/>
        <v>-11.475436713566435</v>
      </c>
      <c r="AD43" s="34">
        <f t="shared" si="49"/>
        <v>-10.420611185621192</v>
      </c>
      <c r="AE43" s="34">
        <f t="shared" si="49"/>
        <v>-9.7734621874177545</v>
      </c>
      <c r="AF43" s="34">
        <f t="shared" si="49"/>
        <v>-10.599907431506425</v>
      </c>
      <c r="AG43" s="34">
        <f t="shared" si="49"/>
        <v>-11.078353695282638</v>
      </c>
      <c r="AH43" s="34">
        <f t="shared" si="49"/>
        <v>-10.493120342639726</v>
      </c>
      <c r="AI43" s="34">
        <f t="shared" si="49"/>
        <v>-10.456495329029774</v>
      </c>
      <c r="AJ43" s="34">
        <f t="shared" si="49"/>
        <v>-10.336522303220297</v>
      </c>
      <c r="AK43" s="34">
        <f t="shared" si="49"/>
        <v>-11.233765763492643</v>
      </c>
      <c r="AL43" s="34">
        <f t="shared" si="49"/>
        <v>-9.418528992575661</v>
      </c>
      <c r="AM43" s="34">
        <f t="shared" si="49"/>
        <v>-9.0843162748408073</v>
      </c>
      <c r="AN43" s="34">
        <f t="shared" si="49"/>
        <v>-10.542433592605848</v>
      </c>
      <c r="AO43" s="34">
        <f t="shared" si="49"/>
        <v>-9.4872958719690104</v>
      </c>
      <c r="AP43" s="34">
        <f t="shared" si="49"/>
        <v>-10.08372349123141</v>
      </c>
      <c r="AQ43" s="34">
        <f t="shared" si="49"/>
        <v>-9.9871769986594927</v>
      </c>
      <c r="AR43" s="34">
        <f t="shared" si="49"/>
        <v>-10.476530757990128</v>
      </c>
      <c r="AS43" s="34">
        <f t="shared" si="49"/>
        <v>-11.060425246633034</v>
      </c>
      <c r="AT43" s="34">
        <f t="shared" si="49"/>
        <v>-10.185574198201037</v>
      </c>
      <c r="AU43" s="34">
        <f t="shared" si="49"/>
        <v>-10.329649574892748</v>
      </c>
      <c r="AV43" s="34">
        <f t="shared" si="49"/>
        <v>-10.776872729169687</v>
      </c>
      <c r="AW43" s="34">
        <f t="shared" si="49"/>
        <v>-12.694837219707559</v>
      </c>
      <c r="AX43" s="34">
        <f t="shared" si="49"/>
        <v>-11.836083680820652</v>
      </c>
      <c r="AY43" s="34">
        <f t="shared" si="49"/>
        <v>-12.340019987511596</v>
      </c>
      <c r="AZ43" s="34">
        <f t="shared" si="49"/>
        <v>-12.795340241784119</v>
      </c>
      <c r="BA43" s="34">
        <f t="shared" si="49"/>
        <v>-15.557196903675782</v>
      </c>
      <c r="BB43" s="34">
        <f t="shared" si="49"/>
        <v>-15.841267710496568</v>
      </c>
      <c r="BC43" s="34">
        <f t="shared" si="49"/>
        <v>-15.655489107308673</v>
      </c>
      <c r="BD43" s="34">
        <f t="shared" si="49"/>
        <v>-14.125035536694478</v>
      </c>
      <c r="BE43" s="34">
        <f t="shared" si="49"/>
        <v>-16.03849592956891</v>
      </c>
      <c r="BF43" s="34">
        <f t="shared" si="49"/>
        <v>-13.946726622415461</v>
      </c>
      <c r="BG43" s="34">
        <f t="shared" si="49"/>
        <v>-13.071031323227972</v>
      </c>
      <c r="BH43" s="34">
        <f t="shared" si="49"/>
        <v>-13.587724786947971</v>
      </c>
      <c r="BI43" s="34">
        <f t="shared" si="49"/>
        <v>-13.945401711340166</v>
      </c>
      <c r="BJ43" s="34">
        <f t="shared" si="49"/>
        <v>-14.210741478048694</v>
      </c>
      <c r="BK43" s="34">
        <f t="shared" si="49"/>
        <v>-13.042477699954752</v>
      </c>
      <c r="BL43" s="34">
        <f t="shared" si="49"/>
        <v>-15.995685567668358</v>
      </c>
      <c r="BM43" s="34">
        <f t="shared" si="49"/>
        <v>-22.686881479599034</v>
      </c>
      <c r="BN43" s="34">
        <f t="shared" si="49"/>
        <v>-18.789076990716943</v>
      </c>
      <c r="BO43" s="34">
        <f t="shared" ref="BO43:CK43" si="50">BO42/BO4*100</f>
        <v>-17.507639792656949</v>
      </c>
      <c r="BP43" s="34">
        <f t="shared" si="50"/>
        <v>-15.250020876076059</v>
      </c>
      <c r="BQ43" s="34">
        <f t="shared" si="50"/>
        <v>-20.796239072599182</v>
      </c>
      <c r="BR43" s="34">
        <f t="shared" si="50"/>
        <v>-16.854436471255969</v>
      </c>
      <c r="BS43" s="34">
        <f t="shared" si="50"/>
        <v>-21.9081616231</v>
      </c>
      <c r="BT43" s="34">
        <f t="shared" si="50"/>
        <v>-14.460825714065384</v>
      </c>
      <c r="BU43" s="34">
        <f t="shared" si="50"/>
        <v>-18.651264741813844</v>
      </c>
      <c r="BV43" s="34">
        <f t="shared" si="50"/>
        <v>-16.799521696461913</v>
      </c>
      <c r="BW43" s="34">
        <f t="shared" si="50"/>
        <v>-7.4016189562981838</v>
      </c>
      <c r="BX43" s="34">
        <f t="shared" si="50"/>
        <v>-34.390755639065041</v>
      </c>
      <c r="BY43" s="34">
        <f t="shared" si="50"/>
        <v>-11.115277655749239</v>
      </c>
      <c r="BZ43" s="34">
        <f t="shared" si="50"/>
        <v>0.12082092728941449</v>
      </c>
      <c r="CA43" s="34">
        <f t="shared" si="50"/>
        <v>-16.36566884810275</v>
      </c>
      <c r="CB43" s="34">
        <f t="shared" si="50"/>
        <v>-0.69921369412804391</v>
      </c>
      <c r="CC43" s="34">
        <f t="shared" si="50"/>
        <v>-12.448428298656376</v>
      </c>
      <c r="CD43" s="34">
        <f t="shared" si="50"/>
        <v>-1.2676414957078421</v>
      </c>
      <c r="CE43" s="34">
        <f t="shared" si="50"/>
        <v>-1.4001963524191232</v>
      </c>
      <c r="CF43" s="34">
        <f t="shared" si="50"/>
        <v>-3.2230312714820708</v>
      </c>
      <c r="CG43" s="34">
        <f t="shared" si="50"/>
        <v>-8.5933495095861385</v>
      </c>
      <c r="CH43" s="34">
        <f t="shared" si="50"/>
        <v>-9.7741055380994872</v>
      </c>
      <c r="CI43" s="34">
        <f t="shared" si="50"/>
        <v>-10.333840593494388</v>
      </c>
      <c r="CJ43" s="34">
        <f t="shared" si="50"/>
        <v>-7.0620791439904078</v>
      </c>
      <c r="CK43" s="34" t="e">
        <f t="shared" si="50"/>
        <v>#DIV/0!</v>
      </c>
    </row>
    <row r="44" spans="1:89" s="22" customFormat="1">
      <c r="A44" s="24" t="s">
        <v>146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147</v>
      </c>
      <c r="B45" s="33">
        <f>B70*B69</f>
        <v>1032361501.1808001</v>
      </c>
      <c r="C45" s="33">
        <f t="shared" ref="C45:BN45" si="51">C70*C69</f>
        <v>977714756.44800007</v>
      </c>
      <c r="D45" s="33">
        <f t="shared" si="51"/>
        <v>1033004982.26</v>
      </c>
      <c r="E45" s="33">
        <f t="shared" si="51"/>
        <v>994447801.84960008</v>
      </c>
      <c r="F45" s="33">
        <f t="shared" si="51"/>
        <v>962379785.1336</v>
      </c>
      <c r="G45" s="33">
        <f t="shared" si="51"/>
        <v>906763132.71679997</v>
      </c>
      <c r="H45" s="33">
        <f t="shared" si="51"/>
        <v>959313708.77520001</v>
      </c>
      <c r="I45" s="33">
        <f t="shared" si="51"/>
        <v>927236977.4167999</v>
      </c>
      <c r="J45" s="33">
        <f t="shared" si="51"/>
        <v>892346501.72320008</v>
      </c>
      <c r="K45" s="33">
        <f t="shared" si="51"/>
        <v>837909296.85600007</v>
      </c>
      <c r="L45" s="33">
        <f t="shared" si="51"/>
        <v>866898806.84880006</v>
      </c>
      <c r="M45" s="33">
        <f t="shared" si="51"/>
        <v>838918831.96640003</v>
      </c>
      <c r="N45" s="33">
        <f t="shared" si="51"/>
        <v>812000184.19520009</v>
      </c>
      <c r="O45" s="33">
        <f t="shared" si="51"/>
        <v>703495326.70160007</v>
      </c>
      <c r="P45" s="33">
        <f t="shared" si="51"/>
        <v>713662698.04399991</v>
      </c>
      <c r="Q45" s="33">
        <f t="shared" si="51"/>
        <v>688952373.16479993</v>
      </c>
      <c r="R45" s="33">
        <f t="shared" si="51"/>
        <v>671447610.30480003</v>
      </c>
      <c r="S45" s="33">
        <f t="shared" si="51"/>
        <v>624988088.29760003</v>
      </c>
      <c r="T45" s="33">
        <f t="shared" si="51"/>
        <v>670872864.50400007</v>
      </c>
      <c r="U45" s="33">
        <f t="shared" si="51"/>
        <v>645346790.176</v>
      </c>
      <c r="V45" s="33">
        <f t="shared" si="51"/>
        <v>611345092.23680007</v>
      </c>
      <c r="W45" s="33">
        <f t="shared" si="51"/>
        <v>557091594.41439998</v>
      </c>
      <c r="X45" s="33">
        <f t="shared" si="51"/>
        <v>587835427.13680005</v>
      </c>
      <c r="Y45" s="33">
        <f t="shared" si="51"/>
        <v>570432031.18160009</v>
      </c>
      <c r="Z45" s="33">
        <f t="shared" si="51"/>
        <v>565999020.76559997</v>
      </c>
      <c r="AA45" s="33">
        <f t="shared" si="51"/>
        <v>633032179.93920004</v>
      </c>
      <c r="AB45" s="33">
        <f t="shared" si="51"/>
        <v>658329094.91040003</v>
      </c>
      <c r="AC45" s="33">
        <f t="shared" si="51"/>
        <v>590258828.92400002</v>
      </c>
      <c r="AD45" s="33">
        <f t="shared" si="51"/>
        <v>621209697.20879996</v>
      </c>
      <c r="AE45" s="33">
        <f t="shared" si="51"/>
        <v>593977657.82720006</v>
      </c>
      <c r="AF45" s="33">
        <f t="shared" si="51"/>
        <v>614763692.0848</v>
      </c>
      <c r="AG45" s="33">
        <f t="shared" si="51"/>
        <v>591549923.2536</v>
      </c>
      <c r="AH45" s="33">
        <f t="shared" si="51"/>
        <v>578832965.24320006</v>
      </c>
      <c r="AI45" s="33">
        <f t="shared" si="51"/>
        <v>557786754.48160005</v>
      </c>
      <c r="AJ45" s="33">
        <f t="shared" si="51"/>
        <v>561615326.23039997</v>
      </c>
      <c r="AK45" s="33">
        <f t="shared" si="51"/>
        <v>541441986.79439998</v>
      </c>
      <c r="AL45" s="33">
        <f t="shared" si="51"/>
        <v>543762465.176</v>
      </c>
      <c r="AM45" s="33">
        <f t="shared" si="51"/>
        <v>510602241.66240001</v>
      </c>
      <c r="AN45" s="33">
        <f t="shared" si="51"/>
        <v>514016236.6688</v>
      </c>
      <c r="AO45" s="33">
        <f t="shared" si="51"/>
        <v>495579428.88080001</v>
      </c>
      <c r="AP45" s="33">
        <f t="shared" si="51"/>
        <v>481442542.52080005</v>
      </c>
      <c r="AQ45" s="33">
        <f t="shared" si="51"/>
        <v>463155905.51760006</v>
      </c>
      <c r="AR45" s="33">
        <f t="shared" si="51"/>
        <v>468512471.48000002</v>
      </c>
      <c r="AS45" s="33">
        <f t="shared" si="51"/>
        <v>452700234.82480001</v>
      </c>
      <c r="AT45" s="33">
        <f t="shared" si="51"/>
        <v>444591774.86400002</v>
      </c>
      <c r="AU45" s="33">
        <f t="shared" si="51"/>
        <v>423534809.7568</v>
      </c>
      <c r="AV45" s="33">
        <f t="shared" si="51"/>
        <v>422144037.27360004</v>
      </c>
      <c r="AW45" s="33">
        <f t="shared" si="51"/>
        <v>414548259.53280002</v>
      </c>
      <c r="AX45" s="33">
        <f t="shared" si="51"/>
        <v>400952932.29360002</v>
      </c>
      <c r="AY45" s="33">
        <f t="shared" si="51"/>
        <v>385622095.35839999</v>
      </c>
      <c r="AZ45" s="33">
        <f t="shared" si="51"/>
        <v>400827048.26480007</v>
      </c>
      <c r="BA45" s="33">
        <f t="shared" si="51"/>
        <v>391624766.44319999</v>
      </c>
      <c r="BB45" s="33">
        <f t="shared" si="51"/>
        <v>391085626.27279997</v>
      </c>
      <c r="BC45" s="33">
        <f t="shared" si="51"/>
        <v>384608117.00480002</v>
      </c>
      <c r="BD45" s="33">
        <f t="shared" si="51"/>
        <v>405505682.19599998</v>
      </c>
      <c r="BE45" s="33">
        <f t="shared" si="51"/>
        <v>394140284.00879997</v>
      </c>
      <c r="BF45" s="33">
        <f t="shared" si="51"/>
        <v>384663963.43519998</v>
      </c>
      <c r="BG45" s="33">
        <f t="shared" si="51"/>
        <v>380111902.24080002</v>
      </c>
      <c r="BH45" s="33">
        <f t="shared" si="51"/>
        <v>384468292.47120005</v>
      </c>
      <c r="BI45" s="33">
        <f t="shared" si="51"/>
        <v>371850693.78240001</v>
      </c>
      <c r="BJ45" s="33">
        <f t="shared" si="51"/>
        <v>359115398.43040001</v>
      </c>
      <c r="BK45" s="33">
        <f t="shared" si="51"/>
        <v>343433082.67519999</v>
      </c>
      <c r="BL45" s="33">
        <f t="shared" si="51"/>
        <v>343247164.32480001</v>
      </c>
      <c r="BM45" s="33">
        <f t="shared" si="51"/>
        <v>336462490.61759996</v>
      </c>
      <c r="BN45" s="33">
        <f t="shared" si="51"/>
        <v>330025608.94400001</v>
      </c>
      <c r="BO45" s="33">
        <f t="shared" ref="BO45:CJ45" si="52">BO70*BO69</f>
        <v>316322237.11119998</v>
      </c>
      <c r="BP45" s="33">
        <f t="shared" si="52"/>
        <v>319078185.42320001</v>
      </c>
      <c r="BQ45" s="33">
        <f t="shared" si="52"/>
        <v>310074333.45279998</v>
      </c>
      <c r="BR45" s="33">
        <f t="shared" si="52"/>
        <v>303629716.34080005</v>
      </c>
      <c r="BS45" s="33">
        <f t="shared" si="52"/>
        <v>287963329.64560002</v>
      </c>
      <c r="BT45" s="33">
        <f t="shared" si="52"/>
        <v>298454620.94400001</v>
      </c>
      <c r="BU45" s="33">
        <f t="shared" si="52"/>
        <v>287845207.57200003</v>
      </c>
      <c r="BV45" s="33">
        <f t="shared" si="52"/>
        <v>175294988.75839999</v>
      </c>
      <c r="BW45" s="33">
        <f t="shared" si="52"/>
        <v>168688702.824</v>
      </c>
      <c r="BX45" s="33">
        <f t="shared" si="52"/>
        <v>98367931.143199995</v>
      </c>
      <c r="BY45" s="33">
        <f t="shared" si="52"/>
        <v>99450876.262400001</v>
      </c>
      <c r="BZ45" s="33">
        <f t="shared" si="52"/>
        <v>93969308.237599999</v>
      </c>
      <c r="CA45" s="33">
        <f t="shared" si="52"/>
        <v>92890717.478400007</v>
      </c>
      <c r="CB45" s="33">
        <f t="shared" si="52"/>
        <v>94696949.00559999</v>
      </c>
      <c r="CC45" s="33">
        <f t="shared" si="52"/>
        <v>86225408.642399997</v>
      </c>
      <c r="CD45" s="33">
        <f t="shared" si="52"/>
        <v>86127779.6664</v>
      </c>
      <c r="CE45" s="33">
        <f t="shared" si="52"/>
        <v>86379040</v>
      </c>
      <c r="CF45" s="33">
        <f t="shared" si="52"/>
        <v>80338268.220799997</v>
      </c>
      <c r="CG45" s="33">
        <f t="shared" si="52"/>
        <v>39415192.029600002</v>
      </c>
      <c r="CH45" s="33">
        <f t="shared" si="52"/>
        <v>0</v>
      </c>
      <c r="CI45" s="33">
        <f t="shared" si="52"/>
        <v>0</v>
      </c>
      <c r="CJ45" s="33">
        <f t="shared" si="52"/>
        <v>0</v>
      </c>
    </row>
    <row r="46" spans="1:89">
      <c r="A46" s="23" t="s">
        <v>148</v>
      </c>
      <c r="B46" s="33">
        <f>B69</f>
        <v>0.08</v>
      </c>
      <c r="C46" s="33">
        <f t="shared" ref="C46:BN46" si="53">C69</f>
        <v>0.08</v>
      </c>
      <c r="D46" s="33">
        <f t="shared" si="53"/>
        <v>0.08</v>
      </c>
      <c r="E46" s="33">
        <f t="shared" si="53"/>
        <v>0.08</v>
      </c>
      <c r="F46" s="33">
        <f t="shared" si="53"/>
        <v>0.08</v>
      </c>
      <c r="G46" s="33">
        <f t="shared" si="53"/>
        <v>0.08</v>
      </c>
      <c r="H46" s="33">
        <f t="shared" si="53"/>
        <v>0.08</v>
      </c>
      <c r="I46" s="33">
        <f t="shared" si="53"/>
        <v>0.08</v>
      </c>
      <c r="J46" s="33">
        <f t="shared" si="53"/>
        <v>0.08</v>
      </c>
      <c r="K46" s="33">
        <f t="shared" si="53"/>
        <v>0.08</v>
      </c>
      <c r="L46" s="33">
        <f t="shared" si="53"/>
        <v>0.08</v>
      </c>
      <c r="M46" s="33">
        <f t="shared" si="53"/>
        <v>0.08</v>
      </c>
      <c r="N46" s="33">
        <f t="shared" si="53"/>
        <v>0.08</v>
      </c>
      <c r="O46" s="33">
        <f t="shared" si="53"/>
        <v>0.08</v>
      </c>
      <c r="P46" s="33">
        <f t="shared" si="53"/>
        <v>0.08</v>
      </c>
      <c r="Q46" s="33">
        <f t="shared" si="53"/>
        <v>0.08</v>
      </c>
      <c r="R46" s="33">
        <f t="shared" si="53"/>
        <v>0.08</v>
      </c>
      <c r="S46" s="33">
        <f t="shared" si="53"/>
        <v>0.08</v>
      </c>
      <c r="T46" s="33">
        <f t="shared" si="53"/>
        <v>0.08</v>
      </c>
      <c r="U46" s="33">
        <f t="shared" si="53"/>
        <v>0.08</v>
      </c>
      <c r="V46" s="33">
        <f t="shared" si="53"/>
        <v>0.08</v>
      </c>
      <c r="W46" s="33">
        <f t="shared" si="53"/>
        <v>0.08</v>
      </c>
      <c r="X46" s="33">
        <f t="shared" si="53"/>
        <v>0.08</v>
      </c>
      <c r="Y46" s="33">
        <f t="shared" si="53"/>
        <v>0.08</v>
      </c>
      <c r="Z46" s="33">
        <f t="shared" si="53"/>
        <v>0.08</v>
      </c>
      <c r="AA46" s="33">
        <f t="shared" si="53"/>
        <v>0.08</v>
      </c>
      <c r="AB46" s="33">
        <f t="shared" si="53"/>
        <v>0.08</v>
      </c>
      <c r="AC46" s="33">
        <f t="shared" si="53"/>
        <v>0.08</v>
      </c>
      <c r="AD46" s="33">
        <f t="shared" si="53"/>
        <v>0.08</v>
      </c>
      <c r="AE46" s="33">
        <f t="shared" si="53"/>
        <v>0.08</v>
      </c>
      <c r="AF46" s="33">
        <f t="shared" si="53"/>
        <v>0.08</v>
      </c>
      <c r="AG46" s="33">
        <f t="shared" si="53"/>
        <v>0.08</v>
      </c>
      <c r="AH46" s="33">
        <f t="shared" si="53"/>
        <v>0.08</v>
      </c>
      <c r="AI46" s="33">
        <f t="shared" si="53"/>
        <v>0.08</v>
      </c>
      <c r="AJ46" s="33">
        <f t="shared" si="53"/>
        <v>0.08</v>
      </c>
      <c r="AK46" s="33">
        <f t="shared" si="53"/>
        <v>0.08</v>
      </c>
      <c r="AL46" s="33">
        <f t="shared" si="53"/>
        <v>0.08</v>
      </c>
      <c r="AM46" s="33">
        <f t="shared" si="53"/>
        <v>0.08</v>
      </c>
      <c r="AN46" s="33">
        <f t="shared" si="53"/>
        <v>0.08</v>
      </c>
      <c r="AO46" s="33">
        <f t="shared" si="53"/>
        <v>0.08</v>
      </c>
      <c r="AP46" s="33">
        <f t="shared" si="53"/>
        <v>0.08</v>
      </c>
      <c r="AQ46" s="33">
        <f t="shared" si="53"/>
        <v>0.08</v>
      </c>
      <c r="AR46" s="33">
        <f t="shared" si="53"/>
        <v>0.08</v>
      </c>
      <c r="AS46" s="33">
        <f t="shared" si="53"/>
        <v>0.08</v>
      </c>
      <c r="AT46" s="33">
        <f t="shared" si="53"/>
        <v>0.08</v>
      </c>
      <c r="AU46" s="33">
        <f t="shared" si="53"/>
        <v>0.08</v>
      </c>
      <c r="AV46" s="33">
        <f t="shared" si="53"/>
        <v>0.08</v>
      </c>
      <c r="AW46" s="33">
        <f t="shared" si="53"/>
        <v>0.08</v>
      </c>
      <c r="AX46" s="33">
        <f t="shared" si="53"/>
        <v>0.08</v>
      </c>
      <c r="AY46" s="33">
        <f t="shared" si="53"/>
        <v>0.08</v>
      </c>
      <c r="AZ46" s="33">
        <f t="shared" si="53"/>
        <v>0.08</v>
      </c>
      <c r="BA46" s="33">
        <f t="shared" si="53"/>
        <v>0.08</v>
      </c>
      <c r="BB46" s="33">
        <f t="shared" si="53"/>
        <v>0.08</v>
      </c>
      <c r="BC46" s="33">
        <f t="shared" si="53"/>
        <v>0.08</v>
      </c>
      <c r="BD46" s="33">
        <f t="shared" si="53"/>
        <v>0.08</v>
      </c>
      <c r="BE46" s="33">
        <f t="shared" si="53"/>
        <v>0.08</v>
      </c>
      <c r="BF46" s="33">
        <f t="shared" si="53"/>
        <v>0.08</v>
      </c>
      <c r="BG46" s="33">
        <f t="shared" si="53"/>
        <v>0.08</v>
      </c>
      <c r="BH46" s="33">
        <f t="shared" si="53"/>
        <v>0.08</v>
      </c>
      <c r="BI46" s="33">
        <f t="shared" si="53"/>
        <v>0.08</v>
      </c>
      <c r="BJ46" s="33">
        <f t="shared" si="53"/>
        <v>0.08</v>
      </c>
      <c r="BK46" s="33">
        <f t="shared" si="53"/>
        <v>0.08</v>
      </c>
      <c r="BL46" s="33">
        <f t="shared" si="53"/>
        <v>0.08</v>
      </c>
      <c r="BM46" s="33">
        <f t="shared" si="53"/>
        <v>0.08</v>
      </c>
      <c r="BN46" s="33">
        <f t="shared" si="53"/>
        <v>0.08</v>
      </c>
      <c r="BO46" s="33">
        <f t="shared" ref="BO46:CJ46" si="54">BO69</f>
        <v>0.08</v>
      </c>
      <c r="BP46" s="33">
        <f t="shared" si="54"/>
        <v>0.08</v>
      </c>
      <c r="BQ46" s="33">
        <f t="shared" si="54"/>
        <v>0.08</v>
      </c>
      <c r="BR46" s="33">
        <f t="shared" si="54"/>
        <v>0.08</v>
      </c>
      <c r="BS46" s="33">
        <f t="shared" si="54"/>
        <v>0.08</v>
      </c>
      <c r="BT46" s="33">
        <f t="shared" si="54"/>
        <v>0.08</v>
      </c>
      <c r="BU46" s="33">
        <f t="shared" si="54"/>
        <v>0.08</v>
      </c>
      <c r="BV46" s="33">
        <f t="shared" si="54"/>
        <v>0.08</v>
      </c>
      <c r="BW46" s="33">
        <f t="shared" si="54"/>
        <v>0.08</v>
      </c>
      <c r="BX46" s="33">
        <f t="shared" si="54"/>
        <v>0.08</v>
      </c>
      <c r="BY46" s="33">
        <f t="shared" si="54"/>
        <v>0.08</v>
      </c>
      <c r="BZ46" s="33">
        <f t="shared" si="54"/>
        <v>0.08</v>
      </c>
      <c r="CA46" s="33">
        <f t="shared" si="54"/>
        <v>0.08</v>
      </c>
      <c r="CB46" s="33">
        <f t="shared" si="54"/>
        <v>0.08</v>
      </c>
      <c r="CC46" s="33">
        <f t="shared" si="54"/>
        <v>0.08</v>
      </c>
      <c r="CD46" s="33">
        <f t="shared" si="54"/>
        <v>0.08</v>
      </c>
      <c r="CE46" s="33">
        <f t="shared" si="54"/>
        <v>0.08</v>
      </c>
      <c r="CF46" s="33">
        <f t="shared" si="54"/>
        <v>0.08</v>
      </c>
      <c r="CG46" s="33">
        <f t="shared" si="54"/>
        <v>0.08</v>
      </c>
      <c r="CH46" s="33">
        <f t="shared" si="54"/>
        <v>0.08</v>
      </c>
      <c r="CI46" s="33">
        <f t="shared" si="54"/>
        <v>0.08</v>
      </c>
      <c r="CJ46" s="33">
        <f t="shared" si="54"/>
        <v>0.08</v>
      </c>
    </row>
    <row r="47" spans="1:89" s="2" customFormat="1">
      <c r="A47" s="26" t="s">
        <v>149</v>
      </c>
      <c r="B47" s="35">
        <f>B42-B45</f>
        <v>1242961000.7791986</v>
      </c>
      <c r="C47" s="35">
        <f t="shared" ref="C47:BN47" si="55">C42-C45</f>
        <v>108492550.51200116</v>
      </c>
      <c r="D47" s="35">
        <f t="shared" si="55"/>
        <v>-638529384.67999959</v>
      </c>
      <c r="E47" s="35">
        <f t="shared" si="55"/>
        <v>1247510112.4603989</v>
      </c>
      <c r="F47" s="35">
        <f t="shared" si="55"/>
        <v>785022845.06639981</v>
      </c>
      <c r="G47" s="35">
        <f t="shared" si="55"/>
        <v>147619261.95319951</v>
      </c>
      <c r="H47" s="35">
        <f t="shared" si="55"/>
        <v>-558800985.72520018</v>
      </c>
      <c r="I47" s="35">
        <f t="shared" si="55"/>
        <v>1493592301.8631988</v>
      </c>
      <c r="J47" s="35">
        <f t="shared" si="55"/>
        <v>926882890.56680059</v>
      </c>
      <c r="K47" s="35">
        <f t="shared" si="55"/>
        <v>300157297.04399955</v>
      </c>
      <c r="L47" s="35">
        <f t="shared" si="55"/>
        <v>-1312449281.2488</v>
      </c>
      <c r="M47" s="35">
        <f t="shared" si="55"/>
        <v>-2210580681.3464007</v>
      </c>
      <c r="N47" s="35">
        <f t="shared" si="55"/>
        <v>-1523847611.3552003</v>
      </c>
      <c r="O47" s="35">
        <f t="shared" si="55"/>
        <v>-1736676123.3615999</v>
      </c>
      <c r="P47" s="35">
        <f t="shared" si="55"/>
        <v>-1244070482.3640001</v>
      </c>
      <c r="Q47" s="35">
        <f t="shared" si="55"/>
        <v>-3413287174.3848</v>
      </c>
      <c r="R47" s="35">
        <f t="shared" si="55"/>
        <v>-2552120345.9547997</v>
      </c>
      <c r="S47" s="35">
        <f t="shared" si="55"/>
        <v>-1871973107.8276002</v>
      </c>
      <c r="T47" s="35">
        <f t="shared" si="55"/>
        <v>-1224063956.7940001</v>
      </c>
      <c r="U47" s="35">
        <f t="shared" si="55"/>
        <v>-3070197205.3860002</v>
      </c>
      <c r="V47" s="35">
        <f t="shared" si="55"/>
        <v>-2318644510.2568002</v>
      </c>
      <c r="W47" s="35">
        <f t="shared" si="55"/>
        <v>-1735829932.0343995</v>
      </c>
      <c r="X47" s="35">
        <f t="shared" si="55"/>
        <v>-1101857550.8168001</v>
      </c>
      <c r="Y47" s="35">
        <f t="shared" si="55"/>
        <v>-2737648756.5816007</v>
      </c>
      <c r="Z47" s="35">
        <f t="shared" si="55"/>
        <v>-2108760572.3356001</v>
      </c>
      <c r="AA47" s="35">
        <f t="shared" si="55"/>
        <v>-1211837457.0792003</v>
      </c>
      <c r="AB47" s="35">
        <f t="shared" si="55"/>
        <v>-889430455.85040009</v>
      </c>
      <c r="AC47" s="35">
        <f t="shared" si="55"/>
        <v>-2254470156.6739998</v>
      </c>
      <c r="AD47" s="35">
        <f t="shared" si="55"/>
        <v>-1812449964.4287996</v>
      </c>
      <c r="AE47" s="35">
        <f t="shared" si="55"/>
        <v>-1313893447.2672</v>
      </c>
      <c r="AF47" s="35">
        <f t="shared" si="55"/>
        <v>-956959104.60480011</v>
      </c>
      <c r="AG47" s="35">
        <f t="shared" si="55"/>
        <v>-2060537278.0735998</v>
      </c>
      <c r="AH47" s="35">
        <f t="shared" si="55"/>
        <v>-1601330082.8331995</v>
      </c>
      <c r="AI47" s="35">
        <f t="shared" si="55"/>
        <v>-1217685352.7416</v>
      </c>
      <c r="AJ47" s="35">
        <f t="shared" si="55"/>
        <v>-844741998.29040003</v>
      </c>
      <c r="AK47" s="35">
        <f t="shared" si="55"/>
        <v>-1775609928.6244004</v>
      </c>
      <c r="AL47" s="35">
        <f t="shared" si="55"/>
        <v>-1303482121.7360001</v>
      </c>
      <c r="AM47" s="35">
        <f t="shared" si="55"/>
        <v>-981233418.35239983</v>
      </c>
      <c r="AN47" s="35">
        <f t="shared" si="55"/>
        <v>-761180949.24880004</v>
      </c>
      <c r="AO47" s="35">
        <f t="shared" si="55"/>
        <v>-1486753573.5507998</v>
      </c>
      <c r="AP47" s="35">
        <f t="shared" si="55"/>
        <v>-1279964395.8708</v>
      </c>
      <c r="AQ47" s="35">
        <f t="shared" si="55"/>
        <v>-981662159.35759997</v>
      </c>
      <c r="AR47" s="35">
        <f t="shared" si="55"/>
        <v>-711200406.80000007</v>
      </c>
      <c r="AS47" s="35">
        <f t="shared" si="55"/>
        <v>-1468732189.7547998</v>
      </c>
      <c r="AT47" s="35">
        <f t="shared" si="55"/>
        <v>-1123695647.3040001</v>
      </c>
      <c r="AU47" s="35">
        <f t="shared" si="55"/>
        <v>-858490498.9368</v>
      </c>
      <c r="AV47" s="35">
        <f t="shared" si="55"/>
        <v>-626202642.23360014</v>
      </c>
      <c r="AW47" s="35">
        <f t="shared" si="55"/>
        <v>-1339522448.7628</v>
      </c>
      <c r="AX47" s="35">
        <f t="shared" si="55"/>
        <v>-1021863226.8936</v>
      </c>
      <c r="AY47" s="35">
        <f t="shared" si="55"/>
        <v>-807959733.56839991</v>
      </c>
      <c r="AZ47" s="35">
        <f t="shared" si="55"/>
        <v>-600099714.69480014</v>
      </c>
      <c r="BA47" s="35">
        <f t="shared" si="55"/>
        <v>-1454419846.4932001</v>
      </c>
      <c r="BB47" s="35">
        <f t="shared" si="55"/>
        <v>-1192546497.9728</v>
      </c>
      <c r="BC47" s="35">
        <f t="shared" si="55"/>
        <v>-910141557.3348</v>
      </c>
      <c r="BD47" s="35">
        <f t="shared" si="55"/>
        <v>-621753773.65600002</v>
      </c>
      <c r="BE47" s="35">
        <f t="shared" si="55"/>
        <v>-1445508091.2588</v>
      </c>
      <c r="BF47" s="35">
        <f t="shared" si="55"/>
        <v>-1054439904.0352001</v>
      </c>
      <c r="BG47" s="35">
        <f t="shared" si="55"/>
        <v>-811508689.44079995</v>
      </c>
      <c r="BH47" s="35">
        <f t="shared" si="55"/>
        <v>-601821382.84120011</v>
      </c>
      <c r="BI47" s="35">
        <f t="shared" si="55"/>
        <v>-1147178043.4224</v>
      </c>
      <c r="BJ47" s="35">
        <f t="shared" si="55"/>
        <v>-937966985.83039987</v>
      </c>
      <c r="BK47" s="35">
        <f t="shared" si="55"/>
        <v>-691087581.68519998</v>
      </c>
      <c r="BL47" s="35">
        <f t="shared" si="55"/>
        <v>-543702382.05480003</v>
      </c>
      <c r="BM47" s="35">
        <f t="shared" si="55"/>
        <v>-1350188795.0976</v>
      </c>
      <c r="BN47" s="35">
        <f t="shared" si="55"/>
        <v>-972587958.24400008</v>
      </c>
      <c r="BO47" s="35">
        <f t="shared" ref="BO47:CJ47" si="56">BO42-BO45</f>
        <v>-717168116.32119989</v>
      </c>
      <c r="BP47" s="35">
        <f t="shared" si="56"/>
        <v>-481145427.63320005</v>
      </c>
      <c r="BQ47" s="35">
        <f t="shared" si="56"/>
        <v>-1109641792.5428002</v>
      </c>
      <c r="BR47" s="35">
        <f t="shared" si="56"/>
        <v>-621955559.71080005</v>
      </c>
      <c r="BS47" s="35">
        <f t="shared" si="56"/>
        <v>-1082010452.6956</v>
      </c>
      <c r="BT47" s="35">
        <f t="shared" si="56"/>
        <v>-552946780.80400002</v>
      </c>
      <c r="BU47" s="35">
        <f t="shared" si="56"/>
        <v>-941230071.08200002</v>
      </c>
      <c r="BV47" s="35">
        <f t="shared" si="56"/>
        <v>-450969977.39839995</v>
      </c>
      <c r="BW47" s="35">
        <f t="shared" si="56"/>
        <v>-201575801.54400003</v>
      </c>
      <c r="BX47" s="35">
        <f t="shared" si="56"/>
        <v>-167868818.23320001</v>
      </c>
      <c r="BY47" s="35">
        <f t="shared" si="56"/>
        <v>-201587861.93239999</v>
      </c>
      <c r="BZ47" s="35">
        <f t="shared" si="56"/>
        <v>-93493923.737599999</v>
      </c>
      <c r="CA47" s="35">
        <f t="shared" si="56"/>
        <v>-313957544.29840004</v>
      </c>
      <c r="CB47" s="35">
        <f t="shared" si="56"/>
        <v>-101361125.44559999</v>
      </c>
      <c r="CC47" s="35">
        <f t="shared" si="56"/>
        <v>-325804206.30239999</v>
      </c>
      <c r="CD47" s="35">
        <f t="shared" si="56"/>
        <v>-100067779.6664</v>
      </c>
      <c r="CE47" s="35">
        <f t="shared" si="56"/>
        <v>-106460040</v>
      </c>
      <c r="CF47" s="35">
        <f t="shared" si="56"/>
        <v>-105062816.1908</v>
      </c>
      <c r="CG47" s="35">
        <f t="shared" si="56"/>
        <v>-89705192.029599994</v>
      </c>
      <c r="CH47" s="35">
        <f t="shared" si="56"/>
        <v>-75590000</v>
      </c>
      <c r="CI47" s="35">
        <f t="shared" si="56"/>
        <v>-65190000</v>
      </c>
      <c r="CJ47" s="35">
        <f t="shared" si="56"/>
        <v>-38280000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170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151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152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153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154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155</v>
      </c>
      <c r="B56" s="53">
        <f>SUM(B52:B55)</f>
        <v>-21852</v>
      </c>
      <c r="C56" s="53">
        <f t="shared" ref="C56:K56" si="57">SUM(C52:C55)</f>
        <v>-28350</v>
      </c>
      <c r="D56" s="53">
        <f t="shared" si="57"/>
        <v>-35004</v>
      </c>
      <c r="E56" s="53">
        <f t="shared" si="57"/>
        <v>-218525078.5</v>
      </c>
      <c r="F56" s="53">
        <f t="shared" si="57"/>
        <v>-30526</v>
      </c>
      <c r="G56" s="53">
        <f t="shared" si="57"/>
        <v>-22818</v>
      </c>
      <c r="H56" s="53">
        <f t="shared" si="57"/>
        <v>-15162</v>
      </c>
      <c r="I56" s="53">
        <f t="shared" si="57"/>
        <v>-283499786.53000003</v>
      </c>
      <c r="J56" s="53">
        <f t="shared" si="57"/>
        <v>0</v>
      </c>
      <c r="K56" s="53">
        <f t="shared" si="57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159</v>
      </c>
    </row>
    <row r="59" spans="1:89">
      <c r="A59" s="28" t="s">
        <v>158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157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156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164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165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166</v>
      </c>
      <c r="B67" s="5">
        <f>B65-B66</f>
        <v>1834389.2599999905</v>
      </c>
      <c r="C67" s="5">
        <f t="shared" ref="C67:BN67" si="58">C65-C66</f>
        <v>925673.07999998331</v>
      </c>
      <c r="D67" s="5">
        <f t="shared" si="58"/>
        <v>0</v>
      </c>
      <c r="E67" s="5">
        <f t="shared" si="58"/>
        <v>55020129.629999995</v>
      </c>
      <c r="F67" s="5">
        <f t="shared" si="58"/>
        <v>2234606.9099999964</v>
      </c>
      <c r="G67" s="5">
        <f t="shared" si="58"/>
        <v>1005519.3700000048</v>
      </c>
      <c r="H67" s="5">
        <f t="shared" si="58"/>
        <v>0</v>
      </c>
      <c r="I67" s="5">
        <f t="shared" si="58"/>
        <v>289157870.09999996</v>
      </c>
      <c r="J67" s="5">
        <f t="shared" si="58"/>
        <v>213180522.73000002</v>
      </c>
      <c r="K67" s="5">
        <f t="shared" si="58"/>
        <v>190825180.55000001</v>
      </c>
      <c r="L67" s="5">
        <f t="shared" si="58"/>
        <v>0</v>
      </c>
      <c r="M67" s="5">
        <f t="shared" si="58"/>
        <v>934487706.18999994</v>
      </c>
      <c r="N67" s="5">
        <f t="shared" si="58"/>
        <v>927982151.03999996</v>
      </c>
      <c r="O67" s="5">
        <f t="shared" si="58"/>
        <v>79983204.839999974</v>
      </c>
      <c r="P67" s="5">
        <f t="shared" si="58"/>
        <v>0</v>
      </c>
      <c r="Q67" s="5">
        <f t="shared" si="58"/>
        <v>7967386.7099999785</v>
      </c>
      <c r="R67" s="5">
        <f t="shared" si="58"/>
        <v>5952926.2199999988</v>
      </c>
      <c r="S67" s="5">
        <f t="shared" si="58"/>
        <v>1265414</v>
      </c>
      <c r="T67" s="5">
        <f t="shared" si="58"/>
        <v>0</v>
      </c>
      <c r="U67" s="5">
        <f t="shared" si="58"/>
        <v>-124623073.77000001</v>
      </c>
      <c r="V67" s="5">
        <f t="shared" si="58"/>
        <v>-165451603.54999998</v>
      </c>
      <c r="W67" s="5">
        <f t="shared" si="58"/>
        <v>-157412474.31</v>
      </c>
      <c r="X67" s="5">
        <f t="shared" si="58"/>
        <v>1489054.4200000018</v>
      </c>
      <c r="Y67" s="5">
        <f t="shared" si="58"/>
        <v>156426642.10999995</v>
      </c>
      <c r="Z67" s="5">
        <f t="shared" si="58"/>
        <v>152814403.46000001</v>
      </c>
      <c r="AA67" s="5">
        <f t="shared" si="58"/>
        <v>152614767.44999999</v>
      </c>
      <c r="AB67" s="5">
        <f t="shared" si="58"/>
        <v>151747645.91</v>
      </c>
      <c r="AC67" s="5">
        <f t="shared" si="58"/>
        <v>2884505.1999999881</v>
      </c>
      <c r="AD67" s="5">
        <f t="shared" si="58"/>
        <v>-13941498.210000008</v>
      </c>
      <c r="AE67" s="5">
        <f t="shared" si="58"/>
        <v>3937500</v>
      </c>
      <c r="AF67" s="5">
        <f t="shared" si="58"/>
        <v>37710</v>
      </c>
      <c r="AG67" s="5">
        <f t="shared" si="58"/>
        <v>-8047922.6299999952</v>
      </c>
      <c r="AH67" s="5">
        <f t="shared" si="58"/>
        <v>-8173224.6100000143</v>
      </c>
      <c r="AI67" s="5">
        <f t="shared" si="58"/>
        <v>-6583661.7199999988</v>
      </c>
      <c r="AJ67" s="5">
        <f t="shared" si="58"/>
        <v>-21430.629999995232</v>
      </c>
      <c r="AK67" s="5">
        <f t="shared" si="58"/>
        <v>4466039.2100000083</v>
      </c>
      <c r="AL67" s="5">
        <f t="shared" si="58"/>
        <v>3937500</v>
      </c>
      <c r="AM67" s="5">
        <f t="shared" si="58"/>
        <v>3937500</v>
      </c>
      <c r="AN67" s="5">
        <f t="shared" si="58"/>
        <v>0</v>
      </c>
      <c r="AO67" s="5">
        <f t="shared" si="58"/>
        <v>175967870.43000001</v>
      </c>
      <c r="AP67" s="5">
        <f t="shared" si="58"/>
        <v>5029496.2899999917</v>
      </c>
      <c r="AQ67" s="5">
        <f t="shared" si="58"/>
        <v>4736035.099999994</v>
      </c>
      <c r="AR67" s="5">
        <f t="shared" si="58"/>
        <v>4868227.6099999994</v>
      </c>
      <c r="AS67" s="5">
        <f t="shared" si="58"/>
        <v>1021045.0499999821</v>
      </c>
      <c r="AT67" s="5">
        <f t="shared" si="58"/>
        <v>3145948.9100000262</v>
      </c>
      <c r="AU67" s="5">
        <f t="shared" si="58"/>
        <v>3221938.3999999762</v>
      </c>
      <c r="AV67" s="5">
        <f t="shared" si="58"/>
        <v>0</v>
      </c>
      <c r="AW67" s="5">
        <f t="shared" si="58"/>
        <v>106002085.7</v>
      </c>
      <c r="AX67" s="5">
        <f t="shared" si="58"/>
        <v>78146813.989999995</v>
      </c>
      <c r="AY67" s="5">
        <f t="shared" si="58"/>
        <v>31508275.550000001</v>
      </c>
      <c r="AZ67" s="5">
        <f t="shared" si="58"/>
        <v>6818330.1399999997</v>
      </c>
      <c r="BA67" s="5">
        <f t="shared" si="58"/>
        <v>-52414533.450000003</v>
      </c>
      <c r="BB67" s="5">
        <f t="shared" si="58"/>
        <v>-47415743.689999998</v>
      </c>
      <c r="BC67" s="5">
        <f t="shared" si="58"/>
        <v>-4476487.08</v>
      </c>
      <c r="BD67" s="5">
        <f t="shared" si="58"/>
        <v>13731417.210000001</v>
      </c>
      <c r="BE67" s="5">
        <f t="shared" si="58"/>
        <v>74080792.579999998</v>
      </c>
      <c r="BF67" s="5">
        <f t="shared" si="58"/>
        <v>53634658.140000001</v>
      </c>
      <c r="BG67" s="5">
        <f t="shared" si="58"/>
        <v>44718368.039999999</v>
      </c>
      <c r="BH67" s="5">
        <f t="shared" si="58"/>
        <v>13012623.23</v>
      </c>
      <c r="BI67" s="5">
        <f t="shared" si="58"/>
        <v>129351232.81999999</v>
      </c>
      <c r="BJ67" s="5">
        <f t="shared" si="58"/>
        <v>126231548.87</v>
      </c>
      <c r="BK67" s="5">
        <f t="shared" si="58"/>
        <v>99137772.019999996</v>
      </c>
      <c r="BL67" s="5">
        <f t="shared" si="58"/>
        <v>21058739.870000001</v>
      </c>
      <c r="BM67" s="5">
        <f t="shared" si="58"/>
        <v>80579243.650000006</v>
      </c>
      <c r="BN67" s="5">
        <f t="shared" si="58"/>
        <v>68017088.620000005</v>
      </c>
      <c r="BO67" s="5">
        <f t="shared" ref="BO67:CJ67" si="59">BO65-BO66</f>
        <v>47536007.049999997</v>
      </c>
      <c r="BP67" s="5">
        <f t="shared" si="59"/>
        <v>23536334.48</v>
      </c>
      <c r="BQ67" s="5">
        <f t="shared" si="59"/>
        <v>47111894.539999999</v>
      </c>
      <c r="BR67" s="5">
        <f t="shared" si="59"/>
        <v>43130624.329999998</v>
      </c>
      <c r="BS67" s="5">
        <f t="shared" si="59"/>
        <v>110636895.03</v>
      </c>
      <c r="BT67" s="5">
        <f t="shared" si="59"/>
        <v>55492097.759999998</v>
      </c>
      <c r="BU67" s="5">
        <f t="shared" si="59"/>
        <v>42252799.109999999</v>
      </c>
      <c r="BV67" s="5">
        <f t="shared" si="59"/>
        <v>-8467811.9100000001</v>
      </c>
      <c r="BW67" s="5">
        <f t="shared" si="59"/>
        <v>44423828.259999998</v>
      </c>
      <c r="BX67" s="5">
        <f t="shared" si="59"/>
        <v>-2405395.41</v>
      </c>
      <c r="BY67" s="5">
        <f t="shared" si="59"/>
        <v>43588942.600000001</v>
      </c>
      <c r="BZ67" s="5">
        <f t="shared" si="59"/>
        <v>2100000</v>
      </c>
      <c r="CA67" s="5">
        <f t="shared" si="59"/>
        <v>5299206.3</v>
      </c>
      <c r="CB67" s="5">
        <f t="shared" si="59"/>
        <v>3033836.53</v>
      </c>
      <c r="CC67" s="5">
        <f t="shared" si="59"/>
        <v>10641347.550000001</v>
      </c>
      <c r="CD67" s="5">
        <f t="shared" si="59"/>
        <v>5790000</v>
      </c>
      <c r="CE67" s="5">
        <f t="shared" si="59"/>
        <v>7729000</v>
      </c>
      <c r="CF67" s="5">
        <f t="shared" si="59"/>
        <v>2092581.44</v>
      </c>
      <c r="CG67" s="5">
        <f t="shared" si="59"/>
        <v>0</v>
      </c>
      <c r="CH67" s="5">
        <f t="shared" si="59"/>
        <v>0</v>
      </c>
      <c r="CI67" s="5">
        <f t="shared" si="59"/>
        <v>0</v>
      </c>
      <c r="CJ67" s="5">
        <f t="shared" si="59"/>
        <v>0</v>
      </c>
      <c r="CK67" s="5"/>
    </row>
    <row r="68" spans="1:89">
      <c r="A68" s="28" t="s">
        <v>167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168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169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25" workbookViewId="0">
      <selection activeCell="A10" sqref="A10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359</v>
      </c>
    </row>
    <row r="3" spans="1:74">
      <c r="A3" s="23" t="s">
        <v>387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371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362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 t="shared" ref="BR5:BU5" si="1">BR4-BR3</f>
        <v>40993445.710000001</v>
      </c>
      <c r="BS5" s="60">
        <f t="shared" si="1"/>
        <v>75768714.270000011</v>
      </c>
      <c r="BT5" s="60">
        <f t="shared" si="1"/>
        <v>5826841.1900000004</v>
      </c>
      <c r="BU5" s="60">
        <f t="shared" si="1"/>
        <v>-248081.96999999997</v>
      </c>
    </row>
    <row r="6" spans="1:74" s="59" customFormat="1">
      <c r="A6" s="58" t="s">
        <v>372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373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374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375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376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363</v>
      </c>
      <c r="E11" s="33">
        <f>E5-E6-E7-E8-E9-E10</f>
        <v>-67669923.280000016</v>
      </c>
      <c r="F11" s="33">
        <f t="shared" ref="F11:BQ11" si="2">F5-F6-F7-F8-F9-F10</f>
        <v>103902890.7</v>
      </c>
      <c r="G11" s="33">
        <f t="shared" si="2"/>
        <v>-42580724.219999999</v>
      </c>
      <c r="H11" s="33">
        <f t="shared" si="2"/>
        <v>24990763.579999998</v>
      </c>
      <c r="I11" s="33">
        <f t="shared" si="2"/>
        <v>279123314.89999992</v>
      </c>
      <c r="J11" s="33">
        <f t="shared" si="2"/>
        <v>500802185.39999998</v>
      </c>
      <c r="K11" s="33">
        <f t="shared" si="2"/>
        <v>359347249.26999998</v>
      </c>
      <c r="L11" s="33">
        <f t="shared" si="2"/>
        <v>327212395.46000004</v>
      </c>
      <c r="M11" s="33">
        <f t="shared" si="2"/>
        <v>56944268.910000011</v>
      </c>
      <c r="N11" s="33">
        <f t="shared" si="2"/>
        <v>149514444.67000002</v>
      </c>
      <c r="O11" s="33">
        <f t="shared" si="2"/>
        <v>-35057561.100000009</v>
      </c>
      <c r="P11" s="33">
        <f t="shared" si="2"/>
        <v>90636786.450000003</v>
      </c>
      <c r="Q11" s="33">
        <f t="shared" si="2"/>
        <v>187170035.93999994</v>
      </c>
      <c r="R11" s="33">
        <f t="shared" si="2"/>
        <v>289631242.84999996</v>
      </c>
      <c r="S11" s="33">
        <f t="shared" si="2"/>
        <v>25144019.039999988</v>
      </c>
      <c r="T11" s="33">
        <f t="shared" si="2"/>
        <v>71609901.270000011</v>
      </c>
      <c r="U11" s="33">
        <f t="shared" si="2"/>
        <v>101968195.51000002</v>
      </c>
      <c r="V11" s="33">
        <f t="shared" si="2"/>
        <v>198771914.06999999</v>
      </c>
      <c r="W11" s="33">
        <f t="shared" si="2"/>
        <v>39972820.260000005</v>
      </c>
      <c r="X11" s="33">
        <f t="shared" si="2"/>
        <v>65073767.399999999</v>
      </c>
      <c r="Y11" s="33">
        <f t="shared" si="2"/>
        <v>277222738.30999994</v>
      </c>
      <c r="Z11" s="33">
        <f t="shared" si="2"/>
        <v>98947935.13000001</v>
      </c>
      <c r="AA11" s="33">
        <f t="shared" si="2"/>
        <v>47786954.759999968</v>
      </c>
      <c r="AB11" s="33">
        <f t="shared" si="2"/>
        <v>28078276.909999996</v>
      </c>
      <c r="AC11" s="33">
        <f t="shared" si="2"/>
        <v>-21701806.340000018</v>
      </c>
      <c r="AD11" s="33">
        <f t="shared" si="2"/>
        <v>114290760.56</v>
      </c>
      <c r="AE11" s="33">
        <f t="shared" si="2"/>
        <v>-13843710.690000009</v>
      </c>
      <c r="AF11" s="33">
        <f t="shared" si="2"/>
        <v>54284472.759999998</v>
      </c>
      <c r="AG11" s="33">
        <f t="shared" si="2"/>
        <v>17070157.490000047</v>
      </c>
      <c r="AH11" s="33">
        <f t="shared" si="2"/>
        <v>209188399.80000001</v>
      </c>
      <c r="AI11" s="33">
        <f t="shared" si="2"/>
        <v>23148341.210000008</v>
      </c>
      <c r="AJ11" s="33">
        <f t="shared" si="2"/>
        <v>31855302.370000005</v>
      </c>
      <c r="AK11" s="33">
        <f t="shared" si="2"/>
        <v>-16667732.270000014</v>
      </c>
      <c r="AL11" s="33">
        <f t="shared" si="2"/>
        <v>136117536.37</v>
      </c>
      <c r="AM11" s="33">
        <f t="shared" si="2"/>
        <v>15043236.800000006</v>
      </c>
      <c r="AN11" s="33">
        <f t="shared" si="2"/>
        <v>62041816.009999998</v>
      </c>
      <c r="AO11" s="33">
        <f t="shared" si="2"/>
        <v>164071539.89999995</v>
      </c>
      <c r="AP11" s="33">
        <f t="shared" si="2"/>
        <v>194903454.25999999</v>
      </c>
      <c r="AQ11" s="33">
        <f t="shared" si="2"/>
        <v>53555582.189999983</v>
      </c>
      <c r="AR11" s="33">
        <f t="shared" si="2"/>
        <v>87928333.170000002</v>
      </c>
      <c r="AS11" s="33">
        <f t="shared" si="2"/>
        <v>38945870.720000021</v>
      </c>
      <c r="AT11" s="33">
        <f t="shared" si="2"/>
        <v>135530047.53999999</v>
      </c>
      <c r="AU11" s="33">
        <f t="shared" si="2"/>
        <v>-7555954.3599999929</v>
      </c>
      <c r="AV11" s="33">
        <f t="shared" si="2"/>
        <v>30093781.079999998</v>
      </c>
      <c r="AW11" s="33">
        <f t="shared" si="2"/>
        <v>-43079941.75</v>
      </c>
      <c r="AX11" s="33">
        <f t="shared" si="2"/>
        <v>-42111308.859999999</v>
      </c>
      <c r="AY11" s="33">
        <f t="shared" si="2"/>
        <v>-50969795.82</v>
      </c>
      <c r="AZ11" s="33">
        <f t="shared" si="2"/>
        <v>6527256.7599999979</v>
      </c>
      <c r="BA11" s="33">
        <f t="shared" si="2"/>
        <v>18901895.939999998</v>
      </c>
      <c r="BB11" s="33">
        <f t="shared" si="2"/>
        <v>20512648.59999999</v>
      </c>
      <c r="BC11" s="33">
        <f t="shared" si="2"/>
        <v>43175862.200000003</v>
      </c>
      <c r="BD11" s="33">
        <f t="shared" si="2"/>
        <v>-23725165.59</v>
      </c>
      <c r="BE11" s="33">
        <f t="shared" si="2"/>
        <v>-29486374.260000002</v>
      </c>
      <c r="BF11" s="33">
        <f t="shared" si="2"/>
        <v>-89404097.239999995</v>
      </c>
      <c r="BG11" s="33">
        <f t="shared" si="2"/>
        <v>-76313706.159999996</v>
      </c>
      <c r="BH11" s="33">
        <f t="shared" si="2"/>
        <v>-14602617</v>
      </c>
      <c r="BI11" s="33">
        <f t="shared" si="2"/>
        <v>-33101998.420000006</v>
      </c>
      <c r="BJ11" s="33">
        <f t="shared" si="2"/>
        <v>-36327391.569999985</v>
      </c>
      <c r="BK11" s="33">
        <f t="shared" si="2"/>
        <v>4719440.1199999955</v>
      </c>
      <c r="BL11" s="33">
        <f t="shared" si="2"/>
        <v>-18656227.09</v>
      </c>
      <c r="BM11" s="33">
        <f t="shared" si="2"/>
        <v>-25185312.779999997</v>
      </c>
      <c r="BN11" s="33">
        <f t="shared" si="2"/>
        <v>-31697514.039999999</v>
      </c>
      <c r="BO11" s="33">
        <f t="shared" si="2"/>
        <v>-55843992.589999996</v>
      </c>
      <c r="BP11" s="33">
        <f t="shared" si="2"/>
        <v>-24612331.190000001</v>
      </c>
      <c r="BQ11" s="33">
        <f t="shared" si="2"/>
        <v>-2588556.7399999881</v>
      </c>
      <c r="BR11" s="33">
        <f t="shared" ref="BR11:BV11" si="3">BR5-BR6-BR7-BR8-BR9-BR10</f>
        <v>85966.440000001487</v>
      </c>
      <c r="BS11" s="33">
        <f t="shared" si="3"/>
        <v>-22180886.699999984</v>
      </c>
      <c r="BT11" s="33">
        <f t="shared" si="3"/>
        <v>-38527067.869999997</v>
      </c>
      <c r="BU11" s="33">
        <f t="shared" si="3"/>
        <v>-24588667.949999999</v>
      </c>
      <c r="BV11" s="48">
        <f t="shared" si="3"/>
        <v>0</v>
      </c>
    </row>
    <row r="12" spans="1:74">
      <c r="A12" s="23" t="s">
        <v>364</v>
      </c>
      <c r="E12" s="33">
        <f>I34</f>
        <v>4714598065.0799999</v>
      </c>
      <c r="F12" s="33">
        <f t="shared" ref="F12:J12" si="4">J34</f>
        <v>4883791948.3400002</v>
      </c>
      <c r="G12" s="33">
        <f t="shared" si="4"/>
        <v>4832115636.5800009</v>
      </c>
      <c r="H12" s="33">
        <f t="shared" si="4"/>
        <v>4530138757.170001</v>
      </c>
      <c r="I12" s="33">
        <f t="shared" si="4"/>
        <v>4461861570.9700003</v>
      </c>
      <c r="J12" s="33">
        <f t="shared" si="4"/>
        <v>4707834292.8500004</v>
      </c>
      <c r="K12" s="33">
        <f t="shared" ref="K12" si="5">O34</f>
        <v>4822722997.5100002</v>
      </c>
      <c r="L12" s="33">
        <f t="shared" ref="L12" si="6">P34</f>
        <v>4983771659.75</v>
      </c>
      <c r="M12" s="33">
        <f t="shared" ref="M12" si="7">Q34</f>
        <v>4937762061.8200006</v>
      </c>
      <c r="N12" s="33">
        <f t="shared" ref="N12:O12" si="8">R34</f>
        <v>4968243436.2800007</v>
      </c>
      <c r="O12" s="33">
        <f t="shared" si="8"/>
        <v>4924374690.3300009</v>
      </c>
      <c r="P12" s="33">
        <f t="shared" ref="P12" si="9">T34</f>
        <v>4877722271.1900005</v>
      </c>
      <c r="Q12" s="33">
        <f t="shared" ref="Q12" si="10">U34</f>
        <v>4774072272.250001</v>
      </c>
      <c r="R12" s="33">
        <f t="shared" ref="R12" si="11">V34</f>
        <v>4838075633.4300013</v>
      </c>
      <c r="S12" s="33">
        <f t="shared" ref="S12:T12" si="12">W34</f>
        <v>4729669078.0900011</v>
      </c>
      <c r="T12" s="33">
        <f t="shared" si="12"/>
        <v>4691048245.6000013</v>
      </c>
      <c r="U12" s="33">
        <f t="shared" ref="U12" si="13">Y34</f>
        <v>4736853134.0600004</v>
      </c>
      <c r="V12" s="33">
        <f t="shared" ref="V12" si="14">Z34</f>
        <v>4704851584.3800011</v>
      </c>
      <c r="W12" s="33">
        <f t="shared" ref="W12" si="15">AA34</f>
        <v>4032584821.77</v>
      </c>
      <c r="X12" s="33">
        <f t="shared" ref="X12:Y12" si="16">AB34</f>
        <v>3985363605.1400003</v>
      </c>
      <c r="Y12" s="33">
        <f t="shared" si="16"/>
        <v>3953900167.9700003</v>
      </c>
      <c r="Z12" s="33">
        <f t="shared" ref="Z12" si="17">AD34</f>
        <v>3563040202.4100003</v>
      </c>
      <c r="AA12" s="33">
        <f t="shared" ref="AA12" si="18">AE34</f>
        <v>3608868644.75</v>
      </c>
      <c r="AB12" s="33">
        <f t="shared" ref="AB12" si="19">AF34</f>
        <v>3553208002.1100001</v>
      </c>
      <c r="AC12" s="33">
        <f t="shared" ref="AC12:AD12" si="20">AG34</f>
        <v>3466409669.9799995</v>
      </c>
      <c r="AD12" s="33">
        <f t="shared" si="20"/>
        <v>3458537440.5599999</v>
      </c>
      <c r="AE12" s="33">
        <f t="shared" ref="AE12" si="21">AI34</f>
        <v>3436019820.2999997</v>
      </c>
      <c r="AF12" s="33">
        <f t="shared" ref="AF12" si="22">AJ34</f>
        <v>3371165646.8799996</v>
      </c>
      <c r="AG12" s="33">
        <f t="shared" ref="AG12" si="23">AK34</f>
        <v>3288843991.4399996</v>
      </c>
      <c r="AH12" s="33">
        <f t="shared" ref="AH12:AI12" si="24">AL34</f>
        <v>3418986086.3299999</v>
      </c>
      <c r="AI12" s="33">
        <f t="shared" si="24"/>
        <v>2955845529.1199999</v>
      </c>
      <c r="AJ12" s="33">
        <f t="shared" ref="AJ12" si="25">AN34</f>
        <v>2921007878.7599998</v>
      </c>
      <c r="AK12" s="33">
        <f t="shared" ref="AK12" si="26">AO34</f>
        <v>2870323809.3599997</v>
      </c>
      <c r="AL12" s="33">
        <f t="shared" ref="AL12" si="27">AP34</f>
        <v>2822938661.9400001</v>
      </c>
      <c r="AM12" s="33">
        <f t="shared" ref="AM12:AN12" si="28">AQ34</f>
        <v>2879065791.0599995</v>
      </c>
      <c r="AN12" s="33">
        <f t="shared" si="28"/>
        <v>2899757502.9699998</v>
      </c>
      <c r="AO12" s="33">
        <f t="shared" ref="AO12" si="29">AS34</f>
        <v>2837394920.8799996</v>
      </c>
      <c r="AP12" s="33">
        <f t="shared" ref="AP12" si="30">AT34</f>
        <v>2933770006.6399999</v>
      </c>
      <c r="AQ12" s="33">
        <f t="shared" ref="AQ12" si="31">AU34</f>
        <v>2872445122.8000002</v>
      </c>
      <c r="AR12" s="33">
        <f t="shared" ref="AR12:AS12" si="32">AV34</f>
        <v>2575923002.7900004</v>
      </c>
      <c r="AS12" s="33">
        <f t="shared" si="32"/>
        <v>2597468323.4099998</v>
      </c>
      <c r="AT12" s="33">
        <f t="shared" ref="AT12" si="33">AX34</f>
        <v>2410763534.8400002</v>
      </c>
      <c r="AU12" s="33">
        <f t="shared" ref="AU12" si="34">AY34</f>
        <v>2483820863.0900002</v>
      </c>
      <c r="AV12" s="33">
        <f t="shared" ref="AV12" si="35">AZ34</f>
        <v>2554486005</v>
      </c>
      <c r="AW12" s="33">
        <f t="shared" ref="AW12:AX12" si="36">BA34</f>
        <v>2574247298.3200002</v>
      </c>
      <c r="AX12" s="33">
        <f t="shared" si="36"/>
        <v>2609201305.6399999</v>
      </c>
      <c r="AY12" s="33">
        <f t="shared" ref="AY12" si="37">BC34</f>
        <v>2683968901.46</v>
      </c>
      <c r="AZ12" s="33">
        <f t="shared" ref="AZ12" si="38">BD34</f>
        <v>2689101232.8800001</v>
      </c>
      <c r="BA12" s="33">
        <f t="shared" ref="BA12" si="39">BE34</f>
        <v>2676403110.5799999</v>
      </c>
      <c r="BB12" s="33">
        <f t="shared" ref="BB12:BC12" si="40">BF34</f>
        <v>2633768248.5900002</v>
      </c>
      <c r="BC12" s="33">
        <f t="shared" si="40"/>
        <v>2540908104.8800001</v>
      </c>
      <c r="BD12" s="33">
        <f t="shared" ref="BD12" si="41">BH34</f>
        <v>2627501543.46</v>
      </c>
      <c r="BE12" s="33">
        <f t="shared" ref="BE12" si="42">BI34</f>
        <v>2633995522.4200001</v>
      </c>
      <c r="BF12" s="33">
        <f t="shared" ref="BF12" si="43">BJ34</f>
        <v>2697608030.8499999</v>
      </c>
      <c r="BG12" s="33">
        <f t="shared" ref="BG12:BH12" si="44">BK34</f>
        <v>2506061093.3600001</v>
      </c>
      <c r="BH12" s="33">
        <f t="shared" si="44"/>
        <v>2449347773.48</v>
      </c>
      <c r="BI12" s="33">
        <f t="shared" ref="BI12" si="45">BM34</f>
        <v>2441134555.5</v>
      </c>
      <c r="BJ12" s="33">
        <f t="shared" ref="BJ12" si="46">BN34</f>
        <v>2120830735.96</v>
      </c>
      <c r="BK12" s="33">
        <f t="shared" ref="BK12" si="47">BO34</f>
        <v>2152380109.23</v>
      </c>
      <c r="BL12" s="33">
        <f t="shared" ref="BL12" si="48">BP34</f>
        <v>2117283926.8199999</v>
      </c>
      <c r="BM12" s="33">
        <f>BO34</f>
        <v>2152380109.23</v>
      </c>
      <c r="BN12" s="33">
        <f t="shared" ref="BN12:BU12" si="49">BP34</f>
        <v>2117283926.8199999</v>
      </c>
      <c r="BO12" s="33">
        <f t="shared" si="49"/>
        <v>2007899852.48</v>
      </c>
      <c r="BP12" s="33">
        <f t="shared" si="49"/>
        <v>2214134485.5799999</v>
      </c>
      <c r="BQ12" s="33">
        <f t="shared" si="49"/>
        <v>1814339827.5999999</v>
      </c>
      <c r="BR12" s="33">
        <f t="shared" si="49"/>
        <v>2086744304.6300001</v>
      </c>
      <c r="BS12" s="33">
        <f t="shared" si="49"/>
        <v>1960182316.27</v>
      </c>
      <c r="BT12" s="33">
        <f t="shared" si="49"/>
        <v>0</v>
      </c>
      <c r="BU12" s="33">
        <f t="shared" si="49"/>
        <v>0</v>
      </c>
      <c r="BV12" s="33">
        <f t="shared" ref="BV12" si="50">BZ34</f>
        <v>0</v>
      </c>
    </row>
    <row r="13" spans="1:74">
      <c r="A13" s="23" t="s">
        <v>428</v>
      </c>
      <c r="E13" s="33">
        <f>E11/E12*100</f>
        <v>-1.4353275156416065</v>
      </c>
      <c r="F13" s="33">
        <f t="shared" ref="F13:BQ13" si="51">F11/F12*100</f>
        <v>2.127504443249606</v>
      </c>
      <c r="G13" s="33">
        <f t="shared" si="51"/>
        <v>-0.88120250884842466</v>
      </c>
      <c r="H13" s="33">
        <f t="shared" si="51"/>
        <v>0.55165558760084965</v>
      </c>
      <c r="I13" s="33">
        <f t="shared" si="51"/>
        <v>6.2557591816843168</v>
      </c>
      <c r="J13" s="33">
        <f t="shared" si="51"/>
        <v>10.637634084967493</v>
      </c>
      <c r="K13" s="33">
        <f t="shared" si="51"/>
        <v>7.4511277022448326</v>
      </c>
      <c r="L13" s="33">
        <f t="shared" si="51"/>
        <v>6.5655575295039483</v>
      </c>
      <c r="M13" s="33">
        <f t="shared" si="51"/>
        <v>1.1532404396377705</v>
      </c>
      <c r="N13" s="33">
        <f t="shared" si="51"/>
        <v>3.0094025501687125</v>
      </c>
      <c r="O13" s="33">
        <f t="shared" si="51"/>
        <v>-0.7119190415961355</v>
      </c>
      <c r="P13" s="33">
        <f t="shared" si="51"/>
        <v>1.8581784982991185</v>
      </c>
      <c r="Q13" s="33">
        <f t="shared" si="51"/>
        <v>3.9205530470904968</v>
      </c>
      <c r="R13" s="33">
        <f t="shared" si="51"/>
        <v>5.9864967973777423</v>
      </c>
      <c r="S13" s="33">
        <f t="shared" si="51"/>
        <v>0.53162321982479976</v>
      </c>
      <c r="T13" s="33">
        <f t="shared" si="51"/>
        <v>1.5265223788130291</v>
      </c>
      <c r="U13" s="33">
        <f t="shared" si="51"/>
        <v>2.1526568931767183</v>
      </c>
      <c r="V13" s="33">
        <f t="shared" si="51"/>
        <v>4.2248285733373221</v>
      </c>
      <c r="W13" s="33">
        <f t="shared" si="51"/>
        <v>0.99124561606753658</v>
      </c>
      <c r="X13" s="33">
        <f t="shared" si="51"/>
        <v>1.6328188302837185</v>
      </c>
      <c r="Y13" s="33">
        <f t="shared" si="51"/>
        <v>7.0113742515742583</v>
      </c>
      <c r="Z13" s="33">
        <f t="shared" si="51"/>
        <v>2.777064796043355</v>
      </c>
      <c r="AA13" s="33">
        <f t="shared" si="51"/>
        <v>1.3241533417825559</v>
      </c>
      <c r="AB13" s="33">
        <f t="shared" si="51"/>
        <v>0.79022328254710339</v>
      </c>
      <c r="AC13" s="33">
        <f t="shared" si="51"/>
        <v>-0.62606005654620833</v>
      </c>
      <c r="AD13" s="33">
        <f t="shared" si="51"/>
        <v>3.3045980425036037</v>
      </c>
      <c r="AE13" s="33">
        <f t="shared" si="51"/>
        <v>-0.40289961682442538</v>
      </c>
      <c r="AF13" s="33">
        <f t="shared" si="51"/>
        <v>1.6102582443624527</v>
      </c>
      <c r="AG13" s="33">
        <f t="shared" si="51"/>
        <v>0.51903214425582977</v>
      </c>
      <c r="AH13" s="33">
        <f t="shared" si="51"/>
        <v>6.1184337846939458</v>
      </c>
      <c r="AI13" s="33">
        <f t="shared" si="51"/>
        <v>0.78313771751433914</v>
      </c>
      <c r="AJ13" s="33">
        <f t="shared" si="51"/>
        <v>1.0905585911504947</v>
      </c>
      <c r="AK13" s="33">
        <f t="shared" si="51"/>
        <v>-0.58069170508384016</v>
      </c>
      <c r="AL13" s="33">
        <f t="shared" si="51"/>
        <v>4.8218382568913611</v>
      </c>
      <c r="AM13" s="33">
        <f t="shared" si="51"/>
        <v>0.52250410000048886</v>
      </c>
      <c r="AN13" s="33">
        <f t="shared" si="51"/>
        <v>2.1395518744741695</v>
      </c>
      <c r="AO13" s="33">
        <f t="shared" si="51"/>
        <v>5.782471050914344</v>
      </c>
      <c r="AP13" s="33">
        <f t="shared" si="51"/>
        <v>6.6434469579713173</v>
      </c>
      <c r="AQ13" s="33">
        <f t="shared" si="51"/>
        <v>1.8644597163894678</v>
      </c>
      <c r="AR13" s="33">
        <f t="shared" si="51"/>
        <v>3.4134690002288193</v>
      </c>
      <c r="AS13" s="33">
        <f t="shared" si="51"/>
        <v>1.4993780816880657</v>
      </c>
      <c r="AT13" s="33">
        <f t="shared" si="51"/>
        <v>5.6218723064846339</v>
      </c>
      <c r="AU13" s="33">
        <f t="shared" si="51"/>
        <v>-0.30420689641039572</v>
      </c>
      <c r="AV13" s="33">
        <f t="shared" si="51"/>
        <v>1.1780757859348694</v>
      </c>
      <c r="AW13" s="33">
        <f t="shared" si="51"/>
        <v>-1.6734966286306192</v>
      </c>
      <c r="AX13" s="33">
        <f t="shared" si="51"/>
        <v>-1.6139540007500761</v>
      </c>
      <c r="AY13" s="33">
        <f t="shared" si="51"/>
        <v>-1.8990456928272879</v>
      </c>
      <c r="AZ13" s="33">
        <f t="shared" si="51"/>
        <v>0.2427300497352185</v>
      </c>
      <c r="BA13" s="33">
        <f t="shared" si="51"/>
        <v>0.70624248885676233</v>
      </c>
      <c r="BB13" s="33">
        <f t="shared" si="51"/>
        <v>0.77883270902751334</v>
      </c>
      <c r="BC13" s="33">
        <f t="shared" si="51"/>
        <v>1.6992295831981328</v>
      </c>
      <c r="BD13" s="33">
        <f t="shared" si="51"/>
        <v>-0.90295534360591634</v>
      </c>
      <c r="BE13" s="33">
        <f t="shared" si="51"/>
        <v>-1.1194542287190075</v>
      </c>
      <c r="BF13" s="33">
        <f t="shared" si="51"/>
        <v>-3.3141989576532103</v>
      </c>
      <c r="BG13" s="33">
        <f t="shared" si="51"/>
        <v>-3.0451654336041121</v>
      </c>
      <c r="BH13" s="33">
        <f t="shared" si="51"/>
        <v>-0.59618389671356475</v>
      </c>
      <c r="BI13" s="33">
        <f t="shared" si="51"/>
        <v>-1.3560087601652078</v>
      </c>
      <c r="BJ13" s="33">
        <f t="shared" si="51"/>
        <v>-1.7128850008652996</v>
      </c>
      <c r="BK13" s="33">
        <f t="shared" si="51"/>
        <v>0.21926610916732286</v>
      </c>
      <c r="BL13" s="33">
        <f t="shared" si="51"/>
        <v>-0.88113959841088674</v>
      </c>
      <c r="BM13" s="33">
        <f t="shared" si="51"/>
        <v>-1.1701145477045818</v>
      </c>
      <c r="BN13" s="33">
        <f t="shared" si="51"/>
        <v>-1.4970837703192346</v>
      </c>
      <c r="BO13" s="33">
        <f t="shared" si="51"/>
        <v>-2.7812140391875566</v>
      </c>
      <c r="BP13" s="33">
        <f t="shared" si="51"/>
        <v>-1.1116005531864845</v>
      </c>
      <c r="BQ13" s="33">
        <f t="shared" si="51"/>
        <v>-0.14267210037626293</v>
      </c>
      <c r="BR13" s="33">
        <f t="shared" ref="BR13:BU13" si="52">BR11/BR12*100</f>
        <v>4.1196441657591664E-3</v>
      </c>
      <c r="BS13" s="33">
        <f t="shared" si="52"/>
        <v>-1.1315726356621585</v>
      </c>
      <c r="BT13" s="33" t="e">
        <f t="shared" si="52"/>
        <v>#DIV/0!</v>
      </c>
      <c r="BU13" s="33" t="e">
        <f t="shared" si="52"/>
        <v>#DIV/0!</v>
      </c>
    </row>
    <row r="14" spans="1:74" s="54" customFormat="1">
      <c r="A14" s="55" t="s">
        <v>360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380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381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365</v>
      </c>
      <c r="E17" s="60">
        <f>E16-E15</f>
        <v>0</v>
      </c>
      <c r="F17" s="60">
        <f t="shared" ref="F17:BQ17" si="53">F16-F15</f>
        <v>0</v>
      </c>
      <c r="G17" s="60">
        <f t="shared" si="53"/>
        <v>0</v>
      </c>
      <c r="H17" s="60">
        <f t="shared" si="53"/>
        <v>0</v>
      </c>
      <c r="I17" s="60">
        <f t="shared" si="53"/>
        <v>-134709287.94</v>
      </c>
      <c r="J17" s="60">
        <f t="shared" si="53"/>
        <v>-134717409.28999999</v>
      </c>
      <c r="K17" s="60">
        <f t="shared" si="53"/>
        <v>-234709287.94</v>
      </c>
      <c r="L17" s="60">
        <f t="shared" si="53"/>
        <v>0</v>
      </c>
      <c r="M17" s="60">
        <f t="shared" si="53"/>
        <v>64294076.009999998</v>
      </c>
      <c r="N17" s="60">
        <f t="shared" si="53"/>
        <v>-17817886.559999999</v>
      </c>
      <c r="O17" s="60">
        <f t="shared" si="53"/>
        <v>-17817886.559999999</v>
      </c>
      <c r="P17" s="60">
        <f t="shared" si="53"/>
        <v>-29259105.09</v>
      </c>
      <c r="Q17" s="60">
        <f t="shared" si="53"/>
        <v>2406835.14</v>
      </c>
      <c r="R17" s="60">
        <f t="shared" si="53"/>
        <v>0</v>
      </c>
      <c r="S17" s="60">
        <f t="shared" si="53"/>
        <v>0</v>
      </c>
      <c r="T17" s="60">
        <f t="shared" si="53"/>
        <v>0</v>
      </c>
      <c r="U17" s="60">
        <f t="shared" si="53"/>
        <v>61910349.130000003</v>
      </c>
      <c r="V17" s="60">
        <f t="shared" si="53"/>
        <v>67399978.109999999</v>
      </c>
      <c r="W17" s="60">
        <f t="shared" si="53"/>
        <v>60105353.490000002</v>
      </c>
      <c r="X17" s="60">
        <f t="shared" si="53"/>
        <v>0</v>
      </c>
      <c r="Y17" s="60">
        <f t="shared" si="53"/>
        <v>93194112.140000001</v>
      </c>
      <c r="Z17" s="60">
        <f t="shared" si="53"/>
        <v>571060000</v>
      </c>
      <c r="AA17" s="60">
        <f t="shared" si="53"/>
        <v>-1868513.55</v>
      </c>
      <c r="AB17" s="60">
        <f t="shared" si="53"/>
        <v>0</v>
      </c>
      <c r="AC17" s="60">
        <f t="shared" si="53"/>
        <v>-129131878.27</v>
      </c>
      <c r="AD17" s="60">
        <f t="shared" si="53"/>
        <v>-142540908.24000001</v>
      </c>
      <c r="AE17" s="60">
        <f t="shared" si="53"/>
        <v>0</v>
      </c>
      <c r="AF17" s="60">
        <f t="shared" si="53"/>
        <v>0</v>
      </c>
      <c r="AG17" s="60">
        <f t="shared" si="53"/>
        <v>-38933536.32</v>
      </c>
      <c r="AH17" s="60">
        <f t="shared" si="53"/>
        <v>-36177645.030000001</v>
      </c>
      <c r="AI17" s="60">
        <f t="shared" si="53"/>
        <v>0</v>
      </c>
      <c r="AJ17" s="60">
        <f t="shared" si="53"/>
        <v>0</v>
      </c>
      <c r="AK17" s="60">
        <f t="shared" si="53"/>
        <v>227256611.59</v>
      </c>
      <c r="AL17" s="60">
        <f t="shared" si="53"/>
        <v>0</v>
      </c>
      <c r="AM17" s="60">
        <f t="shared" si="53"/>
        <v>0</v>
      </c>
      <c r="AN17" s="60">
        <f t="shared" si="53"/>
        <v>0</v>
      </c>
      <c r="AO17" s="60">
        <f t="shared" si="53"/>
        <v>-3861514.16</v>
      </c>
      <c r="AP17" s="60">
        <f t="shared" si="53"/>
        <v>0</v>
      </c>
      <c r="AQ17" s="60">
        <f t="shared" si="53"/>
        <v>0</v>
      </c>
      <c r="AR17" s="60">
        <f t="shared" si="53"/>
        <v>0</v>
      </c>
      <c r="AS17" s="60">
        <f t="shared" si="53"/>
        <v>-5512469.4500000002</v>
      </c>
      <c r="AT17" s="60">
        <f t="shared" si="53"/>
        <v>0</v>
      </c>
      <c r="AU17" s="60">
        <f t="shared" si="53"/>
        <v>231337646.5</v>
      </c>
      <c r="AV17" s="60">
        <f t="shared" si="53"/>
        <v>0</v>
      </c>
      <c r="AW17" s="60">
        <f t="shared" si="53"/>
        <v>0</v>
      </c>
      <c r="AX17" s="60">
        <f t="shared" si="53"/>
        <v>0</v>
      </c>
      <c r="AY17" s="60">
        <f t="shared" si="53"/>
        <v>0</v>
      </c>
      <c r="AZ17" s="60">
        <f t="shared" si="53"/>
        <v>0</v>
      </c>
      <c r="BA17" s="60">
        <f t="shared" si="53"/>
        <v>0</v>
      </c>
      <c r="BB17" s="60">
        <f t="shared" si="53"/>
        <v>0</v>
      </c>
      <c r="BC17" s="60">
        <f t="shared" si="53"/>
        <v>0</v>
      </c>
      <c r="BD17" s="60">
        <f t="shared" si="53"/>
        <v>0</v>
      </c>
      <c r="BE17" s="60">
        <f t="shared" si="53"/>
        <v>0</v>
      </c>
      <c r="BF17" s="60">
        <f t="shared" si="53"/>
        <v>0</v>
      </c>
      <c r="BG17" s="60">
        <f t="shared" si="53"/>
        <v>0</v>
      </c>
      <c r="BH17" s="60">
        <f t="shared" si="53"/>
        <v>0</v>
      </c>
      <c r="BI17" s="60">
        <f t="shared" si="53"/>
        <v>0</v>
      </c>
      <c r="BJ17" s="60">
        <f t="shared" si="53"/>
        <v>0</v>
      </c>
      <c r="BK17" s="60">
        <f t="shared" si="53"/>
        <v>0</v>
      </c>
      <c r="BL17" s="60">
        <f t="shared" si="53"/>
        <v>0</v>
      </c>
      <c r="BM17" s="60">
        <f t="shared" si="53"/>
        <v>0</v>
      </c>
      <c r="BN17" s="60">
        <f t="shared" si="53"/>
        <v>0</v>
      </c>
      <c r="BO17" s="60">
        <f t="shared" si="53"/>
        <v>0</v>
      </c>
      <c r="BP17" s="60">
        <f t="shared" si="53"/>
        <v>0</v>
      </c>
      <c r="BQ17" s="60">
        <f t="shared" si="53"/>
        <v>0</v>
      </c>
      <c r="BR17" s="60">
        <f t="shared" ref="BR17:BU17" si="54">BR16-BR15</f>
        <v>0</v>
      </c>
      <c r="BS17" s="60">
        <f t="shared" si="54"/>
        <v>0</v>
      </c>
      <c r="BT17" s="60">
        <f t="shared" si="54"/>
        <v>0</v>
      </c>
      <c r="BU17" s="60">
        <f t="shared" si="54"/>
        <v>0</v>
      </c>
    </row>
    <row r="18" spans="1:74" s="54" customFormat="1">
      <c r="A18" s="55" t="s">
        <v>361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366</v>
      </c>
      <c r="E19" s="33">
        <f>E5+E17</f>
        <v>167191555.31</v>
      </c>
      <c r="F19" s="33">
        <f t="shared" ref="F19:BQ19" si="55">F5+F17</f>
        <v>103902890.7</v>
      </c>
      <c r="G19" s="33">
        <f t="shared" si="55"/>
        <v>72575759.260000005</v>
      </c>
      <c r="H19" s="33">
        <f t="shared" si="55"/>
        <v>24990763.579999998</v>
      </c>
      <c r="I19" s="33">
        <f t="shared" si="55"/>
        <v>360299977.15999997</v>
      </c>
      <c r="J19" s="33">
        <f t="shared" si="55"/>
        <v>366084776.11000001</v>
      </c>
      <c r="K19" s="33">
        <f t="shared" si="55"/>
        <v>228255531.94</v>
      </c>
      <c r="L19" s="33">
        <f t="shared" si="55"/>
        <v>327212395.46000004</v>
      </c>
      <c r="M19" s="33">
        <f t="shared" si="55"/>
        <v>350286168.80000001</v>
      </c>
      <c r="N19" s="33">
        <f t="shared" si="55"/>
        <v>131696558.11000001</v>
      </c>
      <c r="O19" s="33">
        <f t="shared" si="55"/>
        <v>75233428.979999989</v>
      </c>
      <c r="P19" s="33">
        <f t="shared" si="55"/>
        <v>61377681.359999999</v>
      </c>
      <c r="Q19" s="33">
        <f t="shared" si="55"/>
        <v>386152390.24999994</v>
      </c>
      <c r="R19" s="33">
        <f t="shared" si="55"/>
        <v>289631242.84999996</v>
      </c>
      <c r="S19" s="33">
        <f t="shared" si="55"/>
        <v>132827796.22999999</v>
      </c>
      <c r="T19" s="33">
        <f t="shared" si="55"/>
        <v>71609901.270000011</v>
      </c>
      <c r="U19" s="33">
        <f t="shared" si="55"/>
        <v>376507442.61000001</v>
      </c>
      <c r="V19" s="33">
        <f t="shared" si="55"/>
        <v>266171892.18000001</v>
      </c>
      <c r="W19" s="33">
        <f t="shared" si="55"/>
        <v>198961855.01000002</v>
      </c>
      <c r="X19" s="33">
        <f t="shared" si="55"/>
        <v>65073767.399999999</v>
      </c>
      <c r="Y19" s="33">
        <f t="shared" si="55"/>
        <v>580859184.91999996</v>
      </c>
      <c r="Z19" s="33">
        <f t="shared" si="55"/>
        <v>670007935.13</v>
      </c>
      <c r="AA19" s="33">
        <f t="shared" si="55"/>
        <v>120546635.93999998</v>
      </c>
      <c r="AB19" s="33">
        <f t="shared" si="55"/>
        <v>28078276.909999996</v>
      </c>
      <c r="AC19" s="33">
        <f t="shared" si="55"/>
        <v>41629290.409999982</v>
      </c>
      <c r="AD19" s="33">
        <f t="shared" si="55"/>
        <v>-28250147.680000007</v>
      </c>
      <c r="AE19" s="33">
        <f t="shared" si="55"/>
        <v>89101622.189999998</v>
      </c>
      <c r="AF19" s="33">
        <f t="shared" si="55"/>
        <v>54284472.759999998</v>
      </c>
      <c r="AG19" s="33">
        <f t="shared" si="55"/>
        <v>161076856.82000005</v>
      </c>
      <c r="AH19" s="33">
        <f t="shared" si="55"/>
        <v>173010754.77000001</v>
      </c>
      <c r="AI19" s="33">
        <f t="shared" si="55"/>
        <v>129280441.30000001</v>
      </c>
      <c r="AJ19" s="33">
        <f t="shared" si="55"/>
        <v>31855302.370000005</v>
      </c>
      <c r="AK19" s="33">
        <f t="shared" si="55"/>
        <v>388333379.91999996</v>
      </c>
      <c r="AL19" s="33">
        <f t="shared" si="55"/>
        <v>136117536.37</v>
      </c>
      <c r="AM19" s="33">
        <f t="shared" si="55"/>
        <v>96853293.900000006</v>
      </c>
      <c r="AN19" s="33">
        <f t="shared" si="55"/>
        <v>62041816.009999998</v>
      </c>
      <c r="AO19" s="33">
        <f t="shared" si="55"/>
        <v>324472750.49999994</v>
      </c>
      <c r="AP19" s="33">
        <f t="shared" si="55"/>
        <v>194903454.25999999</v>
      </c>
      <c r="AQ19" s="33">
        <f t="shared" si="55"/>
        <v>139045414.91999999</v>
      </c>
      <c r="AR19" s="33">
        <f t="shared" si="55"/>
        <v>87928333.170000002</v>
      </c>
      <c r="AS19" s="33">
        <f t="shared" si="55"/>
        <v>192715868.94000003</v>
      </c>
      <c r="AT19" s="33">
        <f t="shared" si="55"/>
        <v>135530047.53999999</v>
      </c>
      <c r="AU19" s="33">
        <f t="shared" si="55"/>
        <v>300365073.59000003</v>
      </c>
      <c r="AV19" s="33">
        <f t="shared" si="55"/>
        <v>30093781.079999998</v>
      </c>
      <c r="AW19" s="33">
        <f t="shared" si="55"/>
        <v>98537360.400000006</v>
      </c>
      <c r="AX19" s="33">
        <f t="shared" si="55"/>
        <v>59637717.5</v>
      </c>
      <c r="AY19" s="33">
        <f t="shared" si="55"/>
        <v>16206520.319999993</v>
      </c>
      <c r="AZ19" s="33">
        <f t="shared" si="55"/>
        <v>40070902.189999998</v>
      </c>
      <c r="BA19" s="33">
        <f t="shared" si="55"/>
        <v>154725038.13</v>
      </c>
      <c r="BB19" s="33">
        <f t="shared" si="55"/>
        <v>126599853.28999999</v>
      </c>
      <c r="BC19" s="33">
        <f t="shared" si="55"/>
        <v>109236470.25</v>
      </c>
      <c r="BD19" s="33">
        <f t="shared" si="55"/>
        <v>11533109.43</v>
      </c>
      <c r="BE19" s="33">
        <f t="shared" si="55"/>
        <v>108396880.98999999</v>
      </c>
      <c r="BF19" s="33">
        <f t="shared" si="55"/>
        <v>21317654.299999997</v>
      </c>
      <c r="BG19" s="33">
        <f t="shared" si="55"/>
        <v>-3056140.1499999985</v>
      </c>
      <c r="BH19" s="33">
        <f t="shared" si="55"/>
        <v>22152480.170000002</v>
      </c>
      <c r="BI19" s="33">
        <f t="shared" si="55"/>
        <v>197116404.78</v>
      </c>
      <c r="BJ19" s="33">
        <f t="shared" si="55"/>
        <v>74271298.300000012</v>
      </c>
      <c r="BK19" s="33">
        <f t="shared" si="55"/>
        <v>60757294.479999997</v>
      </c>
      <c r="BL19" s="33">
        <f t="shared" si="55"/>
        <v>13907802.27</v>
      </c>
      <c r="BM19" s="33">
        <f t="shared" si="55"/>
        <v>101057382.82000001</v>
      </c>
      <c r="BN19" s="33">
        <f t="shared" si="55"/>
        <v>20451575.949999999</v>
      </c>
      <c r="BO19" s="33">
        <f t="shared" si="55"/>
        <v>51258284.269999996</v>
      </c>
      <c r="BP19" s="33">
        <f t="shared" si="55"/>
        <v>18609688.609999999</v>
      </c>
      <c r="BQ19" s="33">
        <f t="shared" si="55"/>
        <v>106582120.29000001</v>
      </c>
      <c r="BR19" s="33">
        <f t="shared" ref="BR19:BV19" si="56">BR5+BR17</f>
        <v>40993445.710000001</v>
      </c>
      <c r="BS19" s="33">
        <f t="shared" si="56"/>
        <v>75768714.270000011</v>
      </c>
      <c r="BT19" s="33">
        <f t="shared" si="56"/>
        <v>5826841.1900000004</v>
      </c>
      <c r="BU19" s="33">
        <f t="shared" si="56"/>
        <v>-248081.96999999997</v>
      </c>
      <c r="BV19" s="33">
        <f t="shared" si="56"/>
        <v>0</v>
      </c>
    </row>
    <row r="20" spans="1:74" s="33" customFormat="1">
      <c r="A20" s="33" t="s">
        <v>367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427</v>
      </c>
      <c r="E21" s="33">
        <f>E20/E19*100</f>
        <v>1154.4353723076804</v>
      </c>
      <c r="F21" s="33">
        <f t="shared" ref="F21:BQ21" si="57">F20/F19*100</f>
        <v>1352.8878693073746</v>
      </c>
      <c r="G21" s="33">
        <f t="shared" si="57"/>
        <v>601.60815714764863</v>
      </c>
      <c r="H21" s="33">
        <f t="shared" si="57"/>
        <v>-1109.322852431226</v>
      </c>
      <c r="I21" s="33">
        <f t="shared" si="57"/>
        <v>554.97469601338355</v>
      </c>
      <c r="J21" s="33">
        <f t="shared" si="57"/>
        <v>527.10342196808165</v>
      </c>
      <c r="K21" s="33">
        <f t="shared" si="57"/>
        <v>576.71870641717078</v>
      </c>
      <c r="L21" s="33">
        <f t="shared" si="57"/>
        <v>97.532685071832205</v>
      </c>
      <c r="M21" s="33">
        <f t="shared" si="57"/>
        <v>382.19451514352795</v>
      </c>
      <c r="N21" s="33">
        <f t="shared" si="57"/>
        <v>1145.1338815858442</v>
      </c>
      <c r="O21" s="33">
        <f t="shared" si="57"/>
        <v>749.30993084186298</v>
      </c>
      <c r="P21" s="33">
        <f t="shared" si="57"/>
        <v>-227.85097612230817</v>
      </c>
      <c r="Q21" s="33">
        <f t="shared" si="57"/>
        <v>521.02830811106196</v>
      </c>
      <c r="R21" s="33">
        <f t="shared" si="57"/>
        <v>610.14455265284244</v>
      </c>
      <c r="S21" s="33">
        <f t="shared" si="57"/>
        <v>731.8146768593723</v>
      </c>
      <c r="T21" s="33">
        <f t="shared" si="57"/>
        <v>-66.640055276814081</v>
      </c>
      <c r="U21" s="33">
        <f t="shared" si="57"/>
        <v>467.1601913197569</v>
      </c>
      <c r="V21" s="33">
        <f t="shared" si="57"/>
        <v>564.99733799202386</v>
      </c>
      <c r="W21" s="33">
        <f t="shared" si="57"/>
        <v>466.84386079096186</v>
      </c>
      <c r="X21" s="33">
        <f t="shared" si="57"/>
        <v>-972.80345795685412</v>
      </c>
      <c r="Y21" s="33">
        <f t="shared" si="57"/>
        <v>537.14546380801687</v>
      </c>
      <c r="Z21" s="33">
        <f t="shared" si="57"/>
        <v>338.25494451946582</v>
      </c>
      <c r="AA21" s="33">
        <f t="shared" si="57"/>
        <v>1249.8033713772668</v>
      </c>
      <c r="AB21" s="33">
        <f t="shared" si="57"/>
        <v>-447.53859523782296</v>
      </c>
      <c r="AC21" s="33">
        <f t="shared" si="57"/>
        <v>3705.0313321206586</v>
      </c>
      <c r="AD21" s="33">
        <f t="shared" si="57"/>
        <v>-5077.8679889010746</v>
      </c>
      <c r="AE21" s="33">
        <f t="shared" si="57"/>
        <v>992.28660632536571</v>
      </c>
      <c r="AF21" s="33">
        <f t="shared" si="57"/>
        <v>-411.79275618702718</v>
      </c>
      <c r="AG21" s="33">
        <f t="shared" si="57"/>
        <v>1109.6965529054576</v>
      </c>
      <c r="AH21" s="33">
        <f t="shared" si="57"/>
        <v>993.07809810094147</v>
      </c>
      <c r="AI21" s="33">
        <f t="shared" si="57"/>
        <v>868.03763073943026</v>
      </c>
      <c r="AJ21" s="33">
        <f t="shared" si="57"/>
        <v>95.650133613847089</v>
      </c>
      <c r="AK21" s="33">
        <f t="shared" si="57"/>
        <v>522.38577394194363</v>
      </c>
      <c r="AL21" s="33">
        <f t="shared" si="57"/>
        <v>1187.2995347175486</v>
      </c>
      <c r="AM21" s="33">
        <f t="shared" si="57"/>
        <v>974.13321249985893</v>
      </c>
      <c r="AN21" s="33">
        <f t="shared" si="57"/>
        <v>609.74594794102325</v>
      </c>
      <c r="AO21" s="33">
        <f t="shared" si="57"/>
        <v>159.18042337117618</v>
      </c>
      <c r="AP21" s="33">
        <f t="shared" si="57"/>
        <v>195.59365174280416</v>
      </c>
      <c r="AQ21" s="33">
        <f t="shared" si="57"/>
        <v>2.9376087678619873</v>
      </c>
      <c r="AR21" s="33">
        <f t="shared" si="57"/>
        <v>-325.5020189642928</v>
      </c>
      <c r="AS21" s="33">
        <f t="shared" si="57"/>
        <v>548.93190021593864</v>
      </c>
      <c r="AT21" s="33">
        <f t="shared" si="57"/>
        <v>568.03646285358639</v>
      </c>
      <c r="AU21" s="33">
        <f t="shared" si="57"/>
        <v>98.416299071278431</v>
      </c>
      <c r="AV21" s="33">
        <f t="shared" si="57"/>
        <v>-101.51299073649007</v>
      </c>
      <c r="AW21" s="33">
        <f t="shared" si="57"/>
        <v>859.5289310794243</v>
      </c>
      <c r="AX21" s="33">
        <f t="shared" si="57"/>
        <v>813.6463160750576</v>
      </c>
      <c r="AY21" s="33">
        <f t="shared" si="57"/>
        <v>1229.81022511068</v>
      </c>
      <c r="AZ21" s="33">
        <f t="shared" si="57"/>
        <v>-199.92901252917861</v>
      </c>
      <c r="BA21" s="33">
        <f t="shared" si="57"/>
        <v>157.39584468247821</v>
      </c>
      <c r="BB21" s="33">
        <f t="shared" si="57"/>
        <v>-130.62471465996751</v>
      </c>
      <c r="BC21" s="33">
        <f t="shared" si="57"/>
        <v>-144.0720732552231</v>
      </c>
      <c r="BD21" s="33">
        <f t="shared" si="57"/>
        <v>-2025.0025979333834</v>
      </c>
      <c r="BE21" s="33">
        <f t="shared" si="57"/>
        <v>557.82763772122075</v>
      </c>
      <c r="BF21" s="33">
        <f t="shared" si="57"/>
        <v>1582.974812195918</v>
      </c>
      <c r="BG21" s="33">
        <f t="shared" si="57"/>
        <v>-2511.4509935023771</v>
      </c>
      <c r="BH21" s="33">
        <f t="shared" si="57"/>
        <v>256.17364125598942</v>
      </c>
      <c r="BI21" s="33">
        <f t="shared" si="57"/>
        <v>148.22230401680116</v>
      </c>
      <c r="BJ21" s="33">
        <f t="shared" si="57"/>
        <v>614.93942880220254</v>
      </c>
      <c r="BK21" s="33">
        <f t="shared" si="57"/>
        <v>258.3610424122362</v>
      </c>
      <c r="BL21" s="33">
        <f t="shared" si="57"/>
        <v>-42.21525778134319</v>
      </c>
      <c r="BM21" s="33">
        <f t="shared" si="57"/>
        <v>683.36582440499024</v>
      </c>
      <c r="BN21" s="33">
        <f t="shared" si="57"/>
        <v>1557.7835785315117</v>
      </c>
      <c r="BO21" s="33">
        <f t="shared" si="57"/>
        <v>1730.814916915283</v>
      </c>
      <c r="BP21" s="33">
        <f t="shared" si="57"/>
        <v>1075.9126989497759</v>
      </c>
      <c r="BQ21" s="33">
        <f t="shared" si="57"/>
        <v>636.27269811747897</v>
      </c>
      <c r="BR21" s="33">
        <f t="shared" ref="BR21:BU21" si="58">BR20/BR19*100</f>
        <v>321.25207871431701</v>
      </c>
      <c r="BS21" s="33">
        <f t="shared" si="58"/>
        <v>326.56368840875143</v>
      </c>
      <c r="BT21" s="33">
        <f t="shared" si="58"/>
        <v>739.17472581743721</v>
      </c>
      <c r="BU21" s="33">
        <f t="shared" si="58"/>
        <v>62455.717918557319</v>
      </c>
    </row>
    <row r="22" spans="1:74">
      <c r="A22" s="23" t="s">
        <v>368</v>
      </c>
      <c r="E22" s="33">
        <f>I35</f>
        <v>14275473213.59</v>
      </c>
      <c r="F22" s="33">
        <f t="shared" ref="F22:BQ22" si="59">J35</f>
        <v>14010826273.18</v>
      </c>
      <c r="G22" s="33">
        <f t="shared" si="59"/>
        <v>13992012186.15</v>
      </c>
      <c r="H22" s="33">
        <f t="shared" si="59"/>
        <v>13069370981.500002</v>
      </c>
      <c r="I22" s="33">
        <f t="shared" si="59"/>
        <v>13164991889.75</v>
      </c>
      <c r="J22" s="33">
        <f t="shared" si="59"/>
        <v>13156834853.140001</v>
      </c>
      <c r="K22" s="33">
        <f t="shared" si="59"/>
        <v>13014263358.420002</v>
      </c>
      <c r="L22" s="33">
        <f t="shared" si="59"/>
        <v>12205058055.74</v>
      </c>
      <c r="M22" s="33">
        <f t="shared" si="59"/>
        <v>12434878623.889999</v>
      </c>
      <c r="N22" s="33">
        <f t="shared" si="59"/>
        <v>12190331692.82</v>
      </c>
      <c r="O22" s="33">
        <f t="shared" si="59"/>
        <v>12363790058.57</v>
      </c>
      <c r="P22" s="33">
        <f t="shared" si="59"/>
        <v>11466788667.09</v>
      </c>
      <c r="Q22" s="33">
        <f t="shared" si="59"/>
        <v>11484574718.470001</v>
      </c>
      <c r="R22" s="33">
        <f t="shared" si="59"/>
        <v>11405015753.559999</v>
      </c>
      <c r="S22" s="33">
        <f t="shared" si="59"/>
        <v>11454610284.490002</v>
      </c>
      <c r="T22" s="33">
        <f t="shared" si="59"/>
        <v>9909528542.4100018</v>
      </c>
      <c r="U22" s="33">
        <f t="shared" si="59"/>
        <v>12011450390.950001</v>
      </c>
      <c r="V22" s="33">
        <f t="shared" si="59"/>
        <v>9862876295.6299992</v>
      </c>
      <c r="W22" s="33">
        <f t="shared" si="59"/>
        <v>9763362936.3100014</v>
      </c>
      <c r="X22" s="33">
        <f t="shared" si="59"/>
        <v>8173263798.6800003</v>
      </c>
      <c r="Y22" s="33">
        <f t="shared" si="59"/>
        <v>8731807551.2200012</v>
      </c>
      <c r="Z22" s="33">
        <f t="shared" si="59"/>
        <v>8113865174.4499998</v>
      </c>
      <c r="AA22" s="33">
        <f t="shared" si="59"/>
        <v>7682217112.3500004</v>
      </c>
      <c r="AB22" s="33">
        <f t="shared" si="59"/>
        <v>6903824401.8699999</v>
      </c>
      <c r="AC22" s="33">
        <f t="shared" si="59"/>
        <v>7191770043.21</v>
      </c>
      <c r="AD22" s="33">
        <f t="shared" si="59"/>
        <v>7210473366.1399994</v>
      </c>
      <c r="AE22" s="33">
        <f t="shared" si="59"/>
        <v>6879750868.5100002</v>
      </c>
      <c r="AF22" s="33">
        <f t="shared" si="59"/>
        <v>6035642828.6200008</v>
      </c>
      <c r="AG22" s="33">
        <f t="shared" si="59"/>
        <v>6069062475.9499998</v>
      </c>
      <c r="AH22" s="33">
        <f t="shared" si="59"/>
        <v>5617400744.4400005</v>
      </c>
      <c r="AI22" s="33">
        <f t="shared" si="59"/>
        <v>5171072680.79</v>
      </c>
      <c r="AJ22" s="33">
        <f t="shared" si="59"/>
        <v>4758643148.7600002</v>
      </c>
      <c r="AK22" s="33">
        <f t="shared" si="59"/>
        <v>4241062781.4899998</v>
      </c>
      <c r="AL22" s="33">
        <f t="shared" si="59"/>
        <v>4249003640.8099999</v>
      </c>
      <c r="AM22" s="33">
        <f t="shared" si="59"/>
        <v>4136857769.8700004</v>
      </c>
      <c r="AN22" s="33">
        <f t="shared" si="59"/>
        <v>3824988726.54</v>
      </c>
      <c r="AO22" s="33">
        <f t="shared" si="59"/>
        <v>4179106892.4000001</v>
      </c>
      <c r="AP22" s="33">
        <f t="shared" si="59"/>
        <v>3758950800.6599998</v>
      </c>
      <c r="AQ22" s="33">
        <f t="shared" si="59"/>
        <v>3623164252.6900001</v>
      </c>
      <c r="AR22" s="33">
        <f t="shared" si="59"/>
        <v>3511557256.1199999</v>
      </c>
      <c r="AS22" s="33">
        <f t="shared" si="59"/>
        <v>3558892134.8800001</v>
      </c>
      <c r="AT22" s="33">
        <f t="shared" si="59"/>
        <v>3598739905.7000003</v>
      </c>
      <c r="AU22" s="33">
        <f t="shared" si="59"/>
        <v>3351576316.8400002</v>
      </c>
      <c r="AV22" s="33">
        <f t="shared" si="59"/>
        <v>3017630885.0699997</v>
      </c>
      <c r="AW22" s="33">
        <f t="shared" si="59"/>
        <v>3103334635.0500002</v>
      </c>
      <c r="AX22" s="33">
        <f t="shared" si="59"/>
        <v>2693729352.6100001</v>
      </c>
      <c r="AY22" s="33">
        <f t="shared" si="59"/>
        <v>2966552559.0599999</v>
      </c>
      <c r="AZ22" s="33">
        <f t="shared" si="59"/>
        <v>3255270815.1100001</v>
      </c>
      <c r="BA22" s="33">
        <f t="shared" si="59"/>
        <v>3427130001.0599999</v>
      </c>
      <c r="BB22" s="33">
        <f t="shared" si="59"/>
        <v>3288662107.8700004</v>
      </c>
      <c r="BC22" s="33">
        <f t="shared" si="59"/>
        <v>3550228729.5799999</v>
      </c>
      <c r="BD22" s="33">
        <f t="shared" si="59"/>
        <v>3612995219.77</v>
      </c>
      <c r="BE22" s="33">
        <f t="shared" si="59"/>
        <v>3600773950.75</v>
      </c>
      <c r="BF22" s="33">
        <f t="shared" si="59"/>
        <v>3444087421</v>
      </c>
      <c r="BG22" s="33">
        <f t="shared" si="59"/>
        <v>3781540091.04</v>
      </c>
      <c r="BH22" s="33">
        <f t="shared" si="59"/>
        <v>3834069903.6999998</v>
      </c>
      <c r="BI22" s="33">
        <f t="shared" si="59"/>
        <v>3828987962.0799999</v>
      </c>
      <c r="BJ22" s="33">
        <f t="shared" si="59"/>
        <v>3635757688.3099999</v>
      </c>
      <c r="BK22" s="33">
        <f t="shared" si="59"/>
        <v>3991868900.9299998</v>
      </c>
      <c r="BL22" s="33">
        <f t="shared" si="59"/>
        <v>3724014751.5800004</v>
      </c>
      <c r="BM22" s="33">
        <f>BO35</f>
        <v>3991868900.9299998</v>
      </c>
      <c r="BN22" s="33">
        <f t="shared" ref="BN22:BU22" si="60">BP35</f>
        <v>3724014751.5800004</v>
      </c>
      <c r="BO22" s="33">
        <f t="shared" si="60"/>
        <v>3581318866.5</v>
      </c>
      <c r="BP22" s="33">
        <f t="shared" si="60"/>
        <v>3401484933.3000002</v>
      </c>
      <c r="BQ22" s="33">
        <f t="shared" si="60"/>
        <v>3275440861.2900004</v>
      </c>
      <c r="BR22" s="33">
        <f t="shared" si="60"/>
        <v>2809961694.96</v>
      </c>
      <c r="BS22" s="33">
        <f t="shared" si="60"/>
        <v>2813364779.0300002</v>
      </c>
      <c r="BT22" s="33">
        <f t="shared" si="60"/>
        <v>1227321597.74</v>
      </c>
      <c r="BU22" s="33">
        <f t="shared" si="60"/>
        <v>0</v>
      </c>
    </row>
    <row r="23" spans="1:74">
      <c r="A23" s="23" t="s">
        <v>369</v>
      </c>
      <c r="E23" s="33">
        <f>E20+E22-E19</f>
        <v>16038400112.290001</v>
      </c>
      <c r="F23" s="33">
        <f t="shared" ref="F23:BQ23" si="61">F20+F22-F19</f>
        <v>15312612986.619999</v>
      </c>
      <c r="G23" s="33">
        <f t="shared" si="61"/>
        <v>14356058114.709999</v>
      </c>
      <c r="H23" s="33">
        <f t="shared" si="61"/>
        <v>12767151966.530003</v>
      </c>
      <c r="I23" s="33">
        <f t="shared" si="61"/>
        <v>14804265615.57</v>
      </c>
      <c r="J23" s="33">
        <f t="shared" si="61"/>
        <v>14720395459.210001</v>
      </c>
      <c r="K23" s="33">
        <f t="shared" si="61"/>
        <v>14102400177.610003</v>
      </c>
      <c r="L23" s="33">
        <f t="shared" si="61"/>
        <v>12196984695.459999</v>
      </c>
      <c r="M23" s="33">
        <f t="shared" si="61"/>
        <v>13423366979.549999</v>
      </c>
      <c r="N23" s="33">
        <f t="shared" si="61"/>
        <v>13566737042.509998</v>
      </c>
      <c r="O23" s="33">
        <f t="shared" si="61"/>
        <v>12852288184.25</v>
      </c>
      <c r="P23" s="33">
        <f t="shared" si="61"/>
        <v>11265561339.629999</v>
      </c>
      <c r="Q23" s="33">
        <f t="shared" si="61"/>
        <v>13110385593.870001</v>
      </c>
      <c r="R23" s="33">
        <f t="shared" si="61"/>
        <v>12882553761.74</v>
      </c>
      <c r="S23" s="33">
        <f t="shared" si="61"/>
        <v>12293835796.020002</v>
      </c>
      <c r="T23" s="33">
        <f t="shared" si="61"/>
        <v>9790197763.3500004</v>
      </c>
      <c r="U23" s="33">
        <f t="shared" si="61"/>
        <v>13393835837.57</v>
      </c>
      <c r="V23" s="33">
        <f t="shared" si="61"/>
        <v>11100568508.749998</v>
      </c>
      <c r="W23" s="33">
        <f t="shared" si="61"/>
        <v>10493242286.730001</v>
      </c>
      <c r="X23" s="33">
        <f t="shared" si="61"/>
        <v>7475150171.7900009</v>
      </c>
      <c r="Y23" s="33">
        <f t="shared" si="61"/>
        <v>11271007129.210001</v>
      </c>
      <c r="Z23" s="33">
        <f t="shared" si="61"/>
        <v>9710192208.5700016</v>
      </c>
      <c r="AA23" s="33">
        <f t="shared" si="61"/>
        <v>9068266396.4699993</v>
      </c>
      <c r="AB23" s="33">
        <f t="shared" si="61"/>
        <v>6750084998.9099998</v>
      </c>
      <c r="AC23" s="33">
        <f t="shared" si="61"/>
        <v>8692519005.8299999</v>
      </c>
      <c r="AD23" s="33">
        <f t="shared" si="61"/>
        <v>8673228719.6800003</v>
      </c>
      <c r="AE23" s="33">
        <f t="shared" si="61"/>
        <v>7674792709.3300009</v>
      </c>
      <c r="AF23" s="33">
        <f t="shared" si="61"/>
        <v>5757818829.3000002</v>
      </c>
      <c r="AG23" s="33">
        <f t="shared" si="61"/>
        <v>7695449946.79</v>
      </c>
      <c r="AH23" s="33">
        <f t="shared" si="61"/>
        <v>7162521902.6499996</v>
      </c>
      <c r="AI23" s="33">
        <f t="shared" si="61"/>
        <v>6163995119.1599998</v>
      </c>
      <c r="AJ23" s="33">
        <f t="shared" si="61"/>
        <v>4757257485.6700001</v>
      </c>
      <c r="AK23" s="33">
        <f t="shared" si="61"/>
        <v>5881327733.7399998</v>
      </c>
      <c r="AL23" s="33">
        <f t="shared" si="61"/>
        <v>5729008980.4300003</v>
      </c>
      <c r="AM23" s="33">
        <f t="shared" si="61"/>
        <v>4983484579.250001</v>
      </c>
      <c r="AN23" s="33">
        <f t="shared" si="61"/>
        <v>4141244369.6799998</v>
      </c>
      <c r="AO23" s="33">
        <f t="shared" si="61"/>
        <v>4371131239.8699999</v>
      </c>
      <c r="AP23" s="33">
        <f t="shared" si="61"/>
        <v>3945266129.96</v>
      </c>
      <c r="AQ23" s="33">
        <f t="shared" si="61"/>
        <v>3488203448.0700002</v>
      </c>
      <c r="AR23" s="33">
        <f t="shared" si="61"/>
        <v>3137420423.2399998</v>
      </c>
      <c r="AS23" s="33">
        <f t="shared" si="61"/>
        <v>4424055147.3300009</v>
      </c>
      <c r="AT23" s="33">
        <f t="shared" si="61"/>
        <v>4233069946.3100004</v>
      </c>
      <c r="AU23" s="33">
        <f t="shared" si="61"/>
        <v>3346819432.3800001</v>
      </c>
      <c r="AV23" s="33">
        <f t="shared" si="61"/>
        <v>2956988006.79</v>
      </c>
      <c r="AW23" s="33">
        <f t="shared" si="61"/>
        <v>3851754395.21</v>
      </c>
      <c r="AX23" s="33">
        <f t="shared" si="61"/>
        <v>3119331726.54</v>
      </c>
      <c r="AY23" s="33">
        <f t="shared" si="61"/>
        <v>3149655482.77</v>
      </c>
      <c r="AZ23" s="33">
        <f t="shared" si="61"/>
        <v>3135086553.8600001</v>
      </c>
      <c r="BA23" s="33">
        <f t="shared" si="61"/>
        <v>3515935743.6299996</v>
      </c>
      <c r="BB23" s="33">
        <f t="shared" si="61"/>
        <v>2996691557.4600005</v>
      </c>
      <c r="BC23" s="33">
        <f t="shared" si="61"/>
        <v>3283613011.8899999</v>
      </c>
      <c r="BD23" s="33">
        <f t="shared" si="61"/>
        <v>3367916344.7600002</v>
      </c>
      <c r="BE23" s="33">
        <f t="shared" si="61"/>
        <v>4097044830.3500004</v>
      </c>
      <c r="BF23" s="33">
        <f t="shared" si="61"/>
        <v>3760222864.8199997</v>
      </c>
      <c r="BG23" s="33">
        <f t="shared" si="61"/>
        <v>3861349693.3499999</v>
      </c>
      <c r="BH23" s="33">
        <f t="shared" si="61"/>
        <v>3868666238.6099997</v>
      </c>
      <c r="BI23" s="33">
        <f t="shared" si="61"/>
        <v>3924042034.0599999</v>
      </c>
      <c r="BJ23" s="33">
        <f t="shared" si="61"/>
        <v>4018209887.54</v>
      </c>
      <c r="BK23" s="33">
        <f t="shared" si="61"/>
        <v>4088084785.8099999</v>
      </c>
      <c r="BL23" s="33">
        <f t="shared" si="61"/>
        <v>3704235734.7300005</v>
      </c>
      <c r="BM23" s="33">
        <f t="shared" si="61"/>
        <v>4581403135.3400002</v>
      </c>
      <c r="BN23" s="33">
        <f t="shared" si="61"/>
        <v>4022154467.3300004</v>
      </c>
      <c r="BO23" s="33">
        <f t="shared" si="61"/>
        <v>4417246612.5299997</v>
      </c>
      <c r="BP23" s="33">
        <f t="shared" si="61"/>
        <v>3583099247.6799998</v>
      </c>
      <c r="BQ23" s="33">
        <f t="shared" si="61"/>
        <v>3847011673.4800005</v>
      </c>
      <c r="BR23" s="33">
        <f t="shared" ref="BR23:BV23" si="62">BR20+BR22-BR19</f>
        <v>2900660545.73</v>
      </c>
      <c r="BS23" s="33">
        <f t="shared" si="62"/>
        <v>2985029172.7400002</v>
      </c>
      <c r="BT23" s="33">
        <f t="shared" si="62"/>
        <v>1264565293.9400001</v>
      </c>
      <c r="BU23" s="33">
        <f t="shared" si="62"/>
        <v>-154693293.41999999</v>
      </c>
      <c r="BV23" s="33">
        <f t="shared" si="62"/>
        <v>0</v>
      </c>
    </row>
    <row r="24" spans="1:74">
      <c r="A24" s="23" t="s">
        <v>370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382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377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378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379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382</v>
      </c>
      <c r="B34" s="64"/>
      <c r="C34" s="64"/>
      <c r="D34" s="64"/>
      <c r="E34" s="64">
        <f>E31-E32-E33</f>
        <v>4858702603.5500002</v>
      </c>
      <c r="F34" s="64">
        <f t="shared" ref="F34:BQ34" si="63">F31-F32-F33</f>
        <v>4741886207.79</v>
      </c>
      <c r="G34" s="64">
        <f t="shared" si="63"/>
        <v>4709425296.1500006</v>
      </c>
      <c r="H34" s="64">
        <f t="shared" si="63"/>
        <v>4717405963.1500006</v>
      </c>
      <c r="I34" s="64">
        <f t="shared" si="63"/>
        <v>4714598065.0799999</v>
      </c>
      <c r="J34" s="64">
        <f t="shared" si="63"/>
        <v>4883791948.3400002</v>
      </c>
      <c r="K34" s="64">
        <f t="shared" si="63"/>
        <v>4832115636.5800009</v>
      </c>
      <c r="L34" s="64">
        <f t="shared" si="63"/>
        <v>4530138757.170001</v>
      </c>
      <c r="M34" s="64">
        <f t="shared" si="63"/>
        <v>4461861570.9700003</v>
      </c>
      <c r="N34" s="64">
        <f t="shared" si="63"/>
        <v>4707834292.8500004</v>
      </c>
      <c r="O34" s="64">
        <f t="shared" si="63"/>
        <v>4822722997.5100002</v>
      </c>
      <c r="P34" s="64">
        <f t="shared" si="63"/>
        <v>4983771659.75</v>
      </c>
      <c r="Q34" s="64">
        <f t="shared" si="63"/>
        <v>4937762061.8200006</v>
      </c>
      <c r="R34" s="64">
        <f t="shared" si="63"/>
        <v>4968243436.2800007</v>
      </c>
      <c r="S34" s="64">
        <f t="shared" si="63"/>
        <v>4924374690.3300009</v>
      </c>
      <c r="T34" s="64">
        <f t="shared" si="63"/>
        <v>4877722271.1900005</v>
      </c>
      <c r="U34" s="64">
        <f t="shared" si="63"/>
        <v>4774072272.250001</v>
      </c>
      <c r="V34" s="64">
        <f t="shared" si="63"/>
        <v>4838075633.4300013</v>
      </c>
      <c r="W34" s="64">
        <f t="shared" si="63"/>
        <v>4729669078.0900011</v>
      </c>
      <c r="X34" s="64">
        <f t="shared" si="63"/>
        <v>4691048245.6000013</v>
      </c>
      <c r="Y34" s="64">
        <f t="shared" si="63"/>
        <v>4736853134.0600004</v>
      </c>
      <c r="Z34" s="64">
        <f t="shared" si="63"/>
        <v>4704851584.3800011</v>
      </c>
      <c r="AA34" s="64">
        <f t="shared" si="63"/>
        <v>4032584821.77</v>
      </c>
      <c r="AB34" s="64">
        <f t="shared" si="63"/>
        <v>3985363605.1400003</v>
      </c>
      <c r="AC34" s="64">
        <f t="shared" si="63"/>
        <v>3953900167.9700003</v>
      </c>
      <c r="AD34" s="64">
        <f t="shared" si="63"/>
        <v>3563040202.4100003</v>
      </c>
      <c r="AE34" s="64">
        <f t="shared" si="63"/>
        <v>3608868644.75</v>
      </c>
      <c r="AF34" s="64">
        <f t="shared" si="63"/>
        <v>3553208002.1100001</v>
      </c>
      <c r="AG34" s="64">
        <f t="shared" si="63"/>
        <v>3466409669.9799995</v>
      </c>
      <c r="AH34" s="64">
        <f t="shared" si="63"/>
        <v>3458537440.5599999</v>
      </c>
      <c r="AI34" s="64">
        <f t="shared" si="63"/>
        <v>3436019820.2999997</v>
      </c>
      <c r="AJ34" s="64">
        <f t="shared" si="63"/>
        <v>3371165646.8799996</v>
      </c>
      <c r="AK34" s="64">
        <f t="shared" si="63"/>
        <v>3288843991.4399996</v>
      </c>
      <c r="AL34" s="64">
        <f t="shared" si="63"/>
        <v>3418986086.3299999</v>
      </c>
      <c r="AM34" s="64">
        <f t="shared" si="63"/>
        <v>2955845529.1199999</v>
      </c>
      <c r="AN34" s="64">
        <f t="shared" si="63"/>
        <v>2921007878.7599998</v>
      </c>
      <c r="AO34" s="64">
        <f t="shared" si="63"/>
        <v>2870323809.3599997</v>
      </c>
      <c r="AP34" s="64">
        <f t="shared" si="63"/>
        <v>2822938661.9400001</v>
      </c>
      <c r="AQ34" s="64">
        <f t="shared" si="63"/>
        <v>2879065791.0599995</v>
      </c>
      <c r="AR34" s="64">
        <f t="shared" si="63"/>
        <v>2899757502.9699998</v>
      </c>
      <c r="AS34" s="64">
        <f t="shared" si="63"/>
        <v>2837394920.8799996</v>
      </c>
      <c r="AT34" s="64">
        <f t="shared" si="63"/>
        <v>2933770006.6399999</v>
      </c>
      <c r="AU34" s="64">
        <f t="shared" si="63"/>
        <v>2872445122.8000002</v>
      </c>
      <c r="AV34" s="64">
        <f t="shared" si="63"/>
        <v>2575923002.7900004</v>
      </c>
      <c r="AW34" s="64">
        <f t="shared" si="63"/>
        <v>2597468323.4099998</v>
      </c>
      <c r="AX34" s="64">
        <f t="shared" si="63"/>
        <v>2410763534.8400002</v>
      </c>
      <c r="AY34" s="64">
        <f t="shared" si="63"/>
        <v>2483820863.0900002</v>
      </c>
      <c r="AZ34" s="64">
        <f t="shared" si="63"/>
        <v>2554486005</v>
      </c>
      <c r="BA34" s="64">
        <f t="shared" si="63"/>
        <v>2574247298.3200002</v>
      </c>
      <c r="BB34" s="64">
        <f t="shared" si="63"/>
        <v>2609201305.6399999</v>
      </c>
      <c r="BC34" s="64">
        <f t="shared" si="63"/>
        <v>2683968901.46</v>
      </c>
      <c r="BD34" s="64">
        <f t="shared" si="63"/>
        <v>2689101232.8800001</v>
      </c>
      <c r="BE34" s="64">
        <f t="shared" si="63"/>
        <v>2676403110.5799999</v>
      </c>
      <c r="BF34" s="64">
        <f t="shared" si="63"/>
        <v>2633768248.5900002</v>
      </c>
      <c r="BG34" s="64">
        <f t="shared" si="63"/>
        <v>2540908104.8800001</v>
      </c>
      <c r="BH34" s="64">
        <f t="shared" si="63"/>
        <v>2627501543.46</v>
      </c>
      <c r="BI34" s="64">
        <f t="shared" si="63"/>
        <v>2633995522.4200001</v>
      </c>
      <c r="BJ34" s="64">
        <f t="shared" si="63"/>
        <v>2697608030.8499999</v>
      </c>
      <c r="BK34" s="64">
        <f t="shared" si="63"/>
        <v>2506061093.3600001</v>
      </c>
      <c r="BL34" s="64">
        <f t="shared" si="63"/>
        <v>2449347773.48</v>
      </c>
      <c r="BM34" s="64">
        <f t="shared" si="63"/>
        <v>2441134555.5</v>
      </c>
      <c r="BN34" s="64">
        <f t="shared" si="63"/>
        <v>2120830735.96</v>
      </c>
      <c r="BO34" s="64">
        <f t="shared" si="63"/>
        <v>2152380109.23</v>
      </c>
      <c r="BP34" s="64">
        <f t="shared" si="63"/>
        <v>2117283926.8199999</v>
      </c>
      <c r="BQ34" s="64">
        <f t="shared" si="63"/>
        <v>2007899852.48</v>
      </c>
      <c r="BR34" s="64">
        <f t="shared" ref="BR34:BU34" si="64">BR31-BR32-BR33</f>
        <v>2214134485.5799999</v>
      </c>
      <c r="BS34" s="64">
        <f t="shared" si="64"/>
        <v>1814339827.5999999</v>
      </c>
      <c r="BT34" s="64">
        <f t="shared" si="64"/>
        <v>2086744304.6300001</v>
      </c>
      <c r="BU34" s="65">
        <f t="shared" si="64"/>
        <v>1960182316.27</v>
      </c>
    </row>
    <row r="35" spans="1:74" s="71" customFormat="1" ht="14.25" thickBot="1">
      <c r="A35" s="70" t="s">
        <v>384</v>
      </c>
      <c r="B35" s="41">
        <f>SUM(B22:B31)</f>
        <v>3818195235.21</v>
      </c>
      <c r="C35" s="41">
        <f t="shared" ref="C35:BN35" si="65">SUM(C22:C31)</f>
        <v>4517898596.8100004</v>
      </c>
      <c r="D35" s="41">
        <f t="shared" si="65"/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 t="shared" ref="BO35:BV35" si="66"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385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386</v>
      </c>
    </row>
    <row r="40" spans="1:74" s="33" customFormat="1">
      <c r="A40" s="33" t="s">
        <v>392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397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389</v>
      </c>
      <c r="E42" s="33">
        <f>E40-E41</f>
        <v>-490914867.83999997</v>
      </c>
      <c r="F42" s="33">
        <f t="shared" ref="F42:BQ42" si="67">F40-F41</f>
        <v>0</v>
      </c>
      <c r="G42" s="33">
        <f t="shared" si="67"/>
        <v>0</v>
      </c>
      <c r="H42" s="33">
        <f t="shared" si="67"/>
        <v>0</v>
      </c>
      <c r="I42" s="33">
        <f t="shared" si="67"/>
        <v>-439777902.44</v>
      </c>
      <c r="J42" s="33">
        <f t="shared" si="67"/>
        <v>0</v>
      </c>
      <c r="K42" s="33">
        <f t="shared" si="67"/>
        <v>0</v>
      </c>
      <c r="L42" s="33">
        <f t="shared" si="67"/>
        <v>0</v>
      </c>
      <c r="M42" s="33">
        <f t="shared" si="67"/>
        <v>-265912220.08000001</v>
      </c>
      <c r="N42" s="33">
        <f t="shared" si="67"/>
        <v>0</v>
      </c>
      <c r="O42" s="33">
        <f t="shared" si="67"/>
        <v>0</v>
      </c>
      <c r="P42" s="33">
        <f t="shared" si="67"/>
        <v>0</v>
      </c>
      <c r="Q42" s="33">
        <f t="shared" si="67"/>
        <v>4220946.96</v>
      </c>
      <c r="R42" s="33">
        <f t="shared" si="67"/>
        <v>4220946.96</v>
      </c>
      <c r="S42" s="33">
        <f t="shared" si="67"/>
        <v>0</v>
      </c>
      <c r="T42" s="33">
        <f t="shared" si="67"/>
        <v>0</v>
      </c>
      <c r="U42" s="33">
        <f t="shared" si="67"/>
        <v>0</v>
      </c>
      <c r="V42" s="33">
        <f t="shared" si="67"/>
        <v>0</v>
      </c>
      <c r="W42" s="33">
        <f t="shared" si="67"/>
        <v>0</v>
      </c>
      <c r="X42" s="33">
        <f t="shared" si="67"/>
        <v>0</v>
      </c>
      <c r="Y42" s="33">
        <f t="shared" si="67"/>
        <v>0</v>
      </c>
      <c r="Z42" s="33">
        <f t="shared" si="67"/>
        <v>0</v>
      </c>
      <c r="AA42" s="33">
        <f t="shared" si="67"/>
        <v>0</v>
      </c>
      <c r="AB42" s="33">
        <f t="shared" si="67"/>
        <v>0</v>
      </c>
      <c r="AC42" s="33">
        <f t="shared" si="67"/>
        <v>3681592.75</v>
      </c>
      <c r="AD42" s="33">
        <f t="shared" si="67"/>
        <v>0</v>
      </c>
      <c r="AE42" s="33">
        <f t="shared" si="67"/>
        <v>0</v>
      </c>
      <c r="AF42" s="33">
        <f t="shared" si="67"/>
        <v>0</v>
      </c>
      <c r="AG42" s="33">
        <f t="shared" si="67"/>
        <v>0</v>
      </c>
      <c r="AH42" s="33">
        <f t="shared" si="67"/>
        <v>-339937208.44</v>
      </c>
      <c r="AI42" s="33">
        <f t="shared" si="67"/>
        <v>-120279709.18000001</v>
      </c>
      <c r="AJ42" s="33">
        <f t="shared" si="67"/>
        <v>-10759542.5</v>
      </c>
      <c r="AK42" s="33">
        <f t="shared" si="67"/>
        <v>-418268415.68000001</v>
      </c>
      <c r="AL42" s="33">
        <f t="shared" si="67"/>
        <v>-325498681.61000001</v>
      </c>
      <c r="AM42" s="33">
        <f t="shared" si="67"/>
        <v>-12406904.189999999</v>
      </c>
      <c r="AN42" s="33">
        <f t="shared" si="67"/>
        <v>-6198654.2599999998</v>
      </c>
      <c r="AO42" s="33">
        <f t="shared" si="67"/>
        <v>-340564618.88999999</v>
      </c>
      <c r="AP42" s="33">
        <f t="shared" si="67"/>
        <v>-314576109.47000003</v>
      </c>
      <c r="AQ42" s="33">
        <f t="shared" si="67"/>
        <v>-20361003.300000001</v>
      </c>
      <c r="AR42" s="33">
        <f t="shared" si="67"/>
        <v>-5627802.7300000004</v>
      </c>
      <c r="AS42" s="33">
        <f t="shared" si="67"/>
        <v>-323422478.02999997</v>
      </c>
      <c r="AT42" s="33">
        <f t="shared" si="67"/>
        <v>-308225237.47000003</v>
      </c>
      <c r="AU42" s="33">
        <f t="shared" si="67"/>
        <v>-33795458.359999999</v>
      </c>
      <c r="AV42" s="33">
        <f t="shared" si="67"/>
        <v>-3513422.21</v>
      </c>
      <c r="AW42" s="33">
        <f t="shared" si="67"/>
        <v>-318567514.82999998</v>
      </c>
      <c r="AX42" s="33">
        <f t="shared" si="67"/>
        <v>-91781418.900000006</v>
      </c>
      <c r="AY42" s="33">
        <f t="shared" si="67"/>
        <v>-26047954.119999997</v>
      </c>
      <c r="AZ42" s="33">
        <f t="shared" si="67"/>
        <v>-7864170.3499999996</v>
      </c>
      <c r="BA42" s="33">
        <f t="shared" si="67"/>
        <v>-448298938</v>
      </c>
      <c r="BB42" s="33">
        <f t="shared" si="67"/>
        <v>-427943242.73000002</v>
      </c>
      <c r="BC42" s="33">
        <f t="shared" si="67"/>
        <v>-227142871.53999999</v>
      </c>
      <c r="BD42" s="33">
        <f t="shared" si="67"/>
        <v>-9829482.8900000006</v>
      </c>
      <c r="BE42" s="33">
        <f t="shared" si="67"/>
        <v>-372465870.36000001</v>
      </c>
      <c r="BF42" s="33">
        <f t="shared" si="67"/>
        <v>-377720268.13</v>
      </c>
      <c r="BG42" s="33">
        <f t="shared" si="67"/>
        <v>-66320134.159999996</v>
      </c>
      <c r="BH42" s="33">
        <f t="shared" si="67"/>
        <v>-12023185.300000001</v>
      </c>
      <c r="BI42" s="33">
        <f t="shared" si="67"/>
        <v>-382008949.44999999</v>
      </c>
      <c r="BJ42" s="33">
        <f t="shared" si="67"/>
        <v>-382044218.43000001</v>
      </c>
      <c r="BK42" s="33">
        <f t="shared" si="67"/>
        <v>-266573230.11000001</v>
      </c>
      <c r="BL42" s="33">
        <f t="shared" si="67"/>
        <v>-64720384.990000002</v>
      </c>
      <c r="BM42" s="33">
        <f t="shared" si="67"/>
        <v>-344175606.19</v>
      </c>
      <c r="BN42" s="33">
        <f t="shared" si="67"/>
        <v>-45280287.740000002</v>
      </c>
      <c r="BO42" s="33">
        <f t="shared" si="67"/>
        <v>-322966108.74000001</v>
      </c>
      <c r="BP42" s="33">
        <f t="shared" si="67"/>
        <v>-33441501.010000002</v>
      </c>
      <c r="BQ42" s="33">
        <f t="shared" si="67"/>
        <v>-239278205.59999999</v>
      </c>
      <c r="BR42" s="33">
        <f t="shared" ref="BR42:BU42" si="68">BR40-BR41</f>
        <v>-101564427.92</v>
      </c>
      <c r="BS42" s="33">
        <f t="shared" si="68"/>
        <v>1208330281.3299999</v>
      </c>
      <c r="BT42" s="33">
        <f t="shared" si="68"/>
        <v>-295602823.06</v>
      </c>
      <c r="BU42" s="33">
        <f t="shared" si="68"/>
        <v>-36498097.030000001</v>
      </c>
    </row>
    <row r="43" spans="1:74" s="69" customFormat="1">
      <c r="A43" s="69" t="s">
        <v>388</v>
      </c>
    </row>
    <row r="44" spans="1:74" s="33" customFormat="1">
      <c r="A44" s="33" t="s">
        <v>394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390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395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396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391</v>
      </c>
      <c r="E48" s="33">
        <f>E44-E45-E46-E47</f>
        <v>2827122.8200000003</v>
      </c>
      <c r="F48" s="33">
        <f t="shared" ref="F48:BQ48" si="69">F44-F45-F46-F47</f>
        <v>5000000</v>
      </c>
      <c r="G48" s="33">
        <f t="shared" si="69"/>
        <v>0</v>
      </c>
      <c r="H48" s="33">
        <f t="shared" si="69"/>
        <v>0</v>
      </c>
      <c r="I48" s="33">
        <f t="shared" si="69"/>
        <v>-20885157.620000001</v>
      </c>
      <c r="J48" s="33">
        <f t="shared" si="69"/>
        <v>-10917220</v>
      </c>
      <c r="K48" s="33">
        <f t="shared" si="69"/>
        <v>-10917220</v>
      </c>
      <c r="L48" s="33">
        <f t="shared" si="69"/>
        <v>-6417220</v>
      </c>
      <c r="M48" s="33">
        <f t="shared" si="69"/>
        <v>3969220</v>
      </c>
      <c r="N48" s="33">
        <f t="shared" si="69"/>
        <v>5810412.549999997</v>
      </c>
      <c r="O48" s="33">
        <f t="shared" si="69"/>
        <v>5810412.5500000007</v>
      </c>
      <c r="P48" s="33">
        <f t="shared" si="69"/>
        <v>3322000</v>
      </c>
      <c r="Q48" s="33">
        <f t="shared" si="69"/>
        <v>-5165565.0099999905</v>
      </c>
      <c r="R48" s="33">
        <f t="shared" si="69"/>
        <v>3045114.4200000018</v>
      </c>
      <c r="S48" s="33">
        <f t="shared" si="69"/>
        <v>-2875640.9800000042</v>
      </c>
      <c r="T48" s="33">
        <f t="shared" si="69"/>
        <v>10121602.520000003</v>
      </c>
      <c r="U48" s="33">
        <f t="shared" si="69"/>
        <v>-1538621232.71</v>
      </c>
      <c r="V48" s="33">
        <f t="shared" si="69"/>
        <v>-1421509262.3</v>
      </c>
      <c r="W48" s="33">
        <f t="shared" si="69"/>
        <v>-1431509262.3</v>
      </c>
      <c r="X48" s="33">
        <f t="shared" si="69"/>
        <v>-1407600012</v>
      </c>
      <c r="Y48" s="33">
        <f t="shared" si="69"/>
        <v>1396032343.6900001</v>
      </c>
      <c r="Z48" s="33">
        <f t="shared" si="69"/>
        <v>-18145000</v>
      </c>
      <c r="AA48" s="33">
        <f t="shared" si="69"/>
        <v>-14245000</v>
      </c>
      <c r="AB48" s="33">
        <f t="shared" si="69"/>
        <v>-14015000</v>
      </c>
      <c r="AC48" s="33">
        <f t="shared" si="69"/>
        <v>128145000</v>
      </c>
      <c r="AD48" s="33">
        <f t="shared" si="69"/>
        <v>100000000</v>
      </c>
      <c r="AE48" s="33">
        <f t="shared" si="69"/>
        <v>85415464</v>
      </c>
      <c r="AF48" s="33">
        <f t="shared" si="69"/>
        <v>15000000</v>
      </c>
      <c r="AG48" s="33">
        <f t="shared" si="69"/>
        <v>-299427618.66999996</v>
      </c>
      <c r="AH48" s="33">
        <f t="shared" si="69"/>
        <v>-233231541.67000002</v>
      </c>
      <c r="AI48" s="33">
        <f t="shared" si="69"/>
        <v>-172008781.13999999</v>
      </c>
      <c r="AJ48" s="33">
        <f t="shared" si="69"/>
        <v>-32000000</v>
      </c>
      <c r="AK48" s="33">
        <f t="shared" si="69"/>
        <v>72472557.769999981</v>
      </c>
      <c r="AL48" s="33">
        <f t="shared" si="69"/>
        <v>53000000</v>
      </c>
      <c r="AM48" s="33">
        <f t="shared" si="69"/>
        <v>-79000000</v>
      </c>
      <c r="AN48" s="33">
        <f t="shared" si="69"/>
        <v>-24000000</v>
      </c>
      <c r="AO48" s="33">
        <f t="shared" si="69"/>
        <v>-18370976.339999974</v>
      </c>
      <c r="AP48" s="33">
        <f t="shared" si="69"/>
        <v>-17000000</v>
      </c>
      <c r="AQ48" s="33">
        <f t="shared" si="69"/>
        <v>25736953.389999986</v>
      </c>
      <c r="AR48" s="33">
        <f t="shared" si="69"/>
        <v>24855438.280000001</v>
      </c>
      <c r="AS48" s="33">
        <f t="shared" si="69"/>
        <v>25840134.980000019</v>
      </c>
      <c r="AT48" s="33">
        <f t="shared" si="69"/>
        <v>3648609.1999999881</v>
      </c>
      <c r="AU48" s="33">
        <f t="shared" si="69"/>
        <v>26987167.810000002</v>
      </c>
      <c r="AV48" s="33">
        <f t="shared" si="69"/>
        <v>29673090.140000001</v>
      </c>
      <c r="AW48" s="33">
        <f t="shared" si="69"/>
        <v>-215529681.45000005</v>
      </c>
      <c r="AX48" s="33">
        <f t="shared" si="69"/>
        <v>-220489149.54999995</v>
      </c>
      <c r="AY48" s="33">
        <f t="shared" si="69"/>
        <v>-164429135.86000001</v>
      </c>
      <c r="AZ48" s="33">
        <f t="shared" si="69"/>
        <v>-35230403.129999995</v>
      </c>
      <c r="BA48" s="33">
        <f t="shared" si="69"/>
        <v>-113037000</v>
      </c>
      <c r="BB48" s="33">
        <f t="shared" si="69"/>
        <v>-107237000</v>
      </c>
      <c r="BC48" s="33">
        <f t="shared" si="69"/>
        <v>-50237000</v>
      </c>
      <c r="BD48" s="33">
        <f t="shared" si="69"/>
        <v>41500000</v>
      </c>
      <c r="BE48" s="33">
        <f t="shared" si="69"/>
        <v>-187768312</v>
      </c>
      <c r="BF48" s="33">
        <f t="shared" si="69"/>
        <v>-184343970.54999995</v>
      </c>
      <c r="BG48" s="33">
        <f t="shared" si="69"/>
        <v>-80430000</v>
      </c>
      <c r="BH48" s="33">
        <f t="shared" si="69"/>
        <v>-14200000</v>
      </c>
      <c r="BI48" s="33">
        <f t="shared" si="69"/>
        <v>-540662200</v>
      </c>
      <c r="BJ48" s="33">
        <f t="shared" si="69"/>
        <v>-447642200</v>
      </c>
      <c r="BK48" s="33">
        <f t="shared" si="69"/>
        <v>-21542200</v>
      </c>
      <c r="BL48" s="33">
        <f t="shared" si="69"/>
        <v>82274366.75</v>
      </c>
      <c r="BM48" s="33">
        <f t="shared" si="69"/>
        <v>148040000</v>
      </c>
      <c r="BN48" s="33">
        <f t="shared" si="69"/>
        <v>114522800</v>
      </c>
      <c r="BO48" s="33">
        <f t="shared" si="69"/>
        <v>109635300</v>
      </c>
      <c r="BP48" s="33">
        <f t="shared" si="69"/>
        <v>141914913</v>
      </c>
      <c r="BQ48" s="33">
        <f t="shared" si="69"/>
        <v>22683640</v>
      </c>
      <c r="BR48" s="33">
        <f t="shared" ref="BR48:BU48" si="70">BR44-BR45-BR46-BR47</f>
        <v>47487217.120000005</v>
      </c>
      <c r="BS48" s="33">
        <f t="shared" si="70"/>
        <v>-6618460.6700000763</v>
      </c>
      <c r="BT48" s="33">
        <f t="shared" si="70"/>
        <v>55617800</v>
      </c>
      <c r="BU48" s="33">
        <f t="shared" si="70"/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398</v>
      </c>
    </row>
    <row r="3" spans="1:74" s="33" customFormat="1">
      <c r="A3" s="33" t="s">
        <v>399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400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404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" si="1">O3/((O4+S4)/2)*100</f>
        <v>0</v>
      </c>
      <c r="P5" s="33">
        <f t="shared" ref="P5" si="2">P3/((P4+T4)/2)*100</f>
        <v>0</v>
      </c>
      <c r="Q5" s="33">
        <f t="shared" ref="Q5" si="3">Q3/((Q4+U4)/2)*100</f>
        <v>0</v>
      </c>
      <c r="R5" s="33">
        <f t="shared" ref="R5" si="4">R3/((R4+V4)/2)*100</f>
        <v>0</v>
      </c>
      <c r="S5" s="33">
        <f t="shared" ref="S5" si="5">S3/((S4+W4)/2)*100</f>
        <v>0</v>
      </c>
      <c r="T5" s="33">
        <f t="shared" ref="T5" si="6">T3/((T4+X4)/2)*100</f>
        <v>0</v>
      </c>
      <c r="U5" s="33">
        <f t="shared" ref="U5" si="7">U3/((U4+Y4)/2)*100</f>
        <v>0</v>
      </c>
      <c r="V5" s="33">
        <f t="shared" ref="V5:W5" si="8">V3/((V4+Z4)/2)*100</f>
        <v>0</v>
      </c>
      <c r="W5" s="33">
        <f t="shared" si="8"/>
        <v>0</v>
      </c>
      <c r="X5" s="33">
        <f t="shared" ref="X5" si="9">X3/((X4+AB4)/2)*100</f>
        <v>0</v>
      </c>
      <c r="Y5" s="33">
        <f t="shared" ref="Y5" si="10">Y3/((Y4+AC4)/2)*100</f>
        <v>0</v>
      </c>
      <c r="Z5" s="33">
        <f t="shared" ref="Z5" si="11">Z3/((Z4+AD4)/2)*100</f>
        <v>0</v>
      </c>
      <c r="AA5" s="33">
        <f t="shared" ref="AA5" si="12">AA3/((AA4+AE4)/2)*100</f>
        <v>0</v>
      </c>
      <c r="AB5" s="33">
        <f t="shared" ref="AB5" si="13">AB3/((AB4+AF4)/2)*100</f>
        <v>0</v>
      </c>
      <c r="AC5" s="33">
        <f t="shared" ref="AC5" si="14">AC3/((AC4+AG4)/2)*100</f>
        <v>0</v>
      </c>
      <c r="AD5" s="33">
        <f t="shared" ref="AD5" si="15">AD3/((AD4+AH4)/2)*100</f>
        <v>0</v>
      </c>
      <c r="AE5" s="33">
        <f t="shared" ref="AE5:AF5" si="16">AE3/((AE4+AI4)/2)*100</f>
        <v>0</v>
      </c>
      <c r="AF5" s="33">
        <f t="shared" si="16"/>
        <v>0</v>
      </c>
      <c r="AG5" s="33">
        <f t="shared" ref="AG5" si="17">AG3/((AG4+AK4)/2)*100</f>
        <v>0</v>
      </c>
      <c r="AH5" s="33">
        <f t="shared" ref="AH5" si="18">AH3/((AH4+AL4)/2)*100</f>
        <v>0</v>
      </c>
      <c r="AI5" s="33">
        <f t="shared" ref="AI5" si="19">AI3/((AI4+AM4)/2)*100</f>
        <v>0</v>
      </c>
      <c r="AJ5" s="33">
        <f t="shared" ref="AJ5" si="20">AJ3/((AJ4+AN4)/2)*100</f>
        <v>0</v>
      </c>
      <c r="AK5" s="33">
        <f t="shared" ref="AK5" si="21">AK3/((AK4+AO4)/2)*100</f>
        <v>0</v>
      </c>
      <c r="AL5" s="33">
        <f t="shared" ref="AL5" si="22">AL3/((AL4+AP4)/2)*100</f>
        <v>0</v>
      </c>
      <c r="AM5" s="33">
        <f t="shared" ref="AM5" si="23">AM3/((AM4+AQ4)/2)*100</f>
        <v>0</v>
      </c>
      <c r="AN5" s="33">
        <f t="shared" ref="AN5:AO5" si="24">AN3/((AN4+AR4)/2)*100</f>
        <v>0</v>
      </c>
      <c r="AO5" s="33">
        <f t="shared" si="24"/>
        <v>0</v>
      </c>
      <c r="AP5" s="33">
        <f t="shared" ref="AP5" si="25">AP3/((AP4+AT4)/2)*100</f>
        <v>0</v>
      </c>
      <c r="AQ5" s="33">
        <f t="shared" ref="AQ5" si="26">AQ3/((AQ4+AU4)/2)*100</f>
        <v>0</v>
      </c>
      <c r="AR5" s="33">
        <f t="shared" ref="AR5" si="27">AR3/((AR4+AV4)/2)*100</f>
        <v>0</v>
      </c>
      <c r="AS5" s="33">
        <f t="shared" ref="AS5" si="28">AS3/((AS4+AW4)/2)*100</f>
        <v>0</v>
      </c>
      <c r="AT5" s="33">
        <f t="shared" ref="AT5" si="29">AT3/((AT4+AX4)/2)*100</f>
        <v>0</v>
      </c>
      <c r="AU5" s="33">
        <f t="shared" ref="AU5" si="30">AU3/((AU4+AY4)/2)*100</f>
        <v>0</v>
      </c>
      <c r="AV5" s="33">
        <f t="shared" ref="AV5" si="31">AV3/((AV4+AZ4)/2)*100</f>
        <v>0</v>
      </c>
      <c r="AW5" s="33">
        <f t="shared" ref="AW5:AX5" si="32">AW3/((AW4+BA4)/2)*100</f>
        <v>0</v>
      </c>
      <c r="AX5" s="33">
        <f t="shared" si="32"/>
        <v>0</v>
      </c>
      <c r="AY5" s="33">
        <f t="shared" ref="AY5" si="33">AY3/((AY4+BC4)/2)*100</f>
        <v>0</v>
      </c>
      <c r="AZ5" s="33">
        <f t="shared" ref="AZ5" si="34">AZ3/((AZ4+BD4)/2)*100</f>
        <v>0</v>
      </c>
      <c r="BA5" s="33">
        <f t="shared" ref="BA5" si="35">BA3/((BA4+BE4)/2)*100</f>
        <v>0</v>
      </c>
      <c r="BB5" s="33">
        <f t="shared" ref="BB5" si="36">BB3/((BB4+BF4)/2)*100</f>
        <v>0</v>
      </c>
      <c r="BC5" s="33">
        <f t="shared" ref="BC5" si="37">BC3/((BC4+BG4)/2)*100</f>
        <v>0</v>
      </c>
      <c r="BD5" s="33">
        <f t="shared" ref="BD5" si="38">BD3/((BD4+BH4)/2)*100</f>
        <v>0</v>
      </c>
      <c r="BE5" s="33">
        <f t="shared" ref="BE5" si="39">BE3/((BE4+BI4)/2)*100</f>
        <v>0</v>
      </c>
      <c r="BF5" s="33">
        <f t="shared" ref="BF5:BG5" si="40">BF3/((BF4+BJ4)/2)*100</f>
        <v>0</v>
      </c>
      <c r="BG5" s="33">
        <f t="shared" si="40"/>
        <v>0</v>
      </c>
      <c r="BH5" s="33">
        <f t="shared" ref="BH5" si="41">BH3/((BH4+BL4)/2)*100</f>
        <v>0</v>
      </c>
      <c r="BI5" s="33">
        <f t="shared" ref="BI5" si="42">BI3/((BI4+BM4)/2)*100</f>
        <v>0</v>
      </c>
      <c r="BJ5" s="33">
        <f t="shared" ref="BJ5" si="43">BJ3/((BJ4+BN4)/2)*100</f>
        <v>0</v>
      </c>
      <c r="BK5" s="33">
        <f t="shared" ref="BK5" si="44">BK3/((BK4+BO4)/2)*100</f>
        <v>0</v>
      </c>
      <c r="BL5" s="33">
        <f t="shared" ref="BL5" si="45">BL3/((BL4+BP4)/2)*100</f>
        <v>0</v>
      </c>
      <c r="BM5" s="33">
        <f t="shared" ref="BM5" si="46">BM3/((BM4+BQ4)/2)*100</f>
        <v>0</v>
      </c>
      <c r="BN5" s="33">
        <f t="shared" ref="BN5" si="47">BN3/((BN4+BR4)/2)*100</f>
        <v>0</v>
      </c>
      <c r="BO5" s="33">
        <f t="shared" ref="BO5:BP5" si="48">BO3/((BO4+BS4)/2)*100</f>
        <v>0</v>
      </c>
      <c r="BP5" s="33">
        <f t="shared" si="48"/>
        <v>0</v>
      </c>
      <c r="BQ5" s="33">
        <f t="shared" ref="BQ5" si="49">BQ3/((BQ4+BU4)/2)*100</f>
        <v>0</v>
      </c>
      <c r="BR5" s="33">
        <f t="shared" ref="BR5" si="50">BR3/((BR4+BV4)/2)*100</f>
        <v>0</v>
      </c>
      <c r="BS5" s="33">
        <f t="shared" ref="BS5" si="51">BS3/((BS4+BW4)/2)*100</f>
        <v>0</v>
      </c>
      <c r="BT5" s="33">
        <f t="shared" ref="BT5" si="52">BT3/((BT4+BX4)/2)*100</f>
        <v>0</v>
      </c>
      <c r="BU5" s="33">
        <f t="shared" ref="BU5" si="53">BU3/((BU4+BY4)/2)*100</f>
        <v>0</v>
      </c>
      <c r="BV5" s="33">
        <f t="shared" ref="BV5" si="54">BV3/((BV4+BZ4)/2)*100</f>
        <v>0</v>
      </c>
    </row>
    <row r="6" spans="1:74" s="33" customFormat="1">
      <c r="A6" s="33" t="s">
        <v>423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-0.14768287552056561</v>
      </c>
      <c r="M6" s="33">
        <f>股权价值增加表!M41</f>
        <v>-0.40369423105544594</v>
      </c>
      <c r="N6" s="33">
        <f>股权价值增加表!N41</f>
        <v>-0.5003979343500452</v>
      </c>
      <c r="O6" s="33">
        <f>股权价值增加表!O41</f>
        <v>-0.16128786033645937</v>
      </c>
      <c r="P6" s="33">
        <f>股权价值增加表!P41</f>
        <v>-0.12777808255984394</v>
      </c>
      <c r="Q6" s="33">
        <f>股权价值增加表!Q41</f>
        <v>-0.13636219305575498</v>
      </c>
      <c r="R6" s="33">
        <f>股权价值增加表!R41</f>
        <v>-0.1602982871789054</v>
      </c>
      <c r="S6" s="33">
        <f>股权价值增加表!S41</f>
        <v>-0.13911898920017374</v>
      </c>
      <c r="T6" s="33">
        <f>股权价值增加表!T41</f>
        <v>-0.10554305948805097</v>
      </c>
      <c r="U6" s="33">
        <f>股权价值增加表!U41</f>
        <v>-0.11216893375157527</v>
      </c>
      <c r="V6" s="33">
        <f>股权价值增加表!V41</f>
        <v>-0.11537077942772671</v>
      </c>
      <c r="W6" s="33">
        <f>股权价值增加表!W41</f>
        <v>-8.7849333762480442E-2</v>
      </c>
      <c r="X6" s="33">
        <f>股权价值增加表!X41</f>
        <v>-9.853953360467417E-2</v>
      </c>
      <c r="Y6" s="33">
        <f>股权价值增加表!Y41</f>
        <v>-0.2020706407295072</v>
      </c>
      <c r="Z6" s="33">
        <f>股权价值增加表!Z41</f>
        <v>-0.11913019110625091</v>
      </c>
      <c r="AA6" s="33">
        <f>股权价值增加表!AA41</f>
        <v>-0.19088005674384248</v>
      </c>
      <c r="AB6" s="33">
        <f>股权价值增加表!AB41</f>
        <v>-0.22124349565799217</v>
      </c>
      <c r="AC6" s="33">
        <f>股权价值增加表!AC41</f>
        <v>-0.11655530131723768</v>
      </c>
      <c r="AD6" s="33">
        <f>股权价值增加表!AD41</f>
        <v>-0.14643087619522455</v>
      </c>
      <c r="AE6" s="33">
        <f>股权价值增加表!AE41</f>
        <v>-0.15064390706601161</v>
      </c>
      <c r="AF6" s="33">
        <f>股权价值增加表!AF41</f>
        <v>-0.15529433051194949</v>
      </c>
      <c r="AG6" s="33">
        <f>股权价值增加表!AG41</f>
        <v>-0.12363008084176767</v>
      </c>
      <c r="AH6" s="33">
        <f>股权价值增加表!AH41</f>
        <v>-0.13562595865642546</v>
      </c>
      <c r="AI6" s="33">
        <f>股权价值增加表!AI41</f>
        <v>-0.1396054093119718</v>
      </c>
      <c r="AJ6" s="33">
        <f>股权价值增加表!AJ41</f>
        <v>-0.14423762719024172</v>
      </c>
      <c r="AK6" s="33">
        <f>股权价值增加表!AK41</f>
        <v>-0.12357584078462368</v>
      </c>
      <c r="AL6" s="33">
        <f>股权价值增加表!AL41</f>
        <v>-0.15549310419160731</v>
      </c>
      <c r="AM6" s="33">
        <f>股权价值增加表!AM41</f>
        <v>-0.16491350178236167</v>
      </c>
      <c r="AN6" s="33">
        <f>股权价值增加表!AN41</f>
        <v>-0.15150832588905733</v>
      </c>
      <c r="AO6" s="33">
        <f>股权价值增加表!AO41</f>
        <v>-0.18298487926620216</v>
      </c>
      <c r="AP6" s="33">
        <f>股权价值增加表!AP41</f>
        <v>-0.21547811738785128</v>
      </c>
      <c r="AQ6" s="33">
        <f>股权价值增加表!AQ41</f>
        <v>-0.23734219074793098</v>
      </c>
      <c r="AR6" s="33">
        <f>股权价值增加表!AR41</f>
        <v>-0.22162110973884891</v>
      </c>
      <c r="AS6" s="33">
        <f>股权价值增加表!AS41</f>
        <v>-0.15886339737057389</v>
      </c>
      <c r="AT6" s="33">
        <f>股权价值增加表!AT41</f>
        <v>-0.24221315376353289</v>
      </c>
      <c r="AU6" s="33">
        <f>股权价值增加表!AU41</f>
        <v>-0.24059333273683367</v>
      </c>
      <c r="AV6" s="33">
        <f>股权价值增加表!AV41</f>
        <v>-0.17000515378179587</v>
      </c>
      <c r="AW6" s="33">
        <f>股权价值增加表!AW41</f>
        <v>-0.13798934887912431</v>
      </c>
      <c r="AX6" s="33">
        <f>股权价值增加表!AX41</f>
        <v>-0.1232527604759405</v>
      </c>
      <c r="AY6" s="33">
        <f>股权价值增加表!AY41</f>
        <v>-0.10855339319621821</v>
      </c>
      <c r="AZ6" s="33">
        <f>股权价值增加表!AZ41</f>
        <v>-0.11943938329484823</v>
      </c>
      <c r="BA6" s="33">
        <f>股权价值增加表!BA41</f>
        <v>-0.11382487282558827</v>
      </c>
      <c r="BB6" s="33">
        <f>股权价值增加表!BB41</f>
        <v>-0.1328764685408905</v>
      </c>
      <c r="BC6" s="33">
        <f>股权价值增加表!BC41</f>
        <v>-0.14827806737043214</v>
      </c>
      <c r="BD6" s="33">
        <f>股权价值增加表!BD41</f>
        <v>-0.15472030135363435</v>
      </c>
      <c r="BE6" s="33">
        <f>股权价值增加表!BE41</f>
        <v>-0.14416044939371486</v>
      </c>
      <c r="BF6" s="33">
        <f>股权价值增加表!BF41</f>
        <v>-0.16252543672487488</v>
      </c>
      <c r="BG6" s="33">
        <f>股权价值增加表!BG41</f>
        <v>-0.18019792464976753</v>
      </c>
      <c r="BH6" s="33">
        <f>股权价值增加表!BH41</f>
        <v>-0.17871743812408453</v>
      </c>
      <c r="BI6" s="33">
        <f>股权价值增加表!BI41</f>
        <v>-0.25177770018079965</v>
      </c>
      <c r="BJ6" s="33">
        <f>股权价值增加表!BJ41</f>
        <v>-0.23032834984839667</v>
      </c>
      <c r="BK6" s="33">
        <f>股权价值增加表!BK41</f>
        <v>-0.24702454118216044</v>
      </c>
      <c r="BL6" s="33">
        <f>股权价值增加表!BL41</f>
        <v>-0.16240727581304093</v>
      </c>
      <c r="BM6" s="33">
        <f>股权价值增加表!BM41</f>
        <v>-0.16512491056860487</v>
      </c>
      <c r="BN6" s="33">
        <f>股权价值增加表!BN41</f>
        <v>-0.1816230904432862</v>
      </c>
      <c r="BO6" s="33">
        <f>股权价值增加表!BO41</f>
        <v>-0.19058030994128924</v>
      </c>
      <c r="BP6" s="33">
        <f>股权价值增加表!BP41</f>
        <v>-0.18517316363983807</v>
      </c>
      <c r="BQ6" s="33">
        <f>股权价值增加表!BQ41</f>
        <v>-0.16536771908441092</v>
      </c>
      <c r="BR6" s="33">
        <f>股权价值增加表!BR41</f>
        <v>-0.19718878491141506</v>
      </c>
      <c r="BS6" s="33">
        <f>股权价值增加表!BS41</f>
        <v>-0.14538903763765762</v>
      </c>
      <c r="BT6" s="33">
        <f>股权价值增加表!BT41</f>
        <v>-0.22787552138347875</v>
      </c>
      <c r="BU6" s="33">
        <f>股权价值增加表!BU41</f>
        <v>-0.17530238721310978</v>
      </c>
    </row>
    <row r="7" spans="1:74" s="33" customFormat="1">
      <c r="A7" s="33" t="s">
        <v>401</v>
      </c>
      <c r="E7" s="33">
        <f>E5*(1-E6)</f>
        <v>5.6415689007731897</v>
      </c>
      <c r="F7" s="33">
        <f t="shared" ref="F7:BQ7" si="55">F5*(1-F6)</f>
        <v>0</v>
      </c>
      <c r="G7" s="33">
        <f t="shared" si="55"/>
        <v>0</v>
      </c>
      <c r="H7" s="33">
        <f t="shared" si="55"/>
        <v>0</v>
      </c>
      <c r="I7" s="33">
        <f t="shared" si="55"/>
        <v>3.9905013715548536</v>
      </c>
      <c r="J7" s="33">
        <f t="shared" si="55"/>
        <v>0</v>
      </c>
      <c r="K7" s="33">
        <f t="shared" si="55"/>
        <v>0</v>
      </c>
      <c r="L7" s="33">
        <f t="shared" si="55"/>
        <v>0</v>
      </c>
      <c r="M7" s="33">
        <f t="shared" si="55"/>
        <v>0</v>
      </c>
      <c r="N7" s="33">
        <f t="shared" si="55"/>
        <v>0</v>
      </c>
      <c r="O7" s="33">
        <f t="shared" si="55"/>
        <v>0</v>
      </c>
      <c r="P7" s="33">
        <f t="shared" si="55"/>
        <v>0</v>
      </c>
      <c r="Q7" s="33">
        <f t="shared" si="55"/>
        <v>0</v>
      </c>
      <c r="R7" s="33">
        <f t="shared" si="55"/>
        <v>0</v>
      </c>
      <c r="S7" s="33">
        <f t="shared" si="55"/>
        <v>0</v>
      </c>
      <c r="T7" s="33">
        <f t="shared" si="55"/>
        <v>0</v>
      </c>
      <c r="U7" s="33">
        <f t="shared" si="55"/>
        <v>0</v>
      </c>
      <c r="V7" s="33">
        <f t="shared" si="55"/>
        <v>0</v>
      </c>
      <c r="W7" s="33">
        <f t="shared" si="55"/>
        <v>0</v>
      </c>
      <c r="X7" s="33">
        <f t="shared" si="55"/>
        <v>0</v>
      </c>
      <c r="Y7" s="33">
        <f t="shared" si="55"/>
        <v>0</v>
      </c>
      <c r="Z7" s="33">
        <f t="shared" si="55"/>
        <v>0</v>
      </c>
      <c r="AA7" s="33">
        <f t="shared" si="55"/>
        <v>0</v>
      </c>
      <c r="AB7" s="33">
        <f t="shared" si="55"/>
        <v>0</v>
      </c>
      <c r="AC7" s="33">
        <f t="shared" si="55"/>
        <v>0</v>
      </c>
      <c r="AD7" s="33">
        <f t="shared" si="55"/>
        <v>0</v>
      </c>
      <c r="AE7" s="33">
        <f t="shared" si="55"/>
        <v>0</v>
      </c>
      <c r="AF7" s="33">
        <f t="shared" si="55"/>
        <v>0</v>
      </c>
      <c r="AG7" s="33">
        <f t="shared" si="55"/>
        <v>0</v>
      </c>
      <c r="AH7" s="33">
        <f t="shared" si="55"/>
        <v>0</v>
      </c>
      <c r="AI7" s="33">
        <f t="shared" si="55"/>
        <v>0</v>
      </c>
      <c r="AJ7" s="33">
        <f t="shared" si="55"/>
        <v>0</v>
      </c>
      <c r="AK7" s="33">
        <f t="shared" si="55"/>
        <v>0</v>
      </c>
      <c r="AL7" s="33">
        <f t="shared" si="55"/>
        <v>0</v>
      </c>
      <c r="AM7" s="33">
        <f t="shared" si="55"/>
        <v>0</v>
      </c>
      <c r="AN7" s="33">
        <f t="shared" si="55"/>
        <v>0</v>
      </c>
      <c r="AO7" s="33">
        <f t="shared" si="55"/>
        <v>0</v>
      </c>
      <c r="AP7" s="33">
        <f t="shared" si="55"/>
        <v>0</v>
      </c>
      <c r="AQ7" s="33">
        <f t="shared" si="55"/>
        <v>0</v>
      </c>
      <c r="AR7" s="33">
        <f t="shared" si="55"/>
        <v>0</v>
      </c>
      <c r="AS7" s="33">
        <f t="shared" si="55"/>
        <v>0</v>
      </c>
      <c r="AT7" s="33">
        <f t="shared" si="55"/>
        <v>0</v>
      </c>
      <c r="AU7" s="33">
        <f t="shared" si="55"/>
        <v>0</v>
      </c>
      <c r="AV7" s="33">
        <f t="shared" si="55"/>
        <v>0</v>
      </c>
      <c r="AW7" s="33">
        <f t="shared" si="55"/>
        <v>0</v>
      </c>
      <c r="AX7" s="33">
        <f t="shared" si="55"/>
        <v>0</v>
      </c>
      <c r="AY7" s="33">
        <f t="shared" si="55"/>
        <v>0</v>
      </c>
      <c r="AZ7" s="33">
        <f t="shared" si="55"/>
        <v>0</v>
      </c>
      <c r="BA7" s="33">
        <f t="shared" si="55"/>
        <v>0</v>
      </c>
      <c r="BB7" s="33">
        <f t="shared" si="55"/>
        <v>0</v>
      </c>
      <c r="BC7" s="33">
        <f t="shared" si="55"/>
        <v>0</v>
      </c>
      <c r="BD7" s="33">
        <f t="shared" si="55"/>
        <v>0</v>
      </c>
      <c r="BE7" s="33">
        <f t="shared" si="55"/>
        <v>0</v>
      </c>
      <c r="BF7" s="33">
        <f t="shared" si="55"/>
        <v>0</v>
      </c>
      <c r="BG7" s="33">
        <f t="shared" si="55"/>
        <v>0</v>
      </c>
      <c r="BH7" s="33">
        <f t="shared" si="55"/>
        <v>0</v>
      </c>
      <c r="BI7" s="33">
        <f t="shared" si="55"/>
        <v>0</v>
      </c>
      <c r="BJ7" s="33">
        <f t="shared" si="55"/>
        <v>0</v>
      </c>
      <c r="BK7" s="33">
        <f t="shared" si="55"/>
        <v>0</v>
      </c>
      <c r="BL7" s="33">
        <f t="shared" si="55"/>
        <v>0</v>
      </c>
      <c r="BM7" s="33">
        <f t="shared" si="55"/>
        <v>0</v>
      </c>
      <c r="BN7" s="33">
        <f t="shared" si="55"/>
        <v>0</v>
      </c>
      <c r="BO7" s="33">
        <f t="shared" si="55"/>
        <v>0</v>
      </c>
      <c r="BP7" s="33">
        <f t="shared" si="55"/>
        <v>0</v>
      </c>
      <c r="BQ7" s="33">
        <f t="shared" si="55"/>
        <v>0</v>
      </c>
      <c r="BR7" s="33">
        <f t="shared" ref="BR7:BV7" si="56">BR5*(1-BR6)</f>
        <v>0</v>
      </c>
      <c r="BS7" s="33">
        <f t="shared" si="56"/>
        <v>0</v>
      </c>
      <c r="BT7" s="33">
        <f t="shared" si="56"/>
        <v>0</v>
      </c>
      <c r="BU7" s="33">
        <f t="shared" si="56"/>
        <v>0</v>
      </c>
      <c r="BV7" s="33">
        <f t="shared" si="56"/>
        <v>0</v>
      </c>
    </row>
    <row r="8" spans="1:74" s="33" customFormat="1">
      <c r="A8" s="33" t="s">
        <v>402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422</v>
      </c>
      <c r="E9" s="33">
        <f>$E$16</f>
        <v>8</v>
      </c>
      <c r="F9" s="33">
        <f t="shared" ref="F9:BQ9" si="57">$E$16</f>
        <v>8</v>
      </c>
      <c r="G9" s="33">
        <f t="shared" si="57"/>
        <v>8</v>
      </c>
      <c r="H9" s="33">
        <f t="shared" si="57"/>
        <v>8</v>
      </c>
      <c r="I9" s="33">
        <f t="shared" si="57"/>
        <v>8</v>
      </c>
      <c r="J9" s="33">
        <f t="shared" si="57"/>
        <v>8</v>
      </c>
      <c r="K9" s="33">
        <f t="shared" si="57"/>
        <v>8</v>
      </c>
      <c r="L9" s="33">
        <f t="shared" si="57"/>
        <v>8</v>
      </c>
      <c r="M9" s="33">
        <f t="shared" si="57"/>
        <v>8</v>
      </c>
      <c r="N9" s="33">
        <f t="shared" si="57"/>
        <v>8</v>
      </c>
      <c r="O9" s="33">
        <f t="shared" si="57"/>
        <v>8</v>
      </c>
      <c r="P9" s="33">
        <f t="shared" si="57"/>
        <v>8</v>
      </c>
      <c r="Q9" s="33">
        <f t="shared" si="57"/>
        <v>8</v>
      </c>
      <c r="R9" s="33">
        <f t="shared" si="57"/>
        <v>8</v>
      </c>
      <c r="S9" s="33">
        <f t="shared" si="57"/>
        <v>8</v>
      </c>
      <c r="T9" s="33">
        <f t="shared" si="57"/>
        <v>8</v>
      </c>
      <c r="U9" s="33">
        <f t="shared" si="57"/>
        <v>8</v>
      </c>
      <c r="V9" s="33">
        <f t="shared" si="57"/>
        <v>8</v>
      </c>
      <c r="W9" s="33">
        <f t="shared" si="57"/>
        <v>8</v>
      </c>
      <c r="X9" s="33">
        <f t="shared" si="57"/>
        <v>8</v>
      </c>
      <c r="Y9" s="33">
        <f t="shared" si="57"/>
        <v>8</v>
      </c>
      <c r="Z9" s="33">
        <f t="shared" si="57"/>
        <v>8</v>
      </c>
      <c r="AA9" s="33">
        <f t="shared" si="57"/>
        <v>8</v>
      </c>
      <c r="AB9" s="33">
        <f t="shared" si="57"/>
        <v>8</v>
      </c>
      <c r="AC9" s="33">
        <f t="shared" si="57"/>
        <v>8</v>
      </c>
      <c r="AD9" s="33">
        <f t="shared" si="57"/>
        <v>8</v>
      </c>
      <c r="AE9" s="33">
        <f t="shared" si="57"/>
        <v>8</v>
      </c>
      <c r="AF9" s="33">
        <f t="shared" si="57"/>
        <v>8</v>
      </c>
      <c r="AG9" s="33">
        <f t="shared" si="57"/>
        <v>8</v>
      </c>
      <c r="AH9" s="33">
        <f t="shared" si="57"/>
        <v>8</v>
      </c>
      <c r="AI9" s="33">
        <f t="shared" si="57"/>
        <v>8</v>
      </c>
      <c r="AJ9" s="33">
        <f t="shared" si="57"/>
        <v>8</v>
      </c>
      <c r="AK9" s="33">
        <f t="shared" si="57"/>
        <v>8</v>
      </c>
      <c r="AL9" s="33">
        <f t="shared" si="57"/>
        <v>8</v>
      </c>
      <c r="AM9" s="33">
        <f t="shared" si="57"/>
        <v>8</v>
      </c>
      <c r="AN9" s="33">
        <f t="shared" si="57"/>
        <v>8</v>
      </c>
      <c r="AO9" s="33">
        <f t="shared" si="57"/>
        <v>8</v>
      </c>
      <c r="AP9" s="33">
        <f t="shared" si="57"/>
        <v>8</v>
      </c>
      <c r="AQ9" s="33">
        <f t="shared" si="57"/>
        <v>8</v>
      </c>
      <c r="AR9" s="33">
        <f t="shared" si="57"/>
        <v>8</v>
      </c>
      <c r="AS9" s="33">
        <f t="shared" si="57"/>
        <v>8</v>
      </c>
      <c r="AT9" s="33">
        <f t="shared" si="57"/>
        <v>8</v>
      </c>
      <c r="AU9" s="33">
        <f t="shared" si="57"/>
        <v>8</v>
      </c>
      <c r="AV9" s="33">
        <f t="shared" si="57"/>
        <v>8</v>
      </c>
      <c r="AW9" s="33">
        <f t="shared" si="57"/>
        <v>8</v>
      </c>
      <c r="AX9" s="33">
        <f t="shared" si="57"/>
        <v>8</v>
      </c>
      <c r="AY9" s="33">
        <f t="shared" si="57"/>
        <v>8</v>
      </c>
      <c r="AZ9" s="33">
        <f t="shared" si="57"/>
        <v>8</v>
      </c>
      <c r="BA9" s="33">
        <f t="shared" si="57"/>
        <v>8</v>
      </c>
      <c r="BB9" s="33">
        <f t="shared" si="57"/>
        <v>8</v>
      </c>
      <c r="BC9" s="33">
        <f t="shared" si="57"/>
        <v>8</v>
      </c>
      <c r="BD9" s="33">
        <f t="shared" si="57"/>
        <v>8</v>
      </c>
      <c r="BE9" s="33">
        <f t="shared" si="57"/>
        <v>8</v>
      </c>
      <c r="BF9" s="33">
        <f t="shared" si="57"/>
        <v>8</v>
      </c>
      <c r="BG9" s="33">
        <f t="shared" si="57"/>
        <v>8</v>
      </c>
      <c r="BH9" s="33">
        <f t="shared" si="57"/>
        <v>8</v>
      </c>
      <c r="BI9" s="33">
        <f t="shared" si="57"/>
        <v>8</v>
      </c>
      <c r="BJ9" s="33">
        <f t="shared" si="57"/>
        <v>8</v>
      </c>
      <c r="BK9" s="33">
        <f t="shared" si="57"/>
        <v>8</v>
      </c>
      <c r="BL9" s="33">
        <f t="shared" si="57"/>
        <v>8</v>
      </c>
      <c r="BM9" s="33">
        <f t="shared" si="57"/>
        <v>8</v>
      </c>
      <c r="BN9" s="33">
        <f t="shared" si="57"/>
        <v>8</v>
      </c>
      <c r="BO9" s="33">
        <f t="shared" si="57"/>
        <v>8</v>
      </c>
      <c r="BP9" s="33">
        <f t="shared" si="57"/>
        <v>8</v>
      </c>
      <c r="BQ9" s="33">
        <f t="shared" si="57"/>
        <v>8</v>
      </c>
      <c r="BR9" s="33">
        <f t="shared" ref="BR9:BV9" si="58">$E$16</f>
        <v>8</v>
      </c>
      <c r="BS9" s="33">
        <f t="shared" si="58"/>
        <v>8</v>
      </c>
      <c r="BT9" s="33">
        <f t="shared" si="58"/>
        <v>8</v>
      </c>
      <c r="BU9" s="33">
        <f t="shared" si="58"/>
        <v>8</v>
      </c>
      <c r="BV9" s="33">
        <f t="shared" si="58"/>
        <v>8</v>
      </c>
    </row>
    <row r="10" spans="1:74" s="33" customFormat="1">
      <c r="A10" s="33" t="s">
        <v>403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424</v>
      </c>
      <c r="E11" s="33">
        <f>E4/E10*100</f>
        <v>0.28472521190164413</v>
      </c>
      <c r="F11" s="33">
        <f t="shared" ref="F11:BQ11" si="59">F4/F10*100</f>
        <v>0.29646020373596965</v>
      </c>
      <c r="G11" s="33">
        <f t="shared" si="59"/>
        <v>0.25648585879705238</v>
      </c>
      <c r="H11" s="33">
        <f t="shared" si="59"/>
        <v>0.25882686769125535</v>
      </c>
      <c r="I11" s="33">
        <f t="shared" si="59"/>
        <v>0.2700911438659212</v>
      </c>
      <c r="J11" s="33">
        <f t="shared" si="59"/>
        <v>0.43792214765143062</v>
      </c>
      <c r="K11" s="33">
        <f t="shared" si="59"/>
        <v>0.35864968104822537</v>
      </c>
      <c r="L11" s="33">
        <f t="shared" si="59"/>
        <v>0.4140098164916296</v>
      </c>
      <c r="M11" s="33">
        <f t="shared" si="59"/>
        <v>0.48704428719505549</v>
      </c>
      <c r="N11" s="33">
        <f t="shared" si="59"/>
        <v>0.51397692649996052</v>
      </c>
      <c r="O11" s="33">
        <f t="shared" si="59"/>
        <v>1.1804322134610044</v>
      </c>
      <c r="P11" s="33">
        <f t="shared" si="59"/>
        <v>15.473566325434419</v>
      </c>
      <c r="Q11" s="33">
        <f t="shared" si="59"/>
        <v>15.688457631081187</v>
      </c>
      <c r="R11" s="33">
        <f t="shared" si="59"/>
        <v>17.105316121236839</v>
      </c>
      <c r="S11" s="33">
        <f t="shared" si="59"/>
        <v>16.450740833538948</v>
      </c>
      <c r="T11" s="33">
        <f t="shared" si="59"/>
        <v>17.334484470932647</v>
      </c>
      <c r="U11" s="33">
        <f t="shared" si="59"/>
        <v>17.729658858205607</v>
      </c>
      <c r="V11" s="33">
        <f t="shared" si="59"/>
        <v>21.183255446223853</v>
      </c>
      <c r="W11" s="33">
        <f t="shared" si="59"/>
        <v>21.191183321201422</v>
      </c>
      <c r="X11" s="33">
        <f t="shared" si="59"/>
        <v>22.488938161230099</v>
      </c>
      <c r="Y11" s="33">
        <f t="shared" si="59"/>
        <v>33.309718509422844</v>
      </c>
      <c r="Z11" s="33">
        <f t="shared" si="59"/>
        <v>23.339393281680294</v>
      </c>
      <c r="AA11" s="33">
        <f t="shared" si="59"/>
        <v>3.5366798694587498</v>
      </c>
      <c r="AB11" s="33">
        <f t="shared" si="59"/>
        <v>3.677853014835037</v>
      </c>
      <c r="AC11" s="33">
        <f t="shared" si="59"/>
        <v>20.124693173017498</v>
      </c>
      <c r="AD11" s="33">
        <f t="shared" si="59"/>
        <v>3.9044135999471679</v>
      </c>
      <c r="AE11" s="33">
        <f t="shared" si="59"/>
        <v>4.777950728341434</v>
      </c>
      <c r="AF11" s="33">
        <f t="shared" si="59"/>
        <v>3.7055768228034989</v>
      </c>
      <c r="AG11" s="33">
        <f t="shared" si="59"/>
        <v>3.9031945889957704</v>
      </c>
      <c r="AH11" s="33">
        <f t="shared" si="59"/>
        <v>4.8806696371697429</v>
      </c>
      <c r="AI11" s="33">
        <f t="shared" si="59"/>
        <v>5.8746127200959357</v>
      </c>
      <c r="AJ11" s="33">
        <f t="shared" si="59"/>
        <v>7.7685118190797073</v>
      </c>
      <c r="AK11" s="33">
        <f t="shared" si="59"/>
        <v>8.331452264648167</v>
      </c>
      <c r="AL11" s="33">
        <f t="shared" si="59"/>
        <v>8.3576786940402101</v>
      </c>
      <c r="AM11" s="33">
        <f t="shared" si="59"/>
        <v>4.0455565153777098</v>
      </c>
      <c r="AN11" s="33">
        <f t="shared" si="59"/>
        <v>5.005891699650566</v>
      </c>
      <c r="AO11" s="33">
        <f t="shared" si="59"/>
        <v>5.5145767372614083</v>
      </c>
      <c r="AP11" s="33">
        <f t="shared" si="59"/>
        <v>5.209137850374308</v>
      </c>
      <c r="AQ11" s="33">
        <f t="shared" si="59"/>
        <v>6.1880353561187249</v>
      </c>
      <c r="AR11" s="33">
        <f t="shared" si="59"/>
        <v>6.0127964229920305</v>
      </c>
      <c r="AS11" s="33">
        <f t="shared" si="59"/>
        <v>6.2577592824773403</v>
      </c>
      <c r="AT11" s="33">
        <f t="shared" si="59"/>
        <v>5.7523750443930863</v>
      </c>
      <c r="AU11" s="33">
        <f t="shared" si="59"/>
        <v>6.1213331515527738</v>
      </c>
      <c r="AV11" s="33">
        <f t="shared" si="59"/>
        <v>6.8664044700329887</v>
      </c>
      <c r="AW11" s="33">
        <f t="shared" si="59"/>
        <v>6.8779102545097279</v>
      </c>
      <c r="AX11" s="33">
        <f t="shared" si="59"/>
        <v>7.7370718636338074</v>
      </c>
      <c r="AY11" s="33">
        <f t="shared" si="59"/>
        <v>8.7943100840678436</v>
      </c>
      <c r="AZ11" s="33">
        <f t="shared" si="59"/>
        <v>9.8802687881333231</v>
      </c>
      <c r="BA11" s="33">
        <f t="shared" si="59"/>
        <v>11.173257043635823</v>
      </c>
      <c r="BB11" s="33">
        <f t="shared" si="59"/>
        <v>11.031957668946852</v>
      </c>
      <c r="BC11" s="33">
        <f t="shared" si="59"/>
        <v>11.609776330093887</v>
      </c>
      <c r="BD11" s="33">
        <f t="shared" si="59"/>
        <v>12.840957567747328</v>
      </c>
      <c r="BE11" s="33">
        <f t="shared" si="59"/>
        <v>12.561841980859374</v>
      </c>
      <c r="BF11" s="33">
        <f t="shared" si="59"/>
        <v>12.075485930840085</v>
      </c>
      <c r="BG11" s="33">
        <f t="shared" si="59"/>
        <v>13.323741996390032</v>
      </c>
      <c r="BH11" s="33">
        <f t="shared" si="59"/>
        <v>14.701088983340297</v>
      </c>
      <c r="BI11" s="33">
        <f t="shared" si="59"/>
        <v>15.434445720187265</v>
      </c>
      <c r="BJ11" s="33">
        <f t="shared" si="59"/>
        <v>16.74973989323011</v>
      </c>
      <c r="BK11" s="33">
        <f t="shared" si="59"/>
        <v>22.708585711404538</v>
      </c>
      <c r="BL11" s="33">
        <f t="shared" si="59"/>
        <v>24.916610783816065</v>
      </c>
      <c r="BM11" s="33">
        <f t="shared" si="59"/>
        <v>24.739818491677553</v>
      </c>
      <c r="BN11" s="33">
        <f t="shared" si="59"/>
        <v>22.993723898134956</v>
      </c>
      <c r="BO11" s="33">
        <f t="shared" si="59"/>
        <v>22.188998627456588</v>
      </c>
      <c r="BP11" s="33">
        <f t="shared" si="59"/>
        <v>22.21475821880161</v>
      </c>
      <c r="BQ11" s="33">
        <f t="shared" si="59"/>
        <v>21.22869222902224</v>
      </c>
      <c r="BR11" s="33">
        <f t="shared" ref="BR11:BV11" si="60">BR4/BR10*100</f>
        <v>20.464938234437511</v>
      </c>
      <c r="BS11" s="33">
        <f t="shared" si="60"/>
        <v>18.379999204548891</v>
      </c>
      <c r="BT11" s="33">
        <f t="shared" si="60"/>
        <v>18.312470931081528</v>
      </c>
      <c r="BU11" s="33">
        <f t="shared" si="60"/>
        <v>18.485312485454852</v>
      </c>
      <c r="BV11" s="33" t="e">
        <f t="shared" si="60"/>
        <v>#DIV/0!</v>
      </c>
    </row>
    <row r="12" spans="1:74" s="33" customFormat="1">
      <c r="A12" s="33" t="s">
        <v>425</v>
      </c>
      <c r="E12" s="33">
        <f>E8/E10*100</f>
        <v>99.708293054988545</v>
      </c>
      <c r="F12" s="33">
        <f t="shared" ref="F12:BQ12" si="61">F8/F10*100</f>
        <v>98.769657388480198</v>
      </c>
      <c r="G12" s="33">
        <f t="shared" si="61"/>
        <v>93.441075173630622</v>
      </c>
      <c r="H12" s="33">
        <f t="shared" si="61"/>
        <v>99.730447247103896</v>
      </c>
      <c r="I12" s="33">
        <f t="shared" si="61"/>
        <v>99.718813215377239</v>
      </c>
      <c r="J12" s="33">
        <f t="shared" si="61"/>
        <v>98.347742529452034</v>
      </c>
      <c r="K12" s="33">
        <f t="shared" si="61"/>
        <v>92.677303146421508</v>
      </c>
      <c r="L12" s="33">
        <f t="shared" si="61"/>
        <v>99.574139478565201</v>
      </c>
      <c r="M12" s="33">
        <f t="shared" si="61"/>
        <v>99.500718787667552</v>
      </c>
      <c r="N12" s="33">
        <f t="shared" si="61"/>
        <v>98.870354886640442</v>
      </c>
      <c r="O12" s="33">
        <f t="shared" si="61"/>
        <v>90.281707300545975</v>
      </c>
      <c r="P12" s="33">
        <f t="shared" si="61"/>
        <v>84.522144599950039</v>
      </c>
      <c r="Q12" s="33">
        <f t="shared" si="61"/>
        <v>84.304767319848267</v>
      </c>
      <c r="R12" s="33">
        <f t="shared" si="61"/>
        <v>82.071774740635533</v>
      </c>
      <c r="S12" s="33">
        <f t="shared" si="61"/>
        <v>73.327926910018633</v>
      </c>
      <c r="T12" s="33">
        <f t="shared" si="61"/>
        <v>82.316594755354728</v>
      </c>
      <c r="U12" s="33">
        <f t="shared" si="61"/>
        <v>81.900215934873998</v>
      </c>
      <c r="V12" s="33">
        <f t="shared" si="61"/>
        <v>78.26632716341831</v>
      </c>
      <c r="W12" s="33">
        <f t="shared" si="61"/>
        <v>71.308842352125339</v>
      </c>
      <c r="X12" s="33">
        <f t="shared" si="61"/>
        <v>77.492348921987215</v>
      </c>
      <c r="Y12" s="33">
        <f t="shared" si="61"/>
        <v>66.673689862514735</v>
      </c>
      <c r="Z12" s="33">
        <f t="shared" si="61"/>
        <v>75.922086069156052</v>
      </c>
      <c r="AA12" s="33">
        <f t="shared" si="61"/>
        <v>88.474981932621716</v>
      </c>
      <c r="AB12" s="33">
        <f t="shared" si="61"/>
        <v>96.310582657627805</v>
      </c>
      <c r="AC12" s="33">
        <f t="shared" si="61"/>
        <v>79.863839218743749</v>
      </c>
      <c r="AD12" s="33">
        <f t="shared" si="61"/>
        <v>96.018894750654795</v>
      </c>
      <c r="AE12" s="33">
        <f t="shared" si="61"/>
        <v>91.96288452359461</v>
      </c>
      <c r="AF12" s="33">
        <f t="shared" si="61"/>
        <v>96.281983050113126</v>
      </c>
      <c r="AG12" s="33">
        <f t="shared" si="61"/>
        <v>96.081516335756234</v>
      </c>
      <c r="AH12" s="33">
        <f t="shared" si="61"/>
        <v>94.215133870050437</v>
      </c>
      <c r="AI12" s="33">
        <f t="shared" si="61"/>
        <v>90.474834712306489</v>
      </c>
      <c r="AJ12" s="33">
        <f t="shared" si="61"/>
        <v>91.901801783538133</v>
      </c>
      <c r="AK12" s="33">
        <f t="shared" si="61"/>
        <v>91.32706554679288</v>
      </c>
      <c r="AL12" s="33">
        <f t="shared" si="61"/>
        <v>90.204710614649343</v>
      </c>
      <c r="AM12" s="33">
        <f t="shared" si="61"/>
        <v>90.024066491338459</v>
      </c>
      <c r="AN12" s="33">
        <f t="shared" si="61"/>
        <v>94.042574592357099</v>
      </c>
      <c r="AO12" s="33">
        <f t="shared" si="61"/>
        <v>93.504140708611232</v>
      </c>
      <c r="AP12" s="33">
        <f t="shared" si="61"/>
        <v>93.47629032295545</v>
      </c>
      <c r="AQ12" s="33">
        <f t="shared" si="61"/>
        <v>88.143466648141811</v>
      </c>
      <c r="AR12" s="33">
        <f t="shared" si="61"/>
        <v>93.298764486335074</v>
      </c>
      <c r="AS12" s="33">
        <f t="shared" si="61"/>
        <v>93.014266534246332</v>
      </c>
      <c r="AT12" s="33">
        <f t="shared" si="61"/>
        <v>93.334967043958514</v>
      </c>
      <c r="AU12" s="33">
        <f t="shared" si="61"/>
        <v>88.539326215365605</v>
      </c>
      <c r="AV12" s="33">
        <f t="shared" si="61"/>
        <v>92.539046643679512</v>
      </c>
      <c r="AW12" s="33">
        <f t="shared" si="61"/>
        <v>92.485261270563868</v>
      </c>
      <c r="AX12" s="33">
        <f t="shared" si="61"/>
        <v>89.017941858558871</v>
      </c>
      <c r="AY12" s="33">
        <f t="shared" si="61"/>
        <v>85.917050544129154</v>
      </c>
      <c r="AZ12" s="33">
        <f t="shared" si="61"/>
        <v>87.25216295068337</v>
      </c>
      <c r="BA12" s="33">
        <f t="shared" si="61"/>
        <v>88.687663794366784</v>
      </c>
      <c r="BB12" s="33">
        <f t="shared" si="61"/>
        <v>88.534997070540385</v>
      </c>
      <c r="BC12" s="33">
        <f t="shared" si="61"/>
        <v>84.641759395018141</v>
      </c>
      <c r="BD12" s="33">
        <f t="shared" si="61"/>
        <v>86.695229130248691</v>
      </c>
      <c r="BE12" s="33">
        <f t="shared" si="61"/>
        <v>87.154622953633378</v>
      </c>
      <c r="BF12" s="33">
        <f t="shared" si="61"/>
        <v>87.308039545987057</v>
      </c>
      <c r="BG12" s="33">
        <f t="shared" si="61"/>
        <v>82.39262008832398</v>
      </c>
      <c r="BH12" s="33">
        <f t="shared" si="61"/>
        <v>84.618343008842913</v>
      </c>
      <c r="BI12" s="33">
        <f t="shared" si="61"/>
        <v>84.346880787673996</v>
      </c>
      <c r="BJ12" s="33">
        <f t="shared" si="61"/>
        <v>79.893784411262573</v>
      </c>
      <c r="BK12" s="33">
        <f t="shared" si="61"/>
        <v>71.30306788618438</v>
      </c>
      <c r="BL12" s="33">
        <f t="shared" si="61"/>
        <v>72.018267768886744</v>
      </c>
      <c r="BM12" s="33">
        <f t="shared" si="61"/>
        <v>74.789058252381551</v>
      </c>
      <c r="BN12" s="33">
        <f t="shared" si="61"/>
        <v>74.615045136163644</v>
      </c>
      <c r="BO12" s="33">
        <f t="shared" si="61"/>
        <v>71.108661969795008</v>
      </c>
      <c r="BP12" s="33">
        <f t="shared" si="61"/>
        <v>75.28338592154843</v>
      </c>
      <c r="BQ12" s="33">
        <f t="shared" si="61"/>
        <v>76.906466710098684</v>
      </c>
      <c r="BR12" s="33">
        <f t="shared" ref="BR12:BV12" si="62">BR8/BR10*100</f>
        <v>74.206430196576321</v>
      </c>
      <c r="BS12" s="33">
        <f t="shared" si="62"/>
        <v>77.128051768173606</v>
      </c>
      <c r="BT12" s="33">
        <f t="shared" si="62"/>
        <v>73.966754359113239</v>
      </c>
      <c r="BU12" s="33">
        <f t="shared" si="62"/>
        <v>76.446494915876698</v>
      </c>
      <c r="BV12" s="33" t="e">
        <f t="shared" si="62"/>
        <v>#DIV/0!</v>
      </c>
    </row>
    <row r="13" spans="1:74" s="33" customFormat="1">
      <c r="A13" s="33" t="s">
        <v>426</v>
      </c>
      <c r="E13" s="33">
        <f>E4/E10*E7+E8/E10*E9</f>
        <v>7.9927264134063867</v>
      </c>
      <c r="F13" s="33">
        <f t="shared" ref="F13:BQ13" si="63">F4/F10*F7+F8/F10*F9</f>
        <v>7.9015725910784163</v>
      </c>
      <c r="G13" s="33">
        <f t="shared" si="63"/>
        <v>7.4752860138904502</v>
      </c>
      <c r="H13" s="33">
        <f t="shared" si="63"/>
        <v>7.9784357797683114</v>
      </c>
      <c r="I13" s="33">
        <f t="shared" si="63"/>
        <v>7.9882830480305964</v>
      </c>
      <c r="J13" s="33">
        <f t="shared" si="63"/>
        <v>7.8678194023561625</v>
      </c>
      <c r="K13" s="33">
        <f t="shared" si="63"/>
        <v>7.4141842517137206</v>
      </c>
      <c r="L13" s="33">
        <f t="shared" si="63"/>
        <v>7.9659311582852164</v>
      </c>
      <c r="M13" s="33">
        <f t="shared" si="63"/>
        <v>7.9600575030134042</v>
      </c>
      <c r="N13" s="33">
        <f t="shared" si="63"/>
        <v>7.9096283909312355</v>
      </c>
      <c r="O13" s="33">
        <f t="shared" si="63"/>
        <v>7.2225365840436782</v>
      </c>
      <c r="P13" s="33">
        <f t="shared" si="63"/>
        <v>6.7617715679960027</v>
      </c>
      <c r="Q13" s="33">
        <f t="shared" si="63"/>
        <v>6.7443813855878618</v>
      </c>
      <c r="R13" s="33">
        <f t="shared" si="63"/>
        <v>6.5657419792508422</v>
      </c>
      <c r="S13" s="33">
        <f t="shared" si="63"/>
        <v>5.866234152801491</v>
      </c>
      <c r="T13" s="33">
        <f t="shared" si="63"/>
        <v>6.5853275804283777</v>
      </c>
      <c r="U13" s="33">
        <f t="shared" si="63"/>
        <v>6.5520172747899199</v>
      </c>
      <c r="V13" s="33">
        <f t="shared" si="63"/>
        <v>6.2613061730734643</v>
      </c>
      <c r="W13" s="33">
        <f t="shared" si="63"/>
        <v>5.7047073881700268</v>
      </c>
      <c r="X13" s="33">
        <f t="shared" si="63"/>
        <v>6.1993879137589767</v>
      </c>
      <c r="Y13" s="33">
        <f t="shared" si="63"/>
        <v>5.3338951890011792</v>
      </c>
      <c r="Z13" s="33">
        <f t="shared" si="63"/>
        <v>6.0737668855324847</v>
      </c>
      <c r="AA13" s="33">
        <f t="shared" si="63"/>
        <v>7.0779985546097377</v>
      </c>
      <c r="AB13" s="33">
        <f t="shared" si="63"/>
        <v>7.7048466126102246</v>
      </c>
      <c r="AC13" s="33">
        <f t="shared" si="63"/>
        <v>6.3891071374994999</v>
      </c>
      <c r="AD13" s="33">
        <f t="shared" si="63"/>
        <v>7.6815115800523834</v>
      </c>
      <c r="AE13" s="33">
        <f t="shared" si="63"/>
        <v>7.357030761887569</v>
      </c>
      <c r="AF13" s="33">
        <f t="shared" si="63"/>
        <v>7.7025586440090503</v>
      </c>
      <c r="AG13" s="33">
        <f t="shared" si="63"/>
        <v>7.6865213068604987</v>
      </c>
      <c r="AH13" s="33">
        <f t="shared" si="63"/>
        <v>7.5372107096040351</v>
      </c>
      <c r="AI13" s="33">
        <f t="shared" si="63"/>
        <v>7.2379867769845188</v>
      </c>
      <c r="AJ13" s="33">
        <f t="shared" si="63"/>
        <v>7.3521441426830503</v>
      </c>
      <c r="AK13" s="33">
        <f t="shared" si="63"/>
        <v>7.3061652437434308</v>
      </c>
      <c r="AL13" s="33">
        <f t="shared" si="63"/>
        <v>7.2163768491719473</v>
      </c>
      <c r="AM13" s="33">
        <f t="shared" si="63"/>
        <v>7.2019253193070769</v>
      </c>
      <c r="AN13" s="33">
        <f t="shared" si="63"/>
        <v>7.5234059673885678</v>
      </c>
      <c r="AO13" s="33">
        <f t="shared" si="63"/>
        <v>7.4803312566888991</v>
      </c>
      <c r="AP13" s="33">
        <f t="shared" si="63"/>
        <v>7.4781032258364357</v>
      </c>
      <c r="AQ13" s="33">
        <f t="shared" si="63"/>
        <v>7.0514773318513448</v>
      </c>
      <c r="AR13" s="33">
        <f t="shared" si="63"/>
        <v>7.4639011589068058</v>
      </c>
      <c r="AS13" s="33">
        <f t="shared" si="63"/>
        <v>7.4411413227397061</v>
      </c>
      <c r="AT13" s="33">
        <f t="shared" si="63"/>
        <v>7.4667973635166813</v>
      </c>
      <c r="AU13" s="33">
        <f t="shared" si="63"/>
        <v>7.0831460972292488</v>
      </c>
      <c r="AV13" s="33">
        <f t="shared" si="63"/>
        <v>7.403123731494361</v>
      </c>
      <c r="AW13" s="33">
        <f t="shared" si="63"/>
        <v>7.3988209016451094</v>
      </c>
      <c r="AX13" s="33">
        <f t="shared" si="63"/>
        <v>7.1214353486847095</v>
      </c>
      <c r="AY13" s="33">
        <f t="shared" si="63"/>
        <v>6.8733640435303318</v>
      </c>
      <c r="AZ13" s="33">
        <f t="shared" si="63"/>
        <v>6.9801730360546701</v>
      </c>
      <c r="BA13" s="33">
        <f t="shared" si="63"/>
        <v>7.0950131035493422</v>
      </c>
      <c r="BB13" s="33">
        <f t="shared" si="63"/>
        <v>7.0827997656432311</v>
      </c>
      <c r="BC13" s="33">
        <f t="shared" si="63"/>
        <v>6.7713407516014508</v>
      </c>
      <c r="BD13" s="33">
        <f t="shared" si="63"/>
        <v>6.9356183304198957</v>
      </c>
      <c r="BE13" s="33">
        <f t="shared" si="63"/>
        <v>6.9723698362906701</v>
      </c>
      <c r="BF13" s="33">
        <f t="shared" si="63"/>
        <v>6.9846431636789648</v>
      </c>
      <c r="BG13" s="33">
        <f t="shared" si="63"/>
        <v>6.5914096070659181</v>
      </c>
      <c r="BH13" s="33">
        <f t="shared" si="63"/>
        <v>6.7694674407074329</v>
      </c>
      <c r="BI13" s="33">
        <f t="shared" si="63"/>
        <v>6.7477504630139196</v>
      </c>
      <c r="BJ13" s="33">
        <f t="shared" si="63"/>
        <v>6.3915027529010056</v>
      </c>
      <c r="BK13" s="33">
        <f t="shared" si="63"/>
        <v>5.7042454308947503</v>
      </c>
      <c r="BL13" s="33">
        <f t="shared" si="63"/>
        <v>5.7614614215109397</v>
      </c>
      <c r="BM13" s="33">
        <f t="shared" si="63"/>
        <v>5.9831246601905237</v>
      </c>
      <c r="BN13" s="33">
        <f t="shared" si="63"/>
        <v>5.969203610893091</v>
      </c>
      <c r="BO13" s="33">
        <f t="shared" si="63"/>
        <v>5.6886929575836005</v>
      </c>
      <c r="BP13" s="33">
        <f t="shared" si="63"/>
        <v>6.0226708737238743</v>
      </c>
      <c r="BQ13" s="33">
        <f t="shared" si="63"/>
        <v>6.1525173368078949</v>
      </c>
      <c r="BR13" s="33">
        <f t="shared" ref="BR13:BU13" si="64">BR4/BR10*BR7+BR8/BR10*BR9</f>
        <v>5.9365144157261058</v>
      </c>
      <c r="BS13" s="33">
        <f t="shared" si="64"/>
        <v>6.170244141453888</v>
      </c>
      <c r="BT13" s="33">
        <f t="shared" si="64"/>
        <v>5.9173403487290592</v>
      </c>
      <c r="BU13" s="33">
        <f t="shared" si="64"/>
        <v>6.1157195932701356</v>
      </c>
    </row>
    <row r="16" spans="1:74" s="54" customFormat="1">
      <c r="A16" s="55" t="s">
        <v>405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tabSelected="1" workbookViewId="0">
      <selection activeCell="M25" sqref="M25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406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407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408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409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410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411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412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413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414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415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416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420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417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418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419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421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"/>
  <sheetViews>
    <sheetView workbookViewId="0">
      <selection activeCell="R24" sqref="R24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"/>
  <sheetViews>
    <sheetView workbookViewId="0">
      <selection activeCell="T20" sqref="T20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R22" sqref="R2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2018-12-10T09:57:05Z</dcterms:modified>
</cp:coreProperties>
</file>