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activeTab="4"/>
  </bookViews>
  <sheets>
    <sheet name="资产负债表" sheetId="1" r:id="rId1"/>
    <sheet name="利润表" sheetId="2" r:id="rId2"/>
    <sheet name="现金流量表" sheetId="3" r:id="rId3"/>
    <sheet name="财务报表摘要" sheetId="4" r:id="rId4"/>
    <sheet name="资产资本表" sheetId="5" r:id="rId5"/>
  </sheets>
  <functionGroups builtInGroupCount="17"/>
  <calcPr calcId="144525"/>
</workbook>
</file>

<file path=xl/calcChain.xml><?xml version="1.0" encoding="utf-8"?>
<calcChain xmlns="http://schemas.openxmlformats.org/spreadsheetml/2006/main">
  <c r="B108" i="5" l="1"/>
  <c r="C107" i="5"/>
  <c r="D107" i="5"/>
  <c r="E107" i="5"/>
  <c r="F107" i="5"/>
  <c r="G107" i="5"/>
  <c r="H107" i="5"/>
  <c r="I107" i="5"/>
  <c r="J107" i="5"/>
  <c r="K107" i="5"/>
  <c r="L107" i="5"/>
  <c r="M107" i="5"/>
  <c r="B107" i="5"/>
  <c r="E70" i="5"/>
  <c r="F70" i="5"/>
  <c r="G70" i="5"/>
  <c r="H70" i="5"/>
  <c r="I70" i="5"/>
  <c r="J70" i="5"/>
  <c r="K70" i="5"/>
  <c r="L70" i="5"/>
  <c r="M70" i="5"/>
  <c r="E69" i="5"/>
  <c r="F69" i="5"/>
  <c r="G69" i="5"/>
  <c r="H69" i="5"/>
  <c r="I69" i="5"/>
  <c r="J69" i="5"/>
  <c r="K69" i="5"/>
  <c r="L69" i="5"/>
  <c r="M69" i="5"/>
  <c r="C68" i="5"/>
  <c r="D68" i="5"/>
  <c r="E68" i="5"/>
  <c r="F68" i="5"/>
  <c r="G68" i="5"/>
  <c r="H68" i="5"/>
  <c r="I68" i="5"/>
  <c r="J68" i="5"/>
  <c r="K68" i="5"/>
  <c r="L68" i="5"/>
  <c r="M68" i="5"/>
  <c r="B68" i="5"/>
  <c r="C50" i="5"/>
  <c r="C69" i="5" s="1"/>
  <c r="C70" i="5" s="1"/>
  <c r="E50" i="5"/>
  <c r="F50" i="5"/>
  <c r="G50" i="5"/>
  <c r="H50" i="5"/>
  <c r="I50" i="5"/>
  <c r="J50" i="5"/>
  <c r="K50" i="5"/>
  <c r="L50" i="5"/>
  <c r="M50" i="5"/>
  <c r="B49" i="5"/>
  <c r="B50" i="5" s="1"/>
  <c r="B69" i="5" s="1"/>
  <c r="B70" i="5" s="1"/>
  <c r="C89" i="5"/>
  <c r="D89" i="5"/>
  <c r="E89" i="5"/>
  <c r="F89" i="5"/>
  <c r="G89" i="5"/>
  <c r="H89" i="5"/>
  <c r="I89" i="5"/>
  <c r="J89" i="5"/>
  <c r="K89" i="5"/>
  <c r="L89" i="5"/>
  <c r="B89" i="5"/>
  <c r="C33" i="5"/>
  <c r="D33" i="5"/>
  <c r="E33" i="5"/>
  <c r="F33" i="5"/>
  <c r="G33" i="5"/>
  <c r="H33" i="5"/>
  <c r="I33" i="5"/>
  <c r="J33" i="5"/>
  <c r="K33" i="5"/>
  <c r="L33" i="5"/>
  <c r="B33" i="5"/>
  <c r="C49" i="5"/>
  <c r="D49" i="5"/>
  <c r="D50" i="5" s="1"/>
  <c r="D69" i="5" s="1"/>
  <c r="D70" i="5" s="1"/>
  <c r="E49" i="5"/>
  <c r="F49" i="5"/>
  <c r="G49" i="5"/>
  <c r="H49" i="5"/>
  <c r="I49" i="5"/>
  <c r="J49" i="5"/>
  <c r="K49" i="5"/>
  <c r="L49" i="5"/>
  <c r="C17" i="5"/>
  <c r="D17" i="5"/>
  <c r="E17" i="5"/>
  <c r="F17" i="5"/>
  <c r="G17" i="5"/>
  <c r="H17" i="5"/>
  <c r="I17" i="5"/>
  <c r="J17" i="5"/>
  <c r="K17" i="5"/>
  <c r="L17" i="5"/>
  <c r="B17" i="5"/>
  <c r="F108" i="5" l="1"/>
  <c r="K108" i="5"/>
  <c r="C108" i="5"/>
  <c r="G108" i="5"/>
  <c r="L108" i="5"/>
  <c r="D108" i="5"/>
  <c r="J108" i="5"/>
  <c r="I108" i="5"/>
  <c r="H108" i="5"/>
  <c r="E108" i="5"/>
</calcChain>
</file>

<file path=xl/sharedStrings.xml><?xml version="1.0" encoding="utf-8"?>
<sst xmlns="http://schemas.openxmlformats.org/spreadsheetml/2006/main" count="1821" uniqueCount="343">
  <si>
    <t>报告日期</t>
  </si>
  <si>
    <t>营业总收入(万元)</t>
  </si>
  <si>
    <t>营业收入(万元)</t>
  </si>
  <si>
    <t>利息收入(万元)</t>
  </si>
  <si>
    <t>--</t>
  </si>
  <si>
    <t>已赚保费(万元)</t>
  </si>
  <si>
    <t>手续费及佣金收入(万元)</t>
  </si>
  <si>
    <t>房地产销售收入(万元)</t>
  </si>
  <si>
    <t>其他业务收入(万元)</t>
  </si>
  <si>
    <t>营业总成本(万元)</t>
  </si>
  <si>
    <t>营业成本(万元)</t>
  </si>
  <si>
    <t>利息支出(万元)</t>
  </si>
  <si>
    <t>手续费及佣金支出(万元)</t>
  </si>
  <si>
    <t>房地产销售成本(万元)</t>
  </si>
  <si>
    <t>研发费用(万元)</t>
  </si>
  <si>
    <t>退保金(万元)</t>
  </si>
  <si>
    <t>赔付支出净额(万元)</t>
  </si>
  <si>
    <t>提取保险合同准备金净额(万元)</t>
  </si>
  <si>
    <t>保单红利支出(万元)</t>
  </si>
  <si>
    <t>分保费用(万元)</t>
  </si>
  <si>
    <t>其他业务成本(万元)</t>
  </si>
  <si>
    <t>营业税金及附加(万元)</t>
  </si>
  <si>
    <t>销售费用(万元)</t>
  </si>
  <si>
    <t>管理费用(万元)</t>
  </si>
  <si>
    <t>财务费用(万元)</t>
  </si>
  <si>
    <t>资产减值损失(万元)</t>
  </si>
  <si>
    <t>公允价值变动收益(万元)</t>
  </si>
  <si>
    <t>投资收益(万元)</t>
  </si>
  <si>
    <t>对联营企业和合营企业的投资收益(万元)</t>
  </si>
  <si>
    <t>汇兑收益(万元)</t>
  </si>
  <si>
    <t>期货损益(万元)</t>
  </si>
  <si>
    <t>托管收益(万元)</t>
  </si>
  <si>
    <t>补贴收入(万元)</t>
  </si>
  <si>
    <t>其他业务利润(万元)</t>
  </si>
  <si>
    <t>营业利润(万元)</t>
  </si>
  <si>
    <t>营业外收入(万元)</t>
  </si>
  <si>
    <t>营业外支出(万元)</t>
  </si>
  <si>
    <t>非流动资产处置损失(万元)</t>
  </si>
  <si>
    <t>利润总额(万元)</t>
  </si>
  <si>
    <t>所得税费用(万元)</t>
  </si>
  <si>
    <t>未确认投资损失(万元)</t>
  </si>
  <si>
    <t>净利润(万元)</t>
  </si>
  <si>
    <t>归属于母公司所有者的净利润(万元)</t>
  </si>
  <si>
    <t>被合并方在合并前实现净利润(万元)</t>
  </si>
  <si>
    <t>少数股东损益(万元)</t>
  </si>
  <si>
    <t>基本每股收益</t>
  </si>
  <si>
    <t>稀释每股收益</t>
  </si>
  <si>
    <t>货币资金(万元)</t>
  </si>
  <si>
    <t>结算备付金(万元)</t>
  </si>
  <si>
    <t>拆出资金(万元)</t>
  </si>
  <si>
    <t>交易性金融资产(万元)</t>
  </si>
  <si>
    <t>衍生金融资产(万元)</t>
  </si>
  <si>
    <t>应收票据(万元)</t>
  </si>
  <si>
    <t>应收账款(万元)</t>
  </si>
  <si>
    <t>预付款项(万元)</t>
  </si>
  <si>
    <t>应收保费(万元)</t>
  </si>
  <si>
    <t>应收分保账款(万元)</t>
  </si>
  <si>
    <t>应收分保合同准备金(万元)</t>
  </si>
  <si>
    <t>应收利息(万元)</t>
  </si>
  <si>
    <t>应收股利(万元)</t>
  </si>
  <si>
    <t>其他应收款(万元)</t>
  </si>
  <si>
    <t>应收出口退税(万元)</t>
  </si>
  <si>
    <t xml:space="preserve"> --</t>
  </si>
  <si>
    <t>应收补贴款(万元)</t>
  </si>
  <si>
    <t>应收保证金(万元)</t>
  </si>
  <si>
    <t>内部应收款(万元)</t>
  </si>
  <si>
    <t>买入返售金融资产(万元)</t>
  </si>
  <si>
    <t>存货(万元)</t>
  </si>
  <si>
    <t>待摊费用(万元)</t>
  </si>
  <si>
    <t>待处理流动资产损益(万元)</t>
  </si>
  <si>
    <t>一年内到期的非流动资产(万元)</t>
  </si>
  <si>
    <t>其他流动资产(万元)</t>
  </si>
  <si>
    <t>流动资产合计(万元)</t>
  </si>
  <si>
    <t>发放贷款及垫款(万元)</t>
  </si>
  <si>
    <t>可供出售金融资产(万元)</t>
  </si>
  <si>
    <t>持有至到期投资(万元)</t>
  </si>
  <si>
    <t>长期应收款(万元)</t>
  </si>
  <si>
    <t>长期股权投资(万元)</t>
  </si>
  <si>
    <t>其他长期投资(万元)</t>
  </si>
  <si>
    <t>投资性房地产(万元)</t>
  </si>
  <si>
    <t>固定资产原值(万元)</t>
  </si>
  <si>
    <t>累计折旧(万元)</t>
  </si>
  <si>
    <t>固定资产净值(万元)</t>
  </si>
  <si>
    <t>固定资产减值准备(万元)</t>
  </si>
  <si>
    <t>固定资产(万元)</t>
  </si>
  <si>
    <t>在建工程(万元)</t>
  </si>
  <si>
    <t>工程物资(万元)</t>
  </si>
  <si>
    <t>固定资产清理(万元)</t>
  </si>
  <si>
    <t>生产性生物资产(万元)</t>
  </si>
  <si>
    <t>公益性生物资产(万元)</t>
  </si>
  <si>
    <t>油气资产(万元)</t>
  </si>
  <si>
    <t>无形资产(万元)</t>
  </si>
  <si>
    <t>开发支出(万元)</t>
  </si>
  <si>
    <t>商誉(万元)</t>
  </si>
  <si>
    <t>长期待摊费用(万元)</t>
  </si>
  <si>
    <t>股权分置流通权(万元)</t>
  </si>
  <si>
    <t>递延所得税资产(万元)</t>
  </si>
  <si>
    <t>其他非流动资产(万元)</t>
  </si>
  <si>
    <t>非流动资产合计(万元)</t>
  </si>
  <si>
    <t>资产总计(万元)</t>
  </si>
  <si>
    <t>短期借款(万元)</t>
  </si>
  <si>
    <t>向中央银行借款(万元)</t>
  </si>
  <si>
    <t>吸收存款及同业存放(万元)</t>
  </si>
  <si>
    <t>拆入资金(万元)</t>
  </si>
  <si>
    <t>交易性金融负债(万元)</t>
  </si>
  <si>
    <t>衍生金融负债(万元)</t>
  </si>
  <si>
    <t>应付票据(万元)</t>
  </si>
  <si>
    <t>应付账款(万元)</t>
  </si>
  <si>
    <t>预收账款(万元)</t>
  </si>
  <si>
    <t>卖出回购金融资产款(万元)</t>
  </si>
  <si>
    <t>应付手续费及佣金(万元)</t>
  </si>
  <si>
    <t>应付职工薪酬(万元)</t>
  </si>
  <si>
    <t>应交税费(万元)</t>
  </si>
  <si>
    <t>应付利息(万元)</t>
  </si>
  <si>
    <t>应付股利(万元)</t>
  </si>
  <si>
    <t>其他应交款(万元)</t>
  </si>
  <si>
    <t>应付保证金(万元)</t>
  </si>
  <si>
    <t>内部应付款(万元)</t>
  </si>
  <si>
    <t>其他应付款(万元)</t>
  </si>
  <si>
    <t>预提费用(万元)</t>
  </si>
  <si>
    <t>预计流动负债(万元)</t>
  </si>
  <si>
    <t>应付分保账款(万元)</t>
  </si>
  <si>
    <t>保险合同准备金(万元)</t>
  </si>
  <si>
    <t>代理买卖证券款(万元)</t>
  </si>
  <si>
    <t>代理承销证券款(万元)</t>
  </si>
  <si>
    <t>国际票证结算(万元)</t>
  </si>
  <si>
    <t>国内票证结算(万元)</t>
  </si>
  <si>
    <t>递延收益(万元)</t>
  </si>
  <si>
    <t>应付短期债券(万元)</t>
  </si>
  <si>
    <t>一年内到期的非流动负债(万元)</t>
  </si>
  <si>
    <t>其他流动负债(万元)</t>
  </si>
  <si>
    <t>流动负债合计(万元)</t>
  </si>
  <si>
    <t>长期借款(万元)</t>
  </si>
  <si>
    <t>应付债券(万元)</t>
  </si>
  <si>
    <t>长期应付款(万元)</t>
  </si>
  <si>
    <t>专项应付款(万元)</t>
  </si>
  <si>
    <t>预计非流动负债(万元)</t>
  </si>
  <si>
    <t>递延所得税负债(万元)</t>
  </si>
  <si>
    <t>其他非流动负债(万元)</t>
  </si>
  <si>
    <t>非流动负债合计(万元)</t>
  </si>
  <si>
    <t>负债合计(万元)</t>
  </si>
  <si>
    <t>实收资本(或股本)(万元)</t>
  </si>
  <si>
    <t>资本公积(万元)</t>
  </si>
  <si>
    <t>减:库存股(万元)</t>
  </si>
  <si>
    <t>专项储备(万元)</t>
  </si>
  <si>
    <t>盈余公积(万元)</t>
  </si>
  <si>
    <t>一般风险准备(万元)</t>
  </si>
  <si>
    <t>未确定的投资损失(万元)</t>
  </si>
  <si>
    <t>未分配利润(万元)</t>
  </si>
  <si>
    <t>拟分配现金股利(万元)</t>
  </si>
  <si>
    <t>外币报表折算差额(万元)</t>
  </si>
  <si>
    <t>归属于母公司股东权益合计(万元)</t>
  </si>
  <si>
    <t>少数股东权益(万元)</t>
  </si>
  <si>
    <t>所有者权益(或股东权益)合计(万元)</t>
  </si>
  <si>
    <t>负债和所有者权益(或股东权益)总计(万元)</t>
  </si>
  <si>
    <t xml:space="preserve">		</t>
  </si>
  <si>
    <t xml:space="preserve">  </t>
  </si>
  <si>
    <t xml:space="preserve"> 报告日期</t>
  </si>
  <si>
    <t xml:space="preserve"> </t>
  </si>
  <si>
    <t xml:space="preserve"> 销售商品、提供劳务收到的现金(万元)</t>
  </si>
  <si>
    <t xml:space="preserve"> 客户存款和同业存放款项净增加额(万元)</t>
  </si>
  <si>
    <t xml:space="preserve"> 向中央银行借款净增加额(万元</t>
  </si>
  <si>
    <t xml:space="preserve"> 向其他金融机构拆入资金净增加额(万元)</t>
  </si>
  <si>
    <t xml:space="preserve"> 收到原保险合同保费取得的现金(万元)</t>
  </si>
  <si>
    <t xml:space="preserve"> 收到再保险业务现金净额(万元)</t>
  </si>
  <si>
    <t xml:space="preserve"> 保户储金及投资款净增加额(万元)</t>
  </si>
  <si>
    <t xml:space="preserve"> 处置交易性金融资产净增加额(万元)</t>
  </si>
  <si>
    <t xml:space="preserve"> 收取利息、手续费及佣金的现金(万元)</t>
  </si>
  <si>
    <t xml:space="preserve"> 拆入资金净增加额(万元)</t>
  </si>
  <si>
    <t xml:space="preserve"> 回购业务资金净增加额(万元)</t>
  </si>
  <si>
    <t xml:space="preserve"> 收到的税费返还(万元)</t>
  </si>
  <si>
    <t xml:space="preserve"> 收到的其他与经营活动有关的现金(万元)</t>
  </si>
  <si>
    <t xml:space="preserve"> 经营活动现金流入小计(万元)</t>
  </si>
  <si>
    <t xml:space="preserve"> 购买商品、接受劳务支付的现金(万元)</t>
  </si>
  <si>
    <t xml:space="preserve"> 客户贷款及垫款净增加额(万元)</t>
  </si>
  <si>
    <t xml:space="preserve"> 存放中央银行和同业款项净增加额(万元)</t>
  </si>
  <si>
    <t xml:space="preserve"> 支付原保险合同赔付款项的现金(万元)</t>
  </si>
  <si>
    <t xml:space="preserve"> 支付利息、手续费及佣金的现金(万元)</t>
  </si>
  <si>
    <t xml:space="preserve"> 支付保单红利的现金(万元)</t>
  </si>
  <si>
    <t xml:space="preserve"> 支付给职工以及为职工支付的现金(万元)</t>
  </si>
  <si>
    <t xml:space="preserve"> 支付的各项税费(万元)</t>
  </si>
  <si>
    <t xml:space="preserve"> 支付的其他与经营活动有关的现金(万元)</t>
  </si>
  <si>
    <t xml:space="preserve"> 经营活动现金流出小计(万元)</t>
  </si>
  <si>
    <t xml:space="preserve"> 经营活动产生的现金流量净额(万元)</t>
  </si>
  <si>
    <t xml:space="preserve"> 收回投资所收到的现金(万元)</t>
  </si>
  <si>
    <t xml:space="preserve"> 取得投资收益所收到的现金(万元)</t>
  </si>
  <si>
    <t xml:space="preserve"> 处置固定资产、无形资产和其他长期资产所收回的现金净额(万元)</t>
  </si>
  <si>
    <t xml:space="preserve"> 处置子公司及其他营业单位收到的现金净额(万元)</t>
  </si>
  <si>
    <t xml:space="preserve"> 收到的其他与投资活动有关的现金(万元)</t>
  </si>
  <si>
    <t xml:space="preserve"> 减少质押和定期存款所收到的现金(万元)</t>
  </si>
  <si>
    <t xml:space="preserve"> 投资活动现金流入小计(万元)</t>
  </si>
  <si>
    <t xml:space="preserve"> 购建固定资产、无形资产和其他长期资产所支付的现金(万元)</t>
  </si>
  <si>
    <t xml:space="preserve"> 投资所支付的现金(万元)</t>
  </si>
  <si>
    <t xml:space="preserve"> 质押贷款净增加额(万元)</t>
  </si>
  <si>
    <t xml:space="preserve"> 取得子公司及其他营业单位支付的现金净额(万元)</t>
  </si>
  <si>
    <t xml:space="preserve"> 支付的其他与投资活动有关的现金(万元)</t>
  </si>
  <si>
    <t xml:space="preserve"> 增加质押和定期存款所支付的现金(万元)</t>
  </si>
  <si>
    <t xml:space="preserve"> 投资活动现金流出小计(万元)</t>
  </si>
  <si>
    <t xml:space="preserve"> 投资活动产生的现金流量净额(万元)</t>
  </si>
  <si>
    <t xml:space="preserve"> 吸收投资收到的现金(万元)</t>
  </si>
  <si>
    <t xml:space="preserve"> 其中：子公司吸收少数股东投资收到的现金(万元)</t>
  </si>
  <si>
    <t xml:space="preserve"> 取得借款收到的现金(万元)</t>
  </si>
  <si>
    <t xml:space="preserve"> 发行债券收到的现金(万元)</t>
  </si>
  <si>
    <t xml:space="preserve"> 收到其他与筹资活动有关的现金(万元)</t>
  </si>
  <si>
    <t xml:space="preserve"> 筹资活动现金流入小计(万元)</t>
  </si>
  <si>
    <t xml:space="preserve"> 偿还债务支付的现金(万元)</t>
  </si>
  <si>
    <t xml:space="preserve"> 分配股利、利润或偿付利息所支付的现金(万元)</t>
  </si>
  <si>
    <t xml:space="preserve"> 其中：子公司支付给少数股东的股利、利润(万元)</t>
  </si>
  <si>
    <t xml:space="preserve"> 支付其他与筹资活动有关的现金(万元)</t>
  </si>
  <si>
    <t xml:space="preserve"> 筹资活动现金流出小计(万元)</t>
  </si>
  <si>
    <t xml:space="preserve"> 筹资活动产生的现金流量净额(万元)</t>
  </si>
  <si>
    <t xml:space="preserve"> 汇率变动对现金及现金等价物的影响(万元)</t>
  </si>
  <si>
    <t xml:space="preserve"> 现金及现金等价物净增加额(万元)</t>
  </si>
  <si>
    <t xml:space="preserve"> 加:期初现金及现金等价物余额(万元)</t>
  </si>
  <si>
    <t xml:space="preserve"> 期末现金及现金等价物余额(万元)</t>
  </si>
  <si>
    <t xml:space="preserve"> 净利润(万元)</t>
  </si>
  <si>
    <t xml:space="preserve"> 少数股东损益(万元)</t>
  </si>
  <si>
    <t xml:space="preserve"> 未确认的投资损失(万元)</t>
  </si>
  <si>
    <t xml:space="preserve"> 资产减值准备(万元)</t>
  </si>
  <si>
    <t xml:space="preserve"> 固定资产折旧、油气资产折耗、生产性物资折旧(万元)</t>
  </si>
  <si>
    <t xml:space="preserve"> 无形资产摊销(万元)</t>
  </si>
  <si>
    <t xml:space="preserve"> 长期待摊费用摊销(万元)</t>
  </si>
  <si>
    <t xml:space="preserve"> 待摊费用的减少(万元)</t>
  </si>
  <si>
    <t xml:space="preserve"> 预提费用的增加(万元)</t>
  </si>
  <si>
    <t xml:space="preserve"> 处置固定资产、无形资产和其他长期资产的损失(万元)</t>
  </si>
  <si>
    <t xml:space="preserve"> 固定资产报废损失(万元)</t>
  </si>
  <si>
    <t xml:space="preserve"> 公允价值变动损失(万元)</t>
  </si>
  <si>
    <t xml:space="preserve"> 递延收益增加(减：减少)(万元)</t>
  </si>
  <si>
    <t xml:space="preserve"> 预计负债(万元)</t>
  </si>
  <si>
    <t xml:space="preserve"> 财务费用(万元)</t>
  </si>
  <si>
    <t xml:space="preserve"> 投资损失(万元)</t>
  </si>
  <si>
    <t xml:space="preserve"> 递延所得税资产减少(万元)</t>
  </si>
  <si>
    <t xml:space="preserve"> 递延所得税负债增加(万元)</t>
  </si>
  <si>
    <t xml:space="preserve"> 存货的减少(万元)</t>
  </si>
  <si>
    <t xml:space="preserve"> 经营性应收项目的减少(万元)</t>
  </si>
  <si>
    <t xml:space="preserve"> 经营性应付项目的增加(万元)</t>
  </si>
  <si>
    <t xml:space="preserve"> 已完工尚未结算款的减少(减:增加)(万元)</t>
  </si>
  <si>
    <t xml:space="preserve"> 已结算尚未完工款的增加(减:减少)(万元)</t>
  </si>
  <si>
    <t xml:space="preserve"> 其他(万元)</t>
  </si>
  <si>
    <t xml:space="preserve"> 经营活动产生现金流量净额(万元)</t>
  </si>
  <si>
    <t xml:space="preserve"> 债务转为资本(万元)</t>
  </si>
  <si>
    <t xml:space="preserve"> 一年内到期的可转换公司债券(万元)</t>
  </si>
  <si>
    <t xml:space="preserve"> 融资租入固定资产(万元)</t>
  </si>
  <si>
    <t xml:space="preserve"> 现金的期末余额(万元)</t>
  </si>
  <si>
    <t xml:space="preserve"> 现金的期初余额(万元)</t>
  </si>
  <si>
    <t xml:space="preserve"> 现金等价物的期末余额(万元)</t>
  </si>
  <si>
    <t xml:space="preserve"> 现金等价物的期初余额(万元)</t>
  </si>
  <si>
    <t xml:space="preserve"> 现金及现金等价物的净增加额(万元)</t>
  </si>
  <si>
    <t>报告期</t>
  </si>
  <si>
    <t>固定资产净额(万元)</t>
  </si>
  <si>
    <t>期初现金及现金等价物余额(万元)</t>
  </si>
  <si>
    <t>经营活动产生的现金流量净额(万元)</t>
  </si>
  <si>
    <t>投资活动产生的现金流量净额(万元)</t>
  </si>
  <si>
    <t>筹资活动产生的现金流量净额(万元)</t>
  </si>
  <si>
    <t>现金及现金等价物净增加额(万元)</t>
  </si>
  <si>
    <t>期末现金及现金等价物余额(万元)</t>
  </si>
  <si>
    <t>资产结构</t>
    <phoneticPr fontId="1" type="noConversion"/>
  </si>
  <si>
    <t>金融资产：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</si>
  <si>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</si>
  <si>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</si>
  <si>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</si>
  <si>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</si>
  <si>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</si>
  <si>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</si>
  <si>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</si>
  <si>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</si>
  <si>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</si>
  <si>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</si>
  <si>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</si>
  <si>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</si>
  <si>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</si>
  <si>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</si>
  <si>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</si>
  <si>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</si>
  <si>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</si>
  <si>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</si>
  <si>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</si>
  <si>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</si>
  <si>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</si>
  <si>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</si>
  <si>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</si>
  <si>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</si>
  <si>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</si>
  <si>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</si>
  <si>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</si>
  <si>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</si>
  <si>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</si>
  <si>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</si>
  <si>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</si>
  <si>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</si>
  <si>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</si>
  <si>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</si>
  <si>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</si>
  <si>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</si>
  <si>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</si>
  <si>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</si>
  <si>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</si>
  <si>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</si>
  <si>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</si>
  <si>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</si>
  <si>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</si>
  <si>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</si>
  <si>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</si>
  <si>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</si>
  <si>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</si>
  <si>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</si>
  <si>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</si>
  <si>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</si>
  <si>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</si>
  <si>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</si>
  <si>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</si>
  <si>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</si>
  <si>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</si>
  <si>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</si>
  <si>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</si>
  <si>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</si>
  <si>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</si>
  <si>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</si>
  <si>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</si>
  <si>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</si>
  <si>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</si>
  <si>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</si>
  <si>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</si>
  <si>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</si>
  <si>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</si>
  <si>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</si>
  <si>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</si>
  <si>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</si>
  <si>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外币报表折算差额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</si>
  <si>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</si>
  <si>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</si>
  <si>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</si>
  <si>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</si>
  <si>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</si>
  <si>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</si>
  <si>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</si>
  <si>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</si>
  <si>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</si>
  <si>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</si>
  <si>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</si>
  <si>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</si>
  <si>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</si>
  <si>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长期递延收益(万元)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</si>
</sst>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8" formatCode="#,##0_);[Red]\(#,##0\)"/>
    <numFmt numFmtId="181" formatCode="#,##0_ "/>
  </numFmts>
  <fonts count="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4" fillId="3" borderId="0" xfId="0" applyFont="1" applyFill="1">
      <alignment vertical="center"/>
    </xf>
    <xf numFmtId="0" fontId="6" fillId="4" borderId="0" xfId="0" applyFont="1" applyFill="1">
      <alignment vertical="center"/>
    </xf>
    <xf numFmtId="0" fontId="7" fillId="4" borderId="0" xfId="0" applyFont="1" applyFill="1">
      <alignment vertical="center"/>
    </xf>
    <xf numFmtId="0" fontId="3" fillId="4" borderId="0" xfId="0" applyFont="1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0" borderId="0" xfId="0" applyFill="1">
      <alignment vertical="center"/>
    </xf>
    <xf numFmtId="0" fontId="0" fillId="6" borderId="0" xfId="0" applyFill="1">
      <alignment vertical="center"/>
    </xf>
    <xf numFmtId="0" fontId="3" fillId="3" borderId="0" xfId="0" applyFont="1" applyFill="1">
      <alignment vertical="center"/>
    </xf>
    <xf numFmtId="178" fontId="0" fillId="0" borderId="0" xfId="0" applyNumberFormat="1">
      <alignment vertical="center"/>
    </xf>
    <xf numFmtId="178" fontId="0" fillId="3" borderId="0" xfId="0" applyNumberFormat="1" applyFill="1">
      <alignment vertical="center"/>
    </xf>
    <xf numFmtId="178" fontId="0" fillId="5" borderId="0" xfId="0" applyNumberFormat="1" applyFill="1">
      <alignment vertical="center"/>
    </xf>
    <xf numFmtId="178" fontId="0" fillId="6" borderId="0" xfId="0" applyNumberFormat="1" applyFill="1">
      <alignment vertical="center"/>
    </xf>
    <xf numFmtId="178" fontId="0" fillId="4" borderId="0" xfId="0" applyNumberFormat="1" applyFill="1">
      <alignment vertical="center"/>
    </xf>
    <xf numFmtId="178" fontId="7" fillId="4" borderId="0" xfId="0" applyNumberFormat="1" applyFont="1" applyFill="1">
      <alignment vertical="center"/>
    </xf>
    <xf numFmtId="178" fontId="0" fillId="0" borderId="0" xfId="0" applyNumberFormat="1" applyFill="1">
      <alignment vertical="center"/>
    </xf>
    <xf numFmtId="0" fontId="3" fillId="0" borderId="0" xfId="0" applyFont="1" applyFill="1">
      <alignment vertical="center"/>
    </xf>
    <xf numFmtId="0" fontId="3" fillId="5" borderId="0" xfId="0" applyFont="1" applyFill="1">
      <alignment vertical="center"/>
    </xf>
    <xf numFmtId="0" fontId="2" fillId="0" borderId="0" xfId="0" applyFont="1">
      <alignment vertical="center"/>
    </xf>
    <xf numFmtId="178" fontId="5" fillId="0" borderId="0" xfId="0" applyNumberFormat="1" applyFont="1">
      <alignment vertical="center"/>
    </xf>
    <xf numFmtId="181" fontId="0" fillId="6" borderId="0" xfId="0" applyNumberFormat="1" applyFill="1">
      <alignment vertical="center"/>
    </xf>
    <xf numFmtId="181" fontId="0" fillId="3" borderId="0" xfId="0" applyNumberForma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N111"/>
  <sheetViews>
    <sheetView topLeftCell="A64" workbookViewId="0">
      <selection activeCell="F4" sqref="F1:F1048576"/>
    </sheetView>
  </sheetViews>
  <sheetFormatPr defaultRowHeight="13.5"/>
  <cols>
    <col min="1" max="1" width="40.375" bestFit="1" customWidth="1"/>
    <col min="2" max="13" width="11.625" bestFit="1" customWidth="1"/>
    <col min="14" max="14" width="1.5" bestFit="1" customWidth="1"/>
    <col min="15" max="16" width="10.5" bestFit="1" customWidth="1"/>
    <col min="17" max="17" width="11.625" bestFit="1" customWidth="1"/>
    <col min="18" max="20" width="10.5" bestFit="1" customWidth="1"/>
    <col min="21" max="21" width="11.625" bestFit="1" customWidth="1"/>
    <col min="22" max="24" width="10.5" bestFit="1" customWidth="1"/>
    <col min="25" max="25" width="11.625" bestFit="1" customWidth="1"/>
    <col min="26" max="28" width="10.5" bestFit="1" customWidth="1"/>
    <col min="29" max="29" width="11.625" bestFit="1" customWidth="1"/>
    <col min="30" max="31" width="10.5" bestFit="1" customWidth="1"/>
    <col min="32" max="34" width="11.625" bestFit="1" customWidth="1"/>
    <col min="35" max="35" width="1.5" bestFit="1" customWidth="1"/>
  </cols>
  <sheetData>
    <row r="1" spans="1:13">
      <c r="A1">
        <v>600835</v>
      </c>
    </row>
    <row r="2" spans="1:13">
      <c r="A2" t="s">
        <v>0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47</v>
      </c>
      <c r="B3">
        <v>1441392</v>
      </c>
      <c r="C3">
        <v>1393912</v>
      </c>
      <c r="D3">
        <v>1278249</v>
      </c>
      <c r="E3">
        <v>1211801</v>
      </c>
      <c r="F3">
        <v>1118621</v>
      </c>
      <c r="G3">
        <v>1185594</v>
      </c>
      <c r="H3">
        <v>802798</v>
      </c>
      <c r="I3">
        <v>701990</v>
      </c>
      <c r="J3">
        <v>590562</v>
      </c>
      <c r="K3">
        <v>415820</v>
      </c>
      <c r="L3">
        <v>407943</v>
      </c>
      <c r="M3">
        <v>351669</v>
      </c>
    </row>
    <row r="4" spans="1:13">
      <c r="A4" t="s">
        <v>48</v>
      </c>
      <c r="B4" t="s">
        <v>4</v>
      </c>
      <c r="C4" t="s">
        <v>4</v>
      </c>
      <c r="D4" t="s">
        <v>4</v>
      </c>
      <c r="E4" t="s">
        <v>4</v>
      </c>
      <c r="F4" t="s">
        <v>4</v>
      </c>
      <c r="G4" t="s">
        <v>4</v>
      </c>
      <c r="H4" t="s">
        <v>4</v>
      </c>
      <c r="I4" t="s">
        <v>4</v>
      </c>
      <c r="J4">
        <v>0</v>
      </c>
      <c r="K4" t="s">
        <v>4</v>
      </c>
      <c r="L4" t="s">
        <v>4</v>
      </c>
      <c r="M4">
        <v>0</v>
      </c>
    </row>
    <row r="5" spans="1:13">
      <c r="A5" t="s">
        <v>49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>
        <v>0</v>
      </c>
      <c r="K5" t="s">
        <v>4</v>
      </c>
      <c r="L5" t="s">
        <v>4</v>
      </c>
      <c r="M5">
        <v>0</v>
      </c>
    </row>
    <row r="6" spans="1:13">
      <c r="A6" t="s">
        <v>50</v>
      </c>
      <c r="B6" t="s">
        <v>4</v>
      </c>
      <c r="C6" t="s">
        <v>4</v>
      </c>
      <c r="D6" t="s">
        <v>4</v>
      </c>
      <c r="E6" t="s">
        <v>4</v>
      </c>
      <c r="F6" t="s">
        <v>4</v>
      </c>
      <c r="G6" t="s">
        <v>4</v>
      </c>
      <c r="H6" t="s">
        <v>4</v>
      </c>
      <c r="I6" t="s">
        <v>4</v>
      </c>
      <c r="J6">
        <v>0</v>
      </c>
      <c r="K6" t="s">
        <v>4</v>
      </c>
      <c r="L6" t="s">
        <v>4</v>
      </c>
      <c r="M6">
        <v>0</v>
      </c>
    </row>
    <row r="7" spans="1:13">
      <c r="A7" t="s">
        <v>51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>
        <v>0</v>
      </c>
      <c r="K7" t="s">
        <v>4</v>
      </c>
      <c r="L7" t="s">
        <v>4</v>
      </c>
      <c r="M7">
        <v>0</v>
      </c>
    </row>
    <row r="8" spans="1:13">
      <c r="A8" t="s">
        <v>52</v>
      </c>
      <c r="B8">
        <v>62918</v>
      </c>
      <c r="C8">
        <v>40589</v>
      </c>
      <c r="D8">
        <v>35677</v>
      </c>
      <c r="E8">
        <v>30152</v>
      </c>
      <c r="F8">
        <v>24166</v>
      </c>
      <c r="G8">
        <v>21569</v>
      </c>
      <c r="H8">
        <v>24086</v>
      </c>
      <c r="I8">
        <v>23300</v>
      </c>
      <c r="J8">
        <v>18116</v>
      </c>
      <c r="K8">
        <v>11294</v>
      </c>
      <c r="L8">
        <v>16342</v>
      </c>
      <c r="M8">
        <v>3743</v>
      </c>
    </row>
    <row r="9" spans="1:13">
      <c r="A9" t="s">
        <v>53</v>
      </c>
      <c r="B9">
        <v>250118</v>
      </c>
      <c r="C9">
        <v>205206</v>
      </c>
      <c r="D9">
        <v>197270</v>
      </c>
      <c r="E9">
        <v>222973</v>
      </c>
      <c r="F9">
        <v>188031</v>
      </c>
      <c r="G9">
        <v>202483</v>
      </c>
      <c r="H9">
        <v>128668</v>
      </c>
      <c r="I9">
        <v>113882</v>
      </c>
      <c r="J9">
        <v>99892</v>
      </c>
      <c r="K9">
        <v>78962</v>
      </c>
      <c r="L9">
        <v>72437</v>
      </c>
      <c r="M9">
        <v>58864</v>
      </c>
    </row>
    <row r="10" spans="1:13">
      <c r="A10" t="s">
        <v>54</v>
      </c>
      <c r="B10">
        <v>189205</v>
      </c>
      <c r="C10">
        <v>268116</v>
      </c>
      <c r="D10">
        <v>267062</v>
      </c>
      <c r="E10">
        <v>202794</v>
      </c>
      <c r="F10">
        <v>207284</v>
      </c>
      <c r="G10">
        <v>173182</v>
      </c>
      <c r="H10">
        <v>75756</v>
      </c>
      <c r="I10">
        <v>50420</v>
      </c>
      <c r="J10">
        <v>33221</v>
      </c>
      <c r="K10">
        <v>25534</v>
      </c>
      <c r="L10">
        <v>24024</v>
      </c>
      <c r="M10">
        <v>17158</v>
      </c>
    </row>
    <row r="11" spans="1:13">
      <c r="A11" t="s">
        <v>55</v>
      </c>
      <c r="B11" t="s">
        <v>4</v>
      </c>
      <c r="C11" t="s">
        <v>4</v>
      </c>
      <c r="D11" t="s">
        <v>4</v>
      </c>
      <c r="E11" t="s">
        <v>4</v>
      </c>
      <c r="F11" t="s">
        <v>4</v>
      </c>
      <c r="G11" t="s">
        <v>4</v>
      </c>
      <c r="H11" t="s">
        <v>4</v>
      </c>
      <c r="I11" t="s">
        <v>4</v>
      </c>
      <c r="J11">
        <v>0</v>
      </c>
      <c r="K11" t="s">
        <v>4</v>
      </c>
      <c r="L11" t="s">
        <v>4</v>
      </c>
      <c r="M11">
        <v>0</v>
      </c>
    </row>
    <row r="12" spans="1:13">
      <c r="A12" t="s">
        <v>56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>
        <v>0</v>
      </c>
      <c r="K12" t="s">
        <v>4</v>
      </c>
      <c r="L12" t="s">
        <v>4</v>
      </c>
      <c r="M12">
        <v>0</v>
      </c>
    </row>
    <row r="13" spans="1:13">
      <c r="A13" t="s">
        <v>57</v>
      </c>
      <c r="B13" t="s">
        <v>4</v>
      </c>
      <c r="C13" t="s">
        <v>4</v>
      </c>
      <c r="D13" t="s">
        <v>4</v>
      </c>
      <c r="E13" t="s">
        <v>4</v>
      </c>
      <c r="F13" t="s">
        <v>4</v>
      </c>
      <c r="G13" t="s">
        <v>4</v>
      </c>
      <c r="H13" t="s">
        <v>4</v>
      </c>
      <c r="I13" t="s">
        <v>4</v>
      </c>
      <c r="J13">
        <v>0</v>
      </c>
      <c r="K13" t="s">
        <v>4</v>
      </c>
      <c r="L13" t="s">
        <v>4</v>
      </c>
      <c r="M13">
        <v>0</v>
      </c>
    </row>
    <row r="14" spans="1:13">
      <c r="A14" t="s">
        <v>58</v>
      </c>
      <c r="B14">
        <v>5182</v>
      </c>
      <c r="C14">
        <v>5860</v>
      </c>
      <c r="D14">
        <v>9436</v>
      </c>
      <c r="E14">
        <v>8264</v>
      </c>
      <c r="F14">
        <v>7408</v>
      </c>
      <c r="G14">
        <v>2187</v>
      </c>
      <c r="H14">
        <v>1656</v>
      </c>
      <c r="I14">
        <v>2185</v>
      </c>
      <c r="J14">
        <v>629</v>
      </c>
      <c r="K14">
        <v>986</v>
      </c>
      <c r="L14">
        <v>287</v>
      </c>
      <c r="M14">
        <v>233</v>
      </c>
    </row>
    <row r="15" spans="1:13">
      <c r="A15" t="s">
        <v>59</v>
      </c>
      <c r="B15" t="s">
        <v>4</v>
      </c>
      <c r="C15" t="s">
        <v>4</v>
      </c>
      <c r="D15">
        <v>2476</v>
      </c>
      <c r="E15" t="s">
        <v>4</v>
      </c>
      <c r="F15">
        <v>4814</v>
      </c>
      <c r="G15" t="s">
        <v>4</v>
      </c>
      <c r="H15">
        <v>1019</v>
      </c>
      <c r="I15">
        <v>1632</v>
      </c>
      <c r="J15">
        <v>943</v>
      </c>
      <c r="K15">
        <v>3855</v>
      </c>
      <c r="L15">
        <v>2775</v>
      </c>
      <c r="M15">
        <v>1379</v>
      </c>
    </row>
    <row r="16" spans="1:13">
      <c r="A16" t="s">
        <v>60</v>
      </c>
      <c r="B16">
        <v>17033</v>
      </c>
      <c r="C16">
        <v>20708</v>
      </c>
      <c r="D16">
        <v>23917</v>
      </c>
      <c r="E16">
        <v>18048</v>
      </c>
      <c r="F16">
        <v>27793</v>
      </c>
      <c r="G16">
        <v>17600</v>
      </c>
      <c r="H16">
        <v>18247</v>
      </c>
      <c r="I16">
        <v>18454</v>
      </c>
      <c r="J16">
        <v>13960</v>
      </c>
      <c r="K16">
        <v>36154</v>
      </c>
      <c r="L16">
        <v>8737</v>
      </c>
      <c r="M16">
        <v>8439</v>
      </c>
    </row>
    <row r="17" spans="1:13">
      <c r="A17" t="s">
        <v>61</v>
      </c>
      <c r="B17" t="s">
        <v>62</v>
      </c>
      <c r="C17" t="s">
        <v>4</v>
      </c>
      <c r="D17" t="s">
        <v>4</v>
      </c>
      <c r="E17" t="s">
        <v>4</v>
      </c>
      <c r="F17" t="s">
        <v>4</v>
      </c>
      <c r="G17" t="s">
        <v>4</v>
      </c>
      <c r="H17" t="s">
        <v>4</v>
      </c>
      <c r="I17" t="s">
        <v>4</v>
      </c>
      <c r="J17">
        <v>0</v>
      </c>
      <c r="K17" t="s">
        <v>4</v>
      </c>
      <c r="L17" t="s">
        <v>4</v>
      </c>
      <c r="M17">
        <v>0</v>
      </c>
    </row>
    <row r="18" spans="1:13">
      <c r="A18" t="s">
        <v>63</v>
      </c>
      <c r="B18" t="s">
        <v>4</v>
      </c>
      <c r="C18" t="s">
        <v>4</v>
      </c>
      <c r="D18" t="s">
        <v>4</v>
      </c>
      <c r="E18" t="s">
        <v>4</v>
      </c>
      <c r="F18" t="s">
        <v>4</v>
      </c>
      <c r="G18" t="s">
        <v>4</v>
      </c>
      <c r="H18" t="s">
        <v>4</v>
      </c>
      <c r="I18" t="s">
        <v>4</v>
      </c>
      <c r="J18">
        <v>0</v>
      </c>
      <c r="K18" t="s">
        <v>4</v>
      </c>
      <c r="L18" t="s">
        <v>4</v>
      </c>
      <c r="M18">
        <v>0</v>
      </c>
    </row>
    <row r="19" spans="1:13">
      <c r="A19" t="s">
        <v>64</v>
      </c>
      <c r="B19" t="s">
        <v>4</v>
      </c>
      <c r="C19" t="s">
        <v>4</v>
      </c>
      <c r="D19" t="s">
        <v>4</v>
      </c>
      <c r="E19" t="s">
        <v>4</v>
      </c>
      <c r="F19" t="s">
        <v>4</v>
      </c>
      <c r="G19" t="s">
        <v>4</v>
      </c>
      <c r="H19" t="s">
        <v>4</v>
      </c>
      <c r="I19" t="s">
        <v>4</v>
      </c>
      <c r="J19">
        <v>0</v>
      </c>
      <c r="K19" t="s">
        <v>4</v>
      </c>
      <c r="L19" t="s">
        <v>4</v>
      </c>
      <c r="M19">
        <v>0</v>
      </c>
    </row>
    <row r="20" spans="1:13">
      <c r="A20" t="s">
        <v>65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t="s">
        <v>4</v>
      </c>
      <c r="H20" t="s">
        <v>4</v>
      </c>
      <c r="I20" t="s">
        <v>4</v>
      </c>
      <c r="J20">
        <v>0</v>
      </c>
      <c r="K20" t="s">
        <v>4</v>
      </c>
      <c r="L20" t="s">
        <v>4</v>
      </c>
      <c r="M20">
        <v>0</v>
      </c>
    </row>
    <row r="21" spans="1:13">
      <c r="A21" t="s">
        <v>66</v>
      </c>
      <c r="B21" t="s">
        <v>4</v>
      </c>
      <c r="C21" t="s">
        <v>4</v>
      </c>
      <c r="D21" t="s">
        <v>4</v>
      </c>
      <c r="E21" t="s">
        <v>4</v>
      </c>
      <c r="F21" t="s">
        <v>4</v>
      </c>
      <c r="G21" t="s">
        <v>4</v>
      </c>
      <c r="H21" t="s">
        <v>4</v>
      </c>
      <c r="I21" t="s">
        <v>4</v>
      </c>
      <c r="J21">
        <v>0</v>
      </c>
      <c r="K21" t="s">
        <v>4</v>
      </c>
      <c r="L21" t="s">
        <v>4</v>
      </c>
      <c r="M21">
        <v>0</v>
      </c>
    </row>
    <row r="22" spans="1:13">
      <c r="A22" t="s">
        <v>67</v>
      </c>
      <c r="B22">
        <v>874574</v>
      </c>
      <c r="C22">
        <v>738799</v>
      </c>
      <c r="D22">
        <v>687232</v>
      </c>
      <c r="E22">
        <v>766113</v>
      </c>
      <c r="F22">
        <v>638646</v>
      </c>
      <c r="G22">
        <v>490355</v>
      </c>
      <c r="H22">
        <v>319239</v>
      </c>
      <c r="I22">
        <v>253030</v>
      </c>
      <c r="J22">
        <v>210510</v>
      </c>
      <c r="K22">
        <v>184255</v>
      </c>
      <c r="L22">
        <v>179057</v>
      </c>
      <c r="M22">
        <v>146295</v>
      </c>
    </row>
    <row r="23" spans="1:13">
      <c r="A23" t="s">
        <v>68</v>
      </c>
      <c r="B23" t="s">
        <v>4</v>
      </c>
      <c r="C23" t="s">
        <v>4</v>
      </c>
      <c r="D23" t="s">
        <v>4</v>
      </c>
      <c r="E23" t="s">
        <v>4</v>
      </c>
      <c r="F23" t="s">
        <v>4</v>
      </c>
      <c r="G23" t="s">
        <v>4</v>
      </c>
      <c r="H23" t="s">
        <v>4</v>
      </c>
      <c r="I23" t="s">
        <v>4</v>
      </c>
      <c r="J23">
        <v>0</v>
      </c>
      <c r="K23" t="s">
        <v>4</v>
      </c>
      <c r="L23" t="s">
        <v>4</v>
      </c>
      <c r="M23">
        <v>0</v>
      </c>
    </row>
    <row r="24" spans="1:13">
      <c r="A24" t="s">
        <v>69</v>
      </c>
      <c r="B24" t="s">
        <v>4</v>
      </c>
      <c r="C24" t="s">
        <v>4</v>
      </c>
      <c r="D24" t="s">
        <v>4</v>
      </c>
      <c r="E24" t="s">
        <v>4</v>
      </c>
      <c r="F24" t="s">
        <v>4</v>
      </c>
      <c r="G24" t="s">
        <v>4</v>
      </c>
      <c r="H24" t="s">
        <v>4</v>
      </c>
      <c r="I24" t="s">
        <v>4</v>
      </c>
      <c r="J24">
        <v>0</v>
      </c>
      <c r="K24" t="s">
        <v>4</v>
      </c>
      <c r="L24" t="s">
        <v>4</v>
      </c>
      <c r="M24">
        <v>0</v>
      </c>
    </row>
    <row r="25" spans="1:13">
      <c r="A25" t="s">
        <v>70</v>
      </c>
      <c r="B25">
        <v>2855</v>
      </c>
      <c r="C25">
        <v>1782</v>
      </c>
      <c r="D25">
        <v>2382</v>
      </c>
      <c r="E25">
        <v>1382</v>
      </c>
      <c r="F25">
        <v>1243</v>
      </c>
      <c r="G25" t="s">
        <v>4</v>
      </c>
      <c r="H25" t="s">
        <v>4</v>
      </c>
      <c r="I25" t="s">
        <v>4</v>
      </c>
      <c r="J25">
        <v>0</v>
      </c>
      <c r="K25" t="s">
        <v>4</v>
      </c>
      <c r="L25" t="s">
        <v>4</v>
      </c>
      <c r="M25">
        <v>0</v>
      </c>
    </row>
    <row r="26" spans="1:13">
      <c r="A26" t="s">
        <v>71</v>
      </c>
      <c r="B26">
        <v>7139</v>
      </c>
      <c r="C26">
        <v>4799</v>
      </c>
      <c r="D26">
        <v>12167</v>
      </c>
      <c r="E26">
        <v>3586</v>
      </c>
      <c r="F26">
        <v>4690</v>
      </c>
      <c r="G26">
        <v>292</v>
      </c>
      <c r="H26">
        <v>80717</v>
      </c>
      <c r="I26" t="s">
        <v>4</v>
      </c>
      <c r="J26">
        <v>0</v>
      </c>
      <c r="K26" t="s">
        <v>4</v>
      </c>
      <c r="L26" t="s">
        <v>4</v>
      </c>
      <c r="M26">
        <v>0</v>
      </c>
    </row>
    <row r="27" spans="1:13">
      <c r="A27" t="s">
        <v>72</v>
      </c>
      <c r="B27">
        <v>2850416</v>
      </c>
      <c r="C27">
        <v>2679770</v>
      </c>
      <c r="D27">
        <v>2515870</v>
      </c>
      <c r="E27">
        <v>2465113</v>
      </c>
      <c r="F27">
        <v>2222696</v>
      </c>
      <c r="G27">
        <v>2093263</v>
      </c>
      <c r="H27">
        <v>1452186</v>
      </c>
      <c r="I27">
        <v>1164893</v>
      </c>
      <c r="J27">
        <v>967834</v>
      </c>
      <c r="K27">
        <v>756859</v>
      </c>
      <c r="L27">
        <v>711602</v>
      </c>
      <c r="M27">
        <v>587781</v>
      </c>
    </row>
    <row r="28" spans="1:13">
      <c r="A28" t="s">
        <v>73</v>
      </c>
      <c r="B28" t="s">
        <v>4</v>
      </c>
      <c r="C28" t="s">
        <v>4</v>
      </c>
      <c r="D28" t="s">
        <v>4</v>
      </c>
      <c r="E28" t="s">
        <v>4</v>
      </c>
      <c r="F28" t="s">
        <v>4</v>
      </c>
      <c r="G28" t="s">
        <v>4</v>
      </c>
      <c r="H28" t="s">
        <v>4</v>
      </c>
      <c r="I28" t="s">
        <v>4</v>
      </c>
      <c r="J28">
        <v>0</v>
      </c>
      <c r="K28" t="s">
        <v>4</v>
      </c>
      <c r="L28" t="s">
        <v>4</v>
      </c>
      <c r="M28">
        <v>0</v>
      </c>
    </row>
    <row r="29" spans="1:13">
      <c r="A29" t="s">
        <v>74</v>
      </c>
      <c r="B29">
        <v>14503</v>
      </c>
      <c r="C29">
        <v>21626</v>
      </c>
      <c r="D29">
        <v>19944</v>
      </c>
      <c r="E29">
        <v>16772</v>
      </c>
      <c r="F29">
        <v>10695</v>
      </c>
      <c r="G29">
        <v>6171</v>
      </c>
      <c r="H29">
        <v>6313</v>
      </c>
      <c r="I29">
        <v>5620</v>
      </c>
      <c r="J29">
        <v>6738</v>
      </c>
      <c r="K29">
        <v>3445</v>
      </c>
      <c r="L29">
        <v>6906</v>
      </c>
      <c r="M29">
        <v>3085</v>
      </c>
    </row>
    <row r="30" spans="1:13">
      <c r="A30" t="s">
        <v>75</v>
      </c>
      <c r="B30" t="s">
        <v>4</v>
      </c>
      <c r="C30" t="s">
        <v>4</v>
      </c>
      <c r="D30" t="s">
        <v>4</v>
      </c>
      <c r="E30" t="s">
        <v>4</v>
      </c>
      <c r="F30" t="s">
        <v>4</v>
      </c>
      <c r="G30" t="s">
        <v>4</v>
      </c>
      <c r="H30" t="s">
        <v>4</v>
      </c>
      <c r="I30" t="s">
        <v>4</v>
      </c>
      <c r="J30">
        <v>0</v>
      </c>
      <c r="K30" t="s">
        <v>4</v>
      </c>
      <c r="L30" t="s">
        <v>4</v>
      </c>
      <c r="M30">
        <v>0</v>
      </c>
    </row>
    <row r="31" spans="1:13">
      <c r="A31" t="s">
        <v>76</v>
      </c>
      <c r="B31">
        <v>737</v>
      </c>
      <c r="C31">
        <v>637</v>
      </c>
      <c r="D31">
        <v>333</v>
      </c>
      <c r="E31">
        <v>1958</v>
      </c>
      <c r="F31">
        <v>2619</v>
      </c>
      <c r="G31" t="s">
        <v>4</v>
      </c>
      <c r="H31" t="s">
        <v>4</v>
      </c>
      <c r="I31" t="s">
        <v>4</v>
      </c>
      <c r="J31">
        <v>0</v>
      </c>
      <c r="K31" t="s">
        <v>4</v>
      </c>
      <c r="L31" t="s">
        <v>4</v>
      </c>
      <c r="M31">
        <v>0</v>
      </c>
    </row>
    <row r="32" spans="1:13">
      <c r="A32" t="s">
        <v>77</v>
      </c>
      <c r="B32">
        <v>231143</v>
      </c>
      <c r="C32">
        <v>219189</v>
      </c>
      <c r="D32">
        <v>221037</v>
      </c>
      <c r="E32">
        <v>227623</v>
      </c>
      <c r="F32">
        <v>227012</v>
      </c>
      <c r="G32">
        <v>213173</v>
      </c>
      <c r="H32">
        <v>155959</v>
      </c>
      <c r="I32">
        <v>132324</v>
      </c>
      <c r="J32">
        <v>113149</v>
      </c>
      <c r="K32">
        <v>111051</v>
      </c>
      <c r="L32">
        <v>119171</v>
      </c>
      <c r="M32">
        <v>92565</v>
      </c>
    </row>
    <row r="33" spans="1:13">
      <c r="A33" t="s">
        <v>78</v>
      </c>
      <c r="B33" t="s">
        <v>4</v>
      </c>
      <c r="C33" t="s">
        <v>4</v>
      </c>
      <c r="D33" t="s">
        <v>4</v>
      </c>
      <c r="E33" t="s">
        <v>4</v>
      </c>
      <c r="F33" t="s">
        <v>4</v>
      </c>
      <c r="G33" t="s">
        <v>4</v>
      </c>
      <c r="H33" t="s">
        <v>4</v>
      </c>
      <c r="I33" t="s">
        <v>4</v>
      </c>
      <c r="J33">
        <v>0</v>
      </c>
      <c r="K33" t="s">
        <v>4</v>
      </c>
      <c r="L33" t="s">
        <v>4</v>
      </c>
      <c r="M33">
        <v>0</v>
      </c>
    </row>
    <row r="34" spans="1:13">
      <c r="A34" t="s">
        <v>79</v>
      </c>
      <c r="B34">
        <v>5904</v>
      </c>
      <c r="C34">
        <v>6149</v>
      </c>
      <c r="D34">
        <v>6394</v>
      </c>
      <c r="E34">
        <v>6651</v>
      </c>
      <c r="F34">
        <v>6920</v>
      </c>
      <c r="G34">
        <v>7193</v>
      </c>
      <c r="H34">
        <v>7467</v>
      </c>
      <c r="I34">
        <v>7750</v>
      </c>
      <c r="J34">
        <v>8035</v>
      </c>
      <c r="K34" t="s">
        <v>4</v>
      </c>
      <c r="L34" t="s">
        <v>4</v>
      </c>
      <c r="M34">
        <v>0</v>
      </c>
    </row>
    <row r="35" spans="1:13">
      <c r="A35" t="s">
        <v>80</v>
      </c>
      <c r="B35">
        <v>337222</v>
      </c>
      <c r="C35">
        <v>327798</v>
      </c>
      <c r="D35">
        <v>307787</v>
      </c>
      <c r="E35">
        <v>362228</v>
      </c>
      <c r="F35">
        <v>360538</v>
      </c>
      <c r="G35">
        <v>371863</v>
      </c>
      <c r="H35">
        <v>265163</v>
      </c>
      <c r="I35">
        <v>297688</v>
      </c>
      <c r="J35">
        <v>298124</v>
      </c>
      <c r="K35">
        <v>250058</v>
      </c>
      <c r="L35">
        <v>229345</v>
      </c>
      <c r="M35">
        <v>208441</v>
      </c>
    </row>
    <row r="36" spans="1:13">
      <c r="A36" t="s">
        <v>81</v>
      </c>
      <c r="B36">
        <v>179648</v>
      </c>
      <c r="C36">
        <v>163642</v>
      </c>
      <c r="D36">
        <v>153833</v>
      </c>
      <c r="E36">
        <v>197180</v>
      </c>
      <c r="F36">
        <v>202781</v>
      </c>
      <c r="G36">
        <v>205005</v>
      </c>
      <c r="H36">
        <v>139055</v>
      </c>
      <c r="I36">
        <v>148093</v>
      </c>
      <c r="J36">
        <v>144503</v>
      </c>
      <c r="K36">
        <v>114390</v>
      </c>
      <c r="L36">
        <v>107075</v>
      </c>
      <c r="M36">
        <v>96583</v>
      </c>
    </row>
    <row r="37" spans="1:13">
      <c r="A37" t="s">
        <v>82</v>
      </c>
      <c r="B37">
        <v>157575</v>
      </c>
      <c r="C37">
        <v>164156</v>
      </c>
      <c r="D37">
        <v>153954</v>
      </c>
      <c r="E37">
        <v>165049</v>
      </c>
      <c r="F37">
        <v>157757</v>
      </c>
      <c r="G37">
        <v>166859</v>
      </c>
      <c r="H37">
        <v>126108</v>
      </c>
      <c r="I37">
        <v>149594</v>
      </c>
      <c r="J37">
        <v>153621</v>
      </c>
      <c r="K37">
        <v>135668</v>
      </c>
      <c r="L37">
        <v>122269</v>
      </c>
      <c r="M37">
        <v>111858</v>
      </c>
    </row>
    <row r="38" spans="1:13">
      <c r="A38" t="s">
        <v>83</v>
      </c>
      <c r="B38">
        <v>1877</v>
      </c>
      <c r="C38">
        <v>1957</v>
      </c>
      <c r="D38">
        <v>1851</v>
      </c>
      <c r="E38">
        <v>859</v>
      </c>
      <c r="F38">
        <v>1150</v>
      </c>
      <c r="G38">
        <v>671</v>
      </c>
      <c r="H38">
        <v>2044</v>
      </c>
      <c r="I38">
        <v>2259</v>
      </c>
      <c r="J38">
        <v>2737</v>
      </c>
      <c r="K38">
        <v>616</v>
      </c>
      <c r="L38">
        <v>509</v>
      </c>
      <c r="M38">
        <v>613</v>
      </c>
    </row>
    <row r="39" spans="1:13">
      <c r="A39" t="s">
        <v>84</v>
      </c>
      <c r="B39">
        <v>155698</v>
      </c>
      <c r="C39">
        <v>162199</v>
      </c>
      <c r="D39">
        <v>152104</v>
      </c>
      <c r="E39">
        <v>164190</v>
      </c>
      <c r="F39">
        <v>156607</v>
      </c>
      <c r="G39">
        <v>166188</v>
      </c>
      <c r="H39">
        <v>124065</v>
      </c>
      <c r="I39">
        <v>147335</v>
      </c>
      <c r="J39">
        <v>150884</v>
      </c>
      <c r="K39">
        <v>135052</v>
      </c>
      <c r="L39">
        <v>121760</v>
      </c>
      <c r="M39">
        <v>111245</v>
      </c>
    </row>
    <row r="40" spans="1:13">
      <c r="A40" t="s">
        <v>85</v>
      </c>
      <c r="B40">
        <v>21960</v>
      </c>
      <c r="C40">
        <v>20432</v>
      </c>
      <c r="D40">
        <v>24913</v>
      </c>
      <c r="E40">
        <v>33841</v>
      </c>
      <c r="F40">
        <v>33859</v>
      </c>
      <c r="G40">
        <v>37146</v>
      </c>
      <c r="H40">
        <v>7904</v>
      </c>
      <c r="I40">
        <v>12621</v>
      </c>
      <c r="J40">
        <v>11893</v>
      </c>
      <c r="K40">
        <v>9051</v>
      </c>
      <c r="L40">
        <v>9550</v>
      </c>
      <c r="M40">
        <v>17554</v>
      </c>
    </row>
    <row r="41" spans="1:13">
      <c r="A41" t="s">
        <v>86</v>
      </c>
      <c r="B41" t="s">
        <v>4</v>
      </c>
      <c r="C41" t="s">
        <v>4</v>
      </c>
      <c r="D41" t="s">
        <v>4</v>
      </c>
      <c r="E41" t="s">
        <v>4</v>
      </c>
      <c r="F41" t="s">
        <v>4</v>
      </c>
      <c r="G41" t="s">
        <v>4</v>
      </c>
      <c r="H41" t="s">
        <v>4</v>
      </c>
      <c r="I41" t="s">
        <v>4</v>
      </c>
      <c r="J41">
        <v>0</v>
      </c>
      <c r="K41" t="s">
        <v>4</v>
      </c>
      <c r="L41" t="s">
        <v>4</v>
      </c>
      <c r="M41">
        <v>0</v>
      </c>
    </row>
    <row r="42" spans="1:13">
      <c r="A42" t="s">
        <v>87</v>
      </c>
      <c r="B42" t="s">
        <v>4</v>
      </c>
      <c r="C42" t="s">
        <v>4</v>
      </c>
      <c r="D42" t="s">
        <v>4</v>
      </c>
      <c r="E42" t="s">
        <v>4</v>
      </c>
      <c r="F42" t="s">
        <v>4</v>
      </c>
      <c r="G42" t="s">
        <v>4</v>
      </c>
      <c r="H42" t="s">
        <v>4</v>
      </c>
      <c r="I42" t="s">
        <v>4</v>
      </c>
      <c r="J42">
        <v>0</v>
      </c>
      <c r="K42" t="s">
        <v>4</v>
      </c>
      <c r="L42" t="s">
        <v>4</v>
      </c>
      <c r="M42">
        <v>0</v>
      </c>
    </row>
    <row r="43" spans="1:13">
      <c r="A43" t="s">
        <v>88</v>
      </c>
      <c r="B43" t="s">
        <v>4</v>
      </c>
      <c r="C43" t="s">
        <v>4</v>
      </c>
      <c r="D43" t="s">
        <v>4</v>
      </c>
      <c r="E43" t="s">
        <v>4</v>
      </c>
      <c r="F43" t="s">
        <v>4</v>
      </c>
      <c r="G43" t="s">
        <v>4</v>
      </c>
      <c r="H43" t="s">
        <v>4</v>
      </c>
      <c r="I43" t="s">
        <v>4</v>
      </c>
      <c r="J43">
        <v>0</v>
      </c>
      <c r="K43" t="s">
        <v>4</v>
      </c>
      <c r="L43" t="s">
        <v>4</v>
      </c>
      <c r="M43">
        <v>0</v>
      </c>
    </row>
    <row r="44" spans="1:13">
      <c r="A44" t="s">
        <v>89</v>
      </c>
      <c r="B44" t="s">
        <v>4</v>
      </c>
      <c r="C44" t="s">
        <v>4</v>
      </c>
      <c r="D44" t="s">
        <v>4</v>
      </c>
      <c r="E44" t="s">
        <v>4</v>
      </c>
      <c r="F44" t="s">
        <v>4</v>
      </c>
      <c r="G44" t="s">
        <v>4</v>
      </c>
      <c r="H44" t="s">
        <v>4</v>
      </c>
      <c r="I44" t="s">
        <v>4</v>
      </c>
      <c r="J44">
        <v>0</v>
      </c>
      <c r="K44" t="s">
        <v>4</v>
      </c>
      <c r="L44" t="s">
        <v>4</v>
      </c>
      <c r="M44">
        <v>0</v>
      </c>
    </row>
    <row r="45" spans="1:13">
      <c r="A45" t="s">
        <v>90</v>
      </c>
      <c r="B45" t="s">
        <v>4</v>
      </c>
      <c r="C45" t="s">
        <v>4</v>
      </c>
      <c r="D45" t="s">
        <v>4</v>
      </c>
      <c r="E45" t="s">
        <v>4</v>
      </c>
      <c r="F45" t="s">
        <v>4</v>
      </c>
      <c r="G45" t="s">
        <v>4</v>
      </c>
      <c r="H45" t="s">
        <v>4</v>
      </c>
      <c r="I45" t="s">
        <v>4</v>
      </c>
      <c r="J45">
        <v>0</v>
      </c>
      <c r="K45" t="s">
        <v>4</v>
      </c>
      <c r="L45" t="s">
        <v>4</v>
      </c>
      <c r="M45">
        <v>0</v>
      </c>
    </row>
    <row r="46" spans="1:13">
      <c r="A46" t="s">
        <v>91</v>
      </c>
      <c r="B46">
        <v>39383</v>
      </c>
      <c r="C46">
        <v>40150</v>
      </c>
      <c r="D46">
        <v>20416</v>
      </c>
      <c r="E46">
        <v>36247</v>
      </c>
      <c r="F46">
        <v>26986</v>
      </c>
      <c r="G46">
        <v>25600</v>
      </c>
      <c r="H46">
        <v>19964</v>
      </c>
      <c r="I46">
        <v>31543</v>
      </c>
      <c r="J46">
        <v>35463</v>
      </c>
      <c r="K46">
        <v>23017</v>
      </c>
      <c r="L46">
        <v>26520</v>
      </c>
      <c r="M46">
        <v>26446</v>
      </c>
    </row>
    <row r="47" spans="1:13">
      <c r="A47" t="s">
        <v>92</v>
      </c>
      <c r="B47" t="s">
        <v>4</v>
      </c>
      <c r="C47" t="s">
        <v>4</v>
      </c>
      <c r="D47" t="s">
        <v>4</v>
      </c>
      <c r="E47" t="s">
        <v>4</v>
      </c>
      <c r="F47" t="s">
        <v>4</v>
      </c>
      <c r="G47" t="s">
        <v>4</v>
      </c>
      <c r="H47" t="s">
        <v>4</v>
      </c>
      <c r="I47" t="s">
        <v>4</v>
      </c>
      <c r="J47">
        <v>0</v>
      </c>
      <c r="K47" t="s">
        <v>4</v>
      </c>
      <c r="L47" t="s">
        <v>4</v>
      </c>
      <c r="M47">
        <v>0</v>
      </c>
    </row>
    <row r="48" spans="1:13">
      <c r="A48" t="s">
        <v>93</v>
      </c>
      <c r="B48">
        <v>1248</v>
      </c>
      <c r="C48">
        <v>1248</v>
      </c>
      <c r="D48">
        <v>3273</v>
      </c>
      <c r="E48">
        <v>1248</v>
      </c>
      <c r="F48">
        <v>1248</v>
      </c>
      <c r="G48">
        <v>1248</v>
      </c>
      <c r="H48">
        <v>1248</v>
      </c>
      <c r="I48">
        <v>1611</v>
      </c>
      <c r="J48">
        <v>7707</v>
      </c>
      <c r="K48">
        <v>363</v>
      </c>
      <c r="L48">
        <v>363</v>
      </c>
      <c r="M48">
        <v>363</v>
      </c>
    </row>
    <row r="49" spans="1:13">
      <c r="A49" t="s">
        <v>94</v>
      </c>
      <c r="B49">
        <v>2599</v>
      </c>
      <c r="C49">
        <v>2438</v>
      </c>
      <c r="D49">
        <v>2795</v>
      </c>
      <c r="E49">
        <v>3440</v>
      </c>
      <c r="F49">
        <v>3759</v>
      </c>
      <c r="G49">
        <v>3887</v>
      </c>
      <c r="H49">
        <v>4019</v>
      </c>
      <c r="I49">
        <v>4261</v>
      </c>
      <c r="J49">
        <v>824</v>
      </c>
      <c r="K49">
        <v>2793</v>
      </c>
      <c r="L49">
        <v>1071</v>
      </c>
      <c r="M49">
        <v>1126</v>
      </c>
    </row>
    <row r="50" spans="1:13">
      <c r="A50" t="s">
        <v>95</v>
      </c>
      <c r="B50" t="s">
        <v>4</v>
      </c>
      <c r="C50" t="s">
        <v>4</v>
      </c>
      <c r="D50" t="s">
        <v>4</v>
      </c>
      <c r="E50" t="s">
        <v>4</v>
      </c>
      <c r="F50" t="s">
        <v>4</v>
      </c>
      <c r="G50" t="s">
        <v>4</v>
      </c>
      <c r="H50" t="s">
        <v>4</v>
      </c>
      <c r="I50" t="s">
        <v>4</v>
      </c>
      <c r="J50">
        <v>0</v>
      </c>
      <c r="K50" t="s">
        <v>4</v>
      </c>
      <c r="L50" t="s">
        <v>4</v>
      </c>
      <c r="M50">
        <v>0</v>
      </c>
    </row>
    <row r="51" spans="1:13">
      <c r="A51" t="s">
        <v>96</v>
      </c>
      <c r="B51">
        <v>28447</v>
      </c>
      <c r="C51">
        <v>20266</v>
      </c>
      <c r="D51">
        <v>18196</v>
      </c>
      <c r="E51">
        <v>19826</v>
      </c>
      <c r="F51">
        <v>19643</v>
      </c>
      <c r="G51">
        <v>20499</v>
      </c>
      <c r="H51">
        <v>11918</v>
      </c>
      <c r="I51">
        <v>10808</v>
      </c>
      <c r="J51">
        <v>8636</v>
      </c>
      <c r="K51">
        <v>6068</v>
      </c>
      <c r="L51">
        <v>5668</v>
      </c>
      <c r="M51">
        <v>3344</v>
      </c>
    </row>
    <row r="52" spans="1:13">
      <c r="A52" t="s">
        <v>97</v>
      </c>
      <c r="B52" t="s">
        <v>4</v>
      </c>
      <c r="C52" t="s">
        <v>4</v>
      </c>
      <c r="D52" t="s">
        <v>4</v>
      </c>
      <c r="E52" t="s">
        <v>4</v>
      </c>
      <c r="F52" t="s">
        <v>4</v>
      </c>
      <c r="G52" t="s">
        <v>4</v>
      </c>
      <c r="H52" t="s">
        <v>4</v>
      </c>
      <c r="I52" t="s">
        <v>4</v>
      </c>
      <c r="J52">
        <v>0</v>
      </c>
      <c r="K52" t="s">
        <v>4</v>
      </c>
      <c r="L52" t="s">
        <v>4</v>
      </c>
      <c r="M52">
        <v>0</v>
      </c>
    </row>
    <row r="53" spans="1:13">
      <c r="A53" t="s">
        <v>98</v>
      </c>
      <c r="B53">
        <v>501621</v>
      </c>
      <c r="C53">
        <v>494334</v>
      </c>
      <c r="D53">
        <v>469403</v>
      </c>
      <c r="E53">
        <v>511796</v>
      </c>
      <c r="F53">
        <v>489350</v>
      </c>
      <c r="G53">
        <v>481105</v>
      </c>
      <c r="H53">
        <v>338857</v>
      </c>
      <c r="I53">
        <v>353872</v>
      </c>
      <c r="J53">
        <v>343329</v>
      </c>
      <c r="K53">
        <v>290841</v>
      </c>
      <c r="L53">
        <v>291009</v>
      </c>
      <c r="M53">
        <v>255728</v>
      </c>
    </row>
    <row r="54" spans="1:13">
      <c r="A54" t="s">
        <v>99</v>
      </c>
      <c r="B54">
        <v>3352037</v>
      </c>
      <c r="C54">
        <v>3174104</v>
      </c>
      <c r="D54">
        <v>2985273</v>
      </c>
      <c r="E54">
        <v>2976909</v>
      </c>
      <c r="F54">
        <v>2712046</v>
      </c>
      <c r="G54">
        <v>2574368</v>
      </c>
      <c r="H54">
        <v>1791042</v>
      </c>
      <c r="I54">
        <v>1518765</v>
      </c>
      <c r="J54">
        <v>1311163</v>
      </c>
      <c r="K54">
        <v>1047700</v>
      </c>
      <c r="L54">
        <v>1002611</v>
      </c>
      <c r="M54">
        <v>843509</v>
      </c>
    </row>
    <row r="55" spans="1:13">
      <c r="A55" t="s">
        <v>100</v>
      </c>
      <c r="B55">
        <v>3450</v>
      </c>
      <c r="C55">
        <v>2950</v>
      </c>
      <c r="D55">
        <v>4992</v>
      </c>
      <c r="E55">
        <v>16295</v>
      </c>
      <c r="F55">
        <v>19053</v>
      </c>
      <c r="G55">
        <v>43338</v>
      </c>
      <c r="H55">
        <v>27465</v>
      </c>
      <c r="I55">
        <v>23108</v>
      </c>
      <c r="J55">
        <v>44050</v>
      </c>
      <c r="K55">
        <v>35050</v>
      </c>
      <c r="L55">
        <v>36872</v>
      </c>
      <c r="M55">
        <v>33478</v>
      </c>
    </row>
    <row r="56" spans="1:13">
      <c r="A56" t="s">
        <v>101</v>
      </c>
      <c r="B56" t="s">
        <v>4</v>
      </c>
      <c r="C56" t="s">
        <v>4</v>
      </c>
      <c r="D56" t="s">
        <v>4</v>
      </c>
      <c r="E56" t="s">
        <v>4</v>
      </c>
      <c r="F56" t="s">
        <v>4</v>
      </c>
      <c r="G56" t="s">
        <v>4</v>
      </c>
      <c r="H56" t="s">
        <v>4</v>
      </c>
      <c r="I56" t="s">
        <v>4</v>
      </c>
      <c r="J56">
        <v>0</v>
      </c>
      <c r="K56" t="s">
        <v>4</v>
      </c>
      <c r="L56" t="s">
        <v>4</v>
      </c>
      <c r="M56">
        <v>0</v>
      </c>
    </row>
    <row r="57" spans="1:13">
      <c r="A57" t="s">
        <v>102</v>
      </c>
      <c r="B57" t="s">
        <v>4</v>
      </c>
      <c r="C57" t="s">
        <v>4</v>
      </c>
      <c r="D57" t="s">
        <v>4</v>
      </c>
      <c r="E57" t="s">
        <v>4</v>
      </c>
      <c r="F57" t="s">
        <v>4</v>
      </c>
      <c r="G57" t="s">
        <v>4</v>
      </c>
      <c r="H57" t="s">
        <v>4</v>
      </c>
      <c r="I57" t="s">
        <v>4</v>
      </c>
      <c r="J57">
        <v>0</v>
      </c>
      <c r="K57" t="s">
        <v>4</v>
      </c>
      <c r="L57" t="s">
        <v>4</v>
      </c>
      <c r="M57">
        <v>0</v>
      </c>
    </row>
    <row r="58" spans="1:13">
      <c r="A58" t="s">
        <v>103</v>
      </c>
      <c r="B58" t="s">
        <v>4</v>
      </c>
      <c r="C58" t="s">
        <v>4</v>
      </c>
      <c r="D58" t="s">
        <v>4</v>
      </c>
      <c r="E58" t="s">
        <v>4</v>
      </c>
      <c r="F58" t="s">
        <v>4</v>
      </c>
      <c r="G58" t="s">
        <v>4</v>
      </c>
      <c r="H58" t="s">
        <v>4</v>
      </c>
      <c r="I58" t="s">
        <v>4</v>
      </c>
      <c r="J58">
        <v>0</v>
      </c>
      <c r="K58" t="s">
        <v>4</v>
      </c>
      <c r="L58" t="s">
        <v>4</v>
      </c>
      <c r="M58">
        <v>0</v>
      </c>
    </row>
    <row r="59" spans="1:13">
      <c r="A59" t="s">
        <v>104</v>
      </c>
      <c r="B59" t="s">
        <v>4</v>
      </c>
      <c r="C59" t="s">
        <v>4</v>
      </c>
      <c r="D59" t="s">
        <v>4</v>
      </c>
      <c r="E59" t="s">
        <v>4</v>
      </c>
      <c r="F59" t="s">
        <v>4</v>
      </c>
      <c r="G59" t="s">
        <v>4</v>
      </c>
      <c r="H59" t="s">
        <v>4</v>
      </c>
      <c r="I59" t="s">
        <v>4</v>
      </c>
      <c r="J59">
        <v>0</v>
      </c>
      <c r="K59">
        <v>0</v>
      </c>
      <c r="L59" t="s">
        <v>4</v>
      </c>
      <c r="M59">
        <v>0</v>
      </c>
    </row>
    <row r="60" spans="1:13">
      <c r="A60" t="s">
        <v>105</v>
      </c>
      <c r="B60" t="s">
        <v>4</v>
      </c>
      <c r="C60" t="s">
        <v>4</v>
      </c>
      <c r="D60" t="s">
        <v>4</v>
      </c>
      <c r="E60" t="s">
        <v>4</v>
      </c>
      <c r="F60" t="s">
        <v>4</v>
      </c>
      <c r="G60" t="s">
        <v>4</v>
      </c>
      <c r="H60" t="s">
        <v>4</v>
      </c>
      <c r="I60" t="s">
        <v>4</v>
      </c>
      <c r="J60">
        <v>0</v>
      </c>
      <c r="K60" t="s">
        <v>4</v>
      </c>
      <c r="L60" t="s">
        <v>4</v>
      </c>
      <c r="M60">
        <v>0</v>
      </c>
    </row>
    <row r="61" spans="1:13">
      <c r="A61" t="s">
        <v>106</v>
      </c>
      <c r="B61">
        <v>10532</v>
      </c>
      <c r="C61">
        <v>7918</v>
      </c>
      <c r="D61">
        <v>11792</v>
      </c>
      <c r="E61">
        <v>9265</v>
      </c>
      <c r="F61">
        <v>11065</v>
      </c>
      <c r="G61">
        <v>6218</v>
      </c>
      <c r="H61">
        <v>4444</v>
      </c>
      <c r="I61">
        <v>1733</v>
      </c>
      <c r="J61">
        <v>2189</v>
      </c>
      <c r="K61">
        <v>29</v>
      </c>
      <c r="L61">
        <v>94</v>
      </c>
      <c r="M61">
        <v>242</v>
      </c>
    </row>
    <row r="62" spans="1:13">
      <c r="A62" t="s">
        <v>107</v>
      </c>
      <c r="B62">
        <v>224932</v>
      </c>
      <c r="C62">
        <v>179288</v>
      </c>
      <c r="D62">
        <v>161181</v>
      </c>
      <c r="E62">
        <v>202484</v>
      </c>
      <c r="F62">
        <v>213032</v>
      </c>
      <c r="G62">
        <v>198732</v>
      </c>
      <c r="H62">
        <v>163710</v>
      </c>
      <c r="I62">
        <v>184551</v>
      </c>
      <c r="J62">
        <v>142562</v>
      </c>
      <c r="K62">
        <v>126864</v>
      </c>
      <c r="L62">
        <v>101638</v>
      </c>
      <c r="M62">
        <v>73950</v>
      </c>
    </row>
    <row r="63" spans="1:13">
      <c r="A63" t="s">
        <v>108</v>
      </c>
      <c r="B63">
        <v>1640854</v>
      </c>
      <c r="C63">
        <v>1612582</v>
      </c>
      <c r="D63">
        <v>1548092</v>
      </c>
      <c r="E63">
        <v>1481746</v>
      </c>
      <c r="F63">
        <v>1276396</v>
      </c>
      <c r="G63">
        <v>1080132</v>
      </c>
      <c r="H63">
        <v>684923</v>
      </c>
      <c r="I63">
        <v>466363</v>
      </c>
      <c r="J63">
        <v>331278</v>
      </c>
      <c r="K63">
        <v>193604</v>
      </c>
      <c r="L63">
        <v>218637</v>
      </c>
      <c r="M63">
        <v>168555</v>
      </c>
    </row>
    <row r="64" spans="1:13">
      <c r="A64" t="s">
        <v>109</v>
      </c>
      <c r="B64" t="s">
        <v>4</v>
      </c>
      <c r="C64" t="s">
        <v>4</v>
      </c>
      <c r="D64" t="s">
        <v>4</v>
      </c>
      <c r="E64" t="s">
        <v>4</v>
      </c>
      <c r="F64" t="s">
        <v>4</v>
      </c>
      <c r="G64" t="s">
        <v>4</v>
      </c>
      <c r="H64" t="s">
        <v>4</v>
      </c>
      <c r="I64" t="s">
        <v>4</v>
      </c>
      <c r="J64">
        <v>0</v>
      </c>
      <c r="K64" t="s">
        <v>4</v>
      </c>
      <c r="L64" t="s">
        <v>4</v>
      </c>
      <c r="M64">
        <v>0</v>
      </c>
    </row>
    <row r="65" spans="1:13">
      <c r="A65" t="s">
        <v>110</v>
      </c>
      <c r="B65" t="s">
        <v>4</v>
      </c>
      <c r="C65" t="s">
        <v>4</v>
      </c>
      <c r="D65" t="s">
        <v>4</v>
      </c>
      <c r="E65" t="s">
        <v>4</v>
      </c>
      <c r="F65" t="s">
        <v>4</v>
      </c>
      <c r="G65" t="s">
        <v>4</v>
      </c>
      <c r="H65" t="s">
        <v>4</v>
      </c>
      <c r="I65" t="s">
        <v>4</v>
      </c>
      <c r="J65">
        <v>0</v>
      </c>
      <c r="K65" t="s">
        <v>4</v>
      </c>
      <c r="L65" t="s">
        <v>4</v>
      </c>
      <c r="M65">
        <v>0</v>
      </c>
    </row>
    <row r="66" spans="1:13">
      <c r="A66" t="s">
        <v>111</v>
      </c>
      <c r="B66">
        <v>54504</v>
      </c>
      <c r="C66">
        <v>55044</v>
      </c>
      <c r="D66">
        <v>53133</v>
      </c>
      <c r="E66">
        <v>59956</v>
      </c>
      <c r="F66">
        <v>55681</v>
      </c>
      <c r="G66">
        <v>44336</v>
      </c>
      <c r="H66">
        <v>26700</v>
      </c>
      <c r="I66">
        <v>24976</v>
      </c>
      <c r="J66">
        <v>20206</v>
      </c>
      <c r="K66">
        <v>18281</v>
      </c>
      <c r="L66">
        <v>20957</v>
      </c>
      <c r="M66">
        <v>14273</v>
      </c>
    </row>
    <row r="67" spans="1:13">
      <c r="A67" t="s">
        <v>112</v>
      </c>
      <c r="B67">
        <v>33662</v>
      </c>
      <c r="C67">
        <v>29621</v>
      </c>
      <c r="D67">
        <v>22479</v>
      </c>
      <c r="E67">
        <v>13772</v>
      </c>
      <c r="F67">
        <v>12738</v>
      </c>
      <c r="G67">
        <v>26271</v>
      </c>
      <c r="H67">
        <v>6332</v>
      </c>
      <c r="I67">
        <v>10293</v>
      </c>
      <c r="J67">
        <v>15728</v>
      </c>
      <c r="K67">
        <v>8476</v>
      </c>
      <c r="L67">
        <v>13481</v>
      </c>
      <c r="M67">
        <v>5978</v>
      </c>
    </row>
    <row r="68" spans="1:13">
      <c r="A68" t="s">
        <v>113</v>
      </c>
      <c r="B68" t="s">
        <v>4</v>
      </c>
      <c r="C68" t="s">
        <v>4</v>
      </c>
      <c r="D68" t="s">
        <v>4</v>
      </c>
      <c r="E68" t="s">
        <v>4</v>
      </c>
      <c r="F68" t="s">
        <v>4</v>
      </c>
      <c r="G68" t="s">
        <v>4</v>
      </c>
      <c r="H68" t="s">
        <v>4</v>
      </c>
      <c r="I68" t="s">
        <v>4</v>
      </c>
      <c r="J68">
        <v>0</v>
      </c>
      <c r="K68" t="s">
        <v>4</v>
      </c>
      <c r="L68" t="s">
        <v>4</v>
      </c>
      <c r="M68">
        <v>0</v>
      </c>
    </row>
    <row r="69" spans="1:13">
      <c r="A69" t="s">
        <v>114</v>
      </c>
      <c r="B69">
        <v>87</v>
      </c>
      <c r="C69">
        <v>129</v>
      </c>
      <c r="D69">
        <v>129</v>
      </c>
      <c r="E69">
        <v>69</v>
      </c>
      <c r="F69">
        <v>209</v>
      </c>
      <c r="G69">
        <v>177</v>
      </c>
      <c r="H69">
        <v>106</v>
      </c>
      <c r="I69">
        <v>118</v>
      </c>
      <c r="J69">
        <v>2531</v>
      </c>
      <c r="K69">
        <v>6501</v>
      </c>
      <c r="L69">
        <v>4429</v>
      </c>
      <c r="M69">
        <v>3390</v>
      </c>
    </row>
    <row r="70" spans="1:13">
      <c r="A70" t="s">
        <v>115</v>
      </c>
      <c r="B70" t="s">
        <v>4</v>
      </c>
      <c r="C70" t="s">
        <v>4</v>
      </c>
      <c r="D70" t="s">
        <v>4</v>
      </c>
      <c r="E70" t="s">
        <v>4</v>
      </c>
      <c r="F70" t="s">
        <v>4</v>
      </c>
      <c r="G70" t="s">
        <v>4</v>
      </c>
      <c r="H70" t="s">
        <v>4</v>
      </c>
      <c r="I70" t="s">
        <v>4</v>
      </c>
      <c r="J70">
        <v>0</v>
      </c>
      <c r="K70" t="s">
        <v>4</v>
      </c>
      <c r="L70" t="s">
        <v>4</v>
      </c>
      <c r="M70">
        <v>0</v>
      </c>
    </row>
    <row r="71" spans="1:13">
      <c r="A71" t="s">
        <v>116</v>
      </c>
      <c r="B71" t="s">
        <v>4</v>
      </c>
      <c r="C71" t="s">
        <v>4</v>
      </c>
      <c r="D71" t="s">
        <v>4</v>
      </c>
      <c r="E71" t="s">
        <v>4</v>
      </c>
      <c r="F71" t="s">
        <v>4</v>
      </c>
      <c r="G71" t="s">
        <v>4</v>
      </c>
      <c r="H71" t="s">
        <v>4</v>
      </c>
      <c r="I71" t="s">
        <v>4</v>
      </c>
      <c r="J71">
        <v>0</v>
      </c>
      <c r="K71" t="s">
        <v>4</v>
      </c>
      <c r="L71" t="s">
        <v>4</v>
      </c>
      <c r="M71">
        <v>0</v>
      </c>
    </row>
    <row r="72" spans="1:13">
      <c r="A72" t="s">
        <v>117</v>
      </c>
      <c r="B72" t="s">
        <v>4</v>
      </c>
      <c r="C72" t="s">
        <v>4</v>
      </c>
      <c r="D72" t="s">
        <v>4</v>
      </c>
      <c r="E72" t="s">
        <v>4</v>
      </c>
      <c r="F72" t="s">
        <v>4</v>
      </c>
      <c r="G72" t="s">
        <v>4</v>
      </c>
      <c r="H72" t="s">
        <v>4</v>
      </c>
      <c r="I72" t="s">
        <v>4</v>
      </c>
      <c r="J72">
        <v>0</v>
      </c>
      <c r="K72" t="s">
        <v>4</v>
      </c>
      <c r="L72" t="s">
        <v>4</v>
      </c>
      <c r="M72">
        <v>0</v>
      </c>
    </row>
    <row r="73" spans="1:13">
      <c r="A73" t="s">
        <v>118</v>
      </c>
      <c r="B73">
        <v>95584</v>
      </c>
      <c r="C73">
        <v>78214</v>
      </c>
      <c r="D73">
        <v>79598</v>
      </c>
      <c r="E73">
        <v>92987</v>
      </c>
      <c r="F73">
        <v>84963</v>
      </c>
      <c r="G73">
        <v>77120</v>
      </c>
      <c r="H73">
        <v>58552</v>
      </c>
      <c r="I73">
        <v>52829</v>
      </c>
      <c r="J73">
        <v>49066</v>
      </c>
      <c r="K73">
        <v>35842</v>
      </c>
      <c r="L73">
        <v>35936</v>
      </c>
      <c r="M73">
        <v>26674</v>
      </c>
    </row>
    <row r="74" spans="1:13">
      <c r="A74" t="s">
        <v>119</v>
      </c>
      <c r="B74" t="s">
        <v>4</v>
      </c>
      <c r="C74" t="s">
        <v>4</v>
      </c>
      <c r="D74" t="s">
        <v>4</v>
      </c>
      <c r="E74" t="s">
        <v>4</v>
      </c>
      <c r="F74" t="s">
        <v>4</v>
      </c>
      <c r="G74" t="s">
        <v>4</v>
      </c>
      <c r="H74" t="s">
        <v>4</v>
      </c>
      <c r="I74" t="s">
        <v>4</v>
      </c>
      <c r="J74">
        <v>0</v>
      </c>
      <c r="K74" t="s">
        <v>4</v>
      </c>
      <c r="L74" t="s">
        <v>4</v>
      </c>
      <c r="M74">
        <v>0</v>
      </c>
    </row>
    <row r="75" spans="1:13">
      <c r="A75" t="s">
        <v>120</v>
      </c>
      <c r="B75" t="s">
        <v>4</v>
      </c>
      <c r="C75" t="s">
        <v>4</v>
      </c>
      <c r="D75" t="s">
        <v>4</v>
      </c>
      <c r="E75" t="s">
        <v>4</v>
      </c>
      <c r="F75" t="s">
        <v>4</v>
      </c>
      <c r="G75" t="s">
        <v>4</v>
      </c>
      <c r="H75" t="s">
        <v>4</v>
      </c>
      <c r="I75" t="s">
        <v>4</v>
      </c>
      <c r="J75">
        <v>0</v>
      </c>
      <c r="K75" t="s">
        <v>4</v>
      </c>
      <c r="L75" t="s">
        <v>4</v>
      </c>
      <c r="M75">
        <v>0</v>
      </c>
    </row>
    <row r="76" spans="1:13">
      <c r="A76" t="s">
        <v>121</v>
      </c>
      <c r="B76" t="s">
        <v>4</v>
      </c>
      <c r="C76" t="s">
        <v>4</v>
      </c>
      <c r="D76" t="s">
        <v>4</v>
      </c>
      <c r="E76" t="s">
        <v>4</v>
      </c>
      <c r="F76" t="s">
        <v>4</v>
      </c>
      <c r="G76" t="s">
        <v>4</v>
      </c>
      <c r="H76" t="s">
        <v>4</v>
      </c>
      <c r="I76" t="s">
        <v>4</v>
      </c>
      <c r="J76">
        <v>0</v>
      </c>
      <c r="K76" t="s">
        <v>4</v>
      </c>
      <c r="L76" t="s">
        <v>4</v>
      </c>
      <c r="M76">
        <v>0</v>
      </c>
    </row>
    <row r="77" spans="1:13">
      <c r="A77" t="s">
        <v>122</v>
      </c>
      <c r="B77" t="s">
        <v>4</v>
      </c>
      <c r="C77" t="s">
        <v>4</v>
      </c>
      <c r="D77" t="s">
        <v>4</v>
      </c>
      <c r="E77" t="s">
        <v>4</v>
      </c>
      <c r="F77" t="s">
        <v>4</v>
      </c>
      <c r="G77" t="s">
        <v>4</v>
      </c>
      <c r="H77" t="s">
        <v>4</v>
      </c>
      <c r="I77" t="s">
        <v>4</v>
      </c>
      <c r="J77">
        <v>0</v>
      </c>
      <c r="K77" t="s">
        <v>4</v>
      </c>
      <c r="L77" t="s">
        <v>4</v>
      </c>
      <c r="M77">
        <v>0</v>
      </c>
    </row>
    <row r="78" spans="1:13">
      <c r="A78" t="s">
        <v>123</v>
      </c>
      <c r="B78" t="s">
        <v>4</v>
      </c>
      <c r="C78" t="s">
        <v>4</v>
      </c>
      <c r="D78" t="s">
        <v>4</v>
      </c>
      <c r="E78" t="s">
        <v>4</v>
      </c>
      <c r="F78" t="s">
        <v>4</v>
      </c>
      <c r="G78" t="s">
        <v>4</v>
      </c>
      <c r="H78" t="s">
        <v>4</v>
      </c>
      <c r="I78" t="s">
        <v>4</v>
      </c>
      <c r="J78">
        <v>0</v>
      </c>
      <c r="K78" t="s">
        <v>4</v>
      </c>
      <c r="L78" t="s">
        <v>4</v>
      </c>
      <c r="M78">
        <v>0</v>
      </c>
    </row>
    <row r="79" spans="1:13">
      <c r="A79" t="s">
        <v>124</v>
      </c>
      <c r="B79" t="s">
        <v>4</v>
      </c>
      <c r="C79" t="s">
        <v>4</v>
      </c>
      <c r="D79" t="s">
        <v>4</v>
      </c>
      <c r="E79" t="s">
        <v>4</v>
      </c>
      <c r="F79" t="s">
        <v>4</v>
      </c>
      <c r="G79" t="s">
        <v>4</v>
      </c>
      <c r="H79" t="s">
        <v>4</v>
      </c>
      <c r="I79" t="s">
        <v>4</v>
      </c>
      <c r="J79">
        <v>0</v>
      </c>
      <c r="K79" t="s">
        <v>4</v>
      </c>
      <c r="L79" t="s">
        <v>4</v>
      </c>
      <c r="M79">
        <v>0</v>
      </c>
    </row>
    <row r="80" spans="1:13">
      <c r="A80" t="s">
        <v>125</v>
      </c>
      <c r="B80" t="s">
        <v>4</v>
      </c>
      <c r="C80" t="s">
        <v>4</v>
      </c>
      <c r="D80" t="s">
        <v>4</v>
      </c>
      <c r="E80" t="s">
        <v>4</v>
      </c>
      <c r="F80" t="s">
        <v>4</v>
      </c>
      <c r="G80" t="s">
        <v>4</v>
      </c>
      <c r="H80" t="s">
        <v>4</v>
      </c>
      <c r="I80" t="s">
        <v>4</v>
      </c>
      <c r="J80">
        <v>0</v>
      </c>
      <c r="K80" t="s">
        <v>4</v>
      </c>
      <c r="L80" t="s">
        <v>4</v>
      </c>
      <c r="M80">
        <v>0</v>
      </c>
    </row>
    <row r="81" spans="1:13">
      <c r="A81" t="s">
        <v>126</v>
      </c>
      <c r="B81" t="s">
        <v>4</v>
      </c>
      <c r="C81" t="s">
        <v>4</v>
      </c>
      <c r="D81" t="s">
        <v>4</v>
      </c>
      <c r="E81" t="s">
        <v>4</v>
      </c>
      <c r="F81" t="s">
        <v>4</v>
      </c>
      <c r="G81" t="s">
        <v>4</v>
      </c>
      <c r="H81" t="s">
        <v>4</v>
      </c>
      <c r="I81" t="s">
        <v>4</v>
      </c>
      <c r="J81">
        <v>0</v>
      </c>
      <c r="K81" t="s">
        <v>4</v>
      </c>
      <c r="L81" t="s">
        <v>4</v>
      </c>
      <c r="M81">
        <v>0</v>
      </c>
    </row>
    <row r="82" spans="1:13">
      <c r="A82" t="s">
        <v>127</v>
      </c>
      <c r="B82" t="s">
        <v>4</v>
      </c>
      <c r="C82" t="s">
        <v>4</v>
      </c>
      <c r="D82" t="s">
        <v>4</v>
      </c>
      <c r="E82" t="s">
        <v>4</v>
      </c>
      <c r="F82" t="s">
        <v>4</v>
      </c>
      <c r="G82" t="s">
        <v>4</v>
      </c>
      <c r="H82" t="s">
        <v>4</v>
      </c>
      <c r="I82" t="s">
        <v>4</v>
      </c>
      <c r="J82">
        <v>0</v>
      </c>
      <c r="K82" t="s">
        <v>4</v>
      </c>
      <c r="L82" t="s">
        <v>4</v>
      </c>
      <c r="M82">
        <v>0</v>
      </c>
    </row>
    <row r="83" spans="1:13">
      <c r="A83" t="s">
        <v>128</v>
      </c>
      <c r="B83" t="s">
        <v>4</v>
      </c>
      <c r="C83" t="s">
        <v>4</v>
      </c>
      <c r="D83" t="s">
        <v>4</v>
      </c>
      <c r="E83" t="s">
        <v>4</v>
      </c>
      <c r="F83" t="s">
        <v>4</v>
      </c>
      <c r="G83" t="s">
        <v>4</v>
      </c>
      <c r="H83" t="s">
        <v>4</v>
      </c>
      <c r="I83" t="s">
        <v>4</v>
      </c>
      <c r="J83">
        <v>0</v>
      </c>
      <c r="K83" t="s">
        <v>4</v>
      </c>
      <c r="L83" t="s">
        <v>4</v>
      </c>
      <c r="M83">
        <v>0</v>
      </c>
    </row>
    <row r="84" spans="1:13">
      <c r="A84" t="s">
        <v>129</v>
      </c>
      <c r="B84">
        <v>10</v>
      </c>
      <c r="C84">
        <v>10</v>
      </c>
      <c r="D84">
        <v>10</v>
      </c>
      <c r="E84">
        <v>1130</v>
      </c>
      <c r="F84">
        <v>137383</v>
      </c>
      <c r="G84">
        <v>129572</v>
      </c>
      <c r="H84">
        <v>5000</v>
      </c>
      <c r="I84" t="s">
        <v>4</v>
      </c>
      <c r="J84">
        <v>500</v>
      </c>
      <c r="K84">
        <v>500</v>
      </c>
      <c r="L84" t="s">
        <v>4</v>
      </c>
      <c r="M84">
        <v>1500</v>
      </c>
    </row>
    <row r="85" spans="1:13">
      <c r="A85" t="s">
        <v>130</v>
      </c>
      <c r="B85">
        <v>8078</v>
      </c>
      <c r="C85">
        <v>9094</v>
      </c>
      <c r="D85">
        <v>11932</v>
      </c>
      <c r="E85">
        <v>19392</v>
      </c>
      <c r="F85">
        <v>16639</v>
      </c>
      <c r="G85">
        <v>25549</v>
      </c>
      <c r="H85">
        <v>26548</v>
      </c>
      <c r="I85">
        <v>4401</v>
      </c>
      <c r="J85">
        <v>4324</v>
      </c>
      <c r="K85">
        <v>1072</v>
      </c>
      <c r="L85">
        <v>779</v>
      </c>
      <c r="M85">
        <v>238</v>
      </c>
    </row>
    <row r="86" spans="1:13">
      <c r="A86" t="s">
        <v>131</v>
      </c>
      <c r="B86">
        <v>2071693</v>
      </c>
      <c r="C86">
        <v>1974851</v>
      </c>
      <c r="D86">
        <v>1893338</v>
      </c>
      <c r="E86">
        <v>1897097</v>
      </c>
      <c r="F86">
        <v>1827160</v>
      </c>
      <c r="G86">
        <v>1631446</v>
      </c>
      <c r="H86">
        <v>1003780</v>
      </c>
      <c r="I86">
        <v>768371</v>
      </c>
      <c r="J86">
        <v>612434</v>
      </c>
      <c r="K86">
        <v>426219</v>
      </c>
      <c r="L86">
        <v>432823</v>
      </c>
      <c r="M86">
        <v>328278</v>
      </c>
    </row>
    <row r="87" spans="1:13">
      <c r="A87" t="s">
        <v>132</v>
      </c>
      <c r="B87" t="s">
        <v>4</v>
      </c>
      <c r="C87" t="s">
        <v>4</v>
      </c>
      <c r="D87" t="s">
        <v>4</v>
      </c>
      <c r="E87">
        <v>141628</v>
      </c>
      <c r="F87">
        <v>4507</v>
      </c>
      <c r="G87">
        <v>146279</v>
      </c>
      <c r="H87" t="s">
        <v>4</v>
      </c>
      <c r="I87">
        <v>5000</v>
      </c>
      <c r="J87">
        <v>16005</v>
      </c>
      <c r="K87">
        <v>508</v>
      </c>
      <c r="L87">
        <v>1024</v>
      </c>
      <c r="M87">
        <v>1033</v>
      </c>
    </row>
    <row r="88" spans="1:13">
      <c r="A88" t="s">
        <v>133</v>
      </c>
      <c r="B88" t="s">
        <v>4</v>
      </c>
      <c r="C88" t="s">
        <v>4</v>
      </c>
      <c r="D88" t="s">
        <v>4</v>
      </c>
      <c r="E88" t="s">
        <v>4</v>
      </c>
      <c r="F88" t="s">
        <v>4</v>
      </c>
      <c r="G88" t="s">
        <v>4</v>
      </c>
      <c r="H88" t="s">
        <v>4</v>
      </c>
      <c r="I88" t="s">
        <v>4</v>
      </c>
      <c r="J88">
        <v>0</v>
      </c>
      <c r="K88" t="s">
        <v>4</v>
      </c>
      <c r="L88" t="s">
        <v>4</v>
      </c>
      <c r="M88">
        <v>0</v>
      </c>
    </row>
    <row r="89" spans="1:13">
      <c r="A89" t="s">
        <v>134</v>
      </c>
      <c r="B89">
        <v>89</v>
      </c>
      <c r="C89">
        <v>14</v>
      </c>
      <c r="D89">
        <v>14</v>
      </c>
      <c r="E89">
        <v>14</v>
      </c>
      <c r="F89">
        <v>14</v>
      </c>
      <c r="G89">
        <v>14</v>
      </c>
      <c r="H89">
        <v>14</v>
      </c>
      <c r="I89">
        <v>175</v>
      </c>
      <c r="J89">
        <v>175</v>
      </c>
      <c r="K89">
        <v>175</v>
      </c>
      <c r="L89">
        <v>175</v>
      </c>
      <c r="M89">
        <v>175</v>
      </c>
    </row>
    <row r="90" spans="1:13">
      <c r="A90" t="s">
        <v>135</v>
      </c>
      <c r="B90" t="s">
        <v>4</v>
      </c>
      <c r="C90" t="s">
        <v>4</v>
      </c>
      <c r="D90" t="s">
        <v>4</v>
      </c>
      <c r="E90">
        <v>52751</v>
      </c>
      <c r="F90">
        <v>47859</v>
      </c>
      <c r="G90">
        <v>33710</v>
      </c>
      <c r="H90" t="s">
        <v>4</v>
      </c>
      <c r="I90" t="s">
        <v>4</v>
      </c>
      <c r="J90">
        <v>0</v>
      </c>
      <c r="K90" t="s">
        <v>4</v>
      </c>
      <c r="L90" t="s">
        <v>4</v>
      </c>
      <c r="M90">
        <v>0</v>
      </c>
    </row>
    <row r="91" spans="1:13">
      <c r="A91" t="s">
        <v>136</v>
      </c>
      <c r="B91" t="s">
        <v>4</v>
      </c>
      <c r="C91" t="s">
        <v>4</v>
      </c>
      <c r="D91" t="s">
        <v>4</v>
      </c>
      <c r="E91" t="s">
        <v>4</v>
      </c>
      <c r="F91" t="s">
        <v>4</v>
      </c>
      <c r="G91" t="s">
        <v>4</v>
      </c>
      <c r="H91" t="s">
        <v>4</v>
      </c>
      <c r="I91" t="s">
        <v>4</v>
      </c>
      <c r="J91">
        <v>0</v>
      </c>
      <c r="K91" t="s">
        <v>4</v>
      </c>
      <c r="L91" t="s">
        <v>4</v>
      </c>
      <c r="M91">
        <v>0</v>
      </c>
    </row>
    <row r="92" spans="1:13">
      <c r="A92" t="s">
        <v>342</v>
      </c>
      <c r="B92">
        <v>20807</v>
      </c>
      <c r="C92">
        <v>21875</v>
      </c>
      <c r="D92">
        <v>23228</v>
      </c>
      <c r="E92">
        <v>5405</v>
      </c>
      <c r="F92" t="s">
        <v>4</v>
      </c>
      <c r="G92" t="s">
        <v>4</v>
      </c>
      <c r="H92" t="s">
        <v>4</v>
      </c>
      <c r="I92" t="s">
        <v>4</v>
      </c>
      <c r="J92">
        <v>0</v>
      </c>
      <c r="K92" t="s">
        <v>4</v>
      </c>
      <c r="L92" t="s">
        <v>4</v>
      </c>
      <c r="M92" t="s">
        <v>4</v>
      </c>
    </row>
    <row r="93" spans="1:13">
      <c r="A93" t="s">
        <v>137</v>
      </c>
      <c r="B93">
        <v>3846</v>
      </c>
      <c r="C93">
        <v>5503</v>
      </c>
      <c r="D93">
        <v>6438</v>
      </c>
      <c r="E93">
        <v>7847</v>
      </c>
      <c r="F93">
        <v>8713</v>
      </c>
      <c r="G93">
        <v>12852</v>
      </c>
      <c r="H93">
        <v>4096</v>
      </c>
      <c r="I93">
        <v>4026</v>
      </c>
      <c r="J93">
        <v>4734</v>
      </c>
      <c r="K93">
        <v>1022</v>
      </c>
      <c r="L93">
        <v>2713</v>
      </c>
      <c r="M93">
        <v>992</v>
      </c>
    </row>
    <row r="94" spans="1:13">
      <c r="A94" t="s">
        <v>138</v>
      </c>
      <c r="B94" t="s">
        <v>4</v>
      </c>
      <c r="C94">
        <v>165</v>
      </c>
      <c r="D94">
        <v>117</v>
      </c>
      <c r="E94">
        <v>1193</v>
      </c>
      <c r="F94">
        <v>13673</v>
      </c>
      <c r="G94">
        <v>37026</v>
      </c>
      <c r="H94">
        <v>547</v>
      </c>
      <c r="I94">
        <v>1755</v>
      </c>
      <c r="J94">
        <v>1012</v>
      </c>
      <c r="K94">
        <v>301</v>
      </c>
      <c r="L94" t="s">
        <v>4</v>
      </c>
      <c r="M94">
        <v>0</v>
      </c>
    </row>
    <row r="95" spans="1:13">
      <c r="A95" t="s">
        <v>139</v>
      </c>
      <c r="B95">
        <v>37284</v>
      </c>
      <c r="C95">
        <v>40207</v>
      </c>
      <c r="D95">
        <v>43287</v>
      </c>
      <c r="E95">
        <v>218622</v>
      </c>
      <c r="F95">
        <v>78203</v>
      </c>
      <c r="G95">
        <v>229882</v>
      </c>
      <c r="H95">
        <v>4656</v>
      </c>
      <c r="I95">
        <v>10957</v>
      </c>
      <c r="J95">
        <v>21926</v>
      </c>
      <c r="K95">
        <v>2007</v>
      </c>
      <c r="L95">
        <v>3913</v>
      </c>
      <c r="M95">
        <v>2201</v>
      </c>
    </row>
    <row r="96" spans="1:13">
      <c r="A96" t="s">
        <v>140</v>
      </c>
      <c r="B96">
        <v>2108978</v>
      </c>
      <c r="C96">
        <v>2015058</v>
      </c>
      <c r="D96">
        <v>1936625</v>
      </c>
      <c r="E96">
        <v>2115719</v>
      </c>
      <c r="F96">
        <v>1905362</v>
      </c>
      <c r="G96">
        <v>1861328</v>
      </c>
      <c r="H96">
        <v>1008436</v>
      </c>
      <c r="I96">
        <v>779327</v>
      </c>
      <c r="J96">
        <v>634360</v>
      </c>
      <c r="K96">
        <v>428226</v>
      </c>
      <c r="L96">
        <v>436736</v>
      </c>
      <c r="M96">
        <v>330479</v>
      </c>
    </row>
    <row r="97" spans="1:14">
      <c r="A97" t="s">
        <v>141</v>
      </c>
      <c r="B97">
        <v>102274</v>
      </c>
      <c r="C97">
        <v>102274</v>
      </c>
      <c r="D97">
        <v>102274</v>
      </c>
      <c r="E97">
        <v>102274</v>
      </c>
      <c r="F97">
        <v>102274</v>
      </c>
      <c r="G97">
        <v>102274</v>
      </c>
      <c r="H97">
        <v>102274</v>
      </c>
      <c r="I97">
        <v>102274</v>
      </c>
      <c r="J97">
        <v>102274</v>
      </c>
      <c r="K97">
        <v>102274</v>
      </c>
      <c r="L97">
        <v>85228</v>
      </c>
      <c r="M97">
        <v>85228</v>
      </c>
    </row>
    <row r="98" spans="1:14">
      <c r="A98" t="s">
        <v>142</v>
      </c>
      <c r="B98">
        <v>203926</v>
      </c>
      <c r="C98">
        <v>204037</v>
      </c>
      <c r="D98">
        <v>204437</v>
      </c>
      <c r="E98">
        <v>164000</v>
      </c>
      <c r="F98">
        <v>166177</v>
      </c>
      <c r="G98">
        <v>159803</v>
      </c>
      <c r="H98">
        <v>147608</v>
      </c>
      <c r="I98">
        <v>147139</v>
      </c>
      <c r="J98">
        <v>147596</v>
      </c>
      <c r="K98">
        <v>142745</v>
      </c>
      <c r="L98">
        <v>162584</v>
      </c>
      <c r="M98">
        <v>160006</v>
      </c>
    </row>
    <row r="99" spans="1:14">
      <c r="A99" t="s">
        <v>143</v>
      </c>
      <c r="B99" t="s">
        <v>4</v>
      </c>
      <c r="C99" t="s">
        <v>4</v>
      </c>
      <c r="D99" t="s">
        <v>4</v>
      </c>
      <c r="E99" t="s">
        <v>4</v>
      </c>
      <c r="F99" t="s">
        <v>4</v>
      </c>
      <c r="G99" t="s">
        <v>4</v>
      </c>
      <c r="H99" t="s">
        <v>4</v>
      </c>
      <c r="I99" t="s">
        <v>4</v>
      </c>
      <c r="J99">
        <v>0</v>
      </c>
      <c r="K99" t="s">
        <v>4</v>
      </c>
      <c r="L99" t="s">
        <v>4</v>
      </c>
      <c r="M99">
        <v>0</v>
      </c>
    </row>
    <row r="100" spans="1:14">
      <c r="A100" t="s">
        <v>144</v>
      </c>
      <c r="B100">
        <v>968</v>
      </c>
      <c r="C100">
        <v>972</v>
      </c>
      <c r="D100">
        <v>992</v>
      </c>
      <c r="E100">
        <v>812</v>
      </c>
      <c r="F100">
        <v>610</v>
      </c>
      <c r="G100">
        <v>359</v>
      </c>
      <c r="H100" t="s">
        <v>4</v>
      </c>
      <c r="I100" t="s">
        <v>4</v>
      </c>
      <c r="J100">
        <v>0</v>
      </c>
      <c r="K100" t="s">
        <v>4</v>
      </c>
      <c r="L100" t="s">
        <v>4</v>
      </c>
      <c r="M100" t="s">
        <v>4</v>
      </c>
    </row>
    <row r="101" spans="1:14">
      <c r="A101" t="s">
        <v>145</v>
      </c>
      <c r="B101">
        <v>132065</v>
      </c>
      <c r="C101">
        <v>132065</v>
      </c>
      <c r="D101">
        <v>132065</v>
      </c>
      <c r="E101">
        <v>132065</v>
      </c>
      <c r="F101">
        <v>132065</v>
      </c>
      <c r="G101">
        <v>130630</v>
      </c>
      <c r="H101">
        <v>123460</v>
      </c>
      <c r="I101">
        <v>115777</v>
      </c>
      <c r="J101">
        <v>100351</v>
      </c>
      <c r="K101">
        <v>87031</v>
      </c>
      <c r="L101">
        <v>74715</v>
      </c>
      <c r="M101">
        <v>61767</v>
      </c>
    </row>
    <row r="102" spans="1:14">
      <c r="A102" t="s">
        <v>146</v>
      </c>
      <c r="B102" t="s">
        <v>4</v>
      </c>
      <c r="C102" t="s">
        <v>4</v>
      </c>
      <c r="D102" t="s">
        <v>4</v>
      </c>
      <c r="E102" t="s">
        <v>4</v>
      </c>
      <c r="F102" t="s">
        <v>4</v>
      </c>
      <c r="G102" t="s">
        <v>4</v>
      </c>
      <c r="H102" t="s">
        <v>4</v>
      </c>
      <c r="I102" t="s">
        <v>4</v>
      </c>
      <c r="J102">
        <v>0</v>
      </c>
      <c r="K102" t="s">
        <v>4</v>
      </c>
      <c r="L102" t="s">
        <v>4</v>
      </c>
      <c r="M102">
        <v>0</v>
      </c>
    </row>
    <row r="103" spans="1:14">
      <c r="A103" t="s">
        <v>147</v>
      </c>
      <c r="B103" t="s">
        <v>4</v>
      </c>
      <c r="C103" t="s">
        <v>4</v>
      </c>
      <c r="D103" t="s">
        <v>4</v>
      </c>
      <c r="E103" t="s">
        <v>4</v>
      </c>
      <c r="F103" t="s">
        <v>4</v>
      </c>
      <c r="G103" t="s">
        <v>4</v>
      </c>
      <c r="H103" t="s">
        <v>4</v>
      </c>
      <c r="I103" t="s">
        <v>4</v>
      </c>
      <c r="J103">
        <v>0</v>
      </c>
      <c r="K103" t="s">
        <v>4</v>
      </c>
      <c r="L103" t="s">
        <v>4</v>
      </c>
      <c r="M103">
        <v>0</v>
      </c>
    </row>
    <row r="104" spans="1:14">
      <c r="A104" t="s">
        <v>148</v>
      </c>
      <c r="B104">
        <v>557715</v>
      </c>
      <c r="C104">
        <v>470664</v>
      </c>
      <c r="D104">
        <v>360598</v>
      </c>
      <c r="E104">
        <v>224564</v>
      </c>
      <c r="F104">
        <v>175537</v>
      </c>
      <c r="G104">
        <v>111801</v>
      </c>
      <c r="H104">
        <v>220043</v>
      </c>
      <c r="I104">
        <v>183518</v>
      </c>
      <c r="J104">
        <v>146179</v>
      </c>
      <c r="K104">
        <v>125712</v>
      </c>
      <c r="L104">
        <v>84812</v>
      </c>
      <c r="M104">
        <v>51306</v>
      </c>
    </row>
    <row r="105" spans="1:14">
      <c r="A105" t="s">
        <v>149</v>
      </c>
      <c r="B105" t="s">
        <v>4</v>
      </c>
      <c r="C105" t="s">
        <v>4</v>
      </c>
      <c r="D105" t="s">
        <v>4</v>
      </c>
      <c r="E105" t="s">
        <v>4</v>
      </c>
      <c r="F105" t="s">
        <v>4</v>
      </c>
      <c r="G105" t="s">
        <v>4</v>
      </c>
      <c r="H105" t="s">
        <v>4</v>
      </c>
      <c r="I105" t="s">
        <v>4</v>
      </c>
      <c r="J105">
        <v>0</v>
      </c>
      <c r="K105" t="s">
        <v>4</v>
      </c>
      <c r="L105" t="s">
        <v>4</v>
      </c>
      <c r="M105">
        <v>0</v>
      </c>
    </row>
    <row r="106" spans="1:14">
      <c r="A106" t="s">
        <v>150</v>
      </c>
      <c r="B106" t="s">
        <v>4</v>
      </c>
      <c r="C106" t="s">
        <v>4</v>
      </c>
      <c r="D106" t="s">
        <v>4</v>
      </c>
      <c r="E106" t="s">
        <v>4</v>
      </c>
      <c r="F106">
        <v>-1220</v>
      </c>
      <c r="G106">
        <v>5590</v>
      </c>
      <c r="H106" t="s">
        <v>4</v>
      </c>
      <c r="I106" t="s">
        <v>4</v>
      </c>
      <c r="J106">
        <v>-1393</v>
      </c>
      <c r="K106">
        <v>-1308</v>
      </c>
      <c r="L106">
        <v>-910</v>
      </c>
      <c r="M106">
        <v>-925</v>
      </c>
    </row>
    <row r="107" spans="1:14">
      <c r="A107" t="s">
        <v>151</v>
      </c>
      <c r="B107">
        <v>1003584</v>
      </c>
      <c r="C107">
        <v>921458</v>
      </c>
      <c r="D107">
        <v>811911</v>
      </c>
      <c r="E107">
        <v>626062</v>
      </c>
      <c r="F107">
        <v>575443</v>
      </c>
      <c r="G107">
        <v>510456</v>
      </c>
      <c r="H107">
        <v>593385</v>
      </c>
      <c r="I107">
        <v>548708</v>
      </c>
      <c r="J107">
        <v>495006</v>
      </c>
      <c r="K107">
        <v>456454</v>
      </c>
      <c r="L107">
        <v>406429</v>
      </c>
      <c r="M107">
        <v>357383</v>
      </c>
    </row>
    <row r="108" spans="1:14">
      <c r="A108" t="s">
        <v>152</v>
      </c>
      <c r="B108">
        <v>239475</v>
      </c>
      <c r="C108">
        <v>237588</v>
      </c>
      <c r="D108">
        <v>236737</v>
      </c>
      <c r="E108">
        <v>235129</v>
      </c>
      <c r="F108">
        <v>231240</v>
      </c>
      <c r="G108">
        <v>202584</v>
      </c>
      <c r="H108">
        <v>189222</v>
      </c>
      <c r="I108">
        <v>190730</v>
      </c>
      <c r="J108">
        <v>181797</v>
      </c>
      <c r="K108">
        <v>163020</v>
      </c>
      <c r="L108">
        <v>159447</v>
      </c>
      <c r="M108">
        <v>155647</v>
      </c>
    </row>
    <row r="109" spans="1:14">
      <c r="A109" t="s">
        <v>153</v>
      </c>
      <c r="B109">
        <v>1243060</v>
      </c>
      <c r="C109">
        <v>1159046</v>
      </c>
      <c r="D109">
        <v>1048649</v>
      </c>
      <c r="E109">
        <v>861190</v>
      </c>
      <c r="F109">
        <v>806683</v>
      </c>
      <c r="G109">
        <v>713040</v>
      </c>
      <c r="H109">
        <v>782606</v>
      </c>
      <c r="I109">
        <v>739437</v>
      </c>
      <c r="J109">
        <v>676802</v>
      </c>
      <c r="K109">
        <v>619474</v>
      </c>
      <c r="L109">
        <v>565875</v>
      </c>
      <c r="M109">
        <v>513030</v>
      </c>
    </row>
    <row r="110" spans="1:14">
      <c r="A110" t="s">
        <v>154</v>
      </c>
      <c r="B110">
        <v>3352037</v>
      </c>
      <c r="C110">
        <v>3174104</v>
      </c>
      <c r="D110">
        <v>2985273</v>
      </c>
      <c r="E110">
        <v>2976909</v>
      </c>
      <c r="F110">
        <v>2712046</v>
      </c>
      <c r="G110">
        <v>2574368</v>
      </c>
      <c r="H110">
        <v>1791042</v>
      </c>
      <c r="I110">
        <v>1518765</v>
      </c>
      <c r="J110">
        <v>1311163</v>
      </c>
      <c r="K110">
        <v>1047700</v>
      </c>
      <c r="L110">
        <v>1002611</v>
      </c>
      <c r="M110">
        <v>843509</v>
      </c>
      <c r="N110" t="s">
        <v>155</v>
      </c>
    </row>
    <row r="111" spans="1:14">
      <c r="A111" t="s">
        <v>156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M47"/>
  <sheetViews>
    <sheetView topLeftCell="A16" workbookViewId="0">
      <selection activeCell="A57" sqref="A57"/>
    </sheetView>
  </sheetViews>
  <sheetFormatPr defaultRowHeight="13.5"/>
  <cols>
    <col min="1" max="1" width="38.125" bestFit="1" customWidth="1"/>
    <col min="2" max="13" width="11.625" bestFit="1" customWidth="1"/>
    <col min="14" max="14" width="1.5" bestFit="1" customWidth="1"/>
    <col min="15" max="16" width="10.5" bestFit="1" customWidth="1"/>
    <col min="17" max="17" width="11.625" bestFit="1" customWidth="1"/>
    <col min="18" max="20" width="10.5" bestFit="1" customWidth="1"/>
    <col min="21" max="21" width="11.625" bestFit="1" customWidth="1"/>
    <col min="22" max="24" width="10.5" bestFit="1" customWidth="1"/>
    <col min="25" max="25" width="11.625" bestFit="1" customWidth="1"/>
    <col min="26" max="28" width="10.5" bestFit="1" customWidth="1"/>
    <col min="29" max="29" width="11.625" bestFit="1" customWidth="1"/>
    <col min="30" max="31" width="10.5" bestFit="1" customWidth="1"/>
    <col min="32" max="34" width="11.625" bestFit="1" customWidth="1"/>
  </cols>
  <sheetData>
    <row r="1" spans="1:13">
      <c r="A1">
        <v>600835</v>
      </c>
    </row>
    <row r="2" spans="1:13">
      <c r="A2" t="s">
        <v>0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1</v>
      </c>
      <c r="B3">
        <v>1947115</v>
      </c>
      <c r="C3">
        <v>1893855</v>
      </c>
      <c r="D3">
        <v>1929553</v>
      </c>
      <c r="E3">
        <v>2077893</v>
      </c>
      <c r="F3">
        <v>1990708</v>
      </c>
      <c r="G3">
        <v>1774325</v>
      </c>
      <c r="H3">
        <v>1450238</v>
      </c>
      <c r="I3">
        <v>1325998</v>
      </c>
      <c r="J3">
        <v>1098624</v>
      </c>
      <c r="K3">
        <v>1044738</v>
      </c>
      <c r="L3">
        <v>918619</v>
      </c>
      <c r="M3">
        <v>745267</v>
      </c>
    </row>
    <row r="4" spans="1:13">
      <c r="A4" t="s">
        <v>2</v>
      </c>
      <c r="B4">
        <v>1947115</v>
      </c>
      <c r="C4">
        <v>1893855</v>
      </c>
      <c r="D4">
        <v>1929553</v>
      </c>
      <c r="E4">
        <v>2077893</v>
      </c>
      <c r="F4">
        <v>1990708</v>
      </c>
      <c r="G4">
        <v>1774325</v>
      </c>
      <c r="H4">
        <v>1450238</v>
      </c>
      <c r="I4">
        <v>1325998</v>
      </c>
      <c r="J4">
        <v>1098624</v>
      </c>
      <c r="K4">
        <v>1044738</v>
      </c>
      <c r="L4">
        <v>918619</v>
      </c>
      <c r="M4">
        <v>745267</v>
      </c>
    </row>
    <row r="5" spans="1:13">
      <c r="A5" t="s">
        <v>3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>
        <v>0</v>
      </c>
      <c r="K5" t="s">
        <v>4</v>
      </c>
      <c r="L5" t="s">
        <v>4</v>
      </c>
      <c r="M5" t="s">
        <v>4</v>
      </c>
    </row>
    <row r="6" spans="1:13">
      <c r="A6" t="s">
        <v>5</v>
      </c>
      <c r="B6" t="s">
        <v>4</v>
      </c>
      <c r="C6" t="s">
        <v>4</v>
      </c>
      <c r="D6" t="s">
        <v>4</v>
      </c>
      <c r="E6" t="s">
        <v>4</v>
      </c>
      <c r="F6" t="s">
        <v>4</v>
      </c>
      <c r="G6" t="s">
        <v>4</v>
      </c>
      <c r="H6" t="s">
        <v>4</v>
      </c>
      <c r="I6" t="s">
        <v>4</v>
      </c>
      <c r="J6">
        <v>0</v>
      </c>
      <c r="K6" t="s">
        <v>4</v>
      </c>
      <c r="L6" t="s">
        <v>4</v>
      </c>
      <c r="M6" t="s">
        <v>4</v>
      </c>
    </row>
    <row r="7" spans="1:13">
      <c r="A7" t="s">
        <v>6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>
        <v>0</v>
      </c>
      <c r="K7" t="s">
        <v>4</v>
      </c>
      <c r="L7" t="s">
        <v>4</v>
      </c>
      <c r="M7" t="s">
        <v>4</v>
      </c>
    </row>
    <row r="8" spans="1:13">
      <c r="A8" t="s">
        <v>7</v>
      </c>
      <c r="B8" t="s">
        <v>4</v>
      </c>
      <c r="C8" t="s">
        <v>4</v>
      </c>
      <c r="D8" t="s">
        <v>4</v>
      </c>
      <c r="E8" t="s">
        <v>4</v>
      </c>
      <c r="F8" t="s">
        <v>4</v>
      </c>
      <c r="G8" t="s">
        <v>4</v>
      </c>
      <c r="H8" t="s">
        <v>4</v>
      </c>
      <c r="I8" t="s">
        <v>4</v>
      </c>
      <c r="J8">
        <v>0</v>
      </c>
      <c r="K8" t="s">
        <v>4</v>
      </c>
      <c r="L8" t="s">
        <v>4</v>
      </c>
      <c r="M8" t="s">
        <v>4</v>
      </c>
    </row>
    <row r="9" spans="1:13">
      <c r="A9" t="s">
        <v>8</v>
      </c>
      <c r="B9" t="s">
        <v>4</v>
      </c>
      <c r="C9" t="s">
        <v>4</v>
      </c>
      <c r="D9" t="s">
        <v>4</v>
      </c>
      <c r="E9" t="s">
        <v>4</v>
      </c>
      <c r="F9" t="s">
        <v>4</v>
      </c>
      <c r="G9" t="s">
        <v>4</v>
      </c>
      <c r="H9" t="s">
        <v>4</v>
      </c>
      <c r="I9" t="s">
        <v>4</v>
      </c>
      <c r="J9">
        <v>0</v>
      </c>
      <c r="K9" t="s">
        <v>4</v>
      </c>
      <c r="L9" t="s">
        <v>4</v>
      </c>
      <c r="M9" t="s">
        <v>4</v>
      </c>
    </row>
    <row r="10" spans="1:13">
      <c r="A10" t="s">
        <v>9</v>
      </c>
      <c r="B10">
        <v>1721591</v>
      </c>
      <c r="C10">
        <v>1687024</v>
      </c>
      <c r="D10">
        <v>1774918</v>
      </c>
      <c r="E10">
        <v>1915344</v>
      </c>
      <c r="F10">
        <v>1842380</v>
      </c>
      <c r="G10">
        <v>1668078</v>
      </c>
      <c r="H10">
        <v>1356915</v>
      </c>
      <c r="I10">
        <v>1249114</v>
      </c>
      <c r="J10">
        <v>1037316</v>
      </c>
      <c r="K10">
        <v>976337</v>
      </c>
      <c r="L10">
        <v>844406</v>
      </c>
      <c r="M10">
        <v>681076</v>
      </c>
    </row>
    <row r="11" spans="1:13">
      <c r="A11" t="s">
        <v>10</v>
      </c>
      <c r="B11">
        <v>1522693</v>
      </c>
      <c r="C11">
        <v>1478097</v>
      </c>
      <c r="D11">
        <v>1511788</v>
      </c>
      <c r="E11">
        <v>1624213</v>
      </c>
      <c r="F11">
        <v>1567077</v>
      </c>
      <c r="G11">
        <v>1429520</v>
      </c>
      <c r="H11">
        <v>1165469</v>
      </c>
      <c r="I11">
        <v>1070028</v>
      </c>
      <c r="J11">
        <v>888816</v>
      </c>
      <c r="K11">
        <v>848910</v>
      </c>
      <c r="L11">
        <v>727725</v>
      </c>
      <c r="M11">
        <v>590863</v>
      </c>
    </row>
    <row r="12" spans="1:13">
      <c r="A12" t="s">
        <v>11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>
        <v>0</v>
      </c>
      <c r="K12" t="s">
        <v>4</v>
      </c>
      <c r="L12" t="s">
        <v>4</v>
      </c>
      <c r="M12" t="s">
        <v>4</v>
      </c>
    </row>
    <row r="13" spans="1:13">
      <c r="A13" t="s">
        <v>12</v>
      </c>
      <c r="B13" t="s">
        <v>4</v>
      </c>
      <c r="C13" t="s">
        <v>4</v>
      </c>
      <c r="D13" t="s">
        <v>4</v>
      </c>
      <c r="E13" t="s">
        <v>4</v>
      </c>
      <c r="F13" t="s">
        <v>4</v>
      </c>
      <c r="G13" t="s">
        <v>4</v>
      </c>
      <c r="H13" t="s">
        <v>4</v>
      </c>
      <c r="I13" t="s">
        <v>4</v>
      </c>
      <c r="J13">
        <v>0</v>
      </c>
      <c r="K13" t="s">
        <v>4</v>
      </c>
      <c r="L13" t="s">
        <v>4</v>
      </c>
      <c r="M13" t="s">
        <v>4</v>
      </c>
    </row>
    <row r="14" spans="1:13">
      <c r="A14" t="s">
        <v>13</v>
      </c>
      <c r="B14" t="s">
        <v>4</v>
      </c>
      <c r="C14" t="s">
        <v>4</v>
      </c>
      <c r="D14" t="s">
        <v>4</v>
      </c>
      <c r="E14" t="s">
        <v>4</v>
      </c>
      <c r="F14" t="s">
        <v>4</v>
      </c>
      <c r="G14" t="s">
        <v>4</v>
      </c>
      <c r="H14" t="s">
        <v>4</v>
      </c>
      <c r="I14" t="s">
        <v>4</v>
      </c>
      <c r="J14">
        <v>0</v>
      </c>
      <c r="K14" t="s">
        <v>4</v>
      </c>
      <c r="L14" t="s">
        <v>4</v>
      </c>
      <c r="M14" t="s">
        <v>4</v>
      </c>
    </row>
    <row r="15" spans="1:13">
      <c r="A15" t="s">
        <v>14</v>
      </c>
      <c r="B15" t="s">
        <v>4</v>
      </c>
      <c r="C15" t="s">
        <v>4</v>
      </c>
      <c r="D15" t="s">
        <v>4</v>
      </c>
      <c r="E15" t="s">
        <v>4</v>
      </c>
      <c r="F15" t="s">
        <v>4</v>
      </c>
      <c r="G15" t="s">
        <v>4</v>
      </c>
      <c r="H15" t="s">
        <v>4</v>
      </c>
      <c r="I15" t="s">
        <v>4</v>
      </c>
      <c r="J15">
        <v>0</v>
      </c>
      <c r="K15" t="s">
        <v>4</v>
      </c>
      <c r="L15" t="s">
        <v>4</v>
      </c>
      <c r="M15" t="s">
        <v>4</v>
      </c>
    </row>
    <row r="16" spans="1:13">
      <c r="A16" t="s">
        <v>15</v>
      </c>
      <c r="B16" t="s">
        <v>4</v>
      </c>
      <c r="C16" t="s">
        <v>4</v>
      </c>
      <c r="D16" t="s">
        <v>4</v>
      </c>
      <c r="E16" t="s">
        <v>4</v>
      </c>
      <c r="F16" t="s">
        <v>4</v>
      </c>
      <c r="G16" t="s">
        <v>4</v>
      </c>
      <c r="H16" t="s">
        <v>4</v>
      </c>
      <c r="I16" t="s">
        <v>4</v>
      </c>
      <c r="J16">
        <v>0</v>
      </c>
      <c r="K16" t="s">
        <v>4</v>
      </c>
      <c r="L16" t="s">
        <v>4</v>
      </c>
      <c r="M16" t="s">
        <v>4</v>
      </c>
    </row>
    <row r="17" spans="1:13">
      <c r="A17" t="s">
        <v>16</v>
      </c>
      <c r="B17" t="s">
        <v>4</v>
      </c>
      <c r="C17" t="s">
        <v>4</v>
      </c>
      <c r="D17" t="s">
        <v>4</v>
      </c>
      <c r="E17" t="s">
        <v>4</v>
      </c>
      <c r="F17" t="s">
        <v>4</v>
      </c>
      <c r="G17" t="s">
        <v>4</v>
      </c>
      <c r="H17" t="s">
        <v>4</v>
      </c>
      <c r="I17" t="s">
        <v>4</v>
      </c>
      <c r="J17">
        <v>0</v>
      </c>
      <c r="K17" t="s">
        <v>4</v>
      </c>
      <c r="L17" t="s">
        <v>4</v>
      </c>
      <c r="M17" t="s">
        <v>4</v>
      </c>
    </row>
    <row r="18" spans="1:13">
      <c r="A18" t="s">
        <v>17</v>
      </c>
      <c r="B18" t="s">
        <v>4</v>
      </c>
      <c r="C18" t="s">
        <v>4</v>
      </c>
      <c r="D18" t="s">
        <v>4</v>
      </c>
      <c r="E18" t="s">
        <v>4</v>
      </c>
      <c r="F18" t="s">
        <v>4</v>
      </c>
      <c r="G18" t="s">
        <v>4</v>
      </c>
      <c r="H18" t="s">
        <v>4</v>
      </c>
      <c r="I18" t="s">
        <v>4</v>
      </c>
      <c r="J18">
        <v>0</v>
      </c>
      <c r="K18" t="s">
        <v>4</v>
      </c>
      <c r="L18" t="s">
        <v>4</v>
      </c>
      <c r="M18" t="s">
        <v>4</v>
      </c>
    </row>
    <row r="19" spans="1:13">
      <c r="A19" t="s">
        <v>18</v>
      </c>
      <c r="B19" t="s">
        <v>4</v>
      </c>
      <c r="C19" t="s">
        <v>4</v>
      </c>
      <c r="D19" t="s">
        <v>4</v>
      </c>
      <c r="E19" t="s">
        <v>4</v>
      </c>
      <c r="F19" t="s">
        <v>4</v>
      </c>
      <c r="G19" t="s">
        <v>4</v>
      </c>
      <c r="H19" t="s">
        <v>4</v>
      </c>
      <c r="I19" t="s">
        <v>4</v>
      </c>
      <c r="J19">
        <v>0</v>
      </c>
      <c r="K19" t="s">
        <v>4</v>
      </c>
      <c r="L19" t="s">
        <v>4</v>
      </c>
      <c r="M19" t="s">
        <v>4</v>
      </c>
    </row>
    <row r="20" spans="1:13">
      <c r="A20" t="s">
        <v>19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t="s">
        <v>4</v>
      </c>
      <c r="H20" t="s">
        <v>4</v>
      </c>
      <c r="I20" t="s">
        <v>4</v>
      </c>
      <c r="J20">
        <v>0</v>
      </c>
      <c r="K20" t="s">
        <v>4</v>
      </c>
      <c r="L20" t="s">
        <v>4</v>
      </c>
      <c r="M20" t="s">
        <v>4</v>
      </c>
    </row>
    <row r="21" spans="1:13">
      <c r="A21" t="s">
        <v>20</v>
      </c>
      <c r="B21" t="s">
        <v>4</v>
      </c>
      <c r="C21" t="s">
        <v>4</v>
      </c>
      <c r="D21" t="s">
        <v>4</v>
      </c>
      <c r="E21" t="s">
        <v>4</v>
      </c>
      <c r="F21" t="s">
        <v>4</v>
      </c>
      <c r="G21" t="s">
        <v>4</v>
      </c>
      <c r="H21" t="s">
        <v>4</v>
      </c>
      <c r="I21" t="s">
        <v>4</v>
      </c>
      <c r="J21">
        <v>0</v>
      </c>
      <c r="K21" t="s">
        <v>4</v>
      </c>
      <c r="L21" t="s">
        <v>4</v>
      </c>
      <c r="M21" t="s">
        <v>4</v>
      </c>
    </row>
    <row r="22" spans="1:13">
      <c r="A22" t="s">
        <v>21</v>
      </c>
      <c r="B22">
        <v>11828</v>
      </c>
      <c r="C22">
        <v>14829</v>
      </c>
      <c r="D22">
        <v>15130</v>
      </c>
      <c r="E22">
        <v>15454</v>
      </c>
      <c r="F22">
        <v>13770</v>
      </c>
      <c r="G22">
        <v>15109</v>
      </c>
      <c r="H22">
        <v>9476</v>
      </c>
      <c r="I22">
        <v>4705</v>
      </c>
      <c r="J22">
        <v>3643</v>
      </c>
      <c r="K22">
        <v>3005</v>
      </c>
      <c r="L22">
        <v>2913</v>
      </c>
      <c r="M22">
        <v>2441</v>
      </c>
    </row>
    <row r="23" spans="1:13">
      <c r="A23" t="s">
        <v>22</v>
      </c>
      <c r="B23">
        <v>70652</v>
      </c>
      <c r="C23">
        <v>68978</v>
      </c>
      <c r="D23">
        <v>77214</v>
      </c>
      <c r="E23">
        <v>98382</v>
      </c>
      <c r="F23">
        <v>93823</v>
      </c>
      <c r="G23">
        <v>85863</v>
      </c>
      <c r="H23">
        <v>64844</v>
      </c>
      <c r="I23">
        <v>57244</v>
      </c>
      <c r="J23">
        <v>52056</v>
      </c>
      <c r="K23">
        <v>45080</v>
      </c>
      <c r="L23">
        <v>49205</v>
      </c>
      <c r="M23">
        <v>35193</v>
      </c>
    </row>
    <row r="24" spans="1:13">
      <c r="A24" t="s">
        <v>23</v>
      </c>
      <c r="B24">
        <v>129781</v>
      </c>
      <c r="C24">
        <v>134847</v>
      </c>
      <c r="D24">
        <v>178246</v>
      </c>
      <c r="E24">
        <v>187678</v>
      </c>
      <c r="F24">
        <v>183973</v>
      </c>
      <c r="G24">
        <v>148234</v>
      </c>
      <c r="H24">
        <v>121784</v>
      </c>
      <c r="I24">
        <v>107706</v>
      </c>
      <c r="J24">
        <v>89971</v>
      </c>
      <c r="K24">
        <v>75914</v>
      </c>
      <c r="L24">
        <v>63891</v>
      </c>
      <c r="M24">
        <v>46379</v>
      </c>
    </row>
    <row r="25" spans="1:13">
      <c r="A25" t="s">
        <v>24</v>
      </c>
      <c r="B25">
        <v>-21853</v>
      </c>
      <c r="C25">
        <v>-28350</v>
      </c>
      <c r="D25">
        <v>-31808</v>
      </c>
      <c r="E25">
        <v>-22786</v>
      </c>
      <c r="F25">
        <v>-25883</v>
      </c>
      <c r="G25">
        <v>-15952</v>
      </c>
      <c r="H25">
        <v>-13985</v>
      </c>
      <c r="I25">
        <v>-8760</v>
      </c>
      <c r="J25">
        <v>-8639</v>
      </c>
      <c r="K25">
        <v>-8103</v>
      </c>
      <c r="L25">
        <v>-3669</v>
      </c>
      <c r="M25">
        <v>-2407</v>
      </c>
    </row>
    <row r="26" spans="1:13">
      <c r="A26" t="s">
        <v>25</v>
      </c>
      <c r="B26">
        <v>8489</v>
      </c>
      <c r="C26">
        <v>18623</v>
      </c>
      <c r="D26">
        <v>24348</v>
      </c>
      <c r="E26">
        <v>12404</v>
      </c>
      <c r="F26">
        <v>9621</v>
      </c>
      <c r="G26">
        <v>5303</v>
      </c>
      <c r="H26">
        <v>9327</v>
      </c>
      <c r="I26">
        <v>18191</v>
      </c>
      <c r="J26">
        <v>11469</v>
      </c>
      <c r="K26">
        <v>11530</v>
      </c>
      <c r="L26">
        <v>4341</v>
      </c>
      <c r="M26">
        <v>8607</v>
      </c>
    </row>
    <row r="27" spans="1:13">
      <c r="A27" t="s">
        <v>26</v>
      </c>
      <c r="B27" t="s">
        <v>4</v>
      </c>
      <c r="C27" t="s">
        <v>4</v>
      </c>
      <c r="D27" t="s">
        <v>4</v>
      </c>
      <c r="E27" t="s">
        <v>4</v>
      </c>
      <c r="F27" t="s">
        <v>4</v>
      </c>
      <c r="G27" t="s">
        <v>4</v>
      </c>
      <c r="H27" t="s">
        <v>4</v>
      </c>
      <c r="I27" t="s">
        <v>4</v>
      </c>
      <c r="J27">
        <v>0</v>
      </c>
      <c r="K27" t="s">
        <v>4</v>
      </c>
      <c r="L27" t="s">
        <v>4</v>
      </c>
      <c r="M27" t="s">
        <v>4</v>
      </c>
    </row>
    <row r="28" spans="1:13">
      <c r="A28" t="s">
        <v>27</v>
      </c>
      <c r="B28">
        <v>33516</v>
      </c>
      <c r="C28">
        <v>56483</v>
      </c>
      <c r="D28">
        <v>115121</v>
      </c>
      <c r="E28">
        <v>31631</v>
      </c>
      <c r="F28">
        <v>24326</v>
      </c>
      <c r="G28">
        <v>43706</v>
      </c>
      <c r="H28">
        <v>34545</v>
      </c>
      <c r="I28">
        <v>35849</v>
      </c>
      <c r="J28">
        <v>25151</v>
      </c>
      <c r="K28">
        <v>41210</v>
      </c>
      <c r="L28">
        <v>25143</v>
      </c>
      <c r="M28">
        <v>12857</v>
      </c>
    </row>
    <row r="29" spans="1:13">
      <c r="A29" t="s">
        <v>28</v>
      </c>
      <c r="B29">
        <v>28014</v>
      </c>
      <c r="C29">
        <v>27567</v>
      </c>
      <c r="D29">
        <v>21672</v>
      </c>
      <c r="E29">
        <v>30834</v>
      </c>
      <c r="F29">
        <v>36788</v>
      </c>
      <c r="G29">
        <v>28063</v>
      </c>
      <c r="H29">
        <v>34256</v>
      </c>
      <c r="I29">
        <v>36653</v>
      </c>
      <c r="J29">
        <v>24704</v>
      </c>
      <c r="K29">
        <v>23614</v>
      </c>
      <c r="L29">
        <v>25041</v>
      </c>
      <c r="M29">
        <v>8774</v>
      </c>
    </row>
    <row r="30" spans="1:13">
      <c r="A30" t="s">
        <v>29</v>
      </c>
      <c r="B30" t="s">
        <v>4</v>
      </c>
      <c r="C30" t="s">
        <v>4</v>
      </c>
      <c r="D30" t="s">
        <v>4</v>
      </c>
      <c r="E30" t="s">
        <v>4</v>
      </c>
      <c r="F30" t="s">
        <v>4</v>
      </c>
      <c r="G30" t="s">
        <v>4</v>
      </c>
      <c r="H30" t="s">
        <v>4</v>
      </c>
      <c r="I30" t="s">
        <v>4</v>
      </c>
      <c r="J30">
        <v>0</v>
      </c>
      <c r="K30" t="s">
        <v>4</v>
      </c>
      <c r="L30" t="s">
        <v>4</v>
      </c>
      <c r="M30" t="s">
        <v>4</v>
      </c>
    </row>
    <row r="31" spans="1:13">
      <c r="A31" t="s">
        <v>30</v>
      </c>
      <c r="B31" t="s">
        <v>4</v>
      </c>
      <c r="C31" t="s">
        <v>4</v>
      </c>
      <c r="D31" t="s">
        <v>4</v>
      </c>
      <c r="E31" t="s">
        <v>4</v>
      </c>
      <c r="F31" t="s">
        <v>4</v>
      </c>
      <c r="G31" t="s">
        <v>4</v>
      </c>
      <c r="H31" t="s">
        <v>4</v>
      </c>
      <c r="I31" t="s">
        <v>4</v>
      </c>
      <c r="J31">
        <v>0</v>
      </c>
      <c r="K31" t="s">
        <v>4</v>
      </c>
      <c r="L31" t="s">
        <v>4</v>
      </c>
      <c r="M31" t="s">
        <v>4</v>
      </c>
    </row>
    <row r="32" spans="1:13">
      <c r="A32" t="s">
        <v>31</v>
      </c>
      <c r="B32" t="s">
        <v>4</v>
      </c>
      <c r="C32" t="s">
        <v>4</v>
      </c>
      <c r="D32" t="s">
        <v>4</v>
      </c>
      <c r="E32" t="s">
        <v>4</v>
      </c>
      <c r="F32" t="s">
        <v>4</v>
      </c>
      <c r="G32" t="s">
        <v>4</v>
      </c>
      <c r="H32" t="s">
        <v>4</v>
      </c>
      <c r="I32" t="s">
        <v>4</v>
      </c>
      <c r="J32">
        <v>0</v>
      </c>
      <c r="K32" t="s">
        <v>4</v>
      </c>
      <c r="L32" t="s">
        <v>4</v>
      </c>
      <c r="M32" t="s">
        <v>4</v>
      </c>
    </row>
    <row r="33" spans="1:13">
      <c r="A33" t="s">
        <v>32</v>
      </c>
      <c r="B33" t="s">
        <v>4</v>
      </c>
      <c r="C33" t="s">
        <v>4</v>
      </c>
      <c r="D33" t="s">
        <v>4</v>
      </c>
      <c r="E33" t="s">
        <v>4</v>
      </c>
      <c r="F33" t="s">
        <v>4</v>
      </c>
      <c r="G33" t="s">
        <v>4</v>
      </c>
      <c r="H33" t="s">
        <v>4</v>
      </c>
      <c r="I33" t="s">
        <v>4</v>
      </c>
      <c r="J33">
        <v>0</v>
      </c>
      <c r="K33" t="s">
        <v>4</v>
      </c>
      <c r="L33" t="s">
        <v>4</v>
      </c>
      <c r="M33" t="s">
        <v>4</v>
      </c>
    </row>
    <row r="34" spans="1:13">
      <c r="A34" t="s">
        <v>33</v>
      </c>
      <c r="B34" t="s">
        <v>4</v>
      </c>
      <c r="C34" t="s">
        <v>4</v>
      </c>
      <c r="D34" t="s">
        <v>4</v>
      </c>
      <c r="E34" t="s">
        <v>4</v>
      </c>
      <c r="F34" t="s">
        <v>4</v>
      </c>
      <c r="G34" t="s">
        <v>4</v>
      </c>
      <c r="H34" t="s">
        <v>4</v>
      </c>
      <c r="I34" t="s">
        <v>4</v>
      </c>
      <c r="J34">
        <v>0</v>
      </c>
      <c r="K34" t="s">
        <v>4</v>
      </c>
      <c r="L34" t="s">
        <v>4</v>
      </c>
      <c r="M34" t="s">
        <v>4</v>
      </c>
    </row>
    <row r="35" spans="1:13">
      <c r="A35" t="s">
        <v>34</v>
      </c>
      <c r="B35">
        <v>262584</v>
      </c>
      <c r="C35">
        <v>263314</v>
      </c>
      <c r="D35">
        <v>269756</v>
      </c>
      <c r="E35">
        <v>194181</v>
      </c>
      <c r="F35">
        <v>172653</v>
      </c>
      <c r="G35">
        <v>149954</v>
      </c>
      <c r="H35">
        <v>127868</v>
      </c>
      <c r="I35">
        <v>112733</v>
      </c>
      <c r="J35">
        <v>86458</v>
      </c>
      <c r="K35">
        <v>109612</v>
      </c>
      <c r="L35">
        <v>99356</v>
      </c>
      <c r="M35">
        <v>77047</v>
      </c>
    </row>
    <row r="36" spans="1:13">
      <c r="A36" t="s">
        <v>35</v>
      </c>
      <c r="B36">
        <v>7578</v>
      </c>
      <c r="C36">
        <v>13965</v>
      </c>
      <c r="D36">
        <v>52198</v>
      </c>
      <c r="E36">
        <v>20181</v>
      </c>
      <c r="F36">
        <v>36267</v>
      </c>
      <c r="G36">
        <v>19267</v>
      </c>
      <c r="H36">
        <v>8015</v>
      </c>
      <c r="I36">
        <v>12799</v>
      </c>
      <c r="J36">
        <v>8685</v>
      </c>
      <c r="K36">
        <v>5139</v>
      </c>
      <c r="L36">
        <v>4866</v>
      </c>
      <c r="M36">
        <v>3871</v>
      </c>
    </row>
    <row r="37" spans="1:13">
      <c r="A37" t="s">
        <v>36</v>
      </c>
      <c r="B37">
        <v>55</v>
      </c>
      <c r="C37">
        <v>1506</v>
      </c>
      <c r="D37">
        <v>2468</v>
      </c>
      <c r="E37">
        <v>1691</v>
      </c>
      <c r="F37">
        <v>762</v>
      </c>
      <c r="G37">
        <v>1307</v>
      </c>
      <c r="H37">
        <v>681</v>
      </c>
      <c r="I37">
        <v>717</v>
      </c>
      <c r="J37">
        <v>893</v>
      </c>
      <c r="K37">
        <v>2708</v>
      </c>
      <c r="L37">
        <v>1003</v>
      </c>
      <c r="M37">
        <v>779</v>
      </c>
    </row>
    <row r="38" spans="1:13">
      <c r="A38" t="s">
        <v>37</v>
      </c>
      <c r="B38" t="s">
        <v>4</v>
      </c>
      <c r="C38">
        <v>529</v>
      </c>
      <c r="D38">
        <v>650</v>
      </c>
      <c r="E38">
        <v>1483</v>
      </c>
      <c r="F38">
        <v>543</v>
      </c>
      <c r="G38">
        <v>672</v>
      </c>
      <c r="H38">
        <v>480</v>
      </c>
      <c r="I38">
        <v>515</v>
      </c>
      <c r="J38">
        <v>535</v>
      </c>
      <c r="K38">
        <v>1247</v>
      </c>
      <c r="L38">
        <v>242</v>
      </c>
      <c r="M38">
        <v>48</v>
      </c>
    </row>
    <row r="39" spans="1:13">
      <c r="A39" t="s">
        <v>38</v>
      </c>
      <c r="B39">
        <v>270108</v>
      </c>
      <c r="C39">
        <v>275773</v>
      </c>
      <c r="D39">
        <v>319486</v>
      </c>
      <c r="E39">
        <v>212671</v>
      </c>
      <c r="F39">
        <v>208157</v>
      </c>
      <c r="G39">
        <v>167914</v>
      </c>
      <c r="H39">
        <v>135202</v>
      </c>
      <c r="I39">
        <v>124815</v>
      </c>
      <c r="J39">
        <v>94250</v>
      </c>
      <c r="K39">
        <v>112042</v>
      </c>
      <c r="L39">
        <v>103219</v>
      </c>
      <c r="M39">
        <v>80139</v>
      </c>
    </row>
    <row r="40" spans="1:13">
      <c r="A40" t="s">
        <v>39</v>
      </c>
      <c r="B40">
        <v>33991</v>
      </c>
      <c r="C40">
        <v>34412</v>
      </c>
      <c r="D40">
        <v>39448</v>
      </c>
      <c r="E40">
        <v>32692</v>
      </c>
      <c r="F40">
        <v>24456</v>
      </c>
      <c r="G40">
        <v>36431</v>
      </c>
      <c r="H40">
        <v>17372</v>
      </c>
      <c r="I40">
        <v>16163</v>
      </c>
      <c r="J40">
        <v>13574</v>
      </c>
      <c r="K40">
        <v>15332</v>
      </c>
      <c r="L40">
        <v>13928</v>
      </c>
      <c r="M40">
        <v>12005</v>
      </c>
    </row>
    <row r="41" spans="1:13">
      <c r="A41" t="s">
        <v>40</v>
      </c>
      <c r="B41" t="s">
        <v>4</v>
      </c>
      <c r="C41" t="s">
        <v>4</v>
      </c>
      <c r="D41" t="s">
        <v>4</v>
      </c>
      <c r="E41" t="s">
        <v>4</v>
      </c>
      <c r="F41" t="s">
        <v>4</v>
      </c>
      <c r="G41" t="s">
        <v>4</v>
      </c>
      <c r="H41" t="s">
        <v>4</v>
      </c>
      <c r="I41" t="s">
        <v>4</v>
      </c>
      <c r="J41">
        <v>0</v>
      </c>
      <c r="K41" t="s">
        <v>4</v>
      </c>
      <c r="L41" t="s">
        <v>4</v>
      </c>
      <c r="M41" t="s">
        <v>4</v>
      </c>
    </row>
    <row r="42" spans="1:13">
      <c r="A42" t="s">
        <v>41</v>
      </c>
      <c r="B42">
        <v>236117</v>
      </c>
      <c r="C42">
        <v>241361</v>
      </c>
      <c r="D42">
        <v>280038</v>
      </c>
      <c r="E42">
        <v>179979</v>
      </c>
      <c r="F42">
        <v>183701</v>
      </c>
      <c r="G42">
        <v>131482</v>
      </c>
      <c r="H42">
        <v>117830</v>
      </c>
      <c r="I42">
        <v>108652</v>
      </c>
      <c r="J42">
        <v>80676</v>
      </c>
      <c r="K42">
        <v>96711</v>
      </c>
      <c r="L42">
        <v>89291</v>
      </c>
      <c r="M42">
        <v>68134</v>
      </c>
    </row>
    <row r="43" spans="1:13">
      <c r="A43" t="s">
        <v>42</v>
      </c>
      <c r="B43">
        <v>139033</v>
      </c>
      <c r="C43">
        <v>144909</v>
      </c>
      <c r="D43">
        <v>183457</v>
      </c>
      <c r="E43">
        <v>85788</v>
      </c>
      <c r="F43">
        <v>94383</v>
      </c>
      <c r="G43">
        <v>70349</v>
      </c>
      <c r="H43">
        <v>71148</v>
      </c>
      <c r="I43">
        <v>66572</v>
      </c>
      <c r="J43">
        <v>46574</v>
      </c>
      <c r="K43">
        <v>64660</v>
      </c>
      <c r="L43">
        <v>60558</v>
      </c>
      <c r="M43">
        <v>41799</v>
      </c>
    </row>
    <row r="44" spans="1:13">
      <c r="A44" t="s">
        <v>43</v>
      </c>
      <c r="B44" t="s">
        <v>4</v>
      </c>
      <c r="C44" t="s">
        <v>4</v>
      </c>
      <c r="D44" t="s">
        <v>4</v>
      </c>
      <c r="E44" t="s">
        <v>4</v>
      </c>
      <c r="F44" t="s">
        <v>4</v>
      </c>
      <c r="G44" t="s">
        <v>4</v>
      </c>
      <c r="H44" t="s">
        <v>4</v>
      </c>
      <c r="I44" t="s">
        <v>4</v>
      </c>
      <c r="J44">
        <v>0</v>
      </c>
      <c r="K44" t="s">
        <v>4</v>
      </c>
      <c r="L44" t="s">
        <v>4</v>
      </c>
      <c r="M44" t="s">
        <v>4</v>
      </c>
    </row>
    <row r="45" spans="1:13">
      <c r="A45" t="s">
        <v>44</v>
      </c>
      <c r="B45">
        <v>97084</v>
      </c>
      <c r="C45">
        <v>96452</v>
      </c>
      <c r="D45">
        <v>96580</v>
      </c>
      <c r="E45">
        <v>94191</v>
      </c>
      <c r="F45">
        <v>89318</v>
      </c>
      <c r="G45">
        <v>61134</v>
      </c>
      <c r="H45">
        <v>46682</v>
      </c>
      <c r="I45">
        <v>42080</v>
      </c>
      <c r="J45">
        <v>34102</v>
      </c>
      <c r="K45">
        <v>32050</v>
      </c>
      <c r="L45">
        <v>28733</v>
      </c>
      <c r="M45">
        <v>26335</v>
      </c>
    </row>
    <row r="46" spans="1:13">
      <c r="A46" t="s">
        <v>45</v>
      </c>
      <c r="B46">
        <v>1.36</v>
      </c>
      <c r="C46">
        <v>1.42</v>
      </c>
      <c r="D46">
        <v>1.79</v>
      </c>
      <c r="E46">
        <v>0.84</v>
      </c>
      <c r="F46">
        <v>0.92</v>
      </c>
      <c r="G46">
        <v>0.69</v>
      </c>
      <c r="H46">
        <v>0.7</v>
      </c>
      <c r="I46">
        <v>0.65</v>
      </c>
      <c r="J46">
        <v>0.46</v>
      </c>
      <c r="K46">
        <v>0.63</v>
      </c>
      <c r="L46">
        <v>0.71</v>
      </c>
      <c r="M46">
        <v>0.49</v>
      </c>
    </row>
    <row r="47" spans="1:13">
      <c r="A47" t="s">
        <v>46</v>
      </c>
      <c r="B47">
        <v>1.36</v>
      </c>
      <c r="C47">
        <v>1.42</v>
      </c>
      <c r="D47">
        <v>1.79</v>
      </c>
      <c r="E47">
        <v>0.84</v>
      </c>
      <c r="F47">
        <v>0.92</v>
      </c>
      <c r="G47">
        <v>0.69</v>
      </c>
      <c r="H47">
        <v>0.7</v>
      </c>
      <c r="I47">
        <v>0.65</v>
      </c>
      <c r="J47">
        <v>0</v>
      </c>
      <c r="K47">
        <v>0.63</v>
      </c>
      <c r="L47">
        <v>0.71</v>
      </c>
      <c r="M47">
        <v>0.49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N91"/>
  <sheetViews>
    <sheetView topLeftCell="A55" workbookViewId="0">
      <selection activeCell="A85" sqref="A85"/>
    </sheetView>
  </sheetViews>
  <sheetFormatPr defaultRowHeight="13.5"/>
  <cols>
    <col min="1" max="1" width="62.125" bestFit="1" customWidth="1"/>
    <col min="2" max="13" width="11.625" bestFit="1" customWidth="1"/>
    <col min="14" max="14" width="2.5" bestFit="1" customWidth="1"/>
    <col min="15" max="16" width="10.5" bestFit="1" customWidth="1"/>
    <col min="17" max="17" width="11.625" bestFit="1" customWidth="1"/>
    <col min="18" max="20" width="10.5" bestFit="1" customWidth="1"/>
    <col min="21" max="21" width="11.625" bestFit="1" customWidth="1"/>
    <col min="22" max="24" width="10.5" bestFit="1" customWidth="1"/>
    <col min="25" max="25" width="11.625" bestFit="1" customWidth="1"/>
    <col min="26" max="28" width="10.5" bestFit="1" customWidth="1"/>
    <col min="29" max="29" width="11.625" bestFit="1" customWidth="1"/>
    <col min="30" max="31" width="10.5" bestFit="1" customWidth="1"/>
    <col min="32" max="34" width="11.625" bestFit="1" customWidth="1"/>
    <col min="35" max="35" width="2.5" bestFit="1" customWidth="1"/>
  </cols>
  <sheetData>
    <row r="1" spans="1:14">
      <c r="A1">
        <v>600835</v>
      </c>
    </row>
    <row r="2" spans="1:14">
      <c r="A2" t="s">
        <v>157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  <c r="N2" t="s">
        <v>158</v>
      </c>
    </row>
    <row r="3" spans="1:14">
      <c r="A3" t="s">
        <v>159</v>
      </c>
      <c r="B3">
        <v>2161547</v>
      </c>
      <c r="C3">
        <v>2170026</v>
      </c>
      <c r="D3">
        <v>2211893</v>
      </c>
      <c r="E3">
        <v>2508046</v>
      </c>
      <c r="F3">
        <v>2436288</v>
      </c>
      <c r="G3">
        <v>2371349</v>
      </c>
      <c r="H3">
        <v>1846568</v>
      </c>
      <c r="I3">
        <v>1617384</v>
      </c>
      <c r="J3">
        <v>1382603</v>
      </c>
      <c r="K3">
        <v>1150087</v>
      </c>
      <c r="L3">
        <v>1106678</v>
      </c>
      <c r="M3">
        <v>878110</v>
      </c>
      <c r="N3" t="s">
        <v>158</v>
      </c>
    </row>
    <row r="4" spans="1:14">
      <c r="A4" t="s">
        <v>160</v>
      </c>
      <c r="B4" t="s">
        <v>4</v>
      </c>
      <c r="C4" t="s">
        <v>4</v>
      </c>
      <c r="D4" t="s">
        <v>4</v>
      </c>
      <c r="E4" t="s">
        <v>4</v>
      </c>
      <c r="F4" t="s">
        <v>4</v>
      </c>
      <c r="G4" t="s">
        <v>4</v>
      </c>
      <c r="H4" t="s">
        <v>4</v>
      </c>
      <c r="I4" t="s">
        <v>4</v>
      </c>
      <c r="J4">
        <v>0</v>
      </c>
      <c r="K4">
        <v>0</v>
      </c>
      <c r="L4">
        <v>0</v>
      </c>
      <c r="M4">
        <v>0</v>
      </c>
      <c r="N4" t="s">
        <v>158</v>
      </c>
    </row>
    <row r="5" spans="1:14">
      <c r="A5" t="s">
        <v>161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>
        <v>0</v>
      </c>
      <c r="K5">
        <v>0</v>
      </c>
      <c r="L5">
        <v>0</v>
      </c>
      <c r="M5">
        <v>0</v>
      </c>
      <c r="N5" t="s">
        <v>158</v>
      </c>
    </row>
    <row r="6" spans="1:14">
      <c r="A6" t="s">
        <v>162</v>
      </c>
      <c r="B6" t="s">
        <v>4</v>
      </c>
      <c r="C6" t="s">
        <v>4</v>
      </c>
      <c r="D6" t="s">
        <v>4</v>
      </c>
      <c r="E6" t="s">
        <v>4</v>
      </c>
      <c r="F6" t="s">
        <v>4</v>
      </c>
      <c r="G6" t="s">
        <v>4</v>
      </c>
      <c r="H6" t="s">
        <v>4</v>
      </c>
      <c r="I6" t="s">
        <v>4</v>
      </c>
      <c r="J6">
        <v>0</v>
      </c>
      <c r="K6">
        <v>0</v>
      </c>
      <c r="L6">
        <v>0</v>
      </c>
      <c r="M6">
        <v>0</v>
      </c>
      <c r="N6" t="s">
        <v>158</v>
      </c>
    </row>
    <row r="7" spans="1:14">
      <c r="A7" t="s">
        <v>163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>
        <v>0</v>
      </c>
      <c r="K7">
        <v>0</v>
      </c>
      <c r="L7">
        <v>0</v>
      </c>
      <c r="M7">
        <v>0</v>
      </c>
      <c r="N7" t="s">
        <v>158</v>
      </c>
    </row>
    <row r="8" spans="1:14">
      <c r="A8" t="s">
        <v>164</v>
      </c>
      <c r="B8" t="s">
        <v>4</v>
      </c>
      <c r="C8" t="s">
        <v>4</v>
      </c>
      <c r="D8" t="s">
        <v>4</v>
      </c>
      <c r="E8" t="s">
        <v>4</v>
      </c>
      <c r="F8" t="s">
        <v>4</v>
      </c>
      <c r="G8" t="s">
        <v>4</v>
      </c>
      <c r="H8" t="s">
        <v>4</v>
      </c>
      <c r="I8" t="s">
        <v>4</v>
      </c>
      <c r="J8">
        <v>0</v>
      </c>
      <c r="K8">
        <v>0</v>
      </c>
      <c r="L8">
        <v>0</v>
      </c>
      <c r="M8">
        <v>0</v>
      </c>
      <c r="N8" t="s">
        <v>158</v>
      </c>
    </row>
    <row r="9" spans="1:14">
      <c r="A9" t="s">
        <v>165</v>
      </c>
      <c r="B9" t="s">
        <v>4</v>
      </c>
      <c r="C9" t="s">
        <v>4</v>
      </c>
      <c r="D9" t="s">
        <v>4</v>
      </c>
      <c r="E9" t="s">
        <v>4</v>
      </c>
      <c r="F9" t="s">
        <v>4</v>
      </c>
      <c r="G9" t="s">
        <v>4</v>
      </c>
      <c r="H9" t="s">
        <v>4</v>
      </c>
      <c r="I9" t="s">
        <v>4</v>
      </c>
      <c r="J9">
        <v>0</v>
      </c>
      <c r="K9">
        <v>0</v>
      </c>
      <c r="L9">
        <v>0</v>
      </c>
      <c r="M9">
        <v>0</v>
      </c>
      <c r="N9" t="s">
        <v>158</v>
      </c>
    </row>
    <row r="10" spans="1:14">
      <c r="A10" t="s">
        <v>166</v>
      </c>
      <c r="B10" t="s">
        <v>4</v>
      </c>
      <c r="C10" t="s">
        <v>4</v>
      </c>
      <c r="D10" t="s">
        <v>4</v>
      </c>
      <c r="E10" t="s">
        <v>4</v>
      </c>
      <c r="F10" t="s">
        <v>4</v>
      </c>
      <c r="G10" t="s">
        <v>4</v>
      </c>
      <c r="H10" t="s">
        <v>4</v>
      </c>
      <c r="I10" t="s">
        <v>4</v>
      </c>
      <c r="J10">
        <v>0</v>
      </c>
      <c r="K10">
        <v>0</v>
      </c>
      <c r="L10">
        <v>0</v>
      </c>
      <c r="M10">
        <v>0</v>
      </c>
      <c r="N10" t="s">
        <v>158</v>
      </c>
    </row>
    <row r="11" spans="1:14">
      <c r="A11" t="s">
        <v>167</v>
      </c>
      <c r="B11" t="s">
        <v>4</v>
      </c>
      <c r="C11" t="s">
        <v>4</v>
      </c>
      <c r="D11" t="s">
        <v>4</v>
      </c>
      <c r="E11" t="s">
        <v>4</v>
      </c>
      <c r="F11" t="s">
        <v>4</v>
      </c>
      <c r="G11" t="s">
        <v>4</v>
      </c>
      <c r="H11" t="s">
        <v>4</v>
      </c>
      <c r="I11" t="s">
        <v>4</v>
      </c>
      <c r="J11">
        <v>0</v>
      </c>
      <c r="K11">
        <v>0</v>
      </c>
      <c r="L11">
        <v>0</v>
      </c>
      <c r="M11">
        <v>0</v>
      </c>
      <c r="N11" t="s">
        <v>158</v>
      </c>
    </row>
    <row r="12" spans="1:14">
      <c r="A12" t="s">
        <v>168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>
        <v>0</v>
      </c>
      <c r="K12">
        <v>0</v>
      </c>
      <c r="L12">
        <v>0</v>
      </c>
      <c r="M12">
        <v>0</v>
      </c>
      <c r="N12" t="s">
        <v>158</v>
      </c>
    </row>
    <row r="13" spans="1:14">
      <c r="A13" t="s">
        <v>169</v>
      </c>
      <c r="B13" t="s">
        <v>4</v>
      </c>
      <c r="C13" t="s">
        <v>4</v>
      </c>
      <c r="D13" t="s">
        <v>4</v>
      </c>
      <c r="E13" t="s">
        <v>4</v>
      </c>
      <c r="F13" t="s">
        <v>4</v>
      </c>
      <c r="G13" t="s">
        <v>4</v>
      </c>
      <c r="H13" t="s">
        <v>4</v>
      </c>
      <c r="I13" t="s">
        <v>4</v>
      </c>
      <c r="J13">
        <v>0</v>
      </c>
      <c r="K13">
        <v>0</v>
      </c>
      <c r="L13">
        <v>0</v>
      </c>
      <c r="M13">
        <v>0</v>
      </c>
      <c r="N13" t="s">
        <v>158</v>
      </c>
    </row>
    <row r="14" spans="1:14">
      <c r="A14" t="s">
        <v>170</v>
      </c>
      <c r="B14">
        <v>967</v>
      </c>
      <c r="C14">
        <v>1988</v>
      </c>
      <c r="D14">
        <v>3807</v>
      </c>
      <c r="E14">
        <v>5966</v>
      </c>
      <c r="F14">
        <v>6682</v>
      </c>
      <c r="G14">
        <v>6102</v>
      </c>
      <c r="H14">
        <v>7452</v>
      </c>
      <c r="I14">
        <v>6123</v>
      </c>
      <c r="J14">
        <v>6188</v>
      </c>
      <c r="K14">
        <v>9261</v>
      </c>
      <c r="L14">
        <v>6023</v>
      </c>
      <c r="M14">
        <v>3147</v>
      </c>
      <c r="N14" t="s">
        <v>158</v>
      </c>
    </row>
    <row r="15" spans="1:14">
      <c r="A15" t="s">
        <v>171</v>
      </c>
      <c r="B15">
        <v>63287</v>
      </c>
      <c r="C15">
        <v>23473</v>
      </c>
      <c r="D15">
        <v>25915</v>
      </c>
      <c r="E15">
        <v>43741</v>
      </c>
      <c r="F15">
        <v>51743</v>
      </c>
      <c r="G15">
        <v>41080</v>
      </c>
      <c r="H15">
        <v>27647</v>
      </c>
      <c r="I15">
        <v>18724</v>
      </c>
      <c r="J15">
        <v>19311</v>
      </c>
      <c r="K15">
        <v>17519</v>
      </c>
      <c r="L15">
        <v>12721</v>
      </c>
      <c r="M15">
        <v>14344</v>
      </c>
      <c r="N15" t="s">
        <v>158</v>
      </c>
    </row>
    <row r="16" spans="1:14">
      <c r="A16" t="s">
        <v>172</v>
      </c>
      <c r="B16">
        <v>2225801</v>
      </c>
      <c r="C16">
        <v>2195487</v>
      </c>
      <c r="D16">
        <v>2241615</v>
      </c>
      <c r="E16">
        <v>2557753</v>
      </c>
      <c r="F16">
        <v>2494713</v>
      </c>
      <c r="G16">
        <v>2418531</v>
      </c>
      <c r="H16">
        <v>1881668</v>
      </c>
      <c r="I16">
        <v>1642231</v>
      </c>
      <c r="J16">
        <v>1408102</v>
      </c>
      <c r="K16">
        <v>1176867</v>
      </c>
      <c r="L16">
        <v>1125422</v>
      </c>
      <c r="M16">
        <v>895601</v>
      </c>
      <c r="N16" t="s">
        <v>158</v>
      </c>
    </row>
    <row r="17" spans="1:14">
      <c r="A17" t="s">
        <v>173</v>
      </c>
      <c r="B17">
        <v>1720368</v>
      </c>
      <c r="C17">
        <v>1673004</v>
      </c>
      <c r="D17">
        <v>1702979</v>
      </c>
      <c r="E17">
        <v>1920243</v>
      </c>
      <c r="F17">
        <v>1861567</v>
      </c>
      <c r="G17">
        <v>1704610</v>
      </c>
      <c r="H17">
        <v>1454860</v>
      </c>
      <c r="I17">
        <v>1220738</v>
      </c>
      <c r="J17">
        <v>988865</v>
      </c>
      <c r="K17">
        <v>929770</v>
      </c>
      <c r="L17">
        <v>843930</v>
      </c>
      <c r="M17">
        <v>665676</v>
      </c>
      <c r="N17" t="s">
        <v>158</v>
      </c>
    </row>
    <row r="18" spans="1:14">
      <c r="A18" t="s">
        <v>174</v>
      </c>
      <c r="B18" t="s">
        <v>4</v>
      </c>
      <c r="C18" t="s">
        <v>4</v>
      </c>
      <c r="D18" t="s">
        <v>4</v>
      </c>
      <c r="E18" t="s">
        <v>4</v>
      </c>
      <c r="F18" t="s">
        <v>4</v>
      </c>
      <c r="G18" t="s">
        <v>4</v>
      </c>
      <c r="H18" t="s">
        <v>4</v>
      </c>
      <c r="I18" t="s">
        <v>4</v>
      </c>
      <c r="J18">
        <v>0</v>
      </c>
      <c r="K18">
        <v>0</v>
      </c>
      <c r="L18">
        <v>0</v>
      </c>
      <c r="M18">
        <v>0</v>
      </c>
      <c r="N18" t="s">
        <v>158</v>
      </c>
    </row>
    <row r="19" spans="1:14">
      <c r="A19" t="s">
        <v>175</v>
      </c>
      <c r="B19" t="s">
        <v>4</v>
      </c>
      <c r="C19" t="s">
        <v>4</v>
      </c>
      <c r="D19" t="s">
        <v>4</v>
      </c>
      <c r="E19" t="s">
        <v>4</v>
      </c>
      <c r="F19" t="s">
        <v>4</v>
      </c>
      <c r="G19" t="s">
        <v>4</v>
      </c>
      <c r="H19" t="s">
        <v>4</v>
      </c>
      <c r="I19" t="s">
        <v>4</v>
      </c>
      <c r="J19">
        <v>0</v>
      </c>
      <c r="K19">
        <v>0</v>
      </c>
      <c r="L19">
        <v>0</v>
      </c>
      <c r="M19">
        <v>0</v>
      </c>
      <c r="N19" t="s">
        <v>158</v>
      </c>
    </row>
    <row r="20" spans="1:14">
      <c r="A20" t="s">
        <v>176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t="s">
        <v>4</v>
      </c>
      <c r="H20" t="s">
        <v>4</v>
      </c>
      <c r="I20" t="s">
        <v>4</v>
      </c>
      <c r="J20">
        <v>0</v>
      </c>
      <c r="K20">
        <v>0</v>
      </c>
      <c r="L20">
        <v>0</v>
      </c>
      <c r="M20">
        <v>0</v>
      </c>
      <c r="N20" t="s">
        <v>158</v>
      </c>
    </row>
    <row r="21" spans="1:14">
      <c r="A21" t="s">
        <v>177</v>
      </c>
      <c r="B21" t="s">
        <v>4</v>
      </c>
      <c r="C21" t="s">
        <v>4</v>
      </c>
      <c r="D21" t="s">
        <v>4</v>
      </c>
      <c r="E21" t="s">
        <v>4</v>
      </c>
      <c r="F21" t="s">
        <v>4</v>
      </c>
      <c r="G21" t="s">
        <v>4</v>
      </c>
      <c r="H21" t="s">
        <v>4</v>
      </c>
      <c r="I21" t="s">
        <v>4</v>
      </c>
      <c r="J21">
        <v>0</v>
      </c>
      <c r="K21">
        <v>0</v>
      </c>
      <c r="L21">
        <v>0</v>
      </c>
      <c r="M21">
        <v>0</v>
      </c>
      <c r="N21" t="s">
        <v>158</v>
      </c>
    </row>
    <row r="22" spans="1:14">
      <c r="A22" t="s">
        <v>178</v>
      </c>
      <c r="B22" t="s">
        <v>4</v>
      </c>
      <c r="C22" t="s">
        <v>4</v>
      </c>
      <c r="D22" t="s">
        <v>4</v>
      </c>
      <c r="E22" t="s">
        <v>4</v>
      </c>
      <c r="F22" t="s">
        <v>4</v>
      </c>
      <c r="G22" t="s">
        <v>4</v>
      </c>
      <c r="H22" t="s">
        <v>4</v>
      </c>
      <c r="I22" t="s">
        <v>4</v>
      </c>
      <c r="J22">
        <v>0</v>
      </c>
      <c r="K22">
        <v>0</v>
      </c>
      <c r="L22">
        <v>0</v>
      </c>
      <c r="M22">
        <v>0</v>
      </c>
      <c r="N22" t="s">
        <v>158</v>
      </c>
    </row>
    <row r="23" spans="1:14">
      <c r="A23" t="s">
        <v>179</v>
      </c>
      <c r="B23">
        <v>97098</v>
      </c>
      <c r="C23">
        <v>96409</v>
      </c>
      <c r="D23">
        <v>139479</v>
      </c>
      <c r="E23">
        <v>161617</v>
      </c>
      <c r="F23">
        <v>162180</v>
      </c>
      <c r="G23">
        <v>150015</v>
      </c>
      <c r="H23">
        <v>87058</v>
      </c>
      <c r="I23">
        <v>75720</v>
      </c>
      <c r="J23">
        <v>68573</v>
      </c>
      <c r="K23">
        <v>68103</v>
      </c>
      <c r="L23">
        <v>53769</v>
      </c>
      <c r="M23">
        <v>51476</v>
      </c>
      <c r="N23" t="s">
        <v>158</v>
      </c>
    </row>
    <row r="24" spans="1:14">
      <c r="A24" t="s">
        <v>180</v>
      </c>
      <c r="B24">
        <v>92538</v>
      </c>
      <c r="C24">
        <v>89039</v>
      </c>
      <c r="D24">
        <v>109631</v>
      </c>
      <c r="E24">
        <v>115993</v>
      </c>
      <c r="F24">
        <v>129835</v>
      </c>
      <c r="G24">
        <v>120195</v>
      </c>
      <c r="H24">
        <v>73818</v>
      </c>
      <c r="I24">
        <v>75619</v>
      </c>
      <c r="J24">
        <v>72524</v>
      </c>
      <c r="K24">
        <v>55162</v>
      </c>
      <c r="L24">
        <v>58368</v>
      </c>
      <c r="M24">
        <v>42562</v>
      </c>
      <c r="N24" t="s">
        <v>158</v>
      </c>
    </row>
    <row r="25" spans="1:14">
      <c r="A25" t="s">
        <v>181</v>
      </c>
      <c r="B25">
        <v>122785</v>
      </c>
      <c r="C25">
        <v>137078</v>
      </c>
      <c r="D25">
        <v>155649</v>
      </c>
      <c r="E25">
        <v>158704</v>
      </c>
      <c r="F25">
        <v>165242</v>
      </c>
      <c r="G25">
        <v>131705</v>
      </c>
      <c r="H25">
        <v>111695</v>
      </c>
      <c r="I25">
        <v>91407</v>
      </c>
      <c r="J25">
        <v>75281</v>
      </c>
      <c r="K25">
        <v>72183</v>
      </c>
      <c r="L25">
        <v>63567</v>
      </c>
      <c r="M25">
        <v>52136</v>
      </c>
      <c r="N25" t="s">
        <v>158</v>
      </c>
    </row>
    <row r="26" spans="1:14">
      <c r="A26" t="s">
        <v>182</v>
      </c>
      <c r="B26">
        <v>2032789</v>
      </c>
      <c r="C26">
        <v>1995530</v>
      </c>
      <c r="D26">
        <v>2107737</v>
      </c>
      <c r="E26">
        <v>2356557</v>
      </c>
      <c r="F26">
        <v>2318823</v>
      </c>
      <c r="G26">
        <v>2106525</v>
      </c>
      <c r="H26">
        <v>1727430</v>
      </c>
      <c r="I26">
        <v>1463484</v>
      </c>
      <c r="J26">
        <v>1205242</v>
      </c>
      <c r="K26">
        <v>1125217</v>
      </c>
      <c r="L26">
        <v>1019634</v>
      </c>
      <c r="M26">
        <v>811850</v>
      </c>
      <c r="N26" t="s">
        <v>158</v>
      </c>
    </row>
    <row r="27" spans="1:14">
      <c r="A27" t="s">
        <v>183</v>
      </c>
      <c r="B27">
        <v>193012</v>
      </c>
      <c r="C27">
        <v>199957</v>
      </c>
      <c r="D27">
        <v>133877</v>
      </c>
      <c r="E27">
        <v>201196</v>
      </c>
      <c r="F27">
        <v>175889</v>
      </c>
      <c r="G27">
        <v>312006</v>
      </c>
      <c r="H27">
        <v>154238</v>
      </c>
      <c r="I27">
        <v>178746</v>
      </c>
      <c r="J27">
        <v>202860</v>
      </c>
      <c r="K27">
        <v>51650</v>
      </c>
      <c r="L27">
        <v>105788</v>
      </c>
      <c r="M27">
        <v>83751</v>
      </c>
      <c r="N27" t="s">
        <v>158</v>
      </c>
    </row>
    <row r="28" spans="1:14">
      <c r="A28" t="s">
        <v>184</v>
      </c>
      <c r="B28">
        <v>7225</v>
      </c>
      <c r="C28">
        <v>22826</v>
      </c>
      <c r="D28" t="s">
        <v>4</v>
      </c>
      <c r="E28">
        <v>13935</v>
      </c>
      <c r="F28">
        <v>997</v>
      </c>
      <c r="G28">
        <v>3458</v>
      </c>
      <c r="H28">
        <v>1711</v>
      </c>
      <c r="I28">
        <v>1991</v>
      </c>
      <c r="J28">
        <v>23992</v>
      </c>
      <c r="K28">
        <v>66</v>
      </c>
      <c r="L28">
        <v>1131</v>
      </c>
      <c r="M28">
        <v>33002</v>
      </c>
      <c r="N28" t="s">
        <v>158</v>
      </c>
    </row>
    <row r="29" spans="1:14">
      <c r="A29" t="s">
        <v>185</v>
      </c>
      <c r="B29">
        <v>16677</v>
      </c>
      <c r="C29">
        <v>26286</v>
      </c>
      <c r="D29">
        <v>24653</v>
      </c>
      <c r="E29">
        <v>18997</v>
      </c>
      <c r="F29">
        <v>18563</v>
      </c>
      <c r="G29">
        <v>34222</v>
      </c>
      <c r="H29">
        <v>15004</v>
      </c>
      <c r="I29">
        <v>15990</v>
      </c>
      <c r="J29">
        <v>23016</v>
      </c>
      <c r="K29">
        <v>22997</v>
      </c>
      <c r="L29">
        <v>21202</v>
      </c>
      <c r="M29">
        <v>21872</v>
      </c>
      <c r="N29" t="s">
        <v>158</v>
      </c>
    </row>
    <row r="30" spans="1:14">
      <c r="A30" t="s">
        <v>186</v>
      </c>
      <c r="B30">
        <v>330</v>
      </c>
      <c r="C30">
        <v>560</v>
      </c>
      <c r="D30">
        <v>9673</v>
      </c>
      <c r="E30">
        <v>9499</v>
      </c>
      <c r="F30">
        <v>2341</v>
      </c>
      <c r="G30">
        <v>2223</v>
      </c>
      <c r="H30">
        <v>1560</v>
      </c>
      <c r="I30">
        <v>9169</v>
      </c>
      <c r="J30">
        <v>4338</v>
      </c>
      <c r="K30">
        <v>1732</v>
      </c>
      <c r="L30">
        <v>496</v>
      </c>
      <c r="M30">
        <v>6141</v>
      </c>
      <c r="N30" t="s">
        <v>158</v>
      </c>
    </row>
    <row r="31" spans="1:14">
      <c r="A31" t="s">
        <v>187</v>
      </c>
      <c r="B31" t="s">
        <v>4</v>
      </c>
      <c r="C31">
        <v>13471</v>
      </c>
      <c r="D31" t="s">
        <v>4</v>
      </c>
      <c r="E31" t="s">
        <v>4</v>
      </c>
      <c r="F31" t="s">
        <v>4</v>
      </c>
      <c r="G31">
        <v>464</v>
      </c>
      <c r="H31">
        <v>12913</v>
      </c>
      <c r="I31">
        <v>3893</v>
      </c>
      <c r="J31">
        <v>0</v>
      </c>
      <c r="K31">
        <v>386</v>
      </c>
      <c r="L31">
        <v>551</v>
      </c>
      <c r="M31">
        <v>0</v>
      </c>
      <c r="N31" t="s">
        <v>158</v>
      </c>
    </row>
    <row r="32" spans="1:14">
      <c r="A32" t="s">
        <v>188</v>
      </c>
      <c r="B32">
        <v>90445</v>
      </c>
      <c r="C32">
        <v>51334</v>
      </c>
      <c r="D32">
        <v>27552</v>
      </c>
      <c r="E32">
        <v>10815</v>
      </c>
      <c r="F32">
        <v>17349</v>
      </c>
      <c r="G32">
        <v>34348</v>
      </c>
      <c r="H32">
        <v>1288</v>
      </c>
      <c r="I32">
        <v>2035</v>
      </c>
      <c r="J32">
        <v>3343</v>
      </c>
      <c r="K32">
        <v>1881</v>
      </c>
      <c r="L32">
        <v>1125</v>
      </c>
      <c r="M32">
        <v>1013</v>
      </c>
      <c r="N32" t="s">
        <v>158</v>
      </c>
    </row>
    <row r="33" spans="1:14">
      <c r="A33" t="s">
        <v>189</v>
      </c>
      <c r="B33" t="s">
        <v>4</v>
      </c>
      <c r="C33" t="s">
        <v>4</v>
      </c>
      <c r="D33" t="s">
        <v>4</v>
      </c>
      <c r="E33" t="s">
        <v>4</v>
      </c>
      <c r="F33" t="s">
        <v>4</v>
      </c>
      <c r="G33" t="s">
        <v>4</v>
      </c>
      <c r="H33" t="s">
        <v>4</v>
      </c>
      <c r="I33" t="s">
        <v>4</v>
      </c>
      <c r="J33">
        <v>0</v>
      </c>
      <c r="K33">
        <v>0</v>
      </c>
      <c r="L33">
        <v>0</v>
      </c>
      <c r="M33">
        <v>0</v>
      </c>
      <c r="N33" t="s">
        <v>158</v>
      </c>
    </row>
    <row r="34" spans="1:14">
      <c r="A34" t="s">
        <v>190</v>
      </c>
      <c r="B34">
        <v>114676</v>
      </c>
      <c r="C34">
        <v>114477</v>
      </c>
      <c r="D34">
        <v>61878</v>
      </c>
      <c r="E34">
        <v>53246</v>
      </c>
      <c r="F34">
        <v>42119</v>
      </c>
      <c r="G34">
        <v>74715</v>
      </c>
      <c r="H34">
        <v>32475</v>
      </c>
      <c r="I34">
        <v>33079</v>
      </c>
      <c r="J34">
        <v>54689</v>
      </c>
      <c r="K34">
        <v>27062</v>
      </c>
      <c r="L34">
        <v>24505</v>
      </c>
      <c r="M34">
        <v>62028</v>
      </c>
      <c r="N34" t="s">
        <v>158</v>
      </c>
    </row>
    <row r="35" spans="1:14">
      <c r="A35" t="s">
        <v>191</v>
      </c>
      <c r="B35">
        <v>17049</v>
      </c>
      <c r="C35">
        <v>50061</v>
      </c>
      <c r="D35">
        <v>38273</v>
      </c>
      <c r="E35">
        <v>47873</v>
      </c>
      <c r="F35">
        <v>33801</v>
      </c>
      <c r="G35">
        <v>50990</v>
      </c>
      <c r="H35">
        <v>18636</v>
      </c>
      <c r="I35">
        <v>29170</v>
      </c>
      <c r="J35">
        <v>20446</v>
      </c>
      <c r="K35">
        <v>34565</v>
      </c>
      <c r="L35">
        <v>20319</v>
      </c>
      <c r="M35">
        <v>15704</v>
      </c>
      <c r="N35" t="s">
        <v>158</v>
      </c>
    </row>
    <row r="36" spans="1:14">
      <c r="A36" t="s">
        <v>192</v>
      </c>
      <c r="B36">
        <v>2277</v>
      </c>
      <c r="C36">
        <v>4001</v>
      </c>
      <c r="D36" t="s">
        <v>4</v>
      </c>
      <c r="E36" t="s">
        <v>4</v>
      </c>
      <c r="F36">
        <v>606</v>
      </c>
      <c r="G36">
        <v>62110</v>
      </c>
      <c r="H36">
        <v>17889</v>
      </c>
      <c r="I36">
        <v>107</v>
      </c>
      <c r="J36">
        <v>4860</v>
      </c>
      <c r="K36">
        <v>0</v>
      </c>
      <c r="L36">
        <v>23334</v>
      </c>
      <c r="M36">
        <v>19425</v>
      </c>
      <c r="N36" t="s">
        <v>158</v>
      </c>
    </row>
    <row r="37" spans="1:14">
      <c r="A37" t="s">
        <v>193</v>
      </c>
      <c r="B37" t="s">
        <v>4</v>
      </c>
      <c r="C37" t="s">
        <v>4</v>
      </c>
      <c r="D37" t="s">
        <v>4</v>
      </c>
      <c r="E37" t="s">
        <v>4</v>
      </c>
      <c r="F37" t="s">
        <v>4</v>
      </c>
      <c r="G37" t="s">
        <v>4</v>
      </c>
      <c r="H37" t="s">
        <v>4</v>
      </c>
      <c r="I37" t="s">
        <v>4</v>
      </c>
      <c r="J37">
        <v>0</v>
      </c>
      <c r="K37">
        <v>0</v>
      </c>
      <c r="L37">
        <v>0</v>
      </c>
      <c r="M37">
        <v>0</v>
      </c>
      <c r="N37" t="s">
        <v>158</v>
      </c>
    </row>
    <row r="38" spans="1:14">
      <c r="A38" t="s">
        <v>194</v>
      </c>
      <c r="B38" t="s">
        <v>4</v>
      </c>
      <c r="C38" t="s">
        <v>4</v>
      </c>
      <c r="D38">
        <v>6429</v>
      </c>
      <c r="E38">
        <v>241</v>
      </c>
      <c r="F38">
        <v>6191</v>
      </c>
      <c r="G38">
        <v>9784</v>
      </c>
      <c r="H38" t="s">
        <v>4</v>
      </c>
      <c r="I38" t="s">
        <v>4</v>
      </c>
      <c r="J38">
        <v>22726</v>
      </c>
      <c r="K38">
        <v>0</v>
      </c>
      <c r="L38">
        <v>0</v>
      </c>
      <c r="M38">
        <v>23433</v>
      </c>
      <c r="N38" t="s">
        <v>158</v>
      </c>
    </row>
    <row r="39" spans="1:14">
      <c r="A39" t="s">
        <v>195</v>
      </c>
      <c r="B39">
        <v>147</v>
      </c>
      <c r="C39">
        <v>518</v>
      </c>
      <c r="D39">
        <v>23143</v>
      </c>
      <c r="E39">
        <v>4108</v>
      </c>
      <c r="F39">
        <v>5397</v>
      </c>
      <c r="G39">
        <v>5741</v>
      </c>
      <c r="H39" t="s">
        <v>4</v>
      </c>
      <c r="I39" t="s">
        <v>4</v>
      </c>
      <c r="J39">
        <v>5000</v>
      </c>
      <c r="K39">
        <v>0</v>
      </c>
      <c r="L39">
        <v>0</v>
      </c>
      <c r="M39">
        <v>0</v>
      </c>
      <c r="N39" t="s">
        <v>158</v>
      </c>
    </row>
    <row r="40" spans="1:14">
      <c r="A40" t="s">
        <v>196</v>
      </c>
      <c r="B40" t="s">
        <v>4</v>
      </c>
      <c r="C40" t="s">
        <v>4</v>
      </c>
      <c r="D40" t="s">
        <v>4</v>
      </c>
      <c r="E40" t="s">
        <v>4</v>
      </c>
      <c r="F40" t="s">
        <v>4</v>
      </c>
      <c r="G40" t="s">
        <v>4</v>
      </c>
      <c r="H40" t="s">
        <v>4</v>
      </c>
      <c r="I40" t="s">
        <v>4</v>
      </c>
      <c r="J40">
        <v>0</v>
      </c>
      <c r="K40">
        <v>0</v>
      </c>
      <c r="L40">
        <v>0</v>
      </c>
      <c r="M40">
        <v>0</v>
      </c>
      <c r="N40" t="s">
        <v>158</v>
      </c>
    </row>
    <row r="41" spans="1:14">
      <c r="A41" t="s">
        <v>197</v>
      </c>
      <c r="B41">
        <v>19473</v>
      </c>
      <c r="C41">
        <v>54580</v>
      </c>
      <c r="D41">
        <v>67845</v>
      </c>
      <c r="E41">
        <v>52222</v>
      </c>
      <c r="F41">
        <v>45996</v>
      </c>
      <c r="G41">
        <v>128623</v>
      </c>
      <c r="H41">
        <v>36525</v>
      </c>
      <c r="I41">
        <v>29276</v>
      </c>
      <c r="J41">
        <v>53031</v>
      </c>
      <c r="K41">
        <v>34565</v>
      </c>
      <c r="L41">
        <v>43653</v>
      </c>
      <c r="M41">
        <v>58561</v>
      </c>
      <c r="N41" t="s">
        <v>158</v>
      </c>
    </row>
    <row r="42" spans="1:14">
      <c r="A42" t="s">
        <v>198</v>
      </c>
      <c r="B42">
        <v>95203</v>
      </c>
      <c r="C42">
        <v>59896</v>
      </c>
      <c r="D42">
        <v>-5968</v>
      </c>
      <c r="E42">
        <v>1024</v>
      </c>
      <c r="F42">
        <v>-3877</v>
      </c>
      <c r="G42">
        <v>-53909</v>
      </c>
      <c r="H42">
        <v>-4049</v>
      </c>
      <c r="I42">
        <v>3802</v>
      </c>
      <c r="J42">
        <v>1657</v>
      </c>
      <c r="K42">
        <v>-7503</v>
      </c>
      <c r="L42">
        <v>-19147</v>
      </c>
      <c r="M42">
        <v>3467</v>
      </c>
      <c r="N42" t="s">
        <v>158</v>
      </c>
    </row>
    <row r="43" spans="1:14">
      <c r="A43" t="s">
        <v>199</v>
      </c>
      <c r="B43" t="s">
        <v>4</v>
      </c>
      <c r="C43" t="s">
        <v>4</v>
      </c>
      <c r="D43" t="s">
        <v>4</v>
      </c>
      <c r="E43">
        <v>422</v>
      </c>
      <c r="F43" t="s">
        <v>4</v>
      </c>
      <c r="G43" t="s">
        <v>4</v>
      </c>
      <c r="H43">
        <v>368</v>
      </c>
      <c r="I43" t="s">
        <v>4</v>
      </c>
      <c r="J43">
        <v>625</v>
      </c>
      <c r="K43">
        <v>0</v>
      </c>
      <c r="L43">
        <v>0</v>
      </c>
      <c r="M43">
        <v>975</v>
      </c>
      <c r="N43" t="s">
        <v>158</v>
      </c>
    </row>
    <row r="44" spans="1:14">
      <c r="A44" t="s">
        <v>200</v>
      </c>
      <c r="B44" t="s">
        <v>4</v>
      </c>
      <c r="C44" t="s">
        <v>4</v>
      </c>
      <c r="D44" t="s">
        <v>4</v>
      </c>
      <c r="E44">
        <v>422</v>
      </c>
      <c r="F44" t="s">
        <v>4</v>
      </c>
      <c r="G44" t="s">
        <v>4</v>
      </c>
      <c r="H44">
        <v>368</v>
      </c>
      <c r="I44" t="s">
        <v>4</v>
      </c>
      <c r="J44">
        <v>625</v>
      </c>
      <c r="K44">
        <v>0</v>
      </c>
      <c r="L44">
        <v>0</v>
      </c>
      <c r="M44">
        <v>975</v>
      </c>
      <c r="N44" t="s">
        <v>158</v>
      </c>
    </row>
    <row r="45" spans="1:14">
      <c r="A45" t="s">
        <v>201</v>
      </c>
      <c r="B45">
        <v>3450</v>
      </c>
      <c r="C45">
        <v>2950</v>
      </c>
      <c r="D45">
        <v>5247</v>
      </c>
      <c r="E45">
        <v>157562</v>
      </c>
      <c r="F45">
        <v>34048</v>
      </c>
      <c r="G45">
        <v>161775</v>
      </c>
      <c r="H45">
        <v>35915</v>
      </c>
      <c r="I45">
        <v>34108</v>
      </c>
      <c r="J45">
        <v>72950</v>
      </c>
      <c r="K45">
        <v>41050</v>
      </c>
      <c r="L45">
        <v>50172</v>
      </c>
      <c r="M45">
        <v>46028</v>
      </c>
      <c r="N45" t="s">
        <v>158</v>
      </c>
    </row>
    <row r="46" spans="1:14">
      <c r="A46" t="s">
        <v>202</v>
      </c>
      <c r="B46" t="s">
        <v>4</v>
      </c>
      <c r="C46" t="s">
        <v>4</v>
      </c>
      <c r="D46" t="s">
        <v>4</v>
      </c>
      <c r="E46" t="s">
        <v>4</v>
      </c>
      <c r="F46" t="s">
        <v>4</v>
      </c>
      <c r="G46" t="s">
        <v>4</v>
      </c>
      <c r="H46" t="s">
        <v>4</v>
      </c>
      <c r="I46" t="s">
        <v>4</v>
      </c>
      <c r="J46">
        <v>0</v>
      </c>
      <c r="K46">
        <v>0</v>
      </c>
      <c r="L46">
        <v>0</v>
      </c>
      <c r="M46">
        <v>0</v>
      </c>
      <c r="N46" t="s">
        <v>158</v>
      </c>
    </row>
    <row r="47" spans="1:14">
      <c r="A47" t="s">
        <v>203</v>
      </c>
      <c r="B47" t="s">
        <v>4</v>
      </c>
      <c r="C47" t="s">
        <v>4</v>
      </c>
      <c r="D47">
        <v>40438</v>
      </c>
      <c r="E47">
        <v>8278</v>
      </c>
      <c r="F47" t="s">
        <v>4</v>
      </c>
      <c r="G47" t="s">
        <v>4</v>
      </c>
      <c r="H47" t="s">
        <v>4</v>
      </c>
      <c r="I47">
        <v>500</v>
      </c>
      <c r="J47">
        <v>0</v>
      </c>
      <c r="K47">
        <v>0</v>
      </c>
      <c r="L47">
        <v>0</v>
      </c>
      <c r="M47">
        <v>0</v>
      </c>
      <c r="N47" t="s">
        <v>158</v>
      </c>
    </row>
    <row r="48" spans="1:14">
      <c r="A48" t="s">
        <v>204</v>
      </c>
      <c r="B48">
        <v>3450</v>
      </c>
      <c r="C48">
        <v>2950</v>
      </c>
      <c r="D48">
        <v>45684</v>
      </c>
      <c r="E48">
        <v>166263</v>
      </c>
      <c r="F48">
        <v>34048</v>
      </c>
      <c r="G48">
        <v>161775</v>
      </c>
      <c r="H48">
        <v>36283</v>
      </c>
      <c r="I48">
        <v>34608</v>
      </c>
      <c r="J48">
        <v>73575</v>
      </c>
      <c r="K48">
        <v>41050</v>
      </c>
      <c r="L48">
        <v>50172</v>
      </c>
      <c r="M48">
        <v>47003</v>
      </c>
      <c r="N48" t="s">
        <v>158</v>
      </c>
    </row>
    <row r="49" spans="1:14">
      <c r="A49" t="s">
        <v>205</v>
      </c>
      <c r="B49">
        <v>2950</v>
      </c>
      <c r="C49">
        <v>4850</v>
      </c>
      <c r="D49">
        <v>4850</v>
      </c>
      <c r="E49">
        <v>158079</v>
      </c>
      <c r="F49">
        <v>187910</v>
      </c>
      <c r="G49">
        <v>22172</v>
      </c>
      <c r="H49">
        <v>23100</v>
      </c>
      <c r="I49">
        <v>64051</v>
      </c>
      <c r="J49">
        <v>65703</v>
      </c>
      <c r="K49">
        <v>42887</v>
      </c>
      <c r="L49">
        <v>47588</v>
      </c>
      <c r="M49">
        <v>67431</v>
      </c>
      <c r="N49" t="s">
        <v>158</v>
      </c>
    </row>
    <row r="50" spans="1:14">
      <c r="A50" t="s">
        <v>206</v>
      </c>
      <c r="B50">
        <v>124715</v>
      </c>
      <c r="C50">
        <v>114756</v>
      </c>
      <c r="D50">
        <v>122255</v>
      </c>
      <c r="E50">
        <v>115569</v>
      </c>
      <c r="F50">
        <v>81772</v>
      </c>
      <c r="G50">
        <v>78439</v>
      </c>
      <c r="H50">
        <v>53085</v>
      </c>
      <c r="I50">
        <v>41475</v>
      </c>
      <c r="J50">
        <v>42452</v>
      </c>
      <c r="K50">
        <v>34056</v>
      </c>
      <c r="L50">
        <v>32342</v>
      </c>
      <c r="M50">
        <v>32547</v>
      </c>
      <c r="N50" t="s">
        <v>158</v>
      </c>
    </row>
    <row r="51" spans="1:14">
      <c r="A51" t="s">
        <v>207</v>
      </c>
      <c r="B51">
        <v>80576</v>
      </c>
      <c r="C51">
        <v>87976</v>
      </c>
      <c r="D51">
        <v>87041</v>
      </c>
      <c r="E51">
        <v>82190</v>
      </c>
      <c r="F51">
        <v>55685</v>
      </c>
      <c r="G51">
        <v>40935</v>
      </c>
      <c r="H51">
        <v>30832</v>
      </c>
      <c r="I51">
        <v>28950</v>
      </c>
      <c r="J51">
        <v>29831</v>
      </c>
      <c r="K51">
        <v>0</v>
      </c>
      <c r="L51">
        <v>21355</v>
      </c>
      <c r="M51">
        <v>21155</v>
      </c>
      <c r="N51" t="s">
        <v>158</v>
      </c>
    </row>
    <row r="52" spans="1:14">
      <c r="A52" t="s">
        <v>208</v>
      </c>
      <c r="B52" t="s">
        <v>4</v>
      </c>
      <c r="C52" t="s">
        <v>4</v>
      </c>
      <c r="D52" t="s">
        <v>4</v>
      </c>
      <c r="E52" t="s">
        <v>4</v>
      </c>
      <c r="F52" t="s">
        <v>4</v>
      </c>
      <c r="G52" t="s">
        <v>4</v>
      </c>
      <c r="H52">
        <v>161</v>
      </c>
      <c r="I52" t="s">
        <v>4</v>
      </c>
      <c r="J52">
        <v>0</v>
      </c>
      <c r="K52">
        <v>0</v>
      </c>
      <c r="L52">
        <v>0</v>
      </c>
      <c r="M52">
        <v>0</v>
      </c>
      <c r="N52" t="s">
        <v>158</v>
      </c>
    </row>
    <row r="53" spans="1:14">
      <c r="A53" t="s">
        <v>209</v>
      </c>
      <c r="B53">
        <v>127665</v>
      </c>
      <c r="C53">
        <v>119606</v>
      </c>
      <c r="D53">
        <v>127105</v>
      </c>
      <c r="E53">
        <v>273648</v>
      </c>
      <c r="F53">
        <v>269682</v>
      </c>
      <c r="G53">
        <v>100611</v>
      </c>
      <c r="H53">
        <v>76346</v>
      </c>
      <c r="I53">
        <v>105526</v>
      </c>
      <c r="J53">
        <v>108155</v>
      </c>
      <c r="K53">
        <v>76944</v>
      </c>
      <c r="L53">
        <v>79930</v>
      </c>
      <c r="M53">
        <v>99977</v>
      </c>
      <c r="N53" t="s">
        <v>158</v>
      </c>
    </row>
    <row r="54" spans="1:14">
      <c r="A54" t="s">
        <v>210</v>
      </c>
      <c r="B54">
        <v>-124215</v>
      </c>
      <c r="C54">
        <v>-116656</v>
      </c>
      <c r="D54">
        <v>-81420</v>
      </c>
      <c r="E54">
        <v>-107385</v>
      </c>
      <c r="F54">
        <v>-235634</v>
      </c>
      <c r="G54">
        <v>61164</v>
      </c>
      <c r="H54">
        <v>-40064</v>
      </c>
      <c r="I54">
        <v>-70918</v>
      </c>
      <c r="J54">
        <v>-34580</v>
      </c>
      <c r="K54">
        <v>-35894</v>
      </c>
      <c r="L54">
        <v>-29758</v>
      </c>
      <c r="M54">
        <v>-52975</v>
      </c>
      <c r="N54" t="s">
        <v>158</v>
      </c>
    </row>
    <row r="55" spans="1:14">
      <c r="A55" t="s">
        <v>211</v>
      </c>
      <c r="B55">
        <v>-2851</v>
      </c>
      <c r="C55">
        <v>1374</v>
      </c>
      <c r="D55">
        <v>41</v>
      </c>
      <c r="E55">
        <v>-1570</v>
      </c>
      <c r="F55">
        <v>-1859</v>
      </c>
      <c r="G55">
        <v>161</v>
      </c>
      <c r="H55">
        <v>-427</v>
      </c>
      <c r="I55">
        <v>-203</v>
      </c>
      <c r="J55">
        <v>-195</v>
      </c>
      <c r="K55">
        <v>-376</v>
      </c>
      <c r="L55">
        <v>-609</v>
      </c>
      <c r="M55">
        <v>-283</v>
      </c>
      <c r="N55" t="s">
        <v>158</v>
      </c>
    </row>
    <row r="56" spans="1:14">
      <c r="A56" t="s">
        <v>212</v>
      </c>
      <c r="B56">
        <v>161149</v>
      </c>
      <c r="C56">
        <v>144571</v>
      </c>
      <c r="D56">
        <v>46530</v>
      </c>
      <c r="E56">
        <v>93265</v>
      </c>
      <c r="F56">
        <v>-65481</v>
      </c>
      <c r="G56">
        <v>319422</v>
      </c>
      <c r="H56">
        <v>109697</v>
      </c>
      <c r="I56">
        <v>111428</v>
      </c>
      <c r="J56">
        <v>169742</v>
      </c>
      <c r="K56">
        <v>7877</v>
      </c>
      <c r="L56">
        <v>56274</v>
      </c>
      <c r="M56">
        <v>33960</v>
      </c>
      <c r="N56" t="s">
        <v>158</v>
      </c>
    </row>
    <row r="57" spans="1:14">
      <c r="A57" t="s">
        <v>213</v>
      </c>
      <c r="B57">
        <v>590527</v>
      </c>
      <c r="C57">
        <v>445956</v>
      </c>
      <c r="D57">
        <v>399426</v>
      </c>
      <c r="E57">
        <v>1063411</v>
      </c>
      <c r="F57">
        <v>1128891</v>
      </c>
      <c r="G57">
        <v>809469</v>
      </c>
      <c r="H57">
        <v>646990</v>
      </c>
      <c r="I57">
        <v>535562</v>
      </c>
      <c r="J57">
        <v>365820</v>
      </c>
      <c r="K57">
        <v>357943</v>
      </c>
      <c r="L57">
        <v>301669</v>
      </c>
      <c r="M57">
        <v>267709</v>
      </c>
      <c r="N57" t="s">
        <v>158</v>
      </c>
    </row>
    <row r="58" spans="1:14">
      <c r="A58" t="s">
        <v>214</v>
      </c>
      <c r="B58">
        <v>751676</v>
      </c>
      <c r="C58">
        <v>590527</v>
      </c>
      <c r="D58">
        <v>445956</v>
      </c>
      <c r="E58">
        <v>1156676</v>
      </c>
      <c r="F58">
        <v>1063411</v>
      </c>
      <c r="G58">
        <v>1128891</v>
      </c>
      <c r="H58">
        <v>756688</v>
      </c>
      <c r="I58">
        <v>646990</v>
      </c>
      <c r="J58">
        <v>535562</v>
      </c>
      <c r="K58">
        <v>365820</v>
      </c>
      <c r="L58">
        <v>357943</v>
      </c>
      <c r="M58">
        <v>301669</v>
      </c>
      <c r="N58" t="s">
        <v>158</v>
      </c>
    </row>
    <row r="59" spans="1:14">
      <c r="A59" t="s">
        <v>215</v>
      </c>
      <c r="B59">
        <v>236117</v>
      </c>
      <c r="C59">
        <v>241361</v>
      </c>
      <c r="D59">
        <v>280038</v>
      </c>
      <c r="E59">
        <v>179979</v>
      </c>
      <c r="F59">
        <v>183701</v>
      </c>
      <c r="G59">
        <v>131482</v>
      </c>
      <c r="H59">
        <v>117830</v>
      </c>
      <c r="I59">
        <v>108652</v>
      </c>
      <c r="J59">
        <v>80676</v>
      </c>
      <c r="K59">
        <v>96711</v>
      </c>
      <c r="L59">
        <v>89291</v>
      </c>
      <c r="M59">
        <v>68134</v>
      </c>
      <c r="N59" t="s">
        <v>158</v>
      </c>
    </row>
    <row r="60" spans="1:14">
      <c r="A60" t="s">
        <v>216</v>
      </c>
      <c r="B60" t="s">
        <v>4</v>
      </c>
      <c r="C60" t="s">
        <v>4</v>
      </c>
      <c r="D60" t="s">
        <v>4</v>
      </c>
      <c r="E60" t="s">
        <v>4</v>
      </c>
      <c r="F60" t="s">
        <v>4</v>
      </c>
      <c r="G60" t="s">
        <v>4</v>
      </c>
      <c r="H60" t="s">
        <v>4</v>
      </c>
      <c r="I60" t="s">
        <v>4</v>
      </c>
      <c r="J60">
        <v>0</v>
      </c>
      <c r="K60">
        <v>0</v>
      </c>
      <c r="L60">
        <v>0</v>
      </c>
      <c r="M60">
        <v>0</v>
      </c>
      <c r="N60" t="s">
        <v>158</v>
      </c>
    </row>
    <row r="61" spans="1:14">
      <c r="A61" t="s">
        <v>217</v>
      </c>
      <c r="B61" t="s">
        <v>4</v>
      </c>
      <c r="C61" t="s">
        <v>4</v>
      </c>
      <c r="D61" t="s">
        <v>4</v>
      </c>
      <c r="E61" t="s">
        <v>4</v>
      </c>
      <c r="F61" t="s">
        <v>4</v>
      </c>
      <c r="G61" t="s">
        <v>4</v>
      </c>
      <c r="H61" t="s">
        <v>4</v>
      </c>
      <c r="I61" t="s">
        <v>4</v>
      </c>
      <c r="J61">
        <v>0</v>
      </c>
      <c r="K61">
        <v>0</v>
      </c>
      <c r="L61">
        <v>0</v>
      </c>
      <c r="M61">
        <v>0</v>
      </c>
      <c r="N61" t="s">
        <v>158</v>
      </c>
    </row>
    <row r="62" spans="1:14">
      <c r="A62" t="s">
        <v>218</v>
      </c>
      <c r="B62">
        <v>8489</v>
      </c>
      <c r="C62">
        <v>18623</v>
      </c>
      <c r="D62">
        <v>24348</v>
      </c>
      <c r="E62">
        <v>12404</v>
      </c>
      <c r="F62">
        <v>9621</v>
      </c>
      <c r="G62">
        <v>5303</v>
      </c>
      <c r="H62">
        <v>9327</v>
      </c>
      <c r="I62">
        <v>18191</v>
      </c>
      <c r="J62">
        <v>11469</v>
      </c>
      <c r="K62">
        <v>11530</v>
      </c>
      <c r="L62">
        <v>4341</v>
      </c>
      <c r="M62">
        <v>8607</v>
      </c>
      <c r="N62" t="s">
        <v>158</v>
      </c>
    </row>
    <row r="63" spans="1:14">
      <c r="A63" t="s">
        <v>219</v>
      </c>
      <c r="B63">
        <v>21629</v>
      </c>
      <c r="C63">
        <v>20313</v>
      </c>
      <c r="D63">
        <v>22285</v>
      </c>
      <c r="E63">
        <v>20671</v>
      </c>
      <c r="F63">
        <v>19084</v>
      </c>
      <c r="G63">
        <v>21166</v>
      </c>
      <c r="H63">
        <v>17971</v>
      </c>
      <c r="I63">
        <v>18380</v>
      </c>
      <c r="J63">
        <v>17383</v>
      </c>
      <c r="K63">
        <v>14970</v>
      </c>
      <c r="L63">
        <v>14910</v>
      </c>
      <c r="M63">
        <v>13310</v>
      </c>
      <c r="N63" t="s">
        <v>158</v>
      </c>
    </row>
    <row r="64" spans="1:14">
      <c r="A64" t="s">
        <v>220</v>
      </c>
      <c r="B64">
        <v>1210</v>
      </c>
      <c r="C64">
        <v>1177</v>
      </c>
      <c r="D64">
        <v>1084</v>
      </c>
      <c r="E64">
        <v>2951</v>
      </c>
      <c r="F64">
        <v>1825</v>
      </c>
      <c r="G64">
        <v>1110</v>
      </c>
      <c r="H64">
        <v>1136</v>
      </c>
      <c r="I64">
        <v>1346</v>
      </c>
      <c r="J64">
        <v>1048</v>
      </c>
      <c r="K64">
        <v>828</v>
      </c>
      <c r="L64">
        <v>918</v>
      </c>
      <c r="M64">
        <v>794</v>
      </c>
      <c r="N64" t="s">
        <v>158</v>
      </c>
    </row>
    <row r="65" spans="1:14">
      <c r="A65" t="s">
        <v>221</v>
      </c>
      <c r="B65">
        <v>383</v>
      </c>
      <c r="C65">
        <v>357</v>
      </c>
      <c r="D65">
        <v>295</v>
      </c>
      <c r="E65">
        <v>395</v>
      </c>
      <c r="F65">
        <v>355</v>
      </c>
      <c r="G65">
        <v>326</v>
      </c>
      <c r="H65">
        <v>242</v>
      </c>
      <c r="I65">
        <v>216</v>
      </c>
      <c r="J65">
        <v>389</v>
      </c>
      <c r="K65">
        <v>326</v>
      </c>
      <c r="L65">
        <v>55</v>
      </c>
      <c r="M65">
        <v>47</v>
      </c>
      <c r="N65" t="s">
        <v>158</v>
      </c>
    </row>
    <row r="66" spans="1:14">
      <c r="A66" t="s">
        <v>222</v>
      </c>
      <c r="B66" t="s">
        <v>4</v>
      </c>
      <c r="C66" t="s">
        <v>4</v>
      </c>
      <c r="D66" t="s">
        <v>4</v>
      </c>
      <c r="E66" t="s">
        <v>4</v>
      </c>
      <c r="F66" t="s">
        <v>4</v>
      </c>
      <c r="G66" t="s">
        <v>4</v>
      </c>
      <c r="H66" t="s">
        <v>4</v>
      </c>
      <c r="I66" t="s">
        <v>4</v>
      </c>
      <c r="J66">
        <v>0</v>
      </c>
      <c r="K66">
        <v>0</v>
      </c>
      <c r="L66">
        <v>0</v>
      </c>
      <c r="M66">
        <v>0</v>
      </c>
      <c r="N66" t="s">
        <v>158</v>
      </c>
    </row>
    <row r="67" spans="1:14">
      <c r="A67" t="s">
        <v>223</v>
      </c>
      <c r="B67" t="s">
        <v>4</v>
      </c>
      <c r="C67" t="s">
        <v>4</v>
      </c>
      <c r="D67" t="s">
        <v>4</v>
      </c>
      <c r="E67" t="s">
        <v>4</v>
      </c>
      <c r="F67" t="s">
        <v>4</v>
      </c>
      <c r="G67" t="s">
        <v>4</v>
      </c>
      <c r="H67" t="s">
        <v>4</v>
      </c>
      <c r="I67" t="s">
        <v>4</v>
      </c>
      <c r="J67">
        <v>0</v>
      </c>
      <c r="K67">
        <v>0</v>
      </c>
      <c r="L67">
        <v>0</v>
      </c>
      <c r="M67">
        <v>0</v>
      </c>
      <c r="N67" t="s">
        <v>158</v>
      </c>
    </row>
    <row r="68" spans="1:14">
      <c r="A68" t="s">
        <v>224</v>
      </c>
      <c r="B68">
        <v>263</v>
      </c>
      <c r="C68">
        <v>-258</v>
      </c>
      <c r="D68">
        <v>-758</v>
      </c>
      <c r="E68">
        <v>-4359</v>
      </c>
      <c r="F68">
        <v>-1</v>
      </c>
      <c r="G68">
        <v>-1558</v>
      </c>
      <c r="H68">
        <v>-103</v>
      </c>
      <c r="I68">
        <v>-1647</v>
      </c>
      <c r="J68">
        <v>-1515</v>
      </c>
      <c r="K68">
        <v>298</v>
      </c>
      <c r="L68">
        <v>-88</v>
      </c>
      <c r="M68">
        <v>-691</v>
      </c>
      <c r="N68" t="s">
        <v>158</v>
      </c>
    </row>
    <row r="69" spans="1:14">
      <c r="A69" t="s">
        <v>225</v>
      </c>
      <c r="B69" t="s">
        <v>4</v>
      </c>
      <c r="C69" t="s">
        <v>4</v>
      </c>
      <c r="D69" t="s">
        <v>4</v>
      </c>
      <c r="E69" t="s">
        <v>4</v>
      </c>
      <c r="F69" t="s">
        <v>4</v>
      </c>
      <c r="G69" t="s">
        <v>4</v>
      </c>
      <c r="H69" t="s">
        <v>4</v>
      </c>
      <c r="I69" t="s">
        <v>4</v>
      </c>
      <c r="J69">
        <v>470</v>
      </c>
      <c r="K69">
        <v>5</v>
      </c>
      <c r="L69">
        <v>133</v>
      </c>
      <c r="M69">
        <v>179</v>
      </c>
      <c r="N69" t="s">
        <v>158</v>
      </c>
    </row>
    <row r="70" spans="1:14">
      <c r="A70" t="s">
        <v>226</v>
      </c>
      <c r="B70" t="s">
        <v>4</v>
      </c>
      <c r="C70" t="s">
        <v>4</v>
      </c>
      <c r="D70" t="s">
        <v>4</v>
      </c>
      <c r="E70" t="s">
        <v>4</v>
      </c>
      <c r="F70" t="s">
        <v>4</v>
      </c>
      <c r="G70" t="s">
        <v>4</v>
      </c>
      <c r="H70" t="s">
        <v>4</v>
      </c>
      <c r="I70" t="s">
        <v>4</v>
      </c>
      <c r="J70">
        <v>0</v>
      </c>
      <c r="K70">
        <v>0</v>
      </c>
      <c r="L70">
        <v>0</v>
      </c>
      <c r="M70">
        <v>0</v>
      </c>
      <c r="N70" t="s">
        <v>158</v>
      </c>
    </row>
    <row r="71" spans="1:14">
      <c r="A71" t="s">
        <v>227</v>
      </c>
      <c r="B71">
        <v>-1068</v>
      </c>
      <c r="C71">
        <v>-1350</v>
      </c>
      <c r="D71" t="s">
        <v>4</v>
      </c>
      <c r="E71" t="s">
        <v>4</v>
      </c>
      <c r="F71" t="s">
        <v>4</v>
      </c>
      <c r="G71" t="s">
        <v>4</v>
      </c>
      <c r="H71" t="s">
        <v>4</v>
      </c>
      <c r="I71" t="s">
        <v>4</v>
      </c>
      <c r="J71">
        <v>0</v>
      </c>
      <c r="K71">
        <v>0</v>
      </c>
      <c r="L71">
        <v>0</v>
      </c>
      <c r="M71">
        <v>0</v>
      </c>
      <c r="N71" t="s">
        <v>158</v>
      </c>
    </row>
    <row r="72" spans="1:14">
      <c r="A72" t="s">
        <v>228</v>
      </c>
      <c r="B72" t="s">
        <v>4</v>
      </c>
      <c r="C72" t="s">
        <v>4</v>
      </c>
      <c r="D72" t="s">
        <v>4</v>
      </c>
      <c r="E72" t="s">
        <v>4</v>
      </c>
      <c r="F72" t="s">
        <v>4</v>
      </c>
      <c r="G72" t="s">
        <v>4</v>
      </c>
      <c r="H72" t="s">
        <v>4</v>
      </c>
      <c r="I72" t="s">
        <v>4</v>
      </c>
      <c r="J72">
        <v>0</v>
      </c>
      <c r="K72">
        <v>0</v>
      </c>
      <c r="L72">
        <v>0</v>
      </c>
      <c r="M72">
        <v>0</v>
      </c>
      <c r="N72" t="s">
        <v>158</v>
      </c>
    </row>
    <row r="73" spans="1:14">
      <c r="A73" t="s">
        <v>229</v>
      </c>
      <c r="B73">
        <v>-12872</v>
      </c>
      <c r="C73">
        <v>-19975</v>
      </c>
      <c r="D73">
        <v>-26435</v>
      </c>
      <c r="E73">
        <v>2769</v>
      </c>
      <c r="F73">
        <v>3216</v>
      </c>
      <c r="G73">
        <v>5173</v>
      </c>
      <c r="H73">
        <v>928</v>
      </c>
      <c r="I73">
        <v>1265</v>
      </c>
      <c r="J73">
        <v>475</v>
      </c>
      <c r="K73">
        <v>1138</v>
      </c>
      <c r="L73">
        <v>1950</v>
      </c>
      <c r="M73">
        <v>2798</v>
      </c>
      <c r="N73" t="s">
        <v>158</v>
      </c>
    </row>
    <row r="74" spans="1:14">
      <c r="A74" t="s">
        <v>230</v>
      </c>
      <c r="B74">
        <v>-33516</v>
      </c>
      <c r="C74">
        <v>-56483</v>
      </c>
      <c r="D74">
        <v>-115121</v>
      </c>
      <c r="E74">
        <v>-31631</v>
      </c>
      <c r="F74">
        <v>-24326</v>
      </c>
      <c r="G74">
        <v>-43706</v>
      </c>
      <c r="H74">
        <v>-34545</v>
      </c>
      <c r="I74">
        <v>-35849</v>
      </c>
      <c r="J74">
        <v>-25151</v>
      </c>
      <c r="K74">
        <v>-41210</v>
      </c>
      <c r="L74">
        <v>-25143</v>
      </c>
      <c r="M74">
        <v>-12857</v>
      </c>
      <c r="N74" t="s">
        <v>158</v>
      </c>
    </row>
    <row r="75" spans="1:14">
      <c r="A75" t="s">
        <v>231</v>
      </c>
      <c r="B75">
        <v>-8181</v>
      </c>
      <c r="C75">
        <v>-2070</v>
      </c>
      <c r="D75">
        <v>468</v>
      </c>
      <c r="E75">
        <v>-183</v>
      </c>
      <c r="F75">
        <v>-2850</v>
      </c>
      <c r="G75">
        <v>-2419</v>
      </c>
      <c r="H75">
        <v>-2121</v>
      </c>
      <c r="I75">
        <v>-2171</v>
      </c>
      <c r="J75">
        <v>-2451</v>
      </c>
      <c r="K75">
        <v>-401</v>
      </c>
      <c r="L75">
        <v>-2323</v>
      </c>
      <c r="M75">
        <v>83</v>
      </c>
      <c r="N75" t="s">
        <v>158</v>
      </c>
    </row>
    <row r="76" spans="1:14">
      <c r="A76" t="s">
        <v>232</v>
      </c>
      <c r="B76">
        <v>-1657</v>
      </c>
      <c r="C76">
        <v>-936</v>
      </c>
      <c r="D76">
        <v>1422</v>
      </c>
      <c r="E76">
        <v>-1656</v>
      </c>
      <c r="F76">
        <v>-258</v>
      </c>
      <c r="G76">
        <v>490</v>
      </c>
      <c r="H76">
        <v>-115</v>
      </c>
      <c r="I76">
        <v>-404</v>
      </c>
      <c r="J76">
        <v>-337</v>
      </c>
      <c r="K76">
        <v>-827</v>
      </c>
      <c r="L76">
        <v>646</v>
      </c>
      <c r="M76">
        <v>723</v>
      </c>
      <c r="N76" t="s">
        <v>158</v>
      </c>
    </row>
    <row r="77" spans="1:14">
      <c r="A77" t="s">
        <v>233</v>
      </c>
      <c r="B77">
        <v>-134538</v>
      </c>
      <c r="C77">
        <v>-52074</v>
      </c>
      <c r="D77">
        <v>14740</v>
      </c>
      <c r="E77">
        <v>-142398</v>
      </c>
      <c r="F77">
        <v>-173160</v>
      </c>
      <c r="G77">
        <v>-63739</v>
      </c>
      <c r="H77">
        <v>-106982</v>
      </c>
      <c r="I77">
        <v>-44963</v>
      </c>
      <c r="J77">
        <v>-6943</v>
      </c>
      <c r="K77">
        <v>-14434</v>
      </c>
      <c r="L77">
        <v>-31258</v>
      </c>
      <c r="M77">
        <v>-29605</v>
      </c>
      <c r="N77" t="s">
        <v>158</v>
      </c>
    </row>
    <row r="78" spans="1:14">
      <c r="A78" t="s">
        <v>234</v>
      </c>
      <c r="B78">
        <v>7408</v>
      </c>
      <c r="C78">
        <v>-29546</v>
      </c>
      <c r="D78">
        <v>-99891</v>
      </c>
      <c r="E78">
        <v>-38481</v>
      </c>
      <c r="F78">
        <v>-49544</v>
      </c>
      <c r="G78">
        <v>-75078</v>
      </c>
      <c r="H78">
        <v>-71868</v>
      </c>
      <c r="I78">
        <v>-60208</v>
      </c>
      <c r="J78">
        <v>-27533</v>
      </c>
      <c r="K78">
        <v>-6021</v>
      </c>
      <c r="L78">
        <v>-36508</v>
      </c>
      <c r="M78">
        <v>-18886</v>
      </c>
      <c r="N78" t="s">
        <v>158</v>
      </c>
    </row>
    <row r="79" spans="1:14">
      <c r="A79" t="s">
        <v>235</v>
      </c>
      <c r="B79">
        <v>69445</v>
      </c>
      <c r="C79">
        <v>79689</v>
      </c>
      <c r="D79">
        <v>31778</v>
      </c>
      <c r="E79">
        <v>200047</v>
      </c>
      <c r="F79">
        <v>208809</v>
      </c>
      <c r="G79">
        <v>332179</v>
      </c>
      <c r="H79">
        <v>222256</v>
      </c>
      <c r="I79">
        <v>175654</v>
      </c>
      <c r="J79">
        <v>154750</v>
      </c>
      <c r="K79">
        <v>-11264</v>
      </c>
      <c r="L79">
        <v>90330</v>
      </c>
      <c r="M79">
        <v>51116</v>
      </c>
      <c r="N79" t="s">
        <v>158</v>
      </c>
    </row>
    <row r="80" spans="1:14">
      <c r="A80" t="s">
        <v>236</v>
      </c>
      <c r="B80" t="s">
        <v>4</v>
      </c>
      <c r="C80" t="s">
        <v>4</v>
      </c>
      <c r="D80" t="s">
        <v>4</v>
      </c>
      <c r="E80" t="s">
        <v>4</v>
      </c>
      <c r="F80" t="s">
        <v>4</v>
      </c>
      <c r="G80" t="s">
        <v>4</v>
      </c>
      <c r="H80" t="s">
        <v>4</v>
      </c>
      <c r="I80" t="s">
        <v>4</v>
      </c>
      <c r="J80">
        <v>0</v>
      </c>
      <c r="K80">
        <v>0</v>
      </c>
      <c r="L80">
        <v>0</v>
      </c>
      <c r="M80">
        <v>0</v>
      </c>
      <c r="N80" t="s">
        <v>158</v>
      </c>
    </row>
    <row r="81" spans="1:14">
      <c r="A81" t="s">
        <v>237</v>
      </c>
      <c r="B81" t="s">
        <v>4</v>
      </c>
      <c r="C81" t="s">
        <v>4</v>
      </c>
      <c r="D81" t="s">
        <v>4</v>
      </c>
      <c r="E81" t="s">
        <v>4</v>
      </c>
      <c r="F81" t="s">
        <v>4</v>
      </c>
      <c r="G81" t="s">
        <v>4</v>
      </c>
      <c r="H81" t="s">
        <v>4</v>
      </c>
      <c r="I81" t="s">
        <v>4</v>
      </c>
      <c r="J81">
        <v>0</v>
      </c>
      <c r="K81">
        <v>0</v>
      </c>
      <c r="L81">
        <v>0</v>
      </c>
      <c r="M81">
        <v>0</v>
      </c>
      <c r="N81" t="s">
        <v>158</v>
      </c>
    </row>
    <row r="82" spans="1:14">
      <c r="A82" t="s">
        <v>238</v>
      </c>
      <c r="B82" t="s">
        <v>4</v>
      </c>
      <c r="C82" t="s">
        <v>4</v>
      </c>
      <c r="D82" t="s">
        <v>4</v>
      </c>
      <c r="E82" t="s">
        <v>4</v>
      </c>
      <c r="F82" t="s">
        <v>4</v>
      </c>
      <c r="G82" t="s">
        <v>4</v>
      </c>
      <c r="H82" t="s">
        <v>4</v>
      </c>
      <c r="I82" t="s">
        <v>4</v>
      </c>
      <c r="J82">
        <v>0</v>
      </c>
      <c r="K82">
        <v>0</v>
      </c>
      <c r="L82">
        <v>-1465</v>
      </c>
      <c r="M82">
        <v>0</v>
      </c>
      <c r="N82" t="s">
        <v>158</v>
      </c>
    </row>
    <row r="83" spans="1:14">
      <c r="A83" t="s">
        <v>239</v>
      </c>
      <c r="B83">
        <v>193012</v>
      </c>
      <c r="C83">
        <v>199957</v>
      </c>
      <c r="D83">
        <v>133877</v>
      </c>
      <c r="E83">
        <v>201196</v>
      </c>
      <c r="F83">
        <v>175889</v>
      </c>
      <c r="G83">
        <v>312006</v>
      </c>
      <c r="H83">
        <v>154238</v>
      </c>
      <c r="I83">
        <v>178746</v>
      </c>
      <c r="J83">
        <v>202860</v>
      </c>
      <c r="K83">
        <v>51650</v>
      </c>
      <c r="L83">
        <v>105788</v>
      </c>
      <c r="M83">
        <v>83751</v>
      </c>
      <c r="N83" t="s">
        <v>158</v>
      </c>
    </row>
    <row r="84" spans="1:14">
      <c r="A84" t="s">
        <v>240</v>
      </c>
      <c r="B84" t="s">
        <v>4</v>
      </c>
      <c r="C84" t="s">
        <v>4</v>
      </c>
      <c r="D84" t="s">
        <v>4</v>
      </c>
      <c r="E84" t="s">
        <v>4</v>
      </c>
      <c r="F84" t="s">
        <v>4</v>
      </c>
      <c r="G84" t="s">
        <v>4</v>
      </c>
      <c r="H84" t="s">
        <v>4</v>
      </c>
      <c r="I84" t="s">
        <v>4</v>
      </c>
      <c r="J84">
        <v>0</v>
      </c>
      <c r="K84">
        <v>0</v>
      </c>
      <c r="L84">
        <v>0</v>
      </c>
      <c r="M84">
        <v>0</v>
      </c>
      <c r="N84" t="s">
        <v>158</v>
      </c>
    </row>
    <row r="85" spans="1:14">
      <c r="A85" t="s">
        <v>241</v>
      </c>
      <c r="B85" t="s">
        <v>4</v>
      </c>
      <c r="C85" t="s">
        <v>4</v>
      </c>
      <c r="D85" t="s">
        <v>4</v>
      </c>
      <c r="E85" t="s">
        <v>4</v>
      </c>
      <c r="F85" t="s">
        <v>4</v>
      </c>
      <c r="G85" t="s">
        <v>4</v>
      </c>
      <c r="H85" t="s">
        <v>4</v>
      </c>
      <c r="I85" t="s">
        <v>4</v>
      </c>
      <c r="J85">
        <v>0</v>
      </c>
      <c r="K85">
        <v>0</v>
      </c>
      <c r="L85">
        <v>0</v>
      </c>
      <c r="M85">
        <v>0</v>
      </c>
      <c r="N85" t="s">
        <v>158</v>
      </c>
    </row>
    <row r="86" spans="1:14">
      <c r="A86" t="s">
        <v>242</v>
      </c>
      <c r="B86" t="s">
        <v>4</v>
      </c>
      <c r="C86" t="s">
        <v>4</v>
      </c>
      <c r="D86" t="s">
        <v>4</v>
      </c>
      <c r="E86" t="s">
        <v>4</v>
      </c>
      <c r="F86" t="s">
        <v>4</v>
      </c>
      <c r="G86" t="s">
        <v>4</v>
      </c>
      <c r="H86" t="s">
        <v>4</v>
      </c>
      <c r="I86" t="s">
        <v>4</v>
      </c>
      <c r="J86">
        <v>0</v>
      </c>
      <c r="K86">
        <v>0</v>
      </c>
      <c r="L86">
        <v>0</v>
      </c>
      <c r="M86">
        <v>0</v>
      </c>
      <c r="N86" t="s">
        <v>158</v>
      </c>
    </row>
    <row r="87" spans="1:14">
      <c r="A87" t="s">
        <v>243</v>
      </c>
      <c r="B87">
        <v>751676</v>
      </c>
      <c r="C87">
        <v>590527</v>
      </c>
      <c r="D87">
        <v>445956</v>
      </c>
      <c r="E87">
        <v>1156676</v>
      </c>
      <c r="F87">
        <v>1063411</v>
      </c>
      <c r="G87">
        <v>1128891</v>
      </c>
      <c r="H87">
        <v>756688</v>
      </c>
      <c r="I87">
        <v>646990</v>
      </c>
      <c r="J87">
        <v>535562</v>
      </c>
      <c r="K87">
        <v>365820</v>
      </c>
      <c r="L87">
        <v>357943</v>
      </c>
      <c r="M87">
        <v>301669</v>
      </c>
      <c r="N87" t="s">
        <v>158</v>
      </c>
    </row>
    <row r="88" spans="1:14">
      <c r="A88" t="s">
        <v>244</v>
      </c>
      <c r="B88">
        <v>590527</v>
      </c>
      <c r="C88">
        <v>445956</v>
      </c>
      <c r="D88">
        <v>399426</v>
      </c>
      <c r="E88">
        <v>1063411</v>
      </c>
      <c r="F88">
        <v>1128891</v>
      </c>
      <c r="G88">
        <v>809469</v>
      </c>
      <c r="H88">
        <v>646990</v>
      </c>
      <c r="I88">
        <v>535562</v>
      </c>
      <c r="J88">
        <v>365820</v>
      </c>
      <c r="K88">
        <v>357943</v>
      </c>
      <c r="L88">
        <v>301669</v>
      </c>
      <c r="M88">
        <v>267709</v>
      </c>
      <c r="N88" t="s">
        <v>158</v>
      </c>
    </row>
    <row r="89" spans="1:14">
      <c r="A89" t="s">
        <v>245</v>
      </c>
      <c r="B89" t="s">
        <v>4</v>
      </c>
      <c r="C89" t="s">
        <v>4</v>
      </c>
      <c r="D89" t="s">
        <v>4</v>
      </c>
      <c r="E89" t="s">
        <v>4</v>
      </c>
      <c r="F89" t="s">
        <v>4</v>
      </c>
      <c r="G89" t="s">
        <v>4</v>
      </c>
      <c r="H89" t="s">
        <v>4</v>
      </c>
      <c r="I89" t="s">
        <v>4</v>
      </c>
      <c r="J89">
        <v>0</v>
      </c>
      <c r="K89">
        <v>0</v>
      </c>
      <c r="L89">
        <v>0</v>
      </c>
      <c r="M89">
        <v>0</v>
      </c>
      <c r="N89" t="s">
        <v>158</v>
      </c>
    </row>
    <row r="90" spans="1:14">
      <c r="A90" t="s">
        <v>246</v>
      </c>
      <c r="B90" t="s">
        <v>4</v>
      </c>
      <c r="C90" t="s">
        <v>4</v>
      </c>
      <c r="D90" t="s">
        <v>4</v>
      </c>
      <c r="E90" t="s">
        <v>4</v>
      </c>
      <c r="F90" t="s">
        <v>4</v>
      </c>
      <c r="G90" t="s">
        <v>4</v>
      </c>
      <c r="H90" t="s">
        <v>4</v>
      </c>
      <c r="I90" t="s">
        <v>4</v>
      </c>
      <c r="J90">
        <v>0</v>
      </c>
      <c r="K90">
        <v>0</v>
      </c>
      <c r="L90">
        <v>0</v>
      </c>
      <c r="M90">
        <v>0</v>
      </c>
      <c r="N90" t="s">
        <v>158</v>
      </c>
    </row>
    <row r="91" spans="1:14">
      <c r="A91" t="s">
        <v>247</v>
      </c>
      <c r="B91">
        <v>161149</v>
      </c>
      <c r="C91">
        <v>144571</v>
      </c>
      <c r="D91">
        <v>46530</v>
      </c>
      <c r="E91">
        <v>93265</v>
      </c>
      <c r="F91">
        <v>-65481</v>
      </c>
      <c r="G91">
        <v>319422</v>
      </c>
      <c r="H91">
        <v>109697</v>
      </c>
      <c r="I91">
        <v>111428</v>
      </c>
      <c r="J91">
        <v>169742</v>
      </c>
      <c r="K91">
        <v>7877</v>
      </c>
      <c r="L91">
        <v>56274</v>
      </c>
      <c r="M91">
        <v>33960</v>
      </c>
      <c r="N91" t="s">
        <v>158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财务报表摘要"/>
  <dimension ref="A1:N27"/>
  <sheetViews>
    <sheetView workbookViewId="0">
      <selection activeCell="D31" sqref="D31"/>
    </sheetView>
  </sheetViews>
  <sheetFormatPr defaultRowHeight="13.5"/>
  <cols>
    <col min="1" max="1" width="34.125" bestFit="1" customWidth="1"/>
    <col min="2" max="13" width="11.625" bestFit="1" customWidth="1"/>
    <col min="14" max="14" width="1.5" bestFit="1" customWidth="1"/>
  </cols>
  <sheetData>
    <row r="1" spans="1:13">
      <c r="A1">
        <v>600835</v>
      </c>
    </row>
    <row r="2" spans="1:13">
      <c r="A2" t="s">
        <v>248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2</v>
      </c>
      <c r="B3">
        <v>1947115</v>
      </c>
      <c r="C3">
        <v>1893855</v>
      </c>
      <c r="D3">
        <v>1929553</v>
      </c>
      <c r="E3">
        <v>2077893</v>
      </c>
      <c r="F3">
        <v>1990708</v>
      </c>
      <c r="G3">
        <v>1774325</v>
      </c>
      <c r="H3">
        <v>1450238</v>
      </c>
      <c r="I3">
        <v>1325998</v>
      </c>
      <c r="J3">
        <v>1098624</v>
      </c>
      <c r="K3">
        <v>1044738</v>
      </c>
      <c r="L3">
        <v>918619</v>
      </c>
      <c r="M3">
        <v>745267</v>
      </c>
    </row>
    <row r="4" spans="1:13">
      <c r="A4" t="s">
        <v>10</v>
      </c>
      <c r="B4">
        <v>1522693</v>
      </c>
      <c r="C4">
        <v>1478097</v>
      </c>
      <c r="D4">
        <v>1511788</v>
      </c>
      <c r="E4">
        <v>1624213</v>
      </c>
      <c r="F4">
        <v>1567077</v>
      </c>
      <c r="G4">
        <v>1429520</v>
      </c>
      <c r="H4">
        <v>1165469</v>
      </c>
      <c r="I4">
        <v>1070028</v>
      </c>
      <c r="J4">
        <v>888816</v>
      </c>
      <c r="K4">
        <v>848910</v>
      </c>
      <c r="L4">
        <v>727725</v>
      </c>
      <c r="M4">
        <v>590863</v>
      </c>
    </row>
    <row r="5" spans="1:13">
      <c r="A5" t="s">
        <v>34</v>
      </c>
      <c r="B5">
        <v>262584</v>
      </c>
      <c r="C5">
        <v>263314</v>
      </c>
      <c r="D5">
        <v>269756</v>
      </c>
      <c r="E5">
        <v>194181</v>
      </c>
      <c r="F5">
        <v>172653</v>
      </c>
      <c r="G5">
        <v>149954</v>
      </c>
      <c r="H5">
        <v>127868</v>
      </c>
      <c r="I5">
        <v>112733</v>
      </c>
      <c r="J5">
        <v>86458</v>
      </c>
      <c r="K5">
        <v>109612</v>
      </c>
      <c r="L5">
        <v>99356</v>
      </c>
      <c r="M5">
        <v>77047</v>
      </c>
    </row>
    <row r="6" spans="1:13">
      <c r="A6" t="s">
        <v>38</v>
      </c>
      <c r="B6">
        <v>270108</v>
      </c>
      <c r="C6">
        <v>275773</v>
      </c>
      <c r="D6">
        <v>319486</v>
      </c>
      <c r="E6">
        <v>212671</v>
      </c>
      <c r="F6">
        <v>208157</v>
      </c>
      <c r="G6">
        <v>167914</v>
      </c>
      <c r="H6">
        <v>135202</v>
      </c>
      <c r="I6">
        <v>124815</v>
      </c>
      <c r="J6">
        <v>94250</v>
      </c>
      <c r="K6">
        <v>112042</v>
      </c>
      <c r="L6">
        <v>103219</v>
      </c>
      <c r="M6">
        <v>80139</v>
      </c>
    </row>
    <row r="7" spans="1:13">
      <c r="A7" t="s">
        <v>39</v>
      </c>
      <c r="B7">
        <v>33991</v>
      </c>
      <c r="C7">
        <v>34412</v>
      </c>
      <c r="D7">
        <v>39448</v>
      </c>
      <c r="E7">
        <v>32692</v>
      </c>
      <c r="F7">
        <v>24456</v>
      </c>
      <c r="G7">
        <v>36431</v>
      </c>
      <c r="H7">
        <v>17372</v>
      </c>
      <c r="I7">
        <v>16163</v>
      </c>
      <c r="J7">
        <v>13574</v>
      </c>
      <c r="K7">
        <v>15332</v>
      </c>
      <c r="L7">
        <v>13928</v>
      </c>
      <c r="M7">
        <v>12005</v>
      </c>
    </row>
    <row r="8" spans="1:13">
      <c r="A8" t="s">
        <v>41</v>
      </c>
      <c r="B8">
        <v>236117</v>
      </c>
      <c r="C8">
        <v>241361</v>
      </c>
      <c r="D8">
        <v>280038</v>
      </c>
      <c r="E8">
        <v>179979</v>
      </c>
      <c r="F8">
        <v>183701</v>
      </c>
      <c r="G8">
        <v>131482</v>
      </c>
      <c r="H8">
        <v>117830</v>
      </c>
      <c r="I8">
        <v>108652</v>
      </c>
      <c r="J8">
        <v>80676</v>
      </c>
      <c r="K8">
        <v>96711</v>
      </c>
      <c r="L8">
        <v>89291</v>
      </c>
      <c r="M8">
        <v>68134</v>
      </c>
    </row>
    <row r="9" spans="1:13">
      <c r="A9" t="s">
        <v>45</v>
      </c>
      <c r="B9">
        <v>1.36</v>
      </c>
      <c r="C9">
        <v>1.42</v>
      </c>
      <c r="D9">
        <v>1.79</v>
      </c>
      <c r="E9">
        <v>0.84</v>
      </c>
      <c r="F9">
        <v>0.92</v>
      </c>
      <c r="G9">
        <v>0.69</v>
      </c>
      <c r="H9">
        <v>0.7</v>
      </c>
      <c r="I9">
        <v>0.65</v>
      </c>
      <c r="J9">
        <v>0.46</v>
      </c>
      <c r="K9">
        <v>0.63</v>
      </c>
      <c r="L9">
        <v>0.71</v>
      </c>
      <c r="M9">
        <v>0.49</v>
      </c>
    </row>
    <row r="10" spans="1:13">
      <c r="A10" t="s">
        <v>47</v>
      </c>
      <c r="B10">
        <v>1441392</v>
      </c>
      <c r="C10">
        <v>1393912</v>
      </c>
      <c r="D10">
        <v>1278249</v>
      </c>
      <c r="E10">
        <v>1211801</v>
      </c>
      <c r="F10">
        <v>1118621</v>
      </c>
      <c r="G10">
        <v>1185594</v>
      </c>
      <c r="H10">
        <v>802798</v>
      </c>
      <c r="I10">
        <v>701990</v>
      </c>
      <c r="J10">
        <v>590562</v>
      </c>
      <c r="K10">
        <v>415820</v>
      </c>
      <c r="L10">
        <v>407943</v>
      </c>
      <c r="M10">
        <v>351669</v>
      </c>
    </row>
    <row r="11" spans="1:13">
      <c r="A11" t="s">
        <v>53</v>
      </c>
      <c r="B11">
        <v>250118</v>
      </c>
      <c r="C11">
        <v>205206</v>
      </c>
      <c r="D11">
        <v>197270</v>
      </c>
      <c r="E11">
        <v>222973</v>
      </c>
      <c r="F11">
        <v>188031</v>
      </c>
      <c r="G11">
        <v>202483</v>
      </c>
      <c r="H11">
        <v>128668</v>
      </c>
      <c r="I11">
        <v>113882</v>
      </c>
      <c r="J11">
        <v>99892</v>
      </c>
      <c r="K11">
        <v>78962</v>
      </c>
      <c r="L11">
        <v>72437</v>
      </c>
      <c r="M11">
        <v>58864</v>
      </c>
    </row>
    <row r="12" spans="1:13">
      <c r="A12" t="s">
        <v>67</v>
      </c>
      <c r="B12">
        <v>874574</v>
      </c>
      <c r="C12">
        <v>738799</v>
      </c>
      <c r="D12">
        <v>687232</v>
      </c>
      <c r="E12">
        <v>766113</v>
      </c>
      <c r="F12">
        <v>638646</v>
      </c>
      <c r="G12">
        <v>490355</v>
      </c>
      <c r="H12">
        <v>319239</v>
      </c>
      <c r="I12">
        <v>253030</v>
      </c>
      <c r="J12">
        <v>210510</v>
      </c>
      <c r="K12">
        <v>184255</v>
      </c>
      <c r="L12">
        <v>179057</v>
      </c>
      <c r="M12">
        <v>146295</v>
      </c>
    </row>
    <row r="13" spans="1:13">
      <c r="A13" t="s">
        <v>72</v>
      </c>
      <c r="B13">
        <v>2850416</v>
      </c>
      <c r="C13">
        <v>2679770</v>
      </c>
      <c r="D13">
        <v>2515870</v>
      </c>
      <c r="E13">
        <v>2465113</v>
      </c>
      <c r="F13">
        <v>2222696</v>
      </c>
      <c r="G13">
        <v>2093263</v>
      </c>
      <c r="H13">
        <v>1452186</v>
      </c>
      <c r="I13">
        <v>1164893</v>
      </c>
      <c r="J13">
        <v>967834</v>
      </c>
      <c r="K13">
        <v>756859</v>
      </c>
      <c r="L13">
        <v>711602</v>
      </c>
      <c r="M13">
        <v>587781</v>
      </c>
    </row>
    <row r="14" spans="1:13">
      <c r="A14" t="s">
        <v>249</v>
      </c>
      <c r="B14">
        <v>155698</v>
      </c>
      <c r="C14">
        <v>162199</v>
      </c>
      <c r="D14">
        <v>152104</v>
      </c>
      <c r="E14">
        <v>164190</v>
      </c>
      <c r="F14">
        <v>156607</v>
      </c>
      <c r="G14">
        <v>166188</v>
      </c>
      <c r="H14">
        <v>124065</v>
      </c>
      <c r="I14">
        <v>147335</v>
      </c>
      <c r="J14">
        <v>150884</v>
      </c>
      <c r="K14">
        <v>135052</v>
      </c>
      <c r="L14">
        <v>121760</v>
      </c>
      <c r="M14">
        <v>111245</v>
      </c>
    </row>
    <row r="15" spans="1:13">
      <c r="A15" t="s">
        <v>99</v>
      </c>
      <c r="B15">
        <v>3352037</v>
      </c>
      <c r="C15">
        <v>3174104</v>
      </c>
      <c r="D15">
        <v>2985273</v>
      </c>
      <c r="E15">
        <v>2976909</v>
      </c>
      <c r="F15">
        <v>2712046</v>
      </c>
      <c r="G15">
        <v>2574368</v>
      </c>
      <c r="H15">
        <v>1791042</v>
      </c>
      <c r="I15">
        <v>1518765</v>
      </c>
      <c r="J15">
        <v>1311163</v>
      </c>
      <c r="K15">
        <v>1047700</v>
      </c>
      <c r="L15">
        <v>1002611</v>
      </c>
      <c r="M15">
        <v>843509</v>
      </c>
    </row>
    <row r="16" spans="1:13">
      <c r="A16" t="s">
        <v>131</v>
      </c>
      <c r="B16">
        <v>2071693</v>
      </c>
      <c r="C16">
        <v>1974851</v>
      </c>
      <c r="D16">
        <v>1893338</v>
      </c>
      <c r="E16">
        <v>1897097</v>
      </c>
      <c r="F16">
        <v>1827160</v>
      </c>
      <c r="G16">
        <v>1631446</v>
      </c>
      <c r="H16">
        <v>1003780</v>
      </c>
      <c r="I16">
        <v>768371</v>
      </c>
      <c r="J16">
        <v>612434</v>
      </c>
      <c r="K16">
        <v>426219</v>
      </c>
      <c r="L16">
        <v>432823</v>
      </c>
      <c r="M16">
        <v>328278</v>
      </c>
    </row>
    <row r="17" spans="1:14">
      <c r="A17" t="s">
        <v>139</v>
      </c>
      <c r="B17">
        <v>37284</v>
      </c>
      <c r="C17">
        <v>40207</v>
      </c>
      <c r="D17">
        <v>43287</v>
      </c>
      <c r="E17">
        <v>218622</v>
      </c>
      <c r="F17">
        <v>78203</v>
      </c>
      <c r="G17">
        <v>229882</v>
      </c>
      <c r="H17">
        <v>4656</v>
      </c>
      <c r="I17">
        <v>10957</v>
      </c>
      <c r="J17">
        <v>21926</v>
      </c>
      <c r="K17">
        <v>2007</v>
      </c>
      <c r="L17">
        <v>3913</v>
      </c>
      <c r="M17">
        <v>2201</v>
      </c>
    </row>
    <row r="18" spans="1:14">
      <c r="A18" t="s">
        <v>140</v>
      </c>
      <c r="B18">
        <v>2108978</v>
      </c>
      <c r="C18">
        <v>2015058</v>
      </c>
      <c r="D18">
        <v>1936625</v>
      </c>
      <c r="E18">
        <v>2115719</v>
      </c>
      <c r="F18">
        <v>1905362</v>
      </c>
      <c r="G18">
        <v>1861328</v>
      </c>
      <c r="H18">
        <v>1008436</v>
      </c>
      <c r="I18">
        <v>779327</v>
      </c>
      <c r="J18">
        <v>634360</v>
      </c>
      <c r="K18">
        <v>428226</v>
      </c>
      <c r="L18">
        <v>436736</v>
      </c>
      <c r="M18">
        <v>330479</v>
      </c>
    </row>
    <row r="19" spans="1:14">
      <c r="A19" t="s">
        <v>153</v>
      </c>
      <c r="B19">
        <v>1243060</v>
      </c>
      <c r="C19">
        <v>1159046</v>
      </c>
      <c r="D19">
        <v>1048649</v>
      </c>
      <c r="E19">
        <v>861190</v>
      </c>
      <c r="F19">
        <v>806683</v>
      </c>
      <c r="G19">
        <v>713040</v>
      </c>
      <c r="H19">
        <v>782606</v>
      </c>
      <c r="I19">
        <v>739437</v>
      </c>
      <c r="J19">
        <v>676802</v>
      </c>
      <c r="K19">
        <v>619474</v>
      </c>
      <c r="L19">
        <v>565875</v>
      </c>
      <c r="M19">
        <v>513030</v>
      </c>
    </row>
    <row r="20" spans="1:14">
      <c r="A20" t="s">
        <v>250</v>
      </c>
      <c r="B20">
        <v>590527</v>
      </c>
      <c r="C20">
        <v>445956</v>
      </c>
      <c r="D20">
        <v>399426</v>
      </c>
      <c r="E20">
        <v>1063411</v>
      </c>
      <c r="F20">
        <v>1128891</v>
      </c>
      <c r="G20">
        <v>809469</v>
      </c>
      <c r="H20">
        <v>646990</v>
      </c>
      <c r="I20">
        <v>535562</v>
      </c>
      <c r="J20">
        <v>365820</v>
      </c>
      <c r="K20">
        <v>357943</v>
      </c>
      <c r="L20">
        <v>301669</v>
      </c>
      <c r="M20">
        <v>267709</v>
      </c>
    </row>
    <row r="21" spans="1:14">
      <c r="A21" t="s">
        <v>251</v>
      </c>
      <c r="B21">
        <v>193012</v>
      </c>
      <c r="C21">
        <v>199957</v>
      </c>
      <c r="D21">
        <v>133877</v>
      </c>
      <c r="E21">
        <v>201196</v>
      </c>
      <c r="F21">
        <v>175889</v>
      </c>
      <c r="G21">
        <v>312006</v>
      </c>
      <c r="H21">
        <v>154238</v>
      </c>
      <c r="I21">
        <v>178746</v>
      </c>
      <c r="J21">
        <v>202860</v>
      </c>
      <c r="K21">
        <v>51650</v>
      </c>
      <c r="L21">
        <v>105788</v>
      </c>
      <c r="M21">
        <v>83751</v>
      </c>
    </row>
    <row r="22" spans="1:14">
      <c r="A22" t="s">
        <v>252</v>
      </c>
      <c r="B22">
        <v>95203</v>
      </c>
      <c r="C22">
        <v>59896</v>
      </c>
      <c r="D22">
        <v>-5968</v>
      </c>
      <c r="E22">
        <v>1024</v>
      </c>
      <c r="F22">
        <v>-3877</v>
      </c>
      <c r="G22">
        <v>-53909</v>
      </c>
      <c r="H22">
        <v>-4049</v>
      </c>
      <c r="I22">
        <v>3802</v>
      </c>
      <c r="J22">
        <v>1657</v>
      </c>
      <c r="K22">
        <v>-7503</v>
      </c>
      <c r="L22">
        <v>-19147</v>
      </c>
      <c r="M22">
        <v>3467</v>
      </c>
    </row>
    <row r="23" spans="1:14">
      <c r="A23" t="s">
        <v>253</v>
      </c>
      <c r="B23">
        <v>-124215</v>
      </c>
      <c r="C23">
        <v>-116656</v>
      </c>
      <c r="D23">
        <v>-81420</v>
      </c>
      <c r="E23">
        <v>-107385</v>
      </c>
      <c r="F23">
        <v>-235634</v>
      </c>
      <c r="G23">
        <v>61164</v>
      </c>
      <c r="H23">
        <v>-40064</v>
      </c>
      <c r="I23">
        <v>-70918</v>
      </c>
      <c r="J23">
        <v>-34580</v>
      </c>
      <c r="K23">
        <v>-35894</v>
      </c>
      <c r="L23">
        <v>-29758</v>
      </c>
      <c r="M23">
        <v>-52975</v>
      </c>
    </row>
    <row r="24" spans="1:14">
      <c r="A24" t="s">
        <v>254</v>
      </c>
      <c r="B24">
        <v>161149</v>
      </c>
      <c r="C24">
        <v>144571</v>
      </c>
      <c r="D24">
        <v>46530</v>
      </c>
      <c r="E24">
        <v>93265</v>
      </c>
      <c r="F24">
        <v>-65481</v>
      </c>
      <c r="G24">
        <v>319422</v>
      </c>
      <c r="H24">
        <v>109697</v>
      </c>
      <c r="I24">
        <v>111428</v>
      </c>
      <c r="J24">
        <v>169742</v>
      </c>
      <c r="K24">
        <v>7877</v>
      </c>
      <c r="L24">
        <v>56274</v>
      </c>
      <c r="M24">
        <v>33960</v>
      </c>
    </row>
    <row r="25" spans="1:14">
      <c r="A25" t="s">
        <v>255</v>
      </c>
      <c r="B25">
        <v>751676</v>
      </c>
      <c r="C25">
        <v>590527</v>
      </c>
      <c r="D25">
        <v>445956</v>
      </c>
      <c r="E25">
        <v>1156676</v>
      </c>
      <c r="F25">
        <v>1063411</v>
      </c>
      <c r="G25">
        <v>1128891</v>
      </c>
      <c r="H25">
        <v>756688</v>
      </c>
      <c r="I25">
        <v>646990</v>
      </c>
      <c r="J25">
        <v>535562</v>
      </c>
      <c r="K25">
        <v>365820</v>
      </c>
      <c r="L25">
        <v>357943</v>
      </c>
      <c r="M25">
        <v>301669</v>
      </c>
      <c r="N25" t="s">
        <v>155</v>
      </c>
    </row>
    <row r="26" spans="1:14">
      <c r="A26" t="s">
        <v>155</v>
      </c>
    </row>
    <row r="27" spans="1:14">
      <c r="A27" t="s">
        <v>156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N108"/>
  <sheetViews>
    <sheetView tabSelected="1" topLeftCell="A29" workbookViewId="0">
      <selection activeCell="D42" sqref="D42"/>
    </sheetView>
  </sheetViews>
  <sheetFormatPr defaultRowHeight="13.5"/>
  <cols>
    <col min="1" max="1" width="31.875" bestFit="1" customWidth="1"/>
    <col min="2" max="13" width="11.625" bestFit="1" customWidth="1"/>
  </cols>
  <sheetData>
    <row r="1" spans="1:14" s="3" customFormat="1">
      <c r="A1" s="3">
        <v>600835</v>
      </c>
      <c r="B1" s="1">
        <v>43100</v>
      </c>
      <c r="C1" s="1">
        <v>42735</v>
      </c>
      <c r="D1" s="1">
        <v>42369</v>
      </c>
      <c r="E1" s="1">
        <v>42004</v>
      </c>
      <c r="F1" s="1">
        <v>41639</v>
      </c>
      <c r="G1" s="1">
        <v>41274</v>
      </c>
      <c r="H1" s="1">
        <v>40908</v>
      </c>
      <c r="I1" s="1">
        <v>40543</v>
      </c>
      <c r="J1" s="1">
        <v>40178</v>
      </c>
      <c r="K1" s="1">
        <v>39813</v>
      </c>
      <c r="L1" s="1">
        <v>39447</v>
      </c>
      <c r="M1" s="1">
        <v>39082</v>
      </c>
      <c r="N1"/>
    </row>
    <row r="2" spans="1:14">
      <c r="A2" s="2" t="s">
        <v>256</v>
      </c>
    </row>
    <row r="3" spans="1:14">
      <c r="A3" s="2" t="s">
        <v>257</v>
      </c>
    </row>
    <row r="4" spans="1:14">
      <c r="A4" t="s">
        <v>258</v>
      </c>
      <c r="B4">
        <v>1441392</v>
      </c>
      <c r="C4">
        <v>1393912</v>
      </c>
      <c r="D4">
        <v>1278249</v>
      </c>
      <c r="E4">
        <v>1211801</v>
      </c>
      <c r="F4">
        <v>1118621</v>
      </c>
      <c r="G4">
        <v>1185594</v>
      </c>
      <c r="H4">
        <v>802798</v>
      </c>
      <c r="I4">
        <v>701990</v>
      </c>
      <c r="J4">
        <v>590562</v>
      </c>
      <c r="K4">
        <v>415820</v>
      </c>
      <c r="L4">
        <v>407943</v>
      </c>
      <c r="M4">
        <v>351669</v>
      </c>
    </row>
    <row r="5" spans="1:14">
      <c r="A5" t="s">
        <v>259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>
        <v>0</v>
      </c>
      <c r="K5" t="s">
        <v>4</v>
      </c>
      <c r="L5" t="s">
        <v>4</v>
      </c>
      <c r="M5">
        <v>0</v>
      </c>
    </row>
    <row r="6" spans="1:14">
      <c r="A6" t="s">
        <v>270</v>
      </c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</row>
    <row r="7" spans="1:14">
      <c r="A7" t="s">
        <v>261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>
        <v>0</v>
      </c>
      <c r="K7" t="s">
        <v>4</v>
      </c>
      <c r="L7" t="s">
        <v>4</v>
      </c>
      <c r="M7">
        <v>0</v>
      </c>
    </row>
    <row r="8" spans="1:14">
      <c r="A8" t="s">
        <v>262</v>
      </c>
      <c r="B8">
        <v>14503</v>
      </c>
      <c r="C8">
        <v>21626</v>
      </c>
      <c r="D8">
        <v>19944</v>
      </c>
      <c r="E8">
        <v>16772</v>
      </c>
      <c r="F8">
        <v>10695</v>
      </c>
      <c r="G8">
        <v>6171</v>
      </c>
      <c r="H8">
        <v>6313</v>
      </c>
      <c r="I8">
        <v>5620</v>
      </c>
      <c r="J8">
        <v>6738</v>
      </c>
      <c r="K8">
        <v>3445</v>
      </c>
      <c r="L8">
        <v>6906</v>
      </c>
      <c r="M8">
        <v>3085</v>
      </c>
    </row>
    <row r="9" spans="1:14">
      <c r="A9" t="s">
        <v>263</v>
      </c>
      <c r="B9" t="s">
        <v>4</v>
      </c>
      <c r="C9" t="s">
        <v>4</v>
      </c>
      <c r="D9" t="s">
        <v>4</v>
      </c>
      <c r="E9" t="s">
        <v>4</v>
      </c>
      <c r="F9" t="s">
        <v>4</v>
      </c>
      <c r="G9" t="s">
        <v>4</v>
      </c>
      <c r="H9" t="s">
        <v>4</v>
      </c>
      <c r="I9" t="s">
        <v>4</v>
      </c>
      <c r="J9">
        <v>0</v>
      </c>
      <c r="K9" t="s">
        <v>4</v>
      </c>
      <c r="L9" t="s">
        <v>4</v>
      </c>
      <c r="M9">
        <v>0</v>
      </c>
    </row>
    <row r="10" spans="1:14">
      <c r="A10" s="4" t="s">
        <v>264</v>
      </c>
      <c r="B10">
        <v>5904</v>
      </c>
      <c r="C10">
        <v>6149</v>
      </c>
      <c r="D10">
        <v>6394</v>
      </c>
      <c r="E10">
        <v>6651</v>
      </c>
      <c r="F10">
        <v>6920</v>
      </c>
      <c r="G10">
        <v>7193</v>
      </c>
      <c r="H10">
        <v>7467</v>
      </c>
      <c r="I10">
        <v>7750</v>
      </c>
      <c r="J10">
        <v>8035</v>
      </c>
      <c r="K10" t="s">
        <v>4</v>
      </c>
      <c r="L10" t="s">
        <v>4</v>
      </c>
      <c r="M10">
        <v>0</v>
      </c>
    </row>
    <row r="11" spans="1:14">
      <c r="A11" t="s">
        <v>265</v>
      </c>
      <c r="B11" t="s">
        <v>4</v>
      </c>
      <c r="C11" t="s">
        <v>4</v>
      </c>
      <c r="D11">
        <v>2476</v>
      </c>
      <c r="E11" t="s">
        <v>4</v>
      </c>
      <c r="F11">
        <v>4814</v>
      </c>
      <c r="G11" t="s">
        <v>4</v>
      </c>
      <c r="H11">
        <v>1019</v>
      </c>
      <c r="I11">
        <v>1632</v>
      </c>
      <c r="J11">
        <v>943</v>
      </c>
      <c r="K11">
        <v>3855</v>
      </c>
      <c r="L11">
        <v>2775</v>
      </c>
      <c r="M11">
        <v>1379</v>
      </c>
    </row>
    <row r="12" spans="1:14">
      <c r="A12" t="s">
        <v>266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>
        <v>0</v>
      </c>
      <c r="K12" t="s">
        <v>4</v>
      </c>
      <c r="L12" t="s">
        <v>4</v>
      </c>
      <c r="M12">
        <v>0</v>
      </c>
    </row>
    <row r="13" spans="1:14">
      <c r="A13" t="s">
        <v>267</v>
      </c>
      <c r="B13">
        <v>5182</v>
      </c>
      <c r="C13">
        <v>5860</v>
      </c>
      <c r="D13">
        <v>9436</v>
      </c>
      <c r="E13">
        <v>8264</v>
      </c>
      <c r="F13">
        <v>7408</v>
      </c>
      <c r="G13">
        <v>2187</v>
      </c>
      <c r="H13">
        <v>1656</v>
      </c>
      <c r="I13">
        <v>2185</v>
      </c>
      <c r="J13">
        <v>629</v>
      </c>
      <c r="K13">
        <v>986</v>
      </c>
      <c r="L13">
        <v>287</v>
      </c>
      <c r="M13">
        <v>233</v>
      </c>
    </row>
    <row r="14" spans="1:14" hidden="1"/>
    <row r="15" spans="1:14" hidden="1"/>
    <row r="16" spans="1:14" hidden="1"/>
    <row r="17" spans="1:14" s="6" customFormat="1">
      <c r="A17" s="6" t="s">
        <v>268</v>
      </c>
      <c r="B17" s="17">
        <f>SUM(B4:B13)</f>
        <v>1466981</v>
      </c>
      <c r="C17" s="17">
        <f>SUM(C4:C13)</f>
        <v>1427547</v>
      </c>
      <c r="D17" s="17">
        <f>SUM(D4:D13)</f>
        <v>1316499</v>
      </c>
      <c r="E17" s="17">
        <f>SUM(E4:E13)</f>
        <v>1243488</v>
      </c>
      <c r="F17" s="17">
        <f>SUM(F4:F13)</f>
        <v>1148458</v>
      </c>
      <c r="G17" s="17">
        <f>SUM(G4:G13)</f>
        <v>1201145</v>
      </c>
      <c r="H17" s="17">
        <f>SUM(H4:H13)</f>
        <v>819253</v>
      </c>
      <c r="I17" s="17">
        <f>SUM(I4:I13)</f>
        <v>719177</v>
      </c>
      <c r="J17" s="17">
        <f>SUM(J4:J13)</f>
        <v>606907</v>
      </c>
      <c r="K17" s="17">
        <f>SUM(K4:K13)</f>
        <v>424106</v>
      </c>
      <c r="L17" s="17">
        <f>SUM(L4:L13)</f>
        <v>417911</v>
      </c>
      <c r="M17" s="17"/>
      <c r="N17" s="17"/>
    </row>
    <row r="18" spans="1:14" s="13" customFormat="1">
      <c r="A18" s="23" t="s">
        <v>337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</row>
    <row r="19" spans="1:14" s="6" customFormat="1">
      <c r="A19" s="6" t="s">
        <v>336</v>
      </c>
      <c r="B19">
        <v>231143</v>
      </c>
      <c r="C19">
        <v>219189</v>
      </c>
      <c r="D19">
        <v>221037</v>
      </c>
      <c r="E19">
        <v>227623</v>
      </c>
      <c r="F19">
        <v>227012</v>
      </c>
      <c r="G19">
        <v>213173</v>
      </c>
      <c r="H19">
        <v>155959</v>
      </c>
      <c r="I19">
        <v>132324</v>
      </c>
      <c r="J19">
        <v>113149</v>
      </c>
      <c r="K19">
        <v>111051</v>
      </c>
      <c r="L19">
        <v>119171</v>
      </c>
      <c r="M19">
        <v>92565</v>
      </c>
      <c r="N19"/>
    </row>
    <row r="20" spans="1:14">
      <c r="A20" s="2" t="s">
        <v>269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</row>
    <row r="21" spans="1:14">
      <c r="A21" s="2" t="s">
        <v>338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</row>
    <row r="22" spans="1:14">
      <c r="A22" t="s">
        <v>271</v>
      </c>
      <c r="B22">
        <v>62918</v>
      </c>
      <c r="C22">
        <v>40589</v>
      </c>
      <c r="D22">
        <v>35677</v>
      </c>
      <c r="E22">
        <v>30152</v>
      </c>
      <c r="F22">
        <v>24166</v>
      </c>
      <c r="G22">
        <v>21569</v>
      </c>
      <c r="H22">
        <v>24086</v>
      </c>
      <c r="I22">
        <v>23300</v>
      </c>
      <c r="J22">
        <v>18116</v>
      </c>
      <c r="K22">
        <v>11294</v>
      </c>
      <c r="L22">
        <v>16342</v>
      </c>
      <c r="M22">
        <v>3743</v>
      </c>
    </row>
    <row r="23" spans="1:14">
      <c r="A23" t="s">
        <v>272</v>
      </c>
      <c r="B23">
        <v>250118</v>
      </c>
      <c r="C23">
        <v>205206</v>
      </c>
      <c r="D23">
        <v>197270</v>
      </c>
      <c r="E23">
        <v>222973</v>
      </c>
      <c r="F23">
        <v>188031</v>
      </c>
      <c r="G23">
        <v>202483</v>
      </c>
      <c r="H23">
        <v>128668</v>
      </c>
      <c r="I23">
        <v>113882</v>
      </c>
      <c r="J23">
        <v>99892</v>
      </c>
      <c r="K23">
        <v>78962</v>
      </c>
      <c r="L23">
        <v>72437</v>
      </c>
      <c r="M23">
        <v>58864</v>
      </c>
    </row>
    <row r="24" spans="1:14">
      <c r="A24" t="s">
        <v>273</v>
      </c>
      <c r="B24">
        <v>189205</v>
      </c>
      <c r="C24">
        <v>268116</v>
      </c>
      <c r="D24">
        <v>267062</v>
      </c>
      <c r="E24">
        <v>202794</v>
      </c>
      <c r="F24">
        <v>207284</v>
      </c>
      <c r="G24">
        <v>173182</v>
      </c>
      <c r="H24">
        <v>75756</v>
      </c>
      <c r="I24">
        <v>50420</v>
      </c>
      <c r="J24">
        <v>33221</v>
      </c>
      <c r="K24">
        <v>25534</v>
      </c>
      <c r="L24">
        <v>24024</v>
      </c>
      <c r="M24">
        <v>17158</v>
      </c>
    </row>
    <row r="25" spans="1:14">
      <c r="A25" t="s">
        <v>274</v>
      </c>
      <c r="B25">
        <v>17033</v>
      </c>
      <c r="C25">
        <v>20708</v>
      </c>
      <c r="D25">
        <v>23917</v>
      </c>
      <c r="E25">
        <v>18048</v>
      </c>
      <c r="F25">
        <v>27793</v>
      </c>
      <c r="G25">
        <v>17600</v>
      </c>
      <c r="H25">
        <v>18247</v>
      </c>
      <c r="I25">
        <v>18454</v>
      </c>
      <c r="J25">
        <v>13960</v>
      </c>
      <c r="K25">
        <v>36154</v>
      </c>
      <c r="L25">
        <v>8737</v>
      </c>
      <c r="M25">
        <v>8439</v>
      </c>
    </row>
    <row r="26" spans="1:14">
      <c r="A26" t="s">
        <v>275</v>
      </c>
      <c r="B26">
        <v>874574</v>
      </c>
      <c r="C26">
        <v>738799</v>
      </c>
      <c r="D26">
        <v>687232</v>
      </c>
      <c r="E26">
        <v>766113</v>
      </c>
      <c r="F26">
        <v>638646</v>
      </c>
      <c r="G26">
        <v>490355</v>
      </c>
      <c r="H26">
        <v>319239</v>
      </c>
      <c r="I26">
        <v>253030</v>
      </c>
      <c r="J26">
        <v>210510</v>
      </c>
      <c r="K26">
        <v>184255</v>
      </c>
      <c r="L26">
        <v>179057</v>
      </c>
      <c r="M26">
        <v>146295</v>
      </c>
    </row>
    <row r="27" spans="1:14">
      <c r="A27" t="s">
        <v>276</v>
      </c>
      <c r="B27">
        <v>7139</v>
      </c>
      <c r="C27">
        <v>4799</v>
      </c>
      <c r="D27">
        <v>12167</v>
      </c>
      <c r="E27">
        <v>3586</v>
      </c>
      <c r="F27">
        <v>4690</v>
      </c>
      <c r="G27">
        <v>292</v>
      </c>
      <c r="H27">
        <v>80717</v>
      </c>
      <c r="I27" t="s">
        <v>4</v>
      </c>
      <c r="J27">
        <v>0</v>
      </c>
      <c r="K27" t="s">
        <v>4</v>
      </c>
      <c r="L27" t="s">
        <v>4</v>
      </c>
      <c r="M27">
        <v>0</v>
      </c>
    </row>
    <row r="28" spans="1:14">
      <c r="A28" t="s">
        <v>334</v>
      </c>
      <c r="B28">
        <v>737</v>
      </c>
      <c r="C28">
        <v>637</v>
      </c>
      <c r="D28">
        <v>333</v>
      </c>
      <c r="E28">
        <v>1958</v>
      </c>
      <c r="F28">
        <v>2619</v>
      </c>
      <c r="G28" t="s">
        <v>4</v>
      </c>
      <c r="H28" t="s">
        <v>4</v>
      </c>
      <c r="I28" t="s">
        <v>4</v>
      </c>
      <c r="J28">
        <v>0</v>
      </c>
      <c r="K28" t="s">
        <v>4</v>
      </c>
      <c r="L28" t="s">
        <v>4</v>
      </c>
      <c r="M28">
        <v>0</v>
      </c>
    </row>
    <row r="29" spans="1:14">
      <c r="A29" t="s">
        <v>260</v>
      </c>
      <c r="B29">
        <v>2855</v>
      </c>
      <c r="C29">
        <v>1782</v>
      </c>
      <c r="D29">
        <v>2382</v>
      </c>
      <c r="E29">
        <v>1382</v>
      </c>
      <c r="F29">
        <v>1243</v>
      </c>
      <c r="G29" t="s">
        <v>4</v>
      </c>
      <c r="H29" t="s">
        <v>4</v>
      </c>
      <c r="I29" t="s">
        <v>4</v>
      </c>
      <c r="J29">
        <v>0</v>
      </c>
      <c r="K29" t="s">
        <v>4</v>
      </c>
      <c r="L29" t="s">
        <v>4</v>
      </c>
      <c r="M29">
        <v>0</v>
      </c>
    </row>
    <row r="30" spans="1:14" hidden="1"/>
    <row r="31" spans="1:14" hidden="1"/>
    <row r="32" spans="1:14" hidden="1"/>
    <row r="33" spans="1:14" s="12" customFormat="1">
      <c r="A33" s="12" t="s">
        <v>277</v>
      </c>
      <c r="B33" s="18">
        <f>SUM(B22:B29)</f>
        <v>1404579</v>
      </c>
      <c r="C33" s="18">
        <f>SUM(C22:C29)</f>
        <v>1280636</v>
      </c>
      <c r="D33" s="18">
        <f>SUM(D22:D29)</f>
        <v>1226040</v>
      </c>
      <c r="E33" s="18">
        <f>SUM(E22:E29)</f>
        <v>1247006</v>
      </c>
      <c r="F33" s="18">
        <f>SUM(F22:F29)</f>
        <v>1094472</v>
      </c>
      <c r="G33" s="18">
        <f>SUM(G22:G29)</f>
        <v>905481</v>
      </c>
      <c r="H33" s="18">
        <f>SUM(H22:H29)</f>
        <v>646713</v>
      </c>
      <c r="I33" s="18">
        <f>SUM(I22:I29)</f>
        <v>459086</v>
      </c>
      <c r="J33" s="18">
        <f>SUM(J22:J29)</f>
        <v>375699</v>
      </c>
      <c r="K33" s="18">
        <f>SUM(K22:K29)</f>
        <v>336199</v>
      </c>
      <c r="L33" s="18">
        <f>SUM(L22:L29)</f>
        <v>300597</v>
      </c>
      <c r="M33" s="18"/>
      <c r="N33" s="18"/>
    </row>
    <row r="34" spans="1:14" s="12" customFormat="1">
      <c r="A34" s="24" t="s">
        <v>340</v>
      </c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</row>
    <row r="35" spans="1:14">
      <c r="A35" t="s">
        <v>278</v>
      </c>
      <c r="B35">
        <v>10532</v>
      </c>
      <c r="C35">
        <v>7918</v>
      </c>
      <c r="D35">
        <v>11792</v>
      </c>
      <c r="E35">
        <v>9265</v>
      </c>
      <c r="F35">
        <v>11065</v>
      </c>
      <c r="G35">
        <v>6218</v>
      </c>
      <c r="H35">
        <v>4444</v>
      </c>
      <c r="I35">
        <v>1733</v>
      </c>
      <c r="J35">
        <v>2189</v>
      </c>
      <c r="K35">
        <v>29</v>
      </c>
      <c r="L35">
        <v>94</v>
      </c>
      <c r="M35">
        <v>242</v>
      </c>
    </row>
    <row r="36" spans="1:14">
      <c r="A36" t="s">
        <v>279</v>
      </c>
      <c r="B36">
        <v>224932</v>
      </c>
      <c r="C36">
        <v>179288</v>
      </c>
      <c r="D36">
        <v>161181</v>
      </c>
      <c r="E36">
        <v>202484</v>
      </c>
      <c r="F36">
        <v>213032</v>
      </c>
      <c r="G36">
        <v>198732</v>
      </c>
      <c r="H36">
        <v>163710</v>
      </c>
      <c r="I36">
        <v>184551</v>
      </c>
      <c r="J36">
        <v>142562</v>
      </c>
      <c r="K36">
        <v>126864</v>
      </c>
      <c r="L36">
        <v>101638</v>
      </c>
      <c r="M36">
        <v>73950</v>
      </c>
    </row>
    <row r="37" spans="1:14">
      <c r="A37" t="s">
        <v>280</v>
      </c>
      <c r="B37">
        <v>1640854</v>
      </c>
      <c r="C37">
        <v>1612582</v>
      </c>
      <c r="D37">
        <v>1548092</v>
      </c>
      <c r="E37">
        <v>1481746</v>
      </c>
      <c r="F37">
        <v>1276396</v>
      </c>
      <c r="G37">
        <v>1080132</v>
      </c>
      <c r="H37">
        <v>684923</v>
      </c>
      <c r="I37">
        <v>466363</v>
      </c>
      <c r="J37">
        <v>331278</v>
      </c>
      <c r="K37">
        <v>193604</v>
      </c>
      <c r="L37">
        <v>218637</v>
      </c>
      <c r="M37">
        <v>168555</v>
      </c>
    </row>
    <row r="38" spans="1:14">
      <c r="A38" t="s">
        <v>281</v>
      </c>
      <c r="B38" t="s">
        <v>4</v>
      </c>
      <c r="C38" t="s">
        <v>4</v>
      </c>
      <c r="D38" t="s">
        <v>4</v>
      </c>
      <c r="E38" t="s">
        <v>4</v>
      </c>
      <c r="F38" t="s">
        <v>4</v>
      </c>
      <c r="G38" t="s">
        <v>4</v>
      </c>
      <c r="H38" t="s">
        <v>4</v>
      </c>
      <c r="I38" t="s">
        <v>4</v>
      </c>
      <c r="J38">
        <v>0</v>
      </c>
      <c r="K38" t="s">
        <v>4</v>
      </c>
      <c r="L38" t="s">
        <v>4</v>
      </c>
      <c r="M38">
        <v>0</v>
      </c>
    </row>
    <row r="39" spans="1:14">
      <c r="A39" t="s">
        <v>282</v>
      </c>
      <c r="B39">
        <v>54504</v>
      </c>
      <c r="C39">
        <v>55044</v>
      </c>
      <c r="D39">
        <v>53133</v>
      </c>
      <c r="E39">
        <v>59956</v>
      </c>
      <c r="F39">
        <v>55681</v>
      </c>
      <c r="G39">
        <v>44336</v>
      </c>
      <c r="H39">
        <v>26700</v>
      </c>
      <c r="I39">
        <v>24976</v>
      </c>
      <c r="J39">
        <v>20206</v>
      </c>
      <c r="K39">
        <v>18281</v>
      </c>
      <c r="L39">
        <v>20957</v>
      </c>
      <c r="M39">
        <v>14273</v>
      </c>
    </row>
    <row r="40" spans="1:14">
      <c r="A40" t="s">
        <v>283</v>
      </c>
      <c r="B40">
        <v>33662</v>
      </c>
      <c r="C40">
        <v>29621</v>
      </c>
      <c r="D40">
        <v>22479</v>
      </c>
      <c r="E40">
        <v>13772</v>
      </c>
      <c r="F40">
        <v>12738</v>
      </c>
      <c r="G40">
        <v>26271</v>
      </c>
      <c r="H40">
        <v>6332</v>
      </c>
      <c r="I40">
        <v>10293</v>
      </c>
      <c r="J40">
        <v>15728</v>
      </c>
      <c r="K40">
        <v>8476</v>
      </c>
      <c r="L40">
        <v>13481</v>
      </c>
      <c r="M40">
        <v>5978</v>
      </c>
    </row>
    <row r="41" spans="1:14">
      <c r="A41" t="s">
        <v>284</v>
      </c>
      <c r="B41">
        <v>95584</v>
      </c>
      <c r="C41">
        <v>78214</v>
      </c>
      <c r="D41">
        <v>79598</v>
      </c>
      <c r="E41">
        <v>92987</v>
      </c>
      <c r="F41">
        <v>84963</v>
      </c>
      <c r="G41">
        <v>77120</v>
      </c>
      <c r="H41">
        <v>58552</v>
      </c>
      <c r="I41">
        <v>52829</v>
      </c>
      <c r="J41">
        <v>49066</v>
      </c>
      <c r="K41">
        <v>35842</v>
      </c>
      <c r="L41">
        <v>35936</v>
      </c>
      <c r="M41">
        <v>26674</v>
      </c>
    </row>
    <row r="42" spans="1:14" s="25" customFormat="1">
      <c r="A42" s="25" t="s">
        <v>285</v>
      </c>
      <c r="B42" s="26">
        <v>12542</v>
      </c>
      <c r="C42" s="26">
        <v>12650</v>
      </c>
      <c r="D42" s="26">
        <v>13490</v>
      </c>
      <c r="E42" s="26"/>
      <c r="F42" s="26"/>
      <c r="G42" s="26"/>
      <c r="H42" s="26"/>
      <c r="I42" s="26"/>
      <c r="J42" s="26"/>
      <c r="K42" s="26"/>
      <c r="L42" s="26"/>
      <c r="M42" s="26"/>
      <c r="N42" s="26"/>
    </row>
    <row r="43" spans="1:14">
      <c r="A43" t="s">
        <v>286</v>
      </c>
      <c r="B43">
        <v>20807</v>
      </c>
      <c r="C43">
        <v>21875</v>
      </c>
      <c r="D43">
        <v>23228</v>
      </c>
      <c r="E43">
        <v>5405</v>
      </c>
      <c r="F43" t="s">
        <v>4</v>
      </c>
      <c r="G43" t="s">
        <v>4</v>
      </c>
      <c r="H43" t="s">
        <v>4</v>
      </c>
      <c r="I43" t="s">
        <v>4</v>
      </c>
      <c r="J43">
        <v>0</v>
      </c>
      <c r="K43" t="s">
        <v>4</v>
      </c>
      <c r="L43" t="s">
        <v>4</v>
      </c>
      <c r="M43" t="s">
        <v>4</v>
      </c>
    </row>
    <row r="44" spans="1:14">
      <c r="A44" t="s">
        <v>287</v>
      </c>
      <c r="B44" t="s">
        <v>4</v>
      </c>
      <c r="C44" t="s">
        <v>4</v>
      </c>
      <c r="D44" t="s">
        <v>4</v>
      </c>
      <c r="E44">
        <v>52751</v>
      </c>
      <c r="F44">
        <v>47859</v>
      </c>
      <c r="G44">
        <v>33710</v>
      </c>
      <c r="H44" t="s">
        <v>4</v>
      </c>
      <c r="I44" t="s">
        <v>4</v>
      </c>
      <c r="J44">
        <v>0</v>
      </c>
      <c r="K44" t="s">
        <v>4</v>
      </c>
      <c r="L44" t="s">
        <v>4</v>
      </c>
      <c r="M44">
        <v>0</v>
      </c>
    </row>
    <row r="45" spans="1:14">
      <c r="A45" t="s">
        <v>288</v>
      </c>
      <c r="B45">
        <v>8078</v>
      </c>
      <c r="C45">
        <v>9094</v>
      </c>
      <c r="D45">
        <v>11932</v>
      </c>
      <c r="E45">
        <v>19392</v>
      </c>
      <c r="F45">
        <v>16639</v>
      </c>
      <c r="G45">
        <v>25549</v>
      </c>
      <c r="H45">
        <v>26548</v>
      </c>
      <c r="I45">
        <v>4401</v>
      </c>
      <c r="J45">
        <v>4324</v>
      </c>
      <c r="K45">
        <v>1072</v>
      </c>
      <c r="L45">
        <v>779</v>
      </c>
      <c r="M45">
        <v>238</v>
      </c>
    </row>
    <row r="46" spans="1:14" hidden="1"/>
    <row r="47" spans="1:14" hidden="1"/>
    <row r="48" spans="1:14" hidden="1"/>
    <row r="49" spans="1:14" s="12" customFormat="1">
      <c r="A49" s="12" t="s">
        <v>289</v>
      </c>
      <c r="B49" s="18">
        <f>SUM(B35:B45)</f>
        <v>2101495</v>
      </c>
      <c r="C49" s="18">
        <f>SUM(C35:C45)</f>
        <v>2006286</v>
      </c>
      <c r="D49" s="18">
        <f>SUM(D35:D45)</f>
        <v>1924925</v>
      </c>
      <c r="E49" s="18">
        <f>SUM(E35:E45)</f>
        <v>1937758</v>
      </c>
      <c r="F49" s="18">
        <f>SUM(F35:F45)</f>
        <v>1718373</v>
      </c>
      <c r="G49" s="18">
        <f>SUM(G35:G45)</f>
        <v>1492068</v>
      </c>
      <c r="H49" s="18">
        <f>SUM(H35:H45)</f>
        <v>971209</v>
      </c>
      <c r="I49" s="18">
        <f>SUM(I35:I45)</f>
        <v>745146</v>
      </c>
      <c r="J49" s="18">
        <f>SUM(J35:J45)</f>
        <v>565353</v>
      </c>
      <c r="K49" s="18">
        <f>SUM(K35:K45)</f>
        <v>384168</v>
      </c>
      <c r="L49" s="18">
        <f>SUM(L35:L45)</f>
        <v>391522</v>
      </c>
      <c r="M49" s="18"/>
      <c r="N49" s="18"/>
    </row>
    <row r="50" spans="1:14" s="27" customFormat="1">
      <c r="A50" s="27" t="s">
        <v>339</v>
      </c>
      <c r="B50" s="27">
        <f>B33-B49</f>
        <v>-696916</v>
      </c>
      <c r="C50" s="27">
        <f t="shared" ref="C50:M50" si="0">C33-C49</f>
        <v>-725650</v>
      </c>
      <c r="D50" s="27">
        <f t="shared" si="0"/>
        <v>-698885</v>
      </c>
      <c r="E50" s="27">
        <f t="shared" si="0"/>
        <v>-690752</v>
      </c>
      <c r="F50" s="27">
        <f t="shared" si="0"/>
        <v>-623901</v>
      </c>
      <c r="G50" s="27">
        <f t="shared" si="0"/>
        <v>-586587</v>
      </c>
      <c r="H50" s="27">
        <f t="shared" si="0"/>
        <v>-324496</v>
      </c>
      <c r="I50" s="27">
        <f t="shared" si="0"/>
        <v>-286060</v>
      </c>
      <c r="J50" s="27">
        <f t="shared" si="0"/>
        <v>-189654</v>
      </c>
      <c r="K50" s="27">
        <f t="shared" si="0"/>
        <v>-47969</v>
      </c>
      <c r="L50" s="27">
        <f t="shared" si="0"/>
        <v>-90925</v>
      </c>
      <c r="M50" s="27">
        <f t="shared" si="0"/>
        <v>0</v>
      </c>
    </row>
    <row r="51" spans="1:14">
      <c r="A51" t="s">
        <v>290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</row>
    <row r="52" spans="1:14">
      <c r="A52" t="s">
        <v>291</v>
      </c>
      <c r="B52">
        <v>155698</v>
      </c>
      <c r="C52">
        <v>162199</v>
      </c>
      <c r="D52">
        <v>152104</v>
      </c>
      <c r="E52">
        <v>164190</v>
      </c>
      <c r="F52">
        <v>156607</v>
      </c>
      <c r="G52">
        <v>166188</v>
      </c>
      <c r="H52">
        <v>124065</v>
      </c>
      <c r="I52">
        <v>147335</v>
      </c>
      <c r="J52">
        <v>150884</v>
      </c>
      <c r="K52">
        <v>135052</v>
      </c>
      <c r="L52">
        <v>121760</v>
      </c>
      <c r="M52">
        <v>111245</v>
      </c>
    </row>
    <row r="53" spans="1:14">
      <c r="A53" t="s">
        <v>292</v>
      </c>
      <c r="B53">
        <v>21960</v>
      </c>
      <c r="C53">
        <v>20432</v>
      </c>
      <c r="D53">
        <v>24913</v>
      </c>
      <c r="E53">
        <v>33841</v>
      </c>
      <c r="F53">
        <v>33859</v>
      </c>
      <c r="G53">
        <v>37146</v>
      </c>
      <c r="H53">
        <v>7904</v>
      </c>
      <c r="I53">
        <v>12621</v>
      </c>
      <c r="J53">
        <v>11893</v>
      </c>
      <c r="K53">
        <v>9051</v>
      </c>
      <c r="L53">
        <v>9550</v>
      </c>
      <c r="M53">
        <v>17554</v>
      </c>
    </row>
    <row r="54" spans="1:14">
      <c r="A54" t="s">
        <v>293</v>
      </c>
      <c r="B54" t="s">
        <v>4</v>
      </c>
      <c r="C54" t="s">
        <v>4</v>
      </c>
      <c r="D54" t="s">
        <v>4</v>
      </c>
      <c r="E54" t="s">
        <v>4</v>
      </c>
      <c r="F54" t="s">
        <v>4</v>
      </c>
      <c r="G54" t="s">
        <v>4</v>
      </c>
      <c r="H54" t="s">
        <v>4</v>
      </c>
      <c r="I54" t="s">
        <v>4</v>
      </c>
      <c r="J54">
        <v>0</v>
      </c>
      <c r="K54" t="s">
        <v>4</v>
      </c>
      <c r="L54" t="s">
        <v>4</v>
      </c>
      <c r="M54">
        <v>0</v>
      </c>
    </row>
    <row r="55" spans="1:14">
      <c r="A55" t="s">
        <v>294</v>
      </c>
      <c r="B55" t="s">
        <v>4</v>
      </c>
      <c r="C55" t="s">
        <v>4</v>
      </c>
      <c r="D55" t="s">
        <v>4</v>
      </c>
      <c r="E55" t="s">
        <v>4</v>
      </c>
      <c r="F55" t="s">
        <v>4</v>
      </c>
      <c r="G55" t="s">
        <v>4</v>
      </c>
      <c r="H55" t="s">
        <v>4</v>
      </c>
      <c r="I55" t="s">
        <v>4</v>
      </c>
      <c r="J55">
        <v>0</v>
      </c>
      <c r="K55" t="s">
        <v>4</v>
      </c>
      <c r="L55" t="s">
        <v>4</v>
      </c>
      <c r="M55">
        <v>0</v>
      </c>
    </row>
    <row r="56" spans="1:14">
      <c r="A56" t="s">
        <v>295</v>
      </c>
      <c r="B56" t="s">
        <v>4</v>
      </c>
      <c r="C56" t="s">
        <v>4</v>
      </c>
      <c r="D56" t="s">
        <v>4</v>
      </c>
      <c r="E56" t="s">
        <v>4</v>
      </c>
      <c r="F56" t="s">
        <v>4</v>
      </c>
      <c r="G56" t="s">
        <v>4</v>
      </c>
      <c r="H56" t="s">
        <v>4</v>
      </c>
      <c r="I56" t="s">
        <v>4</v>
      </c>
      <c r="J56">
        <v>0</v>
      </c>
      <c r="K56" t="s">
        <v>4</v>
      </c>
      <c r="L56" t="s">
        <v>4</v>
      </c>
      <c r="M56">
        <v>0</v>
      </c>
    </row>
    <row r="57" spans="1:14">
      <c r="A57" t="s">
        <v>296</v>
      </c>
      <c r="B57" t="s">
        <v>4</v>
      </c>
      <c r="C57" t="s">
        <v>4</v>
      </c>
      <c r="D57" t="s">
        <v>4</v>
      </c>
      <c r="E57" t="s">
        <v>4</v>
      </c>
      <c r="F57" t="s">
        <v>4</v>
      </c>
      <c r="G57" t="s">
        <v>4</v>
      </c>
      <c r="H57" t="s">
        <v>4</v>
      </c>
      <c r="I57" t="s">
        <v>4</v>
      </c>
      <c r="J57">
        <v>0</v>
      </c>
      <c r="K57" t="s">
        <v>4</v>
      </c>
      <c r="L57" t="s">
        <v>4</v>
      </c>
      <c r="M57">
        <v>0</v>
      </c>
    </row>
    <row r="58" spans="1:14">
      <c r="A58" t="s">
        <v>297</v>
      </c>
      <c r="B58">
        <v>39383</v>
      </c>
      <c r="C58">
        <v>40150</v>
      </c>
      <c r="D58">
        <v>20416</v>
      </c>
      <c r="E58">
        <v>36247</v>
      </c>
      <c r="F58">
        <v>26986</v>
      </c>
      <c r="G58">
        <v>25600</v>
      </c>
      <c r="H58">
        <v>19964</v>
      </c>
      <c r="I58">
        <v>31543</v>
      </c>
      <c r="J58">
        <v>35463</v>
      </c>
      <c r="K58">
        <v>23017</v>
      </c>
      <c r="L58">
        <v>26520</v>
      </c>
      <c r="M58">
        <v>26446</v>
      </c>
    </row>
    <row r="59" spans="1:14">
      <c r="A59" t="s">
        <v>298</v>
      </c>
      <c r="B59" t="s">
        <v>4</v>
      </c>
      <c r="C59" t="s">
        <v>4</v>
      </c>
      <c r="D59" t="s">
        <v>4</v>
      </c>
      <c r="E59" t="s">
        <v>4</v>
      </c>
      <c r="F59" t="s">
        <v>4</v>
      </c>
      <c r="G59" t="s">
        <v>4</v>
      </c>
      <c r="H59" t="s">
        <v>4</v>
      </c>
      <c r="I59" t="s">
        <v>4</v>
      </c>
      <c r="J59">
        <v>0</v>
      </c>
      <c r="K59" t="s">
        <v>4</v>
      </c>
      <c r="L59" t="s">
        <v>4</v>
      </c>
      <c r="M59">
        <v>0</v>
      </c>
    </row>
    <row r="60" spans="1:14">
      <c r="A60" t="s">
        <v>299</v>
      </c>
      <c r="B60">
        <v>1248</v>
      </c>
      <c r="C60">
        <v>1248</v>
      </c>
      <c r="D60">
        <v>3273</v>
      </c>
      <c r="E60">
        <v>1248</v>
      </c>
      <c r="F60">
        <v>1248</v>
      </c>
      <c r="G60">
        <v>1248</v>
      </c>
      <c r="H60">
        <v>1248</v>
      </c>
      <c r="I60">
        <v>1611</v>
      </c>
      <c r="J60">
        <v>7707</v>
      </c>
      <c r="K60">
        <v>363</v>
      </c>
      <c r="L60">
        <v>363</v>
      </c>
      <c r="M60">
        <v>363</v>
      </c>
    </row>
    <row r="61" spans="1:14">
      <c r="A61" t="s">
        <v>300</v>
      </c>
      <c r="B61">
        <v>2599</v>
      </c>
      <c r="C61">
        <v>2438</v>
      </c>
      <c r="D61">
        <v>2795</v>
      </c>
      <c r="E61">
        <v>3440</v>
      </c>
      <c r="F61">
        <v>3759</v>
      </c>
      <c r="G61">
        <v>3887</v>
      </c>
      <c r="H61">
        <v>4019</v>
      </c>
      <c r="I61">
        <v>4261</v>
      </c>
      <c r="J61">
        <v>824</v>
      </c>
      <c r="K61">
        <v>2793</v>
      </c>
      <c r="L61">
        <v>1071</v>
      </c>
      <c r="M61">
        <v>1126</v>
      </c>
    </row>
    <row r="62" spans="1:14">
      <c r="A62" t="s">
        <v>301</v>
      </c>
      <c r="B62">
        <v>28447</v>
      </c>
      <c r="C62">
        <v>20266</v>
      </c>
      <c r="D62">
        <v>18196</v>
      </c>
      <c r="E62">
        <v>19826</v>
      </c>
      <c r="F62">
        <v>19643</v>
      </c>
      <c r="G62">
        <v>20499</v>
      </c>
      <c r="H62">
        <v>11918</v>
      </c>
      <c r="I62">
        <v>10808</v>
      </c>
      <c r="J62">
        <v>8636</v>
      </c>
      <c r="K62">
        <v>6068</v>
      </c>
      <c r="L62">
        <v>5668</v>
      </c>
      <c r="M62">
        <v>3344</v>
      </c>
    </row>
    <row r="63" spans="1:14">
      <c r="A63" t="s">
        <v>302</v>
      </c>
      <c r="B63">
        <v>3846</v>
      </c>
      <c r="C63">
        <v>5503</v>
      </c>
      <c r="D63">
        <v>6438</v>
      </c>
      <c r="E63">
        <v>7847</v>
      </c>
      <c r="F63">
        <v>8713</v>
      </c>
      <c r="G63">
        <v>12852</v>
      </c>
      <c r="H63">
        <v>4096</v>
      </c>
      <c r="I63">
        <v>4026</v>
      </c>
      <c r="J63">
        <v>4734</v>
      </c>
      <c r="K63">
        <v>1022</v>
      </c>
      <c r="L63">
        <v>2713</v>
      </c>
      <c r="M63">
        <v>992</v>
      </c>
    </row>
    <row r="64" spans="1:14">
      <c r="A64" t="s">
        <v>303</v>
      </c>
      <c r="B64" t="s">
        <v>4</v>
      </c>
      <c r="C64" t="s">
        <v>4</v>
      </c>
      <c r="D64" t="s">
        <v>4</v>
      </c>
      <c r="E64" t="s">
        <v>4</v>
      </c>
      <c r="F64" t="s">
        <v>4</v>
      </c>
      <c r="G64" t="s">
        <v>4</v>
      </c>
      <c r="H64" t="s">
        <v>4</v>
      </c>
      <c r="I64" t="s">
        <v>4</v>
      </c>
      <c r="J64">
        <v>0</v>
      </c>
      <c r="K64" t="s">
        <v>4</v>
      </c>
      <c r="L64" t="s">
        <v>4</v>
      </c>
      <c r="M64">
        <v>0</v>
      </c>
    </row>
    <row r="65" spans="1:14" hidden="1"/>
    <row r="66" spans="1:14" hidden="1"/>
    <row r="67" spans="1:14" hidden="1"/>
    <row r="68" spans="1:14" s="14" customFormat="1">
      <c r="A68" s="14" t="s">
        <v>304</v>
      </c>
      <c r="B68" s="19">
        <f>SUM(B52:B64)-2*B63</f>
        <v>245489</v>
      </c>
      <c r="C68" s="19">
        <f t="shared" ref="C68:M68" si="1">SUM(C52:C64)-2*C63</f>
        <v>241230</v>
      </c>
      <c r="D68" s="19">
        <f t="shared" si="1"/>
        <v>215259</v>
      </c>
      <c r="E68" s="19">
        <f t="shared" si="1"/>
        <v>250945</v>
      </c>
      <c r="F68" s="19">
        <f t="shared" si="1"/>
        <v>233389</v>
      </c>
      <c r="G68" s="19">
        <f t="shared" si="1"/>
        <v>241716</v>
      </c>
      <c r="H68" s="19">
        <f t="shared" si="1"/>
        <v>165022</v>
      </c>
      <c r="I68" s="19">
        <f t="shared" si="1"/>
        <v>204153</v>
      </c>
      <c r="J68" s="19">
        <f t="shared" si="1"/>
        <v>210673</v>
      </c>
      <c r="K68" s="19">
        <f t="shared" si="1"/>
        <v>175322</v>
      </c>
      <c r="L68" s="19">
        <f t="shared" si="1"/>
        <v>162219</v>
      </c>
      <c r="M68" s="19">
        <f t="shared" si="1"/>
        <v>159086</v>
      </c>
      <c r="N68" s="19"/>
    </row>
    <row r="69" spans="1:14" s="6" customFormat="1">
      <c r="A69" s="15" t="s">
        <v>305</v>
      </c>
      <c r="B69" s="28">
        <f>B50+B68</f>
        <v>-451427</v>
      </c>
      <c r="C69" s="28">
        <f t="shared" ref="C69:M69" si="2">C50+C68</f>
        <v>-484420</v>
      </c>
      <c r="D69" s="28">
        <f t="shared" si="2"/>
        <v>-483626</v>
      </c>
      <c r="E69" s="28">
        <f t="shared" si="2"/>
        <v>-439807</v>
      </c>
      <c r="F69" s="28">
        <f t="shared" si="2"/>
        <v>-390512</v>
      </c>
      <c r="G69" s="28">
        <f t="shared" si="2"/>
        <v>-344871</v>
      </c>
      <c r="H69" s="28">
        <f t="shared" si="2"/>
        <v>-159474</v>
      </c>
      <c r="I69" s="28">
        <f t="shared" si="2"/>
        <v>-81907</v>
      </c>
      <c r="J69" s="28">
        <f t="shared" si="2"/>
        <v>21019</v>
      </c>
      <c r="K69" s="28">
        <f t="shared" si="2"/>
        <v>127353</v>
      </c>
      <c r="L69" s="28">
        <f t="shared" si="2"/>
        <v>71294</v>
      </c>
      <c r="M69" s="28">
        <f t="shared" si="2"/>
        <v>159086</v>
      </c>
      <c r="N69" s="17"/>
    </row>
    <row r="70" spans="1:14" s="11" customFormat="1">
      <c r="A70" s="10" t="s">
        <v>306</v>
      </c>
      <c r="B70" s="20">
        <f>B17+B19+B69</f>
        <v>1246697</v>
      </c>
      <c r="C70" s="20">
        <f t="shared" ref="C70:M70" si="3">C17+C19+C69</f>
        <v>1162316</v>
      </c>
      <c r="D70" s="20">
        <f t="shared" si="3"/>
        <v>1053910</v>
      </c>
      <c r="E70" s="20">
        <f t="shared" si="3"/>
        <v>1031304</v>
      </c>
      <c r="F70" s="20">
        <f t="shared" si="3"/>
        <v>984958</v>
      </c>
      <c r="G70" s="20">
        <f t="shared" si="3"/>
        <v>1069447</v>
      </c>
      <c r="H70" s="20">
        <f t="shared" si="3"/>
        <v>815738</v>
      </c>
      <c r="I70" s="20">
        <f t="shared" si="3"/>
        <v>769594</v>
      </c>
      <c r="J70" s="20">
        <f t="shared" si="3"/>
        <v>741075</v>
      </c>
      <c r="K70" s="20">
        <f t="shared" si="3"/>
        <v>662510</v>
      </c>
      <c r="L70" s="20">
        <f t="shared" si="3"/>
        <v>608376</v>
      </c>
      <c r="M70" s="20">
        <f t="shared" si="3"/>
        <v>251651</v>
      </c>
      <c r="N70" s="20"/>
    </row>
    <row r="71" spans="1:14">
      <c r="A71" s="2" t="s">
        <v>307</v>
      </c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</row>
    <row r="72" spans="1:14">
      <c r="A72" s="2" t="s">
        <v>308</v>
      </c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</row>
    <row r="73" spans="1:14">
      <c r="A73" s="5" t="s">
        <v>309</v>
      </c>
      <c r="B73">
        <v>3450</v>
      </c>
      <c r="C73">
        <v>2950</v>
      </c>
      <c r="D73">
        <v>4992</v>
      </c>
      <c r="E73">
        <v>16295</v>
      </c>
      <c r="F73">
        <v>19053</v>
      </c>
      <c r="G73">
        <v>43338</v>
      </c>
      <c r="H73">
        <v>27465</v>
      </c>
      <c r="I73">
        <v>23108</v>
      </c>
      <c r="J73">
        <v>44050</v>
      </c>
      <c r="K73">
        <v>35050</v>
      </c>
      <c r="L73">
        <v>36872</v>
      </c>
      <c r="M73">
        <v>33478</v>
      </c>
    </row>
    <row r="74" spans="1:14">
      <c r="A74" s="5" t="s">
        <v>335</v>
      </c>
      <c r="B74" t="s">
        <v>4</v>
      </c>
      <c r="C74" t="s">
        <v>4</v>
      </c>
      <c r="D74" t="s">
        <v>4</v>
      </c>
      <c r="E74" t="s">
        <v>4</v>
      </c>
      <c r="F74" t="s">
        <v>4</v>
      </c>
      <c r="G74" t="s">
        <v>4</v>
      </c>
      <c r="H74" t="s">
        <v>4</v>
      </c>
      <c r="I74" t="s">
        <v>4</v>
      </c>
      <c r="J74">
        <v>0</v>
      </c>
      <c r="K74" t="s">
        <v>4</v>
      </c>
      <c r="L74" t="s">
        <v>4</v>
      </c>
      <c r="M74">
        <v>0</v>
      </c>
    </row>
    <row r="75" spans="1:14">
      <c r="A75" s="5" t="s">
        <v>310</v>
      </c>
      <c r="B75" t="s">
        <v>4</v>
      </c>
      <c r="C75" t="s">
        <v>4</v>
      </c>
      <c r="D75" t="s">
        <v>4</v>
      </c>
      <c r="E75" t="s">
        <v>4</v>
      </c>
      <c r="F75" t="s">
        <v>4</v>
      </c>
      <c r="G75" t="s">
        <v>4</v>
      </c>
      <c r="H75" t="s">
        <v>4</v>
      </c>
      <c r="I75" t="s">
        <v>4</v>
      </c>
      <c r="J75">
        <v>0</v>
      </c>
      <c r="K75">
        <v>0</v>
      </c>
      <c r="L75" t="s">
        <v>4</v>
      </c>
      <c r="M75">
        <v>0</v>
      </c>
    </row>
    <row r="76" spans="1:14">
      <c r="A76" s="5" t="s">
        <v>311</v>
      </c>
      <c r="B76">
        <v>10</v>
      </c>
      <c r="C76">
        <v>10</v>
      </c>
      <c r="D76">
        <v>10</v>
      </c>
      <c r="E76">
        <v>1130</v>
      </c>
      <c r="F76">
        <v>137383</v>
      </c>
      <c r="G76">
        <v>129572</v>
      </c>
      <c r="H76">
        <v>5000</v>
      </c>
      <c r="I76" t="s">
        <v>4</v>
      </c>
      <c r="J76">
        <v>500</v>
      </c>
      <c r="K76">
        <v>500</v>
      </c>
      <c r="L76" t="s">
        <v>4</v>
      </c>
      <c r="M76">
        <v>1500</v>
      </c>
    </row>
    <row r="77" spans="1:14">
      <c r="A77" s="5" t="s">
        <v>312</v>
      </c>
      <c r="B77" t="s">
        <v>4</v>
      </c>
      <c r="C77" t="s">
        <v>4</v>
      </c>
      <c r="D77" t="s">
        <v>4</v>
      </c>
      <c r="E77" t="s">
        <v>4</v>
      </c>
      <c r="F77" t="s">
        <v>4</v>
      </c>
      <c r="G77" t="s">
        <v>4</v>
      </c>
      <c r="H77" t="s">
        <v>4</v>
      </c>
      <c r="I77" t="s">
        <v>4</v>
      </c>
      <c r="J77">
        <v>0</v>
      </c>
      <c r="K77" t="s">
        <v>4</v>
      </c>
      <c r="L77" t="s">
        <v>4</v>
      </c>
      <c r="M77">
        <v>0</v>
      </c>
    </row>
    <row r="78" spans="1:14" hidden="1">
      <c r="A78" s="5"/>
    </row>
    <row r="79" spans="1:14" hidden="1">
      <c r="A79" s="5"/>
    </row>
    <row r="80" spans="1:14" hidden="1">
      <c r="A80" s="5"/>
    </row>
    <row r="81" spans="1:14">
      <c r="A81" s="2" t="s">
        <v>313</v>
      </c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</row>
    <row r="82" spans="1:14">
      <c r="A82" s="5" t="s">
        <v>314</v>
      </c>
      <c r="B82" t="s">
        <v>4</v>
      </c>
      <c r="C82" t="s">
        <v>4</v>
      </c>
      <c r="D82" t="s">
        <v>4</v>
      </c>
      <c r="E82">
        <v>141628</v>
      </c>
      <c r="F82">
        <v>4507</v>
      </c>
      <c r="G82">
        <v>146279</v>
      </c>
      <c r="H82" t="s">
        <v>4</v>
      </c>
      <c r="I82">
        <v>5000</v>
      </c>
      <c r="J82">
        <v>16005</v>
      </c>
      <c r="K82">
        <v>508</v>
      </c>
      <c r="L82">
        <v>1024</v>
      </c>
      <c r="M82">
        <v>1033</v>
      </c>
    </row>
    <row r="83" spans="1:14">
      <c r="A83" s="5" t="s">
        <v>315</v>
      </c>
      <c r="B83" t="s">
        <v>4</v>
      </c>
      <c r="C83" t="s">
        <v>4</v>
      </c>
      <c r="D83" t="s">
        <v>4</v>
      </c>
      <c r="E83" t="s">
        <v>4</v>
      </c>
      <c r="F83" t="s">
        <v>4</v>
      </c>
      <c r="G83" t="s">
        <v>4</v>
      </c>
      <c r="H83" t="s">
        <v>4</v>
      </c>
      <c r="I83" t="s">
        <v>4</v>
      </c>
      <c r="J83">
        <v>0</v>
      </c>
      <c r="K83" t="s">
        <v>4</v>
      </c>
      <c r="L83" t="s">
        <v>4</v>
      </c>
      <c r="M83">
        <v>0</v>
      </c>
    </row>
    <row r="84" spans="1:14">
      <c r="A84" s="5" t="s">
        <v>316</v>
      </c>
      <c r="B84">
        <v>89</v>
      </c>
      <c r="C84">
        <v>14</v>
      </c>
      <c r="D84">
        <v>14</v>
      </c>
      <c r="E84">
        <v>14</v>
      </c>
      <c r="F84">
        <v>14</v>
      </c>
      <c r="G84">
        <v>14</v>
      </c>
      <c r="H84">
        <v>14</v>
      </c>
      <c r="I84">
        <v>175</v>
      </c>
      <c r="J84">
        <v>175</v>
      </c>
      <c r="K84">
        <v>175</v>
      </c>
      <c r="L84">
        <v>175</v>
      </c>
      <c r="M84">
        <v>175</v>
      </c>
    </row>
    <row r="85" spans="1:14">
      <c r="A85" s="5" t="s">
        <v>341</v>
      </c>
      <c r="B85" t="s">
        <v>4</v>
      </c>
      <c r="C85">
        <v>165</v>
      </c>
      <c r="D85">
        <v>117</v>
      </c>
      <c r="E85">
        <v>1193</v>
      </c>
      <c r="F85">
        <v>13673</v>
      </c>
      <c r="G85">
        <v>37026</v>
      </c>
      <c r="H85">
        <v>547</v>
      </c>
      <c r="I85">
        <v>1755</v>
      </c>
      <c r="J85">
        <v>1012</v>
      </c>
      <c r="K85">
        <v>301</v>
      </c>
      <c r="L85" t="s">
        <v>4</v>
      </c>
      <c r="M85">
        <v>0</v>
      </c>
    </row>
    <row r="86" spans="1:14" hidden="1">
      <c r="A86" s="5"/>
    </row>
    <row r="87" spans="1:14" hidden="1">
      <c r="A87" s="5"/>
    </row>
    <row r="88" spans="1:14" hidden="1">
      <c r="A88" s="5"/>
    </row>
    <row r="89" spans="1:14" s="6" customFormat="1">
      <c r="A89" s="7" t="s">
        <v>317</v>
      </c>
      <c r="B89" s="17">
        <f>SUM(B73:B85)</f>
        <v>3549</v>
      </c>
      <c r="C89" s="17">
        <f>SUM(C73:C85)</f>
        <v>3139</v>
      </c>
      <c r="D89" s="17">
        <f>SUM(D73:D85)</f>
        <v>5133</v>
      </c>
      <c r="E89" s="17">
        <f>SUM(E73:E85)</f>
        <v>160260</v>
      </c>
      <c r="F89" s="17">
        <f>SUM(F73:F85)</f>
        <v>174630</v>
      </c>
      <c r="G89" s="17">
        <f>SUM(G73:G85)</f>
        <v>356229</v>
      </c>
      <c r="H89" s="17">
        <f>SUM(H73:H85)</f>
        <v>33026</v>
      </c>
      <c r="I89" s="17">
        <f>SUM(I73:I85)</f>
        <v>30038</v>
      </c>
      <c r="J89" s="17">
        <f>SUM(J73:J85)</f>
        <v>61742</v>
      </c>
      <c r="K89" s="17">
        <f>SUM(K73:K85)</f>
        <v>36534</v>
      </c>
      <c r="L89" s="17">
        <f>SUM(L73:L85)</f>
        <v>38071</v>
      </c>
      <c r="M89" s="17"/>
      <c r="N89" s="17"/>
    </row>
    <row r="90" spans="1:14">
      <c r="A90" s="2" t="s">
        <v>318</v>
      </c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</row>
    <row r="91" spans="1:14">
      <c r="A91" s="5" t="s">
        <v>319</v>
      </c>
      <c r="B91">
        <v>102274</v>
      </c>
      <c r="C91">
        <v>102274</v>
      </c>
      <c r="D91">
        <v>102274</v>
      </c>
      <c r="E91">
        <v>102274</v>
      </c>
      <c r="F91">
        <v>102274</v>
      </c>
      <c r="G91">
        <v>102274</v>
      </c>
      <c r="H91">
        <v>102274</v>
      </c>
      <c r="I91">
        <v>102274</v>
      </c>
      <c r="J91">
        <v>102274</v>
      </c>
      <c r="K91">
        <v>102274</v>
      </c>
      <c r="L91">
        <v>85228</v>
      </c>
      <c r="M91">
        <v>85228</v>
      </c>
    </row>
    <row r="92" spans="1:14">
      <c r="A92" s="5" t="s">
        <v>320</v>
      </c>
      <c r="B92">
        <v>203926</v>
      </c>
      <c r="C92">
        <v>204037</v>
      </c>
      <c r="D92">
        <v>204437</v>
      </c>
      <c r="E92">
        <v>164000</v>
      </c>
      <c r="F92">
        <v>166177</v>
      </c>
      <c r="G92">
        <v>159803</v>
      </c>
      <c r="H92">
        <v>147608</v>
      </c>
      <c r="I92">
        <v>147139</v>
      </c>
      <c r="J92">
        <v>147596</v>
      </c>
      <c r="K92">
        <v>142745</v>
      </c>
      <c r="L92">
        <v>162584</v>
      </c>
      <c r="M92">
        <v>160006</v>
      </c>
    </row>
    <row r="93" spans="1:14">
      <c r="A93" s="5" t="s">
        <v>321</v>
      </c>
      <c r="B93" t="s">
        <v>4</v>
      </c>
      <c r="C93" t="s">
        <v>4</v>
      </c>
      <c r="D93" t="s">
        <v>4</v>
      </c>
      <c r="E93" t="s">
        <v>4</v>
      </c>
      <c r="F93" t="s">
        <v>4</v>
      </c>
      <c r="G93" t="s">
        <v>4</v>
      </c>
      <c r="H93" t="s">
        <v>4</v>
      </c>
      <c r="I93" t="s">
        <v>4</v>
      </c>
      <c r="J93">
        <v>0</v>
      </c>
      <c r="K93" t="s">
        <v>4</v>
      </c>
      <c r="L93" t="s">
        <v>4</v>
      </c>
      <c r="M93">
        <v>0</v>
      </c>
    </row>
    <row r="94" spans="1:14">
      <c r="A94" s="5" t="s">
        <v>322</v>
      </c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</row>
    <row r="95" spans="1:14">
      <c r="A95" s="5" t="s">
        <v>323</v>
      </c>
      <c r="B95">
        <v>968</v>
      </c>
      <c r="C95">
        <v>972</v>
      </c>
      <c r="D95">
        <v>992</v>
      </c>
      <c r="E95">
        <v>812</v>
      </c>
      <c r="F95">
        <v>610</v>
      </c>
      <c r="G95">
        <v>359</v>
      </c>
      <c r="H95" t="s">
        <v>4</v>
      </c>
      <c r="I95" t="s">
        <v>4</v>
      </c>
      <c r="J95">
        <v>0</v>
      </c>
      <c r="K95" t="s">
        <v>4</v>
      </c>
      <c r="L95" t="s">
        <v>4</v>
      </c>
      <c r="M95" t="s">
        <v>4</v>
      </c>
    </row>
    <row r="96" spans="1:14">
      <c r="A96" s="5" t="s">
        <v>324</v>
      </c>
      <c r="B96">
        <v>132065</v>
      </c>
      <c r="C96">
        <v>132065</v>
      </c>
      <c r="D96">
        <v>132065</v>
      </c>
      <c r="E96">
        <v>132065</v>
      </c>
      <c r="F96">
        <v>132065</v>
      </c>
      <c r="G96">
        <v>130630</v>
      </c>
      <c r="H96">
        <v>123460</v>
      </c>
      <c r="I96">
        <v>115777</v>
      </c>
      <c r="J96">
        <v>100351</v>
      </c>
      <c r="K96">
        <v>87031</v>
      </c>
      <c r="L96">
        <v>74715</v>
      </c>
      <c r="M96">
        <v>61767</v>
      </c>
    </row>
    <row r="97" spans="1:14">
      <c r="A97" s="5" t="s">
        <v>325</v>
      </c>
      <c r="B97" t="s">
        <v>4</v>
      </c>
      <c r="C97" t="s">
        <v>4</v>
      </c>
      <c r="D97" t="s">
        <v>4</v>
      </c>
      <c r="E97" t="s">
        <v>4</v>
      </c>
      <c r="F97" t="s">
        <v>4</v>
      </c>
      <c r="G97" t="s">
        <v>4</v>
      </c>
      <c r="H97" t="s">
        <v>4</v>
      </c>
      <c r="I97" t="s">
        <v>4</v>
      </c>
      <c r="J97">
        <v>0</v>
      </c>
      <c r="K97" t="s">
        <v>4</v>
      </c>
      <c r="L97" t="s">
        <v>4</v>
      </c>
      <c r="M97">
        <v>0</v>
      </c>
    </row>
    <row r="98" spans="1:14">
      <c r="A98" s="5" t="s">
        <v>326</v>
      </c>
      <c r="B98">
        <v>557715</v>
      </c>
      <c r="C98">
        <v>470664</v>
      </c>
      <c r="D98">
        <v>360598</v>
      </c>
      <c r="E98">
        <v>224564</v>
      </c>
      <c r="F98">
        <v>175537</v>
      </c>
      <c r="G98">
        <v>111801</v>
      </c>
      <c r="H98">
        <v>220043</v>
      </c>
      <c r="I98">
        <v>183518</v>
      </c>
      <c r="J98">
        <v>146179</v>
      </c>
      <c r="K98">
        <v>125712</v>
      </c>
      <c r="L98">
        <v>84812</v>
      </c>
      <c r="M98">
        <v>51306</v>
      </c>
    </row>
    <row r="99" spans="1:14">
      <c r="A99" s="5" t="s">
        <v>327</v>
      </c>
      <c r="B99">
        <v>87</v>
      </c>
      <c r="C99">
        <v>129</v>
      </c>
      <c r="D99">
        <v>129</v>
      </c>
      <c r="E99">
        <v>69</v>
      </c>
      <c r="F99">
        <v>209</v>
      </c>
      <c r="G99">
        <v>177</v>
      </c>
      <c r="H99">
        <v>106</v>
      </c>
      <c r="I99">
        <v>118</v>
      </c>
      <c r="J99">
        <v>2531</v>
      </c>
      <c r="K99">
        <v>6501</v>
      </c>
      <c r="L99">
        <v>4429</v>
      </c>
      <c r="M99">
        <v>3390</v>
      </c>
    </row>
    <row r="100" spans="1:14">
      <c r="A100" s="5" t="s">
        <v>328</v>
      </c>
      <c r="B100" t="s">
        <v>4</v>
      </c>
      <c r="C100" t="s">
        <v>4</v>
      </c>
      <c r="D100" t="s">
        <v>4</v>
      </c>
      <c r="E100" t="s">
        <v>4</v>
      </c>
      <c r="F100">
        <v>-1220</v>
      </c>
      <c r="G100">
        <v>5590</v>
      </c>
      <c r="H100" t="s">
        <v>4</v>
      </c>
      <c r="I100" t="s">
        <v>4</v>
      </c>
      <c r="J100">
        <v>-1393</v>
      </c>
      <c r="K100">
        <v>-1308</v>
      </c>
      <c r="L100">
        <v>-910</v>
      </c>
      <c r="M100">
        <v>-925</v>
      </c>
    </row>
    <row r="101" spans="1:14">
      <c r="A101" s="5" t="s">
        <v>329</v>
      </c>
      <c r="B101" t="s">
        <v>4</v>
      </c>
      <c r="C101" t="s">
        <v>4</v>
      </c>
      <c r="D101" t="s">
        <v>4</v>
      </c>
      <c r="E101" t="s">
        <v>4</v>
      </c>
      <c r="F101" t="s">
        <v>4</v>
      </c>
      <c r="G101" t="s">
        <v>4</v>
      </c>
      <c r="H101" t="s">
        <v>4</v>
      </c>
      <c r="I101" t="s">
        <v>4</v>
      </c>
      <c r="J101">
        <v>0</v>
      </c>
      <c r="K101" t="s">
        <v>4</v>
      </c>
      <c r="L101" t="s">
        <v>4</v>
      </c>
      <c r="M101">
        <v>0</v>
      </c>
    </row>
    <row r="102" spans="1:14">
      <c r="A102" s="5" t="s">
        <v>330</v>
      </c>
      <c r="B102">
        <v>1003584</v>
      </c>
      <c r="C102">
        <v>921458</v>
      </c>
      <c r="D102">
        <v>811911</v>
      </c>
      <c r="E102">
        <v>626062</v>
      </c>
      <c r="F102">
        <v>575443</v>
      </c>
      <c r="G102">
        <v>510456</v>
      </c>
      <c r="H102">
        <v>593385</v>
      </c>
      <c r="I102">
        <v>548708</v>
      </c>
      <c r="J102">
        <v>495006</v>
      </c>
      <c r="K102">
        <v>456454</v>
      </c>
      <c r="L102">
        <v>406429</v>
      </c>
      <c r="M102">
        <v>357383</v>
      </c>
    </row>
    <row r="103" spans="1:14">
      <c r="A103" s="5" t="s">
        <v>331</v>
      </c>
      <c r="B103">
        <v>239475</v>
      </c>
      <c r="C103">
        <v>237588</v>
      </c>
      <c r="D103">
        <v>236737</v>
      </c>
      <c r="E103">
        <v>235129</v>
      </c>
      <c r="F103">
        <v>231240</v>
      </c>
      <c r="G103">
        <v>202584</v>
      </c>
      <c r="H103">
        <v>189222</v>
      </c>
      <c r="I103">
        <v>190730</v>
      </c>
      <c r="J103">
        <v>181797</v>
      </c>
      <c r="K103">
        <v>163020</v>
      </c>
      <c r="L103">
        <v>159447</v>
      </c>
      <c r="M103">
        <v>155647</v>
      </c>
    </row>
    <row r="104" spans="1:14" hidden="1">
      <c r="A104" s="5"/>
    </row>
    <row r="105" spans="1:14" hidden="1">
      <c r="A105" s="5"/>
    </row>
    <row r="106" spans="1:14" hidden="1">
      <c r="A106" s="5"/>
    </row>
    <row r="107" spans="1:14" s="6" customFormat="1">
      <c r="A107" s="7" t="s">
        <v>332</v>
      </c>
      <c r="B107" s="17">
        <f>B102+B103</f>
        <v>1243059</v>
      </c>
      <c r="C107" s="17">
        <f t="shared" ref="C107:M107" si="4">C102+C103</f>
        <v>1159046</v>
      </c>
      <c r="D107" s="17">
        <f t="shared" si="4"/>
        <v>1048648</v>
      </c>
      <c r="E107" s="17">
        <f t="shared" si="4"/>
        <v>861191</v>
      </c>
      <c r="F107" s="17">
        <f t="shared" si="4"/>
        <v>806683</v>
      </c>
      <c r="G107" s="17">
        <f t="shared" si="4"/>
        <v>713040</v>
      </c>
      <c r="H107" s="17">
        <f t="shared" si="4"/>
        <v>782607</v>
      </c>
      <c r="I107" s="17">
        <f t="shared" si="4"/>
        <v>739438</v>
      </c>
      <c r="J107" s="17">
        <f t="shared" si="4"/>
        <v>676803</v>
      </c>
      <c r="K107" s="17">
        <f t="shared" si="4"/>
        <v>619474</v>
      </c>
      <c r="L107" s="17">
        <f t="shared" si="4"/>
        <v>565876</v>
      </c>
      <c r="M107" s="17">
        <f t="shared" si="4"/>
        <v>513030</v>
      </c>
      <c r="N107" s="17"/>
    </row>
    <row r="108" spans="1:14" s="9" customFormat="1">
      <c r="A108" s="8" t="s">
        <v>333</v>
      </c>
      <c r="B108" s="21">
        <f>SUM(B89+B107)</f>
        <v>1246608</v>
      </c>
      <c r="C108" s="21">
        <f>SUM(C89+C107)</f>
        <v>1162185</v>
      </c>
      <c r="D108" s="21">
        <f>SUM(D89+D107)</f>
        <v>1053781</v>
      </c>
      <c r="E108" s="21">
        <f>SUM(E89+E107)</f>
        <v>1021451</v>
      </c>
      <c r="F108" s="21">
        <f>SUM(F89+F107)</f>
        <v>981313</v>
      </c>
      <c r="G108" s="21">
        <f>SUM(G89+G107)</f>
        <v>1069269</v>
      </c>
      <c r="H108" s="21">
        <f>SUM(H89+H107)</f>
        <v>815633</v>
      </c>
      <c r="I108" s="21">
        <f>SUM(I89+I107)</f>
        <v>769476</v>
      </c>
      <c r="J108" s="21">
        <f>SUM(J89+J107)</f>
        <v>738545</v>
      </c>
      <c r="K108" s="21">
        <f>SUM(K89+K107)</f>
        <v>656008</v>
      </c>
      <c r="L108" s="21">
        <f>SUM(L89+L107)</f>
        <v>603947</v>
      </c>
      <c r="M108" s="21"/>
      <c r="N108" s="2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资产负债表</vt:lpstr>
      <vt:lpstr>利润表</vt:lpstr>
      <vt:lpstr>现金流量表</vt:lpstr>
      <vt:lpstr>财务报表摘要</vt:lpstr>
      <vt:lpstr>资产资本表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2018-12-06T12:35:42Z</dcterms:modified>
</cp:coreProperties>
</file>