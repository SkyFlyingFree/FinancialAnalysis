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4" activeTab="6"/>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D11" i="13" l="1"/>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<sst xmlns="http://schemas.openxmlformats.org/spreadsheetml/2006/main" count="1048" uniqueCount="752">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</sst>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142114816"/>
        <c:axId val="140932736"/>
      </c:lineChart>
      <c:catAx>
        <c:axId val="142114816"/>
        <c:scaling>
          <c:orientation val="minMax"/>
        </c:scaling>
        <c:delete val="0"/>
        <c:axPos val="b"/>
        <c:majorTickMark val="out"/>
        <c:minorTickMark val="none"/>
        <c:tickLblPos val="nextTo"/>
        <c:crossAx val="140932736"/>
        <c:crosses val="autoZero"/>
        <c:auto val="1"/>
        <c:lblAlgn val="ctr"/>
        <c:lblOffset val="100"/>
        <c:noMultiLvlLbl val="0"/>
      </c:catAx>
      <c:valAx>
        <c:axId val="140932736"/>
        <c:scaling>
          <c:orientation val="minMax"/>
        </c:scaling>
        <c:delete val="0"/>
        <c:axPos val="l"/>
        <c:majorGridlines/>
        <c:numFmt formatCode="0.00%" sourceLinked="1"/>
        <c:majorTickMark val="out"/>
        <c:minorTickMark val="none"/>
        <c:tickLblPos val="nextTo"/>
        <c:crossAx val="1421148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709791744"/>
        <c:axId val="140934464"/>
      </c:lineChart>
      <c:catAx>
        <c:axId val="709791744"/>
        <c:scaling>
          <c:orientation val="minMax"/>
        </c:scaling>
        <c:delete val="0"/>
        <c:axPos val="b"/>
        <c:majorTickMark val="out"/>
        <c:minorTickMark val="none"/>
        <c:tickLblPos val="nextTo"/>
        <c:crossAx val="140934464"/>
        <c:crosses val="autoZero"/>
        <c:auto val="1"/>
        <c:lblAlgn val="ctr"/>
        <c:lblOffset val="100"/>
        <c:noMultiLvlLbl val="0"/>
      </c:catAx>
      <c:valAx>
        <c:axId val="140934464"/>
        <c:scaling>
          <c:orientation val="minMax"/>
        </c:scaling>
        <c:delete val="0"/>
        <c:axPos val="l"/>
        <c:majorGridlines/>
        <c:numFmt formatCode="0.00%" sourceLinked="1"/>
        <c:majorTickMark val="out"/>
        <c:minorTickMark val="none"/>
        <c:tickLblPos val="nextTo"/>
        <c:crossAx val="7097917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142116352"/>
        <c:axId val="140821632"/>
      </c:lineChart>
      <c:catAx>
        <c:axId val="142116352"/>
        <c:scaling>
          <c:orientation val="minMax"/>
        </c:scaling>
        <c:delete val="0"/>
        <c:axPos val="b"/>
        <c:majorTickMark val="out"/>
        <c:minorTickMark val="none"/>
        <c:tickLblPos val="nextTo"/>
        <c:crossAx val="140821632"/>
        <c:crosses val="autoZero"/>
        <c:auto val="1"/>
        <c:lblAlgn val="ctr"/>
        <c:lblOffset val="100"/>
        <c:noMultiLvlLbl val="0"/>
      </c:catAx>
      <c:valAx>
        <c:axId val="140821632"/>
        <c:scaling>
          <c:orientation val="minMax"/>
        </c:scaling>
        <c:delete val="0"/>
        <c:axPos val="l"/>
        <c:majorGridlines/>
        <c:numFmt formatCode="0.00%" sourceLinked="1"/>
        <c:majorTickMark val="out"/>
        <c:minorTickMark val="none"/>
        <c:tickLblPos val="nextTo"/>
        <c:crossAx val="142116352"/>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141119488"/>
        <c:axId val="140823936"/>
      </c:barChart>
      <c:catAx>
        <c:axId val="141119488"/>
        <c:scaling>
          <c:orientation val="minMax"/>
        </c:scaling>
        <c:delete val="0"/>
        <c:axPos val="b"/>
        <c:numFmt formatCode="General" sourceLinked="1"/>
        <c:majorTickMark val="out"/>
        <c:minorTickMark val="none"/>
        <c:tickLblPos val="nextTo"/>
        <c:crossAx val="140823936"/>
        <c:crosses val="autoZero"/>
        <c:auto val="1"/>
        <c:lblAlgn val="ctr"/>
        <c:lblOffset val="100"/>
        <c:noMultiLvlLbl val="0"/>
      </c:catAx>
      <c:valAx>
        <c:axId val="140823936"/>
        <c:scaling>
          <c:orientation val="minMax"/>
        </c:scaling>
        <c:delete val="0"/>
        <c:axPos val="l"/>
        <c:majorGridlines/>
        <c:numFmt formatCode="General" sourceLinked="1"/>
        <c:majorTickMark val="out"/>
        <c:minorTickMark val="none"/>
        <c:tickLblPos val="nextTo"/>
        <c:crossAx val="141119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141121024"/>
        <c:axId val="140827392"/>
      </c:barChart>
      <c:catAx>
        <c:axId val="141121024"/>
        <c:scaling>
          <c:orientation val="minMax"/>
        </c:scaling>
        <c:delete val="0"/>
        <c:axPos val="b"/>
        <c:majorTickMark val="out"/>
        <c:minorTickMark val="none"/>
        <c:tickLblPos val="nextTo"/>
        <c:crossAx val="140827392"/>
        <c:crosses val="autoZero"/>
        <c:auto val="1"/>
        <c:lblAlgn val="ctr"/>
        <c:lblOffset val="100"/>
        <c:noMultiLvlLbl val="0"/>
      </c:catAx>
      <c:valAx>
        <c:axId val="140827392"/>
        <c:scaling>
          <c:orientation val="minMax"/>
        </c:scaling>
        <c:delete val="0"/>
        <c:axPos val="l"/>
        <c:majorGridlines/>
        <c:numFmt formatCode="#,##0.00_ " sourceLinked="1"/>
        <c:majorTickMark val="out"/>
        <c:minorTickMark val="none"/>
        <c:tickLblPos val="nextTo"/>
        <c:crossAx val="141121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141122048"/>
        <c:axId val="142352960"/>
      </c:barChart>
      <c:catAx>
        <c:axId val="141122048"/>
        <c:scaling>
          <c:orientation val="minMax"/>
        </c:scaling>
        <c:delete val="0"/>
        <c:axPos val="b"/>
        <c:numFmt formatCode="General" sourceLinked="0"/>
        <c:majorTickMark val="out"/>
        <c:minorTickMark val="none"/>
        <c:tickLblPos val="nextTo"/>
        <c:crossAx val="142352960"/>
        <c:crosses val="autoZero"/>
        <c:auto val="1"/>
        <c:lblAlgn val="ctr"/>
        <c:lblOffset val="100"/>
        <c:noMultiLvlLbl val="0"/>
      </c:catAx>
      <c:valAx>
        <c:axId val="142352960"/>
        <c:scaling>
          <c:orientation val="minMax"/>
        </c:scaling>
        <c:delete val="0"/>
        <c:axPos val="l"/>
        <c:majorGridlines/>
        <c:numFmt formatCode="General" sourceLinked="1"/>
        <c:majorTickMark val="out"/>
        <c:minorTickMark val="none"/>
        <c:tickLblPos val="nextTo"/>
        <c:crossAx val="141122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7,667,044,890.61  7,715,000,448.55  7,797,508,134.44  7,860,467,227.05  7,946,402,094.79  7,787,066,965.49  7,863,601,179.82  7,849,831,916.26  7,905,968,097.92  7,848,396,657.24  7,654,091,040.08  7,740,932,584.29  7,185,660,413.80  7,206,36</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141448704"/>
        <c:axId val="142356416"/>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141450240"/>
        <c:axId val="142356992"/>
      </c:lineChart>
      <c:valAx>
        <c:axId val="142356416"/>
        <c:scaling>
          <c:orientation val="minMax"/>
        </c:scaling>
        <c:delete val="0"/>
        <c:axPos val="r"/>
        <c:numFmt formatCode="#,##0.00_ " sourceLinked="1"/>
        <c:majorTickMark val="out"/>
        <c:minorTickMark val="none"/>
        <c:tickLblPos val="nextTo"/>
        <c:crossAx val="141448704"/>
        <c:crosses val="max"/>
        <c:crossBetween val="between"/>
      </c:valAx>
      <c:catAx>
        <c:axId val="141448704"/>
        <c:scaling>
          <c:orientation val="minMax"/>
        </c:scaling>
        <c:delete val="1"/>
        <c:axPos val="b"/>
        <c:numFmt formatCode="#,##0.00_ " sourceLinked="1"/>
        <c:majorTickMark val="out"/>
        <c:minorTickMark val="none"/>
        <c:tickLblPos val="nextTo"/>
        <c:crossAx val="142356416"/>
        <c:crosses val="autoZero"/>
        <c:auto val="1"/>
        <c:lblAlgn val="ctr"/>
        <c:lblOffset val="100"/>
        <c:noMultiLvlLbl val="0"/>
      </c:catAx>
      <c:valAx>
        <c:axId val="142356992"/>
        <c:scaling>
          <c:orientation val="minMax"/>
        </c:scaling>
        <c:delete val="0"/>
        <c:axPos val="l"/>
        <c:numFmt formatCode="0.00%" sourceLinked="1"/>
        <c:majorTickMark val="out"/>
        <c:minorTickMark val="none"/>
        <c:tickLblPos val="nextTo"/>
        <c:crossAx val="141450240"/>
        <c:crosses val="autoZero"/>
        <c:crossBetween val="between"/>
      </c:valAx>
      <c:catAx>
        <c:axId val="141450240"/>
        <c:scaling>
          <c:orientation val="minMax"/>
        </c:scaling>
        <c:delete val="1"/>
        <c:axPos val="b"/>
        <c:majorTickMark val="out"/>
        <c:minorTickMark val="none"/>
        <c:tickLblPos val="nextTo"/>
        <c:crossAx val="14235699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141334016"/>
        <c:axId val="142359296"/>
      </c:lineChart>
      <c:catAx>
        <c:axId val="141334016"/>
        <c:scaling>
          <c:orientation val="minMax"/>
        </c:scaling>
        <c:delete val="0"/>
        <c:axPos val="b"/>
        <c:majorTickMark val="out"/>
        <c:minorTickMark val="none"/>
        <c:tickLblPos val="nextTo"/>
        <c:crossAx val="142359296"/>
        <c:crosses val="autoZero"/>
        <c:auto val="1"/>
        <c:lblAlgn val="ctr"/>
        <c:lblOffset val="100"/>
        <c:noMultiLvlLbl val="0"/>
      </c:catAx>
      <c:valAx>
        <c:axId val="142359296"/>
        <c:scaling>
          <c:orientation val="minMax"/>
        </c:scaling>
        <c:delete val="0"/>
        <c:axPos val="l"/>
        <c:majorGridlines/>
        <c:numFmt formatCode="#,##0.00_ " sourceLinked="1"/>
        <c:majorTickMark val="out"/>
        <c:minorTickMark val="none"/>
        <c:tickLblPos val="nextTo"/>
        <c:crossAx val="1413340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9766175822.6599998</c:v>
                </c:pt>
                <c:pt idx="1">
                  <c:v>11696760569.209999</c:v>
                </c:pt>
                <c:pt idx="2">
                  <c:v>6691068449.7799997</c:v>
                </c:pt>
                <c:pt idx="3">
                  <c:v>794565645.34000003</c:v>
                </c:pt>
                <c:pt idx="4">
                  <c:v>1458910756.8800001</c:v>
                </c:pt>
                <c:pt idx="5">
                  <c:v>8749667084.4799995</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-3639243140.5500002</c:v>
                </c:pt>
                <c:pt idx="1">
                  <c:v>-3193927561.71</c:v>
                </c:pt>
                <c:pt idx="2">
                  <c:v>-2354913014.8000002</c:v>
                </c:pt>
                <c:pt idx="3">
                  <c:v>-2989275619.5599999</c:v>
                </c:pt>
                <c:pt idx="4">
                  <c:v>-3219033426.9200001</c:v>
                </c:pt>
                <c:pt idx="5">
                  <c:v>-2113851892.23</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141335040"/>
        <c:axId val="143090240"/>
      </c:barChart>
      <c:catAx>
        <c:axId val="141335040"/>
        <c:scaling>
          <c:orientation val="minMax"/>
        </c:scaling>
        <c:delete val="0"/>
        <c:axPos val="b"/>
        <c:majorTickMark val="none"/>
        <c:minorTickMark val="none"/>
        <c:tickLblPos val="nextTo"/>
        <c:crossAx val="143090240"/>
        <c:crosses val="autoZero"/>
        <c:auto val="1"/>
        <c:lblAlgn val="ctr"/>
        <c:lblOffset val="100"/>
        <c:noMultiLvlLbl val="0"/>
      </c:catAx>
      <c:valAx>
        <c:axId val="143090240"/>
        <c:scaling>
          <c:orientation val="minMax"/>
        </c:scaling>
        <c:delete val="0"/>
        <c:axPos val="l"/>
        <c:majorGridlines/>
        <c:numFmt formatCode="#,##0.00_ " sourceLinked="1"/>
        <c:majorTickMark val="none"/>
        <c:minorTickMark val="none"/>
        <c:tickLblPos val="nextTo"/>
        <c:crossAx val="141335040"/>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141336064"/>
        <c:axId val="143092544"/>
      </c:barChart>
      <c:catAx>
        <c:axId val="141336064"/>
        <c:scaling>
          <c:orientation val="minMax"/>
        </c:scaling>
        <c:delete val="0"/>
        <c:axPos val="b"/>
        <c:majorTickMark val="out"/>
        <c:minorTickMark val="none"/>
        <c:tickLblPos val="nextTo"/>
        <c:crossAx val="143092544"/>
        <c:crosses val="autoZero"/>
        <c:auto val="1"/>
        <c:lblAlgn val="ctr"/>
        <c:lblOffset val="100"/>
        <c:noMultiLvlLbl val="0"/>
      </c:catAx>
      <c:valAx>
        <c:axId val="143092544"/>
        <c:scaling>
          <c:orientation val="minMax"/>
        </c:scaling>
        <c:delete val="0"/>
        <c:axPos val="l"/>
        <c:majorGridlines/>
        <c:numFmt formatCode="#,##0.00_ " sourceLinked="1"/>
        <c:majorTickMark val="out"/>
        <c:minorTickMark val="none"/>
        <c:tickLblPos val="nextTo"/>
        <c:crossAx val="141336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143139328"/>
        <c:axId val="143094272"/>
      </c:barChart>
      <c:catAx>
        <c:axId val="143139328"/>
        <c:scaling>
          <c:orientation val="minMax"/>
        </c:scaling>
        <c:delete val="0"/>
        <c:axPos val="b"/>
        <c:majorTickMark val="out"/>
        <c:minorTickMark val="none"/>
        <c:tickLblPos val="nextTo"/>
        <c:crossAx val="143094272"/>
        <c:crosses val="autoZero"/>
        <c:auto val="1"/>
        <c:lblAlgn val="ctr"/>
        <c:lblOffset val="100"/>
        <c:noMultiLvlLbl val="0"/>
      </c:catAx>
      <c:valAx>
        <c:axId val="143094272"/>
        <c:scaling>
          <c:orientation val="minMax"/>
        </c:scaling>
        <c:delete val="0"/>
        <c:axPos val="l"/>
        <c:majorGridlines/>
        <c:numFmt formatCode="General" sourceLinked="1"/>
        <c:majorTickMark val="out"/>
        <c:minorTickMark val="none"/>
        <c:tickLblPos val="nextTo"/>
        <c:crossAx val="143139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-18646792.640000001</c:v>
                </c:pt>
                <c:pt idx="2">
                  <c:v>21638760</c:v>
                </c:pt>
                <c:pt idx="3">
                  <c:v>0</c:v>
                </c:pt>
                <c:pt idx="4">
                  <c:v>0</c:v>
                </c:pt>
                <c:pt idx="5">
                  <c:v>-3985608.51</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143141376"/>
        <c:axId val="143096000"/>
      </c:barChart>
      <c:catAx>
        <c:axId val="143141376"/>
        <c:scaling>
          <c:orientation val="minMax"/>
        </c:scaling>
        <c:delete val="0"/>
        <c:axPos val="b"/>
        <c:majorTickMark val="out"/>
        <c:minorTickMark val="none"/>
        <c:tickLblPos val="nextTo"/>
        <c:crossAx val="143096000"/>
        <c:crosses val="autoZero"/>
        <c:auto val="1"/>
        <c:lblAlgn val="ctr"/>
        <c:lblOffset val="100"/>
        <c:noMultiLvlLbl val="0"/>
      </c:catAx>
      <c:valAx>
        <c:axId val="143096000"/>
        <c:scaling>
          <c:orientation val="minMax"/>
        </c:scaling>
        <c:delete val="0"/>
        <c:axPos val="l"/>
        <c:majorGridlines/>
        <c:numFmt formatCode="#,##0.00_ " sourceLinked="1"/>
        <c:majorTickMark val="out"/>
        <c:minorTickMark val="none"/>
        <c:tickLblPos val="nextTo"/>
        <c:crossAx val="143141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143341056"/>
        <c:axId val="143237120"/>
      </c:barChart>
      <c:catAx>
        <c:axId val="143341056"/>
        <c:scaling>
          <c:orientation val="minMax"/>
        </c:scaling>
        <c:delete val="0"/>
        <c:axPos val="b"/>
        <c:majorTickMark val="out"/>
        <c:minorTickMark val="none"/>
        <c:tickLblPos val="nextTo"/>
        <c:crossAx val="143237120"/>
        <c:crosses val="autoZero"/>
        <c:auto val="1"/>
        <c:lblAlgn val="ctr"/>
        <c:lblOffset val="100"/>
        <c:noMultiLvlLbl val="0"/>
      </c:catAx>
      <c:valAx>
        <c:axId val="143237120"/>
        <c:scaling>
          <c:orientation val="minMax"/>
        </c:scaling>
        <c:delete val="0"/>
        <c:axPos val="l"/>
        <c:majorGridlines/>
        <c:numFmt formatCode="#,##0.00_ " sourceLinked="1"/>
        <c:majorTickMark val="out"/>
        <c:minorTickMark val="none"/>
        <c:tickLblPos val="nextTo"/>
        <c:crossAx val="143341056"/>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8.0000000000000016E-2</c:v>
                </c:pt>
                <c:pt idx="1">
                  <c:v>8.0000000000000016E-2</c:v>
                </c:pt>
                <c:pt idx="2">
                  <c:v>0.08</c:v>
                </c:pt>
                <c:pt idx="3">
                  <c:v>8.0002695271413626E-2</c:v>
                </c:pt>
                <c:pt idx="4">
                  <c:v>7.9854152764570557E-2</c:v>
                </c:pt>
                <c:pt idx="5">
                  <c:v>7.9046167427418101E-2</c:v>
                </c:pt>
                <c:pt idx="6">
                  <c:v>7.9245681522251574E-2</c:v>
                </c:pt>
                <c:pt idx="7">
                  <c:v>7.8436126602666439E-2</c:v>
                </c:pt>
                <c:pt idx="8">
                  <c:v>7.880219067347205E-2</c:v>
                </c:pt>
                <c:pt idx="9">
                  <c:v>7.9999999999999988E-2</c:v>
                </c:pt>
                <c:pt idx="10">
                  <c:v>7.9979228843790329E-2</c:v>
                </c:pt>
                <c:pt idx="11">
                  <c:v>7.8496855977776253E-2</c:v>
                </c:pt>
                <c:pt idx="12">
                  <c:v>7.8523530885547796E-2</c:v>
                </c:pt>
                <c:pt idx="13">
                  <c:v>7.8753726368990015E-2</c:v>
                </c:pt>
                <c:pt idx="14">
                  <c:v>7.896548858459497E-2</c:v>
                </c:pt>
                <c:pt idx="15">
                  <c:v>7.8599013452103683E-2</c:v>
                </c:pt>
                <c:pt idx="16">
                  <c:v>7.6841262271742303E-2</c:v>
                </c:pt>
                <c:pt idx="17">
                  <c:v>7.8620966345894036E-2</c:v>
                </c:pt>
                <c:pt idx="18">
                  <c:v>7.5863838748877074E-2</c:v>
                </c:pt>
                <c:pt idx="19">
                  <c:v>7.8953338498063463E-2</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42774272"/>
        <c:axId val="143239424"/>
      </c:lineChart>
      <c:catAx>
        <c:axId val="14277427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143239424"/>
        <c:crosses val="autoZero"/>
        <c:auto val="1"/>
        <c:lblAlgn val="ctr"/>
        <c:lblOffset val="100"/>
        <c:noMultiLvlLbl val="0"/>
      </c:catAx>
      <c:valAx>
        <c:axId val="14323942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142774272"/>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142775296"/>
        <c:axId val="143241152"/>
      </c:lineChart>
      <c:catAx>
        <c:axId val="142775296"/>
        <c:scaling>
          <c:orientation val="minMax"/>
        </c:scaling>
        <c:delete val="0"/>
        <c:axPos val="b"/>
        <c:majorTickMark val="out"/>
        <c:minorTickMark val="none"/>
        <c:tickLblPos val="nextTo"/>
        <c:crossAx val="143241152"/>
        <c:crosses val="autoZero"/>
        <c:auto val="1"/>
        <c:lblAlgn val="ctr"/>
        <c:lblOffset val="100"/>
        <c:noMultiLvlLbl val="0"/>
      </c:catAx>
      <c:valAx>
        <c:axId val="143241152"/>
        <c:scaling>
          <c:orientation val="minMax"/>
        </c:scaling>
        <c:delete val="0"/>
        <c:axPos val="l"/>
        <c:majorGridlines/>
        <c:numFmt formatCode="0.00%" sourceLinked="1"/>
        <c:majorTickMark val="out"/>
        <c:minorTickMark val="none"/>
        <c:tickLblPos val="nextTo"/>
        <c:crossAx val="142775296"/>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143520256"/>
        <c:axId val="143243456"/>
      </c:lineChart>
      <c:catAx>
        <c:axId val="143520256"/>
        <c:scaling>
          <c:orientation val="minMax"/>
        </c:scaling>
        <c:delete val="0"/>
        <c:axPos val="b"/>
        <c:majorTickMark val="out"/>
        <c:minorTickMark val="none"/>
        <c:tickLblPos val="nextTo"/>
        <c:crossAx val="143243456"/>
        <c:crosses val="autoZero"/>
        <c:auto val="1"/>
        <c:lblAlgn val="ctr"/>
        <c:lblOffset val="100"/>
        <c:noMultiLvlLbl val="0"/>
      </c:catAx>
      <c:valAx>
        <c:axId val="143243456"/>
        <c:scaling>
          <c:orientation val="minMax"/>
        </c:scaling>
        <c:delete val="0"/>
        <c:axPos val="l"/>
        <c:majorGridlines/>
        <c:numFmt formatCode="0.00%" sourceLinked="1"/>
        <c:majorTickMark val="out"/>
        <c:minorTickMark val="none"/>
        <c:tickLblPos val="nextTo"/>
        <c:crossAx val="1435202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143521792"/>
        <c:axId val="143041088"/>
      </c:lineChart>
      <c:catAx>
        <c:axId val="143521792"/>
        <c:scaling>
          <c:orientation val="minMax"/>
        </c:scaling>
        <c:delete val="0"/>
        <c:axPos val="b"/>
        <c:majorTickMark val="out"/>
        <c:minorTickMark val="none"/>
        <c:tickLblPos val="nextTo"/>
        <c:crossAx val="143041088"/>
        <c:crosses val="autoZero"/>
        <c:auto val="1"/>
        <c:lblAlgn val="ctr"/>
        <c:lblOffset val="100"/>
        <c:noMultiLvlLbl val="0"/>
      </c:catAx>
      <c:valAx>
        <c:axId val="143041088"/>
        <c:scaling>
          <c:orientation val="minMax"/>
        </c:scaling>
        <c:delete val="0"/>
        <c:axPos val="l"/>
        <c:majorGridlines/>
        <c:numFmt formatCode="0.00%" sourceLinked="1"/>
        <c:majorTickMark val="out"/>
        <c:minorTickMark val="none"/>
        <c:tickLblPos val="nextTo"/>
        <c:crossAx val="1435217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143523328"/>
        <c:axId val="143042816"/>
      </c:barChart>
      <c:catAx>
        <c:axId val="143523328"/>
        <c:scaling>
          <c:orientation val="minMax"/>
        </c:scaling>
        <c:delete val="0"/>
        <c:axPos val="b"/>
        <c:majorTickMark val="out"/>
        <c:minorTickMark val="none"/>
        <c:tickLblPos val="nextTo"/>
        <c:crossAx val="143042816"/>
        <c:crosses val="autoZero"/>
        <c:auto val="1"/>
        <c:lblAlgn val="ctr"/>
        <c:lblOffset val="100"/>
        <c:noMultiLvlLbl val="0"/>
      </c:catAx>
      <c:valAx>
        <c:axId val="143042816"/>
        <c:scaling>
          <c:orientation val="minMax"/>
        </c:scaling>
        <c:delete val="0"/>
        <c:axPos val="l"/>
        <c:majorGridlines/>
        <c:numFmt formatCode="#,##0.00_ " sourceLinked="1"/>
        <c:majorTickMark val="out"/>
        <c:minorTickMark val="none"/>
        <c:tickLblPos val="nextTo"/>
        <c:crossAx val="143523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144102400"/>
        <c:axId val="143045120"/>
      </c:barChart>
      <c:catAx>
        <c:axId val="144102400"/>
        <c:scaling>
          <c:orientation val="minMax"/>
        </c:scaling>
        <c:delete val="0"/>
        <c:axPos val="b"/>
        <c:majorTickMark val="out"/>
        <c:minorTickMark val="none"/>
        <c:tickLblPos val="nextTo"/>
        <c:crossAx val="143045120"/>
        <c:crosses val="autoZero"/>
        <c:auto val="1"/>
        <c:lblAlgn val="ctr"/>
        <c:lblOffset val="100"/>
        <c:noMultiLvlLbl val="0"/>
      </c:catAx>
      <c:valAx>
        <c:axId val="143045120"/>
        <c:scaling>
          <c:orientation val="minMax"/>
        </c:scaling>
        <c:delete val="0"/>
        <c:axPos val="l"/>
        <c:majorGridlines/>
        <c:numFmt formatCode="#,##0.00_ " sourceLinked="1"/>
        <c:majorTickMark val="out"/>
        <c:minorTickMark val="none"/>
        <c:tickLblPos val="nextTo"/>
        <c:crossAx val="144102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144102912"/>
        <c:axId val="143046848"/>
      </c:barChart>
      <c:catAx>
        <c:axId val="144102912"/>
        <c:scaling>
          <c:orientation val="minMax"/>
        </c:scaling>
        <c:delete val="0"/>
        <c:axPos val="b"/>
        <c:majorTickMark val="out"/>
        <c:minorTickMark val="none"/>
        <c:tickLblPos val="nextTo"/>
        <c:crossAx val="143046848"/>
        <c:crosses val="autoZero"/>
        <c:auto val="1"/>
        <c:lblAlgn val="ctr"/>
        <c:lblOffset val="100"/>
        <c:noMultiLvlLbl val="0"/>
      </c:catAx>
      <c:valAx>
        <c:axId val="143046848"/>
        <c:scaling>
          <c:orientation val="minMax"/>
        </c:scaling>
        <c:delete val="0"/>
        <c:axPos val="l"/>
        <c:majorGridlines/>
        <c:numFmt formatCode="#,##0.00_ " sourceLinked="1"/>
        <c:majorTickMark val="out"/>
        <c:minorTickMark val="none"/>
        <c:tickLblPos val="nextTo"/>
        <c:crossAx val="144102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143836160"/>
        <c:axId val="144228352"/>
      </c:lineChart>
      <c:catAx>
        <c:axId val="143836160"/>
        <c:scaling>
          <c:orientation val="minMax"/>
        </c:scaling>
        <c:delete val="0"/>
        <c:axPos val="b"/>
        <c:majorTickMark val="out"/>
        <c:minorTickMark val="none"/>
        <c:tickLblPos val="nextTo"/>
        <c:crossAx val="144228352"/>
        <c:crosses val="autoZero"/>
        <c:auto val="1"/>
        <c:lblAlgn val="ctr"/>
        <c:lblOffset val="100"/>
        <c:noMultiLvlLbl val="0"/>
      </c:catAx>
      <c:valAx>
        <c:axId val="144228352"/>
        <c:scaling>
          <c:orientation val="minMax"/>
        </c:scaling>
        <c:delete val="0"/>
        <c:axPos val="l"/>
        <c:majorGridlines/>
        <c:numFmt formatCode="0.00%" sourceLinked="1"/>
        <c:majorTickMark val="out"/>
        <c:minorTickMark val="none"/>
        <c:tickLblPos val="nextTo"/>
        <c:crossAx val="14383616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143837184"/>
        <c:axId val="144230656"/>
      </c:lineChart>
      <c:catAx>
        <c:axId val="143837184"/>
        <c:scaling>
          <c:orientation val="minMax"/>
        </c:scaling>
        <c:delete val="0"/>
        <c:axPos val="b"/>
        <c:majorTickMark val="out"/>
        <c:minorTickMark val="none"/>
        <c:tickLblPos val="nextTo"/>
        <c:crossAx val="144230656"/>
        <c:crosses val="autoZero"/>
        <c:auto val="1"/>
        <c:lblAlgn val="ctr"/>
        <c:lblOffset val="100"/>
        <c:noMultiLvlLbl val="0"/>
      </c:catAx>
      <c:valAx>
        <c:axId val="144230656"/>
        <c:scaling>
          <c:orientation val="minMax"/>
        </c:scaling>
        <c:delete val="0"/>
        <c:axPos val="l"/>
        <c:majorGridlines/>
        <c:numFmt formatCode="0.00%" sourceLinked="1"/>
        <c:majorTickMark val="out"/>
        <c:minorTickMark val="none"/>
        <c:tickLblPos val="nextTo"/>
        <c:crossAx val="1438371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143838720"/>
        <c:axId val="144232960"/>
      </c:lineChart>
      <c:catAx>
        <c:axId val="143838720"/>
        <c:scaling>
          <c:orientation val="minMax"/>
        </c:scaling>
        <c:delete val="0"/>
        <c:axPos val="b"/>
        <c:majorTickMark val="out"/>
        <c:minorTickMark val="none"/>
        <c:tickLblPos val="nextTo"/>
        <c:crossAx val="144232960"/>
        <c:crosses val="autoZero"/>
        <c:auto val="1"/>
        <c:lblAlgn val="ctr"/>
        <c:lblOffset val="100"/>
        <c:noMultiLvlLbl val="0"/>
      </c:catAx>
      <c:valAx>
        <c:axId val="144232960"/>
        <c:scaling>
          <c:orientation val="minMax"/>
        </c:scaling>
        <c:delete val="0"/>
        <c:axPos val="l"/>
        <c:majorGridlines/>
        <c:numFmt formatCode="0.00%" sourceLinked="1"/>
        <c:majorTickMark val="out"/>
        <c:minorTickMark val="none"/>
        <c:tickLblPos val="nextTo"/>
        <c:crossAx val="1438387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144897024"/>
        <c:axId val="144234688"/>
      </c:lineChart>
      <c:catAx>
        <c:axId val="144897024"/>
        <c:scaling>
          <c:orientation val="minMax"/>
        </c:scaling>
        <c:delete val="0"/>
        <c:axPos val="b"/>
        <c:majorTickMark val="out"/>
        <c:minorTickMark val="none"/>
        <c:tickLblPos val="nextTo"/>
        <c:crossAx val="144234688"/>
        <c:crosses val="autoZero"/>
        <c:auto val="1"/>
        <c:lblAlgn val="ctr"/>
        <c:lblOffset val="100"/>
        <c:noMultiLvlLbl val="0"/>
      </c:catAx>
      <c:valAx>
        <c:axId val="144234688"/>
        <c:scaling>
          <c:orientation val="minMax"/>
        </c:scaling>
        <c:delete val="0"/>
        <c:axPos val="l"/>
        <c:majorGridlines/>
        <c:numFmt formatCode="0.00%" sourceLinked="1"/>
        <c:majorTickMark val="out"/>
        <c:minorTickMark val="none"/>
        <c:tickLblPos val="nextTo"/>
        <c:crossAx val="14489702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144897536"/>
        <c:axId val="144941632"/>
      </c:lineChart>
      <c:catAx>
        <c:axId val="144897536"/>
        <c:scaling>
          <c:orientation val="minMax"/>
        </c:scaling>
        <c:delete val="0"/>
        <c:axPos val="b"/>
        <c:majorTickMark val="out"/>
        <c:minorTickMark val="none"/>
        <c:tickLblPos val="nextTo"/>
        <c:crossAx val="144941632"/>
        <c:crosses val="autoZero"/>
        <c:auto val="1"/>
        <c:lblAlgn val="ctr"/>
        <c:lblOffset val="100"/>
        <c:noMultiLvlLbl val="0"/>
      </c:catAx>
      <c:valAx>
        <c:axId val="144941632"/>
        <c:scaling>
          <c:orientation val="minMax"/>
        </c:scaling>
        <c:delete val="0"/>
        <c:axPos val="l"/>
        <c:majorGridlines/>
        <c:numFmt formatCode="0.00%" sourceLinked="1"/>
        <c:majorTickMark val="out"/>
        <c:minorTickMark val="none"/>
        <c:tickLblPos val="nextTo"/>
        <c:crossAx val="1448975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144898560"/>
        <c:axId val="843376320"/>
      </c:barChart>
      <c:catAx>
        <c:axId val="144898560"/>
        <c:scaling>
          <c:orientation val="minMax"/>
        </c:scaling>
        <c:delete val="0"/>
        <c:axPos val="b"/>
        <c:majorTickMark val="out"/>
        <c:minorTickMark val="none"/>
        <c:tickLblPos val="nextTo"/>
        <c:crossAx val="843376320"/>
        <c:crosses val="autoZero"/>
        <c:auto val="1"/>
        <c:lblAlgn val="ctr"/>
        <c:lblOffset val="100"/>
        <c:noMultiLvlLbl val="0"/>
      </c:catAx>
      <c:valAx>
        <c:axId val="843376320"/>
        <c:scaling>
          <c:orientation val="minMax"/>
        </c:scaling>
        <c:delete val="0"/>
        <c:axPos val="l"/>
        <c:majorGridlines/>
        <c:numFmt formatCode="#,##0.00_ " sourceLinked="1"/>
        <c:majorTickMark val="out"/>
        <c:minorTickMark val="none"/>
        <c:tickLblPos val="nextTo"/>
        <c:crossAx val="144898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6.5165946085283574E-2</c:v>
                </c:pt>
                <c:pt idx="1">
                  <c:v>8.3809006754084786E-2</c:v>
                </c:pt>
                <c:pt idx="2">
                  <c:v>5.7131565403220626E-2</c:v>
                </c:pt>
                <c:pt idx="3">
                  <c:v>8.0426698057984594E-2</c:v>
                </c:pt>
                <c:pt idx="4">
                  <c:v>0.74777915345987866</c:v>
                </c:pt>
                <c:pt idx="5">
                  <c:v>0.75142767253470799</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144655872"/>
        <c:axId val="144944512"/>
      </c:lineChart>
      <c:catAx>
        <c:axId val="144655872"/>
        <c:scaling>
          <c:orientation val="minMax"/>
        </c:scaling>
        <c:delete val="0"/>
        <c:axPos val="b"/>
        <c:majorTickMark val="out"/>
        <c:minorTickMark val="none"/>
        <c:tickLblPos val="nextTo"/>
        <c:crossAx val="144944512"/>
        <c:crosses val="autoZero"/>
        <c:auto val="1"/>
        <c:lblAlgn val="ctr"/>
        <c:lblOffset val="100"/>
        <c:noMultiLvlLbl val="0"/>
      </c:catAx>
      <c:valAx>
        <c:axId val="144944512"/>
        <c:scaling>
          <c:orientation val="minMax"/>
        </c:scaling>
        <c:delete val="0"/>
        <c:axPos val="l"/>
        <c:majorGridlines/>
        <c:numFmt formatCode="0.00%" sourceLinked="1"/>
        <c:majorTickMark val="out"/>
        <c:minorTickMark val="none"/>
        <c:tickLblPos val="nextTo"/>
        <c:crossAx val="1446558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1.6472635528726926E-2</c:v>
                </c:pt>
                <c:pt idx="1">
                  <c:v>1.6409646031952854E-2</c:v>
                </c:pt>
                <c:pt idx="2">
                  <c:v>2.1566578970409311E-2</c:v>
                </c:pt>
                <c:pt idx="3">
                  <c:v>2.2086198275583321E-2</c:v>
                </c:pt>
                <c:pt idx="4">
                  <c:v>2.3175122582020275E-2</c:v>
                </c:pt>
                <c:pt idx="5">
                  <c:v>2.0816427958848457E-2</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144646144"/>
        <c:axId val="144946240"/>
      </c:lineChart>
      <c:catAx>
        <c:axId val="144646144"/>
        <c:scaling>
          <c:orientation val="minMax"/>
        </c:scaling>
        <c:delete val="0"/>
        <c:axPos val="b"/>
        <c:majorTickMark val="out"/>
        <c:minorTickMark val="none"/>
        <c:tickLblPos val="nextTo"/>
        <c:crossAx val="144946240"/>
        <c:crosses val="autoZero"/>
        <c:auto val="1"/>
        <c:lblAlgn val="ctr"/>
        <c:lblOffset val="100"/>
        <c:noMultiLvlLbl val="0"/>
      </c:catAx>
      <c:valAx>
        <c:axId val="144946240"/>
        <c:scaling>
          <c:orientation val="minMax"/>
        </c:scaling>
        <c:delete val="0"/>
        <c:axPos val="l"/>
        <c:majorGridlines/>
        <c:numFmt formatCode="0.00%" sourceLinked="1"/>
        <c:majorTickMark val="out"/>
        <c:minorTickMark val="none"/>
        <c:tickLblPos val="nextTo"/>
        <c:crossAx val="1446461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0.68337515800127768</c:v>
                </c:pt>
                <c:pt idx="1">
                  <c:v>0.72056735402796701</c:v>
                </c:pt>
                <c:pt idx="2">
                  <c:v>0.39231708849484315</c:v>
                </c:pt>
                <c:pt idx="3">
                  <c:v>0.42244698203535969</c:v>
                </c:pt>
                <c:pt idx="4">
                  <c:v>1.0931828618022918</c:v>
                </c:pt>
                <c:pt idx="5">
                  <c:v>-1.0483266750432063</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0.58736297137448124</c:v>
                </c:pt>
                <c:pt idx="1">
                  <c:v>0.55201264240379855</c:v>
                </c:pt>
                <c:pt idx="2">
                  <c:v>0.53581496253347782</c:v>
                </c:pt>
                <c:pt idx="3">
                  <c:v>0.58969572988831243</c:v>
                </c:pt>
                <c:pt idx="4">
                  <c:v>0.5848893430840385</c:v>
                </c:pt>
                <c:pt idx="5">
                  <c:v>0.53918431168219116</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9.662778850651961E-2</c:v>
                </c:pt>
                <c:pt idx="1">
                  <c:v>0.10758223733328919</c:v>
                </c:pt>
                <c:pt idx="2">
                  <c:v>0.14100895507362513</c:v>
                </c:pt>
                <c:pt idx="3">
                  <c:v>0.1836880406624036</c:v>
                </c:pt>
                <c:pt idx="4">
                  <c:v>0.15824836156690555</c:v>
                </c:pt>
                <c:pt idx="5">
                  <c:v>0.1373230339176775</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4.6145212822639845</c:v>
                </c:pt>
                <c:pt idx="1">
                  <c:v>4.7751598972678631</c:v>
                </c:pt>
                <c:pt idx="2">
                  <c:v>4.185499176449837</c:v>
                </c:pt>
                <c:pt idx="3">
                  <c:v>4.7833432050123026</c:v>
                </c:pt>
                <c:pt idx="4">
                  <c:v>34.278743341002006</c:v>
                </c:pt>
                <c:pt idx="5">
                  <c:v>32.271101051399022</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144647168"/>
        <c:axId val="144947968"/>
      </c:lineChart>
      <c:catAx>
        <c:axId val="144647168"/>
        <c:scaling>
          <c:orientation val="minMax"/>
        </c:scaling>
        <c:delete val="0"/>
        <c:axPos val="b"/>
        <c:majorTickMark val="out"/>
        <c:minorTickMark val="none"/>
        <c:tickLblPos val="nextTo"/>
        <c:crossAx val="144947968"/>
        <c:crosses val="autoZero"/>
        <c:auto val="1"/>
        <c:lblAlgn val="ctr"/>
        <c:lblOffset val="100"/>
        <c:noMultiLvlLbl val="0"/>
      </c:catAx>
      <c:valAx>
        <c:axId val="144947968"/>
        <c:scaling>
          <c:orientation val="minMax"/>
        </c:scaling>
        <c:delete val="0"/>
        <c:axPos val="l"/>
        <c:majorGridlines/>
        <c:numFmt formatCode="#,##0.00_ " sourceLinked="1"/>
        <c:majorTickMark val="out"/>
        <c:minorTickMark val="none"/>
        <c:tickLblPos val="nextTo"/>
        <c:crossAx val="1446471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144647680"/>
        <c:axId val="145089664"/>
      </c:lineChart>
      <c:catAx>
        <c:axId val="144647680"/>
        <c:scaling>
          <c:orientation val="minMax"/>
        </c:scaling>
        <c:delete val="0"/>
        <c:axPos val="b"/>
        <c:majorTickMark val="out"/>
        <c:minorTickMark val="none"/>
        <c:tickLblPos val="nextTo"/>
        <c:crossAx val="145089664"/>
        <c:crosses val="autoZero"/>
        <c:auto val="1"/>
        <c:lblAlgn val="ctr"/>
        <c:lblOffset val="100"/>
        <c:noMultiLvlLbl val="0"/>
      </c:catAx>
      <c:valAx>
        <c:axId val="145089664"/>
        <c:scaling>
          <c:orientation val="minMax"/>
        </c:scaling>
        <c:delete val="0"/>
        <c:axPos val="l"/>
        <c:majorGridlines/>
        <c:numFmt formatCode="#,##0.00_ " sourceLinked="1"/>
        <c:majorTickMark val="out"/>
        <c:minorTickMark val="none"/>
        <c:tickLblPos val="nextTo"/>
        <c:crossAx val="144647680"/>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0.79314565061166653</c:v>
                </c:pt>
                <c:pt idx="1">
                  <c:v>0.74648220994259817</c:v>
                </c:pt>
                <c:pt idx="2">
                  <c:v>0.56295644656521782</c:v>
                </c:pt>
                <c:pt idx="3">
                  <c:v>0.87299280909239807</c:v>
                </c:pt>
                <c:pt idx="4">
                  <c:v>-9.0248389702726435</c:v>
                </c:pt>
                <c:pt idx="5">
                  <c:v>-0.71756747147447819</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144649728"/>
        <c:axId val="145091968"/>
      </c:lineChart>
      <c:catAx>
        <c:axId val="144649728"/>
        <c:scaling>
          <c:orientation val="minMax"/>
        </c:scaling>
        <c:delete val="0"/>
        <c:axPos val="b"/>
        <c:majorTickMark val="out"/>
        <c:minorTickMark val="none"/>
        <c:tickLblPos val="nextTo"/>
        <c:crossAx val="145091968"/>
        <c:crosses val="autoZero"/>
        <c:auto val="1"/>
        <c:lblAlgn val="ctr"/>
        <c:lblOffset val="100"/>
        <c:noMultiLvlLbl val="0"/>
      </c:catAx>
      <c:valAx>
        <c:axId val="145091968"/>
        <c:scaling>
          <c:orientation val="minMax"/>
        </c:scaling>
        <c:delete val="0"/>
        <c:axPos val="l"/>
        <c:majorGridlines/>
        <c:numFmt formatCode="#,##0.00_ " sourceLinked="1"/>
        <c:majorTickMark val="out"/>
        <c:minorTickMark val="none"/>
        <c:tickLblPos val="nextTo"/>
        <c:crossAx val="1446497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148591104"/>
        <c:axId val="145094272"/>
      </c:lineChart>
      <c:catAx>
        <c:axId val="148591104"/>
        <c:scaling>
          <c:orientation val="minMax"/>
        </c:scaling>
        <c:delete val="0"/>
        <c:axPos val="b"/>
        <c:majorTickMark val="out"/>
        <c:minorTickMark val="none"/>
        <c:tickLblPos val="nextTo"/>
        <c:crossAx val="145094272"/>
        <c:crosses val="autoZero"/>
        <c:auto val="1"/>
        <c:lblAlgn val="ctr"/>
        <c:lblOffset val="100"/>
        <c:noMultiLvlLbl val="0"/>
      </c:catAx>
      <c:valAx>
        <c:axId val="145094272"/>
        <c:scaling>
          <c:orientation val="minMax"/>
        </c:scaling>
        <c:delete val="0"/>
        <c:axPos val="l"/>
        <c:majorGridlines/>
        <c:numFmt formatCode="0.00%" sourceLinked="1"/>
        <c:majorTickMark val="out"/>
        <c:minorTickMark val="none"/>
        <c:tickLblPos val="nextTo"/>
        <c:crossAx val="1485911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148592640"/>
        <c:axId val="145096000"/>
      </c:lineChart>
      <c:catAx>
        <c:axId val="148592640"/>
        <c:scaling>
          <c:orientation val="minMax"/>
        </c:scaling>
        <c:delete val="0"/>
        <c:axPos val="b"/>
        <c:majorTickMark val="out"/>
        <c:minorTickMark val="none"/>
        <c:tickLblPos val="nextTo"/>
        <c:crossAx val="145096000"/>
        <c:crosses val="autoZero"/>
        <c:auto val="1"/>
        <c:lblAlgn val="ctr"/>
        <c:lblOffset val="100"/>
        <c:noMultiLvlLbl val="0"/>
      </c:catAx>
      <c:valAx>
        <c:axId val="145096000"/>
        <c:scaling>
          <c:orientation val="minMax"/>
        </c:scaling>
        <c:delete val="0"/>
        <c:axPos val="l"/>
        <c:majorGridlines/>
        <c:numFmt formatCode="0.00%" sourceLinked="1"/>
        <c:majorTickMark val="out"/>
        <c:minorTickMark val="none"/>
        <c:tickLblPos val="nextTo"/>
        <c:crossAx val="1485926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148783104"/>
        <c:axId val="148677760"/>
      </c:barChart>
      <c:catAx>
        <c:axId val="148783104"/>
        <c:scaling>
          <c:orientation val="minMax"/>
        </c:scaling>
        <c:delete val="0"/>
        <c:axPos val="b"/>
        <c:majorTickMark val="out"/>
        <c:minorTickMark val="none"/>
        <c:tickLblPos val="nextTo"/>
        <c:crossAx val="148677760"/>
        <c:crosses val="autoZero"/>
        <c:auto val="1"/>
        <c:lblAlgn val="ctr"/>
        <c:lblOffset val="100"/>
        <c:noMultiLvlLbl val="0"/>
      </c:catAx>
      <c:valAx>
        <c:axId val="148677760"/>
        <c:scaling>
          <c:orientation val="minMax"/>
        </c:scaling>
        <c:delete val="0"/>
        <c:axPos val="l"/>
        <c:majorGridlines/>
        <c:numFmt formatCode="#,##0.00_ " sourceLinked="1"/>
        <c:majorTickMark val="out"/>
        <c:minorTickMark val="none"/>
        <c:tickLblPos val="nextTo"/>
        <c:crossAx val="1487831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148784640"/>
        <c:axId val="148679488"/>
      </c:barChart>
      <c:catAx>
        <c:axId val="148784640"/>
        <c:scaling>
          <c:orientation val="minMax"/>
        </c:scaling>
        <c:delete val="0"/>
        <c:axPos val="b"/>
        <c:majorTickMark val="out"/>
        <c:minorTickMark val="none"/>
        <c:tickLblPos val="nextTo"/>
        <c:crossAx val="148679488"/>
        <c:crosses val="autoZero"/>
        <c:auto val="1"/>
        <c:lblAlgn val="ctr"/>
        <c:lblOffset val="100"/>
        <c:noMultiLvlLbl val="0"/>
      </c:catAx>
      <c:valAx>
        <c:axId val="148679488"/>
        <c:scaling>
          <c:orientation val="minMax"/>
        </c:scaling>
        <c:delete val="0"/>
        <c:axPos val="l"/>
        <c:majorGridlines/>
        <c:numFmt formatCode="#,##0.00_ " sourceLinked="1"/>
        <c:majorTickMark val="out"/>
        <c:minorTickMark val="none"/>
        <c:tickLblPos val="nextTo"/>
        <c:crossAx val="14878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56228697.509999998</c:v>
                </c:pt>
                <c:pt idx="1">
                  <c:v>66598248.350000001</c:v>
                </c:pt>
                <c:pt idx="2">
                  <c:v>51533212.600000001</c:v>
                </c:pt>
                <c:pt idx="3">
                  <c:v>69799508.150000006</c:v>
                </c:pt>
                <c:pt idx="4">
                  <c:v>90165233.569999993</c:v>
                </c:pt>
                <c:pt idx="5">
                  <c:v>90435164.069999993</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148785664"/>
        <c:axId val="148681216"/>
      </c:barChart>
      <c:catAx>
        <c:axId val="148785664"/>
        <c:scaling>
          <c:orientation val="minMax"/>
        </c:scaling>
        <c:delete val="0"/>
        <c:axPos val="b"/>
        <c:majorTickMark val="out"/>
        <c:minorTickMark val="none"/>
        <c:tickLblPos val="nextTo"/>
        <c:crossAx val="148681216"/>
        <c:crosses val="autoZero"/>
        <c:auto val="1"/>
        <c:lblAlgn val="ctr"/>
        <c:lblOffset val="100"/>
        <c:noMultiLvlLbl val="0"/>
      </c:catAx>
      <c:valAx>
        <c:axId val="148681216"/>
        <c:scaling>
          <c:orientation val="minMax"/>
        </c:scaling>
        <c:delete val="0"/>
        <c:axPos val="l"/>
        <c:majorGridlines/>
        <c:numFmt formatCode="#,##0.00_ " sourceLinked="1"/>
        <c:majorTickMark val="out"/>
        <c:minorTickMark val="none"/>
        <c:tickLblPos val="nextTo"/>
        <c:crossAx val="14878566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1.104394053754336</c:v>
                </c:pt>
                <c:pt idx="1">
                  <c:v>1.1714288955969978</c:v>
                </c:pt>
                <c:pt idx="2">
                  <c:v>1.1004819929551972</c:v>
                </c:pt>
                <c:pt idx="3">
                  <c:v>1.0751576796370887</c:v>
                </c:pt>
                <c:pt idx="4">
                  <c:v>1.1897212288450152</c:v>
                </c:pt>
                <c:pt idx="5">
                  <c:v>1.1961814645966662</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1.3044906603990634</c:v>
                </c:pt>
                <c:pt idx="1">
                  <c:v>1.2000566432269337</c:v>
                </c:pt>
                <c:pt idx="2">
                  <c:v>0.97717324369557845</c:v>
                </c:pt>
                <c:pt idx="3">
                  <c:v>1.0240879773188425</c:v>
                </c:pt>
                <c:pt idx="4">
                  <c:v>1.129893224035551</c:v>
                </c:pt>
                <c:pt idx="5">
                  <c:v>1.1657281587923487</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-0.12720773598004173</c:v>
                </c:pt>
                <c:pt idx="1">
                  <c:v>-4.2765464119870533E-2</c:v>
                </c:pt>
                <c:pt idx="2">
                  <c:v>5.4848732232897254E-2</c:v>
                </c:pt>
                <c:pt idx="3">
                  <c:v>-2.51682736488496E-2</c:v>
                </c:pt>
                <c:pt idx="4">
                  <c:v>-6.1829212642067746E-3</c:v>
                </c:pt>
                <c:pt idx="5">
                  <c:v>-6.4921839758293798E-2</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-0.11805484012755031</c:v>
                </c:pt>
                <c:pt idx="1">
                  <c:v>-3.9117253095325488E-2</c:v>
                </c:pt>
                <c:pt idx="2">
                  <c:v>4.9777299691980366E-2</c:v>
                </c:pt>
                <c:pt idx="3">
                  <c:v>-2.3059653942234182E-2</c:v>
                </c:pt>
                <c:pt idx="4">
                  <c:v>-5.7301217347232591E-3</c:v>
                </c:pt>
                <c:pt idx="5">
                  <c:v>-6.1175175904483479E-2</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148993536"/>
        <c:axId val="148682944"/>
      </c:lineChart>
      <c:catAx>
        <c:axId val="148993536"/>
        <c:scaling>
          <c:orientation val="minMax"/>
        </c:scaling>
        <c:delete val="0"/>
        <c:axPos val="b"/>
        <c:majorTickMark val="out"/>
        <c:minorTickMark val="none"/>
        <c:tickLblPos val="nextTo"/>
        <c:crossAx val="148682944"/>
        <c:crosses val="autoZero"/>
        <c:auto val="1"/>
        <c:lblAlgn val="ctr"/>
        <c:lblOffset val="100"/>
        <c:noMultiLvlLbl val="0"/>
      </c:catAx>
      <c:valAx>
        <c:axId val="148682944"/>
        <c:scaling>
          <c:orientation val="minMax"/>
        </c:scaling>
        <c:delete val="0"/>
        <c:axPos val="l"/>
        <c:majorGridlines/>
        <c:numFmt formatCode="#,##0.00_ " sourceLinked="1"/>
        <c:majorTickMark val="out"/>
        <c:minorTickMark val="none"/>
        <c:tickLblPos val="nextTo"/>
        <c:crossAx val="1489935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3.2652806932239407</c:v>
                </c:pt>
                <c:pt idx="1">
                  <c:v>-1.8686754700302906</c:v>
                </c:pt>
                <c:pt idx="2">
                  <c:v>-3.2820153220251873</c:v>
                </c:pt>
                <c:pt idx="3">
                  <c:v>1.9305757265283532</c:v>
                </c:pt>
                <c:pt idx="4">
                  <c:v>-0.92461631432111457</c:v>
                </c:pt>
                <c:pt idx="5">
                  <c:v>4.0376745727880579</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48995584"/>
        <c:axId val="141230656"/>
      </c:lineChart>
      <c:catAx>
        <c:axId val="148995584"/>
        <c:scaling>
          <c:orientation val="minMax"/>
        </c:scaling>
        <c:delete val="0"/>
        <c:axPos val="b"/>
        <c:majorTickMark val="out"/>
        <c:minorTickMark val="none"/>
        <c:tickLblPos val="nextTo"/>
        <c:crossAx val="141230656"/>
        <c:crosses val="autoZero"/>
        <c:auto val="1"/>
        <c:lblAlgn val="ctr"/>
        <c:lblOffset val="100"/>
        <c:noMultiLvlLbl val="0"/>
      </c:catAx>
      <c:valAx>
        <c:axId val="141230656"/>
        <c:scaling>
          <c:orientation val="minMax"/>
        </c:scaling>
        <c:delete val="0"/>
        <c:axPos val="l"/>
        <c:majorGridlines/>
        <c:numFmt formatCode="0.00%" sourceLinked="1"/>
        <c:majorTickMark val="out"/>
        <c:minorTickMark val="none"/>
        <c:tickLblPos val="nextTo"/>
        <c:crossAx val="1489955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-1182456308.27</c:v>
                </c:pt>
                <c:pt idx="1">
                  <c:v>-277228251.38999999</c:v>
                </c:pt>
                <c:pt idx="2">
                  <c:v>319139035.18000001</c:v>
                </c:pt>
                <c:pt idx="3">
                  <c:v>-139849646.09999999</c:v>
                </c:pt>
                <c:pt idx="4">
                  <c:v>-47720877.789999999</c:v>
                </c:pt>
                <c:pt idx="5">
                  <c:v>-633039859.49000001</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49365248"/>
        <c:axId val="141232384"/>
      </c:lineChart>
      <c:catAx>
        <c:axId val="149365248"/>
        <c:scaling>
          <c:orientation val="minMax"/>
        </c:scaling>
        <c:delete val="0"/>
        <c:axPos val="b"/>
        <c:majorTickMark val="out"/>
        <c:minorTickMark val="none"/>
        <c:tickLblPos val="nextTo"/>
        <c:crossAx val="141232384"/>
        <c:crosses val="autoZero"/>
        <c:auto val="1"/>
        <c:lblAlgn val="ctr"/>
        <c:lblOffset val="100"/>
        <c:noMultiLvlLbl val="0"/>
      </c:catAx>
      <c:valAx>
        <c:axId val="141232384"/>
        <c:scaling>
          <c:orientation val="minMax"/>
        </c:scaling>
        <c:delete val="0"/>
        <c:axPos val="l"/>
        <c:majorGridlines/>
        <c:numFmt formatCode="#,##0.00_ " sourceLinked="1"/>
        <c:majorTickMark val="out"/>
        <c:minorTickMark val="none"/>
        <c:tickLblPos val="nextTo"/>
        <c:crossAx val="149365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M85"/>
  <sheetViews>
    <sheetView workbookViewId="0">
      <selection activeCell="Y25" sqref="Y25"/>
    </sheetView>
  </sheetViews>
  <sheetFormatPr defaultRowHeight="13.5"/>
  <cols>
    <col min="1" max="1" width="34" style="190" bestFit="1" customWidth="1"/>
    <col min="2" max="2" width="12.75" style="190" bestFit="1" customWidth="1"/>
    <col min="3" max="5" width="12.75" style="190" hidden="1" customWidth="1"/>
    <col min="6" max="6" width="12.75" style="190" bestFit="1" customWidth="1"/>
    <col min="7" max="9" width="12.75" style="190" hidden="1" customWidth="1"/>
    <col min="10" max="10" width="12.75" style="190" bestFit="1" customWidth="1"/>
    <col min="11" max="13" width="12.75" style="190" hidden="1" customWidth="1"/>
    <col min="14" max="14" width="12.75" style="190" bestFit="1" customWidth="1"/>
    <col min="15" max="17" width="12.75" style="190" hidden="1" customWidth="1"/>
    <col min="18" max="18" width="12.75" style="190" bestFit="1" customWidth="1"/>
    <col min="19" max="21" width="12.75" style="190" hidden="1" customWidth="1"/>
    <col min="22" max="22" width="12.75" style="190" bestFit="1" customWidth="1"/>
    <col min="23" max="25" width="12.75" style="190" hidden="1" customWidth="1"/>
    <col min="26" max="26" width="12.75" style="190" bestFit="1" customWidth="1"/>
    <col min="27" max="29" width="12.75" style="190" hidden="1" customWidth="1"/>
    <col min="30" max="30" width="12.75" style="190" bestFit="1" customWidth="1"/>
    <col min="31" max="33" width="12.75" style="190" hidden="1" customWidth="1"/>
    <col min="34" max="34" width="12.75" style="190" bestFit="1" customWidth="1"/>
    <col min="35" max="37" width="12.75" style="190" hidden="1" customWidth="1"/>
    <col min="38" max="38" width="12.75" style="190" bestFit="1" customWidth="1"/>
    <col min="39" max="41" width="12.75" style="190" hidden="1" customWidth="1"/>
    <col min="42" max="42" width="12.75" style="190" bestFit="1" customWidth="1"/>
    <col min="43" max="45" width="12.75" style="190" hidden="1" customWidth="1"/>
    <col min="46" max="46" width="12.75" style="190" bestFit="1" customWidth="1"/>
    <col min="47" max="49" width="12.75" style="190" hidden="1" customWidth="1"/>
    <col min="50" max="50" width="12.75" style="190" bestFit="1" customWidth="1"/>
    <col min="51" max="53" width="12.75" style="190" hidden="1" customWidth="1"/>
    <col min="54" max="54" width="12.75" style="190" bestFit="1" customWidth="1"/>
    <col min="55" max="57" width="12.75" style="190" hidden="1" customWidth="1"/>
    <col min="58" max="58" width="12.75" style="190" bestFit="1" customWidth="1"/>
    <col min="59" max="61" width="12.75" style="190" hidden="1" customWidth="1"/>
    <col min="62" max="62" width="12.75" style="190" bestFit="1" customWidth="1"/>
    <col min="63" max="65" width="12.75" style="190" hidden="1" customWidth="1"/>
    <col min="66" max="66" width="12.75" style="190" bestFit="1" customWidth="1"/>
    <col min="67" max="69" width="12.75" style="190" hidden="1" customWidth="1"/>
    <col min="70" max="70" width="12.75" style="190" bestFit="1" customWidth="1"/>
    <col min="71" max="71" width="12.75" style="190" hidden="1" customWidth="1"/>
    <col min="72" max="72" width="13.875" style="190" bestFit="1" customWidth="1"/>
    <col min="73" max="73" width="12.75" style="190" hidden="1" customWidth="1"/>
    <col min="74" max="74" width="12.75" style="190" bestFit="1" customWidth="1"/>
    <col min="75" max="75" width="12.75" style="190" hidden="1" customWidth="1"/>
    <col min="76" max="76" width="12.75" style="190" bestFit="1" customWidth="1"/>
    <col min="77" max="77" width="12.75" style="190" hidden="1" customWidth="1"/>
    <col min="78" max="78" width="12.75" style="190" bestFit="1" customWidth="1"/>
    <col min="79" max="79" width="12.75" style="190" hidden="1" customWidth="1"/>
    <col min="80" max="80" width="13.875" style="190" bestFit="1" customWidth="1"/>
    <col min="81" max="81" width="12.75" style="190" hidden="1" customWidth="1"/>
    <col min="82" max="82" width="12.75" style="190" bestFit="1" customWidth="1"/>
    <col min="83" max="83" width="12.75" style="190" hidden="1" customWidth="1"/>
    <col min="84" max="84" width="11.625" style="190" bestFit="1" customWidth="1"/>
    <col min="85" max="85" width="12.75" style="190" hidden="1" customWidth="1"/>
    <col min="86" max="86" width="12.75" style="190" bestFit="1" customWidth="1"/>
    <col min="87" max="87" width="10.5" style="190" hidden="1" customWidth="1"/>
    <col min="88" max="90" width="10.5" style="190" bestFit="1" customWidth="1"/>
    <col min="91" max="91" width="9.5" style="190" hidden="1" customWidth="1"/>
    <col min="92" max="16384" width="9" style="190"/>
  </cols>
  <sheetData>
    <row r="1" spans="1:91">
      <c r="A1" s="190">
        <v>600835</v>
      </c>
      <c r="B1" s="190">
        <v>20181231</v>
      </c>
      <c r="C1" s="190">
        <v>20180930</v>
      </c>
      <c r="D1" s="190">
        <v>20180630</v>
      </c>
      <c r="E1" s="190">
        <v>20180331</v>
      </c>
      <c r="F1" s="190">
        <v>20171231</v>
      </c>
      <c r="G1" s="190">
        <v>20170930</v>
      </c>
      <c r="H1" s="190">
        <v>20170630</v>
      </c>
      <c r="I1" s="190">
        <v>20170331</v>
      </c>
      <c r="J1" s="190">
        <v>20161231</v>
      </c>
      <c r="K1" s="190">
        <v>20160930</v>
      </c>
      <c r="L1" s="190">
        <v>20160630</v>
      </c>
      <c r="M1" s="190">
        <v>20160331</v>
      </c>
      <c r="N1" s="190">
        <v>20151231</v>
      </c>
      <c r="O1" s="190">
        <v>20150930</v>
      </c>
      <c r="P1" s="190">
        <v>20150630</v>
      </c>
      <c r="Q1" s="190">
        <v>20150331</v>
      </c>
      <c r="R1" s="190">
        <v>20141231</v>
      </c>
      <c r="S1" s="190">
        <v>20140930</v>
      </c>
      <c r="T1" s="190">
        <v>20140630</v>
      </c>
      <c r="U1" s="190">
        <v>20140331</v>
      </c>
      <c r="V1" s="190">
        <v>20131231</v>
      </c>
      <c r="W1" s="190">
        <v>20130930</v>
      </c>
      <c r="X1" s="190">
        <v>20130630</v>
      </c>
      <c r="Y1" s="190">
        <v>20130331</v>
      </c>
      <c r="Z1" s="190">
        <v>20121231</v>
      </c>
      <c r="AA1" s="190">
        <v>20120930</v>
      </c>
      <c r="AB1" s="190">
        <v>20120630</v>
      </c>
      <c r="AC1" s="190">
        <v>20120331</v>
      </c>
      <c r="AD1" s="190">
        <v>20111231</v>
      </c>
      <c r="AE1" s="190">
        <v>20110930</v>
      </c>
      <c r="AF1" s="190">
        <v>20110630</v>
      </c>
      <c r="AG1" s="190">
        <v>20110331</v>
      </c>
      <c r="AH1" s="190">
        <v>20101231</v>
      </c>
      <c r="AI1" s="190">
        <v>20100930</v>
      </c>
      <c r="AJ1" s="190">
        <v>20100630</v>
      </c>
      <c r="AK1" s="190">
        <v>20100331</v>
      </c>
      <c r="AL1" s="190">
        <v>20091231</v>
      </c>
      <c r="AM1" s="190">
        <v>20090930</v>
      </c>
      <c r="AN1" s="190">
        <v>20090630</v>
      </c>
      <c r="AO1" s="190">
        <v>20090331</v>
      </c>
      <c r="AP1" s="190">
        <v>20081231</v>
      </c>
      <c r="AQ1" s="190">
        <v>20080930</v>
      </c>
      <c r="AR1" s="190">
        <v>20080630</v>
      </c>
      <c r="AS1" s="190">
        <v>20080331</v>
      </c>
      <c r="AT1" s="190">
        <v>20071231</v>
      </c>
      <c r="AU1" s="190">
        <v>20070930</v>
      </c>
      <c r="AV1" s="190">
        <v>20070630</v>
      </c>
      <c r="AW1" s="190">
        <v>20070331</v>
      </c>
      <c r="AX1" s="190">
        <v>20061231</v>
      </c>
      <c r="AY1" s="190">
        <v>20060930</v>
      </c>
      <c r="AZ1" s="190">
        <v>20060630</v>
      </c>
      <c r="BA1" s="190">
        <v>20060331</v>
      </c>
      <c r="BB1" s="190">
        <v>20051231</v>
      </c>
      <c r="BC1" s="190">
        <v>20050930</v>
      </c>
      <c r="BD1" s="190">
        <v>20050630</v>
      </c>
      <c r="BE1" s="190">
        <v>20050331</v>
      </c>
      <c r="BF1" s="190">
        <v>20041231</v>
      </c>
      <c r="BG1" s="190">
        <v>20040930</v>
      </c>
      <c r="BH1" s="190">
        <v>20040630</v>
      </c>
      <c r="BI1" s="190">
        <v>20040331</v>
      </c>
      <c r="BJ1" s="190">
        <v>20031231</v>
      </c>
      <c r="BK1" s="190">
        <v>20030930</v>
      </c>
      <c r="BL1" s="190">
        <v>20030630</v>
      </c>
      <c r="BM1" s="190">
        <v>20030331</v>
      </c>
      <c r="BN1" s="190">
        <v>20021231</v>
      </c>
      <c r="BO1" s="190">
        <v>20020930</v>
      </c>
      <c r="BP1" s="190">
        <v>20020630</v>
      </c>
      <c r="BQ1" s="190">
        <v>20020331</v>
      </c>
      <c r="BR1" s="190">
        <v>20011231</v>
      </c>
      <c r="BS1" s="190">
        <v>20010630</v>
      </c>
      <c r="BT1" s="190">
        <v>20001231</v>
      </c>
      <c r="BU1" s="190">
        <v>20000630</v>
      </c>
      <c r="BV1" s="190">
        <v>19991231</v>
      </c>
      <c r="BW1" s="190">
        <v>19990630</v>
      </c>
      <c r="BX1" s="190">
        <v>19981231</v>
      </c>
      <c r="BY1" s="190">
        <v>19980630</v>
      </c>
      <c r="BZ1" s="190">
        <v>19971231</v>
      </c>
      <c r="CA1" s="190">
        <v>19970630</v>
      </c>
      <c r="CB1" s="190">
        <v>19961231</v>
      </c>
      <c r="CC1" s="190">
        <v>19960630</v>
      </c>
      <c r="CD1" s="190">
        <v>19951231</v>
      </c>
      <c r="CE1" s="190">
        <v>19950630</v>
      </c>
      <c r="CF1" s="190">
        <v>19941231</v>
      </c>
      <c r="CG1" s="190">
        <v>19940630</v>
      </c>
      <c r="CH1" s="190">
        <v>19931231</v>
      </c>
      <c r="CI1" s="190">
        <v>19930630</v>
      </c>
      <c r="CJ1" s="190">
        <v>19921231</v>
      </c>
      <c r="CK1" s="190">
        <v>19911231</v>
      </c>
      <c r="CL1" s="190">
        <v>19901231</v>
      </c>
      <c r="CM1" s="190">
        <v>19700101</v>
      </c>
    </row>
    <row r="2" spans="1:91">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c r="CK2" s="190" t="s">
        <v>106</v>
      </c>
      <c r="CL2" s="190" t="s">
        <v>106</v>
      </c>
    </row>
    <row r="3" spans="1:91">
      <c r="A3" s="190" t="s">
        <v>107</v>
      </c>
    </row>
    <row r="4" spans="1:91">
      <c r="A4" s="190" t="s">
        <v>108</v>
      </c>
      <c r="B4" s="190">
        <v>13209278023.299999</v>
      </c>
      <c r="C4" s="190">
        <v>12839782161.299999</v>
      </c>
      <c r="D4" s="190">
        <v>13434469824.620001</v>
      </c>
      <c r="E4" s="190">
        <v>13152220580.23</v>
      </c>
      <c r="F4" s="190">
        <v>14413916495.690001</v>
      </c>
      <c r="G4" s="190">
        <v>13901220342.01</v>
      </c>
      <c r="H4" s="190">
        <v>13897075629.049999</v>
      </c>
      <c r="I4" s="190">
        <v>13692724818.049999</v>
      </c>
      <c r="J4" s="190">
        <v>13939115297.67</v>
      </c>
      <c r="K4" s="190">
        <v>13674882269.120001</v>
      </c>
      <c r="L4" s="190">
        <v>13661648501.629999</v>
      </c>
      <c r="M4" s="190">
        <v>12800054582.23</v>
      </c>
      <c r="N4" s="190">
        <v>12782494920.459999</v>
      </c>
      <c r="O4" s="190">
        <v>12803399125.59</v>
      </c>
      <c r="P4" s="190">
        <v>12626689494.42</v>
      </c>
      <c r="Q4" s="190">
        <v>11910401067.860001</v>
      </c>
      <c r="R4" s="190">
        <v>12118007651.73</v>
      </c>
      <c r="S4" s="190">
        <v>11898737786.469999</v>
      </c>
      <c r="T4" s="190">
        <v>12121798970.440001</v>
      </c>
      <c r="U4" s="190">
        <v>11180487625.43</v>
      </c>
      <c r="V4" s="190">
        <v>11186210179.370001</v>
      </c>
      <c r="W4" s="190">
        <v>11128631888.65</v>
      </c>
      <c r="X4" s="190">
        <v>11255867940.18</v>
      </c>
      <c r="Y4" s="190">
        <v>9735620055.8199997</v>
      </c>
      <c r="Z4" s="190">
        <v>11855937853.68</v>
      </c>
      <c r="AA4" s="190">
        <v>9694992453.1000004</v>
      </c>
      <c r="AB4" s="190">
        <v>9588252783.9300003</v>
      </c>
      <c r="AC4" s="190">
        <v>7868387805.6999998</v>
      </c>
      <c r="AD4" s="190">
        <v>8577443674.3599997</v>
      </c>
      <c r="AE4" s="190">
        <v>7966001854.2799997</v>
      </c>
      <c r="AF4" s="190">
        <v>7506749428.8699999</v>
      </c>
      <c r="AG4" s="190">
        <v>6759831525.2200003</v>
      </c>
      <c r="AH4" s="190">
        <v>7019902264.9700003</v>
      </c>
      <c r="AI4" s="190">
        <v>7052393133.9099998</v>
      </c>
      <c r="AJ4" s="190">
        <v>6719273342.8100004</v>
      </c>
      <c r="AK4" s="190">
        <v>5881188169.71</v>
      </c>
      <c r="AL4" s="190">
        <v>5905618386.6700001</v>
      </c>
      <c r="AM4" s="190">
        <v>5459021755.54</v>
      </c>
      <c r="AN4" s="190">
        <v>5077018935.1800003</v>
      </c>
      <c r="AO4" s="190">
        <v>4674093846.21</v>
      </c>
      <c r="AP4" s="190">
        <v>4158196775.0900002</v>
      </c>
      <c r="AQ4" s="190">
        <v>4119186192.75</v>
      </c>
      <c r="AR4" s="190">
        <v>4033882792.0100002</v>
      </c>
      <c r="AS4" s="190">
        <v>3728831981.5900002</v>
      </c>
      <c r="AT4" s="190">
        <v>4079426457.6500001</v>
      </c>
      <c r="AU4" s="190">
        <v>3685958912.6599998</v>
      </c>
      <c r="AV4" s="190">
        <v>3543791069.9000001</v>
      </c>
      <c r="AW4" s="190">
        <v>3494700974.5700002</v>
      </c>
      <c r="AX4" s="190">
        <v>3542831901.8600001</v>
      </c>
      <c r="AY4" s="190">
        <v>3567667232.6300001</v>
      </c>
      <c r="AZ4" s="190">
        <v>3310047895.77</v>
      </c>
      <c r="BA4" s="190">
        <v>3010214139.1599998</v>
      </c>
      <c r="BB4" s="190">
        <v>3092734316.98</v>
      </c>
      <c r="BC4" s="190">
        <v>2690512825.3400002</v>
      </c>
      <c r="BD4" s="190">
        <v>2962195209.3099999</v>
      </c>
      <c r="BE4" s="190">
        <v>3247133877.6900001</v>
      </c>
      <c r="BF4" s="190">
        <v>3421753961.6799998</v>
      </c>
      <c r="BG4" s="190">
        <v>3267321093.1100001</v>
      </c>
      <c r="BH4" s="190">
        <v>3544925113.6999998</v>
      </c>
      <c r="BI4" s="190">
        <v>3609381940.7800002</v>
      </c>
      <c r="BJ4" s="190">
        <v>3594952662.6999998</v>
      </c>
      <c r="BK4" s="190">
        <v>3429630704.0100002</v>
      </c>
      <c r="BL4" s="190">
        <v>3753413514.6700001</v>
      </c>
      <c r="BM4" s="190">
        <v>3818304134.5799999</v>
      </c>
      <c r="BN4" s="190">
        <v>3812973603.4299998</v>
      </c>
      <c r="BO4" s="190">
        <v>3618264652.5599999</v>
      </c>
      <c r="BP4" s="190">
        <v>3980972571.25</v>
      </c>
      <c r="BQ4" s="190">
        <v>3711860240.8000002</v>
      </c>
      <c r="BR4" s="190">
        <v>3538792355.7199998</v>
      </c>
      <c r="BS4" s="190">
        <v>3339641515.0500002</v>
      </c>
      <c r="BT4" s="190">
        <v>3160698893.5100002</v>
      </c>
      <c r="BU4" s="190">
        <v>2780415771.4499998</v>
      </c>
      <c r="BV4" s="190">
        <v>2732240475.52</v>
      </c>
      <c r="BW4" s="190">
        <v>1844261372.24</v>
      </c>
      <c r="BX4" s="190">
        <v>2024584662.3399999</v>
      </c>
      <c r="BY4" s="190">
        <v>16566551.32</v>
      </c>
      <c r="BZ4" s="190">
        <v>170525509.43000001</v>
      </c>
      <c r="CA4" s="190">
        <v>0</v>
      </c>
      <c r="CB4" s="190">
        <v>39275548.240000002</v>
      </c>
      <c r="CC4" s="190">
        <v>0</v>
      </c>
      <c r="CD4" s="190">
        <v>56714689.82</v>
      </c>
      <c r="CE4" s="190">
        <v>0</v>
      </c>
      <c r="CF4" s="190">
        <v>136596000</v>
      </c>
      <c r="CG4" s="190">
        <v>0</v>
      </c>
      <c r="CH4" s="190">
        <v>92708969.409999996</v>
      </c>
      <c r="CI4" s="190">
        <v>0</v>
      </c>
      <c r="CJ4" s="190">
        <v>0</v>
      </c>
      <c r="CK4" s="190">
        <v>0</v>
      </c>
      <c r="CL4" s="190">
        <v>0</v>
      </c>
      <c r="CM4" s="190">
        <v>0</v>
      </c>
    </row>
    <row r="5" spans="1:91">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100000</v>
      </c>
      <c r="BC5" s="190">
        <v>100000</v>
      </c>
      <c r="BD5" s="190">
        <v>100000</v>
      </c>
      <c r="BE5" s="190">
        <v>0</v>
      </c>
      <c r="BF5" s="190">
        <v>0</v>
      </c>
      <c r="BG5" s="190">
        <v>0</v>
      </c>
      <c r="BH5" s="190">
        <v>0</v>
      </c>
      <c r="BI5" s="190">
        <v>0</v>
      </c>
      <c r="BJ5" s="190">
        <v>0</v>
      </c>
      <c r="BK5" s="190">
        <v>5000000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4259813.8499999996</v>
      </c>
      <c r="CE5" s="190">
        <v>0</v>
      </c>
      <c r="CF5" s="190">
        <v>63347000</v>
      </c>
      <c r="CG5" s="190">
        <v>0</v>
      </c>
      <c r="CH5" s="190">
        <v>0</v>
      </c>
      <c r="CI5" s="190">
        <v>0</v>
      </c>
      <c r="CJ5" s="190">
        <v>0</v>
      </c>
      <c r="CK5" s="190">
        <v>0</v>
      </c>
      <c r="CL5" s="190">
        <v>0</v>
      </c>
      <c r="CM5" s="190">
        <v>0</v>
      </c>
    </row>
    <row r="6" spans="1:91">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c r="CM6" s="190">
        <v>0</v>
      </c>
    </row>
    <row r="7" spans="1:91">
      <c r="A7" s="190" t="s">
        <v>111</v>
      </c>
      <c r="B7" s="190">
        <v>1317927034.97</v>
      </c>
      <c r="C7" s="190">
        <v>999330052.45000005</v>
      </c>
      <c r="D7" s="190">
        <v>617426679.89999998</v>
      </c>
      <c r="E7" s="190">
        <v>538148304.73000002</v>
      </c>
      <c r="F7" s="190">
        <v>629180072.21000004</v>
      </c>
      <c r="G7" s="190">
        <v>392337645.05000001</v>
      </c>
      <c r="H7" s="190">
        <v>169709872.37</v>
      </c>
      <c r="I7" s="190">
        <v>297398903.86000001</v>
      </c>
      <c r="J7" s="190">
        <v>405885111.82999998</v>
      </c>
      <c r="K7" s="190">
        <v>431113762.32999998</v>
      </c>
      <c r="L7" s="190">
        <v>374495984.56</v>
      </c>
      <c r="M7" s="190">
        <v>270566456.16000003</v>
      </c>
      <c r="N7" s="190">
        <v>356774841.43000001</v>
      </c>
      <c r="O7" s="190">
        <v>340703582.11000001</v>
      </c>
      <c r="P7" s="190">
        <v>366120131.79000002</v>
      </c>
      <c r="Q7" s="190">
        <v>306071212.92000002</v>
      </c>
      <c r="R7" s="190">
        <v>301519953.83999997</v>
      </c>
      <c r="S7" s="190">
        <v>266124738.78999999</v>
      </c>
      <c r="T7" s="190">
        <v>278178302.57999998</v>
      </c>
      <c r="U7" s="190">
        <v>204321402.80000001</v>
      </c>
      <c r="V7" s="190">
        <v>241660925.06</v>
      </c>
      <c r="W7" s="190">
        <v>256703932.46000001</v>
      </c>
      <c r="X7" s="190">
        <v>233766283.90000001</v>
      </c>
      <c r="Y7" s="190">
        <v>137598123.81999999</v>
      </c>
      <c r="Z7" s="190">
        <v>215694856.55000001</v>
      </c>
      <c r="AA7" s="190">
        <v>102641962.67</v>
      </c>
      <c r="AB7" s="190">
        <v>92157292.200000003</v>
      </c>
      <c r="AC7" s="190">
        <v>90756680.909999996</v>
      </c>
      <c r="AD7" s="190">
        <v>300008218.35000002</v>
      </c>
      <c r="AE7" s="190">
        <v>221702226.31999999</v>
      </c>
      <c r="AF7" s="190">
        <v>243657087.36000001</v>
      </c>
      <c r="AG7" s="190">
        <v>197263796.71000001</v>
      </c>
      <c r="AH7" s="190">
        <v>233002350.72999999</v>
      </c>
      <c r="AI7" s="190">
        <v>232126490.11000001</v>
      </c>
      <c r="AJ7" s="190">
        <v>202554975.72</v>
      </c>
      <c r="AK7" s="190">
        <v>123857901.7</v>
      </c>
      <c r="AL7" s="190">
        <v>181162671.28999999</v>
      </c>
      <c r="AM7" s="190">
        <v>152982832.88999999</v>
      </c>
      <c r="AN7" s="190">
        <v>112286217.8</v>
      </c>
      <c r="AO7" s="190">
        <v>109727349.47</v>
      </c>
      <c r="AP7" s="190">
        <v>112936778.81</v>
      </c>
      <c r="AQ7" s="190">
        <v>80748931.519999996</v>
      </c>
      <c r="AR7" s="190">
        <v>127187704.95</v>
      </c>
      <c r="AS7" s="190">
        <v>90936703.329999998</v>
      </c>
      <c r="AT7" s="190">
        <v>163423318.18000001</v>
      </c>
      <c r="AU7" s="190">
        <v>86933597.849999994</v>
      </c>
      <c r="AV7" s="190">
        <v>64783707.990000002</v>
      </c>
      <c r="AW7" s="190">
        <v>41352784.490000002</v>
      </c>
      <c r="AX7" s="190">
        <v>39907646.520000003</v>
      </c>
      <c r="AY7" s="190">
        <v>57770988.659999996</v>
      </c>
      <c r="AZ7" s="190">
        <v>42241789.609999999</v>
      </c>
      <c r="BA7" s="190">
        <v>43949085.93</v>
      </c>
      <c r="BB7" s="190">
        <v>33139409.379999999</v>
      </c>
      <c r="BC7" s="190">
        <v>35383205.460000001</v>
      </c>
      <c r="BD7" s="190">
        <v>38261673.049999997</v>
      </c>
      <c r="BE7" s="190">
        <v>29178363.079999998</v>
      </c>
      <c r="BF7" s="190">
        <v>32748858.93</v>
      </c>
      <c r="BG7" s="190">
        <v>40687837.009999998</v>
      </c>
      <c r="BH7" s="190">
        <v>59733936.909999996</v>
      </c>
      <c r="BI7" s="190">
        <v>32654958.190000001</v>
      </c>
      <c r="BJ7" s="190">
        <v>41077371.539999999</v>
      </c>
      <c r="BK7" s="190">
        <v>16353610.560000001</v>
      </c>
      <c r="BL7" s="190">
        <v>27811931.77</v>
      </c>
      <c r="BM7" s="190">
        <v>32367383.41</v>
      </c>
      <c r="BN7" s="190">
        <v>35133435.439999998</v>
      </c>
      <c r="BO7" s="190">
        <v>30747150</v>
      </c>
      <c r="BP7" s="190">
        <v>29491650</v>
      </c>
      <c r="BQ7" s="190">
        <v>20788825</v>
      </c>
      <c r="BR7" s="190">
        <v>5251400</v>
      </c>
      <c r="BS7" s="190">
        <v>250868284.90000001</v>
      </c>
      <c r="BT7" s="190">
        <v>233149840</v>
      </c>
      <c r="BU7" s="190">
        <v>362788700</v>
      </c>
      <c r="BV7" s="190">
        <v>306100000</v>
      </c>
      <c r="BW7" s="190">
        <v>622274500</v>
      </c>
      <c r="BX7" s="190">
        <v>520000000</v>
      </c>
      <c r="BY7" s="190">
        <v>799602400</v>
      </c>
      <c r="BZ7" s="190">
        <v>674035046.12</v>
      </c>
      <c r="CA7" s="190">
        <v>0</v>
      </c>
      <c r="CB7" s="190">
        <v>166424386.41</v>
      </c>
      <c r="CC7" s="190">
        <v>0</v>
      </c>
      <c r="CD7" s="190">
        <v>156692751.08000001</v>
      </c>
      <c r="CE7" s="190">
        <v>0</v>
      </c>
      <c r="CF7" s="190">
        <v>0</v>
      </c>
      <c r="CG7" s="190">
        <v>0</v>
      </c>
      <c r="CH7" s="190">
        <v>0</v>
      </c>
      <c r="CI7" s="190">
        <v>0</v>
      </c>
      <c r="CJ7" s="190">
        <v>0</v>
      </c>
      <c r="CK7" s="190">
        <v>0</v>
      </c>
      <c r="CL7" s="190">
        <v>0</v>
      </c>
      <c r="CM7" s="190">
        <v>0</v>
      </c>
    </row>
    <row r="8" spans="1:91">
      <c r="A8" s="190" t="s">
        <v>112</v>
      </c>
      <c r="B8" s="190">
        <v>2278680400.3600001</v>
      </c>
      <c r="C8" s="190">
        <v>2439213882.9000001</v>
      </c>
      <c r="D8" s="190">
        <v>2766932487.77</v>
      </c>
      <c r="E8" s="190">
        <v>2477546459.5300002</v>
      </c>
      <c r="F8" s="190">
        <v>2501182017.3299999</v>
      </c>
      <c r="G8" s="190">
        <v>2501616296.4899998</v>
      </c>
      <c r="H8" s="190">
        <v>2227411696.2199998</v>
      </c>
      <c r="I8" s="190">
        <v>2082766775.4400001</v>
      </c>
      <c r="J8" s="190">
        <v>2052056991.1400001</v>
      </c>
      <c r="K8" s="190">
        <v>2379134891.1500001</v>
      </c>
      <c r="L8" s="190">
        <v>2269935022.8000002</v>
      </c>
      <c r="M8" s="190">
        <v>1982130084.79</v>
      </c>
      <c r="N8" s="190">
        <v>1972703801.95</v>
      </c>
      <c r="O8" s="190">
        <v>2133396737.5999999</v>
      </c>
      <c r="P8" s="190">
        <v>2237186006.0700002</v>
      </c>
      <c r="Q8" s="190">
        <v>2132621695.5</v>
      </c>
      <c r="R8" s="190">
        <v>2229729298.4000001</v>
      </c>
      <c r="S8" s="190">
        <v>2348996112.0500002</v>
      </c>
      <c r="T8" s="190">
        <v>2229527131.6500001</v>
      </c>
      <c r="U8" s="190">
        <v>1969879043.8800001</v>
      </c>
      <c r="V8" s="190">
        <v>1880312967.71</v>
      </c>
      <c r="W8" s="190">
        <v>1948752445.76</v>
      </c>
      <c r="X8" s="190">
        <v>1913600274.24</v>
      </c>
      <c r="Y8" s="190">
        <v>1881983587.29</v>
      </c>
      <c r="Z8" s="190">
        <v>2024831933.49</v>
      </c>
      <c r="AA8" s="190">
        <v>2274268608.6599998</v>
      </c>
      <c r="AB8" s="190">
        <v>1552099860.1099999</v>
      </c>
      <c r="AC8" s="190">
        <v>1411959382.1099999</v>
      </c>
      <c r="AD8" s="190">
        <v>1951962630.25</v>
      </c>
      <c r="AE8" s="190">
        <v>1631296887.99</v>
      </c>
      <c r="AF8" s="190">
        <v>1510731260.6800001</v>
      </c>
      <c r="AG8" s="190">
        <v>1341422321.75</v>
      </c>
      <c r="AH8" s="190">
        <v>1138816149.8800001</v>
      </c>
      <c r="AI8" s="190">
        <v>1366227881.24</v>
      </c>
      <c r="AJ8" s="190">
        <v>1237628831.5999999</v>
      </c>
      <c r="AK8" s="190">
        <v>1189174425.48</v>
      </c>
      <c r="AL8" s="190">
        <v>998917972.98000002</v>
      </c>
      <c r="AM8" s="190">
        <v>1261750567.03</v>
      </c>
      <c r="AN8" s="190">
        <v>1095690741.1099999</v>
      </c>
      <c r="AO8" s="190">
        <v>962835551.85000002</v>
      </c>
      <c r="AP8" s="190">
        <v>789621018.61000001</v>
      </c>
      <c r="AQ8" s="190">
        <v>931726293.77999997</v>
      </c>
      <c r="AR8" s="190">
        <v>846788206.38</v>
      </c>
      <c r="AS8" s="190">
        <v>814525500.52999997</v>
      </c>
      <c r="AT8" s="190">
        <v>724370215.98000002</v>
      </c>
      <c r="AU8" s="190">
        <v>875520548.90999997</v>
      </c>
      <c r="AV8" s="190">
        <v>817293044.75999999</v>
      </c>
      <c r="AW8" s="190">
        <v>776703440.70000005</v>
      </c>
      <c r="AX8" s="190">
        <v>600197562.42999995</v>
      </c>
      <c r="AY8" s="190">
        <v>701552666.80999994</v>
      </c>
      <c r="AZ8" s="190">
        <v>726702503</v>
      </c>
      <c r="BA8" s="190">
        <v>705456499.42999995</v>
      </c>
      <c r="BB8" s="190">
        <v>588412837.14999998</v>
      </c>
      <c r="BC8" s="190">
        <v>660218477.51999998</v>
      </c>
      <c r="BD8" s="190">
        <v>610414011.33000004</v>
      </c>
      <c r="BE8" s="190">
        <v>577964593.39999998</v>
      </c>
      <c r="BF8" s="190">
        <v>508935486.94999999</v>
      </c>
      <c r="BG8" s="190">
        <v>678554636.63999999</v>
      </c>
      <c r="BH8" s="190">
        <v>718226759.57000005</v>
      </c>
      <c r="BI8" s="190">
        <v>610689765.03999996</v>
      </c>
      <c r="BJ8" s="190">
        <v>524902144.35000002</v>
      </c>
      <c r="BK8" s="190">
        <v>657063861.41999996</v>
      </c>
      <c r="BL8" s="190">
        <v>878523203.46000004</v>
      </c>
      <c r="BM8" s="190">
        <v>816615329.22000003</v>
      </c>
      <c r="BN8" s="190">
        <v>739868488.25999999</v>
      </c>
      <c r="BO8" s="190">
        <v>1005775084.78</v>
      </c>
      <c r="BP8" s="190">
        <v>1031254781.88</v>
      </c>
      <c r="BQ8" s="190">
        <v>926155500.78999996</v>
      </c>
      <c r="BR8" s="190">
        <v>873450069.86000001</v>
      </c>
      <c r="BS8" s="190">
        <v>718028231.88999999</v>
      </c>
      <c r="BT8" s="190">
        <v>635151687.95000005</v>
      </c>
      <c r="BU8" s="190">
        <v>1109312358.1800001</v>
      </c>
      <c r="BV8" s="190">
        <v>1062712385.49</v>
      </c>
      <c r="BW8" s="190">
        <v>703028056.88</v>
      </c>
      <c r="BX8" s="190">
        <v>633386357.37</v>
      </c>
      <c r="BY8" s="190">
        <v>185640560.49000001</v>
      </c>
      <c r="BZ8" s="190">
        <v>320171554.04000002</v>
      </c>
      <c r="CA8" s="190">
        <v>0</v>
      </c>
      <c r="CB8" s="190">
        <v>572983344.25</v>
      </c>
      <c r="CC8" s="190">
        <v>0</v>
      </c>
      <c r="CD8" s="190">
        <v>219995063.03999999</v>
      </c>
      <c r="CE8" s="190">
        <v>0</v>
      </c>
      <c r="CF8" s="190">
        <v>0</v>
      </c>
      <c r="CG8" s="190">
        <v>0</v>
      </c>
      <c r="CH8" s="190">
        <v>61611684.850000001</v>
      </c>
      <c r="CI8" s="190">
        <v>0</v>
      </c>
      <c r="CJ8" s="190">
        <v>0</v>
      </c>
      <c r="CK8" s="190">
        <v>0</v>
      </c>
      <c r="CL8" s="190">
        <v>0</v>
      </c>
      <c r="CM8" s="190">
        <v>0</v>
      </c>
    </row>
    <row r="9" spans="1:91">
      <c r="A9" s="190" t="s">
        <v>113</v>
      </c>
      <c r="B9" s="190">
        <v>1484342262.55</v>
      </c>
      <c r="C9" s="190">
        <v>1793415036.24</v>
      </c>
      <c r="D9" s="190">
        <v>2120943048.6900001</v>
      </c>
      <c r="E9" s="190">
        <v>3037865571.3400002</v>
      </c>
      <c r="F9" s="190">
        <v>1892050067.02</v>
      </c>
      <c r="G9" s="190">
        <v>1996106693.3599999</v>
      </c>
      <c r="H9" s="190">
        <v>2319779563.5500002</v>
      </c>
      <c r="I9" s="190">
        <v>2800478216.4899998</v>
      </c>
      <c r="J9" s="190">
        <v>2681155560.1100001</v>
      </c>
      <c r="K9" s="190">
        <v>2024921117.9200001</v>
      </c>
      <c r="L9" s="190">
        <v>2372894271.79</v>
      </c>
      <c r="M9" s="190">
        <v>2901366748.52</v>
      </c>
      <c r="N9" s="190">
        <v>2670624168.71</v>
      </c>
      <c r="O9" s="190">
        <v>1962974980.9000001</v>
      </c>
      <c r="P9" s="190">
        <v>2541814926.5100002</v>
      </c>
      <c r="Q9" s="190">
        <v>2365144009.8099999</v>
      </c>
      <c r="R9" s="190">
        <v>2027935831.23</v>
      </c>
      <c r="S9" s="190">
        <v>2048123146.7</v>
      </c>
      <c r="T9" s="190">
        <v>1793178370.3199999</v>
      </c>
      <c r="U9" s="190">
        <v>2143747612.4000001</v>
      </c>
      <c r="V9" s="190">
        <v>2072837037.9100001</v>
      </c>
      <c r="W9" s="190">
        <v>1870259927.3199999</v>
      </c>
      <c r="X9" s="190">
        <v>1695755251.96</v>
      </c>
      <c r="Y9" s="190">
        <v>1991706304.8699999</v>
      </c>
      <c r="Z9" s="190">
        <v>1731820230.4300001</v>
      </c>
      <c r="AA9" s="190">
        <v>1485876694.74</v>
      </c>
      <c r="AB9" s="190">
        <v>1024475391.77</v>
      </c>
      <c r="AC9" s="190">
        <v>971550281.75</v>
      </c>
      <c r="AD9" s="190">
        <v>842265933.82000005</v>
      </c>
      <c r="AE9" s="190">
        <v>983586524.36000001</v>
      </c>
      <c r="AF9" s="190">
        <v>745353266.11000001</v>
      </c>
      <c r="AG9" s="190">
        <v>799297971.17999995</v>
      </c>
      <c r="AH9" s="190">
        <v>504201226.05000001</v>
      </c>
      <c r="AI9" s="190">
        <v>558897106.95000005</v>
      </c>
      <c r="AJ9" s="190">
        <v>506694466.04000002</v>
      </c>
      <c r="AK9" s="190">
        <v>487395442.13</v>
      </c>
      <c r="AL9" s="190">
        <v>332214189.42000002</v>
      </c>
      <c r="AM9" s="190">
        <v>355624932.06999999</v>
      </c>
      <c r="AN9" s="190">
        <v>390046833.05000001</v>
      </c>
      <c r="AO9" s="190">
        <v>306182815.25</v>
      </c>
      <c r="AP9" s="190">
        <v>255338925.27000001</v>
      </c>
      <c r="AQ9" s="190">
        <v>292294187.26999998</v>
      </c>
      <c r="AR9" s="190">
        <v>343573017.37</v>
      </c>
      <c r="AS9" s="190">
        <v>228757483.25</v>
      </c>
      <c r="AT9" s="190">
        <v>240242463.63999999</v>
      </c>
      <c r="AU9" s="190">
        <v>182099010.66999999</v>
      </c>
      <c r="AV9" s="190">
        <v>169662778.06</v>
      </c>
      <c r="AW9" s="190">
        <v>149930119.38</v>
      </c>
      <c r="AX9" s="190">
        <v>161408152.86000001</v>
      </c>
      <c r="AY9" s="190">
        <v>138265050.05000001</v>
      </c>
      <c r="AZ9" s="190">
        <v>119237954.93000001</v>
      </c>
      <c r="BA9" s="190">
        <v>68516638.129999995</v>
      </c>
      <c r="BB9" s="190">
        <v>75535758.530000001</v>
      </c>
      <c r="BC9" s="190">
        <v>89070845.420000002</v>
      </c>
      <c r="BD9" s="190">
        <v>120370087.94</v>
      </c>
      <c r="BE9" s="190">
        <v>79213747.069999993</v>
      </c>
      <c r="BF9" s="190">
        <v>62375323.619999997</v>
      </c>
      <c r="BG9" s="190">
        <v>74758546.689999998</v>
      </c>
      <c r="BH9" s="190">
        <v>89605206.760000005</v>
      </c>
      <c r="BI9" s="190">
        <v>106777465.52</v>
      </c>
      <c r="BJ9" s="190">
        <v>91558550.790000007</v>
      </c>
      <c r="BK9" s="190">
        <v>92889532.739999995</v>
      </c>
      <c r="BL9" s="190">
        <v>68771399.620000005</v>
      </c>
      <c r="BM9" s="190">
        <v>77038202.540000007</v>
      </c>
      <c r="BN9" s="190">
        <v>62643250.350000001</v>
      </c>
      <c r="BO9" s="190">
        <v>100170232.95</v>
      </c>
      <c r="BP9" s="190">
        <v>84639166.689999998</v>
      </c>
      <c r="BQ9" s="190">
        <v>62284323.619999997</v>
      </c>
      <c r="BR9" s="190">
        <v>27597253.780000001</v>
      </c>
      <c r="BS9" s="190">
        <v>63832000.93</v>
      </c>
      <c r="BT9" s="190">
        <v>47392690.469999999</v>
      </c>
      <c r="BU9" s="190">
        <v>38836057.850000001</v>
      </c>
      <c r="BV9" s="190">
        <v>48352060.759999998</v>
      </c>
      <c r="BW9" s="190">
        <v>47264373.369999997</v>
      </c>
      <c r="BX9" s="190">
        <v>77668926.040000007</v>
      </c>
      <c r="BY9" s="190">
        <v>12999499.289999999</v>
      </c>
      <c r="BZ9" s="190">
        <v>6524830.46</v>
      </c>
      <c r="CA9" s="190">
        <v>0</v>
      </c>
      <c r="CB9" s="190">
        <v>70848424.930000007</v>
      </c>
      <c r="CC9" s="190">
        <v>0</v>
      </c>
      <c r="CD9" s="190">
        <v>96469955.659999996</v>
      </c>
      <c r="CE9" s="190">
        <v>0</v>
      </c>
      <c r="CF9" s="190">
        <v>0</v>
      </c>
      <c r="CG9" s="190">
        <v>0</v>
      </c>
      <c r="CH9" s="190">
        <v>29150102.609999999</v>
      </c>
      <c r="CI9" s="190">
        <v>0</v>
      </c>
      <c r="CJ9" s="190">
        <v>0</v>
      </c>
      <c r="CK9" s="190">
        <v>0</v>
      </c>
      <c r="CL9" s="190">
        <v>0</v>
      </c>
      <c r="CM9" s="190">
        <v>0</v>
      </c>
    </row>
    <row r="10" spans="1:91">
      <c r="A10" s="190" t="s">
        <v>114</v>
      </c>
      <c r="B10" s="190">
        <v>53751585.810000002</v>
      </c>
      <c r="C10" s="190">
        <v>38925036.57</v>
      </c>
      <c r="D10" s="190">
        <v>32424323.710000001</v>
      </c>
      <c r="E10" s="190">
        <v>54414888.890000001</v>
      </c>
      <c r="F10" s="190">
        <v>51818297.909999996</v>
      </c>
      <c r="G10" s="190">
        <v>42104645.130000003</v>
      </c>
      <c r="H10" s="190">
        <v>57085627.100000001</v>
      </c>
      <c r="I10" s="190">
        <v>83910730.569999993</v>
      </c>
      <c r="J10" s="190">
        <v>58604649.450000003</v>
      </c>
      <c r="K10" s="190">
        <v>51979423.060000002</v>
      </c>
      <c r="L10" s="190">
        <v>62170536.100000001</v>
      </c>
      <c r="M10" s="190">
        <v>10496944.439999999</v>
      </c>
      <c r="N10" s="190">
        <v>94359651.400000006</v>
      </c>
      <c r="O10" s="190">
        <v>76520119.430000007</v>
      </c>
      <c r="P10" s="190">
        <v>74800977.769999996</v>
      </c>
      <c r="Q10" s="190">
        <v>11971666.67</v>
      </c>
      <c r="R10" s="190">
        <v>82644100</v>
      </c>
      <c r="S10" s="190">
        <v>87651544.430000007</v>
      </c>
      <c r="T10" s="190">
        <v>70678238.879999995</v>
      </c>
      <c r="U10" s="190">
        <v>114492394.91</v>
      </c>
      <c r="V10" s="190">
        <v>74076561.590000004</v>
      </c>
      <c r="W10" s="190">
        <v>56206048.590000004</v>
      </c>
      <c r="X10" s="190">
        <v>48820937.490000002</v>
      </c>
      <c r="Y10" s="190">
        <v>37553784.700000003</v>
      </c>
      <c r="Z10" s="190">
        <v>21873159.699999999</v>
      </c>
      <c r="AA10" s="190">
        <v>32152847.23</v>
      </c>
      <c r="AB10" s="190">
        <v>32152847.23</v>
      </c>
      <c r="AC10" s="190">
        <v>12354728.18</v>
      </c>
      <c r="AD10" s="190">
        <v>16562916.68</v>
      </c>
      <c r="AE10" s="190">
        <v>5778402.7800000003</v>
      </c>
      <c r="AF10" s="190">
        <v>1717708.33</v>
      </c>
      <c r="AG10" s="190">
        <v>0</v>
      </c>
      <c r="AH10" s="190">
        <v>21852611.109999999</v>
      </c>
      <c r="AI10" s="190">
        <v>1413437.5</v>
      </c>
      <c r="AJ10" s="190">
        <v>1413437.5</v>
      </c>
      <c r="AK10" s="190">
        <v>0</v>
      </c>
      <c r="AL10" s="190">
        <v>6289687.5</v>
      </c>
      <c r="AM10" s="190">
        <v>0</v>
      </c>
      <c r="AN10" s="190">
        <v>1873650</v>
      </c>
      <c r="AO10" s="190">
        <v>0</v>
      </c>
      <c r="AP10" s="190">
        <v>9861297.9499999993</v>
      </c>
      <c r="AQ10" s="190">
        <v>0</v>
      </c>
      <c r="AR10" s="190">
        <v>14343487.5</v>
      </c>
      <c r="AS10" s="190">
        <v>0</v>
      </c>
      <c r="AT10" s="190">
        <v>2870662.5</v>
      </c>
      <c r="AU10" s="190">
        <v>0</v>
      </c>
      <c r="AV10" s="190">
        <v>0</v>
      </c>
      <c r="AW10" s="190">
        <v>0</v>
      </c>
      <c r="AX10" s="190">
        <v>2329637.5</v>
      </c>
      <c r="AY10" s="190">
        <v>1521250</v>
      </c>
      <c r="AZ10" s="190">
        <v>1521250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c r="CM10" s="190">
        <v>0</v>
      </c>
    </row>
    <row r="11" spans="1:91">
      <c r="A11" s="190" t="s">
        <v>115</v>
      </c>
      <c r="B11" s="190">
        <v>151516299</v>
      </c>
      <c r="C11" s="190">
        <v>36621585.75</v>
      </c>
      <c r="D11" s="190">
        <v>0</v>
      </c>
      <c r="E11" s="190">
        <v>0</v>
      </c>
      <c r="F11" s="190">
        <v>0</v>
      </c>
      <c r="G11" s="190">
        <v>0</v>
      </c>
      <c r="H11" s="190">
        <v>0</v>
      </c>
      <c r="I11" s="190">
        <v>0</v>
      </c>
      <c r="J11" s="190">
        <v>0</v>
      </c>
      <c r="K11" s="190">
        <v>42116842.229999997</v>
      </c>
      <c r="L11" s="190">
        <v>42116842.229999997</v>
      </c>
      <c r="M11" s="190">
        <v>24760311.289999999</v>
      </c>
      <c r="N11" s="190">
        <v>24760311.289999999</v>
      </c>
      <c r="O11" s="190">
        <v>27437781.289999999</v>
      </c>
      <c r="P11" s="190">
        <v>27437781.289999999</v>
      </c>
      <c r="Q11" s="190">
        <v>144000</v>
      </c>
      <c r="R11" s="190">
        <v>0</v>
      </c>
      <c r="S11" s="190">
        <v>0</v>
      </c>
      <c r="T11" s="190">
        <v>0</v>
      </c>
      <c r="U11" s="190">
        <v>0</v>
      </c>
      <c r="V11" s="190">
        <v>48135425.159999996</v>
      </c>
      <c r="W11" s="190">
        <v>186200.5</v>
      </c>
      <c r="X11" s="190">
        <v>120000</v>
      </c>
      <c r="Y11" s="190">
        <v>0</v>
      </c>
      <c r="Z11" s="190">
        <v>0</v>
      </c>
      <c r="AA11" s="190">
        <v>0</v>
      </c>
      <c r="AB11" s="190">
        <v>3188830</v>
      </c>
      <c r="AC11" s="190">
        <v>146250689.16999999</v>
      </c>
      <c r="AD11" s="190">
        <v>0</v>
      </c>
      <c r="AE11" s="190">
        <v>3937500</v>
      </c>
      <c r="AF11" s="190">
        <v>41864997.390000001</v>
      </c>
      <c r="AG11" s="190">
        <v>11206366</v>
      </c>
      <c r="AH11" s="190">
        <v>16318366</v>
      </c>
      <c r="AI11" s="190">
        <v>21466561.699999999</v>
      </c>
      <c r="AJ11" s="190">
        <v>24718292.899999999</v>
      </c>
      <c r="AK11" s="190">
        <v>9109781.5500000007</v>
      </c>
      <c r="AL11" s="190">
        <v>9428818.9399999995</v>
      </c>
      <c r="AM11" s="190">
        <v>18845109.550000001</v>
      </c>
      <c r="AN11" s="190">
        <v>32227649.129999999</v>
      </c>
      <c r="AO11" s="190">
        <v>38550651.409999996</v>
      </c>
      <c r="AP11" s="190">
        <v>38550651.409999996</v>
      </c>
      <c r="AQ11" s="190">
        <v>86095263.060000002</v>
      </c>
      <c r="AR11" s="190">
        <v>43133078.560000002</v>
      </c>
      <c r="AS11" s="190">
        <v>28472020.91</v>
      </c>
      <c r="AT11" s="190">
        <v>27745072.350000001</v>
      </c>
      <c r="AU11" s="190">
        <v>785141.58</v>
      </c>
      <c r="AV11" s="190">
        <v>26237494.149999999</v>
      </c>
      <c r="AW11" s="190">
        <v>785141.58</v>
      </c>
      <c r="AX11" s="190">
        <v>13730595.52</v>
      </c>
      <c r="AY11" s="190">
        <v>29551423.07</v>
      </c>
      <c r="AZ11" s="190">
        <v>40007171.07</v>
      </c>
      <c r="BA11" s="190">
        <v>7416745.9100000001</v>
      </c>
      <c r="BB11" s="190">
        <v>10500318.07</v>
      </c>
      <c r="BC11" s="190">
        <v>3116527.27</v>
      </c>
      <c r="BD11" s="190">
        <v>4257349.75</v>
      </c>
      <c r="BE11" s="190">
        <v>8136937.4199999999</v>
      </c>
      <c r="BF11" s="190">
        <v>5376039.3799999999</v>
      </c>
      <c r="BG11" s="190">
        <v>21341014.760000002</v>
      </c>
      <c r="BH11" s="190">
        <v>5303615.88</v>
      </c>
      <c r="BI11" s="190">
        <v>3613278.99</v>
      </c>
      <c r="BJ11" s="190">
        <v>5821288.0499999998</v>
      </c>
      <c r="BK11" s="190">
        <v>9454526.9900000002</v>
      </c>
      <c r="BL11" s="190">
        <v>28122776.370000001</v>
      </c>
      <c r="BM11" s="190">
        <v>15761969.119999999</v>
      </c>
      <c r="BN11" s="190">
        <v>16010558.65</v>
      </c>
      <c r="BO11" s="190">
        <v>17426615.75</v>
      </c>
      <c r="BP11" s="190">
        <v>10821909.68</v>
      </c>
      <c r="BQ11" s="190">
        <v>12072587.27</v>
      </c>
      <c r="BR11" s="190">
        <v>42452587.270000003</v>
      </c>
      <c r="BS11" s="190">
        <v>61733494.740000002</v>
      </c>
      <c r="BT11" s="190">
        <v>114632044.27</v>
      </c>
      <c r="BU11" s="190">
        <v>29400000</v>
      </c>
      <c r="BV11" s="190">
        <v>80360000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c r="CM11" s="190">
        <v>0</v>
      </c>
    </row>
    <row r="12" spans="1:91">
      <c r="A12" s="190" t="s">
        <v>116</v>
      </c>
      <c r="B12" s="190">
        <v>366401189.24000001</v>
      </c>
      <c r="C12" s="190">
        <v>337510659.19999999</v>
      </c>
      <c r="D12" s="190">
        <v>193881550.58000001</v>
      </c>
      <c r="E12" s="190">
        <v>190755514.16999999</v>
      </c>
      <c r="F12" s="190">
        <v>170326603.5</v>
      </c>
      <c r="G12" s="190">
        <v>213428653.28999999</v>
      </c>
      <c r="H12" s="190">
        <v>184634777.75</v>
      </c>
      <c r="I12" s="190">
        <v>189259398.66999999</v>
      </c>
      <c r="J12" s="190">
        <v>207081623.74000001</v>
      </c>
      <c r="K12" s="190">
        <v>223303082.28999999</v>
      </c>
      <c r="L12" s="190">
        <v>226417351.21000001</v>
      </c>
      <c r="M12" s="190">
        <v>370605874.33999997</v>
      </c>
      <c r="N12" s="190">
        <v>239168143.71000001</v>
      </c>
      <c r="O12" s="190">
        <v>219013625.18000001</v>
      </c>
      <c r="P12" s="190">
        <v>274312852.31</v>
      </c>
      <c r="Q12" s="190">
        <v>275496984.31</v>
      </c>
      <c r="R12" s="190">
        <v>180484545.44</v>
      </c>
      <c r="S12" s="190">
        <v>241509672.53</v>
      </c>
      <c r="T12" s="190">
        <v>216380798.13999999</v>
      </c>
      <c r="U12" s="190">
        <v>292379296.67000002</v>
      </c>
      <c r="V12" s="190">
        <v>277929649.75999999</v>
      </c>
      <c r="W12" s="190">
        <v>233800281.13999999</v>
      </c>
      <c r="X12" s="190">
        <v>204237895.65000001</v>
      </c>
      <c r="Y12" s="190">
        <v>213875637.88</v>
      </c>
      <c r="Z12" s="190">
        <v>176000346.38999999</v>
      </c>
      <c r="AA12" s="190">
        <v>316075586.79000002</v>
      </c>
      <c r="AB12" s="190">
        <v>187935477.86000001</v>
      </c>
      <c r="AC12" s="190">
        <v>161977001.87</v>
      </c>
      <c r="AD12" s="190">
        <v>245456014.97999999</v>
      </c>
      <c r="AE12" s="190">
        <v>222073928.77000001</v>
      </c>
      <c r="AF12" s="190">
        <v>202920618.11000001</v>
      </c>
      <c r="AG12" s="190">
        <v>185326945.22999999</v>
      </c>
      <c r="AH12" s="190">
        <v>184540951.65000001</v>
      </c>
      <c r="AI12" s="190">
        <v>157496271.34999999</v>
      </c>
      <c r="AJ12" s="190">
        <v>150683263.09999999</v>
      </c>
      <c r="AK12" s="190">
        <v>143196190.34999999</v>
      </c>
      <c r="AL12" s="190">
        <v>139601399.88</v>
      </c>
      <c r="AM12" s="190">
        <v>169329731.94</v>
      </c>
      <c r="AN12" s="190">
        <v>255501918.28999999</v>
      </c>
      <c r="AO12" s="190">
        <v>127664271.23999999</v>
      </c>
      <c r="AP12" s="190">
        <v>361543659.20999998</v>
      </c>
      <c r="AQ12" s="190">
        <v>138880816.87</v>
      </c>
      <c r="AR12" s="190">
        <v>125475167.89</v>
      </c>
      <c r="AS12" s="190">
        <v>158451091.94</v>
      </c>
      <c r="AT12" s="190">
        <v>87370218.060000002</v>
      </c>
      <c r="AU12" s="190">
        <v>131484040.39</v>
      </c>
      <c r="AV12" s="190">
        <v>125394987.87</v>
      </c>
      <c r="AW12" s="190">
        <v>118161651.11</v>
      </c>
      <c r="AX12" s="190">
        <v>92560794.060000002</v>
      </c>
      <c r="AY12" s="190">
        <v>105051007.64</v>
      </c>
      <c r="AZ12" s="190">
        <v>101501804.38</v>
      </c>
      <c r="BA12" s="190">
        <v>104329116.59</v>
      </c>
      <c r="BB12" s="190">
        <v>143267735.56</v>
      </c>
      <c r="BC12" s="190">
        <v>202141140.66999999</v>
      </c>
      <c r="BD12" s="190">
        <v>190836774.22</v>
      </c>
      <c r="BE12" s="190">
        <v>206539866.66</v>
      </c>
      <c r="BF12" s="190">
        <v>249334539.46000001</v>
      </c>
      <c r="BG12" s="190">
        <v>252937978.75</v>
      </c>
      <c r="BH12" s="190">
        <v>234318324.90000001</v>
      </c>
      <c r="BI12" s="190">
        <v>227715058.62</v>
      </c>
      <c r="BJ12" s="190">
        <v>158781274.68000001</v>
      </c>
      <c r="BK12" s="190">
        <v>190359255.49000001</v>
      </c>
      <c r="BL12" s="190">
        <v>149354984.41999999</v>
      </c>
      <c r="BM12" s="190">
        <v>165260591.75999999</v>
      </c>
      <c r="BN12" s="190">
        <v>173040779.27000001</v>
      </c>
      <c r="BO12" s="190">
        <v>170250200.99000001</v>
      </c>
      <c r="BP12" s="190">
        <v>183893487.61000001</v>
      </c>
      <c r="BQ12" s="190">
        <v>187871107.15000001</v>
      </c>
      <c r="BR12" s="190">
        <v>261079399.84</v>
      </c>
      <c r="BS12" s="190">
        <v>99053745.269999996</v>
      </c>
      <c r="BT12" s="190">
        <v>168674404.06999999</v>
      </c>
      <c r="BU12" s="190">
        <v>188495588.21000001</v>
      </c>
      <c r="BV12" s="190">
        <v>190120243.22999999</v>
      </c>
      <c r="BW12" s="190">
        <v>153782047.81</v>
      </c>
      <c r="BX12" s="190">
        <v>170045860.84999999</v>
      </c>
      <c r="BY12" s="190">
        <v>611214537.74000001</v>
      </c>
      <c r="BZ12" s="190">
        <v>596988030.34000003</v>
      </c>
      <c r="CA12" s="190">
        <v>0</v>
      </c>
      <c r="CB12" s="190">
        <v>456623376.16000003</v>
      </c>
      <c r="CC12" s="190">
        <v>0</v>
      </c>
      <c r="CD12" s="190">
        <v>112268499.27</v>
      </c>
      <c r="CE12" s="190">
        <v>0</v>
      </c>
      <c r="CF12" s="190">
        <v>0</v>
      </c>
      <c r="CG12" s="190">
        <v>0</v>
      </c>
      <c r="CH12" s="190">
        <v>106156888.91</v>
      </c>
      <c r="CI12" s="190">
        <v>0</v>
      </c>
      <c r="CJ12" s="190">
        <v>0</v>
      </c>
      <c r="CK12" s="190">
        <v>0</v>
      </c>
      <c r="CL12" s="190">
        <v>0</v>
      </c>
      <c r="CM12" s="190">
        <v>0</v>
      </c>
    </row>
    <row r="13" spans="1:91">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c r="CM13" s="190">
        <v>0</v>
      </c>
    </row>
    <row r="14" spans="1:91">
      <c r="A14" s="190" t="s">
        <v>118</v>
      </c>
      <c r="B14" s="190">
        <v>8981155438.8199997</v>
      </c>
      <c r="C14" s="190">
        <v>8857181572.0200005</v>
      </c>
      <c r="D14" s="190">
        <v>8696787118.8400002</v>
      </c>
      <c r="E14" s="190">
        <v>9041070237.4500008</v>
      </c>
      <c r="F14" s="190">
        <v>8745743424.1499996</v>
      </c>
      <c r="G14" s="190">
        <v>8296680230.1000004</v>
      </c>
      <c r="H14" s="190">
        <v>7664760178.1700001</v>
      </c>
      <c r="I14" s="190">
        <v>8672761743.2700005</v>
      </c>
      <c r="J14" s="190">
        <v>7387990721.1000004</v>
      </c>
      <c r="K14" s="190">
        <v>7278727447.9200001</v>
      </c>
      <c r="L14" s="190">
        <v>6885703443</v>
      </c>
      <c r="M14" s="190">
        <v>7327082307.5900002</v>
      </c>
      <c r="N14" s="190">
        <v>6872324895.7600002</v>
      </c>
      <c r="O14" s="190">
        <v>6874962940.8699999</v>
      </c>
      <c r="P14" s="190">
        <v>7040236812.9499998</v>
      </c>
      <c r="Q14" s="190">
        <v>7706885747.3000002</v>
      </c>
      <c r="R14" s="190">
        <v>7661129727.5200005</v>
      </c>
      <c r="S14" s="190">
        <v>7194945811.21</v>
      </c>
      <c r="T14" s="190">
        <v>6926487559.9099998</v>
      </c>
      <c r="U14" s="190">
        <v>7157035493.3599997</v>
      </c>
      <c r="V14" s="190">
        <v>6386461718.9399996</v>
      </c>
      <c r="W14" s="190">
        <v>5942754126.9499998</v>
      </c>
      <c r="X14" s="190">
        <v>5245807583.0299997</v>
      </c>
      <c r="Y14" s="190">
        <v>5819605785.3800001</v>
      </c>
      <c r="Z14" s="190">
        <v>4903554715.0500002</v>
      </c>
      <c r="AA14" s="190">
        <v>4531132030.2200003</v>
      </c>
      <c r="AB14" s="190">
        <v>3194786538.1500001</v>
      </c>
      <c r="AC14" s="190">
        <v>3495557999.0599999</v>
      </c>
      <c r="AD14" s="190">
        <v>4261207842.1100001</v>
      </c>
      <c r="AE14" s="190">
        <v>2644257818.6700001</v>
      </c>
      <c r="AF14" s="190">
        <v>2799677885.4200001</v>
      </c>
      <c r="AG14" s="190">
        <v>2836933574.79</v>
      </c>
      <c r="AH14" s="190">
        <v>2530295008.9200001</v>
      </c>
      <c r="AI14" s="190">
        <v>2136438716.9200001</v>
      </c>
      <c r="AJ14" s="190">
        <v>2037735523.03</v>
      </c>
      <c r="AK14" s="190">
        <v>2252049637.4499998</v>
      </c>
      <c r="AL14" s="190">
        <v>2105104591.23</v>
      </c>
      <c r="AM14" s="190">
        <v>1944766656.6700001</v>
      </c>
      <c r="AN14" s="190">
        <v>1665142709.6300001</v>
      </c>
      <c r="AO14" s="190">
        <v>1741604571.3900001</v>
      </c>
      <c r="AP14" s="190">
        <v>1842545657.25</v>
      </c>
      <c r="AQ14" s="190">
        <v>1988232581.6199999</v>
      </c>
      <c r="AR14" s="190">
        <v>1941527214.22</v>
      </c>
      <c r="AS14" s="190">
        <v>1903981244.9200001</v>
      </c>
      <c r="AT14" s="190">
        <v>1790572925.4400001</v>
      </c>
      <c r="AU14" s="190">
        <v>1759187337.8399999</v>
      </c>
      <c r="AV14" s="190">
        <v>1670307873.9100001</v>
      </c>
      <c r="AW14" s="190">
        <v>1515552791.3499999</v>
      </c>
      <c r="AX14" s="190">
        <v>1469411962.8099999</v>
      </c>
      <c r="AY14" s="190">
        <v>1105495887.1700001</v>
      </c>
      <c r="AZ14" s="190">
        <v>1071616878.51</v>
      </c>
      <c r="BA14" s="190">
        <v>1146969612.8099999</v>
      </c>
      <c r="BB14" s="190">
        <v>1228323362.1800001</v>
      </c>
      <c r="BC14" s="190">
        <v>1389820368.1800001</v>
      </c>
      <c r="BD14" s="190">
        <v>1302903022.8599999</v>
      </c>
      <c r="BE14" s="190">
        <v>1334639132.1400001</v>
      </c>
      <c r="BF14" s="190">
        <v>1266126157.55</v>
      </c>
      <c r="BG14" s="190">
        <v>1500312429.4400001</v>
      </c>
      <c r="BH14" s="190">
        <v>1414725530.3199999</v>
      </c>
      <c r="BI14" s="190">
        <v>1290044614.3699999</v>
      </c>
      <c r="BJ14" s="190">
        <v>1470715094.71</v>
      </c>
      <c r="BK14" s="190">
        <v>1379674825.9100001</v>
      </c>
      <c r="BL14" s="190">
        <v>1181608092.5</v>
      </c>
      <c r="BM14" s="190">
        <v>1171543036.9300001</v>
      </c>
      <c r="BN14" s="190">
        <v>1221307883.28</v>
      </c>
      <c r="BO14" s="190">
        <v>845476497.46000004</v>
      </c>
      <c r="BP14" s="190">
        <v>665530802.33000004</v>
      </c>
      <c r="BQ14" s="190">
        <v>731157026.74000001</v>
      </c>
      <c r="BR14" s="190">
        <v>677058191.63999999</v>
      </c>
      <c r="BS14" s="190">
        <v>652492571.75999999</v>
      </c>
      <c r="BT14" s="190">
        <v>715680046.63999999</v>
      </c>
      <c r="BU14" s="190">
        <v>683628432.84000003</v>
      </c>
      <c r="BV14" s="190">
        <v>658612706.40999997</v>
      </c>
      <c r="BW14" s="190">
        <v>466251646.36000001</v>
      </c>
      <c r="BX14" s="190">
        <v>443531927.44999999</v>
      </c>
      <c r="BY14" s="190">
        <v>232114283.25</v>
      </c>
      <c r="BZ14" s="190">
        <v>241865462.28</v>
      </c>
      <c r="CA14" s="190">
        <v>0</v>
      </c>
      <c r="CB14" s="190">
        <v>561677028.63999999</v>
      </c>
      <c r="CC14" s="190">
        <v>0</v>
      </c>
      <c r="CD14" s="190">
        <v>484681438.68000001</v>
      </c>
      <c r="CE14" s="190">
        <v>0</v>
      </c>
      <c r="CF14" s="190">
        <v>321446000</v>
      </c>
      <c r="CG14" s="190">
        <v>0</v>
      </c>
      <c r="CH14" s="190">
        <v>234817623.47</v>
      </c>
      <c r="CI14" s="190">
        <v>0</v>
      </c>
      <c r="CJ14" s="190">
        <v>0</v>
      </c>
      <c r="CK14" s="190">
        <v>0</v>
      </c>
      <c r="CL14" s="190">
        <v>0</v>
      </c>
      <c r="CM14" s="190">
        <v>0</v>
      </c>
    </row>
    <row r="15" spans="1:91">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c r="CM15" s="190">
        <v>0</v>
      </c>
    </row>
    <row r="16" spans="1:91">
      <c r="A16" s="190" t="s">
        <v>120</v>
      </c>
      <c r="B16" s="190">
        <v>11513498.460000001</v>
      </c>
      <c r="C16" s="190">
        <v>29925985.800000001</v>
      </c>
      <c r="D16" s="190">
        <v>25393985.800000001</v>
      </c>
      <c r="E16" s="190">
        <v>34284110.030000001</v>
      </c>
      <c r="F16" s="190">
        <v>28554340</v>
      </c>
      <c r="G16" s="190">
        <v>18719541.399999999</v>
      </c>
      <c r="H16" s="190">
        <v>22778181.399999999</v>
      </c>
      <c r="I16" s="190">
        <v>17819541.399999999</v>
      </c>
      <c r="J16" s="190">
        <v>17819541.399999999</v>
      </c>
      <c r="K16" s="190">
        <v>23818698</v>
      </c>
      <c r="L16" s="190">
        <v>23818698</v>
      </c>
      <c r="M16" s="190">
        <v>19546710.199999999</v>
      </c>
      <c r="N16" s="190">
        <v>23818698</v>
      </c>
      <c r="O16" s="190">
        <v>13818799</v>
      </c>
      <c r="P16" s="190">
        <v>13818799</v>
      </c>
      <c r="Q16" s="190">
        <v>13818799</v>
      </c>
      <c r="R16" s="190">
        <v>13818799</v>
      </c>
      <c r="S16" s="190">
        <v>12432319.199999999</v>
      </c>
      <c r="T16" s="190">
        <v>12432319.199999999</v>
      </c>
      <c r="U16" s="190">
        <v>12432319.199999999</v>
      </c>
      <c r="V16" s="190">
        <v>12432319.199999999</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2190</v>
      </c>
      <c r="BI16" s="190">
        <v>2190</v>
      </c>
      <c r="BJ16" s="190">
        <v>2190</v>
      </c>
      <c r="BK16" s="190">
        <v>0</v>
      </c>
      <c r="BL16" s="190">
        <v>0</v>
      </c>
      <c r="BM16" s="190">
        <v>0</v>
      </c>
      <c r="BN16" s="190">
        <v>0</v>
      </c>
      <c r="BO16" s="190">
        <v>0</v>
      </c>
      <c r="BP16" s="190">
        <v>0</v>
      </c>
      <c r="BQ16" s="190">
        <v>0</v>
      </c>
      <c r="BR16" s="190">
        <v>0</v>
      </c>
      <c r="BS16" s="190">
        <v>0</v>
      </c>
      <c r="BT16" s="190">
        <v>0</v>
      </c>
      <c r="BU16" s="190">
        <v>0</v>
      </c>
      <c r="BV16" s="190">
        <v>0</v>
      </c>
      <c r="BW16" s="190">
        <v>598100</v>
      </c>
      <c r="BX16" s="190">
        <v>598100</v>
      </c>
      <c r="BY16" s="190">
        <v>598100</v>
      </c>
      <c r="BZ16" s="190">
        <v>598100</v>
      </c>
      <c r="CA16" s="190">
        <v>0</v>
      </c>
      <c r="CB16" s="190">
        <v>435000</v>
      </c>
      <c r="CC16" s="190">
        <v>0</v>
      </c>
      <c r="CD16" s="190">
        <v>1204500</v>
      </c>
      <c r="CE16" s="190">
        <v>0</v>
      </c>
      <c r="CF16" s="190">
        <v>1933000</v>
      </c>
      <c r="CG16" s="190">
        <v>0</v>
      </c>
      <c r="CH16" s="190">
        <v>0</v>
      </c>
      <c r="CI16" s="190">
        <v>0</v>
      </c>
      <c r="CJ16" s="190">
        <v>0</v>
      </c>
      <c r="CK16" s="190">
        <v>0</v>
      </c>
      <c r="CL16" s="190">
        <v>0</v>
      </c>
      <c r="CM16" s="190">
        <v>0</v>
      </c>
    </row>
    <row r="17" spans="1:91">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3266798.29</v>
      </c>
      <c r="AY17" s="190">
        <v>8271751.25</v>
      </c>
      <c r="AZ17" s="190">
        <v>9827966.4199999999</v>
      </c>
      <c r="BA17" s="190">
        <v>10170093.039999999</v>
      </c>
      <c r="BB17" s="190">
        <v>5376556.71</v>
      </c>
      <c r="BC17" s="190">
        <v>10858549.359999999</v>
      </c>
      <c r="BD17" s="190">
        <v>8813118.9800000004</v>
      </c>
      <c r="BE17" s="190">
        <v>6509869.1799999997</v>
      </c>
      <c r="BF17" s="190">
        <v>3957648.21</v>
      </c>
      <c r="BG17" s="190">
        <v>5751084.0700000003</v>
      </c>
      <c r="BH17" s="190">
        <v>5101524.1900000004</v>
      </c>
      <c r="BI17" s="190">
        <v>3522773.43</v>
      </c>
      <c r="BJ17" s="190">
        <v>2183430</v>
      </c>
      <c r="BK17" s="190">
        <v>3700538.39</v>
      </c>
      <c r="BL17" s="190">
        <v>3268409.82</v>
      </c>
      <c r="BM17" s="190">
        <v>2423452.09</v>
      </c>
      <c r="BN17" s="190">
        <v>2487875.6800000002</v>
      </c>
      <c r="BO17" s="190">
        <v>18192053.809999999</v>
      </c>
      <c r="BP17" s="190">
        <v>3998924.97</v>
      </c>
      <c r="BQ17" s="190">
        <v>3518971.55</v>
      </c>
      <c r="BR17" s="190">
        <v>1374962.52</v>
      </c>
      <c r="BS17" s="190">
        <v>6585095.9299999997</v>
      </c>
      <c r="BT17" s="190">
        <v>2633044.96</v>
      </c>
      <c r="BU17" s="190">
        <v>20474267.510000002</v>
      </c>
      <c r="BV17" s="190">
        <v>16911270.969999999</v>
      </c>
      <c r="BW17" s="190">
        <v>15642609.859999999</v>
      </c>
      <c r="BX17" s="190">
        <v>17033894.98</v>
      </c>
      <c r="BY17" s="190">
        <v>29188418.5</v>
      </c>
      <c r="BZ17" s="190">
        <v>28186318.239999998</v>
      </c>
      <c r="CA17" s="190">
        <v>0</v>
      </c>
      <c r="CB17" s="190">
        <v>26171044.289999999</v>
      </c>
      <c r="CC17" s="190">
        <v>0</v>
      </c>
      <c r="CD17" s="190">
        <v>30468786.559999999</v>
      </c>
      <c r="CE17" s="190">
        <v>0</v>
      </c>
      <c r="CF17" s="190">
        <v>0</v>
      </c>
      <c r="CG17" s="190">
        <v>0</v>
      </c>
      <c r="CH17" s="190">
        <v>26637583.620000001</v>
      </c>
      <c r="CI17" s="190">
        <v>0</v>
      </c>
      <c r="CJ17" s="190">
        <v>0</v>
      </c>
      <c r="CK17" s="190">
        <v>0</v>
      </c>
      <c r="CL17" s="190">
        <v>0</v>
      </c>
      <c r="CM17" s="190">
        <v>0</v>
      </c>
    </row>
    <row r="18" spans="1:91">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1642664.68</v>
      </c>
      <c r="BW18" s="190">
        <v>0</v>
      </c>
      <c r="BX18" s="190">
        <v>0</v>
      </c>
      <c r="BY18" s="190">
        <v>446231.17</v>
      </c>
      <c r="BZ18" s="190">
        <v>449270.29</v>
      </c>
      <c r="CA18" s="190">
        <v>0</v>
      </c>
      <c r="CB18" s="190">
        <v>0</v>
      </c>
      <c r="CC18" s="190">
        <v>0</v>
      </c>
      <c r="CD18" s="190">
        <v>1443796.51</v>
      </c>
      <c r="CE18" s="190">
        <v>0</v>
      </c>
      <c r="CF18" s="190">
        <v>0</v>
      </c>
      <c r="CG18" s="190">
        <v>0</v>
      </c>
      <c r="CH18" s="190">
        <v>0</v>
      </c>
      <c r="CI18" s="190">
        <v>0</v>
      </c>
      <c r="CJ18" s="190">
        <v>0</v>
      </c>
      <c r="CK18" s="190">
        <v>0</v>
      </c>
      <c r="CL18" s="190">
        <v>0</v>
      </c>
      <c r="CM18" s="190">
        <v>0</v>
      </c>
    </row>
    <row r="19" spans="1:91">
      <c r="A19" s="190" t="s">
        <v>123</v>
      </c>
      <c r="B19" s="190">
        <v>238168694.62</v>
      </c>
      <c r="C19" s="190">
        <v>98704150.209999993</v>
      </c>
      <c r="D19" s="190">
        <v>167939002.78999999</v>
      </c>
      <c r="E19" s="190">
        <v>67636677.420000002</v>
      </c>
      <c r="F19" s="190">
        <v>71389645.209999993</v>
      </c>
      <c r="G19" s="190">
        <v>1239402.8</v>
      </c>
      <c r="H19" s="190">
        <v>31893182.07</v>
      </c>
      <c r="I19" s="190">
        <v>1133901.99</v>
      </c>
      <c r="J19" s="190">
        <v>47986884.82</v>
      </c>
      <c r="K19" s="190">
        <v>340934.84</v>
      </c>
      <c r="L19" s="190">
        <v>456212.87</v>
      </c>
      <c r="M19" s="190">
        <v>8418955.9800000004</v>
      </c>
      <c r="N19" s="190">
        <v>121673704.20999999</v>
      </c>
      <c r="O19" s="190">
        <v>200818.97</v>
      </c>
      <c r="P19" s="190">
        <v>32871800.91</v>
      </c>
      <c r="Q19" s="190">
        <v>40130658.43</v>
      </c>
      <c r="R19" s="190">
        <v>35863204.270000003</v>
      </c>
      <c r="S19" s="190">
        <v>50044136.869999997</v>
      </c>
      <c r="T19" s="190">
        <v>48522069.799999997</v>
      </c>
      <c r="U19" s="190">
        <v>49918932.880000003</v>
      </c>
      <c r="V19" s="190">
        <v>46898955.509999998</v>
      </c>
      <c r="W19" s="190">
        <v>262622.44</v>
      </c>
      <c r="X19" s="190">
        <v>266380.34999999998</v>
      </c>
      <c r="Y19" s="190">
        <v>272238.5</v>
      </c>
      <c r="Z19" s="190">
        <v>2918225.61</v>
      </c>
      <c r="AA19" s="190">
        <v>543520.62</v>
      </c>
      <c r="AB19" s="190">
        <v>0</v>
      </c>
      <c r="AC19" s="190">
        <v>0</v>
      </c>
      <c r="AD19" s="190">
        <v>807711476.01999998</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4000000</v>
      </c>
      <c r="CC19" s="190">
        <v>0</v>
      </c>
      <c r="CD19" s="190">
        <v>0</v>
      </c>
      <c r="CE19" s="190">
        <v>0</v>
      </c>
      <c r="CF19" s="190">
        <v>0</v>
      </c>
      <c r="CG19" s="190">
        <v>0</v>
      </c>
      <c r="CH19" s="190">
        <v>0</v>
      </c>
      <c r="CI19" s="190">
        <v>0</v>
      </c>
      <c r="CJ19" s="190">
        <v>0</v>
      </c>
      <c r="CK19" s="190">
        <v>0</v>
      </c>
      <c r="CL19" s="190">
        <v>0</v>
      </c>
      <c r="CM19" s="190">
        <v>0</v>
      </c>
    </row>
    <row r="20" spans="1:91">
      <c r="A20" s="190" t="s">
        <v>124</v>
      </c>
      <c r="B20" s="190">
        <v>28450358614.740002</v>
      </c>
      <c r="C20" s="190">
        <v>27924645225.669998</v>
      </c>
      <c r="D20" s="190">
        <v>28056198022.700001</v>
      </c>
      <c r="E20" s="190">
        <v>28593942343.790001</v>
      </c>
      <c r="F20" s="190">
        <v>28504160963.02</v>
      </c>
      <c r="G20" s="190">
        <v>27363453449.630001</v>
      </c>
      <c r="H20" s="190">
        <v>26575128707.68</v>
      </c>
      <c r="I20" s="190">
        <v>27838254029.740002</v>
      </c>
      <c r="J20" s="190">
        <v>26797696381.259998</v>
      </c>
      <c r="K20" s="190">
        <v>26130338468.860001</v>
      </c>
      <c r="L20" s="190">
        <v>25919656864.189999</v>
      </c>
      <c r="M20" s="190">
        <v>25715028975.540001</v>
      </c>
      <c r="N20" s="190">
        <v>25158703136.919998</v>
      </c>
      <c r="O20" s="190">
        <v>24452428510.939999</v>
      </c>
      <c r="P20" s="190">
        <v>25235289583.02</v>
      </c>
      <c r="Q20" s="190">
        <v>24762685841.799999</v>
      </c>
      <c r="R20" s="190">
        <v>24651133111.43</v>
      </c>
      <c r="S20" s="190">
        <v>24148565268.25</v>
      </c>
      <c r="T20" s="190">
        <v>23697183760.919998</v>
      </c>
      <c r="U20" s="190">
        <v>23124694121.529999</v>
      </c>
      <c r="V20" s="190">
        <v>22226955740.209999</v>
      </c>
      <c r="W20" s="190">
        <v>21437557473.810001</v>
      </c>
      <c r="X20" s="190">
        <v>20598242546.799999</v>
      </c>
      <c r="Y20" s="190">
        <v>19818215518.259998</v>
      </c>
      <c r="Z20" s="190">
        <v>20932631320.900002</v>
      </c>
      <c r="AA20" s="190">
        <v>18437683704.029999</v>
      </c>
      <c r="AB20" s="190">
        <v>15675049021.25</v>
      </c>
      <c r="AC20" s="190">
        <v>14158794568.75</v>
      </c>
      <c r="AD20" s="190">
        <v>17002618706.57</v>
      </c>
      <c r="AE20" s="190">
        <v>13678635143.17</v>
      </c>
      <c r="AF20" s="190">
        <v>13052672252.27</v>
      </c>
      <c r="AG20" s="190">
        <v>12131282500.879999</v>
      </c>
      <c r="AH20" s="190">
        <v>11648928929.309999</v>
      </c>
      <c r="AI20" s="190">
        <v>11526459599.68</v>
      </c>
      <c r="AJ20" s="190">
        <v>10880702132.700001</v>
      </c>
      <c r="AK20" s="190">
        <v>10085971548.370001</v>
      </c>
      <c r="AL20" s="190">
        <v>9678337717.9099998</v>
      </c>
      <c r="AM20" s="190">
        <v>9362321585.6900005</v>
      </c>
      <c r="AN20" s="190">
        <v>8629788654.1900005</v>
      </c>
      <c r="AO20" s="190">
        <v>7960659056.8199997</v>
      </c>
      <c r="AP20" s="190">
        <v>7568594763.6000004</v>
      </c>
      <c r="AQ20" s="190">
        <v>7637164266.8699999</v>
      </c>
      <c r="AR20" s="190">
        <v>7475910668.8800001</v>
      </c>
      <c r="AS20" s="190">
        <v>6953956026.4700003</v>
      </c>
      <c r="AT20" s="190">
        <v>7116021333.8000002</v>
      </c>
      <c r="AU20" s="190">
        <v>6721968589.8999996</v>
      </c>
      <c r="AV20" s="190">
        <v>6417470956.6400003</v>
      </c>
      <c r="AW20" s="190">
        <v>6097186903.1800003</v>
      </c>
      <c r="AX20" s="190">
        <v>5927901693.1899996</v>
      </c>
      <c r="AY20" s="190">
        <v>5716599713.71</v>
      </c>
      <c r="AZ20" s="190">
        <v>5424729313.9899998</v>
      </c>
      <c r="BA20" s="190">
        <v>5098284628.7600002</v>
      </c>
      <c r="BB20" s="190">
        <v>5178424496.0600004</v>
      </c>
      <c r="BC20" s="190">
        <v>5083389566.21</v>
      </c>
      <c r="BD20" s="190">
        <v>5240293126.8800001</v>
      </c>
      <c r="BE20" s="190">
        <v>5490209998.5600004</v>
      </c>
      <c r="BF20" s="190">
        <v>5551373104.4300003</v>
      </c>
      <c r="BG20" s="190">
        <v>5841664620.4700003</v>
      </c>
      <c r="BH20" s="190">
        <v>6071942202.2299995</v>
      </c>
      <c r="BI20" s="190">
        <v>5884402044.9399996</v>
      </c>
      <c r="BJ20" s="190">
        <v>5895212159.1300001</v>
      </c>
      <c r="BK20" s="190">
        <v>5784126855.5100002</v>
      </c>
      <c r="BL20" s="190">
        <v>6090874312.6300001</v>
      </c>
      <c r="BM20" s="190">
        <v>6099314099.6499996</v>
      </c>
      <c r="BN20" s="190">
        <v>6063465874.3599997</v>
      </c>
      <c r="BO20" s="190">
        <v>5806302488.3000002</v>
      </c>
      <c r="BP20" s="190">
        <v>5990603294.4099998</v>
      </c>
      <c r="BQ20" s="190">
        <v>5655708582.9200001</v>
      </c>
      <c r="BR20" s="190">
        <v>5427056220.6300001</v>
      </c>
      <c r="BS20" s="190">
        <v>5192234940.4700003</v>
      </c>
      <c r="BT20" s="190">
        <v>5078012651.8699999</v>
      </c>
      <c r="BU20" s="190">
        <v>5043072864.2299995</v>
      </c>
      <c r="BV20" s="190">
        <v>4926773495.25</v>
      </c>
      <c r="BW20" s="190">
        <v>3849984671.5700002</v>
      </c>
      <c r="BX20" s="190">
        <v>3883682797.2399998</v>
      </c>
      <c r="BY20" s="190">
        <v>1887442378.96</v>
      </c>
      <c r="BZ20" s="190">
        <v>2037743263.4300001</v>
      </c>
      <c r="CA20" s="190">
        <v>1757942713.51</v>
      </c>
      <c r="CB20" s="190">
        <v>1895573236.2</v>
      </c>
      <c r="CC20" s="190">
        <v>1549320339.25</v>
      </c>
      <c r="CD20" s="190">
        <v>1163099319.1600001</v>
      </c>
      <c r="CE20" s="190">
        <v>817473107.88</v>
      </c>
      <c r="CF20" s="190">
        <v>770880000</v>
      </c>
      <c r="CG20" s="190">
        <v>852602164.57000005</v>
      </c>
      <c r="CH20" s="190">
        <v>550850110.60000002</v>
      </c>
      <c r="CI20" s="190">
        <v>501640000</v>
      </c>
      <c r="CJ20" s="190">
        <v>305330000</v>
      </c>
      <c r="CK20" s="190">
        <v>212030000</v>
      </c>
      <c r="CL20" s="190">
        <v>219390000</v>
      </c>
      <c r="CM20" s="190">
        <v>0</v>
      </c>
    </row>
    <row r="21" spans="1:91">
      <c r="A21" s="190" t="s">
        <v>125</v>
      </c>
    </row>
    <row r="22" spans="1:91">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c r="CM22" s="190">
        <v>0</v>
      </c>
    </row>
    <row r="23" spans="1:91">
      <c r="A23" s="190" t="s">
        <v>127</v>
      </c>
      <c r="B23" s="190">
        <v>0</v>
      </c>
      <c r="C23" s="190">
        <v>0</v>
      </c>
      <c r="D23" s="190">
        <v>240846134.41</v>
      </c>
      <c r="E23" s="190">
        <v>258747900.66</v>
      </c>
      <c r="F23" s="190">
        <v>145028659.81</v>
      </c>
      <c r="G23" s="190">
        <v>214556404.59999999</v>
      </c>
      <c r="H23" s="190">
        <v>224867969.15000001</v>
      </c>
      <c r="I23" s="190">
        <v>227990593.31999999</v>
      </c>
      <c r="J23" s="190">
        <v>216262235.72</v>
      </c>
      <c r="K23" s="190">
        <v>179744050.41999999</v>
      </c>
      <c r="L23" s="190">
        <v>163359987.24000001</v>
      </c>
      <c r="M23" s="190">
        <v>170696052.94</v>
      </c>
      <c r="N23" s="190">
        <v>199435345.44999999</v>
      </c>
      <c r="O23" s="190">
        <v>184867883.74000001</v>
      </c>
      <c r="P23" s="190">
        <v>220158829.84999999</v>
      </c>
      <c r="Q23" s="190">
        <v>214541829.56</v>
      </c>
      <c r="R23" s="190">
        <v>167717019.53</v>
      </c>
      <c r="S23" s="190">
        <v>136762711.59</v>
      </c>
      <c r="T23" s="190">
        <v>103461428.31999999</v>
      </c>
      <c r="U23" s="190">
        <v>103285440.2</v>
      </c>
      <c r="V23" s="190">
        <v>106949232.08</v>
      </c>
      <c r="W23" s="190">
        <v>149836031.44</v>
      </c>
      <c r="X23" s="190">
        <v>79054447.530000001</v>
      </c>
      <c r="Y23" s="190">
        <v>65016367.689999998</v>
      </c>
      <c r="Z23" s="190">
        <v>61709668.460000001</v>
      </c>
      <c r="AA23" s="190">
        <v>63119688.979999997</v>
      </c>
      <c r="AB23" s="190">
        <v>66475571.619999997</v>
      </c>
      <c r="AC23" s="190">
        <v>72296074.890000001</v>
      </c>
      <c r="AD23" s="190">
        <v>63129086.82</v>
      </c>
      <c r="AE23" s="190">
        <v>62769322.100000001</v>
      </c>
      <c r="AF23" s="190">
        <v>55800660.539999999</v>
      </c>
      <c r="AG23" s="190">
        <v>55995971.5</v>
      </c>
      <c r="AH23" s="190">
        <v>56200040.049999997</v>
      </c>
      <c r="AI23" s="190">
        <v>57714935.25</v>
      </c>
      <c r="AJ23" s="190">
        <v>55863884.369999997</v>
      </c>
      <c r="AK23" s="190">
        <v>65953365.060000002</v>
      </c>
      <c r="AL23" s="190">
        <v>67378568.049999997</v>
      </c>
      <c r="AM23" s="190">
        <v>56909205.579999998</v>
      </c>
      <c r="AN23" s="190">
        <v>59952446.479999997</v>
      </c>
      <c r="AO23" s="190">
        <v>45998651.140000001</v>
      </c>
      <c r="AP23" s="190">
        <v>34454057.039999999</v>
      </c>
      <c r="AQ23" s="190">
        <v>43722185</v>
      </c>
      <c r="AR23" s="190">
        <v>45498411.799999997</v>
      </c>
      <c r="AS23" s="190">
        <v>67684724.040000007</v>
      </c>
      <c r="AT23" s="190">
        <v>69064699.900000006</v>
      </c>
      <c r="AU23" s="190">
        <v>72206746.420000002</v>
      </c>
      <c r="AV23" s="190">
        <v>53135688.640000001</v>
      </c>
      <c r="AW23" s="190">
        <v>16071139.970000001</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c r="CM23" s="190">
        <v>0</v>
      </c>
    </row>
    <row r="24" spans="1:91">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2190</v>
      </c>
      <c r="BL24" s="190">
        <v>3800</v>
      </c>
      <c r="BM24" s="190">
        <v>3800</v>
      </c>
      <c r="BN24" s="190">
        <v>3800</v>
      </c>
      <c r="BO24" s="190">
        <v>66420</v>
      </c>
      <c r="BP24" s="190">
        <v>74420</v>
      </c>
      <c r="BQ24" s="190">
        <v>81923.509999999995</v>
      </c>
      <c r="BR24" s="190">
        <v>73923.509999999995</v>
      </c>
      <c r="BS24" s="190">
        <v>109923.51</v>
      </c>
      <c r="BT24" s="190">
        <v>109923.51</v>
      </c>
      <c r="BU24" s="190">
        <v>145923.51</v>
      </c>
      <c r="BV24" s="190">
        <v>764303.51</v>
      </c>
      <c r="BW24" s="190">
        <v>50700</v>
      </c>
      <c r="BX24" s="190">
        <v>50700</v>
      </c>
      <c r="BY24" s="190">
        <v>50700</v>
      </c>
      <c r="BZ24" s="190">
        <v>50700</v>
      </c>
      <c r="CA24" s="190">
        <v>0</v>
      </c>
      <c r="CB24" s="190">
        <v>0</v>
      </c>
      <c r="CC24" s="190">
        <v>0</v>
      </c>
      <c r="CD24" s="190">
        <v>1686650</v>
      </c>
      <c r="CE24" s="190">
        <v>0</v>
      </c>
      <c r="CF24" s="190">
        <v>0</v>
      </c>
      <c r="CG24" s="190">
        <v>0</v>
      </c>
      <c r="CH24" s="190">
        <v>0</v>
      </c>
      <c r="CI24" s="190">
        <v>0</v>
      </c>
      <c r="CJ24" s="190">
        <v>0</v>
      </c>
      <c r="CK24" s="190">
        <v>0</v>
      </c>
      <c r="CL24" s="190">
        <v>0</v>
      </c>
      <c r="CM24" s="190">
        <v>0</v>
      </c>
    </row>
    <row r="25" spans="1:91">
      <c r="A25" s="190" t="s">
        <v>129</v>
      </c>
      <c r="B25" s="190">
        <v>3034497.84</v>
      </c>
      <c r="C25" s="190">
        <v>8080316.4699999997</v>
      </c>
      <c r="D25" s="190">
        <v>10221816.470000001</v>
      </c>
      <c r="E25" s="190">
        <v>7830174.8300000001</v>
      </c>
      <c r="F25" s="190">
        <v>7365174.8300000001</v>
      </c>
      <c r="G25" s="190">
        <v>5468015.1600000001</v>
      </c>
      <c r="H25" s="190">
        <v>1409375.16</v>
      </c>
      <c r="I25" s="190">
        <v>6368015.1600000001</v>
      </c>
      <c r="J25" s="190">
        <v>6368015.1600000001</v>
      </c>
      <c r="K25" s="190">
        <v>3327070.78</v>
      </c>
      <c r="L25" s="190">
        <v>3327070.78</v>
      </c>
      <c r="M25" s="190">
        <v>3327070.78</v>
      </c>
      <c r="N25" s="190">
        <v>3327070.78</v>
      </c>
      <c r="O25" s="190">
        <v>19579469.18</v>
      </c>
      <c r="P25" s="190">
        <v>19579469.18</v>
      </c>
      <c r="Q25" s="190">
        <v>19579469.18</v>
      </c>
      <c r="R25" s="190">
        <v>19579469.18</v>
      </c>
      <c r="S25" s="190">
        <v>26194173.559999999</v>
      </c>
      <c r="T25" s="190">
        <v>26194173.559999999</v>
      </c>
      <c r="U25" s="190">
        <v>26194173.559999999</v>
      </c>
      <c r="V25" s="190">
        <v>26194173.559999999</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c r="CM25" s="190">
        <v>0</v>
      </c>
    </row>
    <row r="26" spans="1:91">
      <c r="A26" s="190" t="s">
        <v>130</v>
      </c>
      <c r="B26" s="190">
        <v>2341778052.8800001</v>
      </c>
      <c r="C26" s="190">
        <v>2400713100.29</v>
      </c>
      <c r="D26" s="190">
        <v>2377189410.6700001</v>
      </c>
      <c r="E26" s="190">
        <v>2367597031.4200001</v>
      </c>
      <c r="F26" s="190">
        <v>2311426671.52</v>
      </c>
      <c r="G26" s="190">
        <v>2288392081.96</v>
      </c>
      <c r="H26" s="190">
        <v>2282294862.8299999</v>
      </c>
      <c r="I26" s="190">
        <v>2233837352.3000002</v>
      </c>
      <c r="J26" s="190">
        <v>2191890210.3699999</v>
      </c>
      <c r="K26" s="190">
        <v>2339667829.71</v>
      </c>
      <c r="L26" s="190">
        <v>2262713452.75</v>
      </c>
      <c r="M26" s="190">
        <v>2256566693.2199998</v>
      </c>
      <c r="N26" s="190">
        <v>2210366076.8400002</v>
      </c>
      <c r="O26" s="190">
        <v>2410160947.1300001</v>
      </c>
      <c r="P26" s="190">
        <v>2358693657.8200002</v>
      </c>
      <c r="Q26" s="190">
        <v>2345319156.2399998</v>
      </c>
      <c r="R26" s="190">
        <v>2276230457.6100001</v>
      </c>
      <c r="S26" s="190">
        <v>2340355938.4899998</v>
      </c>
      <c r="T26" s="190">
        <v>2393221199.1799998</v>
      </c>
      <c r="U26" s="190">
        <v>2360283094.4400001</v>
      </c>
      <c r="V26" s="190">
        <v>2270117870.8699999</v>
      </c>
      <c r="W26" s="190">
        <v>2407282707.1599998</v>
      </c>
      <c r="X26" s="190">
        <v>2317123984.9099998</v>
      </c>
      <c r="Y26" s="190">
        <v>2219510210.8800001</v>
      </c>
      <c r="Z26" s="190">
        <v>2131732422.54</v>
      </c>
      <c r="AA26" s="190">
        <v>2172226876.9899998</v>
      </c>
      <c r="AB26" s="190">
        <v>2265233734.5900002</v>
      </c>
      <c r="AC26" s="190">
        <v>2217267087.8000002</v>
      </c>
      <c r="AD26" s="190">
        <v>1440011599.8</v>
      </c>
      <c r="AE26" s="190">
        <v>1563697761.6800001</v>
      </c>
      <c r="AF26" s="190">
        <v>1487527187.5799999</v>
      </c>
      <c r="AG26" s="190">
        <v>1418386862.03</v>
      </c>
      <c r="AH26" s="190">
        <v>1323237419.21</v>
      </c>
      <c r="AI26" s="190">
        <v>1298667691.48</v>
      </c>
      <c r="AJ26" s="190">
        <v>1264185034.75</v>
      </c>
      <c r="AK26" s="190">
        <v>1200507834.5899999</v>
      </c>
      <c r="AL26" s="190">
        <v>1131494722.24</v>
      </c>
      <c r="AM26" s="190">
        <v>1203115308.2</v>
      </c>
      <c r="AN26" s="190">
        <v>1178086908.5599999</v>
      </c>
      <c r="AO26" s="190">
        <v>1158521795.1300001</v>
      </c>
      <c r="AP26" s="190">
        <v>1110507140.27</v>
      </c>
      <c r="AQ26" s="190">
        <v>1151794723.22</v>
      </c>
      <c r="AR26" s="190">
        <v>1243417369.5899999</v>
      </c>
      <c r="AS26" s="190">
        <v>1239677615.51</v>
      </c>
      <c r="AT26" s="190">
        <v>1191708150.5699999</v>
      </c>
      <c r="AU26" s="190">
        <v>1326322379.23</v>
      </c>
      <c r="AV26" s="190">
        <v>1140914441.04</v>
      </c>
      <c r="AW26" s="190">
        <v>968365556.10000002</v>
      </c>
      <c r="AX26" s="190">
        <v>989852631.50999999</v>
      </c>
      <c r="AY26" s="190">
        <v>869365668.23000002</v>
      </c>
      <c r="AZ26" s="190">
        <v>952496973.75</v>
      </c>
      <c r="BA26" s="190">
        <v>1021096417.39</v>
      </c>
      <c r="BB26" s="190">
        <v>1045294186.1900001</v>
      </c>
      <c r="BC26" s="190">
        <v>1154952135.8499999</v>
      </c>
      <c r="BD26" s="190">
        <v>1208095296.1300001</v>
      </c>
      <c r="BE26" s="190">
        <v>1269096586.26</v>
      </c>
      <c r="BF26" s="190">
        <v>1257565314.01</v>
      </c>
      <c r="BG26" s="190">
        <v>1385433957.53</v>
      </c>
      <c r="BH26" s="190">
        <v>1280619853.51</v>
      </c>
      <c r="BI26" s="190">
        <v>1260093686.24</v>
      </c>
      <c r="BJ26" s="190">
        <v>1251585737.74</v>
      </c>
      <c r="BK26" s="190">
        <v>1378706639.8199999</v>
      </c>
      <c r="BL26" s="190">
        <v>1312739401.5799999</v>
      </c>
      <c r="BM26" s="190">
        <v>1305432200.0799999</v>
      </c>
      <c r="BN26" s="190">
        <v>1287626615.3</v>
      </c>
      <c r="BO26" s="190">
        <v>1223139270.1400001</v>
      </c>
      <c r="BP26" s="190">
        <v>1231288866.79</v>
      </c>
      <c r="BQ26" s="190">
        <v>1218420163.3599999</v>
      </c>
      <c r="BR26" s="190">
        <v>1152056969.23</v>
      </c>
      <c r="BS26" s="190">
        <v>1239193499.74</v>
      </c>
      <c r="BT26" s="190">
        <v>906850693.00999999</v>
      </c>
      <c r="BU26" s="190">
        <v>1016309854.13</v>
      </c>
      <c r="BV26" s="190">
        <v>932094536.98000002</v>
      </c>
      <c r="BW26" s="190">
        <v>293417662.94999999</v>
      </c>
      <c r="BX26" s="190">
        <v>304068928.55000001</v>
      </c>
      <c r="BY26" s="190">
        <v>174963752.03</v>
      </c>
      <c r="BZ26" s="190">
        <v>0</v>
      </c>
      <c r="CA26" s="190">
        <v>226652181.53999999</v>
      </c>
      <c r="CB26" s="190">
        <v>227281865.81999999</v>
      </c>
      <c r="CC26" s="190">
        <v>347484905.30000001</v>
      </c>
      <c r="CD26" s="190">
        <v>0</v>
      </c>
      <c r="CE26" s="190">
        <v>330539122.72000003</v>
      </c>
      <c r="CF26" s="190">
        <v>235301000</v>
      </c>
      <c r="CG26" s="190">
        <v>173344753.63999999</v>
      </c>
      <c r="CH26" s="190">
        <v>115070535.19</v>
      </c>
      <c r="CI26" s="190">
        <v>0</v>
      </c>
      <c r="CJ26" s="190">
        <v>66170000</v>
      </c>
      <c r="CK26" s="190">
        <v>0</v>
      </c>
      <c r="CL26" s="190">
        <v>0</v>
      </c>
      <c r="CM26" s="190">
        <v>0</v>
      </c>
    </row>
    <row r="27" spans="1:91">
      <c r="A27" s="190" t="s">
        <v>131</v>
      </c>
      <c r="B27" s="190">
        <v>89297111.709999993</v>
      </c>
      <c r="C27" s="190">
        <v>57202427.549999997</v>
      </c>
      <c r="D27" s="190">
        <v>57815085.149999999</v>
      </c>
      <c r="E27" s="190">
        <v>58427742.75</v>
      </c>
      <c r="F27" s="190">
        <v>59040400.350000001</v>
      </c>
      <c r="G27" s="190">
        <v>59653057.950000003</v>
      </c>
      <c r="H27" s="190">
        <v>60265715.549999997</v>
      </c>
      <c r="I27" s="190">
        <v>60878373.149999999</v>
      </c>
      <c r="J27" s="190">
        <v>61491030.75</v>
      </c>
      <c r="K27" s="190">
        <v>62103688.350000001</v>
      </c>
      <c r="L27" s="190">
        <v>62716318.950000003</v>
      </c>
      <c r="M27" s="190">
        <v>63363090.600000001</v>
      </c>
      <c r="N27" s="190">
        <v>63941661.149999999</v>
      </c>
      <c r="O27" s="190">
        <v>64609943.090000004</v>
      </c>
      <c r="P27" s="190">
        <v>65176275.090000004</v>
      </c>
      <c r="Q27" s="190">
        <v>67999491.650000006</v>
      </c>
      <c r="R27" s="190">
        <v>66509852.630000003</v>
      </c>
      <c r="S27" s="190">
        <v>67179650.329999998</v>
      </c>
      <c r="T27" s="190">
        <v>67851420.930000007</v>
      </c>
      <c r="U27" s="190">
        <v>68523206.549999997</v>
      </c>
      <c r="V27" s="190">
        <v>69203320.269999996</v>
      </c>
      <c r="W27" s="190">
        <v>70155584.379999995</v>
      </c>
      <c r="X27" s="190">
        <v>70746959.290000007</v>
      </c>
      <c r="Y27" s="190">
        <v>71338334.200000003</v>
      </c>
      <c r="Z27" s="190">
        <v>71929709.109999999</v>
      </c>
      <c r="AA27" s="190">
        <v>72611306.319999993</v>
      </c>
      <c r="AB27" s="190">
        <v>73292903.530000001</v>
      </c>
      <c r="AC27" s="190">
        <v>73974500.739999995</v>
      </c>
      <c r="AD27" s="190">
        <v>74671873.359999999</v>
      </c>
      <c r="AE27" s="190">
        <v>75378095.290000007</v>
      </c>
      <c r="AF27" s="190">
        <v>76084317.219999999</v>
      </c>
      <c r="AG27" s="190">
        <v>76790539.150000006</v>
      </c>
      <c r="AH27" s="190">
        <v>77496761.079999998</v>
      </c>
      <c r="AI27" s="190">
        <v>77485297.780000001</v>
      </c>
      <c r="AJ27" s="190">
        <v>78481910.930000007</v>
      </c>
      <c r="AK27" s="190">
        <v>79391512.299999997</v>
      </c>
      <c r="AL27" s="190">
        <v>80347014.790000007</v>
      </c>
      <c r="AM27" s="190">
        <v>82624673.769999996</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c r="CM27" s="190">
        <v>0</v>
      </c>
    </row>
    <row r="28" spans="1:91">
      <c r="A28" s="190" t="s">
        <v>132</v>
      </c>
      <c r="B28" s="190">
        <v>1531094117.8699999</v>
      </c>
      <c r="C28" s="190">
        <v>1539915721.5799999</v>
      </c>
      <c r="D28" s="190">
        <v>1493538760.76</v>
      </c>
      <c r="E28" s="190">
        <v>1517538915.6800001</v>
      </c>
      <c r="F28" s="190">
        <v>1556978833.7</v>
      </c>
      <c r="G28" s="190">
        <v>1593456836.79</v>
      </c>
      <c r="H28" s="190">
        <v>1598033914.01</v>
      </c>
      <c r="I28" s="190">
        <v>1649034932.6900001</v>
      </c>
      <c r="J28" s="190">
        <v>1621991860.8699999</v>
      </c>
      <c r="K28" s="190">
        <v>1553127343.0899999</v>
      </c>
      <c r="L28" s="190">
        <v>1462837359.55</v>
      </c>
      <c r="M28" s="190">
        <v>1486209823.1199999</v>
      </c>
      <c r="N28" s="190">
        <v>1521035167.47</v>
      </c>
      <c r="O28" s="190">
        <v>1544918696.03</v>
      </c>
      <c r="P28" s="190">
        <v>1425317035.03</v>
      </c>
      <c r="Q28" s="190">
        <v>1569748959.5899999</v>
      </c>
      <c r="R28" s="190">
        <v>1641901631.98</v>
      </c>
      <c r="S28" s="190">
        <v>1511426623.9100001</v>
      </c>
      <c r="T28" s="190">
        <v>1529017510.9100001</v>
      </c>
      <c r="U28" s="190">
        <v>1540025646.5699999</v>
      </c>
      <c r="V28" s="190">
        <v>1566074154.1099999</v>
      </c>
      <c r="W28" s="190">
        <v>1549382370.24</v>
      </c>
      <c r="X28" s="190">
        <v>1497161919.8</v>
      </c>
      <c r="Y28" s="190">
        <v>1652565835.9300001</v>
      </c>
      <c r="Z28" s="190">
        <v>1661877092.25</v>
      </c>
      <c r="AA28" s="190">
        <v>1828271779.6300001</v>
      </c>
      <c r="AB28" s="190">
        <v>1186431227.6300001</v>
      </c>
      <c r="AC28" s="190">
        <v>1219342834.78</v>
      </c>
      <c r="AD28" s="190">
        <v>1862977643.77</v>
      </c>
      <c r="AE28" s="190">
        <v>1347747479.29</v>
      </c>
      <c r="AF28" s="190">
        <v>1453694520.6500001</v>
      </c>
      <c r="AG28" s="190">
        <v>1454220182.3299999</v>
      </c>
      <c r="AH28" s="190">
        <v>1473349520.3699999</v>
      </c>
      <c r="AI28" s="190">
        <v>1405648372.9200001</v>
      </c>
      <c r="AJ28" s="190">
        <v>1486631258.72</v>
      </c>
      <c r="AK28" s="190">
        <v>1542517480.3099999</v>
      </c>
      <c r="AL28" s="190">
        <v>1508837339.8599999</v>
      </c>
      <c r="AM28" s="190">
        <v>1553754145.3900001</v>
      </c>
      <c r="AN28" s="190">
        <v>1370123019.8800001</v>
      </c>
      <c r="AO28" s="190">
        <v>1327735620.28</v>
      </c>
      <c r="AP28" s="190">
        <v>1350524692.3</v>
      </c>
      <c r="AQ28" s="190">
        <v>1236073520.22</v>
      </c>
      <c r="AR28" s="190">
        <v>1190807706.8499999</v>
      </c>
      <c r="AS28" s="190">
        <v>1148227427.8599999</v>
      </c>
      <c r="AT28" s="190">
        <v>1217601361.01</v>
      </c>
      <c r="AU28" s="190">
        <v>1215903497.0599999</v>
      </c>
      <c r="AV28" s="190">
        <v>1253895583.5899999</v>
      </c>
      <c r="AW28" s="190">
        <v>1082151946.3</v>
      </c>
      <c r="AX28" s="190">
        <v>1159777509.1900001</v>
      </c>
      <c r="AY28" s="190">
        <v>1078699455.7</v>
      </c>
      <c r="AZ28" s="190">
        <v>1091207759.4000001</v>
      </c>
      <c r="BA28" s="190">
        <v>1107213334.47</v>
      </c>
      <c r="BB28" s="190">
        <v>1135600112.3900001</v>
      </c>
      <c r="BC28" s="190">
        <v>1017337911.29</v>
      </c>
      <c r="BD28" s="190">
        <v>1063808742.02</v>
      </c>
      <c r="BE28" s="190">
        <v>1029440439.05</v>
      </c>
      <c r="BF28" s="190">
        <v>1031665043.39</v>
      </c>
      <c r="BG28" s="190">
        <v>896191580.02999997</v>
      </c>
      <c r="BH28" s="190">
        <v>857067268.90999997</v>
      </c>
      <c r="BI28" s="190">
        <v>946558153.67999995</v>
      </c>
      <c r="BJ28" s="190">
        <v>961572974.53999996</v>
      </c>
      <c r="BK28" s="190">
        <v>784209913.70000005</v>
      </c>
      <c r="BL28" s="190">
        <v>776117162.10000002</v>
      </c>
      <c r="BM28" s="190">
        <v>786602185.23000002</v>
      </c>
      <c r="BN28" s="190">
        <v>810257491.19000006</v>
      </c>
      <c r="BO28" s="190">
        <v>701542847.19000006</v>
      </c>
      <c r="BP28" s="190">
        <v>722929123.01999998</v>
      </c>
      <c r="BQ28" s="190">
        <v>686886455.90999997</v>
      </c>
      <c r="BR28" s="190">
        <v>686892285.38</v>
      </c>
      <c r="BS28" s="190">
        <v>729302406.55999994</v>
      </c>
      <c r="BT28" s="190">
        <v>736711131.88</v>
      </c>
      <c r="BU28" s="190">
        <v>772263675.87</v>
      </c>
      <c r="BV28" s="190">
        <v>799893332.64999998</v>
      </c>
      <c r="BW28" s="190">
        <v>719897556.69000006</v>
      </c>
      <c r="BX28" s="190">
        <v>663825239.13</v>
      </c>
      <c r="BY28" s="190">
        <v>247902009.53999999</v>
      </c>
      <c r="BZ28" s="190">
        <v>258284275.15000001</v>
      </c>
      <c r="CA28" s="190">
        <v>280317753.69</v>
      </c>
      <c r="CB28" s="190">
        <v>291914454.87</v>
      </c>
      <c r="CC28" s="190">
        <v>300124322.94</v>
      </c>
      <c r="CD28" s="190">
        <v>351535439.48000002</v>
      </c>
      <c r="CE28" s="190">
        <v>322121519.99000001</v>
      </c>
      <c r="CF28" s="190">
        <v>310211000</v>
      </c>
      <c r="CG28" s="190">
        <v>293699924.44999999</v>
      </c>
      <c r="CH28" s="190">
        <v>297352570.06999999</v>
      </c>
      <c r="CI28" s="190">
        <v>0</v>
      </c>
      <c r="CJ28" s="190">
        <v>0</v>
      </c>
      <c r="CK28" s="190">
        <v>0</v>
      </c>
      <c r="CL28" s="190">
        <v>0</v>
      </c>
      <c r="CM28" s="190">
        <v>0</v>
      </c>
    </row>
    <row r="29" spans="1:91">
      <c r="A29" s="190" t="s">
        <v>133</v>
      </c>
      <c r="B29" s="190">
        <v>278078835.72000003</v>
      </c>
      <c r="C29" s="190">
        <v>255028125.78</v>
      </c>
      <c r="D29" s="190">
        <v>282842697.69999999</v>
      </c>
      <c r="E29" s="190">
        <v>250433048.77000001</v>
      </c>
      <c r="F29" s="190">
        <v>219596614.91999999</v>
      </c>
      <c r="G29" s="190">
        <v>187519817.13</v>
      </c>
      <c r="H29" s="190">
        <v>180005301.02000001</v>
      </c>
      <c r="I29" s="190">
        <v>150588612.36000001</v>
      </c>
      <c r="J29" s="190">
        <v>204316421.75</v>
      </c>
      <c r="K29" s="190">
        <v>294404699.12</v>
      </c>
      <c r="L29" s="190">
        <v>393432489.30000001</v>
      </c>
      <c r="M29" s="190">
        <v>317680649.69</v>
      </c>
      <c r="N29" s="190">
        <v>249126188.41</v>
      </c>
      <c r="O29" s="190">
        <v>229275493.81999999</v>
      </c>
      <c r="P29" s="190">
        <v>432550223.10000002</v>
      </c>
      <c r="Q29" s="190">
        <v>368382711.47000003</v>
      </c>
      <c r="R29" s="190">
        <v>338406849.99000001</v>
      </c>
      <c r="S29" s="190">
        <v>510261692.25999999</v>
      </c>
      <c r="T29" s="190">
        <v>299193016.25999999</v>
      </c>
      <c r="U29" s="190">
        <v>362512552.56999999</v>
      </c>
      <c r="V29" s="190">
        <v>338591484.85000002</v>
      </c>
      <c r="W29" s="190">
        <v>336935799.75</v>
      </c>
      <c r="X29" s="190">
        <v>384351781.38</v>
      </c>
      <c r="Y29" s="190">
        <v>261974023.75999999</v>
      </c>
      <c r="Z29" s="190">
        <v>371459033.30000001</v>
      </c>
      <c r="AA29" s="190">
        <v>157464016.69</v>
      </c>
      <c r="AB29" s="190">
        <v>149628461.09999999</v>
      </c>
      <c r="AC29" s="190">
        <v>119744174.68000001</v>
      </c>
      <c r="AD29" s="190">
        <v>96463819.280000001</v>
      </c>
      <c r="AE29" s="190">
        <v>118271623.94</v>
      </c>
      <c r="AF29" s="190">
        <v>125201776.86</v>
      </c>
      <c r="AG29" s="190">
        <v>142430200.88</v>
      </c>
      <c r="AH29" s="190">
        <v>126206510.34999999</v>
      </c>
      <c r="AI29" s="190">
        <v>221472314.21000001</v>
      </c>
      <c r="AJ29" s="190">
        <v>147486223.09999999</v>
      </c>
      <c r="AK29" s="190">
        <v>107719065.03</v>
      </c>
      <c r="AL29" s="190">
        <v>118928402.94</v>
      </c>
      <c r="AM29" s="190">
        <v>121794740.31</v>
      </c>
      <c r="AN29" s="190">
        <v>84367757.310000002</v>
      </c>
      <c r="AO29" s="190">
        <v>116823993.33</v>
      </c>
      <c r="AP29" s="190">
        <v>90505083.659999996</v>
      </c>
      <c r="AQ29" s="190">
        <v>124082506.65000001</v>
      </c>
      <c r="AR29" s="190">
        <v>132050094.53</v>
      </c>
      <c r="AS29" s="190">
        <v>179457842.68000001</v>
      </c>
      <c r="AT29" s="190">
        <v>95499666.030000001</v>
      </c>
      <c r="AU29" s="190">
        <v>110579641.02</v>
      </c>
      <c r="AV29" s="190">
        <v>58712549.390000001</v>
      </c>
      <c r="AW29" s="190">
        <v>229356746.72999999</v>
      </c>
      <c r="AX29" s="190">
        <v>175750234.56999999</v>
      </c>
      <c r="AY29" s="190">
        <v>202221136.06999999</v>
      </c>
      <c r="AZ29" s="190">
        <v>177727557.09999999</v>
      </c>
      <c r="BA29" s="190">
        <v>162909254.5</v>
      </c>
      <c r="BB29" s="190">
        <v>128239074.05</v>
      </c>
      <c r="BC29" s="190">
        <v>141040249.38</v>
      </c>
      <c r="BD29" s="190">
        <v>127518385.53</v>
      </c>
      <c r="BE29" s="190">
        <v>104061264.39</v>
      </c>
      <c r="BF29" s="190">
        <v>99972589.859999999</v>
      </c>
      <c r="BG29" s="190">
        <v>92740817.569999993</v>
      </c>
      <c r="BH29" s="190">
        <v>142710455.46000001</v>
      </c>
      <c r="BI29" s="190">
        <v>140078247.72999999</v>
      </c>
      <c r="BJ29" s="190">
        <v>137009776.94999999</v>
      </c>
      <c r="BK29" s="190">
        <v>225473290.21000001</v>
      </c>
      <c r="BL29" s="190">
        <v>211901556.71000001</v>
      </c>
      <c r="BM29" s="190">
        <v>151163904.06</v>
      </c>
      <c r="BN29" s="190">
        <v>135337447.19999999</v>
      </c>
      <c r="BO29" s="190">
        <v>86239947.370000005</v>
      </c>
      <c r="BP29" s="190">
        <v>99780992.230000004</v>
      </c>
      <c r="BQ29" s="190">
        <v>112336411.34999999</v>
      </c>
      <c r="BR29" s="190">
        <v>130779812.3</v>
      </c>
      <c r="BS29" s="190">
        <v>181888727.41</v>
      </c>
      <c r="BT29" s="190">
        <v>117061775.62</v>
      </c>
      <c r="BU29" s="190">
        <v>238215309.41</v>
      </c>
      <c r="BV29" s="190">
        <v>178850829.75</v>
      </c>
      <c r="BW29" s="190">
        <v>124877461.87</v>
      </c>
      <c r="BX29" s="190">
        <v>204799798.27000001</v>
      </c>
      <c r="BY29" s="190">
        <v>99054088.640000001</v>
      </c>
      <c r="BZ29" s="190">
        <v>99253057.989999995</v>
      </c>
      <c r="CA29" s="190">
        <v>105157139.23999999</v>
      </c>
      <c r="CB29" s="190">
        <v>100213654.70999999</v>
      </c>
      <c r="CC29" s="190">
        <v>70726365.120000005</v>
      </c>
      <c r="CD29" s="190">
        <v>89263083.810000002</v>
      </c>
      <c r="CE29" s="190">
        <v>0</v>
      </c>
      <c r="CF29" s="190">
        <v>96948000</v>
      </c>
      <c r="CG29" s="190">
        <v>97171473.030000001</v>
      </c>
      <c r="CH29" s="190">
        <v>69608770.909999996</v>
      </c>
      <c r="CI29" s="190">
        <v>0</v>
      </c>
      <c r="CJ29" s="190">
        <v>0</v>
      </c>
      <c r="CK29" s="190">
        <v>0</v>
      </c>
      <c r="CL29" s="190">
        <v>0</v>
      </c>
      <c r="CM29" s="190">
        <v>0</v>
      </c>
    </row>
    <row r="30" spans="1:91">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c r="CM30" s="190">
        <v>0</v>
      </c>
    </row>
    <row r="31" spans="1:91">
      <c r="A31" s="190" t="s">
        <v>135</v>
      </c>
      <c r="B31" s="190">
        <v>0</v>
      </c>
      <c r="C31" s="190">
        <v>0</v>
      </c>
      <c r="D31" s="190">
        <v>0</v>
      </c>
      <c r="E31" s="190">
        <v>0</v>
      </c>
      <c r="F31" s="190">
        <v>0</v>
      </c>
      <c r="G31" s="190">
        <v>0</v>
      </c>
      <c r="H31" s="190">
        <v>0</v>
      </c>
      <c r="I31" s="190">
        <v>0</v>
      </c>
      <c r="J31" s="190">
        <v>0</v>
      </c>
      <c r="K31" s="190">
        <v>0</v>
      </c>
      <c r="L31" s="190">
        <v>4693849.82</v>
      </c>
      <c r="M31" s="190">
        <v>0</v>
      </c>
      <c r="N31" s="190">
        <v>0</v>
      </c>
      <c r="O31" s="190">
        <v>0</v>
      </c>
      <c r="P31" s="190">
        <v>0</v>
      </c>
      <c r="Q31" s="190">
        <v>0</v>
      </c>
      <c r="R31" s="190">
        <v>0</v>
      </c>
      <c r="S31" s="190">
        <v>0</v>
      </c>
      <c r="T31" s="190">
        <v>0</v>
      </c>
      <c r="U31" s="190">
        <v>0</v>
      </c>
      <c r="V31" s="190">
        <v>0</v>
      </c>
      <c r="W31" s="190">
        <v>179596.24</v>
      </c>
      <c r="X31" s="190">
        <v>157282.06</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-19055.87</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-155790.98000000001</v>
      </c>
      <c r="BT31" s="190">
        <v>-7682.9</v>
      </c>
      <c r="BU31" s="190">
        <v>1397696.43</v>
      </c>
      <c r="BV31" s="190">
        <v>872811.88</v>
      </c>
      <c r="BW31" s="190">
        <v>951614.34</v>
      </c>
      <c r="BX31" s="190">
        <v>0</v>
      </c>
      <c r="BY31" s="190">
        <v>-282206.99</v>
      </c>
      <c r="BZ31" s="190">
        <v>72850.240000000005</v>
      </c>
      <c r="CA31" s="190">
        <v>187404.51</v>
      </c>
      <c r="CB31" s="190">
        <v>-78504.75</v>
      </c>
      <c r="CC31" s="190">
        <v>242347.25</v>
      </c>
      <c r="CD31" s="190">
        <v>115772.51</v>
      </c>
      <c r="CE31" s="190">
        <v>0</v>
      </c>
      <c r="CF31" s="190">
        <v>73000</v>
      </c>
      <c r="CG31" s="190">
        <v>0</v>
      </c>
      <c r="CH31" s="190">
        <v>0</v>
      </c>
      <c r="CI31" s="190">
        <v>0</v>
      </c>
      <c r="CJ31" s="190">
        <v>0</v>
      </c>
      <c r="CK31" s="190">
        <v>0</v>
      </c>
      <c r="CL31" s="190">
        <v>0</v>
      </c>
      <c r="CM31" s="190">
        <v>0</v>
      </c>
    </row>
    <row r="32" spans="1:91">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c r="CM32" s="190">
        <v>0</v>
      </c>
    </row>
    <row r="33" spans="1:91">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c r="CM33" s="190">
        <v>0</v>
      </c>
    </row>
    <row r="34" spans="1:91">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c r="CM34" s="190">
        <v>0</v>
      </c>
    </row>
    <row r="35" spans="1:91">
      <c r="A35" s="190" t="s">
        <v>139</v>
      </c>
      <c r="B35" s="190">
        <v>362401783.69</v>
      </c>
      <c r="C35" s="190">
        <v>384972241.42000002</v>
      </c>
      <c r="D35" s="190">
        <v>387476798.29000002</v>
      </c>
      <c r="E35" s="190">
        <v>390718917.75</v>
      </c>
      <c r="F35" s="190">
        <v>393831918.13</v>
      </c>
      <c r="G35" s="190">
        <v>394154643.39999998</v>
      </c>
      <c r="H35" s="190">
        <v>397194103.83999997</v>
      </c>
      <c r="I35" s="190">
        <v>398469959.94</v>
      </c>
      <c r="J35" s="190">
        <v>401501865.01999998</v>
      </c>
      <c r="K35" s="190">
        <v>405498312.36000001</v>
      </c>
      <c r="L35" s="190">
        <v>414117324.30000001</v>
      </c>
      <c r="M35" s="190">
        <v>202447508.09999999</v>
      </c>
      <c r="N35" s="190">
        <v>204155756.61000001</v>
      </c>
      <c r="O35" s="190">
        <v>205694495.71000001</v>
      </c>
      <c r="P35" s="190">
        <v>268250656.80000001</v>
      </c>
      <c r="Q35" s="190">
        <v>360306496.13</v>
      </c>
      <c r="R35" s="190">
        <v>362470636.56999999</v>
      </c>
      <c r="S35" s="190">
        <v>261421428.44</v>
      </c>
      <c r="T35" s="190">
        <v>374059451.63</v>
      </c>
      <c r="U35" s="190">
        <v>267466567.25</v>
      </c>
      <c r="V35" s="190">
        <v>269863546.00999999</v>
      </c>
      <c r="W35" s="190">
        <v>247480093.28</v>
      </c>
      <c r="X35" s="190">
        <v>248682819.62</v>
      </c>
      <c r="Y35" s="190">
        <v>246827498.16</v>
      </c>
      <c r="Z35" s="190">
        <v>255995361.00999999</v>
      </c>
      <c r="AA35" s="190">
        <v>247791372.86000001</v>
      </c>
      <c r="AB35" s="190">
        <v>196006011.58000001</v>
      </c>
      <c r="AC35" s="190">
        <v>197824567.53999999</v>
      </c>
      <c r="AD35" s="190">
        <v>256303475.49000001</v>
      </c>
      <c r="AE35" s="190">
        <v>302687875.52999997</v>
      </c>
      <c r="AF35" s="190">
        <v>309603401.69</v>
      </c>
      <c r="AG35" s="190">
        <v>312481030.72000003</v>
      </c>
      <c r="AH35" s="190">
        <v>315432492</v>
      </c>
      <c r="AI35" s="190">
        <v>340102416.92000002</v>
      </c>
      <c r="AJ35" s="190">
        <v>346983480.17000002</v>
      </c>
      <c r="AK35" s="190">
        <v>350935452.31999999</v>
      </c>
      <c r="AL35" s="190">
        <v>354630274.79000002</v>
      </c>
      <c r="AM35" s="190">
        <v>358793179.75999999</v>
      </c>
      <c r="AN35" s="190">
        <v>226183973.84</v>
      </c>
      <c r="AO35" s="190">
        <v>228176922.94999999</v>
      </c>
      <c r="AP35" s="190">
        <v>230169872.06</v>
      </c>
      <c r="AQ35" s="190">
        <v>232507169.97999999</v>
      </c>
      <c r="AR35" s="190">
        <v>234491683.46000001</v>
      </c>
      <c r="AS35" s="190">
        <v>259929027.09</v>
      </c>
      <c r="AT35" s="190">
        <v>265196860.91</v>
      </c>
      <c r="AU35" s="190">
        <v>241149339.74000001</v>
      </c>
      <c r="AV35" s="190">
        <v>243293359.13999999</v>
      </c>
      <c r="AW35" s="190">
        <v>253465917.38999999</v>
      </c>
      <c r="AX35" s="190">
        <v>260827691.86000001</v>
      </c>
      <c r="AY35" s="190">
        <v>249079706.19</v>
      </c>
      <c r="AZ35" s="190">
        <v>251169711.52000001</v>
      </c>
      <c r="BA35" s="190">
        <v>251958609.87</v>
      </c>
      <c r="BB35" s="190">
        <v>253677897.72999999</v>
      </c>
      <c r="BC35" s="190">
        <v>281081786.68000001</v>
      </c>
      <c r="BD35" s="190">
        <v>269681664.13</v>
      </c>
      <c r="BE35" s="190">
        <v>271413857.83999997</v>
      </c>
      <c r="BF35" s="190">
        <v>272038721.18000001</v>
      </c>
      <c r="BG35" s="190">
        <v>243295612.38</v>
      </c>
      <c r="BH35" s="190">
        <v>244861185.56999999</v>
      </c>
      <c r="BI35" s="190">
        <v>264898234.03</v>
      </c>
      <c r="BJ35" s="190">
        <v>268069931.06</v>
      </c>
      <c r="BK35" s="190">
        <v>293195014.95999998</v>
      </c>
      <c r="BL35" s="190">
        <v>189094309.68000001</v>
      </c>
      <c r="BM35" s="190">
        <v>189756941.00999999</v>
      </c>
      <c r="BN35" s="190">
        <v>191336578.24000001</v>
      </c>
      <c r="BO35" s="190">
        <v>42376683.780000001</v>
      </c>
      <c r="BP35" s="190">
        <v>42380772.740000002</v>
      </c>
      <c r="BQ35" s="190">
        <v>42931195.939999998</v>
      </c>
      <c r="BR35" s="190">
        <v>28147358.850000001</v>
      </c>
      <c r="BS35" s="190">
        <v>42772035.009999998</v>
      </c>
      <c r="BT35" s="190">
        <v>34874342.969999999</v>
      </c>
      <c r="BU35" s="190">
        <v>61310339.060000002</v>
      </c>
      <c r="BV35" s="190">
        <v>51608907.68</v>
      </c>
      <c r="BW35" s="190">
        <v>51506616.920000002</v>
      </c>
      <c r="BX35" s="190">
        <v>48457275.630000003</v>
      </c>
      <c r="BY35" s="190">
        <v>42059995.490000002</v>
      </c>
      <c r="BZ35" s="190">
        <v>41958457.960000001</v>
      </c>
      <c r="CA35" s="190">
        <v>0</v>
      </c>
      <c r="CB35" s="190">
        <v>49528541.299999997</v>
      </c>
      <c r="CC35" s="190">
        <v>0</v>
      </c>
      <c r="CD35" s="190">
        <v>49332881.299999997</v>
      </c>
      <c r="CE35" s="190">
        <v>19681108.73</v>
      </c>
      <c r="CF35" s="190">
        <v>0</v>
      </c>
      <c r="CG35" s="190">
        <v>0</v>
      </c>
      <c r="CH35" s="190">
        <v>2740561.26</v>
      </c>
      <c r="CI35" s="190">
        <v>0</v>
      </c>
      <c r="CJ35" s="190">
        <v>0</v>
      </c>
      <c r="CK35" s="190">
        <v>0</v>
      </c>
      <c r="CL35" s="190">
        <v>0</v>
      </c>
      <c r="CM35" s="190">
        <v>0</v>
      </c>
    </row>
    <row r="36" spans="1:91">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c r="CM36" s="190">
        <v>0</v>
      </c>
    </row>
    <row r="37" spans="1:91">
      <c r="A37" s="190" t="s">
        <v>141</v>
      </c>
      <c r="B37" s="190">
        <v>0</v>
      </c>
      <c r="C37" s="190">
        <v>12482506.73</v>
      </c>
      <c r="D37" s="190">
        <v>12482506.73</v>
      </c>
      <c r="E37" s="190">
        <v>12482506.73</v>
      </c>
      <c r="F37" s="190">
        <v>12482506.73</v>
      </c>
      <c r="G37" s="190">
        <v>12482506.73</v>
      </c>
      <c r="H37" s="190">
        <v>12482506.73</v>
      </c>
      <c r="I37" s="190">
        <v>12482506.73</v>
      </c>
      <c r="J37" s="190">
        <v>12482506.73</v>
      </c>
      <c r="K37" s="190">
        <v>32734042.199999999</v>
      </c>
      <c r="L37" s="190">
        <v>32734042.199999999</v>
      </c>
      <c r="M37" s="190">
        <v>32734042.199999999</v>
      </c>
      <c r="N37" s="190">
        <v>32734042.199999999</v>
      </c>
      <c r="O37" s="190">
        <v>12482506.73</v>
      </c>
      <c r="P37" s="190">
        <v>12482506.73</v>
      </c>
      <c r="Q37" s="190">
        <v>12482506.73</v>
      </c>
      <c r="R37" s="190">
        <v>12482506.73</v>
      </c>
      <c r="S37" s="190">
        <v>12482506.73</v>
      </c>
      <c r="T37" s="190">
        <v>12482506.73</v>
      </c>
      <c r="U37" s="190">
        <v>12482506.73</v>
      </c>
      <c r="V37" s="190">
        <v>12482506.73</v>
      </c>
      <c r="W37" s="190">
        <v>12482506.73</v>
      </c>
      <c r="X37" s="190">
        <v>12482506.73</v>
      </c>
      <c r="Y37" s="190">
        <v>12482506.73</v>
      </c>
      <c r="Z37" s="190">
        <v>12482506.73</v>
      </c>
      <c r="AA37" s="190">
        <v>12482506.74</v>
      </c>
      <c r="AB37" s="190">
        <v>12482506.73</v>
      </c>
      <c r="AC37" s="190">
        <v>12482506.74</v>
      </c>
      <c r="AD37" s="190">
        <v>12482506.74</v>
      </c>
      <c r="AE37" s="190">
        <v>12482506.720000001</v>
      </c>
      <c r="AF37" s="190">
        <v>12482506.73</v>
      </c>
      <c r="AG37" s="190">
        <v>12482506.73</v>
      </c>
      <c r="AH37" s="190">
        <v>16109673.57</v>
      </c>
      <c r="AI37" s="190">
        <v>77068187.049999997</v>
      </c>
      <c r="AJ37" s="190">
        <v>77068187.049999997</v>
      </c>
      <c r="AK37" s="190">
        <v>77068187.049999997</v>
      </c>
      <c r="AL37" s="190">
        <v>77068187.049999997</v>
      </c>
      <c r="AM37" s="190">
        <v>62141595.939999998</v>
      </c>
      <c r="AN37" s="190">
        <v>3627166.84</v>
      </c>
      <c r="AO37" s="190">
        <v>3627166.84</v>
      </c>
      <c r="AP37" s="190">
        <v>3627166.84</v>
      </c>
      <c r="AQ37" s="190">
        <v>3627166.84</v>
      </c>
      <c r="AR37" s="190">
        <v>3627166.84</v>
      </c>
      <c r="AS37" s="190">
        <v>3627166.84</v>
      </c>
      <c r="AT37" s="190">
        <v>3627166.84</v>
      </c>
      <c r="AU37" s="190">
        <v>3415582.14</v>
      </c>
      <c r="AV37" s="190">
        <v>3415582.14</v>
      </c>
      <c r="AW37" s="190">
        <v>3415582.14</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c r="CM37" s="190">
        <v>0</v>
      </c>
    </row>
    <row r="38" spans="1:91">
      <c r="A38" s="190" t="s">
        <v>142</v>
      </c>
      <c r="B38" s="190">
        <v>22425197.059999999</v>
      </c>
      <c r="C38" s="190">
        <v>25289369.57</v>
      </c>
      <c r="D38" s="190">
        <v>25743421.280000001</v>
      </c>
      <c r="E38" s="190">
        <v>25369716.66</v>
      </c>
      <c r="F38" s="190">
        <v>25994490.379999999</v>
      </c>
      <c r="G38" s="190">
        <v>23582192.710000001</v>
      </c>
      <c r="H38" s="190">
        <v>23345054.850000001</v>
      </c>
      <c r="I38" s="190">
        <v>23785941.870000001</v>
      </c>
      <c r="J38" s="190">
        <v>24377748.219999999</v>
      </c>
      <c r="K38" s="190">
        <v>25076717.300000001</v>
      </c>
      <c r="L38" s="190">
        <v>26581382.34</v>
      </c>
      <c r="M38" s="190">
        <v>27388053.219999999</v>
      </c>
      <c r="N38" s="190">
        <v>27952383.77</v>
      </c>
      <c r="O38" s="190">
        <v>21456507.359999999</v>
      </c>
      <c r="P38" s="190">
        <v>31769859.960000001</v>
      </c>
      <c r="Q38" s="190">
        <v>32743780.82</v>
      </c>
      <c r="R38" s="190">
        <v>34404825.380000003</v>
      </c>
      <c r="S38" s="190">
        <v>48109373.799999997</v>
      </c>
      <c r="T38" s="190">
        <v>36909353.009999998</v>
      </c>
      <c r="U38" s="190">
        <v>46376380.18</v>
      </c>
      <c r="V38" s="190">
        <v>37594458.509999998</v>
      </c>
      <c r="W38" s="190">
        <v>37045763.189999998</v>
      </c>
      <c r="X38" s="190">
        <v>37600354.240000002</v>
      </c>
      <c r="Y38" s="190">
        <v>38226975.100000001</v>
      </c>
      <c r="Z38" s="190">
        <v>38872579.880000003</v>
      </c>
      <c r="AA38" s="190">
        <v>39738539.969999999</v>
      </c>
      <c r="AB38" s="190">
        <v>38122290</v>
      </c>
      <c r="AC38" s="190">
        <v>38649939.390000001</v>
      </c>
      <c r="AD38" s="190">
        <v>42672927.439999998</v>
      </c>
      <c r="AE38" s="190">
        <v>40780879.579999998</v>
      </c>
      <c r="AF38" s="190">
        <v>41373067.460000001</v>
      </c>
      <c r="AG38" s="190">
        <v>41868589.350000001</v>
      </c>
      <c r="AH38" s="190">
        <v>42609219.859999999</v>
      </c>
      <c r="AI38" s="190">
        <v>25487718.670000002</v>
      </c>
      <c r="AJ38" s="190">
        <v>25948705.260000002</v>
      </c>
      <c r="AK38" s="190">
        <v>7652788.6799999997</v>
      </c>
      <c r="AL38" s="190">
        <v>8242770.6200000001</v>
      </c>
      <c r="AM38" s="190">
        <v>28879759.010000002</v>
      </c>
      <c r="AN38" s="190">
        <v>25711427.050000001</v>
      </c>
      <c r="AO38" s="190">
        <v>26582410.25</v>
      </c>
      <c r="AP38" s="190">
        <v>27934076.68</v>
      </c>
      <c r="AQ38" s="190">
        <v>14039274.92</v>
      </c>
      <c r="AR38" s="190">
        <v>14279528.720000001</v>
      </c>
      <c r="AS38" s="190">
        <v>14554096.33</v>
      </c>
      <c r="AT38" s="190">
        <v>10711006.800000001</v>
      </c>
      <c r="AU38" s="190">
        <v>10848319.17</v>
      </c>
      <c r="AV38" s="190">
        <v>10985631.539999999</v>
      </c>
      <c r="AW38" s="190">
        <v>11122943.91</v>
      </c>
      <c r="AX38" s="190">
        <v>11260256.279999999</v>
      </c>
      <c r="AY38" s="190">
        <v>11397568.65</v>
      </c>
      <c r="AZ38" s="190">
        <v>11218861.32</v>
      </c>
      <c r="BA38" s="190">
        <v>11327444.640000001</v>
      </c>
      <c r="BB38" s="190">
        <v>11436027.960000001</v>
      </c>
      <c r="BC38" s="190">
        <v>14789222.439999999</v>
      </c>
      <c r="BD38" s="190">
        <v>14864813.65</v>
      </c>
      <c r="BE38" s="190">
        <v>15089085.34</v>
      </c>
      <c r="BF38" s="190">
        <v>15161442.140000001</v>
      </c>
      <c r="BG38" s="190">
        <v>16106281.08</v>
      </c>
      <c r="BH38" s="190">
        <v>15649341.43</v>
      </c>
      <c r="BI38" s="190">
        <v>15873221.779999999</v>
      </c>
      <c r="BJ38" s="190">
        <v>15757102.130000001</v>
      </c>
      <c r="BK38" s="190">
        <v>16020982.16</v>
      </c>
      <c r="BL38" s="190">
        <v>16204863.289999999</v>
      </c>
      <c r="BM38" s="190">
        <v>16388743.1</v>
      </c>
      <c r="BN38" s="190">
        <v>16572623.57</v>
      </c>
      <c r="BO38" s="190">
        <v>67465567.480000004</v>
      </c>
      <c r="BP38" s="190">
        <v>55315725.409999996</v>
      </c>
      <c r="BQ38" s="190">
        <v>55516952.159999996</v>
      </c>
      <c r="BR38" s="190">
        <v>8073214.7800000003</v>
      </c>
      <c r="BS38" s="190">
        <v>21023684.329999998</v>
      </c>
      <c r="BT38" s="190">
        <v>23871227.510000002</v>
      </c>
      <c r="BU38" s="190">
        <v>15157796.93</v>
      </c>
      <c r="BV38" s="190">
        <v>16810618.91</v>
      </c>
      <c r="BW38" s="190">
        <v>16919883.969999999</v>
      </c>
      <c r="BX38" s="190">
        <v>17908615.07</v>
      </c>
      <c r="BY38" s="190">
        <v>10309594.16</v>
      </c>
      <c r="BZ38" s="190">
        <v>0</v>
      </c>
      <c r="CA38" s="190">
        <v>0</v>
      </c>
      <c r="CB38" s="190">
        <v>0</v>
      </c>
      <c r="CC38" s="190">
        <v>0</v>
      </c>
      <c r="CD38" s="190">
        <v>0</v>
      </c>
      <c r="CE38" s="190">
        <v>0</v>
      </c>
      <c r="CF38" s="190">
        <v>0</v>
      </c>
      <c r="CG38" s="190">
        <v>0</v>
      </c>
      <c r="CH38" s="190">
        <v>0</v>
      </c>
      <c r="CI38" s="190">
        <v>0</v>
      </c>
      <c r="CJ38" s="190">
        <v>0</v>
      </c>
      <c r="CK38" s="190">
        <v>0</v>
      </c>
      <c r="CL38" s="190">
        <v>0</v>
      </c>
      <c r="CM38" s="190">
        <v>0</v>
      </c>
    </row>
    <row r="39" spans="1:91">
      <c r="A39" s="190" t="s">
        <v>143</v>
      </c>
      <c r="B39" s="190">
        <v>332491481.31</v>
      </c>
      <c r="C39" s="190">
        <v>280516439.10000002</v>
      </c>
      <c r="D39" s="190">
        <v>287457618.22000003</v>
      </c>
      <c r="E39" s="190">
        <v>276803432.69999999</v>
      </c>
      <c r="F39" s="190">
        <v>284468499.72000003</v>
      </c>
      <c r="G39" s="190">
        <v>189659562.69</v>
      </c>
      <c r="H39" s="190">
        <v>166876968.88999999</v>
      </c>
      <c r="I39" s="190">
        <v>194442775.68000001</v>
      </c>
      <c r="J39" s="190">
        <v>202660912.94</v>
      </c>
      <c r="K39" s="190">
        <v>200586287.63</v>
      </c>
      <c r="L39" s="190">
        <v>201696388.78999999</v>
      </c>
      <c r="M39" s="190">
        <v>173155868.44</v>
      </c>
      <c r="N39" s="190">
        <v>181957265.94</v>
      </c>
      <c r="O39" s="190">
        <v>212138740.53</v>
      </c>
      <c r="P39" s="190">
        <v>221385820.53</v>
      </c>
      <c r="Q39" s="190">
        <v>219691594.66999999</v>
      </c>
      <c r="R39" s="190">
        <v>198258338.47999999</v>
      </c>
      <c r="S39" s="190">
        <v>203294555.49000001</v>
      </c>
      <c r="T39" s="190">
        <v>197928564.84999999</v>
      </c>
      <c r="U39" s="190">
        <v>206340650.06999999</v>
      </c>
      <c r="V39" s="190">
        <v>196433264.06999999</v>
      </c>
      <c r="W39" s="190">
        <v>189613719.19</v>
      </c>
      <c r="X39" s="190">
        <v>173843976.78999999</v>
      </c>
      <c r="Y39" s="190">
        <v>200605367.56999999</v>
      </c>
      <c r="Z39" s="190">
        <v>204986935.97</v>
      </c>
      <c r="AA39" s="190">
        <v>186747691.91999999</v>
      </c>
      <c r="AB39" s="190">
        <v>123870193.34</v>
      </c>
      <c r="AC39" s="190">
        <v>118560500.20999999</v>
      </c>
      <c r="AD39" s="190">
        <v>180798828.83000001</v>
      </c>
      <c r="AE39" s="190">
        <v>114476487.09999999</v>
      </c>
      <c r="AF39" s="190">
        <v>115384373.29000001</v>
      </c>
      <c r="AG39" s="190">
        <v>107030597.65000001</v>
      </c>
      <c r="AH39" s="190">
        <v>108077747.11</v>
      </c>
      <c r="AI39" s="190">
        <v>89673628.579999998</v>
      </c>
      <c r="AJ39" s="190">
        <v>86303207.370000005</v>
      </c>
      <c r="AK39" s="190">
        <v>82441513.650000006</v>
      </c>
      <c r="AL39" s="190">
        <v>86363466.200000003</v>
      </c>
      <c r="AM39" s="190">
        <v>70024279.890000001</v>
      </c>
      <c r="AN39" s="190">
        <v>62687829.549999997</v>
      </c>
      <c r="AO39" s="190">
        <v>63167136.82</v>
      </c>
      <c r="AP39" s="190">
        <v>60682944.390000001</v>
      </c>
      <c r="AQ39" s="190">
        <v>64441466.950000003</v>
      </c>
      <c r="AR39" s="190">
        <v>64019407.909999996</v>
      </c>
      <c r="AS39" s="190">
        <v>57911493.5</v>
      </c>
      <c r="AT39" s="190">
        <v>56677875.560000002</v>
      </c>
      <c r="AU39" s="190">
        <v>28966830.420000002</v>
      </c>
      <c r="AV39" s="190">
        <v>30150836.600000001</v>
      </c>
      <c r="AW39" s="190">
        <v>31459892.359999999</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c r="CM39" s="190">
        <v>0</v>
      </c>
    </row>
    <row r="40" spans="1:91">
      <c r="A40" s="190" t="s">
        <v>144</v>
      </c>
      <c r="B40" s="190">
        <v>660288.43000000005</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8684612.9299999997</v>
      </c>
      <c r="AO40" s="190">
        <v>0</v>
      </c>
      <c r="AP40" s="190">
        <v>0</v>
      </c>
      <c r="AQ40" s="190">
        <v>0</v>
      </c>
      <c r="AR40" s="190">
        <v>0</v>
      </c>
      <c r="AS40" s="190">
        <v>0</v>
      </c>
      <c r="AT40" s="190">
        <v>0</v>
      </c>
      <c r="AU40" s="190">
        <v>0</v>
      </c>
      <c r="AV40" s="190">
        <v>134492721.5</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610209.04</v>
      </c>
      <c r="BQ40" s="190">
        <v>1110824.5900000001</v>
      </c>
      <c r="BR40" s="190">
        <v>1876288.43</v>
      </c>
      <c r="BS40" s="190">
        <v>0</v>
      </c>
      <c r="BT40" s="190">
        <v>0</v>
      </c>
      <c r="BU40" s="190">
        <v>0</v>
      </c>
      <c r="BV40" s="190">
        <v>101005.71</v>
      </c>
      <c r="BW40" s="190">
        <v>0</v>
      </c>
      <c r="BX40" s="190">
        <v>470783.19</v>
      </c>
      <c r="BY40" s="190">
        <v>0</v>
      </c>
      <c r="BZ40" s="190">
        <v>11777010.560000001</v>
      </c>
      <c r="CA40" s="190">
        <v>0</v>
      </c>
      <c r="CB40" s="190">
        <v>18491731.039999999</v>
      </c>
      <c r="CC40" s="190">
        <v>0</v>
      </c>
      <c r="CD40" s="190">
        <v>20209139.52</v>
      </c>
      <c r="CE40" s="190">
        <v>21809664.98</v>
      </c>
      <c r="CF40" s="190">
        <v>0</v>
      </c>
      <c r="CG40" s="190">
        <v>0</v>
      </c>
      <c r="CH40" s="190">
        <v>18643.12</v>
      </c>
      <c r="CI40" s="190">
        <v>0</v>
      </c>
      <c r="CJ40" s="190">
        <v>0</v>
      </c>
      <c r="CK40" s="190">
        <v>0</v>
      </c>
      <c r="CL40" s="190">
        <v>0</v>
      </c>
      <c r="CM40" s="190">
        <v>0</v>
      </c>
    </row>
    <row r="41" spans="1:91">
      <c r="A41" s="190" t="s">
        <v>145</v>
      </c>
      <c r="B41" s="190">
        <v>5211229603.2600002</v>
      </c>
      <c r="C41" s="190">
        <v>5213161338.5</v>
      </c>
      <c r="D41" s="190">
        <v>5175614249.6800003</v>
      </c>
      <c r="E41" s="190">
        <v>5165949387.9499998</v>
      </c>
      <c r="F41" s="190">
        <v>5016213770.0900002</v>
      </c>
      <c r="G41" s="190">
        <v>4968925119.1199999</v>
      </c>
      <c r="H41" s="190">
        <v>4946775772.0299997</v>
      </c>
      <c r="I41" s="190">
        <v>4957879063.1999998</v>
      </c>
      <c r="J41" s="190">
        <v>4943342807.5299997</v>
      </c>
      <c r="K41" s="190">
        <v>5096270040.96</v>
      </c>
      <c r="L41" s="190">
        <v>5028209666.0200005</v>
      </c>
      <c r="M41" s="190">
        <v>4733568852.3100004</v>
      </c>
      <c r="N41" s="190">
        <v>4694030958.6199999</v>
      </c>
      <c r="O41" s="190">
        <v>4905184683.3199997</v>
      </c>
      <c r="P41" s="190">
        <v>5055364334.0900002</v>
      </c>
      <c r="Q41" s="190">
        <v>5210795996.04</v>
      </c>
      <c r="R41" s="190">
        <v>5117961588.0799999</v>
      </c>
      <c r="S41" s="190">
        <v>5117488654.6000004</v>
      </c>
      <c r="T41" s="190">
        <v>5040318625.3800001</v>
      </c>
      <c r="U41" s="190">
        <v>4993490218.1199999</v>
      </c>
      <c r="V41" s="190">
        <v>4893504011.0600004</v>
      </c>
      <c r="W41" s="190">
        <v>5000394171.6000004</v>
      </c>
      <c r="X41" s="190">
        <v>4821206032.3500004</v>
      </c>
      <c r="Y41" s="190">
        <v>4768547120.0200005</v>
      </c>
      <c r="Z41" s="190">
        <v>4811045309.25</v>
      </c>
      <c r="AA41" s="190">
        <v>4780453780.1000004</v>
      </c>
      <c r="AB41" s="190">
        <v>4111542900.1199999</v>
      </c>
      <c r="AC41" s="190">
        <v>4070142186.77</v>
      </c>
      <c r="AD41" s="190">
        <v>4029511761.5300002</v>
      </c>
      <c r="AE41" s="190">
        <v>3638292031.23</v>
      </c>
      <c r="AF41" s="190">
        <v>3677151812.02</v>
      </c>
      <c r="AG41" s="190">
        <v>3621686480.3400002</v>
      </c>
      <c r="AH41" s="190">
        <v>3538719383.5999999</v>
      </c>
      <c r="AI41" s="190">
        <v>3593320562.8600001</v>
      </c>
      <c r="AJ41" s="190">
        <v>3568951891.7199998</v>
      </c>
      <c r="AK41" s="190">
        <v>3514187198.9899998</v>
      </c>
      <c r="AL41" s="190">
        <v>3433290746.54</v>
      </c>
      <c r="AM41" s="190">
        <v>3538036887.8499999</v>
      </c>
      <c r="AN41" s="190">
        <v>3019425142.4400001</v>
      </c>
      <c r="AO41" s="190">
        <v>2970633696.7399998</v>
      </c>
      <c r="AP41" s="190">
        <v>2908405033.2399998</v>
      </c>
      <c r="AQ41" s="190">
        <v>2870288013.7800002</v>
      </c>
      <c r="AR41" s="190">
        <v>2928191369.6999998</v>
      </c>
      <c r="AS41" s="190">
        <v>2971069393.8499999</v>
      </c>
      <c r="AT41" s="190">
        <v>2910086787.6199999</v>
      </c>
      <c r="AU41" s="190">
        <v>3009392335.1999998</v>
      </c>
      <c r="AV41" s="190">
        <v>2928996393.5799999</v>
      </c>
      <c r="AW41" s="190">
        <v>2595409724.9000001</v>
      </c>
      <c r="AX41" s="190">
        <v>2597468323.4099998</v>
      </c>
      <c r="AY41" s="190">
        <v>2410763534.8400002</v>
      </c>
      <c r="AZ41" s="190">
        <v>2483820863.0900002</v>
      </c>
      <c r="BA41" s="190">
        <v>2554486005</v>
      </c>
      <c r="BB41" s="190">
        <v>2574247298.3200002</v>
      </c>
      <c r="BC41" s="190">
        <v>2609201305.6399999</v>
      </c>
      <c r="BD41" s="190">
        <v>2683968901.46</v>
      </c>
      <c r="BE41" s="190">
        <v>2689101232.8800001</v>
      </c>
      <c r="BF41" s="190">
        <v>2676403110.5799999</v>
      </c>
      <c r="BG41" s="190">
        <v>2633768248.5900002</v>
      </c>
      <c r="BH41" s="190">
        <v>2540908104.8800001</v>
      </c>
      <c r="BI41" s="190">
        <v>2627501543.46</v>
      </c>
      <c r="BJ41" s="190">
        <v>2633995522.4200001</v>
      </c>
      <c r="BK41" s="190">
        <v>2697608030.8499999</v>
      </c>
      <c r="BL41" s="190">
        <v>2506061093.3600001</v>
      </c>
      <c r="BM41" s="190">
        <v>2449347773.48</v>
      </c>
      <c r="BN41" s="190">
        <v>2441134555.5</v>
      </c>
      <c r="BO41" s="190">
        <v>2120830735.96</v>
      </c>
      <c r="BP41" s="190">
        <v>2152380109.23</v>
      </c>
      <c r="BQ41" s="190">
        <v>2117283926.8199999</v>
      </c>
      <c r="BR41" s="190">
        <v>2007899852.48</v>
      </c>
      <c r="BS41" s="190">
        <v>2214134485.5799999</v>
      </c>
      <c r="BT41" s="190">
        <v>1814339827.5999999</v>
      </c>
      <c r="BU41" s="190">
        <v>2086744304.6300001</v>
      </c>
      <c r="BV41" s="190">
        <v>1960182316.27</v>
      </c>
      <c r="BW41" s="190">
        <v>1207621496.74</v>
      </c>
      <c r="BX41" s="190">
        <v>1240321581.52</v>
      </c>
      <c r="BY41" s="190">
        <v>574057932.87</v>
      </c>
      <c r="BZ41" s="190">
        <v>588541562.14999998</v>
      </c>
      <c r="CA41" s="190">
        <v>677037774.94000006</v>
      </c>
      <c r="CB41" s="190">
        <v>687351742.99000001</v>
      </c>
      <c r="CC41" s="190">
        <v>787223472.25</v>
      </c>
      <c r="CD41" s="190">
        <v>751275240.24000001</v>
      </c>
      <c r="CE41" s="190">
        <v>790420550.49000001</v>
      </c>
      <c r="CF41" s="190">
        <v>674985000</v>
      </c>
      <c r="CG41" s="190">
        <v>569657728.32000005</v>
      </c>
      <c r="CH41" s="190">
        <v>484791080.55000001</v>
      </c>
      <c r="CI41" s="190">
        <v>0</v>
      </c>
      <c r="CJ41" s="190">
        <v>0</v>
      </c>
      <c r="CK41" s="190">
        <v>0</v>
      </c>
      <c r="CL41" s="190">
        <v>0</v>
      </c>
      <c r="CM41" s="190">
        <v>0</v>
      </c>
    </row>
    <row r="42" spans="1:91">
      <c r="A42" s="190" t="s">
        <v>146</v>
      </c>
      <c r="B42" s="190">
        <v>33661588218</v>
      </c>
      <c r="C42" s="190">
        <v>33137806564.169998</v>
      </c>
      <c r="D42" s="190">
        <v>33231812272.380001</v>
      </c>
      <c r="E42" s="190">
        <v>33759891731.740002</v>
      </c>
      <c r="F42" s="190">
        <v>33520374733.110001</v>
      </c>
      <c r="G42" s="190">
        <v>32332378568.75</v>
      </c>
      <c r="H42" s="190">
        <v>31521904479.709999</v>
      </c>
      <c r="I42" s="190">
        <v>32796133092.939999</v>
      </c>
      <c r="J42" s="190">
        <v>31741039188.790001</v>
      </c>
      <c r="K42" s="190">
        <v>31226608509.82</v>
      </c>
      <c r="L42" s="190">
        <v>30947866530.209999</v>
      </c>
      <c r="M42" s="190">
        <v>30448597827.849998</v>
      </c>
      <c r="N42" s="190">
        <v>29852734095.540001</v>
      </c>
      <c r="O42" s="190">
        <v>29357613194.259998</v>
      </c>
      <c r="P42" s="190">
        <v>30290653917.110001</v>
      </c>
      <c r="Q42" s="190">
        <v>29973481837.84</v>
      </c>
      <c r="R42" s="190">
        <v>29769094699.509998</v>
      </c>
      <c r="S42" s="190">
        <v>29266053922.849998</v>
      </c>
      <c r="T42" s="190">
        <v>28737502386.299999</v>
      </c>
      <c r="U42" s="190">
        <v>28118184339.650002</v>
      </c>
      <c r="V42" s="190">
        <v>27120459751.27</v>
      </c>
      <c r="W42" s="190">
        <v>26437951645.41</v>
      </c>
      <c r="X42" s="190">
        <v>25419448579.150002</v>
      </c>
      <c r="Y42" s="190">
        <v>24586762638.279999</v>
      </c>
      <c r="Z42" s="190">
        <v>25743676630.150002</v>
      </c>
      <c r="AA42" s="190">
        <v>23218137484.130001</v>
      </c>
      <c r="AB42" s="190">
        <v>19786591921.369999</v>
      </c>
      <c r="AC42" s="190">
        <v>18228936755.52</v>
      </c>
      <c r="AD42" s="190">
        <v>21032130468.099998</v>
      </c>
      <c r="AE42" s="190">
        <v>17316927174.400002</v>
      </c>
      <c r="AF42" s="190">
        <v>16729824064.290001</v>
      </c>
      <c r="AG42" s="190">
        <v>15752968981.219999</v>
      </c>
      <c r="AH42" s="190">
        <v>15187648312.91</v>
      </c>
      <c r="AI42" s="190">
        <v>15119780162.540001</v>
      </c>
      <c r="AJ42" s="190">
        <v>14449654024.42</v>
      </c>
      <c r="AK42" s="190">
        <v>13600158747.360001</v>
      </c>
      <c r="AL42" s="190">
        <v>13111628464.450001</v>
      </c>
      <c r="AM42" s="190">
        <v>12900358473.540001</v>
      </c>
      <c r="AN42" s="190">
        <v>11649213796.629999</v>
      </c>
      <c r="AO42" s="190">
        <v>10931292753.559999</v>
      </c>
      <c r="AP42" s="190">
        <v>10476999796.84</v>
      </c>
      <c r="AQ42" s="190">
        <v>10507452280.65</v>
      </c>
      <c r="AR42" s="190">
        <v>10404102038.58</v>
      </c>
      <c r="AS42" s="190">
        <v>9925025420.3199997</v>
      </c>
      <c r="AT42" s="190">
        <v>10026108121.42</v>
      </c>
      <c r="AU42" s="190">
        <v>9731360925.1000004</v>
      </c>
      <c r="AV42" s="190">
        <v>9346467350.2199993</v>
      </c>
      <c r="AW42" s="190">
        <v>8692596628.0799999</v>
      </c>
      <c r="AX42" s="190">
        <v>8525370016.6000004</v>
      </c>
      <c r="AY42" s="190">
        <v>8127363248.5500002</v>
      </c>
      <c r="AZ42" s="190">
        <v>7908550177.0799999</v>
      </c>
      <c r="BA42" s="190">
        <v>7652770633.7600002</v>
      </c>
      <c r="BB42" s="190">
        <v>7752671794.3800001</v>
      </c>
      <c r="BC42" s="190">
        <v>7692590871.8500004</v>
      </c>
      <c r="BD42" s="190">
        <v>7924262028.3400002</v>
      </c>
      <c r="BE42" s="190">
        <v>8179311231.4399996</v>
      </c>
      <c r="BF42" s="190">
        <v>8227776215.0100002</v>
      </c>
      <c r="BG42" s="190">
        <v>8475432869.0600004</v>
      </c>
      <c r="BH42" s="190">
        <v>8612850307.1100006</v>
      </c>
      <c r="BI42" s="190">
        <v>8511903588.3999996</v>
      </c>
      <c r="BJ42" s="190">
        <v>8529207681.5500002</v>
      </c>
      <c r="BK42" s="190">
        <v>8481734886.3599997</v>
      </c>
      <c r="BL42" s="190">
        <v>8596935405.9899998</v>
      </c>
      <c r="BM42" s="190">
        <v>8548661873.1300001</v>
      </c>
      <c r="BN42" s="190">
        <v>8504600429.8599997</v>
      </c>
      <c r="BO42" s="190">
        <v>7927133224.2600002</v>
      </c>
      <c r="BP42" s="190">
        <v>8142983403.6400003</v>
      </c>
      <c r="BQ42" s="190">
        <v>7772992509.7399998</v>
      </c>
      <c r="BR42" s="190">
        <v>7434956073.1099997</v>
      </c>
      <c r="BS42" s="190">
        <v>7406369426.0500002</v>
      </c>
      <c r="BT42" s="190">
        <v>6892352479.4700003</v>
      </c>
      <c r="BU42" s="190">
        <v>7129817168.8599997</v>
      </c>
      <c r="BV42" s="190">
        <v>6886955811.5200005</v>
      </c>
      <c r="BW42" s="190">
        <v>5057606168.3100004</v>
      </c>
      <c r="BX42" s="190">
        <v>5124004378.7600002</v>
      </c>
      <c r="BY42" s="190">
        <v>2461500311.8299999</v>
      </c>
      <c r="BZ42" s="190">
        <v>2626284825.5799999</v>
      </c>
      <c r="CA42" s="190">
        <v>2434980488.4499998</v>
      </c>
      <c r="CB42" s="190">
        <v>2582924979.1900001</v>
      </c>
      <c r="CC42" s="190">
        <v>2336543811.5</v>
      </c>
      <c r="CD42" s="190">
        <v>1914374559.4000001</v>
      </c>
      <c r="CE42" s="190">
        <v>1607893658.3699999</v>
      </c>
      <c r="CF42" s="190">
        <v>1445865000</v>
      </c>
      <c r="CG42" s="190">
        <v>1422259892.8900001</v>
      </c>
      <c r="CH42" s="190">
        <v>1035641191.15</v>
      </c>
      <c r="CI42" s="190">
        <v>756550000</v>
      </c>
      <c r="CJ42" s="190">
        <v>540650000</v>
      </c>
      <c r="CK42" s="190">
        <v>287000000</v>
      </c>
      <c r="CL42" s="190">
        <v>291120000</v>
      </c>
      <c r="CM42" s="190">
        <v>0</v>
      </c>
    </row>
    <row r="43" spans="1:91">
      <c r="A43" s="190" t="s">
        <v>147</v>
      </c>
    </row>
    <row r="44" spans="1:91">
      <c r="A44" s="190" t="s">
        <v>148</v>
      </c>
      <c r="B44" s="190">
        <v>39000000</v>
      </c>
      <c r="C44" s="190">
        <v>39000000</v>
      </c>
      <c r="D44" s="190">
        <v>39000000</v>
      </c>
      <c r="E44" s="190">
        <v>39000000</v>
      </c>
      <c r="F44" s="190">
        <v>34500000</v>
      </c>
      <c r="G44" s="190">
        <v>34500000</v>
      </c>
      <c r="H44" s="190">
        <v>29500000</v>
      </c>
      <c r="I44" s="190">
        <v>29500000</v>
      </c>
      <c r="J44" s="190">
        <v>29500000</v>
      </c>
      <c r="K44" s="190">
        <v>39000000</v>
      </c>
      <c r="L44" s="190">
        <v>39000000</v>
      </c>
      <c r="M44" s="190">
        <v>43500000</v>
      </c>
      <c r="N44" s="190">
        <v>49917220</v>
      </c>
      <c r="O44" s="190">
        <v>51947150.439999998</v>
      </c>
      <c r="P44" s="190">
        <v>51758412.549999997</v>
      </c>
      <c r="Q44" s="190">
        <v>166270000</v>
      </c>
      <c r="R44" s="190">
        <v>162948000</v>
      </c>
      <c r="S44" s="190">
        <v>192516000</v>
      </c>
      <c r="T44" s="190">
        <v>188500000</v>
      </c>
      <c r="U44" s="190">
        <v>200650000</v>
      </c>
      <c r="V44" s="190">
        <v>190528397.47999999</v>
      </c>
      <c r="W44" s="190">
        <v>331500000</v>
      </c>
      <c r="X44" s="190">
        <v>321500000</v>
      </c>
      <c r="Y44" s="190">
        <v>321500000</v>
      </c>
      <c r="Z44" s="190">
        <v>433381900</v>
      </c>
      <c r="AA44" s="190">
        <v>369910000</v>
      </c>
      <c r="AB44" s="190">
        <v>260400000</v>
      </c>
      <c r="AC44" s="190">
        <v>258340000</v>
      </c>
      <c r="AD44" s="190">
        <v>274645000</v>
      </c>
      <c r="AE44" s="190">
        <v>246500000</v>
      </c>
      <c r="AF44" s="190">
        <v>316500000</v>
      </c>
      <c r="AG44" s="190">
        <v>226500000</v>
      </c>
      <c r="AH44" s="190">
        <v>231084536</v>
      </c>
      <c r="AI44" s="190">
        <v>304500000</v>
      </c>
      <c r="AJ44" s="190">
        <v>378500000</v>
      </c>
      <c r="AK44" s="190">
        <v>408500000</v>
      </c>
      <c r="AL44" s="190">
        <v>440500000</v>
      </c>
      <c r="AM44" s="190">
        <v>610000000</v>
      </c>
      <c r="AN44" s="190">
        <v>276500000</v>
      </c>
      <c r="AO44" s="190">
        <v>331500000</v>
      </c>
      <c r="AP44" s="190">
        <v>350500000</v>
      </c>
      <c r="AQ44" s="190">
        <v>323500000</v>
      </c>
      <c r="AR44" s="190">
        <v>394555709</v>
      </c>
      <c r="AS44" s="190">
        <v>365500000</v>
      </c>
      <c r="AT44" s="190">
        <v>368715528</v>
      </c>
      <c r="AU44" s="190">
        <v>330500000</v>
      </c>
      <c r="AV44" s="190">
        <v>354000000</v>
      </c>
      <c r="AW44" s="190">
        <v>364475880</v>
      </c>
      <c r="AX44" s="190">
        <v>358275880</v>
      </c>
      <c r="AY44" s="190">
        <v>350000000</v>
      </c>
      <c r="AZ44" s="190">
        <v>396000000</v>
      </c>
      <c r="BA44" s="190">
        <v>505300000</v>
      </c>
      <c r="BB44" s="190">
        <v>540500000</v>
      </c>
      <c r="BC44" s="190">
        <v>547300000</v>
      </c>
      <c r="BD44" s="190">
        <v>588300000</v>
      </c>
      <c r="BE44" s="190">
        <v>675037000</v>
      </c>
      <c r="BF44" s="190">
        <v>633537000</v>
      </c>
      <c r="BG44" s="190">
        <v>616290000</v>
      </c>
      <c r="BH44" s="190">
        <v>719730000</v>
      </c>
      <c r="BI44" s="190">
        <v>765960000</v>
      </c>
      <c r="BJ44" s="190">
        <v>781494800</v>
      </c>
      <c r="BK44" s="190">
        <v>853264800</v>
      </c>
      <c r="BL44" s="190">
        <v>1298364800</v>
      </c>
      <c r="BM44" s="190">
        <v>1431067000</v>
      </c>
      <c r="BN44" s="190">
        <v>1337907000</v>
      </c>
      <c r="BO44" s="190">
        <v>1214207000</v>
      </c>
      <c r="BP44" s="190">
        <v>1176757000</v>
      </c>
      <c r="BQ44" s="190">
        <v>1145757000</v>
      </c>
      <c r="BR44" s="190">
        <v>1058617000</v>
      </c>
      <c r="BS44" s="190">
        <v>1018292000</v>
      </c>
      <c r="BT44" s="190">
        <v>867456630</v>
      </c>
      <c r="BU44" s="190">
        <v>891011400</v>
      </c>
      <c r="BV44" s="190">
        <v>834217990</v>
      </c>
      <c r="BW44" s="190">
        <v>727020320</v>
      </c>
      <c r="BX44" s="190">
        <v>709078840</v>
      </c>
      <c r="BY44" s="190">
        <v>602506560</v>
      </c>
      <c r="BZ44" s="190">
        <v>634557000</v>
      </c>
      <c r="CA44" s="190">
        <v>0</v>
      </c>
      <c r="CB44" s="190">
        <v>529874106</v>
      </c>
      <c r="CC44" s="190">
        <v>0</v>
      </c>
      <c r="CD44" s="190">
        <v>321795360</v>
      </c>
      <c r="CE44" s="190">
        <v>0</v>
      </c>
      <c r="CF44" s="190">
        <v>184694000</v>
      </c>
      <c r="CG44" s="190">
        <v>0</v>
      </c>
      <c r="CH44" s="190">
        <v>234825329.94</v>
      </c>
      <c r="CI44" s="190">
        <v>0</v>
      </c>
      <c r="CJ44" s="190">
        <v>0</v>
      </c>
      <c r="CK44" s="190">
        <v>0</v>
      </c>
      <c r="CL44" s="190">
        <v>0</v>
      </c>
      <c r="CM44" s="190">
        <v>0</v>
      </c>
    </row>
    <row r="45" spans="1:91">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6281727</v>
      </c>
      <c r="AB45" s="190">
        <v>0</v>
      </c>
      <c r="AC45" s="190">
        <v>0</v>
      </c>
      <c r="AD45" s="190">
        <v>4466223</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c r="CM45" s="190">
        <v>0</v>
      </c>
    </row>
    <row r="46" spans="1:91">
      <c r="A46" s="190" t="s">
        <v>150</v>
      </c>
      <c r="B46" s="190">
        <v>0</v>
      </c>
      <c r="C46" s="190">
        <v>0</v>
      </c>
      <c r="D46" s="190">
        <v>76857855.700000003</v>
      </c>
      <c r="E46" s="190">
        <v>87521805.5</v>
      </c>
      <c r="F46" s="190">
        <v>105318169.41</v>
      </c>
      <c r="G46" s="190">
        <v>88720552.200000003</v>
      </c>
      <c r="H46" s="190">
        <v>80587776.489999995</v>
      </c>
      <c r="I46" s="190">
        <v>83693789.209999993</v>
      </c>
      <c r="J46" s="190">
        <v>79179571.939999998</v>
      </c>
      <c r="K46" s="190">
        <v>90729043.870000005</v>
      </c>
      <c r="L46" s="190">
        <v>102497060</v>
      </c>
      <c r="M46" s="190">
        <v>88586732.739999995</v>
      </c>
      <c r="N46" s="190">
        <v>117924161.56</v>
      </c>
      <c r="O46" s="190">
        <v>90435285.159999996</v>
      </c>
      <c r="P46" s="190">
        <v>84067573.590000004</v>
      </c>
      <c r="Q46" s="190">
        <v>109918483.68000001</v>
      </c>
      <c r="R46" s="190">
        <v>92652020.489999995</v>
      </c>
      <c r="S46" s="190">
        <v>101462212.66</v>
      </c>
      <c r="T46" s="190">
        <v>93600805.010000005</v>
      </c>
      <c r="U46" s="190">
        <v>90641759.980000004</v>
      </c>
      <c r="V46" s="190">
        <v>110652869.25</v>
      </c>
      <c r="W46" s="190">
        <v>84407613.390000001</v>
      </c>
      <c r="X46" s="190">
        <v>79150966.349999994</v>
      </c>
      <c r="Y46" s="190">
        <v>57679053.829999998</v>
      </c>
      <c r="Z46" s="190">
        <v>62182949.380000003</v>
      </c>
      <c r="AA46" s="190">
        <v>29647455.559999999</v>
      </c>
      <c r="AB46" s="190">
        <v>25046814.870000001</v>
      </c>
      <c r="AC46" s="190">
        <v>41501445.729999997</v>
      </c>
      <c r="AD46" s="190">
        <v>44437096.530000001</v>
      </c>
      <c r="AE46" s="190">
        <v>36688248.93</v>
      </c>
      <c r="AF46" s="190">
        <v>24050282.050000001</v>
      </c>
      <c r="AG46" s="190">
        <v>26355656.690000001</v>
      </c>
      <c r="AH46" s="190">
        <v>17325166.829999998</v>
      </c>
      <c r="AI46" s="190">
        <v>31597620.09</v>
      </c>
      <c r="AJ46" s="190">
        <v>32451837.370000001</v>
      </c>
      <c r="AK46" s="190">
        <v>19118042.75</v>
      </c>
      <c r="AL46" s="190">
        <v>21889473</v>
      </c>
      <c r="AM46" s="190">
        <v>23428171</v>
      </c>
      <c r="AN46" s="190">
        <v>11437135.130000001</v>
      </c>
      <c r="AO46" s="190">
        <v>5573640</v>
      </c>
      <c r="AP46" s="190">
        <v>292000</v>
      </c>
      <c r="AQ46" s="190">
        <v>1064770</v>
      </c>
      <c r="AR46" s="190">
        <v>3642520</v>
      </c>
      <c r="AS46" s="190">
        <v>4172150</v>
      </c>
      <c r="AT46" s="190">
        <v>944050</v>
      </c>
      <c r="AU46" s="190">
        <v>1431900</v>
      </c>
      <c r="AV46" s="190">
        <v>2770000</v>
      </c>
      <c r="AW46" s="190">
        <v>3000000</v>
      </c>
      <c r="AX46" s="190">
        <v>2417250</v>
      </c>
      <c r="AY46" s="190">
        <v>6146115.2400000002</v>
      </c>
      <c r="AZ46" s="190">
        <v>6100000</v>
      </c>
      <c r="BA46" s="190">
        <v>8715000</v>
      </c>
      <c r="BB46" s="190">
        <v>5540000</v>
      </c>
      <c r="BC46" s="190">
        <v>2287900</v>
      </c>
      <c r="BD46" s="190">
        <v>10865452.640000001</v>
      </c>
      <c r="BE46" s="190">
        <v>6820000</v>
      </c>
      <c r="BF46" s="190">
        <v>26720000</v>
      </c>
      <c r="BG46" s="190">
        <v>12213188.800000001</v>
      </c>
      <c r="BH46" s="190">
        <v>5660730</v>
      </c>
      <c r="BI46" s="190">
        <v>990000</v>
      </c>
      <c r="BJ46" s="190">
        <v>3450000</v>
      </c>
      <c r="BK46" s="190">
        <v>17194794.199999999</v>
      </c>
      <c r="BL46" s="190">
        <v>5118800</v>
      </c>
      <c r="BM46" s="190">
        <v>4559800</v>
      </c>
      <c r="BN46" s="190">
        <v>7094949.4000000004</v>
      </c>
      <c r="BO46" s="190">
        <v>2433719.6</v>
      </c>
      <c r="BP46" s="190">
        <v>1983691.6</v>
      </c>
      <c r="BQ46" s="190">
        <v>2340210</v>
      </c>
      <c r="BR46" s="190">
        <v>1230000</v>
      </c>
      <c r="BS46" s="190">
        <v>3098483.18</v>
      </c>
      <c r="BT46" s="190">
        <v>5350000</v>
      </c>
      <c r="BU46" s="190">
        <v>26896195.309999999</v>
      </c>
      <c r="BV46" s="190">
        <v>38322431.530000001</v>
      </c>
      <c r="BW46" s="190">
        <v>52284373.18</v>
      </c>
      <c r="BX46" s="190">
        <v>15723433.779999999</v>
      </c>
      <c r="BY46" s="190">
        <v>128323300.19</v>
      </c>
      <c r="BZ46" s="190">
        <v>250941844.80000001</v>
      </c>
      <c r="CA46" s="190">
        <v>0</v>
      </c>
      <c r="CB46" s="190">
        <v>464910503.25999999</v>
      </c>
      <c r="CC46" s="190">
        <v>0</v>
      </c>
      <c r="CD46" s="190">
        <v>138885416.56999999</v>
      </c>
      <c r="CE46" s="190">
        <v>0</v>
      </c>
      <c r="CF46" s="190">
        <v>0</v>
      </c>
      <c r="CG46" s="190">
        <v>0</v>
      </c>
      <c r="CH46" s="190">
        <v>24031185.399999999</v>
      </c>
      <c r="CI46" s="190">
        <v>0</v>
      </c>
      <c r="CJ46" s="190">
        <v>0</v>
      </c>
      <c r="CK46" s="190">
        <v>0</v>
      </c>
      <c r="CL46" s="190">
        <v>0</v>
      </c>
      <c r="CM46" s="190">
        <v>0</v>
      </c>
    </row>
    <row r="47" spans="1:91">
      <c r="A47" s="190" t="s">
        <v>151</v>
      </c>
      <c r="B47" s="190">
        <v>0</v>
      </c>
      <c r="C47" s="190">
        <v>0</v>
      </c>
      <c r="D47" s="190">
        <v>2517378070.8899999</v>
      </c>
      <c r="E47" s="190">
        <v>1804642810.1800001</v>
      </c>
      <c r="F47" s="190">
        <v>2249319523.23</v>
      </c>
      <c r="G47" s="190">
        <v>1838095854.8499999</v>
      </c>
      <c r="H47" s="190">
        <v>1482783604.7</v>
      </c>
      <c r="I47" s="190">
        <v>1825105436.01</v>
      </c>
      <c r="J47" s="190">
        <v>1792884979.6900001</v>
      </c>
      <c r="K47" s="190">
        <v>1914212950.1600001</v>
      </c>
      <c r="L47" s="190">
        <v>1814264019.0699999</v>
      </c>
      <c r="M47" s="190">
        <v>1588467452.97</v>
      </c>
      <c r="N47" s="190">
        <v>1611808884.4100001</v>
      </c>
      <c r="O47" s="190">
        <v>1797951811.9300001</v>
      </c>
      <c r="P47" s="190">
        <v>1869387867.8499999</v>
      </c>
      <c r="Q47" s="190">
        <v>1749316342</v>
      </c>
      <c r="R47" s="190">
        <v>2024844816.1600001</v>
      </c>
      <c r="S47" s="190">
        <v>2063838599.74</v>
      </c>
      <c r="T47" s="190">
        <v>1909828679.5899999</v>
      </c>
      <c r="U47" s="190">
        <v>1776899285.0799999</v>
      </c>
      <c r="V47" s="190">
        <v>2130323705</v>
      </c>
      <c r="W47" s="190">
        <v>1980032549.6900001</v>
      </c>
      <c r="X47" s="190">
        <v>1748690804.72</v>
      </c>
      <c r="Y47" s="190">
        <v>1573904907.9000001</v>
      </c>
      <c r="Z47" s="190">
        <v>1987324728.52</v>
      </c>
      <c r="AA47" s="190">
        <v>2137108028.0999999</v>
      </c>
      <c r="AB47" s="190">
        <v>1439114751.1300001</v>
      </c>
      <c r="AC47" s="190">
        <v>1229328347.0699999</v>
      </c>
      <c r="AD47" s="190">
        <v>2231200865.73</v>
      </c>
      <c r="AE47" s="190">
        <v>1791464407.74</v>
      </c>
      <c r="AF47" s="190">
        <v>1858035096.0999999</v>
      </c>
      <c r="AG47" s="190">
        <v>1750291802.03</v>
      </c>
      <c r="AH47" s="190">
        <v>1845507394.9000001</v>
      </c>
      <c r="AI47" s="190">
        <v>1821264618.5999999</v>
      </c>
      <c r="AJ47" s="190">
        <v>1749083756.3299999</v>
      </c>
      <c r="AK47" s="190">
        <v>1349096499.8199999</v>
      </c>
      <c r="AL47" s="190">
        <v>1425621794.23</v>
      </c>
      <c r="AM47" s="190">
        <v>1430009173.51</v>
      </c>
      <c r="AN47" s="190">
        <v>1420491728.3499999</v>
      </c>
      <c r="AO47" s="190">
        <v>1210386619.75</v>
      </c>
      <c r="AP47" s="190">
        <v>1268639641.8900001</v>
      </c>
      <c r="AQ47" s="190">
        <v>1200947866.1800001</v>
      </c>
      <c r="AR47" s="190">
        <v>1172051332.6500001</v>
      </c>
      <c r="AS47" s="190">
        <v>837359441.94000006</v>
      </c>
      <c r="AT47" s="190">
        <v>1016380092.88</v>
      </c>
      <c r="AU47" s="190">
        <v>640815935.80999994</v>
      </c>
      <c r="AV47" s="190">
        <v>579568763.19000006</v>
      </c>
      <c r="AW47" s="190">
        <v>612795961.75</v>
      </c>
      <c r="AX47" s="190">
        <v>518133720.68000001</v>
      </c>
      <c r="AY47" s="190">
        <v>333771881.81999999</v>
      </c>
      <c r="AZ47" s="190">
        <v>340941196.70999998</v>
      </c>
      <c r="BA47" s="190">
        <v>227781328.88</v>
      </c>
      <c r="BB47" s="190">
        <v>336038430.44</v>
      </c>
      <c r="BC47" s="190">
        <v>283144642.33999997</v>
      </c>
      <c r="BD47" s="190">
        <v>272731787.57999998</v>
      </c>
      <c r="BE47" s="190">
        <v>240911059.49000001</v>
      </c>
      <c r="BF47" s="190">
        <v>340172525.63999999</v>
      </c>
      <c r="BG47" s="190">
        <v>300336087.74000001</v>
      </c>
      <c r="BH47" s="190">
        <v>409767393.89999998</v>
      </c>
      <c r="BI47" s="190">
        <v>297836346.06999999</v>
      </c>
      <c r="BJ47" s="190">
        <v>336282248.62</v>
      </c>
      <c r="BK47" s="190">
        <v>361435958.88999999</v>
      </c>
      <c r="BL47" s="190">
        <v>302427088.17000002</v>
      </c>
      <c r="BM47" s="190">
        <v>370566245.02999997</v>
      </c>
      <c r="BN47" s="190">
        <v>359059202.19</v>
      </c>
      <c r="BO47" s="190">
        <v>579972808.02999997</v>
      </c>
      <c r="BP47" s="190">
        <v>916443559.75</v>
      </c>
      <c r="BQ47" s="190">
        <v>963579867.5</v>
      </c>
      <c r="BR47" s="190">
        <v>917129148.96000004</v>
      </c>
      <c r="BS47" s="190">
        <v>928090632.48000002</v>
      </c>
      <c r="BT47" s="190">
        <v>975659674.52999997</v>
      </c>
      <c r="BU47" s="190">
        <v>1130775527.8800001</v>
      </c>
      <c r="BV47" s="190">
        <v>1123317364.0899999</v>
      </c>
      <c r="BW47" s="190">
        <v>1016321120.66</v>
      </c>
      <c r="BX47" s="190">
        <v>988049808.90999997</v>
      </c>
      <c r="BY47" s="190">
        <v>287479493.19999999</v>
      </c>
      <c r="BZ47" s="190">
        <v>250663482.97</v>
      </c>
      <c r="CA47" s="190">
        <v>0</v>
      </c>
      <c r="CB47" s="190">
        <v>368577235.04000002</v>
      </c>
      <c r="CC47" s="190">
        <v>0</v>
      </c>
      <c r="CD47" s="190">
        <v>188486835.84</v>
      </c>
      <c r="CE47" s="190">
        <v>0</v>
      </c>
      <c r="CF47" s="190">
        <v>110650000</v>
      </c>
      <c r="CG47" s="190">
        <v>0</v>
      </c>
      <c r="CH47" s="190">
        <v>127204764.61</v>
      </c>
      <c r="CI47" s="190">
        <v>0</v>
      </c>
      <c r="CJ47" s="190">
        <v>0</v>
      </c>
      <c r="CK47" s="190">
        <v>0</v>
      </c>
      <c r="CL47" s="190">
        <v>0</v>
      </c>
      <c r="CM47" s="190">
        <v>0</v>
      </c>
    </row>
    <row r="48" spans="1:91">
      <c r="A48" s="190" t="s">
        <v>152</v>
      </c>
      <c r="B48" s="190">
        <v>2000</v>
      </c>
      <c r="C48" s="190">
        <v>0</v>
      </c>
      <c r="D48" s="190">
        <v>15778362163.91</v>
      </c>
      <c r="E48" s="190">
        <v>16957902466.709999</v>
      </c>
      <c r="F48" s="190">
        <v>16408535921.82</v>
      </c>
      <c r="G48" s="190">
        <v>16410670524.530001</v>
      </c>
      <c r="H48" s="190">
        <v>15957654552.629999</v>
      </c>
      <c r="I48" s="190">
        <v>16944113335.02</v>
      </c>
      <c r="J48" s="190">
        <v>16125819117.059999</v>
      </c>
      <c r="K48" s="190">
        <v>16157375933.27</v>
      </c>
      <c r="L48" s="190">
        <v>15881193828.59</v>
      </c>
      <c r="M48" s="190">
        <v>15954418323.16</v>
      </c>
      <c r="N48" s="190">
        <v>15480921327.58</v>
      </c>
      <c r="O48" s="190">
        <v>15181206568.58</v>
      </c>
      <c r="P48" s="190">
        <v>14914630862.5</v>
      </c>
      <c r="Q48" s="190">
        <v>15286937362.440001</v>
      </c>
      <c r="R48" s="190">
        <v>14817460454.35</v>
      </c>
      <c r="S48" s="190">
        <v>14567865612.950001</v>
      </c>
      <c r="T48" s="190">
        <v>13806204900.01</v>
      </c>
      <c r="U48" s="190">
        <v>13846164852.83</v>
      </c>
      <c r="V48" s="190">
        <v>12763964328.549999</v>
      </c>
      <c r="W48" s="190">
        <v>12533966581.6</v>
      </c>
      <c r="X48" s="190">
        <v>11890329954.6</v>
      </c>
      <c r="Y48" s="190">
        <v>11566390596.379999</v>
      </c>
      <c r="Z48" s="190">
        <v>10801315553.99</v>
      </c>
      <c r="AA48" s="190">
        <v>9779086699.5499992</v>
      </c>
      <c r="AB48" s="190">
        <v>8373867175.9099998</v>
      </c>
      <c r="AC48" s="190">
        <v>7404987766.3199997</v>
      </c>
      <c r="AD48" s="190">
        <v>7272013724.7399998</v>
      </c>
      <c r="AE48" s="190">
        <v>6328106052.8100004</v>
      </c>
      <c r="AF48" s="190">
        <v>5763650926.1499996</v>
      </c>
      <c r="AG48" s="190">
        <v>5079613349.2799997</v>
      </c>
      <c r="AH48" s="190">
        <v>4663632721.5200005</v>
      </c>
      <c r="AI48" s="190">
        <v>4627383245.1700001</v>
      </c>
      <c r="AJ48" s="190">
        <v>3979577919.3400002</v>
      </c>
      <c r="AK48" s="190">
        <v>3694142541.21</v>
      </c>
      <c r="AL48" s="190">
        <v>3312780065.9499998</v>
      </c>
      <c r="AM48" s="190">
        <v>3172131086.1700001</v>
      </c>
      <c r="AN48" s="190">
        <v>2506864572.0599999</v>
      </c>
      <c r="AO48" s="190">
        <v>2151774970.27</v>
      </c>
      <c r="AP48" s="190">
        <v>1936043794.1500001</v>
      </c>
      <c r="AQ48" s="190">
        <v>2210239250.9400001</v>
      </c>
      <c r="AR48" s="190">
        <v>2089371802.8900001</v>
      </c>
      <c r="AS48" s="190">
        <v>2145180858.95</v>
      </c>
      <c r="AT48" s="190">
        <v>2186370342.2199998</v>
      </c>
      <c r="AU48" s="190">
        <v>2249558149.0500002</v>
      </c>
      <c r="AV48" s="190">
        <v>2021106657.9400001</v>
      </c>
      <c r="AW48" s="190">
        <v>1676742272.6700001</v>
      </c>
      <c r="AX48" s="190">
        <v>1687022635.99</v>
      </c>
      <c r="AY48" s="190">
        <v>1629284176.0699999</v>
      </c>
      <c r="AZ48" s="190">
        <v>1427654963.1600001</v>
      </c>
      <c r="BA48" s="190">
        <v>1300915597.1199999</v>
      </c>
      <c r="BB48" s="190">
        <v>1275787545.3800001</v>
      </c>
      <c r="BC48" s="190">
        <v>1408011652.5999999</v>
      </c>
      <c r="BD48" s="190">
        <v>1435548564.8399999</v>
      </c>
      <c r="BE48" s="190">
        <v>1517910431.55</v>
      </c>
      <c r="BF48" s="190">
        <v>1593889772.71</v>
      </c>
      <c r="BG48" s="190">
        <v>2099738356.3499999</v>
      </c>
      <c r="BH48" s="190">
        <v>1928630629.3900001</v>
      </c>
      <c r="BI48" s="190">
        <v>1936171299.5799999</v>
      </c>
      <c r="BJ48" s="190">
        <v>2080245004.1400001</v>
      </c>
      <c r="BK48" s="190">
        <v>2089242023.96</v>
      </c>
      <c r="BL48" s="190">
        <v>1801159740.5999999</v>
      </c>
      <c r="BM48" s="190">
        <v>1612936235.47</v>
      </c>
      <c r="BN48" s="190">
        <v>1722456521.73</v>
      </c>
      <c r="BO48" s="190">
        <v>1469774017.5599999</v>
      </c>
      <c r="BP48" s="190">
        <v>1204019783.6900001</v>
      </c>
      <c r="BQ48" s="190">
        <v>1057353065.67</v>
      </c>
      <c r="BR48" s="190">
        <v>988322704.76999998</v>
      </c>
      <c r="BS48" s="190">
        <v>819093721.94000006</v>
      </c>
      <c r="BT48" s="190">
        <v>844645517.49000001</v>
      </c>
      <c r="BU48" s="190">
        <v>795767780.92999995</v>
      </c>
      <c r="BV48" s="190">
        <v>741838770.83000004</v>
      </c>
      <c r="BW48" s="190">
        <v>645848526.59000003</v>
      </c>
      <c r="BX48" s="190">
        <v>687264214.17999995</v>
      </c>
      <c r="BY48" s="190">
        <v>0</v>
      </c>
      <c r="BZ48" s="190">
        <v>0</v>
      </c>
      <c r="CA48" s="190">
        <v>0</v>
      </c>
      <c r="CB48" s="190">
        <v>2999752.95</v>
      </c>
      <c r="CC48" s="190">
        <v>0</v>
      </c>
      <c r="CD48" s="190">
        <v>11363414.5</v>
      </c>
      <c r="CE48" s="190">
        <v>0</v>
      </c>
      <c r="CF48" s="190">
        <v>0</v>
      </c>
      <c r="CG48" s="190">
        <v>0</v>
      </c>
      <c r="CH48" s="190">
        <v>13848498.68</v>
      </c>
      <c r="CI48" s="190">
        <v>0</v>
      </c>
      <c r="CJ48" s="190">
        <v>0</v>
      </c>
      <c r="CK48" s="190">
        <v>0</v>
      </c>
      <c r="CL48" s="190">
        <v>0</v>
      </c>
      <c r="CM48" s="190">
        <v>0</v>
      </c>
    </row>
    <row r="49" spans="1:91">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c r="CM49" s="190">
        <v>0</v>
      </c>
    </row>
    <row r="50" spans="1:91">
      <c r="A50" s="190" t="s">
        <v>154</v>
      </c>
      <c r="B50" s="190">
        <v>483907885.82999998</v>
      </c>
      <c r="C50" s="190">
        <v>418486811.93000001</v>
      </c>
      <c r="D50" s="190">
        <v>436243146.44999999</v>
      </c>
      <c r="E50" s="190">
        <v>485996079.95999998</v>
      </c>
      <c r="F50" s="190">
        <v>545036990.58000004</v>
      </c>
      <c r="G50" s="190">
        <v>444797266.66000003</v>
      </c>
      <c r="H50" s="190">
        <v>477054452.92000002</v>
      </c>
      <c r="I50" s="190">
        <v>513929695.92000002</v>
      </c>
      <c r="J50" s="190">
        <v>550439860.23000002</v>
      </c>
      <c r="K50" s="190">
        <v>427913324.94999999</v>
      </c>
      <c r="L50" s="190">
        <v>461772599.87</v>
      </c>
      <c r="M50" s="190">
        <v>493046166.38999999</v>
      </c>
      <c r="N50" s="190">
        <v>531330287.31</v>
      </c>
      <c r="O50" s="190">
        <v>411182067.94</v>
      </c>
      <c r="P50" s="190">
        <v>462903688.63</v>
      </c>
      <c r="Q50" s="190">
        <v>390731950.42000002</v>
      </c>
      <c r="R50" s="190">
        <v>599557598.23000002</v>
      </c>
      <c r="S50" s="190">
        <v>469686996.18000001</v>
      </c>
      <c r="T50" s="190">
        <v>437731202.48000002</v>
      </c>
      <c r="U50" s="190">
        <v>460192708.93000001</v>
      </c>
      <c r="V50" s="190">
        <v>556810174.33000004</v>
      </c>
      <c r="W50" s="190">
        <v>338355613.24000001</v>
      </c>
      <c r="X50" s="190">
        <v>298877258.32999998</v>
      </c>
      <c r="Y50" s="190">
        <v>378312990.02999997</v>
      </c>
      <c r="Z50" s="190">
        <v>443360546.51999998</v>
      </c>
      <c r="AA50" s="190">
        <v>470360737.07999998</v>
      </c>
      <c r="AB50" s="190">
        <v>257750108.96000001</v>
      </c>
      <c r="AC50" s="190">
        <v>275940040.68000001</v>
      </c>
      <c r="AD50" s="190">
        <v>775641196.73000002</v>
      </c>
      <c r="AE50" s="190">
        <v>248173238.69999999</v>
      </c>
      <c r="AF50" s="190">
        <v>225848783.86000001</v>
      </c>
      <c r="AG50" s="190">
        <v>224426213.90000001</v>
      </c>
      <c r="AH50" s="190">
        <v>249756012.86000001</v>
      </c>
      <c r="AI50" s="190">
        <v>189532965.56</v>
      </c>
      <c r="AJ50" s="190">
        <v>160801635.58000001</v>
      </c>
      <c r="AK50" s="190">
        <v>155668429.27000001</v>
      </c>
      <c r="AL50" s="190">
        <v>202063672.66</v>
      </c>
      <c r="AM50" s="190">
        <v>128695298.02</v>
      </c>
      <c r="AN50" s="190">
        <v>127070624.19</v>
      </c>
      <c r="AO50" s="190">
        <v>162089847.08000001</v>
      </c>
      <c r="AP50" s="190">
        <v>182809192.11000001</v>
      </c>
      <c r="AQ50" s="190">
        <v>123343504.34</v>
      </c>
      <c r="AR50" s="190">
        <v>116792452.18000001</v>
      </c>
      <c r="AS50" s="190">
        <v>129481551.75</v>
      </c>
      <c r="AT50" s="190">
        <v>209565774.99000001</v>
      </c>
      <c r="AU50" s="190">
        <v>162755887.24000001</v>
      </c>
      <c r="AV50" s="190">
        <v>158527674.59</v>
      </c>
      <c r="AW50" s="190">
        <v>152255767.65000001</v>
      </c>
      <c r="AX50" s="190">
        <v>117807446.38</v>
      </c>
      <c r="AY50" s="190">
        <v>60253388.350000001</v>
      </c>
      <c r="AZ50" s="190">
        <v>69963389.340000004</v>
      </c>
      <c r="BA50" s="190">
        <v>72262493.040000007</v>
      </c>
      <c r="BB50" s="190">
        <v>104526590.81</v>
      </c>
      <c r="BC50" s="190">
        <v>72819402.129999995</v>
      </c>
      <c r="BD50" s="190">
        <v>112145348.55</v>
      </c>
      <c r="BE50" s="190">
        <v>200068013.81</v>
      </c>
      <c r="BF50" s="190">
        <v>201011437.16999999</v>
      </c>
      <c r="BG50" s="190">
        <v>198888096.13</v>
      </c>
      <c r="BH50" s="190">
        <v>206719189.43000001</v>
      </c>
      <c r="BI50" s="190">
        <v>200991093.94999999</v>
      </c>
      <c r="BJ50" s="190">
        <v>196267263.24000001</v>
      </c>
      <c r="BK50" s="190">
        <v>157395222.31</v>
      </c>
      <c r="BL50" s="190">
        <v>180968794.38</v>
      </c>
      <c r="BM50" s="190">
        <v>294991557.00999999</v>
      </c>
      <c r="BN50" s="190">
        <v>260959583.02000001</v>
      </c>
      <c r="BO50" s="190">
        <v>60260432.420000002</v>
      </c>
      <c r="BP50" s="190">
        <v>127193977.16</v>
      </c>
      <c r="BQ50" s="190">
        <v>97583032.030000001</v>
      </c>
      <c r="BR50" s="190">
        <v>82936536.969999999</v>
      </c>
      <c r="BS50" s="190">
        <v>84317316.650000006</v>
      </c>
      <c r="BT50" s="190">
        <v>70958903.140000001</v>
      </c>
      <c r="BU50" s="190">
        <v>55559896.020000003</v>
      </c>
      <c r="BV50" s="190">
        <v>65770182.789999999</v>
      </c>
      <c r="BW50" s="190">
        <v>8195899.0499999998</v>
      </c>
      <c r="BX50" s="190">
        <v>47583337.82</v>
      </c>
      <c r="BY50" s="190">
        <v>7670917.5099999998</v>
      </c>
      <c r="BZ50" s="190">
        <v>5985135.2800000003</v>
      </c>
      <c r="CA50" s="190">
        <v>0</v>
      </c>
      <c r="CB50" s="190">
        <v>5554018.4000000004</v>
      </c>
      <c r="CC50" s="190">
        <v>0</v>
      </c>
      <c r="CD50" s="190">
        <v>6881629.6500000004</v>
      </c>
      <c r="CE50" s="190">
        <v>0</v>
      </c>
      <c r="CF50" s="190">
        <v>0</v>
      </c>
      <c r="CG50" s="190">
        <v>0</v>
      </c>
      <c r="CH50" s="190">
        <v>1117734.48</v>
      </c>
      <c r="CI50" s="190">
        <v>0</v>
      </c>
      <c r="CJ50" s="190">
        <v>0</v>
      </c>
      <c r="CK50" s="190">
        <v>0</v>
      </c>
      <c r="CL50" s="190">
        <v>0</v>
      </c>
      <c r="CM50" s="190">
        <v>0</v>
      </c>
    </row>
    <row r="51" spans="1:91">
      <c r="A51" s="190" t="s">
        <v>155</v>
      </c>
      <c r="B51" s="190">
        <v>222582408.43000001</v>
      </c>
      <c r="C51" s="190">
        <v>107388343.98999999</v>
      </c>
      <c r="D51" s="190">
        <v>113207462.09</v>
      </c>
      <c r="E51" s="190">
        <v>195652623.19999999</v>
      </c>
      <c r="F51" s="190">
        <v>336623394.32999998</v>
      </c>
      <c r="G51" s="190">
        <v>79316551.599999994</v>
      </c>
      <c r="H51" s="190">
        <v>110660073.06</v>
      </c>
      <c r="I51" s="190">
        <v>154993929.96000001</v>
      </c>
      <c r="J51" s="190">
        <v>296210081.89999998</v>
      </c>
      <c r="K51" s="190">
        <v>36306086.460000001</v>
      </c>
      <c r="L51" s="190">
        <v>94528421.620000005</v>
      </c>
      <c r="M51" s="190">
        <v>142799275.27000001</v>
      </c>
      <c r="N51" s="190">
        <v>224788062.59999999</v>
      </c>
      <c r="O51" s="190">
        <v>53874449.009999998</v>
      </c>
      <c r="P51" s="190">
        <v>115702934.2</v>
      </c>
      <c r="Q51" s="190">
        <v>114843963.97</v>
      </c>
      <c r="R51" s="190">
        <v>137718368.78999999</v>
      </c>
      <c r="S51" s="190">
        <v>100779882.16</v>
      </c>
      <c r="T51" s="190">
        <v>108709483.94</v>
      </c>
      <c r="U51" s="190">
        <v>136717320.87</v>
      </c>
      <c r="V51" s="190">
        <v>127377369.83</v>
      </c>
      <c r="W51" s="190">
        <v>77313093.420000002</v>
      </c>
      <c r="X51" s="190">
        <v>44250594.469999999</v>
      </c>
      <c r="Y51" s="190">
        <v>55500261.43</v>
      </c>
      <c r="Z51" s="190">
        <v>262708487.84999999</v>
      </c>
      <c r="AA51" s="190">
        <v>89545495.290000007</v>
      </c>
      <c r="AB51" s="190">
        <v>80492404.650000006</v>
      </c>
      <c r="AC51" s="190">
        <v>59428951.189999998</v>
      </c>
      <c r="AD51" s="190">
        <v>78265705.890000001</v>
      </c>
      <c r="AE51" s="190">
        <v>142170288.09</v>
      </c>
      <c r="AF51" s="190">
        <v>101939044.56</v>
      </c>
      <c r="AG51" s="190">
        <v>24485495.399999999</v>
      </c>
      <c r="AH51" s="190">
        <v>102926445.75</v>
      </c>
      <c r="AI51" s="190">
        <v>75808497.260000005</v>
      </c>
      <c r="AJ51" s="190">
        <v>111124539.26000001</v>
      </c>
      <c r="AK51" s="190">
        <v>105465438.59</v>
      </c>
      <c r="AL51" s="190">
        <v>157284409.05000001</v>
      </c>
      <c r="AM51" s="190">
        <v>105654947.47</v>
      </c>
      <c r="AN51" s="190">
        <v>73181119.099999994</v>
      </c>
      <c r="AO51" s="190">
        <v>164159666.28</v>
      </c>
      <c r="AP51" s="190">
        <v>84755557.260000005</v>
      </c>
      <c r="AQ51" s="190">
        <v>97428252.430000007</v>
      </c>
      <c r="AR51" s="190">
        <v>106600223.79000001</v>
      </c>
      <c r="AS51" s="190">
        <v>118867188.42</v>
      </c>
      <c r="AT51" s="190">
        <v>134812189.12</v>
      </c>
      <c r="AU51" s="190">
        <v>89407760.629999995</v>
      </c>
      <c r="AV51" s="190">
        <v>78170345.489999995</v>
      </c>
      <c r="AW51" s="190">
        <v>133966214.01000001</v>
      </c>
      <c r="AX51" s="190">
        <v>59712491.460000001</v>
      </c>
      <c r="AY51" s="190">
        <v>31199998.510000002</v>
      </c>
      <c r="AZ51" s="190">
        <v>48963475.030000001</v>
      </c>
      <c r="BA51" s="190">
        <v>88799677.400000006</v>
      </c>
      <c r="BB51" s="190">
        <v>112709663.7</v>
      </c>
      <c r="BC51" s="190">
        <v>60932894.020000003</v>
      </c>
      <c r="BD51" s="190">
        <v>88297895.010000005</v>
      </c>
      <c r="BE51" s="190">
        <v>84074765.040000007</v>
      </c>
      <c r="BF51" s="190">
        <v>96888661.170000002</v>
      </c>
      <c r="BG51" s="190">
        <v>39355388.740000002</v>
      </c>
      <c r="BH51" s="190">
        <v>23461107.920000002</v>
      </c>
      <c r="BI51" s="190">
        <v>56786857.509999998</v>
      </c>
      <c r="BJ51" s="190">
        <v>96520861.920000002</v>
      </c>
      <c r="BK51" s="190">
        <v>44241544.170000002</v>
      </c>
      <c r="BL51" s="190">
        <v>49165714.659999996</v>
      </c>
      <c r="BM51" s="190">
        <v>51171311.310000002</v>
      </c>
      <c r="BN51" s="190">
        <v>49319384.890000001</v>
      </c>
      <c r="BO51" s="190">
        <v>41234235.630000003</v>
      </c>
      <c r="BP51" s="190">
        <v>76655112.120000005</v>
      </c>
      <c r="BQ51" s="190">
        <v>62427605.840000004</v>
      </c>
      <c r="BR51" s="190">
        <v>49938634.100000001</v>
      </c>
      <c r="BS51" s="190">
        <v>58057951.280000001</v>
      </c>
      <c r="BT51" s="190">
        <v>69377594.540000007</v>
      </c>
      <c r="BU51" s="190">
        <v>66533701.509999998</v>
      </c>
      <c r="BV51" s="190">
        <v>71419477.040000007</v>
      </c>
      <c r="BW51" s="190">
        <v>113590781.09999999</v>
      </c>
      <c r="BX51" s="190">
        <v>166764560.69</v>
      </c>
      <c r="BY51" s="190">
        <v>70981691.609999999</v>
      </c>
      <c r="BZ51" s="190">
        <v>69401727.780000001</v>
      </c>
      <c r="CA51" s="190">
        <v>0</v>
      </c>
      <c r="CB51" s="190">
        <v>-14922586.68</v>
      </c>
      <c r="CC51" s="190">
        <v>0</v>
      </c>
      <c r="CD51" s="190">
        <v>831641.43</v>
      </c>
      <c r="CE51" s="190">
        <v>0</v>
      </c>
      <c r="CF51" s="190">
        <v>-2290000</v>
      </c>
      <c r="CG51" s="190">
        <v>0</v>
      </c>
      <c r="CH51" s="190">
        <v>7971944.8700000001</v>
      </c>
      <c r="CI51" s="190">
        <v>0</v>
      </c>
      <c r="CJ51" s="190">
        <v>0</v>
      </c>
      <c r="CK51" s="190">
        <v>0</v>
      </c>
      <c r="CL51" s="190">
        <v>0</v>
      </c>
      <c r="CM51" s="190">
        <v>0</v>
      </c>
    </row>
    <row r="52" spans="1:91">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2219387</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c r="CF52" s="190">
        <v>0</v>
      </c>
      <c r="CG52" s="190">
        <v>0</v>
      </c>
      <c r="CH52" s="190">
        <v>0</v>
      </c>
      <c r="CI52" s="190">
        <v>0</v>
      </c>
      <c r="CJ52" s="190">
        <v>0</v>
      </c>
      <c r="CK52" s="190">
        <v>0</v>
      </c>
      <c r="CL52" s="190">
        <v>0</v>
      </c>
      <c r="CM52" s="190">
        <v>0</v>
      </c>
    </row>
    <row r="53" spans="1:91">
      <c r="A53" s="190" t="s">
        <v>157</v>
      </c>
      <c r="B53" s="190">
        <v>184592.69</v>
      </c>
      <c r="C53" s="190">
        <v>321055.48</v>
      </c>
      <c r="D53" s="190">
        <v>732312430.88</v>
      </c>
      <c r="E53" s="190">
        <v>187956.68</v>
      </c>
      <c r="F53" s="190">
        <v>870410.19</v>
      </c>
      <c r="G53" s="190">
        <v>113743123.98999999</v>
      </c>
      <c r="H53" s="190">
        <v>764495069.66999996</v>
      </c>
      <c r="I53" s="190">
        <v>1289662.4099999999</v>
      </c>
      <c r="J53" s="190">
        <v>1289662.4099999999</v>
      </c>
      <c r="K53" s="190">
        <v>137726582.41</v>
      </c>
      <c r="L53" s="190">
        <v>787037342.40999997</v>
      </c>
      <c r="M53" s="190">
        <v>1289662.4099999999</v>
      </c>
      <c r="N53" s="190">
        <v>1289662.4099999999</v>
      </c>
      <c r="O53" s="190">
        <v>63204319.649999999</v>
      </c>
      <c r="P53" s="190">
        <v>831611565</v>
      </c>
      <c r="Q53" s="190">
        <v>452685</v>
      </c>
      <c r="R53" s="190">
        <v>692085.14</v>
      </c>
      <c r="S53" s="190">
        <v>52775274.240000002</v>
      </c>
      <c r="T53" s="190">
        <v>1052135840.48</v>
      </c>
      <c r="U53" s="190">
        <v>1176562.24</v>
      </c>
      <c r="V53" s="190">
        <v>2086462.24</v>
      </c>
      <c r="W53" s="190">
        <v>53741976.670000002</v>
      </c>
      <c r="X53" s="190">
        <v>732407882.01999998</v>
      </c>
      <c r="Y53" s="190">
        <v>1774387.34</v>
      </c>
      <c r="Z53" s="190">
        <v>1774387.34</v>
      </c>
      <c r="AA53" s="190">
        <v>68820877.079999998</v>
      </c>
      <c r="AB53" s="190">
        <v>714449869.48000002</v>
      </c>
      <c r="AC53" s="190">
        <v>988096.67</v>
      </c>
      <c r="AD53" s="190">
        <v>1059437.08</v>
      </c>
      <c r="AE53" s="190">
        <v>6202112.1500000004</v>
      </c>
      <c r="AF53" s="190">
        <v>263132112.15000001</v>
      </c>
      <c r="AG53" s="190">
        <v>992882.86</v>
      </c>
      <c r="AH53" s="190">
        <v>1176637.77</v>
      </c>
      <c r="AI53" s="190">
        <v>69439313.459999993</v>
      </c>
      <c r="AJ53" s="190">
        <v>281325447.45999998</v>
      </c>
      <c r="AK53" s="190">
        <v>25184072.84</v>
      </c>
      <c r="AL53" s="190">
        <v>25306407.460000001</v>
      </c>
      <c r="AM53" s="190">
        <v>108325652.86</v>
      </c>
      <c r="AN53" s="190">
        <v>420451983.66000003</v>
      </c>
      <c r="AO53" s="190">
        <v>65010950.859999999</v>
      </c>
      <c r="AP53" s="190">
        <v>65010950.859999999</v>
      </c>
      <c r="AQ53" s="190">
        <v>84632530.930000007</v>
      </c>
      <c r="AR53" s="190">
        <v>372318905.47000003</v>
      </c>
      <c r="AS53" s="190">
        <v>43213634.93</v>
      </c>
      <c r="AT53" s="190">
        <v>44288109.770000003</v>
      </c>
      <c r="AU53" s="190">
        <v>54341932.829999998</v>
      </c>
      <c r="AV53" s="190">
        <v>319264432.52999997</v>
      </c>
      <c r="AW53" s="190">
        <v>33902616.829999998</v>
      </c>
      <c r="AX53" s="190">
        <v>33902616.829999998</v>
      </c>
      <c r="AY53" s="190">
        <v>179475468.03</v>
      </c>
      <c r="AZ53" s="190">
        <v>299373482.26999998</v>
      </c>
      <c r="BA53" s="190">
        <v>15082286.01</v>
      </c>
      <c r="BB53" s="190">
        <v>10591636.66</v>
      </c>
      <c r="BC53" s="190">
        <v>27228651.460000001</v>
      </c>
      <c r="BD53" s="190">
        <v>215651038.53999999</v>
      </c>
      <c r="BE53" s="190">
        <v>25537143.440000001</v>
      </c>
      <c r="BF53" s="190">
        <v>19472806.489999998</v>
      </c>
      <c r="BG53" s="190">
        <v>19698608.93</v>
      </c>
      <c r="BH53" s="190">
        <v>232494010.44</v>
      </c>
      <c r="BI53" s="190">
        <v>19179643.98</v>
      </c>
      <c r="BJ53" s="190">
        <v>16065471.57</v>
      </c>
      <c r="BK53" s="190">
        <v>43569214.75</v>
      </c>
      <c r="BL53" s="190">
        <v>246368290.06999999</v>
      </c>
      <c r="BM53" s="190">
        <v>91578714.030000001</v>
      </c>
      <c r="BN53" s="190">
        <v>27851089.530000001</v>
      </c>
      <c r="BO53" s="190">
        <v>39662609.43</v>
      </c>
      <c r="BP53" s="190">
        <v>283532691.08999997</v>
      </c>
      <c r="BQ53" s="190">
        <v>82394943.739999995</v>
      </c>
      <c r="BR53" s="190">
        <v>94133175.359999999</v>
      </c>
      <c r="BS53" s="190">
        <v>262523853.59999999</v>
      </c>
      <c r="BT53" s="190">
        <v>175655544.66</v>
      </c>
      <c r="BU53" s="190">
        <v>172517845.40000001</v>
      </c>
      <c r="BV53" s="190">
        <v>67785291.349999994</v>
      </c>
      <c r="BW53" s="190">
        <v>51135992.259999998</v>
      </c>
      <c r="BX53" s="190">
        <v>13917863.050000001</v>
      </c>
      <c r="BY53" s="190">
        <v>0</v>
      </c>
      <c r="BZ53" s="190">
        <v>0</v>
      </c>
      <c r="CA53" s="190">
        <v>0</v>
      </c>
      <c r="CB53" s="190">
        <v>12394176.439999999</v>
      </c>
      <c r="CC53" s="190">
        <v>0</v>
      </c>
      <c r="CD53" s="190">
        <v>116006110.2</v>
      </c>
      <c r="CE53" s="190">
        <v>0</v>
      </c>
      <c r="CF53" s="190">
        <v>0</v>
      </c>
      <c r="CG53" s="190">
        <v>0</v>
      </c>
      <c r="CH53" s="190">
        <v>0</v>
      </c>
      <c r="CI53" s="190">
        <v>0</v>
      </c>
      <c r="CJ53" s="190">
        <v>0</v>
      </c>
      <c r="CK53" s="190">
        <v>0</v>
      </c>
      <c r="CL53" s="190">
        <v>0</v>
      </c>
      <c r="CM53" s="190">
        <v>0</v>
      </c>
    </row>
    <row r="54" spans="1:91">
      <c r="A54" s="190" t="s">
        <v>158</v>
      </c>
      <c r="B54" s="190">
        <v>1071958383.01</v>
      </c>
      <c r="C54" s="190">
        <v>858247607.53999996</v>
      </c>
      <c r="D54" s="190">
        <v>853014256.66999996</v>
      </c>
      <c r="E54" s="190">
        <v>804530301.85000002</v>
      </c>
      <c r="F54" s="190">
        <v>955844978.44000006</v>
      </c>
      <c r="G54" s="190">
        <v>817660599.84000003</v>
      </c>
      <c r="H54" s="190">
        <v>802448516.42999995</v>
      </c>
      <c r="I54" s="190">
        <v>766742422.57000005</v>
      </c>
      <c r="J54" s="190">
        <v>782141609.47000003</v>
      </c>
      <c r="K54" s="190">
        <v>754607880.41999996</v>
      </c>
      <c r="L54" s="190">
        <v>772710258.91999996</v>
      </c>
      <c r="M54" s="190">
        <v>753466019.60000002</v>
      </c>
      <c r="N54" s="190">
        <v>795975344.35000002</v>
      </c>
      <c r="O54" s="190">
        <v>847358643.35000002</v>
      </c>
      <c r="P54" s="190">
        <v>2332405847.1999998</v>
      </c>
      <c r="Q54" s="190">
        <v>822681466.62</v>
      </c>
      <c r="R54" s="190">
        <v>929870830.38</v>
      </c>
      <c r="S54" s="190">
        <v>903630734.10000002</v>
      </c>
      <c r="T54" s="190">
        <v>929006311.92999995</v>
      </c>
      <c r="U54" s="190">
        <v>824834836.67999995</v>
      </c>
      <c r="V54" s="190">
        <v>849628877.84000003</v>
      </c>
      <c r="W54" s="190">
        <v>875905723.46000004</v>
      </c>
      <c r="X54" s="190">
        <v>813494332.17999995</v>
      </c>
      <c r="Y54" s="190">
        <v>751182474.60000002</v>
      </c>
      <c r="Z54" s="190">
        <v>771204826.52999997</v>
      </c>
      <c r="AA54" s="190">
        <v>793852747.57000005</v>
      </c>
      <c r="AB54" s="190">
        <v>596118097.33000004</v>
      </c>
      <c r="AC54" s="190">
        <v>601357083.32000005</v>
      </c>
      <c r="AD54" s="190">
        <v>780702574.49000001</v>
      </c>
      <c r="AE54" s="190">
        <v>588137932.57000005</v>
      </c>
      <c r="AF54" s="190">
        <v>591021286.47000003</v>
      </c>
      <c r="AG54" s="190">
        <v>579489641.48000002</v>
      </c>
      <c r="AH54" s="190">
        <v>528285240.81999999</v>
      </c>
      <c r="AI54" s="190">
        <v>604103707.72000003</v>
      </c>
      <c r="AJ54" s="190">
        <v>620051089.22000003</v>
      </c>
      <c r="AK54" s="190">
        <v>547940006.40999997</v>
      </c>
      <c r="AL54" s="190">
        <v>490657810.44</v>
      </c>
      <c r="AM54" s="190">
        <v>444320168.89999998</v>
      </c>
      <c r="AN54" s="190">
        <v>361541346.74000001</v>
      </c>
      <c r="AO54" s="190">
        <v>389334642.83999997</v>
      </c>
      <c r="AP54" s="190">
        <v>358418001.56</v>
      </c>
      <c r="AQ54" s="190">
        <v>407585272.32999998</v>
      </c>
      <c r="AR54" s="190">
        <v>313708527.79000002</v>
      </c>
      <c r="AS54" s="190">
        <v>380886988.42000002</v>
      </c>
      <c r="AT54" s="190">
        <v>359363809.19999999</v>
      </c>
      <c r="AU54" s="190">
        <v>597871045.54999995</v>
      </c>
      <c r="AV54" s="190">
        <v>498963688.98000002</v>
      </c>
      <c r="AW54" s="190">
        <v>401270100.81</v>
      </c>
      <c r="AX54" s="190">
        <v>530746000.97000003</v>
      </c>
      <c r="AY54" s="190">
        <v>426427565.57999998</v>
      </c>
      <c r="AZ54" s="190">
        <v>391604917.29000002</v>
      </c>
      <c r="BA54" s="190">
        <v>200117366.09999999</v>
      </c>
      <c r="BB54" s="190">
        <v>390779576.20999998</v>
      </c>
      <c r="BC54" s="190">
        <v>330317534.36000001</v>
      </c>
      <c r="BD54" s="190">
        <v>312638275.82999998</v>
      </c>
      <c r="BE54" s="190">
        <v>274271381.80000001</v>
      </c>
      <c r="BF54" s="190">
        <v>310343370.92000002</v>
      </c>
      <c r="BG54" s="190">
        <v>311869129.42000002</v>
      </c>
      <c r="BH54" s="190">
        <v>266732595.06</v>
      </c>
      <c r="BI54" s="190">
        <v>336158557.70999998</v>
      </c>
      <c r="BJ54" s="190">
        <v>298305020.27999997</v>
      </c>
      <c r="BK54" s="190">
        <v>189886867.25999999</v>
      </c>
      <c r="BL54" s="190">
        <v>234169317.66</v>
      </c>
      <c r="BM54" s="190">
        <v>254372680.49000001</v>
      </c>
      <c r="BN54" s="190">
        <v>479698254.39999998</v>
      </c>
      <c r="BO54" s="190">
        <v>226461271.41</v>
      </c>
      <c r="BP54" s="190">
        <v>252145019.18000001</v>
      </c>
      <c r="BQ54" s="190">
        <v>288238198.56</v>
      </c>
      <c r="BR54" s="190">
        <v>354227910.04000002</v>
      </c>
      <c r="BS54" s="190">
        <v>384705199.56999999</v>
      </c>
      <c r="BT54" s="190">
        <v>261891166.06</v>
      </c>
      <c r="BU54" s="190">
        <v>175076211.15000001</v>
      </c>
      <c r="BV54" s="190">
        <v>312181039.26999998</v>
      </c>
      <c r="BW54" s="190">
        <v>197878542.97</v>
      </c>
      <c r="BX54" s="190">
        <v>362214877.29000002</v>
      </c>
      <c r="BY54" s="190">
        <v>124160656.52</v>
      </c>
      <c r="BZ54" s="190">
        <v>159620177.44</v>
      </c>
      <c r="CA54" s="190">
        <v>0</v>
      </c>
      <c r="CB54" s="190">
        <v>43350158.399999999</v>
      </c>
      <c r="CC54" s="190">
        <v>0</v>
      </c>
      <c r="CD54" s="190">
        <v>39100817.579999998</v>
      </c>
      <c r="CE54" s="190">
        <v>0</v>
      </c>
      <c r="CF54" s="190">
        <v>20292000</v>
      </c>
      <c r="CG54" s="190">
        <v>0</v>
      </c>
      <c r="CH54" s="190">
        <v>39515275.899999999</v>
      </c>
      <c r="CI54" s="190">
        <v>0</v>
      </c>
      <c r="CJ54" s="190">
        <v>0</v>
      </c>
      <c r="CK54" s="190">
        <v>0</v>
      </c>
      <c r="CL54" s="190">
        <v>0</v>
      </c>
      <c r="CM54" s="190">
        <v>0</v>
      </c>
    </row>
    <row r="55" spans="1:91">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6613234.6200000001</v>
      </c>
      <c r="AY55" s="190">
        <v>12076942.74</v>
      </c>
      <c r="AZ55" s="190">
        <v>8560956.5299999993</v>
      </c>
      <c r="BA55" s="190">
        <v>160583962.71000001</v>
      </c>
      <c r="BB55" s="190">
        <v>2958729</v>
      </c>
      <c r="BC55" s="190">
        <v>9265338.4299999997</v>
      </c>
      <c r="BD55" s="190">
        <v>8069514.46</v>
      </c>
      <c r="BE55" s="190">
        <v>8933005.0500000007</v>
      </c>
      <c r="BF55" s="190">
        <v>1016335.71</v>
      </c>
      <c r="BG55" s="190">
        <v>18624076.440000001</v>
      </c>
      <c r="BH55" s="190">
        <v>18279875.75</v>
      </c>
      <c r="BI55" s="190">
        <v>21582885.09</v>
      </c>
      <c r="BJ55" s="190">
        <v>2030258.48</v>
      </c>
      <c r="BK55" s="190">
        <v>148678500.22999999</v>
      </c>
      <c r="BL55" s="190">
        <v>117416829.34999999</v>
      </c>
      <c r="BM55" s="190">
        <v>93443655.099999994</v>
      </c>
      <c r="BN55" s="190">
        <v>949470.08</v>
      </c>
      <c r="BO55" s="190">
        <v>110738980.40000001</v>
      </c>
      <c r="BP55" s="190">
        <v>93093852.109999999</v>
      </c>
      <c r="BQ55" s="190">
        <v>53621526.609999999</v>
      </c>
      <c r="BR55" s="190">
        <v>1133172</v>
      </c>
      <c r="BS55" s="190">
        <v>15051764.859999999</v>
      </c>
      <c r="BT55" s="190">
        <v>35557</v>
      </c>
      <c r="BU55" s="190">
        <v>52012470.869999997</v>
      </c>
      <c r="BV55" s="190">
        <v>1781939.17</v>
      </c>
      <c r="BW55" s="190">
        <v>31182989.539999999</v>
      </c>
      <c r="BX55" s="190">
        <v>1446520.97</v>
      </c>
      <c r="BY55" s="190">
        <v>400000</v>
      </c>
      <c r="BZ55" s="190">
        <v>0</v>
      </c>
      <c r="CA55" s="190">
        <v>0</v>
      </c>
      <c r="CB55" s="190">
        <v>690172.45</v>
      </c>
      <c r="CC55" s="190">
        <v>0</v>
      </c>
      <c r="CD55" s="190">
        <v>2863421.04</v>
      </c>
      <c r="CE55" s="190">
        <v>0</v>
      </c>
      <c r="CF55" s="190">
        <v>0</v>
      </c>
      <c r="CG55" s="190">
        <v>0</v>
      </c>
      <c r="CH55" s="190">
        <v>34557065.049999997</v>
      </c>
      <c r="CI55" s="190">
        <v>0</v>
      </c>
      <c r="CJ55" s="190">
        <v>0</v>
      </c>
      <c r="CK55" s="190">
        <v>0</v>
      </c>
      <c r="CL55" s="190">
        <v>0</v>
      </c>
      <c r="CM55" s="190">
        <v>0</v>
      </c>
    </row>
    <row r="56" spans="1:91">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c r="CM56" s="190">
        <v>0</v>
      </c>
    </row>
    <row r="57" spans="1:91">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c r="CM57" s="190">
        <v>0</v>
      </c>
    </row>
    <row r="58" spans="1:91">
      <c r="A58" s="190" t="s">
        <v>162</v>
      </c>
      <c r="B58" s="190">
        <v>104185</v>
      </c>
      <c r="C58" s="190">
        <v>104185</v>
      </c>
      <c r="D58" s="190">
        <v>104185</v>
      </c>
      <c r="E58" s="190">
        <v>104185</v>
      </c>
      <c r="F58" s="190">
        <v>104185</v>
      </c>
      <c r="G58" s="190">
        <v>241589.37</v>
      </c>
      <c r="H58" s="190">
        <v>246038.04</v>
      </c>
      <c r="I58" s="190">
        <v>81140.570000000007</v>
      </c>
      <c r="J58" s="190">
        <v>104185</v>
      </c>
      <c r="K58" s="190">
        <v>9244185</v>
      </c>
      <c r="L58" s="190">
        <v>104185</v>
      </c>
      <c r="M58" s="190">
        <v>104185</v>
      </c>
      <c r="N58" s="190">
        <v>104185</v>
      </c>
      <c r="O58" s="190">
        <v>0</v>
      </c>
      <c r="P58" s="190">
        <v>10840442.460000001</v>
      </c>
      <c r="Q58" s="190">
        <v>0</v>
      </c>
      <c r="R58" s="190">
        <v>11304959.539999999</v>
      </c>
      <c r="S58" s="190">
        <v>1385062269</v>
      </c>
      <c r="T58" s="190">
        <v>1386829062.24</v>
      </c>
      <c r="U58" s="190">
        <v>1385055084</v>
      </c>
      <c r="V58" s="190">
        <v>1373832732.76</v>
      </c>
      <c r="W58" s="190">
        <v>4131456</v>
      </c>
      <c r="X58" s="190">
        <v>4146105.6</v>
      </c>
      <c r="Y58" s="190">
        <v>0</v>
      </c>
      <c r="Z58" s="190">
        <v>1295718112</v>
      </c>
      <c r="AA58" s="190">
        <v>1109694023</v>
      </c>
      <c r="AB58" s="190">
        <v>50000000</v>
      </c>
      <c r="AC58" s="190">
        <v>50000000</v>
      </c>
      <c r="AD58" s="190">
        <v>53862451.700000003</v>
      </c>
      <c r="AE58" s="190">
        <v>0</v>
      </c>
      <c r="AF58" s="190">
        <v>0</v>
      </c>
      <c r="AG58" s="190">
        <v>0</v>
      </c>
      <c r="AH58" s="190">
        <v>0</v>
      </c>
      <c r="AI58" s="190">
        <v>0</v>
      </c>
      <c r="AJ58" s="190">
        <v>5000000</v>
      </c>
      <c r="AK58" s="190">
        <v>5000000</v>
      </c>
      <c r="AL58" s="190">
        <v>5000000</v>
      </c>
      <c r="AM58" s="190">
        <v>0</v>
      </c>
      <c r="AN58" s="190">
        <v>0</v>
      </c>
      <c r="AO58" s="190">
        <v>0</v>
      </c>
      <c r="AP58" s="190">
        <v>5000000</v>
      </c>
      <c r="AQ58" s="190">
        <v>0</v>
      </c>
      <c r="AR58" s="190">
        <v>0</v>
      </c>
      <c r="AS58" s="190">
        <v>0</v>
      </c>
      <c r="AT58" s="190">
        <v>0</v>
      </c>
      <c r="AU58" s="190">
        <v>0</v>
      </c>
      <c r="AV58" s="190">
        <v>0</v>
      </c>
      <c r="AW58" s="190">
        <v>15000000</v>
      </c>
      <c r="AX58" s="190">
        <v>15000000</v>
      </c>
      <c r="AY58" s="190">
        <v>15000000</v>
      </c>
      <c r="AZ58" s="190">
        <v>25000000</v>
      </c>
      <c r="BA58" s="190">
        <v>30000000</v>
      </c>
      <c r="BB58" s="190">
        <v>30000000</v>
      </c>
      <c r="BC58" s="190">
        <v>10000000</v>
      </c>
      <c r="BD58" s="190">
        <v>31000000</v>
      </c>
      <c r="BE58" s="190">
        <v>6000000</v>
      </c>
      <c r="BF58" s="190">
        <v>6000000</v>
      </c>
      <c r="BG58" s="190">
        <v>0</v>
      </c>
      <c r="BH58" s="190">
        <v>0</v>
      </c>
      <c r="BI58" s="190">
        <v>0</v>
      </c>
      <c r="BJ58" s="190">
        <v>0</v>
      </c>
      <c r="BK58" s="190">
        <v>0</v>
      </c>
      <c r="BL58" s="190">
        <v>0</v>
      </c>
      <c r="BM58" s="190">
        <v>0</v>
      </c>
      <c r="BN58" s="190">
        <v>0</v>
      </c>
      <c r="BO58" s="190">
        <v>5020000</v>
      </c>
      <c r="BP58" s="190">
        <v>5020000</v>
      </c>
      <c r="BQ58" s="190">
        <v>10040000</v>
      </c>
      <c r="BR58" s="190">
        <v>5020000</v>
      </c>
      <c r="BS58" s="190">
        <v>11420000</v>
      </c>
      <c r="BT58" s="190">
        <v>5020000</v>
      </c>
      <c r="BU58" s="190">
        <v>9940000</v>
      </c>
      <c r="BV58" s="190">
        <v>13140000</v>
      </c>
      <c r="BW58" s="190">
        <v>3458671.93</v>
      </c>
      <c r="BX58" s="190">
        <v>2150000</v>
      </c>
      <c r="BY58" s="190">
        <v>2000000</v>
      </c>
      <c r="BZ58" s="190">
        <v>2000000</v>
      </c>
      <c r="CA58" s="190">
        <v>0</v>
      </c>
      <c r="CB58" s="190">
        <v>0</v>
      </c>
      <c r="CC58" s="190">
        <v>0</v>
      </c>
      <c r="CD58" s="190">
        <v>100000</v>
      </c>
      <c r="CE58" s="190">
        <v>0</v>
      </c>
      <c r="CF58" s="190">
        <v>2100000</v>
      </c>
      <c r="CG58" s="190">
        <v>0</v>
      </c>
      <c r="CH58" s="190">
        <v>0</v>
      </c>
      <c r="CI58" s="190">
        <v>0</v>
      </c>
      <c r="CJ58" s="190">
        <v>0</v>
      </c>
      <c r="CK58" s="190">
        <v>0</v>
      </c>
      <c r="CL58" s="190">
        <v>0</v>
      </c>
      <c r="CM58" s="190">
        <v>0</v>
      </c>
    </row>
    <row r="59" spans="1:91">
      <c r="A59" s="190" t="s">
        <v>163</v>
      </c>
      <c r="B59" s="190">
        <v>86413026.079999998</v>
      </c>
      <c r="C59" s="190">
        <v>85760593.299999997</v>
      </c>
      <c r="D59" s="190">
        <v>84621842.060000002</v>
      </c>
      <c r="E59" s="190">
        <v>83636286.109999999</v>
      </c>
      <c r="F59" s="190">
        <v>80779126.390000001</v>
      </c>
      <c r="G59" s="190">
        <v>92077486.590000004</v>
      </c>
      <c r="H59" s="190">
        <v>92665692.049999997</v>
      </c>
      <c r="I59" s="190">
        <v>90565619.209999993</v>
      </c>
      <c r="J59" s="190">
        <v>90936545.739999995</v>
      </c>
      <c r="K59" s="190">
        <v>108544254.14</v>
      </c>
      <c r="L59" s="190">
        <v>117792982.34</v>
      </c>
      <c r="M59" s="190">
        <v>120432191.44</v>
      </c>
      <c r="N59" s="190">
        <v>119318845.92</v>
      </c>
      <c r="O59" s="190">
        <v>85952523.989999995</v>
      </c>
      <c r="P59" s="190">
        <v>182957290.99000001</v>
      </c>
      <c r="Q59" s="190">
        <v>196562640.66</v>
      </c>
      <c r="R59" s="190">
        <v>193917871.19</v>
      </c>
      <c r="S59" s="190">
        <v>205996328.03999999</v>
      </c>
      <c r="T59" s="190">
        <v>185064515.49000001</v>
      </c>
      <c r="U59" s="190">
        <v>162584375.81</v>
      </c>
      <c r="V59" s="190">
        <v>166392003.33000001</v>
      </c>
      <c r="W59" s="190">
        <v>193326039.83000001</v>
      </c>
      <c r="X59" s="190">
        <v>204768859.34</v>
      </c>
      <c r="Y59" s="190">
        <v>256675618.16</v>
      </c>
      <c r="Z59" s="190">
        <v>255485823.87</v>
      </c>
      <c r="AA59" s="190">
        <v>492405127.98000002</v>
      </c>
      <c r="AB59" s="190">
        <v>29130105.079999998</v>
      </c>
      <c r="AC59" s="190">
        <v>28991860.079999998</v>
      </c>
      <c r="AD59" s="190">
        <v>538726877.86000001</v>
      </c>
      <c r="AE59" s="190">
        <v>53979889.469999999</v>
      </c>
      <c r="AF59" s="190">
        <v>52097442.380000003</v>
      </c>
      <c r="AG59" s="190">
        <v>47083836.090000004</v>
      </c>
      <c r="AH59" s="190">
        <v>44013077.140000001</v>
      </c>
      <c r="AI59" s="190">
        <v>47969370.93</v>
      </c>
      <c r="AJ59" s="190">
        <v>47529931.579999998</v>
      </c>
      <c r="AK59" s="190">
        <v>44861630.590000004</v>
      </c>
      <c r="AL59" s="190">
        <v>43239740</v>
      </c>
      <c r="AM59" s="190">
        <v>46926540.119999997</v>
      </c>
      <c r="AN59" s="190">
        <v>43988789.609999999</v>
      </c>
      <c r="AO59" s="190">
        <v>4397448.51</v>
      </c>
      <c r="AP59" s="190">
        <v>10718110.609999999</v>
      </c>
      <c r="AQ59" s="190">
        <v>3715634.42</v>
      </c>
      <c r="AR59" s="190">
        <v>8719104.8000000007</v>
      </c>
      <c r="AS59" s="190">
        <v>4544461</v>
      </c>
      <c r="AT59" s="190">
        <v>7789600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c r="CM59" s="190">
        <v>0</v>
      </c>
    </row>
    <row r="60" spans="1:91">
      <c r="A60" s="190" t="s">
        <v>164</v>
      </c>
      <c r="B60" s="190">
        <v>20156016257.799999</v>
      </c>
      <c r="C60" s="190">
        <v>19853688155.299999</v>
      </c>
      <c r="D60" s="190">
        <v>20631101413.650002</v>
      </c>
      <c r="E60" s="190">
        <v>20459174515.189999</v>
      </c>
      <c r="F60" s="190">
        <v>20716932699.389999</v>
      </c>
      <c r="G60" s="190">
        <v>19919823549.630001</v>
      </c>
      <c r="H60" s="190">
        <v>19798095775.990002</v>
      </c>
      <c r="I60" s="190">
        <v>20410015030.880001</v>
      </c>
      <c r="J60" s="190">
        <v>19748505613.439999</v>
      </c>
      <c r="K60" s="190">
        <v>19675660240.68</v>
      </c>
      <c r="L60" s="190">
        <v>20070900697.82</v>
      </c>
      <c r="M60" s="190">
        <v>19186110008.98</v>
      </c>
      <c r="N60" s="190">
        <v>18933377981.139999</v>
      </c>
      <c r="O60" s="190">
        <v>18583112820.049999</v>
      </c>
      <c r="P60" s="190">
        <v>20856266484.970001</v>
      </c>
      <c r="Q60" s="190">
        <v>18837714894.790001</v>
      </c>
      <c r="R60" s="190">
        <v>18970967004.27</v>
      </c>
      <c r="S60" s="190">
        <v>20043613909.07</v>
      </c>
      <c r="T60" s="190">
        <v>20097610801.169998</v>
      </c>
      <c r="U60" s="190">
        <v>18884916786.419998</v>
      </c>
      <c r="V60" s="190">
        <v>18271596920.610001</v>
      </c>
      <c r="W60" s="190">
        <v>16472680647.299999</v>
      </c>
      <c r="X60" s="190">
        <v>16137616757.610001</v>
      </c>
      <c r="Y60" s="190">
        <v>14962920289.67</v>
      </c>
      <c r="Z60" s="190">
        <v>16314457316</v>
      </c>
      <c r="AA60" s="190">
        <v>15346712918.209999</v>
      </c>
      <c r="AB60" s="190">
        <v>11826369327.41</v>
      </c>
      <c r="AC60" s="190">
        <v>9950863591.0599995</v>
      </c>
      <c r="AD60" s="190">
        <v>12055021153.75</v>
      </c>
      <c r="AE60" s="190">
        <v>9441422170.4599991</v>
      </c>
      <c r="AF60" s="190">
        <v>9196274973.7199993</v>
      </c>
      <c r="AG60" s="190">
        <v>7959238877.7299995</v>
      </c>
      <c r="AH60" s="190">
        <v>7683707233.5900002</v>
      </c>
      <c r="AI60" s="190">
        <v>7773818725.79</v>
      </c>
      <c r="AJ60" s="190">
        <v>7365446156.1400003</v>
      </c>
      <c r="AK60" s="190">
        <v>6354976661.4799995</v>
      </c>
      <c r="AL60" s="190">
        <v>6124343372.79</v>
      </c>
      <c r="AM60" s="190">
        <v>6069491038.0500002</v>
      </c>
      <c r="AN60" s="190">
        <v>5241527298.8400002</v>
      </c>
      <c r="AO60" s="190">
        <v>4484227785.5900002</v>
      </c>
      <c r="AP60" s="190">
        <v>4262187248.4400001</v>
      </c>
      <c r="AQ60" s="190">
        <v>4452457081.5699997</v>
      </c>
      <c r="AR60" s="190">
        <v>4577760578.5699997</v>
      </c>
      <c r="AS60" s="190">
        <v>4029206275.4099998</v>
      </c>
      <c r="AT60" s="190">
        <v>4328229496.1800003</v>
      </c>
      <c r="AU60" s="190">
        <v>4126682611.1100001</v>
      </c>
      <c r="AV60" s="190">
        <v>4012371562.7199998</v>
      </c>
      <c r="AW60" s="190">
        <v>3393408813.7199998</v>
      </c>
      <c r="AX60" s="190">
        <v>3330319703.9099998</v>
      </c>
      <c r="AY60" s="190">
        <v>3044507406.9899998</v>
      </c>
      <c r="AZ60" s="190">
        <v>3014792969.0700002</v>
      </c>
      <c r="BA60" s="190">
        <v>2609990503.8600001</v>
      </c>
      <c r="BB60" s="190">
        <v>2809969343.29</v>
      </c>
      <c r="BC60" s="190">
        <v>2751751336.1700001</v>
      </c>
      <c r="BD60" s="190">
        <v>3075392858.5100002</v>
      </c>
      <c r="BE60" s="190">
        <v>3039613964.3200002</v>
      </c>
      <c r="BF60" s="190">
        <v>3229313425.23</v>
      </c>
      <c r="BG60" s="190">
        <v>3618392318.8499999</v>
      </c>
      <c r="BH60" s="190">
        <v>3812831021.8299999</v>
      </c>
      <c r="BI60" s="190">
        <v>3637069425.2399998</v>
      </c>
      <c r="BJ60" s="190">
        <v>3812017298.71</v>
      </c>
      <c r="BK60" s="190">
        <v>3904949965.96</v>
      </c>
      <c r="BL60" s="190">
        <v>4235180494.5300002</v>
      </c>
      <c r="BM60" s="190">
        <v>4204697200.9299998</v>
      </c>
      <c r="BN60" s="190">
        <v>4245476503.7800002</v>
      </c>
      <c r="BO60" s="190">
        <v>3749762028.1399999</v>
      </c>
      <c r="BP60" s="190">
        <v>4136903555.4299998</v>
      </c>
      <c r="BQ60" s="190">
        <v>3763385062.6599998</v>
      </c>
      <c r="BR60" s="190">
        <v>3552781085.8299999</v>
      </c>
      <c r="BS60" s="190">
        <v>3586199264.4899998</v>
      </c>
      <c r="BT60" s="190">
        <v>3277418884.4699998</v>
      </c>
      <c r="BU60" s="190">
        <v>3377434694.8000002</v>
      </c>
      <c r="BV60" s="190">
        <v>3271128522.9099998</v>
      </c>
      <c r="BW60" s="190">
        <v>2849717973.9099998</v>
      </c>
      <c r="BX60" s="190">
        <v>2996757881.0799999</v>
      </c>
      <c r="BY60" s="190">
        <v>1225663644.96</v>
      </c>
      <c r="BZ60" s="190">
        <v>1375170843.52</v>
      </c>
      <c r="CA60" s="190">
        <v>1250996152</v>
      </c>
      <c r="CB60" s="190">
        <v>1412852739.24</v>
      </c>
      <c r="CC60" s="190">
        <v>1130877457.01</v>
      </c>
      <c r="CD60" s="190">
        <v>826354594.00999999</v>
      </c>
      <c r="CE60" s="190">
        <v>518981060.12</v>
      </c>
      <c r="CF60" s="190">
        <v>351641000</v>
      </c>
      <c r="CG60" s="190">
        <v>402854967.94999999</v>
      </c>
      <c r="CH60" s="190">
        <v>487416196.41000003</v>
      </c>
      <c r="CI60" s="190">
        <v>484140000</v>
      </c>
      <c r="CJ60" s="190">
        <v>342710000</v>
      </c>
      <c r="CK60" s="190">
        <v>177920000</v>
      </c>
      <c r="CL60" s="190">
        <v>184440000</v>
      </c>
      <c r="CM60" s="190">
        <v>0</v>
      </c>
    </row>
    <row r="61" spans="1:91">
      <c r="A61" s="190" t="s">
        <v>165</v>
      </c>
    </row>
    <row r="62" spans="1:91">
      <c r="A62" s="190" t="s">
        <v>166</v>
      </c>
      <c r="B62" s="190">
        <v>0</v>
      </c>
      <c r="C62" s="190">
        <v>0</v>
      </c>
      <c r="D62" s="190">
        <v>143000</v>
      </c>
      <c r="E62" s="190">
        <v>0</v>
      </c>
      <c r="F62" s="190">
        <v>0</v>
      </c>
      <c r="G62" s="190">
        <v>0</v>
      </c>
      <c r="H62" s="190">
        <v>0</v>
      </c>
      <c r="I62" s="190">
        <v>0</v>
      </c>
      <c r="J62" s="190">
        <v>0</v>
      </c>
      <c r="K62" s="190">
        <v>0</v>
      </c>
      <c r="L62" s="190">
        <v>0</v>
      </c>
      <c r="M62" s="190">
        <v>0</v>
      </c>
      <c r="N62" s="190">
        <v>0</v>
      </c>
      <c r="O62" s="190">
        <v>0</v>
      </c>
      <c r="P62" s="190">
        <v>42239624.340000004</v>
      </c>
      <c r="Q62" s="190">
        <v>1435909344.8</v>
      </c>
      <c r="R62" s="190">
        <v>1416282497.4000001</v>
      </c>
      <c r="S62" s="190">
        <v>55674211.799999997</v>
      </c>
      <c r="T62" s="190">
        <v>48366168.219999999</v>
      </c>
      <c r="U62" s="190">
        <v>46679317</v>
      </c>
      <c r="V62" s="190">
        <v>45068319.740000002</v>
      </c>
      <c r="W62" s="190">
        <v>1427719300</v>
      </c>
      <c r="X62" s="190">
        <v>1434737631.5999999</v>
      </c>
      <c r="Y62" s="190">
        <v>1461995244.5999999</v>
      </c>
      <c r="Z62" s="190">
        <v>1462792987.5</v>
      </c>
      <c r="AA62" s="190">
        <v>190210977</v>
      </c>
      <c r="AB62" s="190">
        <v>0</v>
      </c>
      <c r="AC62" s="190">
        <v>0</v>
      </c>
      <c r="AD62" s="190">
        <v>1482841204.2</v>
      </c>
      <c r="AE62" s="190">
        <v>50000000</v>
      </c>
      <c r="AF62" s="190">
        <v>50000000</v>
      </c>
      <c r="AG62" s="190">
        <v>50000000</v>
      </c>
      <c r="AH62" s="190">
        <v>50000000</v>
      </c>
      <c r="AI62" s="190">
        <v>50000000</v>
      </c>
      <c r="AJ62" s="190">
        <v>50000000</v>
      </c>
      <c r="AK62" s="190">
        <v>160051234.65000001</v>
      </c>
      <c r="AL62" s="190">
        <v>160053922.36000001</v>
      </c>
      <c r="AM62" s="190">
        <v>5066161.46</v>
      </c>
      <c r="AN62" s="190">
        <v>5068023.79</v>
      </c>
      <c r="AO62" s="190">
        <v>5059065.22</v>
      </c>
      <c r="AP62" s="190">
        <v>5081364.59</v>
      </c>
      <c r="AQ62" s="190">
        <v>10111946</v>
      </c>
      <c r="AR62" s="190">
        <v>10133585.32</v>
      </c>
      <c r="AS62" s="190">
        <v>10172046.130000001</v>
      </c>
      <c r="AT62" s="190">
        <v>10236812.93</v>
      </c>
      <c r="AU62" s="190">
        <v>10256864.68</v>
      </c>
      <c r="AV62" s="190">
        <v>10269543.289999999</v>
      </c>
      <c r="AW62" s="190">
        <v>10309204.76</v>
      </c>
      <c r="AX62" s="190">
        <v>10332375.48</v>
      </c>
      <c r="AY62" s="190">
        <v>10339610.119999999</v>
      </c>
      <c r="AZ62" s="190">
        <v>10399623.810000001</v>
      </c>
      <c r="BA62" s="190">
        <v>25491637.18</v>
      </c>
      <c r="BB62" s="190">
        <v>25528759.670000002</v>
      </c>
      <c r="BC62" s="190">
        <v>45000000</v>
      </c>
      <c r="BD62" s="190">
        <v>34000000</v>
      </c>
      <c r="BE62" s="190">
        <v>64000000</v>
      </c>
      <c r="BF62" s="190">
        <v>64000000</v>
      </c>
      <c r="BG62" s="190">
        <v>39000000</v>
      </c>
      <c r="BH62" s="190">
        <v>39000000</v>
      </c>
      <c r="BI62" s="190">
        <v>59000000</v>
      </c>
      <c r="BJ62" s="190">
        <v>59000000</v>
      </c>
      <c r="BK62" s="190">
        <v>78250000</v>
      </c>
      <c r="BL62" s="190">
        <v>59250000</v>
      </c>
      <c r="BM62" s="190">
        <v>43250000</v>
      </c>
      <c r="BN62" s="190">
        <v>43250000</v>
      </c>
      <c r="BO62" s="190">
        <v>49638110.170000002</v>
      </c>
      <c r="BP62" s="190">
        <v>49638110.170000002</v>
      </c>
      <c r="BQ62" s="190">
        <v>18776220.34</v>
      </c>
      <c r="BR62" s="190">
        <v>3888110.17</v>
      </c>
      <c r="BS62" s="190">
        <v>5508110.1699999999</v>
      </c>
      <c r="BT62" s="190">
        <v>3888110.17</v>
      </c>
      <c r="BU62" s="190">
        <v>11543110.17</v>
      </c>
      <c r="BV62" s="190">
        <v>11543110.17</v>
      </c>
      <c r="BW62" s="190">
        <v>11369970.67</v>
      </c>
      <c r="BX62" s="190">
        <v>13294970.67</v>
      </c>
      <c r="BY62" s="190">
        <v>657800</v>
      </c>
      <c r="BZ62" s="190">
        <v>2392800</v>
      </c>
      <c r="CA62" s="190">
        <v>0</v>
      </c>
      <c r="CB62" s="190">
        <v>3076400</v>
      </c>
      <c r="CC62" s="190">
        <v>0</v>
      </c>
      <c r="CD62" s="190">
        <v>4410000</v>
      </c>
      <c r="CE62" s="190">
        <v>0</v>
      </c>
      <c r="CF62" s="190">
        <v>4410000</v>
      </c>
      <c r="CG62" s="190">
        <v>0</v>
      </c>
      <c r="CH62" s="190">
        <v>45851731</v>
      </c>
      <c r="CI62" s="190">
        <v>0</v>
      </c>
      <c r="CJ62" s="190">
        <v>0</v>
      </c>
      <c r="CK62" s="190">
        <v>0</v>
      </c>
      <c r="CL62" s="190">
        <v>0</v>
      </c>
      <c r="CM62" s="190">
        <v>0</v>
      </c>
    </row>
    <row r="63" spans="1:91">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c r="CM63" s="190">
        <v>0</v>
      </c>
    </row>
    <row r="64" spans="1:91">
      <c r="A64" s="190" t="s">
        <v>168</v>
      </c>
      <c r="B64" s="190">
        <v>143000</v>
      </c>
      <c r="C64" s="190">
        <v>143000</v>
      </c>
      <c r="D64" s="190">
        <v>0</v>
      </c>
      <c r="E64" s="190">
        <v>892406.14</v>
      </c>
      <c r="F64" s="190">
        <v>892406.16</v>
      </c>
      <c r="G64" s="190">
        <v>143000</v>
      </c>
      <c r="H64" s="190">
        <v>143000</v>
      </c>
      <c r="I64" s="190">
        <v>143000</v>
      </c>
      <c r="J64" s="190">
        <v>143000</v>
      </c>
      <c r="K64" s="190">
        <v>143000</v>
      </c>
      <c r="L64" s="190">
        <v>147635.48000000001</v>
      </c>
      <c r="M64" s="190">
        <v>285058.53000000003</v>
      </c>
      <c r="N64" s="190">
        <v>143000</v>
      </c>
      <c r="O64" s="190">
        <v>693236.91</v>
      </c>
      <c r="P64" s="190">
        <v>392545.04</v>
      </c>
      <c r="Q64" s="190">
        <v>197889.82</v>
      </c>
      <c r="R64" s="190">
        <v>143000</v>
      </c>
      <c r="S64" s="190">
        <v>562704.63</v>
      </c>
      <c r="T64" s="190">
        <v>476676.41</v>
      </c>
      <c r="U64" s="190">
        <v>173276.71</v>
      </c>
      <c r="V64" s="190">
        <v>143000</v>
      </c>
      <c r="W64" s="190">
        <v>524388.35</v>
      </c>
      <c r="X64" s="190">
        <v>397282.14</v>
      </c>
      <c r="Y64" s="190">
        <v>191314.89</v>
      </c>
      <c r="Z64" s="190">
        <v>143000</v>
      </c>
      <c r="AA64" s="190">
        <v>143000</v>
      </c>
      <c r="AB64" s="190">
        <v>143000</v>
      </c>
      <c r="AC64" s="190">
        <v>143000</v>
      </c>
      <c r="AD64" s="190">
        <v>143000</v>
      </c>
      <c r="AE64" s="190">
        <v>1753920.89</v>
      </c>
      <c r="AF64" s="190">
        <v>1753920.89</v>
      </c>
      <c r="AG64" s="190">
        <v>1753920.89</v>
      </c>
      <c r="AH64" s="190">
        <v>1753920.89</v>
      </c>
      <c r="AI64" s="190">
        <v>1753920.89</v>
      </c>
      <c r="AJ64" s="190">
        <v>1753920.89</v>
      </c>
      <c r="AK64" s="190">
        <v>1753920.89</v>
      </c>
      <c r="AL64" s="190">
        <v>1753920.89</v>
      </c>
      <c r="AM64" s="190">
        <v>1753920.89</v>
      </c>
      <c r="AN64" s="190">
        <v>1753920.89</v>
      </c>
      <c r="AO64" s="190">
        <v>1753920.89</v>
      </c>
      <c r="AP64" s="190">
        <v>1753920.89</v>
      </c>
      <c r="AQ64" s="190">
        <v>1753920.89</v>
      </c>
      <c r="AR64" s="190">
        <v>1753920.89</v>
      </c>
      <c r="AS64" s="190">
        <v>1753920.89</v>
      </c>
      <c r="AT64" s="190">
        <v>1753920.89</v>
      </c>
      <c r="AU64" s="190">
        <v>1753920.89</v>
      </c>
      <c r="AV64" s="190">
        <v>1753920.89</v>
      </c>
      <c r="AW64" s="190">
        <v>1753920.89</v>
      </c>
      <c r="AX64" s="190">
        <v>1753920.89</v>
      </c>
      <c r="AY64" s="190">
        <v>60275051.700000003</v>
      </c>
      <c r="AZ64" s="190">
        <v>61994914.93</v>
      </c>
      <c r="BA64" s="190">
        <v>6569509.0199999996</v>
      </c>
      <c r="BB64" s="190">
        <v>20703600.969999999</v>
      </c>
      <c r="BC64" s="190">
        <v>6843307.2699999996</v>
      </c>
      <c r="BD64" s="190">
        <v>6128372.75</v>
      </c>
      <c r="BE64" s="190">
        <v>5736905.1500000004</v>
      </c>
      <c r="BF64" s="190">
        <v>6569905.1500000004</v>
      </c>
      <c r="BG64" s="190">
        <v>9741007.2699999996</v>
      </c>
      <c r="BH64" s="190">
        <v>9620507.2699999996</v>
      </c>
      <c r="BI64" s="190">
        <v>9980507.2699999996</v>
      </c>
      <c r="BJ64" s="190">
        <v>10056710.560000001</v>
      </c>
      <c r="BK64" s="190">
        <v>9592440.0199999996</v>
      </c>
      <c r="BL64" s="190">
        <v>9591378.0199999996</v>
      </c>
      <c r="BM64" s="190">
        <v>10125118.140000001</v>
      </c>
      <c r="BN64" s="190">
        <v>10092793.359999999</v>
      </c>
      <c r="BO64" s="190">
        <v>2412974.15</v>
      </c>
      <c r="BP64" s="190">
        <v>2413774.15</v>
      </c>
      <c r="BQ64" s="190">
        <v>2353908.9500000002</v>
      </c>
      <c r="BR64" s="190">
        <v>2357708.9500000002</v>
      </c>
      <c r="BS64" s="190">
        <v>10427035</v>
      </c>
      <c r="BT64" s="190">
        <v>11503864.26</v>
      </c>
      <c r="BU64" s="190">
        <v>10037035</v>
      </c>
      <c r="BV64" s="190">
        <v>10037035</v>
      </c>
      <c r="BW64" s="190">
        <v>10037035</v>
      </c>
      <c r="BX64" s="190">
        <v>10037035</v>
      </c>
      <c r="BY64" s="190">
        <v>10037035</v>
      </c>
      <c r="BZ64" s="190">
        <v>10037035</v>
      </c>
      <c r="CA64" s="190">
        <v>0</v>
      </c>
      <c r="CB64" s="190">
        <v>10037035</v>
      </c>
      <c r="CC64" s="190">
        <v>0</v>
      </c>
      <c r="CD64" s="190">
        <v>10037035</v>
      </c>
      <c r="CE64" s="190">
        <v>0</v>
      </c>
      <c r="CF64" s="190">
        <v>0</v>
      </c>
      <c r="CG64" s="190">
        <v>0</v>
      </c>
      <c r="CH64" s="190">
        <v>9683363.3699999992</v>
      </c>
      <c r="CI64" s="190">
        <v>0</v>
      </c>
      <c r="CJ64" s="190">
        <v>0</v>
      </c>
      <c r="CK64" s="190">
        <v>0</v>
      </c>
      <c r="CL64" s="190">
        <v>0</v>
      </c>
      <c r="CM64" s="190">
        <v>0</v>
      </c>
    </row>
    <row r="65" spans="1:91">
      <c r="A65" s="190" t="s">
        <v>169</v>
      </c>
      <c r="B65" s="190">
        <v>115358620.47</v>
      </c>
      <c r="C65" s="190">
        <v>115372320.29000001</v>
      </c>
      <c r="D65" s="190">
        <v>114684317.73999999</v>
      </c>
      <c r="E65" s="190">
        <v>114687144.44</v>
      </c>
      <c r="F65" s="190">
        <v>125422047.83</v>
      </c>
      <c r="G65" s="190">
        <v>116727812.28</v>
      </c>
      <c r="H65" s="190">
        <v>116747281.38</v>
      </c>
      <c r="I65" s="190">
        <v>118835608.81999999</v>
      </c>
      <c r="J65" s="190">
        <v>126508741.19</v>
      </c>
      <c r="K65" s="190">
        <v>129450508.3</v>
      </c>
      <c r="L65" s="190">
        <v>129636625.72</v>
      </c>
      <c r="M65" s="190">
        <v>134895261</v>
      </c>
      <c r="N65" s="190">
        <v>134895261</v>
      </c>
      <c r="O65" s="190">
        <v>58695816.829999998</v>
      </c>
      <c r="P65" s="190">
        <v>88874228.849999994</v>
      </c>
      <c r="Q65" s="190">
        <v>93004017.579999998</v>
      </c>
      <c r="R65" s="190">
        <v>97836603.989999995</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c r="CF65" s="190">
        <v>0</v>
      </c>
      <c r="CG65" s="190">
        <v>0</v>
      </c>
      <c r="CH65" s="190">
        <v>0</v>
      </c>
      <c r="CI65" s="190">
        <v>0</v>
      </c>
      <c r="CJ65" s="190">
        <v>0</v>
      </c>
      <c r="CK65" s="190">
        <v>0</v>
      </c>
      <c r="CL65" s="190">
        <v>0</v>
      </c>
      <c r="CM65" s="190">
        <v>0</v>
      </c>
    </row>
    <row r="66" spans="1:91">
      <c r="A66" s="190" t="s">
        <v>170</v>
      </c>
      <c r="B66" s="190">
        <v>0</v>
      </c>
      <c r="C66" s="190">
        <v>0</v>
      </c>
      <c r="D66" s="190">
        <v>0</v>
      </c>
      <c r="E66" s="190">
        <v>0</v>
      </c>
      <c r="F66" s="190">
        <v>0</v>
      </c>
      <c r="G66" s="190">
        <v>0</v>
      </c>
      <c r="H66" s="190">
        <v>0</v>
      </c>
      <c r="I66" s="190">
        <v>0</v>
      </c>
      <c r="J66" s="190">
        <v>0</v>
      </c>
      <c r="K66" s="190">
        <v>0</v>
      </c>
      <c r="L66" s="190">
        <v>0</v>
      </c>
      <c r="M66" s="190">
        <v>0</v>
      </c>
      <c r="N66" s="190">
        <v>0</v>
      </c>
      <c r="O66" s="190">
        <v>451133256.63</v>
      </c>
      <c r="P66" s="190">
        <v>368324094.19</v>
      </c>
      <c r="Q66" s="190">
        <v>508597141.54000002</v>
      </c>
      <c r="R66" s="190">
        <v>527514094.19</v>
      </c>
      <c r="S66" s="190">
        <v>533555166.83999997</v>
      </c>
      <c r="T66" s="190">
        <v>528287554.30000001</v>
      </c>
      <c r="U66" s="190">
        <v>546999793.61000001</v>
      </c>
      <c r="V66" s="190">
        <v>478594799.04000002</v>
      </c>
      <c r="W66" s="190">
        <v>490792556.92000002</v>
      </c>
      <c r="X66" s="190">
        <v>491781980.81999999</v>
      </c>
      <c r="Y66" s="190">
        <v>336824140.51999998</v>
      </c>
      <c r="Z66" s="190">
        <v>337097926.5</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1840934.52</v>
      </c>
      <c r="AV66" s="190">
        <v>1774934.52</v>
      </c>
      <c r="AW66" s="190">
        <v>1374934.52</v>
      </c>
      <c r="AX66" s="190">
        <v>1110772.1599999999</v>
      </c>
      <c r="AY66" s="190">
        <v>329526.07</v>
      </c>
      <c r="AZ66" s="190">
        <v>1086477.29</v>
      </c>
      <c r="BA66" s="190">
        <v>380880.39</v>
      </c>
      <c r="BB66" s="190">
        <v>1160509.9099999999</v>
      </c>
      <c r="BC66" s="190">
        <v>425900</v>
      </c>
      <c r="BD66" s="190">
        <v>1139334.52</v>
      </c>
      <c r="BE66" s="190">
        <v>1139334.52</v>
      </c>
      <c r="BF66" s="190">
        <v>1139334.52</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c r="CL66" s="190">
        <v>0</v>
      </c>
      <c r="CM66" s="190">
        <v>0</v>
      </c>
    </row>
    <row r="67" spans="1:91">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c r="CF67" s="190">
        <v>0</v>
      </c>
      <c r="CG67" s="190">
        <v>0</v>
      </c>
      <c r="CH67" s="190">
        <v>0</v>
      </c>
      <c r="CI67" s="190">
        <v>0</v>
      </c>
      <c r="CJ67" s="190">
        <v>0</v>
      </c>
      <c r="CK67" s="190">
        <v>0</v>
      </c>
      <c r="CL67" s="190">
        <v>0</v>
      </c>
      <c r="CM67" s="190">
        <v>0</v>
      </c>
    </row>
    <row r="68" spans="1:91">
      <c r="A68" s="190" t="s">
        <v>172</v>
      </c>
      <c r="B68" s="190">
        <v>61574415.850000001</v>
      </c>
      <c r="C68" s="190">
        <v>62765220.07</v>
      </c>
      <c r="D68" s="190">
        <v>60880442.770000003</v>
      </c>
      <c r="E68" s="190">
        <v>66757206.229999997</v>
      </c>
      <c r="F68" s="190">
        <v>38462336.270000003</v>
      </c>
      <c r="G68" s="190">
        <v>54196561.490000002</v>
      </c>
      <c r="H68" s="190">
        <v>56909393.329999998</v>
      </c>
      <c r="I68" s="190">
        <v>57824989.609999999</v>
      </c>
      <c r="J68" s="190">
        <v>55027840.439999998</v>
      </c>
      <c r="K68" s="190">
        <v>41021119.869999997</v>
      </c>
      <c r="L68" s="190">
        <v>41599818.229999997</v>
      </c>
      <c r="M68" s="190">
        <v>57463600.049999997</v>
      </c>
      <c r="N68" s="190">
        <v>64383640.159999996</v>
      </c>
      <c r="O68" s="190">
        <v>61101424.75</v>
      </c>
      <c r="P68" s="190">
        <v>78368970.950000003</v>
      </c>
      <c r="Q68" s="190">
        <v>92463910.909999996</v>
      </c>
      <c r="R68" s="190">
        <v>78467210.099999994</v>
      </c>
      <c r="S68" s="190">
        <v>92707825.519999996</v>
      </c>
      <c r="T68" s="190">
        <v>85077428.640000001</v>
      </c>
      <c r="U68" s="190">
        <v>85761514.969999999</v>
      </c>
      <c r="V68" s="190">
        <v>87126358.530000001</v>
      </c>
      <c r="W68" s="190">
        <v>99993098.420000002</v>
      </c>
      <c r="X68" s="190">
        <v>82631973.120000005</v>
      </c>
      <c r="Y68" s="190">
        <v>128139916.58</v>
      </c>
      <c r="Z68" s="190">
        <v>128521843.11</v>
      </c>
      <c r="AA68" s="190">
        <v>107383347.84</v>
      </c>
      <c r="AB68" s="190">
        <v>41411694.719999999</v>
      </c>
      <c r="AC68" s="190">
        <v>43050828.079999998</v>
      </c>
      <c r="AD68" s="190">
        <v>72624175.909999996</v>
      </c>
      <c r="AE68" s="190">
        <v>41130884.609999999</v>
      </c>
      <c r="AF68" s="190">
        <v>39575463.509999998</v>
      </c>
      <c r="AG68" s="190">
        <v>39931048.210000001</v>
      </c>
      <c r="AH68" s="190">
        <v>40264134.43</v>
      </c>
      <c r="AI68" s="190">
        <v>42449400.32</v>
      </c>
      <c r="AJ68" s="190">
        <v>42653466.369999997</v>
      </c>
      <c r="AK68" s="190">
        <v>45069702.460000001</v>
      </c>
      <c r="AL68" s="190">
        <v>47336763.479999997</v>
      </c>
      <c r="AM68" s="190">
        <v>14075722.1</v>
      </c>
      <c r="AN68" s="190">
        <v>14836532.33</v>
      </c>
      <c r="AO68" s="190">
        <v>11348083.5</v>
      </c>
      <c r="AP68" s="190">
        <v>10223461.91</v>
      </c>
      <c r="AQ68" s="190">
        <v>25097550.68</v>
      </c>
      <c r="AR68" s="190">
        <v>25005134.829999998</v>
      </c>
      <c r="AS68" s="190">
        <v>27487284.390000001</v>
      </c>
      <c r="AT68" s="190">
        <v>27134956.109999999</v>
      </c>
      <c r="AU68" s="190">
        <v>33429408.100000001</v>
      </c>
      <c r="AV68" s="190">
        <v>26112266.84</v>
      </c>
      <c r="AW68" s="190">
        <v>8949288.2699999996</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7808390.7699999996</v>
      </c>
      <c r="BT68" s="190">
        <v>0</v>
      </c>
      <c r="BU68" s="190">
        <v>3339026.36</v>
      </c>
      <c r="BV68" s="190">
        <v>0</v>
      </c>
      <c r="BW68" s="190">
        <v>0</v>
      </c>
      <c r="BX68" s="190">
        <v>0</v>
      </c>
      <c r="BY68" s="190">
        <v>0</v>
      </c>
      <c r="BZ68" s="190">
        <v>0</v>
      </c>
      <c r="CA68" s="190">
        <v>0</v>
      </c>
      <c r="CB68" s="190">
        <v>0</v>
      </c>
      <c r="CC68" s="190">
        <v>0</v>
      </c>
      <c r="CD68" s="190">
        <v>0</v>
      </c>
      <c r="CE68" s="190">
        <v>0</v>
      </c>
      <c r="CF68" s="190">
        <v>0</v>
      </c>
      <c r="CG68" s="190">
        <v>0</v>
      </c>
      <c r="CH68" s="190">
        <v>0</v>
      </c>
      <c r="CI68" s="190">
        <v>0</v>
      </c>
      <c r="CJ68" s="190">
        <v>0</v>
      </c>
      <c r="CK68" s="190">
        <v>0</v>
      </c>
      <c r="CL68" s="190">
        <v>0</v>
      </c>
      <c r="CM68" s="190">
        <v>0</v>
      </c>
    </row>
    <row r="69" spans="1:91">
      <c r="A69" s="190" t="s">
        <v>173</v>
      </c>
      <c r="B69" s="190">
        <v>198869564.88</v>
      </c>
      <c r="C69" s="190">
        <v>201319103.75</v>
      </c>
      <c r="D69" s="190">
        <v>203568642.62</v>
      </c>
      <c r="E69" s="190">
        <v>205818181.49000001</v>
      </c>
      <c r="F69" s="190">
        <v>208067720.34</v>
      </c>
      <c r="G69" s="190">
        <v>210517259.21000001</v>
      </c>
      <c r="H69" s="190">
        <v>214246798.08000001</v>
      </c>
      <c r="I69" s="190">
        <v>216496336.94999999</v>
      </c>
      <c r="J69" s="190">
        <v>218745875.81999999</v>
      </c>
      <c r="K69" s="190">
        <v>224721625.30000001</v>
      </c>
      <c r="L69" s="190">
        <v>230434798.15000001</v>
      </c>
      <c r="M69" s="190">
        <v>232443108.97999999</v>
      </c>
      <c r="N69" s="190">
        <v>232283109</v>
      </c>
      <c r="O69" s="190">
        <v>52750000</v>
      </c>
      <c r="P69" s="190">
        <v>52750000</v>
      </c>
      <c r="Q69" s="190">
        <v>54050000</v>
      </c>
      <c r="R69" s="190">
        <v>54050000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c r="CF69" s="190">
        <v>0</v>
      </c>
      <c r="CG69" s="190">
        <v>0</v>
      </c>
      <c r="CH69" s="190">
        <v>0</v>
      </c>
      <c r="CI69" s="190">
        <v>0</v>
      </c>
      <c r="CJ69" s="190">
        <v>0</v>
      </c>
      <c r="CK69" s="190">
        <v>0</v>
      </c>
      <c r="CL69" s="190">
        <v>0</v>
      </c>
      <c r="CM69" s="190">
        <v>0</v>
      </c>
    </row>
    <row r="70" spans="1:91">
      <c r="A70" s="190" t="s">
        <v>174</v>
      </c>
      <c r="B70" s="190">
        <v>0</v>
      </c>
      <c r="C70" s="190">
        <v>0</v>
      </c>
      <c r="D70" s="190">
        <v>0</v>
      </c>
      <c r="E70" s="190">
        <v>0</v>
      </c>
      <c r="F70" s="190">
        <v>0</v>
      </c>
      <c r="G70" s="190">
        <v>1223071.97</v>
      </c>
      <c r="H70" s="190">
        <v>1223071.97</v>
      </c>
      <c r="I70" s="190">
        <v>1396766.99</v>
      </c>
      <c r="J70" s="190">
        <v>1645900.19</v>
      </c>
      <c r="K70" s="190">
        <v>1280744.1299999999</v>
      </c>
      <c r="L70" s="190">
        <v>1280744.1100000001</v>
      </c>
      <c r="M70" s="190">
        <v>1165704.7</v>
      </c>
      <c r="N70" s="190">
        <v>1165704.6599999999</v>
      </c>
      <c r="O70" s="190">
        <v>124336.65</v>
      </c>
      <c r="P70" s="190">
        <v>9746385</v>
      </c>
      <c r="Q70" s="190">
        <v>30760912.850000001</v>
      </c>
      <c r="R70" s="190">
        <v>11929625</v>
      </c>
      <c r="S70" s="190">
        <v>115465195.89</v>
      </c>
      <c r="T70" s="190">
        <v>128488624.03</v>
      </c>
      <c r="U70" s="190">
        <v>133373494.23</v>
      </c>
      <c r="V70" s="190">
        <v>136726125.74000001</v>
      </c>
      <c r="W70" s="190">
        <v>304428001.45999998</v>
      </c>
      <c r="X70" s="190">
        <v>308638023.68000001</v>
      </c>
      <c r="Y70" s="190">
        <v>348748892.81</v>
      </c>
      <c r="Z70" s="190">
        <v>370263167.26999998</v>
      </c>
      <c r="AA70" s="190">
        <v>498699481.50999999</v>
      </c>
      <c r="AB70" s="190">
        <v>5765650</v>
      </c>
      <c r="AC70" s="190">
        <v>5765650</v>
      </c>
      <c r="AD70" s="190">
        <v>43265572.689999998</v>
      </c>
      <c r="AE70" s="190">
        <v>17498983.329999998</v>
      </c>
      <c r="AF70" s="190">
        <v>17498983.329999998</v>
      </c>
      <c r="AG70" s="190">
        <v>17498983.329999998</v>
      </c>
      <c r="AH70" s="190">
        <v>17548983.329999998</v>
      </c>
      <c r="AI70" s="190">
        <v>16346050</v>
      </c>
      <c r="AJ70" s="190">
        <v>17466050</v>
      </c>
      <c r="AK70" s="190">
        <v>18115650</v>
      </c>
      <c r="AL70" s="190">
        <v>10115650</v>
      </c>
      <c r="AM70" s="190">
        <v>12940816.34</v>
      </c>
      <c r="AN70" s="190">
        <v>3500000</v>
      </c>
      <c r="AO70" s="190">
        <v>3700940</v>
      </c>
      <c r="AP70" s="190">
        <v>3010940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1055171.3600000001</v>
      </c>
      <c r="BT70" s="190">
        <v>-30079893.239999998</v>
      </c>
      <c r="BU70" s="190">
        <v>1099891.96</v>
      </c>
      <c r="BV70" s="190">
        <v>1099891.96</v>
      </c>
      <c r="BW70" s="190">
        <v>0</v>
      </c>
      <c r="BX70" s="190">
        <v>0</v>
      </c>
      <c r="BY70" s="190">
        <v>0</v>
      </c>
      <c r="BZ70" s="190">
        <v>-4451806.22</v>
      </c>
      <c r="CA70" s="190">
        <v>0</v>
      </c>
      <c r="CB70" s="190">
        <v>-4175163.53</v>
      </c>
      <c r="CC70" s="190">
        <v>0</v>
      </c>
      <c r="CD70" s="190">
        <v>-4244677.6399999997</v>
      </c>
      <c r="CE70" s="190">
        <v>0</v>
      </c>
      <c r="CF70" s="190">
        <v>0</v>
      </c>
      <c r="CG70" s="190">
        <v>0</v>
      </c>
      <c r="CH70" s="190">
        <v>0</v>
      </c>
      <c r="CI70" s="190">
        <v>0</v>
      </c>
      <c r="CJ70" s="190">
        <v>0</v>
      </c>
      <c r="CK70" s="190">
        <v>0</v>
      </c>
      <c r="CL70" s="190">
        <v>0</v>
      </c>
      <c r="CM70" s="190">
        <v>0</v>
      </c>
    </row>
    <row r="71" spans="1:91">
      <c r="A71" s="190" t="s">
        <v>175</v>
      </c>
      <c r="B71" s="190">
        <v>375945601.19999999</v>
      </c>
      <c r="C71" s="190">
        <v>379599644.11000001</v>
      </c>
      <c r="D71" s="190">
        <v>379276403.13</v>
      </c>
      <c r="E71" s="190">
        <v>388154938.30000001</v>
      </c>
      <c r="F71" s="190">
        <v>372844510.60000002</v>
      </c>
      <c r="G71" s="190">
        <v>382807704.94999999</v>
      </c>
      <c r="H71" s="190">
        <v>389269544.75999999</v>
      </c>
      <c r="I71" s="190">
        <v>394696702.37</v>
      </c>
      <c r="J71" s="190">
        <v>402071357.63999999</v>
      </c>
      <c r="K71" s="190">
        <v>396616997.60000002</v>
      </c>
      <c r="L71" s="190">
        <v>403099621.69</v>
      </c>
      <c r="M71" s="190">
        <v>426252733.25999999</v>
      </c>
      <c r="N71" s="190">
        <v>432870714.81999999</v>
      </c>
      <c r="O71" s="190">
        <v>624498071.76999998</v>
      </c>
      <c r="P71" s="190">
        <v>640695848.37</v>
      </c>
      <c r="Q71" s="190">
        <v>2214983217.5</v>
      </c>
      <c r="R71" s="190">
        <v>2186223030.6799998</v>
      </c>
      <c r="S71" s="190">
        <v>829344884.97000003</v>
      </c>
      <c r="T71" s="190">
        <v>827540481.40999997</v>
      </c>
      <c r="U71" s="190">
        <v>847356746.92999995</v>
      </c>
      <c r="V71" s="190">
        <v>782027953.46000004</v>
      </c>
      <c r="W71" s="190">
        <v>2323457345.1500001</v>
      </c>
      <c r="X71" s="190">
        <v>2318186891.3600001</v>
      </c>
      <c r="Y71" s="190">
        <v>2275899509.4000001</v>
      </c>
      <c r="Z71" s="190">
        <v>2298818924.3800001</v>
      </c>
      <c r="AA71" s="190">
        <v>796436806.35000002</v>
      </c>
      <c r="AB71" s="190">
        <v>47320344.719999999</v>
      </c>
      <c r="AC71" s="190">
        <v>48959478.079999998</v>
      </c>
      <c r="AD71" s="190">
        <v>1598873952.8</v>
      </c>
      <c r="AE71" s="190">
        <v>110383788.83</v>
      </c>
      <c r="AF71" s="190">
        <v>108828367.73</v>
      </c>
      <c r="AG71" s="190">
        <v>109183952.43000001</v>
      </c>
      <c r="AH71" s="190">
        <v>109567038.65000001</v>
      </c>
      <c r="AI71" s="190">
        <v>110549371.20999999</v>
      </c>
      <c r="AJ71" s="190">
        <v>111873437.26000001</v>
      </c>
      <c r="AK71" s="190">
        <v>224990508</v>
      </c>
      <c r="AL71" s="190">
        <v>219260256.72999999</v>
      </c>
      <c r="AM71" s="190">
        <v>33836620.789999999</v>
      </c>
      <c r="AN71" s="190">
        <v>25158477.010000002</v>
      </c>
      <c r="AO71" s="190">
        <v>21862009.609999999</v>
      </c>
      <c r="AP71" s="190">
        <v>20069687.390000001</v>
      </c>
      <c r="AQ71" s="190">
        <v>36963417.57</v>
      </c>
      <c r="AR71" s="190">
        <v>36892641.039999999</v>
      </c>
      <c r="AS71" s="190">
        <v>39413251.409999996</v>
      </c>
      <c r="AT71" s="190">
        <v>39125689.93</v>
      </c>
      <c r="AU71" s="190">
        <v>47281128.189999998</v>
      </c>
      <c r="AV71" s="190">
        <v>39910665.539999999</v>
      </c>
      <c r="AW71" s="190">
        <v>22387348.440000001</v>
      </c>
      <c r="AX71" s="190">
        <v>13197068.529999999</v>
      </c>
      <c r="AY71" s="190">
        <v>70944187.890000001</v>
      </c>
      <c r="AZ71" s="190">
        <v>73481016.030000001</v>
      </c>
      <c r="BA71" s="190">
        <v>32442026.59</v>
      </c>
      <c r="BB71" s="190">
        <v>47392870.549999997</v>
      </c>
      <c r="BC71" s="190">
        <v>52269207.270000003</v>
      </c>
      <c r="BD71" s="190">
        <v>41267707.270000003</v>
      </c>
      <c r="BE71" s="190">
        <v>70876239.670000002</v>
      </c>
      <c r="BF71" s="190">
        <v>71709239.670000002</v>
      </c>
      <c r="BG71" s="190">
        <v>48741007.270000003</v>
      </c>
      <c r="BH71" s="190">
        <v>48620507.270000003</v>
      </c>
      <c r="BI71" s="190">
        <v>68980507.269999996</v>
      </c>
      <c r="BJ71" s="190">
        <v>69056710.560000002</v>
      </c>
      <c r="BK71" s="190">
        <v>87842440.019999996</v>
      </c>
      <c r="BL71" s="190">
        <v>68841378.019999996</v>
      </c>
      <c r="BM71" s="190">
        <v>53375118.140000001</v>
      </c>
      <c r="BN71" s="190">
        <v>53342793.359999999</v>
      </c>
      <c r="BO71" s="190">
        <v>52051084.32</v>
      </c>
      <c r="BP71" s="190">
        <v>52051884.32</v>
      </c>
      <c r="BQ71" s="190">
        <v>21130129.289999999</v>
      </c>
      <c r="BR71" s="190">
        <v>6245819.1200000001</v>
      </c>
      <c r="BS71" s="190">
        <v>24798707.300000001</v>
      </c>
      <c r="BT71" s="190">
        <v>15391974.43</v>
      </c>
      <c r="BU71" s="190">
        <v>21699712.260000002</v>
      </c>
      <c r="BV71" s="190">
        <v>17762193.960000001</v>
      </c>
      <c r="BW71" s="190">
        <v>16700834.92</v>
      </c>
      <c r="BX71" s="190">
        <v>18637712.379999999</v>
      </c>
      <c r="BY71" s="190">
        <v>6237527.5800000001</v>
      </c>
      <c r="BZ71" s="190">
        <v>7978028.7800000003</v>
      </c>
      <c r="CA71" s="190">
        <v>9367983.4800000004</v>
      </c>
      <c r="CB71" s="190">
        <v>8938271.4700000007</v>
      </c>
      <c r="CC71" s="190">
        <v>21954491.920000002</v>
      </c>
      <c r="CD71" s="190">
        <v>10202357.359999999</v>
      </c>
      <c r="CE71" s="190">
        <v>12315352.42</v>
      </c>
      <c r="CF71" s="190">
        <v>14486000</v>
      </c>
      <c r="CG71" s="190">
        <v>15176572.18</v>
      </c>
      <c r="CH71" s="190">
        <v>55535094.369999997</v>
      </c>
      <c r="CI71" s="190">
        <v>68620000</v>
      </c>
      <c r="CJ71" s="190">
        <v>35070000</v>
      </c>
      <c r="CK71" s="190">
        <v>16410000</v>
      </c>
      <c r="CL71" s="190">
        <v>31250000</v>
      </c>
      <c r="CM71" s="190">
        <v>0</v>
      </c>
    </row>
    <row r="72" spans="1:91">
      <c r="A72" s="190" t="s">
        <v>176</v>
      </c>
      <c r="B72" s="190">
        <v>20531961859</v>
      </c>
      <c r="C72" s="190">
        <v>20233287799.41</v>
      </c>
      <c r="D72" s="190">
        <v>21010377816.779999</v>
      </c>
      <c r="E72" s="190">
        <v>20847329453.490002</v>
      </c>
      <c r="F72" s="190">
        <v>21089777209.990002</v>
      </c>
      <c r="G72" s="190">
        <v>20302631254.580002</v>
      </c>
      <c r="H72" s="190">
        <v>20187365320.75</v>
      </c>
      <c r="I72" s="190">
        <v>20804711733.25</v>
      </c>
      <c r="J72" s="190">
        <v>20150576971.080002</v>
      </c>
      <c r="K72" s="190">
        <v>20072277238.279999</v>
      </c>
      <c r="L72" s="190">
        <v>20474000319.509998</v>
      </c>
      <c r="M72" s="190">
        <v>19612362742.240002</v>
      </c>
      <c r="N72" s="190">
        <v>19366248695.959999</v>
      </c>
      <c r="O72" s="190">
        <v>19207610891.82</v>
      </c>
      <c r="P72" s="190">
        <v>21496962333.34</v>
      </c>
      <c r="Q72" s="190">
        <v>21052698112.290001</v>
      </c>
      <c r="R72" s="190">
        <v>21157190034.950001</v>
      </c>
      <c r="S72" s="190">
        <v>20872958794.040001</v>
      </c>
      <c r="T72" s="190">
        <v>20925151282.580002</v>
      </c>
      <c r="U72" s="190">
        <v>19732273533.349998</v>
      </c>
      <c r="V72" s="190">
        <v>19053624874.07</v>
      </c>
      <c r="W72" s="190">
        <v>18796137992.450001</v>
      </c>
      <c r="X72" s="190">
        <v>18455803648.970001</v>
      </c>
      <c r="Y72" s="190">
        <v>17238819799.07</v>
      </c>
      <c r="Z72" s="190">
        <v>18613276240.380001</v>
      </c>
      <c r="AA72" s="190">
        <v>16143149724.559999</v>
      </c>
      <c r="AB72" s="190">
        <v>11873689672.129999</v>
      </c>
      <c r="AC72" s="190">
        <v>9999823069.1399994</v>
      </c>
      <c r="AD72" s="190">
        <v>13653895106.549999</v>
      </c>
      <c r="AE72" s="190">
        <v>9551805959.2900009</v>
      </c>
      <c r="AF72" s="190">
        <v>9305103341.4500008</v>
      </c>
      <c r="AG72" s="190">
        <v>8068422830.1599998</v>
      </c>
      <c r="AH72" s="190">
        <v>7793274272.2399998</v>
      </c>
      <c r="AI72" s="190">
        <v>7884368097</v>
      </c>
      <c r="AJ72" s="190">
        <v>7477319593.3999996</v>
      </c>
      <c r="AK72" s="190">
        <v>6579967169.4799995</v>
      </c>
      <c r="AL72" s="190">
        <v>6343603629.5200005</v>
      </c>
      <c r="AM72" s="190">
        <v>6103327658.8400002</v>
      </c>
      <c r="AN72" s="190">
        <v>5266685775.8500004</v>
      </c>
      <c r="AO72" s="190">
        <v>4506089795.1999998</v>
      </c>
      <c r="AP72" s="190">
        <v>4282256935.8299999</v>
      </c>
      <c r="AQ72" s="190">
        <v>4489420499.1400003</v>
      </c>
      <c r="AR72" s="190">
        <v>4614653219.6099997</v>
      </c>
      <c r="AS72" s="190">
        <v>4068619526.8200002</v>
      </c>
      <c r="AT72" s="190">
        <v>4367355186.1099997</v>
      </c>
      <c r="AU72" s="190">
        <v>4173963739.3000002</v>
      </c>
      <c r="AV72" s="190">
        <v>4052282228.2600002</v>
      </c>
      <c r="AW72" s="190">
        <v>3415796162.1599998</v>
      </c>
      <c r="AX72" s="190">
        <v>3343516772.4400001</v>
      </c>
      <c r="AY72" s="190">
        <v>3115451594.8800001</v>
      </c>
      <c r="AZ72" s="190">
        <v>3088273985.0999999</v>
      </c>
      <c r="BA72" s="190">
        <v>2642432530.4499998</v>
      </c>
      <c r="BB72" s="190">
        <v>2857362213.8400002</v>
      </c>
      <c r="BC72" s="190">
        <v>2804020543.4400001</v>
      </c>
      <c r="BD72" s="190">
        <v>3116660565.7800002</v>
      </c>
      <c r="BE72" s="190">
        <v>3110490203.9899998</v>
      </c>
      <c r="BF72" s="190">
        <v>3301022664.9000001</v>
      </c>
      <c r="BG72" s="190">
        <v>3667133326.1199999</v>
      </c>
      <c r="BH72" s="190">
        <v>3861451529.0999999</v>
      </c>
      <c r="BI72" s="190">
        <v>3706049932.5100002</v>
      </c>
      <c r="BJ72" s="190">
        <v>3881074009.27</v>
      </c>
      <c r="BK72" s="190">
        <v>3992792405.98</v>
      </c>
      <c r="BL72" s="190">
        <v>4304021872.5500002</v>
      </c>
      <c r="BM72" s="190">
        <v>4258072319.0700002</v>
      </c>
      <c r="BN72" s="190">
        <v>4298819297.1400003</v>
      </c>
      <c r="BO72" s="190">
        <v>3801813112.46</v>
      </c>
      <c r="BP72" s="190">
        <v>4188955439.75</v>
      </c>
      <c r="BQ72" s="190">
        <v>3784515191.9499998</v>
      </c>
      <c r="BR72" s="190">
        <v>3559026904.9499998</v>
      </c>
      <c r="BS72" s="190">
        <v>3610997971.79</v>
      </c>
      <c r="BT72" s="190">
        <v>3292810858.9000001</v>
      </c>
      <c r="BU72" s="190">
        <v>3399134407.0599999</v>
      </c>
      <c r="BV72" s="190">
        <v>3288890716.8699999</v>
      </c>
      <c r="BW72" s="190">
        <v>2866418808.8299999</v>
      </c>
      <c r="BX72" s="190">
        <v>3015395593.46</v>
      </c>
      <c r="BY72" s="190">
        <v>1231901172.54</v>
      </c>
      <c r="BZ72" s="190">
        <v>1383148872.3</v>
      </c>
      <c r="CA72" s="190">
        <v>1260364135.48</v>
      </c>
      <c r="CB72" s="190">
        <v>1421791010.71</v>
      </c>
      <c r="CC72" s="190">
        <v>1152831948.9300001</v>
      </c>
      <c r="CD72" s="190">
        <v>836556951.37</v>
      </c>
      <c r="CE72" s="190">
        <v>531296412.54000002</v>
      </c>
      <c r="CF72" s="190">
        <v>366127000</v>
      </c>
      <c r="CG72" s="190">
        <v>418031540.13</v>
      </c>
      <c r="CH72" s="190">
        <v>542951290.77999997</v>
      </c>
      <c r="CI72" s="190">
        <v>552760000</v>
      </c>
      <c r="CJ72" s="190">
        <v>377780000</v>
      </c>
      <c r="CK72" s="190">
        <v>194330000</v>
      </c>
      <c r="CL72" s="190">
        <v>215690000</v>
      </c>
      <c r="CM72" s="190">
        <v>0</v>
      </c>
    </row>
    <row r="73" spans="1:91">
      <c r="A73" s="190" t="s">
        <v>177</v>
      </c>
    </row>
    <row r="74" spans="1:91">
      <c r="A74" s="190" t="s">
        <v>178</v>
      </c>
      <c r="B74" s="190">
        <v>1022739308</v>
      </c>
      <c r="C74" s="190">
        <v>1022739308</v>
      </c>
      <c r="D74" s="190">
        <v>1022739308</v>
      </c>
      <c r="E74" s="190">
        <v>1022739308</v>
      </c>
      <c r="F74" s="190">
        <v>1022739308</v>
      </c>
      <c r="G74" s="190">
        <v>1022739308</v>
      </c>
      <c r="H74" s="190">
        <v>1022739308</v>
      </c>
      <c r="I74" s="190">
        <v>1022739308</v>
      </c>
      <c r="J74" s="190">
        <v>1022739308</v>
      </c>
      <c r="K74" s="190">
        <v>1022739308</v>
      </c>
      <c r="L74" s="190">
        <v>1022739308</v>
      </c>
      <c r="M74" s="190">
        <v>1022739308</v>
      </c>
      <c r="N74" s="190">
        <v>1022739308</v>
      </c>
      <c r="O74" s="190">
        <v>1022739308</v>
      </c>
      <c r="P74" s="190">
        <v>1022739308</v>
      </c>
      <c r="Q74" s="190">
        <v>1022739308</v>
      </c>
      <c r="R74" s="190">
        <v>1022739308</v>
      </c>
      <c r="S74" s="190">
        <v>1022739308</v>
      </c>
      <c r="T74" s="190">
        <v>1022739308</v>
      </c>
      <c r="U74" s="190">
        <v>1022739308</v>
      </c>
      <c r="V74" s="190">
        <v>1022739308</v>
      </c>
      <c r="W74" s="190">
        <v>1022739308</v>
      </c>
      <c r="X74" s="190">
        <v>1022739308</v>
      </c>
      <c r="Y74" s="190">
        <v>1022739308</v>
      </c>
      <c r="Z74" s="190">
        <v>1022739308</v>
      </c>
      <c r="AA74" s="190">
        <v>1022739308</v>
      </c>
      <c r="AB74" s="190">
        <v>1022739308</v>
      </c>
      <c r="AC74" s="190">
        <v>1022739308</v>
      </c>
      <c r="AD74" s="190">
        <v>1022739308</v>
      </c>
      <c r="AE74" s="190">
        <v>1022739308</v>
      </c>
      <c r="AF74" s="190">
        <v>1022739308</v>
      </c>
      <c r="AG74" s="190">
        <v>1022739308</v>
      </c>
      <c r="AH74" s="190">
        <v>1022739308</v>
      </c>
      <c r="AI74" s="190">
        <v>1022739308</v>
      </c>
      <c r="AJ74" s="190">
        <v>1022739308</v>
      </c>
      <c r="AK74" s="190">
        <v>1022739308</v>
      </c>
      <c r="AL74" s="190">
        <v>1022739308</v>
      </c>
      <c r="AM74" s="190">
        <v>1022739308</v>
      </c>
      <c r="AN74" s="190">
        <v>1022739308</v>
      </c>
      <c r="AO74" s="190">
        <v>1022739308</v>
      </c>
      <c r="AP74" s="190">
        <v>1022739308</v>
      </c>
      <c r="AQ74" s="190">
        <v>1022739308</v>
      </c>
      <c r="AR74" s="190">
        <v>852282757</v>
      </c>
      <c r="AS74" s="190">
        <v>852282757</v>
      </c>
      <c r="AT74" s="190">
        <v>852282757</v>
      </c>
      <c r="AU74" s="190">
        <v>852282757</v>
      </c>
      <c r="AV74" s="190">
        <v>852282757</v>
      </c>
      <c r="AW74" s="190">
        <v>852282757</v>
      </c>
      <c r="AX74" s="190">
        <v>852282757</v>
      </c>
      <c r="AY74" s="190">
        <v>852282757</v>
      </c>
      <c r="AZ74" s="190">
        <v>852282757</v>
      </c>
      <c r="BA74" s="190">
        <v>852282757</v>
      </c>
      <c r="BB74" s="190">
        <v>852282757</v>
      </c>
      <c r="BC74" s="190">
        <v>852282757</v>
      </c>
      <c r="BD74" s="190">
        <v>852282757</v>
      </c>
      <c r="BE74" s="190">
        <v>852282757</v>
      </c>
      <c r="BF74" s="190">
        <v>852282757</v>
      </c>
      <c r="BG74" s="190">
        <v>852282757</v>
      </c>
      <c r="BH74" s="190">
        <v>710235631</v>
      </c>
      <c r="BI74" s="190">
        <v>710235631</v>
      </c>
      <c r="BJ74" s="190">
        <v>710235631</v>
      </c>
      <c r="BK74" s="190">
        <v>710235631</v>
      </c>
      <c r="BL74" s="190">
        <v>710235631</v>
      </c>
      <c r="BM74" s="190">
        <v>591863026</v>
      </c>
      <c r="BN74" s="190">
        <v>591863026</v>
      </c>
      <c r="BO74" s="190">
        <v>591863026</v>
      </c>
      <c r="BP74" s="190">
        <v>538057296</v>
      </c>
      <c r="BQ74" s="190">
        <v>538057296</v>
      </c>
      <c r="BR74" s="190">
        <v>538057296</v>
      </c>
      <c r="BS74" s="190">
        <v>448381080</v>
      </c>
      <c r="BT74" s="190">
        <v>448381080</v>
      </c>
      <c r="BU74" s="190">
        <v>448381080</v>
      </c>
      <c r="BV74" s="190">
        <v>448381080</v>
      </c>
      <c r="BW74" s="190">
        <v>328381080</v>
      </c>
      <c r="BX74" s="190">
        <v>328381080</v>
      </c>
      <c r="BY74" s="190">
        <v>328381080</v>
      </c>
      <c r="BZ74" s="190">
        <v>328381080</v>
      </c>
      <c r="CA74" s="190">
        <v>328381080</v>
      </c>
      <c r="CB74" s="190">
        <v>328381080</v>
      </c>
      <c r="CC74" s="190">
        <v>328381080</v>
      </c>
      <c r="CD74" s="190">
        <v>273650900</v>
      </c>
      <c r="CE74" s="190">
        <v>273650900</v>
      </c>
      <c r="CF74" s="190">
        <v>273651000</v>
      </c>
      <c r="CG74" s="190">
        <v>273650900</v>
      </c>
      <c r="CH74" s="190">
        <v>203650900</v>
      </c>
      <c r="CI74" s="190">
        <v>0</v>
      </c>
      <c r="CJ74" s="190">
        <v>0</v>
      </c>
      <c r="CK74" s="190">
        <v>0</v>
      </c>
      <c r="CL74" s="190">
        <v>0</v>
      </c>
      <c r="CM74" s="190">
        <v>0</v>
      </c>
    </row>
    <row r="75" spans="1:91">
      <c r="A75" s="190" t="s">
        <v>179</v>
      </c>
      <c r="B75" s="190">
        <v>2038642490.52</v>
      </c>
      <c r="C75" s="190">
        <v>2039257706.1500001</v>
      </c>
      <c r="D75" s="190">
        <v>2039257706.1500001</v>
      </c>
      <c r="E75" s="190">
        <v>2039257706.1500001</v>
      </c>
      <c r="F75" s="190">
        <v>2039257706.1500001</v>
      </c>
      <c r="G75" s="190">
        <v>2040369939.8499999</v>
      </c>
      <c r="H75" s="190">
        <v>2040369939.8499999</v>
      </c>
      <c r="I75" s="190">
        <v>2040369939.8499999</v>
      </c>
      <c r="J75" s="190">
        <v>2040369939.8499999</v>
      </c>
      <c r="K75" s="190">
        <v>2040369939.8499999</v>
      </c>
      <c r="L75" s="190">
        <v>2040369939.8599999</v>
      </c>
      <c r="M75" s="190">
        <v>2044371070.28</v>
      </c>
      <c r="N75" s="190">
        <v>2044371070.28</v>
      </c>
      <c r="O75" s="190">
        <v>2045566883.75</v>
      </c>
      <c r="P75" s="190">
        <v>2044371070.28</v>
      </c>
      <c r="Q75" s="190">
        <v>1639996070.28</v>
      </c>
      <c r="R75" s="190">
        <v>1639996070.28</v>
      </c>
      <c r="S75" s="190">
        <v>1700880260.95</v>
      </c>
      <c r="T75" s="190">
        <v>1652552705.24</v>
      </c>
      <c r="U75" s="190">
        <v>1673759344.55</v>
      </c>
      <c r="V75" s="190">
        <v>1661771296.45</v>
      </c>
      <c r="W75" s="190">
        <v>1688174464.0699999</v>
      </c>
      <c r="X75" s="190">
        <v>1611037795.8099999</v>
      </c>
      <c r="Y75" s="190">
        <v>1621549515.03</v>
      </c>
      <c r="Z75" s="190">
        <v>1601618149.1099999</v>
      </c>
      <c r="AA75" s="190">
        <v>1656058738.6700001</v>
      </c>
      <c r="AB75" s="190">
        <v>1477074053.1700001</v>
      </c>
      <c r="AC75" s="190">
        <v>1481439430.6199999</v>
      </c>
      <c r="AD75" s="190">
        <v>2234240676</v>
      </c>
      <c r="AE75" s="190">
        <v>1476301521.28</v>
      </c>
      <c r="AF75" s="190">
        <v>1471105574.99</v>
      </c>
      <c r="AG75" s="190">
        <v>1471231045.75</v>
      </c>
      <c r="AH75" s="190">
        <v>1471393540.9200001</v>
      </c>
      <c r="AI75" s="190">
        <v>1472527705.55</v>
      </c>
      <c r="AJ75" s="190">
        <v>1471117696.6500001</v>
      </c>
      <c r="AK75" s="190">
        <v>1474888519.6099999</v>
      </c>
      <c r="AL75" s="190">
        <v>1475955651.1400001</v>
      </c>
      <c r="AM75" s="190">
        <v>1475482718.0699999</v>
      </c>
      <c r="AN75" s="190">
        <v>1446570162.6400001</v>
      </c>
      <c r="AO75" s="190">
        <v>1436104816.1300001</v>
      </c>
      <c r="AP75" s="190">
        <v>1427446370.5599999</v>
      </c>
      <c r="AQ75" s="190">
        <v>1434397466.53</v>
      </c>
      <c r="AR75" s="190">
        <v>1606186187.6300001</v>
      </c>
      <c r="AS75" s="190">
        <v>1622763647.1600001</v>
      </c>
      <c r="AT75" s="190">
        <v>1625836133.4300001</v>
      </c>
      <c r="AU75" s="190">
        <v>1631986276.4200001</v>
      </c>
      <c r="AV75" s="190">
        <v>1619187502.77</v>
      </c>
      <c r="AW75" s="190">
        <v>1587234934.6600001</v>
      </c>
      <c r="AX75" s="190">
        <v>1585431086.6800001</v>
      </c>
      <c r="AY75" s="190">
        <v>1585589112.8299999</v>
      </c>
      <c r="AZ75" s="190">
        <v>1585589112.8299999</v>
      </c>
      <c r="BA75" s="190">
        <v>1585323490.8299999</v>
      </c>
      <c r="BB75" s="190">
        <v>1585319455.1700001</v>
      </c>
      <c r="BC75" s="190">
        <v>1583577566.8199999</v>
      </c>
      <c r="BD75" s="190">
        <v>1583555869.0799999</v>
      </c>
      <c r="BE75" s="190">
        <v>1583418930.3499999</v>
      </c>
      <c r="BF75" s="190">
        <v>1583418930.3499999</v>
      </c>
      <c r="BG75" s="190">
        <v>1571862177.3699999</v>
      </c>
      <c r="BH75" s="190">
        <v>1712502786.74</v>
      </c>
      <c r="BI75" s="190">
        <v>1711306590.52</v>
      </c>
      <c r="BJ75" s="190">
        <v>1711306590.6199999</v>
      </c>
      <c r="BK75" s="190">
        <v>1695205445.3499999</v>
      </c>
      <c r="BL75" s="190">
        <v>1695161344.1800001</v>
      </c>
      <c r="BM75" s="190">
        <v>1813483605.1800001</v>
      </c>
      <c r="BN75" s="190">
        <v>1810398617.79</v>
      </c>
      <c r="BO75" s="190">
        <v>1804848341.3</v>
      </c>
      <c r="BP75" s="190">
        <v>1858037220.9300001</v>
      </c>
      <c r="BQ75" s="190">
        <v>1855704250.52</v>
      </c>
      <c r="BR75" s="190">
        <v>1855135466.0899999</v>
      </c>
      <c r="BS75" s="190">
        <v>1938468355.0699999</v>
      </c>
      <c r="BT75" s="190">
        <v>1943307076.45</v>
      </c>
      <c r="BU75" s="190">
        <v>1935403531.1800001</v>
      </c>
      <c r="BV75" s="190">
        <v>1934771760.48</v>
      </c>
      <c r="BW75" s="190">
        <v>665586424.62</v>
      </c>
      <c r="BX75" s="190">
        <v>665566716.62</v>
      </c>
      <c r="BY75" s="190">
        <v>665134231.63</v>
      </c>
      <c r="BZ75" s="190">
        <v>665053179.01999998</v>
      </c>
      <c r="CA75" s="190">
        <v>662117383.08000004</v>
      </c>
      <c r="CB75" s="190">
        <v>659592080.08000004</v>
      </c>
      <c r="CC75" s="190">
        <v>641372232.88999999</v>
      </c>
      <c r="CD75" s="190">
        <v>641372232.88999999</v>
      </c>
      <c r="CE75" s="190">
        <v>641372232.88999999</v>
      </c>
      <c r="CF75" s="190">
        <v>641324000</v>
      </c>
      <c r="CG75" s="190">
        <v>638403784.88999999</v>
      </c>
      <c r="CH75" s="190">
        <v>274599680.88999999</v>
      </c>
      <c r="CI75" s="190">
        <v>0</v>
      </c>
      <c r="CJ75" s="190">
        <v>0</v>
      </c>
      <c r="CK75" s="190">
        <v>0</v>
      </c>
      <c r="CL75" s="190">
        <v>0</v>
      </c>
      <c r="CM75" s="190">
        <v>0</v>
      </c>
    </row>
    <row r="76" spans="1:91">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c r="CM76" s="190">
        <v>0</v>
      </c>
    </row>
    <row r="77" spans="1:91">
      <c r="A77" s="190" t="s">
        <v>181</v>
      </c>
      <c r="B77" s="190">
        <v>629797.03</v>
      </c>
      <c r="C77" s="190">
        <v>379578.15</v>
      </c>
      <c r="D77" s="190">
        <v>379578.33</v>
      </c>
      <c r="E77" s="190">
        <v>173795.25</v>
      </c>
      <c r="F77" s="190">
        <v>66372390.090000004</v>
      </c>
      <c r="G77" s="190">
        <v>113293730.97</v>
      </c>
      <c r="H77" s="190">
        <v>121027404.41</v>
      </c>
      <c r="I77" s="190">
        <v>123267249.14</v>
      </c>
      <c r="J77" s="190">
        <v>114470980.94</v>
      </c>
      <c r="K77" s="190">
        <v>87087424.519999996</v>
      </c>
      <c r="L77" s="190">
        <v>88580627.120000005</v>
      </c>
      <c r="M77" s="190">
        <v>93899299.579999998</v>
      </c>
      <c r="N77" s="190">
        <v>115453768.95999999</v>
      </c>
      <c r="O77" s="190">
        <v>102599232.11</v>
      </c>
      <c r="P77" s="190">
        <v>44633232.530000001</v>
      </c>
      <c r="Q77" s="190">
        <v>39963589.479999997</v>
      </c>
      <c r="R77" s="190">
        <v>23472079.469999999</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c r="CM77" s="190">
        <v>0</v>
      </c>
    </row>
    <row r="78" spans="1:91">
      <c r="A78" s="190" t="s">
        <v>182</v>
      </c>
      <c r="B78" s="190">
        <v>7867938.5199999996</v>
      </c>
      <c r="C78" s="190">
        <v>9228506.5899999999</v>
      </c>
      <c r="D78" s="190">
        <v>10686138.02</v>
      </c>
      <c r="E78" s="190">
        <v>10518980.310000001</v>
      </c>
      <c r="F78" s="190">
        <v>9676689.0999999996</v>
      </c>
      <c r="G78" s="190">
        <v>10108157.33</v>
      </c>
      <c r="H78" s="190">
        <v>10313683.810000001</v>
      </c>
      <c r="I78" s="190">
        <v>9975294.5600000005</v>
      </c>
      <c r="J78" s="190">
        <v>9720622.4700000007</v>
      </c>
      <c r="K78" s="190">
        <v>10006355.1</v>
      </c>
      <c r="L78" s="190">
        <v>10447557.050000001</v>
      </c>
      <c r="M78" s="190">
        <v>9803979.8900000006</v>
      </c>
      <c r="N78" s="190">
        <v>9923266.0700000003</v>
      </c>
      <c r="O78" s="190">
        <v>7711188.0499999998</v>
      </c>
      <c r="P78" s="190">
        <v>9181367.3699999992</v>
      </c>
      <c r="Q78" s="190">
        <v>8122985.5700000003</v>
      </c>
      <c r="R78" s="190">
        <v>8122985.5700000003</v>
      </c>
      <c r="S78" s="190">
        <v>0</v>
      </c>
      <c r="T78" s="190">
        <v>7595223.2199999997</v>
      </c>
      <c r="U78" s="190">
        <v>0</v>
      </c>
      <c r="V78" s="190">
        <v>6102812.6600000001</v>
      </c>
      <c r="W78" s="190">
        <v>0</v>
      </c>
      <c r="X78" s="190">
        <v>6460515.2800000003</v>
      </c>
      <c r="Y78" s="190">
        <v>5530696.96</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c r="CM78" s="190">
        <v>0</v>
      </c>
    </row>
    <row r="79" spans="1:91">
      <c r="A79" s="190" t="s">
        <v>183</v>
      </c>
      <c r="B79" s="190">
        <v>1320646920.6600001</v>
      </c>
      <c r="C79" s="190">
        <v>1320646920.6600001</v>
      </c>
      <c r="D79" s="190">
        <v>1320646920.6600001</v>
      </c>
      <c r="E79" s="190">
        <v>1320646920.6600001</v>
      </c>
      <c r="F79" s="190">
        <v>1320646920.6600001</v>
      </c>
      <c r="G79" s="190">
        <v>1320646920.6600001</v>
      </c>
      <c r="H79" s="190">
        <v>1320646920.6600001</v>
      </c>
      <c r="I79" s="190">
        <v>1320646920.6600001</v>
      </c>
      <c r="J79" s="190">
        <v>1320646920.6600001</v>
      </c>
      <c r="K79" s="190">
        <v>1320646920.6600001</v>
      </c>
      <c r="L79" s="190">
        <v>1320646920.6600001</v>
      </c>
      <c r="M79" s="190">
        <v>1320646920.6600001</v>
      </c>
      <c r="N79" s="190">
        <v>1320646920.6600001</v>
      </c>
      <c r="O79" s="190">
        <v>1320646920.6600001</v>
      </c>
      <c r="P79" s="190">
        <v>1320646920.6600001</v>
      </c>
      <c r="Q79" s="190">
        <v>1320646920.6600001</v>
      </c>
      <c r="R79" s="190">
        <v>1320646920.6600001</v>
      </c>
      <c r="S79" s="190">
        <v>1321118748.78</v>
      </c>
      <c r="T79" s="190">
        <v>1321118748.78</v>
      </c>
      <c r="U79" s="190">
        <v>1320646920.6600001</v>
      </c>
      <c r="V79" s="190">
        <v>1320646920.6600001</v>
      </c>
      <c r="W79" s="190">
        <v>1306295323.8699999</v>
      </c>
      <c r="X79" s="190">
        <v>1306295323.8699999</v>
      </c>
      <c r="Y79" s="190">
        <v>1306295323.8699999</v>
      </c>
      <c r="Z79" s="190">
        <v>1306295323.8699999</v>
      </c>
      <c r="AA79" s="190">
        <v>1219623867.3599999</v>
      </c>
      <c r="AB79" s="190">
        <v>1219623867.3599999</v>
      </c>
      <c r="AC79" s="190">
        <v>1234599718.03</v>
      </c>
      <c r="AD79" s="190">
        <v>1234599718.03</v>
      </c>
      <c r="AE79" s="190">
        <v>1155823454.77</v>
      </c>
      <c r="AF79" s="190">
        <v>1155823454.77</v>
      </c>
      <c r="AG79" s="190">
        <v>1157766101.1500001</v>
      </c>
      <c r="AH79" s="190">
        <v>1157766101.1500001</v>
      </c>
      <c r="AI79" s="190">
        <v>1003506333.84</v>
      </c>
      <c r="AJ79" s="190">
        <v>1003506333.84</v>
      </c>
      <c r="AK79" s="190">
        <v>1003506333.84</v>
      </c>
      <c r="AL79" s="190">
        <v>1003506333.84</v>
      </c>
      <c r="AM79" s="190">
        <v>870530104.05999994</v>
      </c>
      <c r="AN79" s="190">
        <v>870530104.05999994</v>
      </c>
      <c r="AO79" s="190">
        <v>870313024.05999994</v>
      </c>
      <c r="AP79" s="190">
        <v>870313024.05999994</v>
      </c>
      <c r="AQ79" s="190">
        <v>747142301.03999996</v>
      </c>
      <c r="AR79" s="190">
        <v>747142301.03999996</v>
      </c>
      <c r="AS79" s="190">
        <v>747153162.12</v>
      </c>
      <c r="AT79" s="190">
        <v>747153162.12</v>
      </c>
      <c r="AU79" s="190">
        <v>396808306.86000001</v>
      </c>
      <c r="AV79" s="190">
        <v>826758649.22000003</v>
      </c>
      <c r="AW79" s="190">
        <v>826864618.09000003</v>
      </c>
      <c r="AX79" s="190">
        <v>838333509.35000002</v>
      </c>
      <c r="AY79" s="190">
        <v>748346692.34000003</v>
      </c>
      <c r="AZ79" s="190">
        <v>748346692.34000003</v>
      </c>
      <c r="BA79" s="190">
        <v>748197550.34000003</v>
      </c>
      <c r="BB79" s="190">
        <v>748197550.34000003</v>
      </c>
      <c r="BC79" s="190">
        <v>668527882.49000001</v>
      </c>
      <c r="BD79" s="190">
        <v>668527882.49000001</v>
      </c>
      <c r="BE79" s="190">
        <v>665605093.65999997</v>
      </c>
      <c r="BF79" s="190">
        <v>666815227.25</v>
      </c>
      <c r="BG79" s="190">
        <v>567984565.92999995</v>
      </c>
      <c r="BH79" s="190">
        <v>567984565.92999995</v>
      </c>
      <c r="BI79" s="190">
        <v>567984565.94000006</v>
      </c>
      <c r="BJ79" s="190">
        <v>567244885.92999995</v>
      </c>
      <c r="BK79" s="190">
        <v>419337334.51999998</v>
      </c>
      <c r="BL79" s="190">
        <v>418925284.51999998</v>
      </c>
      <c r="BM79" s="190">
        <v>417678847.70999998</v>
      </c>
      <c r="BN79" s="190">
        <v>417678847.70999998</v>
      </c>
      <c r="BO79" s="190">
        <v>284703861.92000002</v>
      </c>
      <c r="BP79" s="190">
        <v>284703861.92000002</v>
      </c>
      <c r="BQ79" s="190">
        <v>284703861.92000002</v>
      </c>
      <c r="BR79" s="190">
        <v>284703861.92000002</v>
      </c>
      <c r="BS79" s="190">
        <v>176995325.03999999</v>
      </c>
      <c r="BT79" s="190">
        <v>175028150.86000001</v>
      </c>
      <c r="BU79" s="190">
        <v>166077140.02000001</v>
      </c>
      <c r="BV79" s="190">
        <v>163213138.47</v>
      </c>
      <c r="BW79" s="190">
        <v>163539774.94999999</v>
      </c>
      <c r="BX79" s="190">
        <v>143804245.41</v>
      </c>
      <c r="BY79" s="190">
        <v>143505737.25</v>
      </c>
      <c r="BZ79" s="190">
        <v>144024016.50999999</v>
      </c>
      <c r="CA79" s="190">
        <v>132232212.09999999</v>
      </c>
      <c r="CB79" s="190">
        <v>130443089.94</v>
      </c>
      <c r="CC79" s="190">
        <v>137978409.43000001</v>
      </c>
      <c r="CD79" s="190">
        <v>127164283.31</v>
      </c>
      <c r="CE79" s="190">
        <v>69601738.090000004</v>
      </c>
      <c r="CF79" s="190">
        <v>34778000</v>
      </c>
      <c r="CG79" s="190">
        <v>10546287.800000001</v>
      </c>
      <c r="CH79" s="190">
        <v>1136843.69</v>
      </c>
      <c r="CI79" s="190">
        <v>0</v>
      </c>
      <c r="CJ79" s="190">
        <v>0</v>
      </c>
      <c r="CK79" s="190">
        <v>0</v>
      </c>
      <c r="CL79" s="190">
        <v>0</v>
      </c>
      <c r="CM79" s="190">
        <v>0</v>
      </c>
    </row>
    <row r="80" spans="1:91">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c r="CF80" s="190">
        <v>0</v>
      </c>
      <c r="CG80" s="190">
        <v>0</v>
      </c>
      <c r="CH80" s="190">
        <v>0</v>
      </c>
      <c r="CI80" s="190">
        <v>0</v>
      </c>
      <c r="CJ80" s="190">
        <v>0</v>
      </c>
      <c r="CK80" s="190">
        <v>0</v>
      </c>
      <c r="CL80" s="190">
        <v>0</v>
      </c>
      <c r="CM80" s="190">
        <v>0</v>
      </c>
    </row>
    <row r="81" spans="1:91">
      <c r="A81" s="190" t="s">
        <v>185</v>
      </c>
      <c r="B81" s="190">
        <v>6413591829.21</v>
      </c>
      <c r="C81" s="190">
        <v>6268215598.3400002</v>
      </c>
      <c r="D81" s="190">
        <v>5868614909.8299999</v>
      </c>
      <c r="E81" s="190">
        <v>5965940979.4300003</v>
      </c>
      <c r="F81" s="190">
        <v>5577151227.1899996</v>
      </c>
      <c r="G81" s="190">
        <v>5311163331.9200001</v>
      </c>
      <c r="H81" s="190">
        <v>4896807682.0500002</v>
      </c>
      <c r="I81" s="190">
        <v>4945628537.3100004</v>
      </c>
      <c r="J81" s="190">
        <v>4706636692.1599998</v>
      </c>
      <c r="K81" s="190">
        <v>4482064685.4499998</v>
      </c>
      <c r="L81" s="190">
        <v>4081461765.5700002</v>
      </c>
      <c r="M81" s="190">
        <v>3825332919.0599999</v>
      </c>
      <c r="N81" s="190">
        <v>3605977097.1999998</v>
      </c>
      <c r="O81" s="190">
        <v>3472895693.0100002</v>
      </c>
      <c r="P81" s="190">
        <v>2449011020.0900002</v>
      </c>
      <c r="Q81" s="190">
        <v>2387834552.3699999</v>
      </c>
      <c r="R81" s="190">
        <v>2245638061.9099998</v>
      </c>
      <c r="S81" s="190">
        <v>2209874647.98</v>
      </c>
      <c r="T81" s="190">
        <v>1929639224.1600001</v>
      </c>
      <c r="U81" s="190">
        <v>1926794884.0599999</v>
      </c>
      <c r="V81" s="190">
        <v>1755367292.51</v>
      </c>
      <c r="W81" s="190">
        <v>1525522712.6099999</v>
      </c>
      <c r="X81" s="190">
        <v>1187407491.71</v>
      </c>
      <c r="Y81" s="190">
        <v>1206017366.04</v>
      </c>
      <c r="Z81" s="190">
        <v>1118011764.1300001</v>
      </c>
      <c r="AA81" s="190">
        <v>1190436982.6500001</v>
      </c>
      <c r="AB81" s="190">
        <v>2458630791.4000001</v>
      </c>
      <c r="AC81" s="190">
        <v>2505863990.2399998</v>
      </c>
      <c r="AD81" s="190">
        <v>892086351.51999998</v>
      </c>
      <c r="AE81" s="190">
        <v>2262280196.29</v>
      </c>
      <c r="AF81" s="190">
        <v>2063057777.46</v>
      </c>
      <c r="AG81" s="190">
        <v>2025245485.3199999</v>
      </c>
      <c r="AH81" s="190">
        <v>1835178732.7</v>
      </c>
      <c r="AI81" s="190">
        <v>1888951064.6700001</v>
      </c>
      <c r="AJ81" s="190">
        <v>1712125791.28</v>
      </c>
      <c r="AK81" s="190">
        <v>1631238047.0899999</v>
      </c>
      <c r="AL81" s="190">
        <v>1461790072.1400001</v>
      </c>
      <c r="AM81" s="190">
        <v>1647612547.3800001</v>
      </c>
      <c r="AN81" s="190">
        <v>1489433745.72</v>
      </c>
      <c r="AO81" s="190">
        <v>1393782064.77</v>
      </c>
      <c r="AP81" s="190">
        <v>1257123188.75</v>
      </c>
      <c r="AQ81" s="190">
        <v>1230328682.04</v>
      </c>
      <c r="AR81" s="190">
        <v>1088674614.52</v>
      </c>
      <c r="AS81" s="190">
        <v>980521327.10000002</v>
      </c>
      <c r="AT81" s="190">
        <v>848115182.62</v>
      </c>
      <c r="AU81" s="190">
        <v>1118613055.72</v>
      </c>
      <c r="AV81" s="190">
        <v>525357157.43000001</v>
      </c>
      <c r="AW81" s="190">
        <v>403461761.73000002</v>
      </c>
      <c r="AX81" s="190">
        <v>371544386</v>
      </c>
      <c r="AY81" s="190">
        <v>363429189.26999998</v>
      </c>
      <c r="AZ81" s="190">
        <v>244467864.97999999</v>
      </c>
      <c r="BA81" s="190">
        <v>254618309.40000001</v>
      </c>
      <c r="BB81" s="190">
        <v>192812684.94999999</v>
      </c>
      <c r="BC81" s="190">
        <v>292526515.91000003</v>
      </c>
      <c r="BD81" s="190">
        <v>281230052.56999999</v>
      </c>
      <c r="BE81" s="190">
        <v>406650004.85000002</v>
      </c>
      <c r="BF81" s="190">
        <v>334116866.01999998</v>
      </c>
      <c r="BG81" s="190">
        <v>445681844.19</v>
      </c>
      <c r="BH81" s="190">
        <v>455559933.64999998</v>
      </c>
      <c r="BI81" s="190">
        <v>344656493.63999999</v>
      </c>
      <c r="BJ81" s="190">
        <v>264614110.94</v>
      </c>
      <c r="BK81" s="190">
        <v>363358290.55000001</v>
      </c>
      <c r="BL81" s="190">
        <v>278089580.66000003</v>
      </c>
      <c r="BM81" s="190">
        <v>133770782.09999999</v>
      </c>
      <c r="BN81" s="190">
        <v>119842474.04000001</v>
      </c>
      <c r="BO81" s="190">
        <v>257284974.88</v>
      </c>
      <c r="BP81" s="190">
        <v>170190260.5</v>
      </c>
      <c r="BQ81" s="190">
        <v>105853126.12</v>
      </c>
      <c r="BR81" s="190">
        <v>36818416.619999997</v>
      </c>
      <c r="BS81" s="190">
        <v>164751884.61000001</v>
      </c>
      <c r="BT81" s="190">
        <v>24363807.969999999</v>
      </c>
      <c r="BU81" s="190">
        <v>241854991.44</v>
      </c>
      <c r="BV81" s="190">
        <v>99358862.480000004</v>
      </c>
      <c r="BW81" s="190">
        <v>189774679.28999999</v>
      </c>
      <c r="BX81" s="190">
        <v>110559227.73</v>
      </c>
      <c r="BY81" s="190">
        <v>92578090.409999996</v>
      </c>
      <c r="BZ81" s="190">
        <v>105677677.75</v>
      </c>
      <c r="CA81" s="190">
        <v>51885677.789999999</v>
      </c>
      <c r="CB81" s="190">
        <v>42717718.460000001</v>
      </c>
      <c r="CC81" s="190">
        <v>75980140.25</v>
      </c>
      <c r="CD81" s="190">
        <v>35630191.829999998</v>
      </c>
      <c r="CE81" s="190">
        <v>91994293.900000006</v>
      </c>
      <c r="CF81" s="190">
        <v>129889000</v>
      </c>
      <c r="CG81" s="190">
        <v>81321459.170000002</v>
      </c>
      <c r="CH81" s="190">
        <v>12975517.09</v>
      </c>
      <c r="CI81" s="190">
        <v>0</v>
      </c>
      <c r="CJ81" s="190">
        <v>0</v>
      </c>
      <c r="CK81" s="190">
        <v>0</v>
      </c>
      <c r="CL81" s="190">
        <v>0</v>
      </c>
      <c r="CM81" s="190">
        <v>0</v>
      </c>
    </row>
    <row r="82" spans="1:91">
      <c r="A82" s="190" t="s">
        <v>186</v>
      </c>
      <c r="B82" s="190">
        <v>10804118283.940001</v>
      </c>
      <c r="C82" s="190">
        <v>10660467617.889999</v>
      </c>
      <c r="D82" s="190">
        <v>10262324560.99</v>
      </c>
      <c r="E82" s="190">
        <v>10359277689.799999</v>
      </c>
      <c r="F82" s="190">
        <v>10035844241.190001</v>
      </c>
      <c r="G82" s="190">
        <v>9818321388.7299995</v>
      </c>
      <c r="H82" s="190">
        <v>9411904938.7800007</v>
      </c>
      <c r="I82" s="190">
        <v>9462627249.5200005</v>
      </c>
      <c r="J82" s="190">
        <v>9214584464.0799999</v>
      </c>
      <c r="K82" s="190">
        <v>8962914633.5799999</v>
      </c>
      <c r="L82" s="190">
        <v>8564246118.2600002</v>
      </c>
      <c r="M82" s="190">
        <v>8316793497.4700003</v>
      </c>
      <c r="N82" s="190">
        <v>8119111431.1700001</v>
      </c>
      <c r="O82" s="190">
        <v>7972159225.5799999</v>
      </c>
      <c r="P82" s="190">
        <v>6890582918.9300003</v>
      </c>
      <c r="Q82" s="190">
        <v>6419303426.3599997</v>
      </c>
      <c r="R82" s="190">
        <v>6260615425.8900003</v>
      </c>
      <c r="S82" s="190">
        <v>6225947085.6499996</v>
      </c>
      <c r="T82" s="190">
        <v>5920010876.6199999</v>
      </c>
      <c r="U82" s="190">
        <v>5932471151.8199997</v>
      </c>
      <c r="V82" s="190">
        <v>5754430707.2799997</v>
      </c>
      <c r="W82" s="190">
        <v>5509307337.1700001</v>
      </c>
      <c r="X82" s="190">
        <v>5128803585.04</v>
      </c>
      <c r="Y82" s="190">
        <v>5193939340.8599997</v>
      </c>
      <c r="Z82" s="190">
        <v>5104562436.54</v>
      </c>
      <c r="AA82" s="190">
        <v>5165480694.8100004</v>
      </c>
      <c r="AB82" s="190">
        <v>6178068019.9300003</v>
      </c>
      <c r="AC82" s="190">
        <v>6244642446.8900003</v>
      </c>
      <c r="AD82" s="190">
        <v>5486019637.04</v>
      </c>
      <c r="AE82" s="190">
        <v>5917144480.3400002</v>
      </c>
      <c r="AF82" s="190">
        <v>5712726115.2200003</v>
      </c>
      <c r="AG82" s="190">
        <v>5676981940.2200003</v>
      </c>
      <c r="AH82" s="190">
        <v>5487077682.7700005</v>
      </c>
      <c r="AI82" s="190">
        <v>5387724412.0600004</v>
      </c>
      <c r="AJ82" s="190">
        <v>5209489129.7700005</v>
      </c>
      <c r="AK82" s="190">
        <v>5118843967.54</v>
      </c>
      <c r="AL82" s="190">
        <v>4950057722.3900003</v>
      </c>
      <c r="AM82" s="190">
        <v>5001722265.6700001</v>
      </c>
      <c r="AN82" s="190">
        <v>4816975925.0699997</v>
      </c>
      <c r="AO82" s="190">
        <v>4708998614.4499998</v>
      </c>
      <c r="AP82" s="190">
        <v>4564542108.1999998</v>
      </c>
      <c r="AQ82" s="190">
        <v>4422815579.9300003</v>
      </c>
      <c r="AR82" s="190">
        <v>4280982623.73</v>
      </c>
      <c r="AS82" s="190">
        <v>4190628054.0300002</v>
      </c>
      <c r="AT82" s="190">
        <v>4064286599.1199999</v>
      </c>
      <c r="AU82" s="190">
        <v>3989341897.48</v>
      </c>
      <c r="AV82" s="190">
        <v>3813591525.6199999</v>
      </c>
      <c r="AW82" s="190">
        <v>3659883322.9499998</v>
      </c>
      <c r="AX82" s="190">
        <v>3638341267.0599999</v>
      </c>
      <c r="AY82" s="190">
        <v>3539015570.1799998</v>
      </c>
      <c r="AZ82" s="190">
        <v>3421458575.0700002</v>
      </c>
      <c r="BA82" s="190">
        <v>3431964940.5599999</v>
      </c>
      <c r="BB82" s="190">
        <v>3370999396.0100002</v>
      </c>
      <c r="BC82" s="190">
        <v>3396914722.2199998</v>
      </c>
      <c r="BD82" s="190">
        <v>3385596561.1399999</v>
      </c>
      <c r="BE82" s="190">
        <v>3507956785.8600001</v>
      </c>
      <c r="BF82" s="190">
        <v>3436633780.6199999</v>
      </c>
      <c r="BG82" s="190">
        <v>3437811344.4899998</v>
      </c>
      <c r="BH82" s="190">
        <v>3446282917.3200002</v>
      </c>
      <c r="BI82" s="190">
        <v>3334183281.0999999</v>
      </c>
      <c r="BJ82" s="190">
        <v>3253401218.4899998</v>
      </c>
      <c r="BK82" s="190">
        <v>3188136701.4200001</v>
      </c>
      <c r="BL82" s="190">
        <v>3102411840.3600001</v>
      </c>
      <c r="BM82" s="190">
        <v>2956796260.9899998</v>
      </c>
      <c r="BN82" s="190">
        <v>2939782965.54</v>
      </c>
      <c r="BO82" s="190">
        <v>2938700204.0999999</v>
      </c>
      <c r="BP82" s="190">
        <v>2850988639.3499999</v>
      </c>
      <c r="BQ82" s="190">
        <v>2784318534.5599999</v>
      </c>
      <c r="BR82" s="190">
        <v>2714715040.6300001</v>
      </c>
      <c r="BS82" s="190">
        <v>2728596644.7199998</v>
      </c>
      <c r="BT82" s="190">
        <v>2591080115.2800002</v>
      </c>
      <c r="BU82" s="190">
        <v>2791716742.6399999</v>
      </c>
      <c r="BV82" s="190">
        <v>2645724841.4299998</v>
      </c>
      <c r="BW82" s="190">
        <v>1347281958.8599999</v>
      </c>
      <c r="BX82" s="190">
        <v>1248311269.76</v>
      </c>
      <c r="BY82" s="190">
        <v>1229599139.29</v>
      </c>
      <c r="BZ82" s="190">
        <v>1243135953.28</v>
      </c>
      <c r="CA82" s="190">
        <v>1174616352.97</v>
      </c>
      <c r="CB82" s="190">
        <v>1161133968.48</v>
      </c>
      <c r="CC82" s="190">
        <v>1183711862.5699999</v>
      </c>
      <c r="CD82" s="190">
        <v>1077817608.03</v>
      </c>
      <c r="CE82" s="190">
        <v>1076619164.8800001</v>
      </c>
      <c r="CF82" s="190">
        <v>1079642000</v>
      </c>
      <c r="CG82" s="190">
        <v>1003922431.86</v>
      </c>
      <c r="CH82" s="190">
        <v>492362941.67000002</v>
      </c>
      <c r="CI82" s="190">
        <v>203800000</v>
      </c>
      <c r="CJ82" s="190">
        <v>162870000</v>
      </c>
      <c r="CK82" s="190">
        <v>92660000</v>
      </c>
      <c r="CL82" s="190">
        <v>75420000</v>
      </c>
      <c r="CM82" s="190">
        <v>0</v>
      </c>
    </row>
    <row r="83" spans="1:91">
      <c r="A83" s="190" t="s">
        <v>187</v>
      </c>
      <c r="B83" s="190">
        <v>2325508075.0599999</v>
      </c>
      <c r="C83" s="190">
        <v>2244051146.8699999</v>
      </c>
      <c r="D83" s="190">
        <v>1959109894.6099999</v>
      </c>
      <c r="E83" s="190">
        <v>2553284588.4499998</v>
      </c>
      <c r="F83" s="190">
        <v>2394753281.9299998</v>
      </c>
      <c r="G83" s="190">
        <v>2211425925.4400001</v>
      </c>
      <c r="H83" s="190">
        <v>1922634220.1800001</v>
      </c>
      <c r="I83" s="190">
        <v>2528794110.1700001</v>
      </c>
      <c r="J83" s="190">
        <v>2375877753.6300001</v>
      </c>
      <c r="K83" s="190">
        <v>2191416637.96</v>
      </c>
      <c r="L83" s="190">
        <v>1909620092.4400001</v>
      </c>
      <c r="M83" s="190">
        <v>2519441588.1399999</v>
      </c>
      <c r="N83" s="190">
        <v>2367373968.4099998</v>
      </c>
      <c r="O83" s="190">
        <v>2177843076.8600001</v>
      </c>
      <c r="P83" s="190">
        <v>1903108664.8399999</v>
      </c>
      <c r="Q83" s="190">
        <v>2501480299.1900001</v>
      </c>
      <c r="R83" s="190">
        <v>2351289238.6700001</v>
      </c>
      <c r="S83" s="190">
        <v>2167148043.1599998</v>
      </c>
      <c r="T83" s="190">
        <v>1892340227.0999999</v>
      </c>
      <c r="U83" s="190">
        <v>2453439654.48</v>
      </c>
      <c r="V83" s="190">
        <v>2312404169.9200001</v>
      </c>
      <c r="W83" s="190">
        <v>2132506315.79</v>
      </c>
      <c r="X83" s="190">
        <v>1834841345.1400001</v>
      </c>
      <c r="Y83" s="190">
        <v>2154003498.3499999</v>
      </c>
      <c r="Z83" s="190">
        <v>2025837953.23</v>
      </c>
      <c r="AA83" s="190">
        <v>1909507064.76</v>
      </c>
      <c r="AB83" s="190">
        <v>1734834229.3099999</v>
      </c>
      <c r="AC83" s="190">
        <v>1984471239.49</v>
      </c>
      <c r="AD83" s="190">
        <v>1892215724.51</v>
      </c>
      <c r="AE83" s="190">
        <v>1847976734.77</v>
      </c>
      <c r="AF83" s="190">
        <v>1711994607.6199999</v>
      </c>
      <c r="AG83" s="190">
        <v>2007564210.8399999</v>
      </c>
      <c r="AH83" s="190">
        <v>1907296357.9000001</v>
      </c>
      <c r="AI83" s="190">
        <v>1847687653.48</v>
      </c>
      <c r="AJ83" s="190">
        <v>1762845301.25</v>
      </c>
      <c r="AK83" s="190">
        <v>1901347610.3399999</v>
      </c>
      <c r="AL83" s="190">
        <v>1817967112.54</v>
      </c>
      <c r="AM83" s="190">
        <v>1795308549.03</v>
      </c>
      <c r="AN83" s="190">
        <v>1565552095.71</v>
      </c>
      <c r="AO83" s="190">
        <v>1716204343.9100001</v>
      </c>
      <c r="AP83" s="190">
        <v>1630200752.8099999</v>
      </c>
      <c r="AQ83" s="190">
        <v>1595216201.5799999</v>
      </c>
      <c r="AR83" s="190">
        <v>1508466195.24</v>
      </c>
      <c r="AS83" s="190">
        <v>1665777839.47</v>
      </c>
      <c r="AT83" s="190">
        <v>1594466336.1900001</v>
      </c>
      <c r="AU83" s="190">
        <v>1568055288.3199999</v>
      </c>
      <c r="AV83" s="190">
        <v>1480593596.3399999</v>
      </c>
      <c r="AW83" s="190">
        <v>1616917142.97</v>
      </c>
      <c r="AX83" s="190">
        <v>1543511977.0999999</v>
      </c>
      <c r="AY83" s="190">
        <v>1472896083.49</v>
      </c>
      <c r="AZ83" s="190">
        <v>1398817616.9100001</v>
      </c>
      <c r="BA83" s="190">
        <v>1578373162.75</v>
      </c>
      <c r="BB83" s="190">
        <v>1524310184.53</v>
      </c>
      <c r="BC83" s="190">
        <v>1491655606.1900001</v>
      </c>
      <c r="BD83" s="190">
        <v>1422004901.4200001</v>
      </c>
      <c r="BE83" s="190">
        <v>1560864241.5899999</v>
      </c>
      <c r="BF83" s="190">
        <v>1490119769.49</v>
      </c>
      <c r="BG83" s="190">
        <v>1370488198.45</v>
      </c>
      <c r="BH83" s="190">
        <v>1305115860.6900001</v>
      </c>
      <c r="BI83" s="190">
        <v>1471670374.79</v>
      </c>
      <c r="BJ83" s="190">
        <v>1394732453.79</v>
      </c>
      <c r="BK83" s="190">
        <v>1300805778.96</v>
      </c>
      <c r="BL83" s="190">
        <v>1190501693.0799999</v>
      </c>
      <c r="BM83" s="190">
        <v>1333793293.0699999</v>
      </c>
      <c r="BN83" s="190">
        <v>1265998167.1800001</v>
      </c>
      <c r="BO83" s="190">
        <v>1186619907.7</v>
      </c>
      <c r="BP83" s="190">
        <v>1103039324.54</v>
      </c>
      <c r="BQ83" s="190">
        <v>1204158783.23</v>
      </c>
      <c r="BR83" s="190">
        <v>1161214127.53</v>
      </c>
      <c r="BS83" s="190">
        <v>1066774809.54</v>
      </c>
      <c r="BT83" s="190">
        <v>1008461505.29</v>
      </c>
      <c r="BU83" s="190">
        <v>938966019.15999997</v>
      </c>
      <c r="BV83" s="190">
        <v>952340253.22000003</v>
      </c>
      <c r="BW83" s="190">
        <v>843905400.62</v>
      </c>
      <c r="BX83" s="190">
        <v>860297515.53999996</v>
      </c>
      <c r="BY83" s="190">
        <v>0</v>
      </c>
      <c r="BZ83" s="190">
        <v>0</v>
      </c>
      <c r="CA83" s="190">
        <v>0</v>
      </c>
      <c r="CB83" s="190">
        <v>0</v>
      </c>
      <c r="CC83" s="190">
        <v>0</v>
      </c>
      <c r="CD83" s="190">
        <v>0</v>
      </c>
      <c r="CE83" s="190">
        <v>-21919.05</v>
      </c>
      <c r="CF83" s="190">
        <v>96000</v>
      </c>
      <c r="CG83" s="190">
        <v>305920.90000000002</v>
      </c>
      <c r="CH83" s="190">
        <v>326958.7</v>
      </c>
      <c r="CI83" s="190">
        <v>0</v>
      </c>
      <c r="CJ83" s="190">
        <v>0</v>
      </c>
      <c r="CK83" s="190">
        <v>0</v>
      </c>
      <c r="CL83" s="190">
        <v>0</v>
      </c>
      <c r="CM83" s="190">
        <v>0</v>
      </c>
    </row>
    <row r="84" spans="1:91">
      <c r="A84" s="190" t="s">
        <v>188</v>
      </c>
      <c r="B84" s="190">
        <v>13129626359</v>
      </c>
      <c r="C84" s="190">
        <v>12904518764.76</v>
      </c>
      <c r="D84" s="190">
        <v>12221434455.6</v>
      </c>
      <c r="E84" s="190">
        <v>12912562278.25</v>
      </c>
      <c r="F84" s="190">
        <v>12430597523.120001</v>
      </c>
      <c r="G84" s="190">
        <v>12029747314.17</v>
      </c>
      <c r="H84" s="190">
        <v>11334539158.959999</v>
      </c>
      <c r="I84" s="190">
        <v>11991421359.690001</v>
      </c>
      <c r="J84" s="190">
        <v>11590462217.709999</v>
      </c>
      <c r="K84" s="190">
        <v>11154331271.540001</v>
      </c>
      <c r="L84" s="190">
        <v>10473866210.700001</v>
      </c>
      <c r="M84" s="190">
        <v>10836235085.610001</v>
      </c>
      <c r="N84" s="190">
        <v>10486485399.58</v>
      </c>
      <c r="O84" s="190">
        <v>10150002302.440001</v>
      </c>
      <c r="P84" s="190">
        <v>8793691583.7700005</v>
      </c>
      <c r="Q84" s="190">
        <v>8920783725.5499992</v>
      </c>
      <c r="R84" s="190">
        <v>8611904664.5599995</v>
      </c>
      <c r="S84" s="190">
        <v>8393095128.8100004</v>
      </c>
      <c r="T84" s="190">
        <v>7812351103.7200003</v>
      </c>
      <c r="U84" s="190">
        <v>8385910806.3000002</v>
      </c>
      <c r="V84" s="190">
        <v>8066834877.1999998</v>
      </c>
      <c r="W84" s="190">
        <v>7641813652.96</v>
      </c>
      <c r="X84" s="190">
        <v>6963644930.1800003</v>
      </c>
      <c r="Y84" s="190">
        <v>7347942839.21</v>
      </c>
      <c r="Z84" s="190">
        <v>7130400389.7700005</v>
      </c>
      <c r="AA84" s="190">
        <v>7074987759.5699997</v>
      </c>
      <c r="AB84" s="190">
        <v>7912902249.2399998</v>
      </c>
      <c r="AC84" s="190">
        <v>8229113686.3800001</v>
      </c>
      <c r="AD84" s="190">
        <v>7378235361.5500002</v>
      </c>
      <c r="AE84" s="190">
        <v>7765121215.1099997</v>
      </c>
      <c r="AF84" s="190">
        <v>7424720722.8400002</v>
      </c>
      <c r="AG84" s="190">
        <v>7684546151.0600004</v>
      </c>
      <c r="AH84" s="190">
        <v>7394374040.6700001</v>
      </c>
      <c r="AI84" s="190">
        <v>7235412065.54</v>
      </c>
      <c r="AJ84" s="190">
        <v>6972334431.0200005</v>
      </c>
      <c r="AK84" s="190">
        <v>7020191577.8800001</v>
      </c>
      <c r="AL84" s="190">
        <v>6768024834.9300003</v>
      </c>
      <c r="AM84" s="190">
        <v>6797030814.6999998</v>
      </c>
      <c r="AN84" s="190">
        <v>6382528020.7799997</v>
      </c>
      <c r="AO84" s="190">
        <v>6425202958.3599997</v>
      </c>
      <c r="AP84" s="190">
        <v>6194742861.0100002</v>
      </c>
      <c r="AQ84" s="190">
        <v>6018031781.5100002</v>
      </c>
      <c r="AR84" s="190">
        <v>5789448818.9700003</v>
      </c>
      <c r="AS84" s="190">
        <v>5856405893.5</v>
      </c>
      <c r="AT84" s="190">
        <v>5658752935.3100004</v>
      </c>
      <c r="AU84" s="190">
        <v>5557397185.8000002</v>
      </c>
      <c r="AV84" s="190">
        <v>5294185121.96</v>
      </c>
      <c r="AW84" s="190">
        <v>5276800465.9200001</v>
      </c>
      <c r="AX84" s="190">
        <v>5181853244.1599998</v>
      </c>
      <c r="AY84" s="190">
        <v>5011911653.6700001</v>
      </c>
      <c r="AZ84" s="190">
        <v>4820276191.9799995</v>
      </c>
      <c r="BA84" s="190">
        <v>5010338103.3100004</v>
      </c>
      <c r="BB84" s="190">
        <v>4895309580.54</v>
      </c>
      <c r="BC84" s="190">
        <v>4888570328.4099998</v>
      </c>
      <c r="BD84" s="190">
        <v>4807601462.5600004</v>
      </c>
      <c r="BE84" s="190">
        <v>5068821027.4499998</v>
      </c>
      <c r="BF84" s="190">
        <v>4926753550.1099997</v>
      </c>
      <c r="BG84" s="190">
        <v>4808299542.9399996</v>
      </c>
      <c r="BH84" s="190">
        <v>4751398778.0100002</v>
      </c>
      <c r="BI84" s="190">
        <v>4805853655.8900003</v>
      </c>
      <c r="BJ84" s="190">
        <v>4648133672.2799997</v>
      </c>
      <c r="BK84" s="190">
        <v>4488942480.3800001</v>
      </c>
      <c r="BL84" s="190">
        <v>4292913533.4400001</v>
      </c>
      <c r="BM84" s="190">
        <v>4290589554.0599999</v>
      </c>
      <c r="BN84" s="190">
        <v>4205781132.7199998</v>
      </c>
      <c r="BO84" s="190">
        <v>4125320111.8000002</v>
      </c>
      <c r="BP84" s="190">
        <v>3954027963.8899999</v>
      </c>
      <c r="BQ84" s="190">
        <v>3988477317.79</v>
      </c>
      <c r="BR84" s="190">
        <v>3875929168.1599998</v>
      </c>
      <c r="BS84" s="190">
        <v>3795371454.2600002</v>
      </c>
      <c r="BT84" s="190">
        <v>3599541620.5700002</v>
      </c>
      <c r="BU84" s="190">
        <v>3730682761.8000002</v>
      </c>
      <c r="BV84" s="190">
        <v>3598065094.6500001</v>
      </c>
      <c r="BW84" s="190">
        <v>2191187359.48</v>
      </c>
      <c r="BX84" s="190">
        <v>2108608785.3</v>
      </c>
      <c r="BY84" s="190">
        <v>1229599139.29</v>
      </c>
      <c r="BZ84" s="190">
        <v>1243135953.28</v>
      </c>
      <c r="CA84" s="190">
        <v>1174616352.97</v>
      </c>
      <c r="CB84" s="190">
        <v>1161133968.48</v>
      </c>
      <c r="CC84" s="190">
        <v>1183711862.5699999</v>
      </c>
      <c r="CD84" s="190">
        <v>1077817608.03</v>
      </c>
      <c r="CE84" s="190">
        <v>1076597245.8299999</v>
      </c>
      <c r="CF84" s="190">
        <v>1079738000</v>
      </c>
      <c r="CG84" s="190">
        <v>1004228352.76</v>
      </c>
      <c r="CH84" s="190">
        <v>492689900.37</v>
      </c>
      <c r="CI84" s="190">
        <v>0</v>
      </c>
      <c r="CJ84" s="190">
        <v>0</v>
      </c>
      <c r="CK84" s="190">
        <v>0</v>
      </c>
      <c r="CL84" s="190">
        <v>0</v>
      </c>
      <c r="CM84" s="190">
        <v>0</v>
      </c>
    </row>
    <row r="85" spans="1:91">
      <c r="A85" s="190" t="s">
        <v>189</v>
      </c>
      <c r="B85" s="190">
        <v>33661588218</v>
      </c>
      <c r="C85" s="190">
        <v>33137806564.169998</v>
      </c>
      <c r="D85" s="190">
        <v>33231812272.380001</v>
      </c>
      <c r="E85" s="190">
        <v>33759891731.740002</v>
      </c>
      <c r="F85" s="190">
        <v>33520374733.110001</v>
      </c>
      <c r="G85" s="190">
        <v>32332378568.75</v>
      </c>
      <c r="H85" s="190">
        <v>31521904479.709999</v>
      </c>
      <c r="I85" s="190">
        <v>32796133092.939999</v>
      </c>
      <c r="J85" s="190">
        <v>31741039188.790001</v>
      </c>
      <c r="K85" s="190">
        <v>31226608509.82</v>
      </c>
      <c r="L85" s="190">
        <v>30947866530.209999</v>
      </c>
      <c r="M85" s="190">
        <v>30448597827.849998</v>
      </c>
      <c r="N85" s="190">
        <v>29852734095.540001</v>
      </c>
      <c r="O85" s="190">
        <v>29357613194.259998</v>
      </c>
      <c r="P85" s="190">
        <v>30290653917.110001</v>
      </c>
      <c r="Q85" s="190">
        <v>29973481837.84</v>
      </c>
      <c r="R85" s="190">
        <v>29769094699.509998</v>
      </c>
      <c r="S85" s="190">
        <v>29266053922.849998</v>
      </c>
      <c r="T85" s="190">
        <v>28737502386.299999</v>
      </c>
      <c r="U85" s="190">
        <v>28118184339.650002</v>
      </c>
      <c r="V85" s="190">
        <v>27120459751.27</v>
      </c>
      <c r="W85" s="190">
        <v>26437951645.41</v>
      </c>
      <c r="X85" s="190">
        <v>25419448579.150002</v>
      </c>
      <c r="Y85" s="190">
        <v>24586762638.279999</v>
      </c>
      <c r="Z85" s="190">
        <v>25743676630.150002</v>
      </c>
      <c r="AA85" s="190">
        <v>23218137484.130001</v>
      </c>
      <c r="AB85" s="190">
        <v>19786591921.369999</v>
      </c>
      <c r="AC85" s="190">
        <v>18228936755.52</v>
      </c>
      <c r="AD85" s="190">
        <v>21032130468.099998</v>
      </c>
      <c r="AE85" s="190">
        <v>17316927174.400002</v>
      </c>
      <c r="AF85" s="190">
        <v>16729824064.290001</v>
      </c>
      <c r="AG85" s="190">
        <v>15752968981.219999</v>
      </c>
      <c r="AH85" s="190">
        <v>15187648312.91</v>
      </c>
      <c r="AI85" s="190">
        <v>15119780162.540001</v>
      </c>
      <c r="AJ85" s="190">
        <v>14449654024.42</v>
      </c>
      <c r="AK85" s="190">
        <v>13600158747.360001</v>
      </c>
      <c r="AL85" s="190">
        <v>13111628464.450001</v>
      </c>
      <c r="AM85" s="190">
        <v>12900358473.540001</v>
      </c>
      <c r="AN85" s="190">
        <v>11649213796.629999</v>
      </c>
      <c r="AO85" s="190">
        <v>10931292753.559999</v>
      </c>
      <c r="AP85" s="190">
        <v>10476999796.84</v>
      </c>
      <c r="AQ85" s="190">
        <v>10507452280.65</v>
      </c>
      <c r="AR85" s="190">
        <v>10404102038.58</v>
      </c>
      <c r="AS85" s="190">
        <v>9925025420.3199997</v>
      </c>
      <c r="AT85" s="190">
        <v>10026108121.42</v>
      </c>
      <c r="AU85" s="190">
        <v>9731360925.1000004</v>
      </c>
      <c r="AV85" s="190">
        <v>9346467350.2199993</v>
      </c>
      <c r="AW85" s="190">
        <v>8692596628.0799999</v>
      </c>
      <c r="AX85" s="190">
        <v>8525370016.6000004</v>
      </c>
      <c r="AY85" s="190">
        <v>8127363248.5500002</v>
      </c>
      <c r="AZ85" s="190">
        <v>7908550177.0799999</v>
      </c>
      <c r="BA85" s="190">
        <v>7652770633.7600002</v>
      </c>
      <c r="BB85" s="190">
        <v>7752671794.3800001</v>
      </c>
      <c r="BC85" s="190">
        <v>7692590871.8500004</v>
      </c>
      <c r="BD85" s="190">
        <v>7924262028.3400002</v>
      </c>
      <c r="BE85" s="190">
        <v>8179311231.4399996</v>
      </c>
      <c r="BF85" s="190">
        <v>8227776215.0100002</v>
      </c>
      <c r="BG85" s="190">
        <v>8475432869.0600004</v>
      </c>
      <c r="BH85" s="190">
        <v>8612850307.1100006</v>
      </c>
      <c r="BI85" s="190">
        <v>8511903588.3999996</v>
      </c>
      <c r="BJ85" s="190">
        <v>8529207681.5500002</v>
      </c>
      <c r="BK85" s="190">
        <v>8481734886.3599997</v>
      </c>
      <c r="BL85" s="190">
        <v>8596935405.9899998</v>
      </c>
      <c r="BM85" s="190">
        <v>8548661873.1300001</v>
      </c>
      <c r="BN85" s="190">
        <v>8504600429.8599997</v>
      </c>
      <c r="BO85" s="190">
        <v>7927133224.2600002</v>
      </c>
      <c r="BP85" s="190">
        <v>8142983403.6400003</v>
      </c>
      <c r="BQ85" s="190">
        <v>7772992509.7399998</v>
      </c>
      <c r="BR85" s="190">
        <v>7434956073.1099997</v>
      </c>
      <c r="BS85" s="190">
        <v>7406369426.0500002</v>
      </c>
      <c r="BT85" s="190">
        <v>6892352479.4700003</v>
      </c>
      <c r="BU85" s="190">
        <v>7129817168.8599997</v>
      </c>
      <c r="BV85" s="190">
        <v>6886955811.5200005</v>
      </c>
      <c r="BW85" s="190">
        <v>5057606168.3100004</v>
      </c>
      <c r="BX85" s="190">
        <v>5124004378.7600002</v>
      </c>
      <c r="BY85" s="190">
        <v>2461500311.8299999</v>
      </c>
      <c r="BZ85" s="190">
        <v>2626284825.5799999</v>
      </c>
      <c r="CA85" s="190">
        <v>2434980488.4499998</v>
      </c>
      <c r="CB85" s="190">
        <v>2582924979.1900001</v>
      </c>
      <c r="CC85" s="190">
        <v>2336543811.5</v>
      </c>
      <c r="CD85" s="190">
        <v>1914374559.4000001</v>
      </c>
      <c r="CE85" s="190">
        <v>1607893658.3699999</v>
      </c>
      <c r="CF85" s="190">
        <v>1445865000</v>
      </c>
      <c r="CG85" s="190">
        <v>1422259892.8900001</v>
      </c>
      <c r="CH85" s="190">
        <v>1035641191.15</v>
      </c>
      <c r="CI85" s="190">
        <v>756550000</v>
      </c>
      <c r="CJ85" s="190">
        <v>540650000</v>
      </c>
      <c r="CK85" s="190">
        <v>287000000</v>
      </c>
      <c r="CL85" s="190">
        <v>291120000</v>
      </c>
      <c r="CM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L31"/>
  <sheetViews>
    <sheetView workbookViewId="0">
      <selection activeCell="A2" sqref="A2"/>
    </sheetView>
  </sheetViews>
  <sheetFormatPr defaultRowHeight="13.5"/>
  <cols>
    <col min="1" max="1" width="37" style="190" bestFit="1" customWidth="1"/>
    <col min="2" max="2" width="13.875" style="190" bestFit="1" customWidth="1"/>
    <col min="3" max="5" width="13.875" style="190" hidden="1" customWidth="1"/>
    <col min="6" max="6" width="13.875" style="190" bestFit="1" customWidth="1"/>
    <col min="7" max="9" width="13.875" style="190" hidden="1" customWidth="1"/>
    <col min="10" max="10" width="13.875" style="190" bestFit="1" customWidth="1"/>
    <col min="11" max="13" width="13.875" style="190" hidden="1" customWidth="1"/>
    <col min="14" max="14" width="13.875" style="190" bestFit="1" customWidth="1"/>
    <col min="15" max="17" width="13.875" style="190" hidden="1" customWidth="1"/>
    <col min="18" max="18" width="13.875" style="190" bestFit="1" customWidth="1"/>
    <col min="19" max="21" width="13.875" style="190" hidden="1" customWidth="1"/>
    <col min="22" max="22" width="13.875" style="190" bestFit="1" customWidth="1"/>
    <col min="23" max="25" width="13.875" style="190" hidden="1" customWidth="1"/>
    <col min="26" max="26" width="13.875" style="190" bestFit="1" customWidth="1"/>
    <col min="27" max="28" width="13.875" style="190" hidden="1" customWidth="1"/>
    <col min="29" max="29" width="12.75" style="190" hidden="1" customWidth="1"/>
    <col min="30" max="30" width="13.875" style="190" bestFit="1" customWidth="1"/>
    <col min="31" max="33" width="13.875" style="190" hidden="1" customWidth="1"/>
    <col min="34" max="34" width="12.75" style="190" bestFit="1" customWidth="1"/>
    <col min="35" max="37" width="13.875" style="190" hidden="1" customWidth="1"/>
    <col min="38" max="38" width="13.875" style="190" bestFit="1" customWidth="1"/>
    <col min="39" max="41" width="13.875" style="190" hidden="1" customWidth="1"/>
    <col min="42" max="42" width="13.875" style="190" bestFit="1" customWidth="1"/>
    <col min="43" max="45" width="13.875" style="190" hidden="1" customWidth="1"/>
    <col min="46" max="46" width="13.875" style="190" bestFit="1" customWidth="1"/>
    <col min="47" max="49" width="13.875" style="190" hidden="1" customWidth="1"/>
    <col min="50" max="50" width="13.875" style="190" bestFit="1" customWidth="1"/>
    <col min="51" max="51" width="13.875" style="190" hidden="1" customWidth="1"/>
    <col min="52" max="53" width="12.75" style="190" hidden="1" customWidth="1"/>
    <col min="54" max="54" width="13.875" style="190" bestFit="1" customWidth="1"/>
    <col min="55" max="55" width="13.875" style="190" hidden="1" customWidth="1"/>
    <col min="56" max="57" width="12.75" style="190" hidden="1" customWidth="1"/>
    <col min="58" max="58" width="13.875" style="190" bestFit="1" customWidth="1"/>
    <col min="59" max="61" width="12.75" style="190" hidden="1" customWidth="1"/>
    <col min="62" max="62" width="12.75" style="190" bestFit="1" customWidth="1"/>
    <col min="63" max="65" width="12.75" style="190" hidden="1" customWidth="1"/>
    <col min="66" max="66" width="12.75" style="190" bestFit="1" customWidth="1"/>
    <col min="67" max="69" width="12.75" style="190" hidden="1" customWidth="1"/>
    <col min="70" max="70" width="12.75" style="190" bestFit="1" customWidth="1"/>
    <col min="71" max="71" width="12.75" style="190" hidden="1" customWidth="1"/>
    <col min="72" max="72" width="12.75" style="190" bestFit="1" customWidth="1"/>
    <col min="73" max="73" width="12.75" style="190" hidden="1" customWidth="1"/>
    <col min="74" max="74" width="12.75" style="190" bestFit="1" customWidth="1"/>
    <col min="75" max="75" width="12.75" style="190" hidden="1" customWidth="1"/>
    <col min="76" max="76" width="12.75" style="190" bestFit="1" customWidth="1"/>
    <col min="77" max="77" width="13.875" style="190" hidden="1" customWidth="1"/>
    <col min="78" max="78" width="12.75" style="190" bestFit="1" customWidth="1"/>
    <col min="79" max="79" width="12.75" style="190" hidden="1" customWidth="1"/>
    <col min="80" max="80" width="12.75" style="190" bestFit="1" customWidth="1"/>
    <col min="81" max="81" width="12.75" style="190" hidden="1" customWidth="1"/>
    <col min="82" max="82" width="12.75" style="190" bestFit="1" customWidth="1"/>
    <col min="83" max="83" width="11.625" style="190" hidden="1" customWidth="1"/>
    <col min="84" max="84" width="11.625" style="190" bestFit="1" customWidth="1"/>
    <col min="85" max="85" width="12.75" style="190" hidden="1" customWidth="1"/>
    <col min="86" max="86" width="10.5" style="190" hidden="1" customWidth="1"/>
    <col min="87" max="89" width="10.5" style="190" bestFit="1" customWidth="1"/>
    <col min="90" max="90" width="9.5" style="190" hidden="1" customWidth="1"/>
    <col min="91" max="16384" width="9" style="190"/>
  </cols>
  <sheetData>
    <row r="1" spans="1:90">
      <c r="A1" s="190">
        <v>600835</v>
      </c>
      <c r="B1" s="190">
        <v>20181231</v>
      </c>
      <c r="C1" s="190">
        <v>20180930</v>
      </c>
      <c r="D1" s="190">
        <v>20180630</v>
      </c>
      <c r="E1" s="190">
        <v>20180331</v>
      </c>
      <c r="F1" s="190">
        <v>20171231</v>
      </c>
      <c r="G1" s="190">
        <v>20170930</v>
      </c>
      <c r="H1" s="190">
        <v>20170630</v>
      </c>
      <c r="I1" s="190">
        <v>20170331</v>
      </c>
      <c r="J1" s="190">
        <v>20161231</v>
      </c>
      <c r="K1" s="190">
        <v>20160930</v>
      </c>
      <c r="L1" s="190">
        <v>20160630</v>
      </c>
      <c r="M1" s="190">
        <v>20160331</v>
      </c>
      <c r="N1" s="190">
        <v>20151231</v>
      </c>
      <c r="O1" s="190">
        <v>20150930</v>
      </c>
      <c r="P1" s="190">
        <v>20150630</v>
      </c>
      <c r="Q1" s="190">
        <v>20150331</v>
      </c>
      <c r="R1" s="190">
        <v>20141231</v>
      </c>
      <c r="S1" s="190">
        <v>20140930</v>
      </c>
      <c r="T1" s="190">
        <v>20140630</v>
      </c>
      <c r="U1" s="190">
        <v>20140331</v>
      </c>
      <c r="V1" s="190">
        <v>20131231</v>
      </c>
      <c r="W1" s="190">
        <v>20130930</v>
      </c>
      <c r="X1" s="190">
        <v>20130630</v>
      </c>
      <c r="Y1" s="190">
        <v>20130331</v>
      </c>
      <c r="Z1" s="190">
        <v>20121231</v>
      </c>
      <c r="AA1" s="190">
        <v>20120930</v>
      </c>
      <c r="AB1" s="190">
        <v>20120630</v>
      </c>
      <c r="AC1" s="190">
        <v>20120331</v>
      </c>
      <c r="AD1" s="190">
        <v>20111231</v>
      </c>
      <c r="AE1" s="190">
        <v>20110930</v>
      </c>
      <c r="AF1" s="190">
        <v>20110630</v>
      </c>
      <c r="AG1" s="190">
        <v>20110331</v>
      </c>
      <c r="AH1" s="190">
        <v>20101231</v>
      </c>
      <c r="AI1" s="190">
        <v>20100930</v>
      </c>
      <c r="AJ1" s="190">
        <v>20100630</v>
      </c>
      <c r="AK1" s="190">
        <v>20100331</v>
      </c>
      <c r="AL1" s="190">
        <v>20091231</v>
      </c>
      <c r="AM1" s="190">
        <v>20090930</v>
      </c>
      <c r="AN1" s="190">
        <v>20090630</v>
      </c>
      <c r="AO1" s="190">
        <v>20090331</v>
      </c>
      <c r="AP1" s="190">
        <v>20081231</v>
      </c>
      <c r="AQ1" s="190">
        <v>20080930</v>
      </c>
      <c r="AR1" s="190">
        <v>20080630</v>
      </c>
      <c r="AS1" s="190">
        <v>20080331</v>
      </c>
      <c r="AT1" s="190">
        <v>20071231</v>
      </c>
      <c r="AU1" s="190">
        <v>20070930</v>
      </c>
      <c r="AV1" s="190">
        <v>20070630</v>
      </c>
      <c r="AW1" s="190">
        <v>20070331</v>
      </c>
      <c r="AX1" s="190">
        <v>20061231</v>
      </c>
      <c r="AY1" s="190">
        <v>20060930</v>
      </c>
      <c r="AZ1" s="190">
        <v>20060630</v>
      </c>
      <c r="BA1" s="190">
        <v>20060331</v>
      </c>
      <c r="BB1" s="190">
        <v>20051231</v>
      </c>
      <c r="BC1" s="190">
        <v>20050930</v>
      </c>
      <c r="BD1" s="190">
        <v>20050630</v>
      </c>
      <c r="BE1" s="190">
        <v>20050331</v>
      </c>
      <c r="BF1" s="190">
        <v>20041231</v>
      </c>
      <c r="BG1" s="190">
        <v>20040930</v>
      </c>
      <c r="BH1" s="190">
        <v>20040630</v>
      </c>
      <c r="BI1" s="190">
        <v>20040331</v>
      </c>
      <c r="BJ1" s="190">
        <v>20031231</v>
      </c>
      <c r="BK1" s="190">
        <v>20030930</v>
      </c>
      <c r="BL1" s="190">
        <v>20030630</v>
      </c>
      <c r="BM1" s="190">
        <v>20030331</v>
      </c>
      <c r="BN1" s="190">
        <v>20021231</v>
      </c>
      <c r="BO1" s="190">
        <v>20020930</v>
      </c>
      <c r="BP1" s="190">
        <v>20020630</v>
      </c>
      <c r="BQ1" s="190">
        <v>20020331</v>
      </c>
      <c r="BR1" s="190">
        <v>20011231</v>
      </c>
      <c r="BS1" s="190">
        <v>20010630</v>
      </c>
      <c r="BT1" s="190">
        <v>20001231</v>
      </c>
      <c r="BU1" s="190">
        <v>20000630</v>
      </c>
      <c r="BV1" s="190">
        <v>19991231</v>
      </c>
      <c r="BW1" s="190">
        <v>19990630</v>
      </c>
      <c r="BX1" s="190">
        <v>19981231</v>
      </c>
      <c r="BY1" s="190">
        <v>19980630</v>
      </c>
      <c r="BZ1" s="190">
        <v>19971231</v>
      </c>
      <c r="CA1" s="190">
        <v>19970630</v>
      </c>
      <c r="CB1" s="190">
        <v>19961231</v>
      </c>
      <c r="CC1" s="190">
        <v>19960630</v>
      </c>
      <c r="CD1" s="190">
        <v>19951231</v>
      </c>
      <c r="CE1" s="190">
        <v>19950630</v>
      </c>
      <c r="CF1" s="190">
        <v>19941231</v>
      </c>
      <c r="CG1" s="190">
        <v>19940630</v>
      </c>
      <c r="CH1" s="190">
        <v>19930630</v>
      </c>
      <c r="CI1" s="190">
        <v>19921231</v>
      </c>
      <c r="CJ1" s="190">
        <v>19911231</v>
      </c>
      <c r="CK1" s="190">
        <v>19901231</v>
      </c>
      <c r="CL1" s="190">
        <v>19700101</v>
      </c>
    </row>
    <row r="2" spans="1:90">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c r="CK2" s="190" t="s">
        <v>106</v>
      </c>
    </row>
    <row r="3" spans="1:90">
      <c r="A3" s="190" t="s">
        <v>190</v>
      </c>
      <c r="B3" s="190">
        <v>21233742463.09</v>
      </c>
      <c r="C3" s="190">
        <v>15909823128.299999</v>
      </c>
      <c r="D3" s="190">
        <v>10308432863.280001</v>
      </c>
      <c r="E3" s="190">
        <v>3981658165.3600001</v>
      </c>
      <c r="F3" s="190">
        <v>19471146411.049999</v>
      </c>
      <c r="G3" s="190">
        <v>14693527606.42</v>
      </c>
      <c r="H3" s="190">
        <v>9613219456.0699997</v>
      </c>
      <c r="I3" s="190">
        <v>3794547830.4299998</v>
      </c>
      <c r="J3" s="190">
        <v>18938551893.709999</v>
      </c>
      <c r="K3" s="190">
        <v>14218450906.1</v>
      </c>
      <c r="L3" s="190">
        <v>9271315229.1499996</v>
      </c>
      <c r="M3" s="190">
        <v>3775359862.3600001</v>
      </c>
      <c r="N3" s="190">
        <v>19295534666.82</v>
      </c>
      <c r="O3" s="190">
        <v>14753293830.16</v>
      </c>
      <c r="P3" s="190">
        <v>9829497798.7700005</v>
      </c>
      <c r="Q3" s="190">
        <v>4151295665.3000002</v>
      </c>
      <c r="R3" s="190">
        <v>20778933220.52</v>
      </c>
      <c r="S3" s="190">
        <v>15575183289.370001</v>
      </c>
      <c r="T3" s="190">
        <v>10136316637.43</v>
      </c>
      <c r="U3" s="190">
        <v>4133240256.1999998</v>
      </c>
      <c r="V3" s="190">
        <v>19907077075.110001</v>
      </c>
      <c r="W3" s="190">
        <v>14618769623.620001</v>
      </c>
      <c r="X3" s="190">
        <v>9381540032.2600002</v>
      </c>
      <c r="Y3" s="190">
        <v>3883863244.5599999</v>
      </c>
      <c r="Z3" s="190">
        <v>17743250879.580002</v>
      </c>
      <c r="AA3" s="190">
        <v>13454135360.23</v>
      </c>
      <c r="AB3" s="190">
        <v>7196076462.4799995</v>
      </c>
      <c r="AC3" s="190">
        <v>3198850932.6599998</v>
      </c>
      <c r="AD3" s="190">
        <v>14502379031.75</v>
      </c>
      <c r="AE3" s="190">
        <v>11431577726.110001</v>
      </c>
      <c r="AF3" s="190">
        <v>7366026241.6199999</v>
      </c>
      <c r="AG3" s="190">
        <v>3228286800.9099998</v>
      </c>
      <c r="AH3" s="190">
        <v>13259978831.02</v>
      </c>
      <c r="AI3" s="190">
        <v>9744452405.0200005</v>
      </c>
      <c r="AJ3" s="190">
        <v>6310896504.9499998</v>
      </c>
      <c r="AK3" s="190">
        <v>2739090225.46</v>
      </c>
      <c r="AL3" s="190">
        <v>10986235317.82</v>
      </c>
      <c r="AM3" s="190">
        <v>8066224111.6300001</v>
      </c>
      <c r="AN3" s="190">
        <v>5180700037.8599997</v>
      </c>
      <c r="AO3" s="190">
        <v>2344474929.9000001</v>
      </c>
      <c r="AP3" s="190">
        <v>10447383090.459999</v>
      </c>
      <c r="AQ3" s="190">
        <v>7918918582.4499998</v>
      </c>
      <c r="AR3" s="190">
        <v>5191719881.5</v>
      </c>
      <c r="AS3" s="190">
        <v>2316491412.3400002</v>
      </c>
      <c r="AT3" s="190">
        <v>9186192504.1200008</v>
      </c>
      <c r="AU3" s="190">
        <v>6667310641.75</v>
      </c>
      <c r="AV3" s="190">
        <v>4210749706.7199998</v>
      </c>
      <c r="AW3" s="190">
        <v>1893486265.3399999</v>
      </c>
      <c r="AX3" s="190">
        <v>7320231691.2600002</v>
      </c>
      <c r="AY3" s="190">
        <v>5267808344.0600004</v>
      </c>
      <c r="AZ3" s="190">
        <v>3436760967.7199998</v>
      </c>
      <c r="BA3" s="190">
        <v>1565250469.4200001</v>
      </c>
      <c r="BB3" s="190">
        <v>6862759168.2600002</v>
      </c>
      <c r="BC3" s="190">
        <v>5083625856.7600002</v>
      </c>
      <c r="BD3" s="190">
        <v>3372574348.5999999</v>
      </c>
      <c r="BE3" s="190">
        <v>1538316693.9000001</v>
      </c>
      <c r="BF3" s="190">
        <v>6590388687.0100002</v>
      </c>
      <c r="BG3" s="190">
        <v>4823804231.5500002</v>
      </c>
      <c r="BH3" s="190">
        <v>3315008125.4699998</v>
      </c>
      <c r="BI3" s="190">
        <v>1605545778.1400001</v>
      </c>
      <c r="BJ3" s="190">
        <v>5552422445.6400003</v>
      </c>
      <c r="BK3" s="190">
        <v>4090488924.1599998</v>
      </c>
      <c r="BL3" s="190">
        <v>2677769870.98</v>
      </c>
      <c r="BM3" s="190">
        <v>1258205557.53</v>
      </c>
      <c r="BN3" s="190">
        <v>4475659918.7700005</v>
      </c>
      <c r="BO3" s="190">
        <v>3426653697.6500001</v>
      </c>
      <c r="BP3" s="190">
        <v>2289833659.5</v>
      </c>
      <c r="BQ3" s="190">
        <v>1068391795.14</v>
      </c>
      <c r="BR3" s="190">
        <v>3857977486.4000001</v>
      </c>
      <c r="BS3" s="190">
        <v>1895795757.6400001</v>
      </c>
      <c r="BT3" s="190">
        <v>3636493097.6999998</v>
      </c>
      <c r="BU3" s="190">
        <v>1765141891.22</v>
      </c>
      <c r="BV3" s="190">
        <v>3510059294.4499998</v>
      </c>
      <c r="BW3" s="190">
        <v>1642695043.8199999</v>
      </c>
      <c r="BX3" s="190">
        <v>444399064.31</v>
      </c>
      <c r="BY3" s="190">
        <v>213570809.87</v>
      </c>
      <c r="BZ3" s="190">
        <v>918221399.26999998</v>
      </c>
      <c r="CA3" s="190">
        <v>393349759.06999999</v>
      </c>
      <c r="CB3" s="190">
        <v>1350938321.28</v>
      </c>
      <c r="CC3" s="190">
        <v>953254408.08000004</v>
      </c>
      <c r="CD3" s="190">
        <v>1925366523.1800001</v>
      </c>
      <c r="CE3" s="190">
        <v>1099700000</v>
      </c>
      <c r="CF3" s="190">
        <v>1434362000</v>
      </c>
      <c r="CG3" s="190">
        <v>765920060.38</v>
      </c>
      <c r="CH3" s="190">
        <v>587340000</v>
      </c>
      <c r="CI3" s="190">
        <v>778590000</v>
      </c>
      <c r="CJ3" s="190">
        <v>635150000</v>
      </c>
      <c r="CK3" s="190">
        <v>544300000</v>
      </c>
      <c r="CL3" s="190">
        <v>0</v>
      </c>
    </row>
    <row r="4" spans="1:90">
      <c r="A4" s="190" t="s">
        <v>191</v>
      </c>
      <c r="B4" s="190">
        <v>21233742463.09</v>
      </c>
      <c r="C4" s="190">
        <v>15909823128.299999</v>
      </c>
      <c r="D4" s="190">
        <v>10308432863.280001</v>
      </c>
      <c r="E4" s="190">
        <v>3981658165.3600001</v>
      </c>
      <c r="F4" s="190">
        <v>19471146411.049999</v>
      </c>
      <c r="G4" s="190">
        <v>14693527606.42</v>
      </c>
      <c r="H4" s="190">
        <v>9613219456.0699997</v>
      </c>
      <c r="I4" s="190">
        <v>3794547830.4299998</v>
      </c>
      <c r="J4" s="190">
        <v>18938551893.709999</v>
      </c>
      <c r="K4" s="190">
        <v>14218450906.1</v>
      </c>
      <c r="L4" s="190">
        <v>9271315229.1499996</v>
      </c>
      <c r="M4" s="190">
        <v>3775359862.3600001</v>
      </c>
      <c r="N4" s="190">
        <v>19295534666.82</v>
      </c>
      <c r="O4" s="190">
        <v>14753293830.16</v>
      </c>
      <c r="P4" s="190">
        <v>9829497798.7700005</v>
      </c>
      <c r="Q4" s="190">
        <v>4151295665.3000002</v>
      </c>
      <c r="R4" s="190">
        <v>20778933220.52</v>
      </c>
      <c r="S4" s="190">
        <v>15575183289.370001</v>
      </c>
      <c r="T4" s="190">
        <v>10136316637.43</v>
      </c>
      <c r="U4" s="190">
        <v>4133240256.1999998</v>
      </c>
      <c r="V4" s="190">
        <v>19907077075.110001</v>
      </c>
      <c r="W4" s="190">
        <v>14618769623.620001</v>
      </c>
      <c r="X4" s="190">
        <v>9381540032.2600002</v>
      </c>
      <c r="Y4" s="190">
        <v>3883863244.5599999</v>
      </c>
      <c r="Z4" s="190">
        <v>17743250879.580002</v>
      </c>
      <c r="AA4" s="190">
        <v>13454135360.23</v>
      </c>
      <c r="AB4" s="190">
        <v>7196076462.4799995</v>
      </c>
      <c r="AC4" s="190">
        <v>3198850932.6599998</v>
      </c>
      <c r="AD4" s="190">
        <v>14502379031.75</v>
      </c>
      <c r="AE4" s="190">
        <v>11431577726.110001</v>
      </c>
      <c r="AF4" s="190">
        <v>7366026241.6199999</v>
      </c>
      <c r="AG4" s="190">
        <v>3228286800.9099998</v>
      </c>
      <c r="AH4" s="190">
        <v>13259978831.02</v>
      </c>
      <c r="AI4" s="190">
        <v>9744452405.0200005</v>
      </c>
      <c r="AJ4" s="190">
        <v>6310896504.9499998</v>
      </c>
      <c r="AK4" s="190">
        <v>2739090225.46</v>
      </c>
      <c r="AL4" s="190">
        <v>10986235317.82</v>
      </c>
      <c r="AM4" s="190">
        <v>8066224111.6300001</v>
      </c>
      <c r="AN4" s="190">
        <v>5180700037.8599997</v>
      </c>
      <c r="AO4" s="190">
        <v>2344474929.9000001</v>
      </c>
      <c r="AP4" s="190">
        <v>10447383090.459999</v>
      </c>
      <c r="AQ4" s="190">
        <v>7918918582.4499998</v>
      </c>
      <c r="AR4" s="190">
        <v>5191719881.5</v>
      </c>
      <c r="AS4" s="190">
        <v>2316491412.3400002</v>
      </c>
      <c r="AT4" s="190">
        <v>9186192504.1200008</v>
      </c>
      <c r="AU4" s="190">
        <v>6667310641.75</v>
      </c>
      <c r="AV4" s="190">
        <v>4210749706.7199998</v>
      </c>
      <c r="AW4" s="190">
        <v>1893486265.3399999</v>
      </c>
      <c r="AX4" s="190">
        <v>7286223314.4200001</v>
      </c>
      <c r="AY4" s="190">
        <v>5245909976.1700001</v>
      </c>
      <c r="AZ4" s="190">
        <v>3422503680.1999998</v>
      </c>
      <c r="BA4" s="190">
        <v>1557384662.4200001</v>
      </c>
      <c r="BB4" s="190">
        <v>6831533255.1899996</v>
      </c>
      <c r="BC4" s="190">
        <v>5059322816.5</v>
      </c>
      <c r="BD4" s="190">
        <v>3356863760.23</v>
      </c>
      <c r="BE4" s="190">
        <v>1530956087.8499999</v>
      </c>
      <c r="BF4" s="190">
        <v>6555276828.1199999</v>
      </c>
      <c r="BG4" s="190">
        <v>4802388106.7799997</v>
      </c>
      <c r="BH4" s="190">
        <v>3300403591.21</v>
      </c>
      <c r="BI4" s="190">
        <v>1599628295.23</v>
      </c>
      <c r="BJ4" s="190">
        <v>5559734783.4700003</v>
      </c>
      <c r="BK4" s="190">
        <v>4073338384.8699999</v>
      </c>
      <c r="BL4" s="190">
        <v>2665555632.9699998</v>
      </c>
      <c r="BM4" s="190">
        <v>1253183034.1500001</v>
      </c>
      <c r="BN4" s="190">
        <v>4468336934.6800003</v>
      </c>
      <c r="BO4" s="190">
        <v>3419871820.3000002</v>
      </c>
      <c r="BP4" s="190">
        <v>2289548356.9299998</v>
      </c>
      <c r="BQ4" s="190">
        <v>1062734559.6900001</v>
      </c>
      <c r="BR4" s="190">
        <v>3844769510</v>
      </c>
      <c r="BS4" s="190">
        <v>1888676871</v>
      </c>
      <c r="BT4" s="190">
        <v>3624435206.8899999</v>
      </c>
      <c r="BU4" s="190">
        <v>1759872948.4200001</v>
      </c>
      <c r="BV4" s="190">
        <v>3503166528.1399999</v>
      </c>
      <c r="BW4" s="190">
        <v>1640969270.5599999</v>
      </c>
      <c r="BX4" s="190">
        <v>444323044.92000002</v>
      </c>
      <c r="BY4" s="190">
        <v>202091770.88</v>
      </c>
      <c r="BZ4" s="190">
        <v>918888298.00999999</v>
      </c>
      <c r="CA4" s="190">
        <v>393462052.19999999</v>
      </c>
      <c r="CB4" s="190">
        <v>1350796162.8199999</v>
      </c>
      <c r="CC4" s="190">
        <v>953095812.62</v>
      </c>
      <c r="CD4" s="190">
        <v>1924570651.9100001</v>
      </c>
      <c r="CE4" s="190">
        <v>1099680000</v>
      </c>
      <c r="CF4" s="190">
        <v>1434156000</v>
      </c>
      <c r="CG4" s="190">
        <v>767120945.70000005</v>
      </c>
      <c r="CH4" s="190">
        <v>585220000</v>
      </c>
      <c r="CI4" s="190">
        <v>773370000</v>
      </c>
      <c r="CJ4" s="190">
        <v>630840000</v>
      </c>
      <c r="CK4" s="190">
        <v>542050000</v>
      </c>
      <c r="CL4" s="190">
        <v>0</v>
      </c>
    </row>
    <row r="5" spans="1:90">
      <c r="A5" s="190" t="s">
        <v>192</v>
      </c>
      <c r="B5" s="190">
        <v>19195348068.700001</v>
      </c>
      <c r="C5" s="190">
        <v>14146089219.6</v>
      </c>
      <c r="D5" s="190">
        <v>9206812522.0900002</v>
      </c>
      <c r="E5" s="190">
        <v>3583107031.3099999</v>
      </c>
      <c r="F5" s="190">
        <v>17215905300.810001</v>
      </c>
      <c r="G5" s="190">
        <v>12939335816.48</v>
      </c>
      <c r="H5" s="190">
        <v>8589286940.5</v>
      </c>
      <c r="I5" s="190">
        <v>3414258723.1199999</v>
      </c>
      <c r="J5" s="190">
        <v>16870242172.34</v>
      </c>
      <c r="K5" s="190">
        <v>12562744109.690001</v>
      </c>
      <c r="L5" s="190">
        <v>8301174377.3400002</v>
      </c>
      <c r="M5" s="190">
        <v>3403322803.0599999</v>
      </c>
      <c r="N5" s="190">
        <v>17749178134.869999</v>
      </c>
      <c r="O5" s="190">
        <v>13459516051.620001</v>
      </c>
      <c r="P5" s="190">
        <v>9111139487.7600002</v>
      </c>
      <c r="Q5" s="190">
        <v>3894644025.3000002</v>
      </c>
      <c r="R5" s="190">
        <v>19153435367.639999</v>
      </c>
      <c r="S5" s="190">
        <v>14263461475.1</v>
      </c>
      <c r="T5" s="190">
        <v>9347286430.6000004</v>
      </c>
      <c r="U5" s="190">
        <v>3881361140.7600002</v>
      </c>
      <c r="V5" s="190">
        <v>18423804681.860001</v>
      </c>
      <c r="W5" s="190">
        <v>13409305831.959999</v>
      </c>
      <c r="X5" s="190">
        <v>8707702784.8899994</v>
      </c>
      <c r="Y5" s="190">
        <v>3723017023.8000002</v>
      </c>
      <c r="Z5" s="190">
        <v>16680775137.35</v>
      </c>
      <c r="AA5" s="190">
        <v>12725243384.1</v>
      </c>
      <c r="AB5" s="190">
        <v>6616342870.25</v>
      </c>
      <c r="AC5" s="190">
        <v>2976207917.4200001</v>
      </c>
      <c r="AD5" s="190">
        <v>13569149897.76</v>
      </c>
      <c r="AE5" s="190">
        <v>10524481010.639999</v>
      </c>
      <c r="AF5" s="190">
        <v>6794747507.9399996</v>
      </c>
      <c r="AG5" s="190">
        <v>2999155135.1599998</v>
      </c>
      <c r="AH5" s="190">
        <v>12491140513.1</v>
      </c>
      <c r="AI5" s="190">
        <v>9073192446.7000008</v>
      </c>
      <c r="AJ5" s="190">
        <v>5853963369.7600002</v>
      </c>
      <c r="AK5" s="190">
        <v>2532059426.1900001</v>
      </c>
      <c r="AL5" s="190">
        <v>10373164219.200001</v>
      </c>
      <c r="AM5" s="190">
        <v>7426665798.8000002</v>
      </c>
      <c r="AN5" s="190">
        <v>4738012930.0900002</v>
      </c>
      <c r="AO5" s="190">
        <v>2143012149.72</v>
      </c>
      <c r="AP5" s="190">
        <v>9763368850.9599991</v>
      </c>
      <c r="AQ5" s="190">
        <v>7268045157.8800001</v>
      </c>
      <c r="AR5" s="190">
        <v>4752368020.6800003</v>
      </c>
      <c r="AS5" s="190">
        <v>2115086900.5599999</v>
      </c>
      <c r="AT5" s="190">
        <v>8444064926.8199997</v>
      </c>
      <c r="AU5" s="190">
        <v>6059954400.7600002</v>
      </c>
      <c r="AV5" s="190">
        <v>3835697572.3000002</v>
      </c>
      <c r="AW5" s="190">
        <v>1742601152.9300001</v>
      </c>
      <c r="AX5" s="190">
        <v>6682354911.7700005</v>
      </c>
      <c r="AY5" s="190">
        <v>4846141621.8000002</v>
      </c>
      <c r="AZ5" s="190">
        <v>3181468511.8099999</v>
      </c>
      <c r="BA5" s="190">
        <v>1436983795.1400001</v>
      </c>
      <c r="BB5" s="190">
        <v>6274948197.9700003</v>
      </c>
      <c r="BC5" s="190">
        <v>4553059655.4700003</v>
      </c>
      <c r="BD5" s="190">
        <v>3001685493.8000002</v>
      </c>
      <c r="BE5" s="190">
        <v>1372433277.5999999</v>
      </c>
      <c r="BF5" s="190">
        <v>5851811530.54</v>
      </c>
      <c r="BG5" s="190">
        <v>4281129002.0700002</v>
      </c>
      <c r="BH5" s="190">
        <v>2922823712.9000001</v>
      </c>
      <c r="BI5" s="190">
        <v>1421405385.6199999</v>
      </c>
      <c r="BJ5" s="190">
        <v>4808764407.1899996</v>
      </c>
      <c r="BK5" s="190">
        <v>3516361360.0799999</v>
      </c>
      <c r="BL5" s="190">
        <v>2328974017.0900002</v>
      </c>
      <c r="BM5" s="190">
        <v>1108311179.79</v>
      </c>
      <c r="BN5" s="190">
        <v>3821317541.1500001</v>
      </c>
      <c r="BO5" s="190">
        <v>2923710380.2800002</v>
      </c>
      <c r="BP5" s="190">
        <v>1976900964.5899999</v>
      </c>
      <c r="BQ5" s="190">
        <v>932094002.75999999</v>
      </c>
      <c r="BR5" s="190">
        <v>3297506070.0300002</v>
      </c>
      <c r="BS5" s="190">
        <v>1611520019.8099999</v>
      </c>
      <c r="BT5" s="190">
        <v>3175862035.7600002</v>
      </c>
      <c r="BU5" s="190">
        <v>1517199089.6400001</v>
      </c>
      <c r="BV5" s="190">
        <v>3059893443.0100002</v>
      </c>
      <c r="BW5" s="190">
        <v>1383200729.5599999</v>
      </c>
      <c r="BX5" s="190">
        <v>486954938.42000002</v>
      </c>
      <c r="BY5" s="190">
        <v>224700016.56999999</v>
      </c>
      <c r="BZ5" s="190">
        <v>874566359.04999995</v>
      </c>
      <c r="CA5" s="190">
        <v>0</v>
      </c>
      <c r="CB5" s="190">
        <v>1345686129.46</v>
      </c>
      <c r="CC5" s="190">
        <v>0</v>
      </c>
      <c r="CD5" s="190">
        <v>1747435229.1600001</v>
      </c>
      <c r="CE5" s="190">
        <v>0</v>
      </c>
      <c r="CF5" s="190">
        <v>0</v>
      </c>
      <c r="CG5" s="190">
        <v>0</v>
      </c>
      <c r="CH5" s="190">
        <v>528580000</v>
      </c>
      <c r="CI5" s="190">
        <v>693920000</v>
      </c>
      <c r="CJ5" s="190">
        <v>563700000</v>
      </c>
      <c r="CK5" s="190">
        <v>473000000</v>
      </c>
      <c r="CL5" s="190">
        <v>0</v>
      </c>
    </row>
    <row r="6" spans="1:90">
      <c r="A6" s="190" t="s">
        <v>193</v>
      </c>
      <c r="B6" s="190">
        <v>17178505650.290001</v>
      </c>
      <c r="C6" s="190">
        <v>12769312772.200001</v>
      </c>
      <c r="D6" s="190">
        <v>8246400053.1499996</v>
      </c>
      <c r="E6" s="190">
        <v>3170883561.7199998</v>
      </c>
      <c r="F6" s="190">
        <v>15226925132.92</v>
      </c>
      <c r="G6" s="190">
        <v>11628814912.92</v>
      </c>
      <c r="H6" s="190">
        <v>7633692655.8699999</v>
      </c>
      <c r="I6" s="190">
        <v>2976584444.52</v>
      </c>
      <c r="J6" s="190">
        <v>14780967899.440001</v>
      </c>
      <c r="K6" s="190">
        <v>11180763428.889999</v>
      </c>
      <c r="L6" s="190">
        <v>7291362019.0100002</v>
      </c>
      <c r="M6" s="190">
        <v>2979672630.1999998</v>
      </c>
      <c r="N6" s="190">
        <v>15117878402.59</v>
      </c>
      <c r="O6" s="190">
        <v>11642318913.57</v>
      </c>
      <c r="P6" s="190">
        <v>7801959717</v>
      </c>
      <c r="Q6" s="190">
        <v>3312008819.9899998</v>
      </c>
      <c r="R6" s="190">
        <v>16242127953.23</v>
      </c>
      <c r="S6" s="190">
        <v>12274014787.58</v>
      </c>
      <c r="T6" s="190">
        <v>8038090291.4700003</v>
      </c>
      <c r="U6" s="190">
        <v>3269606314.1599998</v>
      </c>
      <c r="V6" s="190">
        <v>15670770649.25</v>
      </c>
      <c r="W6" s="190">
        <v>11611711540.879999</v>
      </c>
      <c r="X6" s="190">
        <v>7542876267.8199997</v>
      </c>
      <c r="Y6" s="190">
        <v>3154730635.73</v>
      </c>
      <c r="Z6" s="190">
        <v>14295199209.41</v>
      </c>
      <c r="AA6" s="190">
        <v>10906926142.75</v>
      </c>
      <c r="AB6" s="190">
        <v>5793795568.4099998</v>
      </c>
      <c r="AC6" s="190">
        <v>2541452950.0500002</v>
      </c>
      <c r="AD6" s="190">
        <v>11654694217.540001</v>
      </c>
      <c r="AE6" s="190">
        <v>9194752912.6000004</v>
      </c>
      <c r="AF6" s="190">
        <v>5952172825.3299999</v>
      </c>
      <c r="AG6" s="190">
        <v>2595919278.0100002</v>
      </c>
      <c r="AH6" s="190">
        <v>10700275731.110001</v>
      </c>
      <c r="AI6" s="190">
        <v>7867784014.79</v>
      </c>
      <c r="AJ6" s="190">
        <v>5088515339.8000002</v>
      </c>
      <c r="AK6" s="190">
        <v>2199896810.4400001</v>
      </c>
      <c r="AL6" s="190">
        <v>8888158950.1800003</v>
      </c>
      <c r="AM6" s="190">
        <v>6534738603.1199999</v>
      </c>
      <c r="AN6" s="190">
        <v>4183817454.4899998</v>
      </c>
      <c r="AO6" s="190">
        <v>1873897756.1900001</v>
      </c>
      <c r="AP6" s="190">
        <v>8489100178.8299999</v>
      </c>
      <c r="AQ6" s="190">
        <v>6394198410.4899998</v>
      </c>
      <c r="AR6" s="190">
        <v>4175419382.9099998</v>
      </c>
      <c r="AS6" s="190">
        <v>1861863686.0699999</v>
      </c>
      <c r="AT6" s="190">
        <v>7277254140.21</v>
      </c>
      <c r="AU6" s="190">
        <v>5289137929.5200005</v>
      </c>
      <c r="AV6" s="190">
        <v>3333026643.5900002</v>
      </c>
      <c r="AW6" s="190">
        <v>1538991169.55</v>
      </c>
      <c r="AX6" s="190">
        <v>5756865497.54</v>
      </c>
      <c r="AY6" s="190">
        <v>4211090083.77</v>
      </c>
      <c r="AZ6" s="190">
        <v>2765887880.8899999</v>
      </c>
      <c r="BA6" s="190">
        <v>1249190096.8199999</v>
      </c>
      <c r="BB6" s="190">
        <v>5403366370.7799997</v>
      </c>
      <c r="BC6" s="190">
        <v>3924222586.1799998</v>
      </c>
      <c r="BD6" s="190">
        <v>2567321061.1799998</v>
      </c>
      <c r="BE6" s="190">
        <v>1175375812.9400001</v>
      </c>
      <c r="BF6" s="190">
        <v>4942282576.8999996</v>
      </c>
      <c r="BG6" s="190">
        <v>3660508261.8899999</v>
      </c>
      <c r="BH6" s="190">
        <v>2517586186.9499998</v>
      </c>
      <c r="BI6" s="190">
        <v>1226508689.25</v>
      </c>
      <c r="BJ6" s="190">
        <v>4011958308.4299998</v>
      </c>
      <c r="BK6" s="190">
        <v>2944267467</v>
      </c>
      <c r="BL6" s="190">
        <v>1952850787.5</v>
      </c>
      <c r="BM6" s="190">
        <v>915105404.87</v>
      </c>
      <c r="BN6" s="190">
        <v>2881983316.8499999</v>
      </c>
      <c r="BO6" s="190">
        <v>2314903460.3000002</v>
      </c>
      <c r="BP6" s="190">
        <v>1596717736.3499999</v>
      </c>
      <c r="BQ6" s="190">
        <v>773737089.95000005</v>
      </c>
      <c r="BR6" s="190">
        <v>2554268178.5100002</v>
      </c>
      <c r="BS6" s="190">
        <v>1304874733.9300001</v>
      </c>
      <c r="BT6" s="190">
        <v>2483197627.2600002</v>
      </c>
      <c r="BU6" s="190">
        <v>1254158982.9400001</v>
      </c>
      <c r="BV6" s="190">
        <v>2461372469.0999999</v>
      </c>
      <c r="BW6" s="190">
        <v>1156607381.01</v>
      </c>
      <c r="BX6" s="190">
        <v>405519122.69999999</v>
      </c>
      <c r="BY6" s="190">
        <v>157687789.38</v>
      </c>
      <c r="BZ6" s="190">
        <v>738657178.74000001</v>
      </c>
      <c r="CA6" s="190">
        <v>0</v>
      </c>
      <c r="CB6" s="190">
        <v>1121670089.03</v>
      </c>
      <c r="CC6" s="190">
        <v>0</v>
      </c>
      <c r="CD6" s="190">
        <v>1522442725.4100001</v>
      </c>
      <c r="CE6" s="190">
        <v>0</v>
      </c>
      <c r="CF6" s="190">
        <v>0</v>
      </c>
      <c r="CG6" s="190">
        <v>0</v>
      </c>
      <c r="CH6" s="190">
        <v>482620000</v>
      </c>
      <c r="CI6" s="190">
        <v>622550000</v>
      </c>
      <c r="CJ6" s="190">
        <v>511020000</v>
      </c>
      <c r="CK6" s="190">
        <v>438350000</v>
      </c>
      <c r="CL6" s="190">
        <v>0</v>
      </c>
    </row>
    <row r="7" spans="1:90">
      <c r="A7" s="190" t="s">
        <v>194</v>
      </c>
      <c r="B7" s="190">
        <v>88238202.739999995</v>
      </c>
      <c r="C7" s="190">
        <v>72077164.099999994</v>
      </c>
      <c r="D7" s="190">
        <v>53440398.829999998</v>
      </c>
      <c r="E7" s="190">
        <v>24680489.940000001</v>
      </c>
      <c r="F7" s="190">
        <v>118281818.69</v>
      </c>
      <c r="G7" s="190">
        <v>85319248.390000001</v>
      </c>
      <c r="H7" s="190">
        <v>65982482.200000003</v>
      </c>
      <c r="I7" s="190">
        <v>29384721.870000001</v>
      </c>
      <c r="J7" s="190">
        <v>148289534.94999999</v>
      </c>
      <c r="K7" s="190">
        <v>103667800.89</v>
      </c>
      <c r="L7" s="190">
        <v>82012392.040000007</v>
      </c>
      <c r="M7" s="190">
        <v>42992139.280000001</v>
      </c>
      <c r="N7" s="190">
        <v>151298695.34999999</v>
      </c>
      <c r="O7" s="190">
        <v>121435065.36</v>
      </c>
      <c r="P7" s="190">
        <v>77594340.980000004</v>
      </c>
      <c r="Q7" s="190">
        <v>37283240.600000001</v>
      </c>
      <c r="R7" s="190">
        <v>154535099.59</v>
      </c>
      <c r="S7" s="190">
        <v>129833994.84999999</v>
      </c>
      <c r="T7" s="190">
        <v>84670343.25</v>
      </c>
      <c r="U7" s="190">
        <v>40893605.850000001</v>
      </c>
      <c r="V7" s="190">
        <v>137698423</v>
      </c>
      <c r="W7" s="190">
        <v>108324837.53</v>
      </c>
      <c r="X7" s="190">
        <v>71322030.209999993</v>
      </c>
      <c r="Y7" s="190">
        <v>30607092.649999999</v>
      </c>
      <c r="Z7" s="190">
        <v>151094119.47</v>
      </c>
      <c r="AA7" s="190">
        <v>108281857.06999999</v>
      </c>
      <c r="AB7" s="190">
        <v>66375802.159999996</v>
      </c>
      <c r="AC7" s="190">
        <v>24932592.219999999</v>
      </c>
      <c r="AD7" s="190">
        <v>94762721.609999999</v>
      </c>
      <c r="AE7" s="190">
        <v>81594878.359999999</v>
      </c>
      <c r="AF7" s="190">
        <v>50935124.369999997</v>
      </c>
      <c r="AG7" s="190">
        <v>14073529.74</v>
      </c>
      <c r="AH7" s="190">
        <v>47049591.960000001</v>
      </c>
      <c r="AI7" s="190">
        <v>36252827.310000002</v>
      </c>
      <c r="AJ7" s="190">
        <v>23807994.210000001</v>
      </c>
      <c r="AK7" s="190">
        <v>12045757.27</v>
      </c>
      <c r="AL7" s="190">
        <v>36433124.130000003</v>
      </c>
      <c r="AM7" s="190">
        <v>27332568.32</v>
      </c>
      <c r="AN7" s="190">
        <v>18394534.010000002</v>
      </c>
      <c r="AO7" s="190">
        <v>8894401.1799999997</v>
      </c>
      <c r="AP7" s="190">
        <v>30051094.940000001</v>
      </c>
      <c r="AQ7" s="190">
        <v>21453805.739999998</v>
      </c>
      <c r="AR7" s="190">
        <v>14258088.619999999</v>
      </c>
      <c r="AS7" s="190">
        <v>6704249.0499999998</v>
      </c>
      <c r="AT7" s="190">
        <v>29132541.030000001</v>
      </c>
      <c r="AU7" s="190">
        <v>21674399.34</v>
      </c>
      <c r="AV7" s="190">
        <v>14030629.800000001</v>
      </c>
      <c r="AW7" s="190">
        <v>6026209.2300000004</v>
      </c>
      <c r="AX7" s="190">
        <v>23752289.66</v>
      </c>
      <c r="AY7" s="190">
        <v>19284640.84</v>
      </c>
      <c r="AZ7" s="190">
        <v>11539457.869999999</v>
      </c>
      <c r="BA7" s="190">
        <v>5355209.1900000004</v>
      </c>
      <c r="BB7" s="190">
        <v>18167645.329999998</v>
      </c>
      <c r="BC7" s="190">
        <v>13000135.689999999</v>
      </c>
      <c r="BD7" s="190">
        <v>8146628.9400000004</v>
      </c>
      <c r="BE7" s="190">
        <v>3962995.23</v>
      </c>
      <c r="BF7" s="190">
        <v>16086266.32</v>
      </c>
      <c r="BG7" s="190">
        <v>11113213.24</v>
      </c>
      <c r="BH7" s="190">
        <v>7490047.04</v>
      </c>
      <c r="BI7" s="190">
        <v>3860914.82</v>
      </c>
      <c r="BJ7" s="190">
        <v>13609027.49</v>
      </c>
      <c r="BK7" s="190">
        <v>14003668.35</v>
      </c>
      <c r="BL7" s="190">
        <v>6332369.0800000001</v>
      </c>
      <c r="BM7" s="190">
        <v>3138194.45</v>
      </c>
      <c r="BN7" s="190">
        <v>13058660.060000001</v>
      </c>
      <c r="BO7" s="190">
        <v>9502722.4000000004</v>
      </c>
      <c r="BP7" s="190">
        <v>7358392.9500000002</v>
      </c>
      <c r="BQ7" s="190">
        <v>3574226.91</v>
      </c>
      <c r="BR7" s="190">
        <v>8993988.4600000009</v>
      </c>
      <c r="BS7" s="190">
        <v>4245879.2</v>
      </c>
      <c r="BT7" s="190">
        <v>8228819.0300000003</v>
      </c>
      <c r="BU7" s="190">
        <v>4186741.08</v>
      </c>
      <c r="BV7" s="190">
        <v>7988472.2599999998</v>
      </c>
      <c r="BW7" s="190">
        <v>3979167.01</v>
      </c>
      <c r="BX7" s="190">
        <v>4178453.65</v>
      </c>
      <c r="BY7" s="190">
        <v>706418.24</v>
      </c>
      <c r="BZ7" s="190">
        <v>9634697.4700000007</v>
      </c>
      <c r="CA7" s="190">
        <v>0</v>
      </c>
      <c r="CB7" s="190">
        <v>2962011.87</v>
      </c>
      <c r="CC7" s="190">
        <v>0</v>
      </c>
      <c r="CD7" s="190">
        <v>5920842.5199999996</v>
      </c>
      <c r="CE7" s="190">
        <v>0</v>
      </c>
      <c r="CF7" s="190">
        <v>0</v>
      </c>
      <c r="CG7" s="190">
        <v>0</v>
      </c>
      <c r="CH7" s="190">
        <v>45960000</v>
      </c>
      <c r="CI7" s="190">
        <v>71370000</v>
      </c>
      <c r="CJ7" s="190">
        <v>52680000</v>
      </c>
      <c r="CK7" s="190">
        <v>34650000</v>
      </c>
      <c r="CL7" s="190">
        <v>0</v>
      </c>
    </row>
    <row r="8" spans="1:90">
      <c r="A8" s="190" t="s">
        <v>195</v>
      </c>
      <c r="B8" s="190">
        <v>724492171.12</v>
      </c>
      <c r="C8" s="190">
        <v>491311861.5</v>
      </c>
      <c r="D8" s="190">
        <v>339030182.24000001</v>
      </c>
      <c r="E8" s="190">
        <v>172332071.94999999</v>
      </c>
      <c r="F8" s="190">
        <v>706517294.04999995</v>
      </c>
      <c r="G8" s="190">
        <v>529202614.25</v>
      </c>
      <c r="H8" s="190">
        <v>373089927.08999997</v>
      </c>
      <c r="I8" s="190">
        <v>213695958.05000001</v>
      </c>
      <c r="J8" s="190">
        <v>689775545.35000002</v>
      </c>
      <c r="K8" s="190">
        <v>495531408.82999998</v>
      </c>
      <c r="L8" s="190">
        <v>347131879.60000002</v>
      </c>
      <c r="M8" s="190">
        <v>145371900.63999999</v>
      </c>
      <c r="N8" s="190">
        <v>772143600.40999997</v>
      </c>
      <c r="O8" s="190">
        <v>616311011.03999996</v>
      </c>
      <c r="P8" s="190">
        <v>438084366.19</v>
      </c>
      <c r="Q8" s="190">
        <v>208163069.53999999</v>
      </c>
      <c r="R8" s="190">
        <v>983815921.95000005</v>
      </c>
      <c r="S8" s="190">
        <v>759160445.75</v>
      </c>
      <c r="T8" s="190">
        <v>514231780.66000003</v>
      </c>
      <c r="U8" s="190">
        <v>247375429.66999999</v>
      </c>
      <c r="V8" s="190">
        <v>938233144.64999998</v>
      </c>
      <c r="W8" s="190">
        <v>705962389.58000004</v>
      </c>
      <c r="X8" s="190">
        <v>447350690.70999998</v>
      </c>
      <c r="Y8" s="190">
        <v>192717975.55000001</v>
      </c>
      <c r="Z8" s="190">
        <v>858629127.98000002</v>
      </c>
      <c r="AA8" s="190">
        <v>626435048.36000001</v>
      </c>
      <c r="AB8" s="190">
        <v>311434096.91000003</v>
      </c>
      <c r="AC8" s="190">
        <v>174620991.75</v>
      </c>
      <c r="AD8" s="190">
        <v>648436356.85000002</v>
      </c>
      <c r="AE8" s="190">
        <v>507216885.31</v>
      </c>
      <c r="AF8" s="190">
        <v>339288086.79000002</v>
      </c>
      <c r="AG8" s="190">
        <v>199457623.34</v>
      </c>
      <c r="AH8" s="190">
        <v>572442492.40999997</v>
      </c>
      <c r="AI8" s="190">
        <v>433458555.19</v>
      </c>
      <c r="AJ8" s="190">
        <v>284133934.61000001</v>
      </c>
      <c r="AK8" s="190">
        <v>123275317.18000001</v>
      </c>
      <c r="AL8" s="190">
        <v>520564229.83999997</v>
      </c>
      <c r="AM8" s="190">
        <v>393129860.58999997</v>
      </c>
      <c r="AN8" s="190">
        <v>257251654.05000001</v>
      </c>
      <c r="AO8" s="190">
        <v>127798549.45</v>
      </c>
      <c r="AP8" s="190">
        <v>450800611.77999997</v>
      </c>
      <c r="AQ8" s="190">
        <v>375411125.95999998</v>
      </c>
      <c r="AR8" s="190">
        <v>213375019.44</v>
      </c>
      <c r="AS8" s="190">
        <v>131402491.89</v>
      </c>
      <c r="AT8" s="190">
        <v>492053156.49000001</v>
      </c>
      <c r="AU8" s="190">
        <v>355914981.87</v>
      </c>
      <c r="AV8" s="190">
        <v>228683868.50999999</v>
      </c>
      <c r="AW8" s="190">
        <v>94632357.790000007</v>
      </c>
      <c r="AX8" s="190">
        <v>360255683.31999999</v>
      </c>
      <c r="AY8" s="190">
        <v>267027956.16</v>
      </c>
      <c r="AZ8" s="190">
        <v>170509771.09</v>
      </c>
      <c r="BA8" s="190">
        <v>85898121.189999998</v>
      </c>
      <c r="BB8" s="190">
        <v>345423417.47000003</v>
      </c>
      <c r="BC8" s="190">
        <v>253245321.00999999</v>
      </c>
      <c r="BD8" s="190">
        <v>162518431.43000001</v>
      </c>
      <c r="BE8" s="190">
        <v>79442511.939999998</v>
      </c>
      <c r="BF8" s="190">
        <v>321429749.67000002</v>
      </c>
      <c r="BG8" s="190">
        <v>229591779.19</v>
      </c>
      <c r="BH8" s="190">
        <v>133740621.19</v>
      </c>
      <c r="BI8" s="190">
        <v>65436244.530000001</v>
      </c>
      <c r="BJ8" s="190">
        <v>323599708.75</v>
      </c>
      <c r="BK8" s="190">
        <v>239973112.84999999</v>
      </c>
      <c r="BL8" s="190">
        <v>157358942.06999999</v>
      </c>
      <c r="BM8" s="190">
        <v>82777207.959999993</v>
      </c>
      <c r="BN8" s="190">
        <v>317593510.41000003</v>
      </c>
      <c r="BO8" s="190">
        <v>228508007.62</v>
      </c>
      <c r="BP8" s="190">
        <v>148225737.93000001</v>
      </c>
      <c r="BQ8" s="190">
        <v>72043847.859999999</v>
      </c>
      <c r="BR8" s="190">
        <v>290137966.11000001</v>
      </c>
      <c r="BS8" s="190">
        <v>134119448.56</v>
      </c>
      <c r="BT8" s="190">
        <v>245249626.66</v>
      </c>
      <c r="BU8" s="190">
        <v>127462441.63</v>
      </c>
      <c r="BV8" s="190">
        <v>214680939.50999999</v>
      </c>
      <c r="BW8" s="190">
        <v>98544459.200000003</v>
      </c>
      <c r="BX8" s="190">
        <v>5778042.5199999996</v>
      </c>
      <c r="BY8" s="190">
        <v>14938744.029999999</v>
      </c>
      <c r="BZ8" s="190">
        <v>24044238.5</v>
      </c>
      <c r="CA8" s="190">
        <v>0</v>
      </c>
      <c r="CB8" s="190">
        <v>50761337.530000001</v>
      </c>
      <c r="CC8" s="190">
        <v>0</v>
      </c>
      <c r="CD8" s="190">
        <v>26810633.800000001</v>
      </c>
      <c r="CE8" s="190">
        <v>0</v>
      </c>
      <c r="CF8" s="190">
        <v>0</v>
      </c>
      <c r="CG8" s="190">
        <v>0</v>
      </c>
      <c r="CH8" s="190">
        <v>0</v>
      </c>
      <c r="CI8" s="190">
        <v>0</v>
      </c>
      <c r="CJ8" s="190">
        <v>0</v>
      </c>
      <c r="CK8" s="190">
        <v>0</v>
      </c>
      <c r="CL8" s="190">
        <v>0</v>
      </c>
    </row>
    <row r="9" spans="1:90">
      <c r="A9" s="190" t="s">
        <v>196</v>
      </c>
      <c r="B9" s="190">
        <v>648676921.63999999</v>
      </c>
      <c r="C9" s="190">
        <v>490305615.76999998</v>
      </c>
      <c r="D9" s="190">
        <v>711397610.64999998</v>
      </c>
      <c r="E9" s="190">
        <v>256091440.58000001</v>
      </c>
      <c r="F9" s="190">
        <v>1297812456.3199999</v>
      </c>
      <c r="G9" s="190">
        <v>897288688.38</v>
      </c>
      <c r="H9" s="190">
        <v>651720570.57000005</v>
      </c>
      <c r="I9" s="190">
        <v>246324752.13</v>
      </c>
      <c r="J9" s="190">
        <v>1348474399.55</v>
      </c>
      <c r="K9" s="190">
        <v>953494349.96000004</v>
      </c>
      <c r="L9" s="190">
        <v>663893559.29999995</v>
      </c>
      <c r="M9" s="190">
        <v>288924674.19999999</v>
      </c>
      <c r="N9" s="190">
        <v>1782457942.6800001</v>
      </c>
      <c r="O9" s="190">
        <v>1246319073.75</v>
      </c>
      <c r="P9" s="190">
        <v>916950550.39999998</v>
      </c>
      <c r="Q9" s="190">
        <v>382675273.56999999</v>
      </c>
      <c r="R9" s="190">
        <v>1876778470.8299999</v>
      </c>
      <c r="S9" s="190">
        <v>1311561912.96</v>
      </c>
      <c r="T9" s="190">
        <v>887189511.44000006</v>
      </c>
      <c r="U9" s="190">
        <v>384622815.70999998</v>
      </c>
      <c r="V9" s="190">
        <v>1839728726</v>
      </c>
      <c r="W9" s="190">
        <v>1166382034.47</v>
      </c>
      <c r="X9" s="190">
        <v>776169353.77999997</v>
      </c>
      <c r="Y9" s="190">
        <v>359530187.44999999</v>
      </c>
      <c r="Z9" s="190">
        <v>1482340908.6500001</v>
      </c>
      <c r="AA9" s="190">
        <v>1173732261.54</v>
      </c>
      <c r="AB9" s="190">
        <v>534231845.31</v>
      </c>
      <c r="AC9" s="190">
        <v>235862570.50999999</v>
      </c>
      <c r="AD9" s="190">
        <v>1217841360</v>
      </c>
      <c r="AE9" s="190">
        <v>853202817.29999995</v>
      </c>
      <c r="AF9" s="190">
        <v>521332474.60000002</v>
      </c>
      <c r="AG9" s="190">
        <v>238303364.31</v>
      </c>
      <c r="AH9" s="190">
        <v>1077062088.3699999</v>
      </c>
      <c r="AI9" s="190">
        <v>775436485.40999997</v>
      </c>
      <c r="AJ9" s="190">
        <v>478880324.41000003</v>
      </c>
      <c r="AK9" s="190">
        <v>217513666.13</v>
      </c>
      <c r="AL9" s="190">
        <v>899709500.05999994</v>
      </c>
      <c r="AM9" s="190">
        <v>554972324.38</v>
      </c>
      <c r="AN9" s="190">
        <v>340190388.22000003</v>
      </c>
      <c r="AO9" s="190">
        <v>163726144.58000001</v>
      </c>
      <c r="AP9" s="190">
        <v>759141352.00999999</v>
      </c>
      <c r="AQ9" s="190">
        <v>528160805.45999998</v>
      </c>
      <c r="AR9" s="190">
        <v>342386795.98000002</v>
      </c>
      <c r="AS9" s="190">
        <v>144957146.94999999</v>
      </c>
      <c r="AT9" s="190">
        <v>638911611.90999997</v>
      </c>
      <c r="AU9" s="190">
        <v>434563880.16000003</v>
      </c>
      <c r="AV9" s="190">
        <v>280669108.04000002</v>
      </c>
      <c r="AW9" s="190">
        <v>123108354.90000001</v>
      </c>
      <c r="AX9" s="190">
        <v>564132285.63</v>
      </c>
      <c r="AY9" s="190">
        <v>362108855.76999998</v>
      </c>
      <c r="AZ9" s="190">
        <v>241592698</v>
      </c>
      <c r="BA9" s="190">
        <v>100067356.54000001</v>
      </c>
      <c r="BB9" s="190">
        <v>516323877.29000002</v>
      </c>
      <c r="BC9" s="190">
        <v>363413451.38</v>
      </c>
      <c r="BD9" s="190">
        <v>265771022.94</v>
      </c>
      <c r="BE9" s="190">
        <v>117285447.89</v>
      </c>
      <c r="BF9" s="190">
        <v>584589106.21000004</v>
      </c>
      <c r="BG9" s="190">
        <v>387049001.74000001</v>
      </c>
      <c r="BH9" s="190">
        <v>266947677.38</v>
      </c>
      <c r="BI9" s="190">
        <v>128116416.59</v>
      </c>
      <c r="BJ9" s="190">
        <v>450852411.87</v>
      </c>
      <c r="BK9" s="190">
        <v>303466718.38999999</v>
      </c>
      <c r="BL9" s="190">
        <v>196504881.38999999</v>
      </c>
      <c r="BM9" s="190">
        <v>100897170.67</v>
      </c>
      <c r="BN9" s="190">
        <v>601321222.13999999</v>
      </c>
      <c r="BO9" s="190">
        <v>362501878.05000001</v>
      </c>
      <c r="BP9" s="190">
        <v>219744265.62</v>
      </c>
      <c r="BQ9" s="190">
        <v>74400649.650000006</v>
      </c>
      <c r="BR9" s="190">
        <v>438597820</v>
      </c>
      <c r="BS9" s="190">
        <v>164511244.80000001</v>
      </c>
      <c r="BT9" s="190">
        <v>434314834.51999998</v>
      </c>
      <c r="BU9" s="190">
        <v>131075063.06999999</v>
      </c>
      <c r="BV9" s="190">
        <v>377039988.44999999</v>
      </c>
      <c r="BW9" s="190">
        <v>118137266.47</v>
      </c>
      <c r="BX9" s="190">
        <v>67592013.680000007</v>
      </c>
      <c r="BY9" s="190">
        <v>33930334.380000003</v>
      </c>
      <c r="BZ9" s="190">
        <v>79345908.530000001</v>
      </c>
      <c r="CA9" s="190">
        <v>0</v>
      </c>
      <c r="CB9" s="190">
        <v>120362071.26000001</v>
      </c>
      <c r="CC9" s="190">
        <v>0</v>
      </c>
      <c r="CD9" s="190">
        <v>168183396.69999999</v>
      </c>
      <c r="CE9" s="190">
        <v>0</v>
      </c>
      <c r="CF9" s="190">
        <v>0</v>
      </c>
      <c r="CG9" s="190">
        <v>0</v>
      </c>
      <c r="CH9" s="190">
        <v>0</v>
      </c>
      <c r="CI9" s="190">
        <v>0</v>
      </c>
      <c r="CJ9" s="190">
        <v>0</v>
      </c>
      <c r="CK9" s="190">
        <v>0</v>
      </c>
      <c r="CL9" s="190">
        <v>0</v>
      </c>
    </row>
    <row r="10" spans="1:90">
      <c r="A10" s="190" t="s">
        <v>197</v>
      </c>
      <c r="B10" s="190">
        <v>-266190477.19999999</v>
      </c>
      <c r="C10" s="190">
        <v>-223003401.37</v>
      </c>
      <c r="D10" s="190">
        <v>-139387543.87</v>
      </c>
      <c r="E10" s="190">
        <v>-30022098.690000001</v>
      </c>
      <c r="F10" s="190">
        <v>-218525078.5</v>
      </c>
      <c r="G10" s="190">
        <v>-185063057.88999999</v>
      </c>
      <c r="H10" s="190">
        <v>-126181120.72</v>
      </c>
      <c r="I10" s="190">
        <v>-47618347.409999996</v>
      </c>
      <c r="J10" s="190">
        <v>-283499786.54000002</v>
      </c>
      <c r="K10" s="190">
        <v>-235356508.59</v>
      </c>
      <c r="L10" s="190">
        <v>-158272204.97999999</v>
      </c>
      <c r="M10" s="190">
        <v>-69286065.950000003</v>
      </c>
      <c r="N10" s="190">
        <v>-318083164.19</v>
      </c>
      <c r="O10" s="190">
        <v>-232714382.28</v>
      </c>
      <c r="P10" s="190">
        <v>-138132029.40000001</v>
      </c>
      <c r="Q10" s="190">
        <v>-58736729.450000003</v>
      </c>
      <c r="R10" s="190">
        <v>-227863780.55000001</v>
      </c>
      <c r="S10" s="190">
        <v>-190844994.93000001</v>
      </c>
      <c r="T10" s="190">
        <v>-119308104.13</v>
      </c>
      <c r="U10" s="190">
        <v>-54076508.649999999</v>
      </c>
      <c r="V10" s="190">
        <v>-258834817.97999999</v>
      </c>
      <c r="W10" s="190">
        <v>-194751671.66999999</v>
      </c>
      <c r="X10" s="190">
        <v>-111189186.41</v>
      </c>
      <c r="Y10" s="190">
        <v>-13005963.01</v>
      </c>
      <c r="Z10" s="190">
        <v>-159518248.33000001</v>
      </c>
      <c r="AA10" s="190">
        <v>-147003306.55000001</v>
      </c>
      <c r="AB10" s="190">
        <v>-103599118.69</v>
      </c>
      <c r="AC10" s="190">
        <v>-7717898.0800000001</v>
      </c>
      <c r="AD10" s="190">
        <v>-139850915.75</v>
      </c>
      <c r="AE10" s="190">
        <v>-86436407.409999996</v>
      </c>
      <c r="AF10" s="190">
        <v>-60403988.409999996</v>
      </c>
      <c r="AG10" s="190">
        <v>-17185715.280000001</v>
      </c>
      <c r="AH10" s="190">
        <v>-87600537.700000003</v>
      </c>
      <c r="AI10" s="190">
        <v>-52935929.310000002</v>
      </c>
      <c r="AJ10" s="190">
        <v>-28857004.609999999</v>
      </c>
      <c r="AK10" s="190">
        <v>-7999584.46</v>
      </c>
      <c r="AL10" s="190">
        <v>-86387668.629999995</v>
      </c>
      <c r="AM10" s="190">
        <v>-63976100.18</v>
      </c>
      <c r="AN10" s="190">
        <v>-31004034.359999999</v>
      </c>
      <c r="AO10" s="190">
        <v>-10473263.51</v>
      </c>
      <c r="AP10" s="190">
        <v>-81025713.319999993</v>
      </c>
      <c r="AQ10" s="190">
        <v>-50001404.32</v>
      </c>
      <c r="AR10" s="190">
        <v>-29987967.289999999</v>
      </c>
      <c r="AS10" s="190">
        <v>-9773908.9499999993</v>
      </c>
      <c r="AT10" s="190">
        <v>-36694705.93</v>
      </c>
      <c r="AU10" s="190">
        <v>-22649401.350000001</v>
      </c>
      <c r="AV10" s="190">
        <v>-8345207.46</v>
      </c>
      <c r="AW10" s="190">
        <v>-6288958.1900000004</v>
      </c>
      <c r="AX10" s="190">
        <v>-22650844.379999999</v>
      </c>
      <c r="AY10" s="190">
        <v>-13369914.74</v>
      </c>
      <c r="AZ10" s="190">
        <v>-8061296.04</v>
      </c>
      <c r="BA10" s="190">
        <v>-3526988.6</v>
      </c>
      <c r="BB10" s="190">
        <v>-8333112.9000000004</v>
      </c>
      <c r="BC10" s="190">
        <v>-821838.79</v>
      </c>
      <c r="BD10" s="190">
        <v>-2071650.69</v>
      </c>
      <c r="BE10" s="190">
        <v>-3633490.4</v>
      </c>
      <c r="BF10" s="190">
        <v>-12576168.560000001</v>
      </c>
      <c r="BG10" s="190">
        <v>-7133253.9900000002</v>
      </c>
      <c r="BH10" s="190">
        <v>-2940819.66</v>
      </c>
      <c r="BI10" s="190">
        <v>-2516879.5699999998</v>
      </c>
      <c r="BJ10" s="190">
        <v>8744950.6500000004</v>
      </c>
      <c r="BK10" s="190">
        <v>14650393.49</v>
      </c>
      <c r="BL10" s="190">
        <v>15927037.050000001</v>
      </c>
      <c r="BM10" s="190">
        <v>6393201.8399999999</v>
      </c>
      <c r="BN10" s="190">
        <v>7360831.6900000004</v>
      </c>
      <c r="BO10" s="190">
        <v>8294311.9100000001</v>
      </c>
      <c r="BP10" s="190">
        <v>4854831.74</v>
      </c>
      <c r="BQ10" s="190">
        <v>8338188.3899999997</v>
      </c>
      <c r="BR10" s="190">
        <v>5508116.9500000002</v>
      </c>
      <c r="BS10" s="190">
        <v>3768713.32</v>
      </c>
      <c r="BT10" s="190">
        <v>3410802.03</v>
      </c>
      <c r="BU10" s="190">
        <v>-87429.7</v>
      </c>
      <c r="BV10" s="190">
        <v>-6568664.4100000001</v>
      </c>
      <c r="BW10" s="190">
        <v>5932455.8700000001</v>
      </c>
      <c r="BX10" s="190">
        <v>868607.39</v>
      </c>
      <c r="BY10" s="190">
        <v>17436730.539999999</v>
      </c>
      <c r="BZ10" s="190">
        <v>22884335.809999999</v>
      </c>
      <c r="CA10" s="190">
        <v>0</v>
      </c>
      <c r="CB10" s="190">
        <v>49930619.770000003</v>
      </c>
      <c r="CC10" s="190">
        <v>0</v>
      </c>
      <c r="CD10" s="190">
        <v>24077630.73</v>
      </c>
      <c r="CE10" s="190">
        <v>0</v>
      </c>
      <c r="CF10" s="190">
        <v>0</v>
      </c>
      <c r="CG10" s="190">
        <v>0</v>
      </c>
      <c r="CH10" s="190">
        <v>0</v>
      </c>
      <c r="CI10" s="190">
        <v>0</v>
      </c>
      <c r="CJ10" s="190">
        <v>0</v>
      </c>
      <c r="CK10" s="190">
        <v>0</v>
      </c>
      <c r="CL10" s="190">
        <v>0</v>
      </c>
    </row>
    <row r="11" spans="1:90">
      <c r="A11" s="190" t="s">
        <v>198</v>
      </c>
      <c r="B11" s="190">
        <v>489077.55</v>
      </c>
      <c r="C11" s="190">
        <v>-146349.57</v>
      </c>
      <c r="D11" s="190">
        <v>-4068178.91</v>
      </c>
      <c r="E11" s="190">
        <v>-10858434.189999999</v>
      </c>
      <c r="F11" s="190">
        <v>84893677.329999998</v>
      </c>
      <c r="G11" s="190">
        <v>-16226589.57</v>
      </c>
      <c r="H11" s="190">
        <v>-9017574.5099999998</v>
      </c>
      <c r="I11" s="190">
        <v>-4112806.04</v>
      </c>
      <c r="J11" s="190">
        <v>186234579.59</v>
      </c>
      <c r="K11" s="190">
        <v>64643629.710000001</v>
      </c>
      <c r="L11" s="190">
        <v>75046732.370000005</v>
      </c>
      <c r="M11" s="190">
        <v>15647524.689999999</v>
      </c>
      <c r="N11" s="190">
        <v>243482658.03</v>
      </c>
      <c r="O11" s="190">
        <v>65846370.18</v>
      </c>
      <c r="P11" s="190">
        <v>14682542.59</v>
      </c>
      <c r="Q11" s="190">
        <v>13250351.050000001</v>
      </c>
      <c r="R11" s="190">
        <v>124041702.59</v>
      </c>
      <c r="S11" s="190">
        <v>-20264671.109999999</v>
      </c>
      <c r="T11" s="190">
        <v>-57587392.090000004</v>
      </c>
      <c r="U11" s="190">
        <v>-7060515.9800000004</v>
      </c>
      <c r="V11" s="190">
        <v>96208556.939999998</v>
      </c>
      <c r="W11" s="190">
        <v>11676701.17</v>
      </c>
      <c r="X11" s="190">
        <v>-18826371.219999999</v>
      </c>
      <c r="Y11" s="190">
        <v>-1562904.57</v>
      </c>
      <c r="Z11" s="190">
        <v>53030020.170000002</v>
      </c>
      <c r="AA11" s="190">
        <v>56871380.93</v>
      </c>
      <c r="AB11" s="190">
        <v>14104676.15</v>
      </c>
      <c r="AC11" s="190">
        <v>7056710.9699999997</v>
      </c>
      <c r="AD11" s="190">
        <v>93266157.510000005</v>
      </c>
      <c r="AE11" s="190">
        <v>-25850075.52</v>
      </c>
      <c r="AF11" s="190">
        <v>-8577014.7400000002</v>
      </c>
      <c r="AG11" s="190">
        <v>-31412944.960000001</v>
      </c>
      <c r="AH11" s="190">
        <v>181911146.94999999</v>
      </c>
      <c r="AI11" s="190">
        <v>13196493.310000001</v>
      </c>
      <c r="AJ11" s="190">
        <v>7482781.3399999999</v>
      </c>
      <c r="AK11" s="190">
        <v>-12672540.369999999</v>
      </c>
      <c r="AL11" s="190">
        <v>114686083.62</v>
      </c>
      <c r="AM11" s="190">
        <v>-19531457.43</v>
      </c>
      <c r="AN11" s="190">
        <v>-30637066.32</v>
      </c>
      <c r="AO11" s="190">
        <v>-20831438.170000002</v>
      </c>
      <c r="AP11" s="190">
        <v>115301326.72</v>
      </c>
      <c r="AQ11" s="190">
        <v>-1177585.45</v>
      </c>
      <c r="AR11" s="190">
        <v>36916701.020000003</v>
      </c>
      <c r="AS11" s="190">
        <v>-20066764.449999999</v>
      </c>
      <c r="AT11" s="190">
        <v>43408183.109999999</v>
      </c>
      <c r="AU11" s="190">
        <v>-18687388.780000001</v>
      </c>
      <c r="AV11" s="190">
        <v>-12367470.18</v>
      </c>
      <c r="AW11" s="190">
        <v>-13867980.35</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1460326.26</v>
      </c>
      <c r="BU11" s="190">
        <v>403290.62</v>
      </c>
      <c r="BV11" s="190">
        <v>5380238.0999999996</v>
      </c>
      <c r="BW11" s="190">
        <v>0</v>
      </c>
      <c r="BX11" s="190">
        <v>3018698.48</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c r="A12" s="190" t="s">
        <v>199</v>
      </c>
      <c r="B12" s="190">
        <v>-9120246.5600000005</v>
      </c>
      <c r="C12" s="190">
        <v>-10127393.300000001</v>
      </c>
      <c r="D12" s="190">
        <v>-18242348.899999999</v>
      </c>
      <c r="E12" s="190">
        <v>-340582.65</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row>
    <row r="13" spans="1:90">
      <c r="A13" s="190" t="s">
        <v>200</v>
      </c>
      <c r="B13" s="190">
        <v>307404582.81</v>
      </c>
      <c r="C13" s="190">
        <v>214208115.78</v>
      </c>
      <c r="D13" s="190">
        <v>142435555.63999999</v>
      </c>
      <c r="E13" s="190">
        <v>56228697.509999998</v>
      </c>
      <c r="F13" s="190">
        <v>335160128.07999998</v>
      </c>
      <c r="G13" s="190">
        <v>236500925.87</v>
      </c>
      <c r="H13" s="190">
        <v>155147077.78</v>
      </c>
      <c r="I13" s="190">
        <v>66598248.350000001</v>
      </c>
      <c r="J13" s="190">
        <v>564831382.39999998</v>
      </c>
      <c r="K13" s="190">
        <v>425547452.24000001</v>
      </c>
      <c r="L13" s="190">
        <v>326237733.10000002</v>
      </c>
      <c r="M13" s="190">
        <v>51533212.600000001</v>
      </c>
      <c r="N13" s="190">
        <v>1151206092.8099999</v>
      </c>
      <c r="O13" s="190">
        <v>1143457684.75</v>
      </c>
      <c r="P13" s="190">
        <v>240115838.13999999</v>
      </c>
      <c r="Q13" s="190">
        <v>69799508.150000006</v>
      </c>
      <c r="R13" s="190">
        <v>316311672.64999998</v>
      </c>
      <c r="S13" s="190">
        <v>273831285.44999999</v>
      </c>
      <c r="T13" s="190">
        <v>182282145.13</v>
      </c>
      <c r="U13" s="190">
        <v>90165233.569999993</v>
      </c>
      <c r="V13" s="190">
        <v>243256941.71000001</v>
      </c>
      <c r="W13" s="190">
        <v>135170590.53999999</v>
      </c>
      <c r="X13" s="190">
        <v>52985679.450000003</v>
      </c>
      <c r="Y13" s="190">
        <v>91924218.489999995</v>
      </c>
      <c r="Z13" s="190">
        <v>437060383.77999997</v>
      </c>
      <c r="AA13" s="190">
        <v>381381343.19</v>
      </c>
      <c r="AB13" s="190">
        <v>316779008.56999999</v>
      </c>
      <c r="AC13" s="190">
        <v>230737524.25</v>
      </c>
      <c r="AD13" s="190">
        <v>345448072.76999998</v>
      </c>
      <c r="AE13" s="190">
        <v>266055541.66</v>
      </c>
      <c r="AF13" s="190">
        <v>206154765.75999999</v>
      </c>
      <c r="AG13" s="190">
        <v>95187152.810000002</v>
      </c>
      <c r="AH13" s="190">
        <v>358487050.43000001</v>
      </c>
      <c r="AI13" s="190">
        <v>265225190.31</v>
      </c>
      <c r="AJ13" s="190">
        <v>171484647.58000001</v>
      </c>
      <c r="AK13" s="190">
        <v>80532855.609999999</v>
      </c>
      <c r="AL13" s="190">
        <v>251508369.59</v>
      </c>
      <c r="AM13" s="190">
        <v>201011894.38</v>
      </c>
      <c r="AN13" s="190">
        <v>130525571.23999999</v>
      </c>
      <c r="AO13" s="190">
        <v>48014654.869999997</v>
      </c>
      <c r="AP13" s="190">
        <v>412102974.93000001</v>
      </c>
      <c r="AQ13" s="190">
        <v>202198200.09999999</v>
      </c>
      <c r="AR13" s="190">
        <v>147019454.00999999</v>
      </c>
      <c r="AS13" s="190">
        <v>52705500.049999997</v>
      </c>
      <c r="AT13" s="190">
        <v>251429322.63999999</v>
      </c>
      <c r="AU13" s="190">
        <v>217566698.08000001</v>
      </c>
      <c r="AV13" s="190">
        <v>149175345.75999999</v>
      </c>
      <c r="AW13" s="190">
        <v>28092424.260000002</v>
      </c>
      <c r="AX13" s="190">
        <v>106002085.7</v>
      </c>
      <c r="AY13" s="190">
        <v>78146813.989999995</v>
      </c>
      <c r="AZ13" s="190">
        <v>31508275.550000001</v>
      </c>
      <c r="BA13" s="190">
        <v>6818330.1399999997</v>
      </c>
      <c r="BB13" s="190">
        <v>-52414533.450000003</v>
      </c>
      <c r="BC13" s="190">
        <v>-47415743.689999998</v>
      </c>
      <c r="BD13" s="190">
        <v>-4476487.08</v>
      </c>
      <c r="BE13" s="190">
        <v>13731417.210000001</v>
      </c>
      <c r="BF13" s="190">
        <v>74080792.579999998</v>
      </c>
      <c r="BG13" s="190">
        <v>53634658.140000001</v>
      </c>
      <c r="BH13" s="190">
        <v>44718368.039999999</v>
      </c>
      <c r="BI13" s="190">
        <v>13012623.23</v>
      </c>
      <c r="BJ13" s="190">
        <v>129351232.81999999</v>
      </c>
      <c r="BK13" s="190">
        <v>126231548.87</v>
      </c>
      <c r="BL13" s="190">
        <v>99137772.019999996</v>
      </c>
      <c r="BM13" s="190">
        <v>21058739.870000001</v>
      </c>
      <c r="BN13" s="190">
        <v>80579243.650000006</v>
      </c>
      <c r="BO13" s="190">
        <v>68017088.620000005</v>
      </c>
      <c r="BP13" s="190">
        <v>47536007.049999997</v>
      </c>
      <c r="BQ13" s="190">
        <v>23536334.48</v>
      </c>
      <c r="BR13" s="190">
        <v>47111894.539999999</v>
      </c>
      <c r="BS13" s="190">
        <v>43130624.329999998</v>
      </c>
      <c r="BT13" s="190">
        <v>110636895.03</v>
      </c>
      <c r="BU13" s="190">
        <v>55492097.759999998</v>
      </c>
      <c r="BV13" s="190">
        <v>42252799.109999999</v>
      </c>
      <c r="BW13" s="190">
        <v>-8467811.9100000001</v>
      </c>
      <c r="BX13" s="190">
        <v>44423828.259999998</v>
      </c>
      <c r="BY13" s="190">
        <v>-2405395.41</v>
      </c>
      <c r="BZ13" s="190">
        <v>43588942.600000001</v>
      </c>
      <c r="CA13" s="190">
        <v>2100000</v>
      </c>
      <c r="CB13" s="190">
        <v>5299206.3</v>
      </c>
      <c r="CC13" s="190">
        <v>3033836.53</v>
      </c>
      <c r="CD13" s="190">
        <v>10641347.550000001</v>
      </c>
      <c r="CE13" s="190">
        <v>5790000</v>
      </c>
      <c r="CF13" s="190">
        <v>7729000</v>
      </c>
      <c r="CG13" s="190">
        <v>2092581.44</v>
      </c>
      <c r="CH13" s="190">
        <v>0</v>
      </c>
      <c r="CI13" s="190">
        <v>0</v>
      </c>
      <c r="CJ13" s="190">
        <v>0</v>
      </c>
      <c r="CK13" s="190">
        <v>0</v>
      </c>
      <c r="CL13" s="190">
        <v>0</v>
      </c>
    </row>
    <row r="14" spans="1:90">
      <c r="A14" s="190" t="s">
        <v>201</v>
      </c>
      <c r="B14" s="190">
        <v>304820193.74000001</v>
      </c>
      <c r="C14" s="190">
        <v>212373726.52000001</v>
      </c>
      <c r="D14" s="190">
        <v>141509882.56</v>
      </c>
      <c r="E14" s="190">
        <v>56228697.509999998</v>
      </c>
      <c r="F14" s="190">
        <v>280139998.44999999</v>
      </c>
      <c r="G14" s="190">
        <v>234266318.96000001</v>
      </c>
      <c r="H14" s="190">
        <v>154141558.41</v>
      </c>
      <c r="I14" s="190">
        <v>66598248.350000001</v>
      </c>
      <c r="J14" s="190">
        <v>275673512.30000001</v>
      </c>
      <c r="K14" s="190">
        <v>212366929.50999999</v>
      </c>
      <c r="L14" s="190">
        <v>135412552.55000001</v>
      </c>
      <c r="M14" s="190">
        <v>51533212.600000001</v>
      </c>
      <c r="N14" s="190">
        <v>216718386.62</v>
      </c>
      <c r="O14" s="190">
        <v>215475533.71000001</v>
      </c>
      <c r="P14" s="190">
        <v>160132633.30000001</v>
      </c>
      <c r="Q14" s="190">
        <v>69799508.150000006</v>
      </c>
      <c r="R14" s="190">
        <v>308344285.94</v>
      </c>
      <c r="S14" s="190">
        <v>267878359.22999999</v>
      </c>
      <c r="T14" s="190">
        <v>181016731.13</v>
      </c>
      <c r="U14" s="190">
        <v>90165233.569999993</v>
      </c>
      <c r="V14" s="190">
        <v>367880015.48000002</v>
      </c>
      <c r="W14" s="190">
        <v>300622194.08999997</v>
      </c>
      <c r="X14" s="190">
        <v>210398153.75999999</v>
      </c>
      <c r="Y14" s="190">
        <v>90435164.069999993</v>
      </c>
      <c r="Z14" s="190">
        <v>280633741.67000002</v>
      </c>
      <c r="AA14" s="190">
        <v>228566939.72999999</v>
      </c>
      <c r="AB14" s="190">
        <v>164164241.12</v>
      </c>
      <c r="AC14" s="190">
        <v>78989878.340000004</v>
      </c>
      <c r="AD14" s="190">
        <v>342563567.56999999</v>
      </c>
      <c r="AE14" s="190">
        <v>279997039.87</v>
      </c>
      <c r="AF14" s="190">
        <v>202217265.75999999</v>
      </c>
      <c r="AG14" s="190">
        <v>95149442.810000002</v>
      </c>
      <c r="AH14" s="190">
        <v>366534973.06</v>
      </c>
      <c r="AI14" s="190">
        <v>273398414.92000002</v>
      </c>
      <c r="AJ14" s="190">
        <v>178068309.30000001</v>
      </c>
      <c r="AK14" s="190">
        <v>80554286.239999995</v>
      </c>
      <c r="AL14" s="190">
        <v>247042330.38</v>
      </c>
      <c r="AM14" s="190">
        <v>197074394.38</v>
      </c>
      <c r="AN14" s="190">
        <v>126588071.23999999</v>
      </c>
      <c r="AO14" s="190">
        <v>48014654.869999997</v>
      </c>
      <c r="AP14" s="190">
        <v>236135104.5</v>
      </c>
      <c r="AQ14" s="190">
        <v>197168703.81</v>
      </c>
      <c r="AR14" s="190">
        <v>142283418.91</v>
      </c>
      <c r="AS14" s="190">
        <v>47837272.439999998</v>
      </c>
      <c r="AT14" s="190">
        <v>250408277.59</v>
      </c>
      <c r="AU14" s="190">
        <v>214420749.16999999</v>
      </c>
      <c r="AV14" s="190">
        <v>145953407.36000001</v>
      </c>
      <c r="AW14" s="190">
        <v>28092424.260000002</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c r="CL14" s="190">
        <v>0</v>
      </c>
    </row>
    <row r="15" spans="1:90">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row>
    <row r="16" spans="1:90">
      <c r="A16" s="190" t="s">
        <v>203</v>
      </c>
      <c r="B16" s="190">
        <v>2352969852.6500001</v>
      </c>
      <c r="C16" s="190">
        <v>1974982766.0899999</v>
      </c>
      <c r="D16" s="190">
        <v>1229896488.72</v>
      </c>
      <c r="E16" s="190">
        <v>454956794.07999998</v>
      </c>
      <c r="F16" s="190">
        <v>2625840477.2399998</v>
      </c>
      <c r="G16" s="190">
        <v>2001186408.9200001</v>
      </c>
      <c r="H16" s="190">
        <v>1186938671.0899999</v>
      </c>
      <c r="I16" s="190">
        <v>446887355.66000003</v>
      </c>
      <c r="J16" s="190">
        <v>2633141103.77</v>
      </c>
      <c r="K16" s="190">
        <v>2081254248.6500001</v>
      </c>
      <c r="L16" s="190">
        <v>1296378584.9100001</v>
      </c>
      <c r="M16" s="190">
        <v>423570271.89999998</v>
      </c>
      <c r="N16" s="190">
        <v>2697562624.7600002</v>
      </c>
      <c r="O16" s="190">
        <v>2437235463.29</v>
      </c>
      <c r="P16" s="190">
        <v>958474149.14999998</v>
      </c>
      <c r="Q16" s="190">
        <v>326451148.14999998</v>
      </c>
      <c r="R16" s="190">
        <v>1941809525.53</v>
      </c>
      <c r="S16" s="190">
        <v>1585553099.72</v>
      </c>
      <c r="T16" s="190">
        <v>971312351.96000004</v>
      </c>
      <c r="U16" s="190">
        <v>342044349.00999999</v>
      </c>
      <c r="V16" s="190">
        <v>1726529334.96</v>
      </c>
      <c r="W16" s="190">
        <v>1344634382.2</v>
      </c>
      <c r="X16" s="190">
        <v>726822926.82000005</v>
      </c>
      <c r="Y16" s="190">
        <v>252770439.25</v>
      </c>
      <c r="Z16" s="190">
        <v>1499536126.01</v>
      </c>
      <c r="AA16" s="190">
        <v>1110273319.3199999</v>
      </c>
      <c r="AB16" s="190">
        <v>896512600.79999995</v>
      </c>
      <c r="AC16" s="190">
        <v>453380539.49000001</v>
      </c>
      <c r="AD16" s="190">
        <v>1278677206.76</v>
      </c>
      <c r="AE16" s="190">
        <v>1173152257.1300001</v>
      </c>
      <c r="AF16" s="190">
        <v>777433499.44000006</v>
      </c>
      <c r="AG16" s="190">
        <v>324318818.56</v>
      </c>
      <c r="AH16" s="190">
        <v>1127325368.3499999</v>
      </c>
      <c r="AI16" s="190">
        <v>936485148.63</v>
      </c>
      <c r="AJ16" s="190">
        <v>628417782.76999998</v>
      </c>
      <c r="AK16" s="190">
        <v>287563654.88</v>
      </c>
      <c r="AL16" s="190">
        <v>864579468.21000004</v>
      </c>
      <c r="AM16" s="190">
        <v>840570207.21000004</v>
      </c>
      <c r="AN16" s="190">
        <v>573212679.00999999</v>
      </c>
      <c r="AO16" s="190">
        <v>249477435.05000001</v>
      </c>
      <c r="AP16" s="190">
        <v>1096117214.4300001</v>
      </c>
      <c r="AQ16" s="190">
        <v>853071624.66999996</v>
      </c>
      <c r="AR16" s="190">
        <v>586371314.83000004</v>
      </c>
      <c r="AS16" s="190">
        <v>254110011.83000001</v>
      </c>
      <c r="AT16" s="190">
        <v>993556899.94000006</v>
      </c>
      <c r="AU16" s="190">
        <v>824922939.07000005</v>
      </c>
      <c r="AV16" s="190">
        <v>524227480.18000001</v>
      </c>
      <c r="AW16" s="190">
        <v>178977536.66999999</v>
      </c>
      <c r="AX16" s="190">
        <v>767381707.25999999</v>
      </c>
      <c r="AY16" s="190">
        <v>506226484.08999997</v>
      </c>
      <c r="AZ16" s="190">
        <v>287446405.47000003</v>
      </c>
      <c r="BA16" s="190">
        <v>135730678.43000001</v>
      </c>
      <c r="BB16" s="190">
        <v>547654532.21000004</v>
      </c>
      <c r="BC16" s="190">
        <v>488385311.67000002</v>
      </c>
      <c r="BD16" s="190">
        <v>369406275.92000002</v>
      </c>
      <c r="BE16" s="190">
        <v>179942094.63999999</v>
      </c>
      <c r="BF16" s="190">
        <v>823540491.91999996</v>
      </c>
      <c r="BG16" s="190">
        <v>598261749.86000001</v>
      </c>
      <c r="BH16" s="190">
        <v>437209289.05000001</v>
      </c>
      <c r="BI16" s="190">
        <v>197380259.75</v>
      </c>
      <c r="BJ16" s="190">
        <v>874638513.60000002</v>
      </c>
      <c r="BK16" s="190">
        <v>701533162.53999996</v>
      </c>
      <c r="BL16" s="190">
        <v>449383572.5</v>
      </c>
      <c r="BM16" s="190">
        <v>171182762.50999999</v>
      </c>
      <c r="BN16" s="190">
        <v>739365061.50999999</v>
      </c>
      <c r="BO16" s="190">
        <v>573493375.61000001</v>
      </c>
      <c r="BP16" s="190">
        <v>363001671.57999998</v>
      </c>
      <c r="BQ16" s="190">
        <v>160275666.47999999</v>
      </c>
      <c r="BR16" s="190">
        <v>608125274.37</v>
      </c>
      <c r="BS16" s="190">
        <v>327418325.62</v>
      </c>
      <c r="BT16" s="190">
        <v>572783000.65999997</v>
      </c>
      <c r="BU16" s="190">
        <v>303477899.33999997</v>
      </c>
      <c r="BV16" s="190">
        <v>528134727.93000001</v>
      </c>
      <c r="BW16" s="190">
        <v>251026502.34999999</v>
      </c>
      <c r="BX16" s="190">
        <v>1867954.15</v>
      </c>
      <c r="BY16" s="190">
        <v>-13534602.109999999</v>
      </c>
      <c r="BZ16" s="190">
        <v>86357633.819999993</v>
      </c>
      <c r="CA16" s="190">
        <v>12581696.99</v>
      </c>
      <c r="CB16" s="190">
        <v>12716325.949999999</v>
      </c>
      <c r="CC16" s="190">
        <v>60862087.509999998</v>
      </c>
      <c r="CD16" s="190">
        <v>189954890.66999999</v>
      </c>
      <c r="CE16" s="190">
        <v>129270000</v>
      </c>
      <c r="CF16" s="190">
        <v>189945000</v>
      </c>
      <c r="CG16" s="190">
        <v>116873918.18000001</v>
      </c>
      <c r="CH16" s="190">
        <v>58750000</v>
      </c>
      <c r="CI16" s="190">
        <v>84660000</v>
      </c>
      <c r="CJ16" s="190">
        <v>71460000</v>
      </c>
      <c r="CK16" s="190">
        <v>71300000</v>
      </c>
      <c r="CL16" s="190">
        <v>0</v>
      </c>
    </row>
    <row r="17" spans="1:90">
      <c r="A17" s="190" t="s">
        <v>204</v>
      </c>
      <c r="B17" s="190">
        <v>74060164.5</v>
      </c>
      <c r="C17" s="190">
        <v>3105809.44</v>
      </c>
      <c r="D17" s="190">
        <v>2198030.2200000002</v>
      </c>
      <c r="E17" s="190">
        <v>3095736.49</v>
      </c>
      <c r="F17" s="190">
        <v>75784142.760000005</v>
      </c>
      <c r="G17" s="190">
        <v>2350795.5</v>
      </c>
      <c r="H17" s="190">
        <v>2277869.4300000002</v>
      </c>
      <c r="I17" s="190">
        <v>2184879.2599999998</v>
      </c>
      <c r="J17" s="190">
        <v>139649188.27000001</v>
      </c>
      <c r="K17" s="190">
        <v>12798105.23</v>
      </c>
      <c r="L17" s="190">
        <v>9764258.7599999998</v>
      </c>
      <c r="M17" s="190">
        <v>6117942.0300000003</v>
      </c>
      <c r="N17" s="190">
        <v>521979291.27999997</v>
      </c>
      <c r="O17" s="190">
        <v>177972519.06999999</v>
      </c>
      <c r="P17" s="190">
        <v>169167409.21000001</v>
      </c>
      <c r="Q17" s="190">
        <v>29058164.510000002</v>
      </c>
      <c r="R17" s="190">
        <v>201808816.63</v>
      </c>
      <c r="S17" s="190">
        <v>91903690.239999995</v>
      </c>
      <c r="T17" s="190">
        <v>46909124.68</v>
      </c>
      <c r="U17" s="190">
        <v>24371840.620000001</v>
      </c>
      <c r="V17" s="190">
        <v>362666621.55000001</v>
      </c>
      <c r="W17" s="190">
        <v>98242502.209999993</v>
      </c>
      <c r="X17" s="190">
        <v>19174584.199999999</v>
      </c>
      <c r="Y17" s="190">
        <v>10118244.640000001</v>
      </c>
      <c r="Z17" s="190">
        <v>192673637.22999999</v>
      </c>
      <c r="AA17" s="190">
        <v>92056767.439999998</v>
      </c>
      <c r="AB17" s="190">
        <v>18947273.460000001</v>
      </c>
      <c r="AC17" s="190">
        <v>8176435.25</v>
      </c>
      <c r="AD17" s="190">
        <v>80151438.879999995</v>
      </c>
      <c r="AE17" s="190">
        <v>31589007.170000002</v>
      </c>
      <c r="AF17" s="190">
        <v>15536528.57</v>
      </c>
      <c r="AG17" s="190">
        <v>13408910.380000001</v>
      </c>
      <c r="AH17" s="190">
        <v>127993009.16</v>
      </c>
      <c r="AI17" s="190">
        <v>38574102.659999996</v>
      </c>
      <c r="AJ17" s="190">
        <v>12726212.710000001</v>
      </c>
      <c r="AK17" s="190">
        <v>5580313.0499999998</v>
      </c>
      <c r="AL17" s="190">
        <v>86850035.859999999</v>
      </c>
      <c r="AM17" s="190">
        <v>37492688.969999999</v>
      </c>
      <c r="AN17" s="190">
        <v>22757448.739999998</v>
      </c>
      <c r="AO17" s="190">
        <v>7468249.1100000003</v>
      </c>
      <c r="AP17" s="190">
        <v>51388300.159999996</v>
      </c>
      <c r="AQ17" s="190">
        <v>28336316.5</v>
      </c>
      <c r="AR17" s="190">
        <v>18177502.109999999</v>
      </c>
      <c r="AS17" s="190">
        <v>3090159.25</v>
      </c>
      <c r="AT17" s="190">
        <v>48660223.009999998</v>
      </c>
      <c r="AU17" s="190">
        <v>12381006.789999999</v>
      </c>
      <c r="AV17" s="190">
        <v>5637303.6399999997</v>
      </c>
      <c r="AW17" s="190">
        <v>2129932.0699999998</v>
      </c>
      <c r="AX17" s="190">
        <v>15491563.83</v>
      </c>
      <c r="AY17" s="190">
        <v>9534264.9399999995</v>
      </c>
      <c r="AZ17" s="190">
        <v>7664168.3700000001</v>
      </c>
      <c r="BA17" s="190">
        <v>3366617.27</v>
      </c>
      <c r="BB17" s="190">
        <v>23617149.719999999</v>
      </c>
      <c r="BC17" s="190">
        <v>10395023.369999999</v>
      </c>
      <c r="BD17" s="190">
        <v>3173845.6</v>
      </c>
      <c r="BE17" s="190">
        <v>3600168.2</v>
      </c>
      <c r="BF17" s="190">
        <v>20826106.280000001</v>
      </c>
      <c r="BG17" s="190">
        <v>9893568.7799999993</v>
      </c>
      <c r="BH17" s="190">
        <v>6688522.2000000002</v>
      </c>
      <c r="BI17" s="190">
        <v>2456710.35</v>
      </c>
      <c r="BJ17" s="190">
        <v>98100545.469999999</v>
      </c>
      <c r="BK17" s="190">
        <v>9567937.5899999999</v>
      </c>
      <c r="BL17" s="190">
        <v>4272892.42</v>
      </c>
      <c r="BM17" s="190">
        <v>1214075.9099999999</v>
      </c>
      <c r="BN17" s="190">
        <v>9515790.7400000002</v>
      </c>
      <c r="BO17" s="190">
        <v>5760858.5599999996</v>
      </c>
      <c r="BP17" s="190">
        <v>3321180.24</v>
      </c>
      <c r="BQ17" s="190">
        <v>2460654.1</v>
      </c>
      <c r="BR17" s="190">
        <v>23022268.890000001</v>
      </c>
      <c r="BS17" s="190">
        <v>1334574.96</v>
      </c>
      <c r="BT17" s="190">
        <v>5601648.5300000003</v>
      </c>
      <c r="BU17" s="190">
        <v>1886648.34</v>
      </c>
      <c r="BV17" s="190">
        <v>6357306.6100000003</v>
      </c>
      <c r="BW17" s="190">
        <v>307361.53000000003</v>
      </c>
      <c r="BX17" s="190">
        <v>8109854.0499999998</v>
      </c>
      <c r="BY17" s="190">
        <v>441262.35</v>
      </c>
      <c r="BZ17" s="190">
        <v>237833.84</v>
      </c>
      <c r="CA17" s="190">
        <v>0</v>
      </c>
      <c r="CB17" s="190">
        <v>1274108.6000000001</v>
      </c>
      <c r="CC17" s="190">
        <v>0</v>
      </c>
      <c r="CD17" s="190">
        <v>6279436.8899999997</v>
      </c>
      <c r="CE17" s="190">
        <v>0</v>
      </c>
      <c r="CF17" s="190">
        <v>0</v>
      </c>
      <c r="CG17" s="190">
        <v>1977985.59</v>
      </c>
      <c r="CH17" s="190">
        <v>0</v>
      </c>
      <c r="CI17" s="190">
        <v>0</v>
      </c>
      <c r="CJ17" s="190">
        <v>0</v>
      </c>
      <c r="CK17" s="190">
        <v>0</v>
      </c>
      <c r="CL17" s="190">
        <v>0</v>
      </c>
    </row>
    <row r="18" spans="1:90">
      <c r="A18" s="190" t="s">
        <v>205</v>
      </c>
      <c r="B18" s="190">
        <v>1092151.1399999999</v>
      </c>
      <c r="C18" s="190">
        <v>14373448.109999999</v>
      </c>
      <c r="D18" s="190">
        <v>14250267.470000001</v>
      </c>
      <c r="E18" s="190">
        <v>3833044.71</v>
      </c>
      <c r="F18" s="190">
        <v>549308.51</v>
      </c>
      <c r="G18" s="190">
        <v>3733005.66</v>
      </c>
      <c r="H18" s="190">
        <v>857917.97</v>
      </c>
      <c r="I18" s="190">
        <v>276000.09999999998</v>
      </c>
      <c r="J18" s="190">
        <v>15064470.039999999</v>
      </c>
      <c r="K18" s="190">
        <v>9998188.6300000008</v>
      </c>
      <c r="L18" s="190">
        <v>9682131.8000000007</v>
      </c>
      <c r="M18" s="190">
        <v>663923.23</v>
      </c>
      <c r="N18" s="190">
        <v>24684135.059999999</v>
      </c>
      <c r="O18" s="190">
        <v>57799306.109999999</v>
      </c>
      <c r="P18" s="190">
        <v>10949979.810000001</v>
      </c>
      <c r="Q18" s="190">
        <v>3026171.33</v>
      </c>
      <c r="R18" s="190">
        <v>16909244.280000001</v>
      </c>
      <c r="S18" s="190">
        <v>4247524.62</v>
      </c>
      <c r="T18" s="190">
        <v>4031634.47</v>
      </c>
      <c r="U18" s="190">
        <v>1141529.33</v>
      </c>
      <c r="V18" s="190">
        <v>7624440.9100000001</v>
      </c>
      <c r="W18" s="190">
        <v>3228543.71</v>
      </c>
      <c r="X18" s="190">
        <v>2792955.05</v>
      </c>
      <c r="Y18" s="190">
        <v>1099705.82</v>
      </c>
      <c r="Z18" s="190">
        <v>13071322.82</v>
      </c>
      <c r="AA18" s="190">
        <v>2316865.27</v>
      </c>
      <c r="AB18" s="190">
        <v>1720391.52</v>
      </c>
      <c r="AC18" s="190">
        <v>268699.33</v>
      </c>
      <c r="AD18" s="190">
        <v>6808784.1200000001</v>
      </c>
      <c r="AE18" s="190">
        <v>11910425.74</v>
      </c>
      <c r="AF18" s="190">
        <v>4492054.79</v>
      </c>
      <c r="AG18" s="190">
        <v>1395314.79</v>
      </c>
      <c r="AH18" s="190">
        <v>7170436.9199999999</v>
      </c>
      <c r="AI18" s="190">
        <v>4103621.35</v>
      </c>
      <c r="AJ18" s="190">
        <v>1742479.98</v>
      </c>
      <c r="AK18" s="190">
        <v>725776.18</v>
      </c>
      <c r="AL18" s="190">
        <v>8930671.6400000006</v>
      </c>
      <c r="AM18" s="190">
        <v>4062623.89</v>
      </c>
      <c r="AN18" s="190">
        <v>3092799.68</v>
      </c>
      <c r="AO18" s="190">
        <v>1012822.63</v>
      </c>
      <c r="AP18" s="190">
        <v>27081278.960000001</v>
      </c>
      <c r="AQ18" s="190">
        <v>13648879.35</v>
      </c>
      <c r="AR18" s="190">
        <v>7296709.0999999996</v>
      </c>
      <c r="AS18" s="190">
        <v>1233006.0800000001</v>
      </c>
      <c r="AT18" s="190">
        <v>10027439.890000001</v>
      </c>
      <c r="AU18" s="190">
        <v>5819916.1500000004</v>
      </c>
      <c r="AV18" s="190">
        <v>2744676.31</v>
      </c>
      <c r="AW18" s="190">
        <v>1020668.76</v>
      </c>
      <c r="AX18" s="190">
        <v>8818687.5099999998</v>
      </c>
      <c r="AY18" s="190">
        <v>5408324.4900000002</v>
      </c>
      <c r="AZ18" s="190">
        <v>4572684.83</v>
      </c>
      <c r="BA18" s="190">
        <v>402376.27</v>
      </c>
      <c r="BB18" s="190">
        <v>53805873.270000003</v>
      </c>
      <c r="BC18" s="190">
        <v>41598754.82</v>
      </c>
      <c r="BD18" s="190">
        <v>22003811.780000001</v>
      </c>
      <c r="BE18" s="190">
        <v>7547256.25</v>
      </c>
      <c r="BF18" s="190">
        <v>104276870.45999999</v>
      </c>
      <c r="BG18" s="190">
        <v>19046226.969999999</v>
      </c>
      <c r="BH18" s="190">
        <v>11698550.699999999</v>
      </c>
      <c r="BI18" s="190">
        <v>4970596.67</v>
      </c>
      <c r="BJ18" s="190">
        <v>50026700.240000002</v>
      </c>
      <c r="BK18" s="190">
        <v>34191043.439999998</v>
      </c>
      <c r="BL18" s="190">
        <v>6074649.96</v>
      </c>
      <c r="BM18" s="190">
        <v>1515391.71</v>
      </c>
      <c r="BN18" s="190">
        <v>20818857.329999998</v>
      </c>
      <c r="BO18" s="190">
        <v>8767398.9000000004</v>
      </c>
      <c r="BP18" s="190">
        <v>7355051.3399999999</v>
      </c>
      <c r="BQ18" s="190">
        <v>4385698.42</v>
      </c>
      <c r="BR18" s="190">
        <v>13003709.07</v>
      </c>
      <c r="BS18" s="190">
        <v>3714354.94</v>
      </c>
      <c r="BT18" s="190">
        <v>116829524.23999999</v>
      </c>
      <c r="BU18" s="190">
        <v>1600821.46</v>
      </c>
      <c r="BV18" s="190">
        <v>6018287.25</v>
      </c>
      <c r="BW18" s="190">
        <v>1688374.88</v>
      </c>
      <c r="BX18" s="190">
        <v>1187969.6599999999</v>
      </c>
      <c r="BY18" s="190">
        <v>524526.84</v>
      </c>
      <c r="BZ18" s="190">
        <v>1877884.51</v>
      </c>
      <c r="CA18" s="190">
        <v>0</v>
      </c>
      <c r="CB18" s="190">
        <v>1824215.68</v>
      </c>
      <c r="CC18" s="190">
        <v>0</v>
      </c>
      <c r="CD18" s="190">
        <v>3170951.5</v>
      </c>
      <c r="CE18" s="190">
        <v>0</v>
      </c>
      <c r="CF18" s="190">
        <v>0</v>
      </c>
      <c r="CG18" s="190">
        <v>12347969.720000001</v>
      </c>
      <c r="CH18" s="190">
        <v>0</v>
      </c>
      <c r="CI18" s="190">
        <v>0</v>
      </c>
      <c r="CJ18" s="190">
        <v>0</v>
      </c>
      <c r="CK18" s="190">
        <v>0</v>
      </c>
      <c r="CL18" s="190">
        <v>0</v>
      </c>
    </row>
    <row r="19" spans="1:90">
      <c r="A19" s="190" t="s">
        <v>206</v>
      </c>
      <c r="B19" s="190">
        <v>0</v>
      </c>
      <c r="C19" s="190">
        <v>0</v>
      </c>
      <c r="D19" s="190">
        <v>0</v>
      </c>
      <c r="E19" s="190">
        <v>0</v>
      </c>
      <c r="F19" s="190">
        <v>0</v>
      </c>
      <c r="G19" s="190">
        <v>3365196.22</v>
      </c>
      <c r="H19" s="190">
        <v>774287.22</v>
      </c>
      <c r="I19" s="190">
        <v>205795.72</v>
      </c>
      <c r="J19" s="190">
        <v>5292060.82</v>
      </c>
      <c r="K19" s="190">
        <v>668650.72</v>
      </c>
      <c r="L19" s="190">
        <v>526556</v>
      </c>
      <c r="M19" s="190">
        <v>0</v>
      </c>
      <c r="N19" s="190">
        <v>6501068.5899999999</v>
      </c>
      <c r="O19" s="190">
        <v>12455426.710000001</v>
      </c>
      <c r="P19" s="190">
        <v>10614764.48</v>
      </c>
      <c r="Q19" s="190">
        <v>2565287.4</v>
      </c>
      <c r="R19" s="190">
        <v>14828511.17</v>
      </c>
      <c r="S19" s="190">
        <v>553277.34</v>
      </c>
      <c r="T19" s="190">
        <v>3361263.97</v>
      </c>
      <c r="U19" s="190">
        <v>553277.34</v>
      </c>
      <c r="V19" s="190">
        <v>5426379.3700000001</v>
      </c>
      <c r="W19" s="190">
        <v>1701811.84</v>
      </c>
      <c r="X19" s="190">
        <v>1275648.1599999999</v>
      </c>
      <c r="Y19" s="190">
        <v>698267.84</v>
      </c>
      <c r="Z19" s="190">
        <v>6715665.3399999999</v>
      </c>
      <c r="AA19" s="190">
        <v>2034684.96</v>
      </c>
      <c r="AB19" s="190">
        <v>1474922.64</v>
      </c>
      <c r="AC19" s="190">
        <v>61703</v>
      </c>
      <c r="AD19" s="190">
        <v>4797730.6100000003</v>
      </c>
      <c r="AE19" s="190">
        <v>4304223.68</v>
      </c>
      <c r="AF19" s="190">
        <v>3327942.11</v>
      </c>
      <c r="AG19" s="190">
        <v>687671.65</v>
      </c>
      <c r="AH19" s="190">
        <v>5148816.42</v>
      </c>
      <c r="AI19" s="190">
        <v>2801019.89</v>
      </c>
      <c r="AJ19" s="190">
        <v>779629.21</v>
      </c>
      <c r="AK19" s="190">
        <v>152161.23000000001</v>
      </c>
      <c r="AL19" s="190">
        <v>5354837.24</v>
      </c>
      <c r="AM19" s="190">
        <v>2503192.36</v>
      </c>
      <c r="AN19" s="190">
        <v>1953411.89</v>
      </c>
      <c r="AO19" s="190">
        <v>52354.1</v>
      </c>
      <c r="AP19" s="190">
        <v>12472344.189999999</v>
      </c>
      <c r="AQ19" s="190">
        <v>7772158.21</v>
      </c>
      <c r="AR19" s="190">
        <v>0</v>
      </c>
      <c r="AS19" s="190">
        <v>155624.82999999999</v>
      </c>
      <c r="AT19" s="190">
        <v>2424043.77</v>
      </c>
      <c r="AU19" s="190">
        <v>0</v>
      </c>
      <c r="AV19" s="190">
        <v>1822225.94</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c r="CL19" s="190">
        <v>0</v>
      </c>
    </row>
    <row r="20" spans="1:90">
      <c r="A20" s="190" t="s">
        <v>207</v>
      </c>
      <c r="B20" s="190">
        <v>2425937866.0100002</v>
      </c>
      <c r="C20" s="190">
        <v>1963715127.4200001</v>
      </c>
      <c r="D20" s="190">
        <v>1217844251.47</v>
      </c>
      <c r="E20" s="190">
        <v>454219485.86000001</v>
      </c>
      <c r="F20" s="190">
        <v>2701075311.4899998</v>
      </c>
      <c r="G20" s="190">
        <v>1999804198.76</v>
      </c>
      <c r="H20" s="190">
        <v>1188358622.55</v>
      </c>
      <c r="I20" s="190">
        <v>448796234.81999999</v>
      </c>
      <c r="J20" s="190">
        <v>2757725822</v>
      </c>
      <c r="K20" s="190">
        <v>2084054165.25</v>
      </c>
      <c r="L20" s="190">
        <v>1296460711.8699999</v>
      </c>
      <c r="M20" s="190">
        <v>429024290.69999999</v>
      </c>
      <c r="N20" s="190">
        <v>3194857780.98</v>
      </c>
      <c r="O20" s="190">
        <v>2557408676.25</v>
      </c>
      <c r="P20" s="190">
        <v>1116691578.55</v>
      </c>
      <c r="Q20" s="190">
        <v>352483141.32999998</v>
      </c>
      <c r="R20" s="190">
        <v>2126709097.8800001</v>
      </c>
      <c r="S20" s="190">
        <v>1673209265.3399999</v>
      </c>
      <c r="T20" s="190">
        <v>1014189842.17</v>
      </c>
      <c r="U20" s="190">
        <v>365274660.30000001</v>
      </c>
      <c r="V20" s="190">
        <v>2081571515.5999999</v>
      </c>
      <c r="W20" s="190">
        <v>1439648340.7</v>
      </c>
      <c r="X20" s="190">
        <v>743204555.97000003</v>
      </c>
      <c r="Y20" s="190">
        <v>261788978.06999999</v>
      </c>
      <c r="Z20" s="190">
        <v>1679138440.4200001</v>
      </c>
      <c r="AA20" s="190">
        <v>1200013221.49</v>
      </c>
      <c r="AB20" s="190">
        <v>913739482.74000001</v>
      </c>
      <c r="AC20" s="190">
        <v>461288275.41000003</v>
      </c>
      <c r="AD20" s="190">
        <v>1352019861.52</v>
      </c>
      <c r="AE20" s="190">
        <v>1192830838.5599999</v>
      </c>
      <c r="AF20" s="190">
        <v>788477973.22000003</v>
      </c>
      <c r="AG20" s="190">
        <v>336332414.14999998</v>
      </c>
      <c r="AH20" s="190">
        <v>1248147940.5899999</v>
      </c>
      <c r="AI20" s="190">
        <v>970955629.94000006</v>
      </c>
      <c r="AJ20" s="190">
        <v>639401515.5</v>
      </c>
      <c r="AK20" s="190">
        <v>292418191.75</v>
      </c>
      <c r="AL20" s="190">
        <v>942498832.42999995</v>
      </c>
      <c r="AM20" s="190">
        <v>874000272.28999996</v>
      </c>
      <c r="AN20" s="190">
        <v>592877328.07000005</v>
      </c>
      <c r="AO20" s="190">
        <v>255932861.53</v>
      </c>
      <c r="AP20" s="190">
        <v>1120424235.6300001</v>
      </c>
      <c r="AQ20" s="190">
        <v>867759061.82000005</v>
      </c>
      <c r="AR20" s="190">
        <v>597252107.84000003</v>
      </c>
      <c r="AS20" s="190">
        <v>255967165</v>
      </c>
      <c r="AT20" s="190">
        <v>1032189683.0599999</v>
      </c>
      <c r="AU20" s="190">
        <v>831484029.71000004</v>
      </c>
      <c r="AV20" s="190">
        <v>527120107.50999999</v>
      </c>
      <c r="AW20" s="190">
        <v>180086799.97999999</v>
      </c>
      <c r="AX20" s="190">
        <v>774054583.58000004</v>
      </c>
      <c r="AY20" s="190">
        <v>510352424.54000002</v>
      </c>
      <c r="AZ20" s="190">
        <v>290537889.00999999</v>
      </c>
      <c r="BA20" s="190">
        <v>138694919.43000001</v>
      </c>
      <c r="BB20" s="190">
        <v>517465808.66000003</v>
      </c>
      <c r="BC20" s="190">
        <v>457181580.22000003</v>
      </c>
      <c r="BD20" s="190">
        <v>350576309.74000001</v>
      </c>
      <c r="BE20" s="190">
        <v>175995006.59</v>
      </c>
      <c r="BF20" s="190">
        <v>740089727.74000001</v>
      </c>
      <c r="BG20" s="190">
        <v>589109091.66999996</v>
      </c>
      <c r="BH20" s="190">
        <v>432199260.55000001</v>
      </c>
      <c r="BI20" s="190">
        <v>194866373.43000001</v>
      </c>
      <c r="BJ20" s="190">
        <v>922712358.83000004</v>
      </c>
      <c r="BK20" s="190">
        <v>676910056.69000006</v>
      </c>
      <c r="BL20" s="190">
        <v>447581814.95999998</v>
      </c>
      <c r="BM20" s="190">
        <v>170881446.71000001</v>
      </c>
      <c r="BN20" s="190">
        <v>728061994.91999996</v>
      </c>
      <c r="BO20" s="190">
        <v>570486835.26999998</v>
      </c>
      <c r="BP20" s="190">
        <v>358967800.48000002</v>
      </c>
      <c r="BQ20" s="190">
        <v>158350622.16</v>
      </c>
      <c r="BR20" s="190">
        <v>618143834.19000006</v>
      </c>
      <c r="BS20" s="190">
        <v>325038545.63999999</v>
      </c>
      <c r="BT20" s="190">
        <v>461555124.94999999</v>
      </c>
      <c r="BU20" s="190">
        <v>303763726.22000003</v>
      </c>
      <c r="BV20" s="190">
        <v>528473747.29000002</v>
      </c>
      <c r="BW20" s="190">
        <v>249645489</v>
      </c>
      <c r="BX20" s="190">
        <v>8789838.5399999991</v>
      </c>
      <c r="BY20" s="190">
        <v>-13617866.6</v>
      </c>
      <c r="BZ20" s="190">
        <v>84717583.150000006</v>
      </c>
      <c r="CA20" s="190">
        <v>12581696.99</v>
      </c>
      <c r="CB20" s="190">
        <v>12166218.869999999</v>
      </c>
      <c r="CC20" s="190">
        <v>60862087.509999998</v>
      </c>
      <c r="CD20" s="190">
        <v>193063376.06</v>
      </c>
      <c r="CE20" s="190">
        <v>129270000</v>
      </c>
      <c r="CF20" s="190">
        <v>189945000</v>
      </c>
      <c r="CG20" s="190">
        <v>106503934.05</v>
      </c>
      <c r="CH20" s="190">
        <v>58750000</v>
      </c>
      <c r="CI20" s="190">
        <v>84660000</v>
      </c>
      <c r="CJ20" s="190">
        <v>71460000</v>
      </c>
      <c r="CK20" s="190">
        <v>71300000</v>
      </c>
      <c r="CL20" s="190">
        <v>0</v>
      </c>
    </row>
    <row r="21" spans="1:90">
      <c r="A21" s="190" t="s">
        <v>208</v>
      </c>
      <c r="B21" s="190">
        <v>290220617.51999998</v>
      </c>
      <c r="C21" s="190">
        <v>227658263.59999999</v>
      </c>
      <c r="D21" s="190">
        <v>127760607.8</v>
      </c>
      <c r="E21" s="190">
        <v>59226030.109999999</v>
      </c>
      <c r="F21" s="190">
        <v>339907733.63</v>
      </c>
      <c r="G21" s="190">
        <v>240726737.47999999</v>
      </c>
      <c r="H21" s="190">
        <v>132673082.61</v>
      </c>
      <c r="I21" s="190">
        <v>57078127.969999999</v>
      </c>
      <c r="J21" s="190">
        <v>344119329.13</v>
      </c>
      <c r="K21" s="190">
        <v>236458428.50999999</v>
      </c>
      <c r="L21" s="190">
        <v>131520976.13</v>
      </c>
      <c r="M21" s="190">
        <v>57333063.560000002</v>
      </c>
      <c r="N21" s="190">
        <v>394481905.88999999</v>
      </c>
      <c r="O21" s="190">
        <v>237408339.46000001</v>
      </c>
      <c r="P21" s="190">
        <v>143495446.5</v>
      </c>
      <c r="Q21" s="190">
        <v>60095590.350000001</v>
      </c>
      <c r="R21" s="190">
        <v>326917131.16000003</v>
      </c>
      <c r="S21" s="190">
        <v>259819928.72</v>
      </c>
      <c r="T21" s="190">
        <v>152292514.75</v>
      </c>
      <c r="U21" s="190">
        <v>52811584.189999998</v>
      </c>
      <c r="V21" s="190">
        <v>244560765.30000001</v>
      </c>
      <c r="W21" s="190">
        <v>176598193.36000001</v>
      </c>
      <c r="X21" s="190">
        <v>95189080.349999994</v>
      </c>
      <c r="Y21" s="190">
        <v>46108035.969999999</v>
      </c>
      <c r="Z21" s="190">
        <v>364313757.82999998</v>
      </c>
      <c r="AA21" s="190">
        <v>164225288.47</v>
      </c>
      <c r="AB21" s="190">
        <v>92773729.409999996</v>
      </c>
      <c r="AC21" s="190">
        <v>41866894.789999999</v>
      </c>
      <c r="AD21" s="190">
        <v>173724178.75999999</v>
      </c>
      <c r="AE21" s="190">
        <v>152154272.63</v>
      </c>
      <c r="AF21" s="190">
        <v>94252380.439999998</v>
      </c>
      <c r="AG21" s="190">
        <v>45997808.600000001</v>
      </c>
      <c r="AH21" s="190">
        <v>161628839</v>
      </c>
      <c r="AI21" s="190">
        <v>122115165.42</v>
      </c>
      <c r="AJ21" s="190">
        <v>80839747.829999998</v>
      </c>
      <c r="AK21" s="190">
        <v>35689718.990000002</v>
      </c>
      <c r="AL21" s="190">
        <v>135739249.22999999</v>
      </c>
      <c r="AM21" s="190">
        <v>102234420.34</v>
      </c>
      <c r="AN21" s="190">
        <v>66625921.390000001</v>
      </c>
      <c r="AO21" s="190">
        <v>32520400.399999999</v>
      </c>
      <c r="AP21" s="190">
        <v>153315468.66999999</v>
      </c>
      <c r="AQ21" s="190">
        <v>141560743.21000001</v>
      </c>
      <c r="AR21" s="190">
        <v>99457863.090000004</v>
      </c>
      <c r="AS21" s="190">
        <v>44027374.049999997</v>
      </c>
      <c r="AT21" s="190">
        <v>139283274.08000001</v>
      </c>
      <c r="AU21" s="190">
        <v>132415189.92</v>
      </c>
      <c r="AV21" s="190">
        <v>84352733.560000002</v>
      </c>
      <c r="AW21" s="190">
        <v>29650309.149999999</v>
      </c>
      <c r="AX21" s="190">
        <v>112159737.02</v>
      </c>
      <c r="AY21" s="190">
        <v>68131511.010000005</v>
      </c>
      <c r="AZ21" s="190">
        <v>41356766.380000003</v>
      </c>
      <c r="BA21" s="190">
        <v>21261539.25</v>
      </c>
      <c r="BB21" s="190">
        <v>108609995.86</v>
      </c>
      <c r="BC21" s="190">
        <v>94004327.269999996</v>
      </c>
      <c r="BD21" s="190">
        <v>67862554.450000003</v>
      </c>
      <c r="BE21" s="190">
        <v>28974955.960000001</v>
      </c>
      <c r="BF21" s="190">
        <v>132468882.01000001</v>
      </c>
      <c r="BG21" s="190">
        <v>93637200.370000005</v>
      </c>
      <c r="BH21" s="190">
        <v>65867600.789999999</v>
      </c>
      <c r="BI21" s="190">
        <v>32955130.91</v>
      </c>
      <c r="BJ21" s="190">
        <v>155946328.93000001</v>
      </c>
      <c r="BK21" s="190">
        <v>108366137.34</v>
      </c>
      <c r="BL21" s="190">
        <v>68867283.900000006</v>
      </c>
      <c r="BM21" s="190">
        <v>28006866.879999999</v>
      </c>
      <c r="BN21" s="190">
        <v>143668257.24000001</v>
      </c>
      <c r="BO21" s="190">
        <v>98765977.599999994</v>
      </c>
      <c r="BP21" s="190">
        <v>64164786.920000002</v>
      </c>
      <c r="BQ21" s="190">
        <v>25321619.559999999</v>
      </c>
      <c r="BR21" s="190">
        <v>113460021.93000001</v>
      </c>
      <c r="BS21" s="190">
        <v>52431401.840000004</v>
      </c>
      <c r="BT21" s="190">
        <v>100791733.87</v>
      </c>
      <c r="BU21" s="190">
        <v>47229977.799999997</v>
      </c>
      <c r="BV21" s="190">
        <v>97455708.069999993</v>
      </c>
      <c r="BW21" s="190">
        <v>39232814.829999998</v>
      </c>
      <c r="BX21" s="190">
        <v>2796995.65</v>
      </c>
      <c r="BY21" s="190">
        <v>0</v>
      </c>
      <c r="BZ21" s="190">
        <v>8176697.29</v>
      </c>
      <c r="CA21" s="190">
        <v>1624615.5</v>
      </c>
      <c r="CB21" s="190">
        <v>1799885.61</v>
      </c>
      <c r="CC21" s="190">
        <v>9698012.9700000007</v>
      </c>
      <c r="CD21" s="190">
        <v>28336126.850000001</v>
      </c>
      <c r="CE21" s="190">
        <v>19730000</v>
      </c>
      <c r="CF21" s="190">
        <v>27810000</v>
      </c>
      <c r="CG21" s="190">
        <v>16447145.279999999</v>
      </c>
      <c r="CH21" s="190">
        <v>4330000</v>
      </c>
      <c r="CI21" s="190">
        <v>4220000</v>
      </c>
      <c r="CJ21" s="190">
        <v>12510000</v>
      </c>
      <c r="CK21" s="190">
        <v>3630000</v>
      </c>
      <c r="CL21" s="190">
        <v>0</v>
      </c>
    </row>
    <row r="22" spans="1:90">
      <c r="A22" s="190" t="s">
        <v>209</v>
      </c>
      <c r="B22" s="190">
        <v>2135717248.49</v>
      </c>
      <c r="C22" s="190">
        <v>1736056863.8199999</v>
      </c>
      <c r="D22" s="190">
        <v>1090083643.6700001</v>
      </c>
      <c r="E22" s="190">
        <v>394993455.75</v>
      </c>
      <c r="F22" s="190">
        <v>2361167577.8600001</v>
      </c>
      <c r="G22" s="190">
        <v>1759077461.28</v>
      </c>
      <c r="H22" s="190">
        <v>1055685539.9400001</v>
      </c>
      <c r="I22" s="190">
        <v>391718106.85000002</v>
      </c>
      <c r="J22" s="190">
        <v>2413606492.8699999</v>
      </c>
      <c r="K22" s="190">
        <v>1847595736.74</v>
      </c>
      <c r="L22" s="190">
        <v>1164939735.74</v>
      </c>
      <c r="M22" s="190">
        <v>371691227.13999999</v>
      </c>
      <c r="N22" s="190">
        <v>2800375875.0900002</v>
      </c>
      <c r="O22" s="190">
        <v>2320000336.79</v>
      </c>
      <c r="P22" s="190">
        <v>973196132.04999995</v>
      </c>
      <c r="Q22" s="190">
        <v>292387550.98000002</v>
      </c>
      <c r="R22" s="190">
        <v>1799791966.72</v>
      </c>
      <c r="S22" s="190">
        <v>1413389336.6199999</v>
      </c>
      <c r="T22" s="190">
        <v>861897327.41999996</v>
      </c>
      <c r="U22" s="190">
        <v>312463076.11000001</v>
      </c>
      <c r="V22" s="190">
        <v>1837010750.3</v>
      </c>
      <c r="W22" s="190">
        <v>1263050147.3399999</v>
      </c>
      <c r="X22" s="190">
        <v>648015475.62</v>
      </c>
      <c r="Y22" s="190">
        <v>215680942.09999999</v>
      </c>
      <c r="Z22" s="190">
        <v>1314824682.5899999</v>
      </c>
      <c r="AA22" s="190">
        <v>1035787933.02</v>
      </c>
      <c r="AB22" s="190">
        <v>820965753.33000004</v>
      </c>
      <c r="AC22" s="190">
        <v>419421380.62</v>
      </c>
      <c r="AD22" s="190">
        <v>1178295682.76</v>
      </c>
      <c r="AE22" s="190">
        <v>1040676565.9299999</v>
      </c>
      <c r="AF22" s="190">
        <v>694225592.77999997</v>
      </c>
      <c r="AG22" s="190">
        <v>290334605.55000001</v>
      </c>
      <c r="AH22" s="190">
        <v>1086519101.5899999</v>
      </c>
      <c r="AI22" s="190">
        <v>848840464.51999998</v>
      </c>
      <c r="AJ22" s="190">
        <v>558561767.66999996</v>
      </c>
      <c r="AK22" s="190">
        <v>256728472.75999999</v>
      </c>
      <c r="AL22" s="190">
        <v>806759583.20000005</v>
      </c>
      <c r="AM22" s="190">
        <v>771765851.95000005</v>
      </c>
      <c r="AN22" s="190">
        <v>526251406.68000001</v>
      </c>
      <c r="AO22" s="190">
        <v>223412461.13</v>
      </c>
      <c r="AP22" s="190">
        <v>967108766.96000004</v>
      </c>
      <c r="AQ22" s="190">
        <v>726198318.61000001</v>
      </c>
      <c r="AR22" s="190">
        <v>497794244.75</v>
      </c>
      <c r="AS22" s="190">
        <v>211939790.94999999</v>
      </c>
      <c r="AT22" s="190">
        <v>892906408.98000002</v>
      </c>
      <c r="AU22" s="190">
        <v>699068839.78999996</v>
      </c>
      <c r="AV22" s="190">
        <v>442767373.94999999</v>
      </c>
      <c r="AW22" s="190">
        <v>150436490.83000001</v>
      </c>
      <c r="AX22" s="190">
        <v>661894846.55999994</v>
      </c>
      <c r="AY22" s="190">
        <v>442220913.52999997</v>
      </c>
      <c r="AZ22" s="190">
        <v>249181122.63</v>
      </c>
      <c r="BA22" s="190">
        <v>117433380.18000001</v>
      </c>
      <c r="BB22" s="190">
        <v>408855812.80000001</v>
      </c>
      <c r="BC22" s="190">
        <v>363177252.94999999</v>
      </c>
      <c r="BD22" s="190">
        <v>282713755.29000002</v>
      </c>
      <c r="BE22" s="190">
        <v>147020050.63</v>
      </c>
      <c r="BF22" s="190">
        <v>607620845.73000002</v>
      </c>
      <c r="BG22" s="190">
        <v>495471891.30000001</v>
      </c>
      <c r="BH22" s="190">
        <v>366331659.75999999</v>
      </c>
      <c r="BI22" s="190">
        <v>161911242.52000001</v>
      </c>
      <c r="BJ22" s="190">
        <v>766766029.89999998</v>
      </c>
      <c r="BK22" s="190">
        <v>568543919.35000002</v>
      </c>
      <c r="BL22" s="190">
        <v>378714531.06</v>
      </c>
      <c r="BM22" s="190">
        <v>142874579.83000001</v>
      </c>
      <c r="BN22" s="190">
        <v>584393737.67999995</v>
      </c>
      <c r="BO22" s="190">
        <v>471720857.67000002</v>
      </c>
      <c r="BP22" s="190">
        <v>294803013.56</v>
      </c>
      <c r="BQ22" s="190">
        <v>133029002.59999999</v>
      </c>
      <c r="BR22" s="190">
        <v>504683812.25999999</v>
      </c>
      <c r="BS22" s="190">
        <v>272607143.80000001</v>
      </c>
      <c r="BT22" s="190">
        <v>360763391.07999998</v>
      </c>
      <c r="BU22" s="190">
        <v>256533748.41999999</v>
      </c>
      <c r="BV22" s="190">
        <v>431018039.22000003</v>
      </c>
      <c r="BW22" s="190">
        <v>210412674.16999999</v>
      </c>
      <c r="BX22" s="190">
        <v>5992842.8899999997</v>
      </c>
      <c r="BY22" s="190">
        <v>-13617866.6</v>
      </c>
      <c r="BZ22" s="190">
        <v>76540885.859999999</v>
      </c>
      <c r="CA22" s="190">
        <v>10957081.49</v>
      </c>
      <c r="CB22" s="190">
        <v>10366333.26</v>
      </c>
      <c r="CC22" s="190">
        <v>51164074.539999999</v>
      </c>
      <c r="CD22" s="190">
        <v>164727249.21000001</v>
      </c>
      <c r="CE22" s="190">
        <v>109540000</v>
      </c>
      <c r="CF22" s="190">
        <v>162135000</v>
      </c>
      <c r="CG22" s="190">
        <v>90056788.769999996</v>
      </c>
      <c r="CH22" s="190">
        <v>54430000</v>
      </c>
      <c r="CI22" s="190">
        <v>80440000</v>
      </c>
      <c r="CJ22" s="190">
        <v>58950000</v>
      </c>
      <c r="CK22" s="190">
        <v>67670000</v>
      </c>
      <c r="CL22" s="190">
        <v>0</v>
      </c>
    </row>
    <row r="23" spans="1:90">
      <c r="A23" s="190" t="s">
        <v>210</v>
      </c>
      <c r="B23" s="190">
        <v>1268490377.8599999</v>
      </c>
      <c r="C23" s="190">
        <v>1032456467.22</v>
      </c>
      <c r="D23" s="190">
        <v>653583366.03999996</v>
      </c>
      <c r="E23" s="190">
        <v>238803602.36000001</v>
      </c>
      <c r="F23" s="190">
        <v>1390330531.8</v>
      </c>
      <c r="G23" s="190">
        <v>1045060818.8</v>
      </c>
      <c r="H23" s="190">
        <v>630705169.40999997</v>
      </c>
      <c r="I23" s="190">
        <v>238991845.15000001</v>
      </c>
      <c r="J23" s="190">
        <v>1449090972.8399999</v>
      </c>
      <c r="K23" s="190">
        <v>1142857874.96</v>
      </c>
      <c r="L23" s="190">
        <v>742254955.05999994</v>
      </c>
      <c r="M23" s="190">
        <v>219355821.86000001</v>
      </c>
      <c r="N23" s="190">
        <v>1834572111.9300001</v>
      </c>
      <c r="O23" s="190">
        <v>1619025727.3800001</v>
      </c>
      <c r="P23" s="190">
        <v>551656053.84000003</v>
      </c>
      <c r="Q23" s="190">
        <v>142196490.46000001</v>
      </c>
      <c r="R23" s="190">
        <v>857882099.57000005</v>
      </c>
      <c r="S23" s="190">
        <v>741582103.88999999</v>
      </c>
      <c r="T23" s="190">
        <v>461346680.06999999</v>
      </c>
      <c r="U23" s="190">
        <v>171427591.55000001</v>
      </c>
      <c r="V23" s="190">
        <v>943833546.36000001</v>
      </c>
      <c r="W23" s="190">
        <v>622286203.15999997</v>
      </c>
      <c r="X23" s="190">
        <v>284170982.25999999</v>
      </c>
      <c r="Y23" s="190">
        <v>88005601.909999996</v>
      </c>
      <c r="Z23" s="190">
        <v>703489403.11000001</v>
      </c>
      <c r="AA23" s="190">
        <v>590196572.86000001</v>
      </c>
      <c r="AB23" s="190">
        <v>550047228.63</v>
      </c>
      <c r="AC23" s="190">
        <v>305434485.74000001</v>
      </c>
      <c r="AD23" s="190">
        <v>711480275.78999996</v>
      </c>
      <c r="AE23" s="190">
        <v>649133142.63</v>
      </c>
      <c r="AF23" s="190">
        <v>449910723.80000001</v>
      </c>
      <c r="AG23" s="190">
        <v>190066752.62</v>
      </c>
      <c r="AH23" s="190">
        <v>665718754.99000001</v>
      </c>
      <c r="AI23" s="190">
        <v>529603696.32999998</v>
      </c>
      <c r="AJ23" s="190">
        <v>352609649.94</v>
      </c>
      <c r="AK23" s="190">
        <v>169447974.94999999</v>
      </c>
      <c r="AL23" s="190">
        <v>465741408.69</v>
      </c>
      <c r="AM23" s="190">
        <v>493135407.43000001</v>
      </c>
      <c r="AN23" s="190">
        <v>334956605.76999998</v>
      </c>
      <c r="AO23" s="190">
        <v>136658876.02000001</v>
      </c>
      <c r="AP23" s="190">
        <v>646604833.80999994</v>
      </c>
      <c r="AQ23" s="190">
        <v>467593814.04000002</v>
      </c>
      <c r="AR23" s="190">
        <v>325939746.51999998</v>
      </c>
      <c r="AS23" s="190">
        <v>132406144.48</v>
      </c>
      <c r="AT23" s="190">
        <v>605580532.10000002</v>
      </c>
      <c r="AU23" s="190">
        <v>462700020.13999999</v>
      </c>
      <c r="AV23" s="190">
        <v>297804166.30000001</v>
      </c>
      <c r="AW23" s="190">
        <v>89773214.540000007</v>
      </c>
      <c r="AX23" s="190">
        <v>401514527.35000002</v>
      </c>
      <c r="AY23" s="190">
        <v>256573756.66999999</v>
      </c>
      <c r="AZ23" s="190">
        <v>137612432.38</v>
      </c>
      <c r="BA23" s="190">
        <v>62226459.109999999</v>
      </c>
      <c r="BB23" s="190">
        <v>159443460.78999999</v>
      </c>
      <c r="BC23" s="190">
        <v>133564054.06999999</v>
      </c>
      <c r="BD23" s="190">
        <v>122533552.03</v>
      </c>
      <c r="BE23" s="190">
        <v>73002861.420000002</v>
      </c>
      <c r="BF23" s="190">
        <v>293740978.41000003</v>
      </c>
      <c r="BG23" s="190">
        <v>255376997.08000001</v>
      </c>
      <c r="BH23" s="190">
        <v>194491271.11000001</v>
      </c>
      <c r="BI23" s="190">
        <v>82187262.709999993</v>
      </c>
      <c r="BJ23" s="190">
        <v>412010778.26999998</v>
      </c>
      <c r="BK23" s="190">
        <v>307400101.85000002</v>
      </c>
      <c r="BL23" s="190">
        <v>220268441.96000001</v>
      </c>
      <c r="BM23" s="190">
        <v>73114610.659999996</v>
      </c>
      <c r="BN23" s="190">
        <v>272775662.16000003</v>
      </c>
      <c r="BO23" s="190">
        <v>223940968.40000001</v>
      </c>
      <c r="BP23" s="190">
        <v>134696233.75999999</v>
      </c>
      <c r="BQ23" s="190">
        <v>69034709.5</v>
      </c>
      <c r="BR23" s="190">
        <v>246444551.36000001</v>
      </c>
      <c r="BS23" s="190">
        <v>145308927.72999999</v>
      </c>
      <c r="BT23" s="190">
        <v>155431251.19</v>
      </c>
      <c r="BU23" s="190">
        <v>145360130.50999999</v>
      </c>
      <c r="BV23" s="190">
        <v>244333013.37</v>
      </c>
      <c r="BW23" s="190">
        <v>98950981.099999994</v>
      </c>
      <c r="BX23" s="190">
        <v>10415260.810000001</v>
      </c>
      <c r="BY23" s="190">
        <v>-13617866.6</v>
      </c>
      <c r="BZ23" s="190">
        <v>76540885.859999999</v>
      </c>
      <c r="CA23" s="190">
        <v>10957081.49</v>
      </c>
      <c r="CB23" s="190">
        <v>10366333.26</v>
      </c>
      <c r="CC23" s="190">
        <v>51164074.539999999</v>
      </c>
      <c r="CD23" s="190">
        <v>164727249.21000001</v>
      </c>
      <c r="CE23" s="190">
        <v>109660000</v>
      </c>
      <c r="CF23" s="190">
        <v>162366000</v>
      </c>
      <c r="CG23" s="190">
        <v>90077826.569999993</v>
      </c>
      <c r="CH23" s="190">
        <v>54430000</v>
      </c>
      <c r="CI23" s="190">
        <v>80440000</v>
      </c>
      <c r="CJ23" s="190">
        <v>58950000</v>
      </c>
      <c r="CK23" s="190">
        <v>67670000</v>
      </c>
      <c r="CL23" s="190">
        <v>0</v>
      </c>
    </row>
    <row r="24" spans="1:90">
      <c r="A24" s="190" t="s">
        <v>211</v>
      </c>
      <c r="B24" s="190">
        <v>867226870.63</v>
      </c>
      <c r="C24" s="190">
        <v>703600396.60000002</v>
      </c>
      <c r="D24" s="190">
        <v>436500277.63</v>
      </c>
      <c r="E24" s="190">
        <v>156189853.38999999</v>
      </c>
      <c r="F24" s="190">
        <v>970837046.05999994</v>
      </c>
      <c r="G24" s="190">
        <v>714016642.48000002</v>
      </c>
      <c r="H24" s="190">
        <v>424980370.52999997</v>
      </c>
      <c r="I24" s="190">
        <v>152726261.69999999</v>
      </c>
      <c r="J24" s="190">
        <v>964515520.02999997</v>
      </c>
      <c r="K24" s="190">
        <v>704737861.77999997</v>
      </c>
      <c r="L24" s="190">
        <v>422684780.68000001</v>
      </c>
      <c r="M24" s="190">
        <v>152335405.28</v>
      </c>
      <c r="N24" s="190">
        <v>965803763.15999997</v>
      </c>
      <c r="O24" s="190">
        <v>700974609.40999997</v>
      </c>
      <c r="P24" s="190">
        <v>421540078.20999998</v>
      </c>
      <c r="Q24" s="190">
        <v>150191060.52000001</v>
      </c>
      <c r="R24" s="190">
        <v>941909867.14999998</v>
      </c>
      <c r="S24" s="190">
        <v>671807232.73000002</v>
      </c>
      <c r="T24" s="190">
        <v>400550647.35000002</v>
      </c>
      <c r="U24" s="190">
        <v>141035484.56</v>
      </c>
      <c r="V24" s="190">
        <v>893177203.94000006</v>
      </c>
      <c r="W24" s="190">
        <v>640763944.17999995</v>
      </c>
      <c r="X24" s="190">
        <v>363844493.36000001</v>
      </c>
      <c r="Y24" s="190">
        <v>127675340.19</v>
      </c>
      <c r="Z24" s="190">
        <v>611335279.48000002</v>
      </c>
      <c r="AA24" s="190">
        <v>445591360.16000003</v>
      </c>
      <c r="AB24" s="190">
        <v>270918524.69999999</v>
      </c>
      <c r="AC24" s="190">
        <v>113986894.88</v>
      </c>
      <c r="AD24" s="190">
        <v>466815406.97000003</v>
      </c>
      <c r="AE24" s="190">
        <v>391543423.30000001</v>
      </c>
      <c r="AF24" s="190">
        <v>244314868.97999999</v>
      </c>
      <c r="AG24" s="190">
        <v>100267852.93000001</v>
      </c>
      <c r="AH24" s="190">
        <v>420800346.60000002</v>
      </c>
      <c r="AI24" s="190">
        <v>319236768.19</v>
      </c>
      <c r="AJ24" s="190">
        <v>205952117.72999999</v>
      </c>
      <c r="AK24" s="190">
        <v>87280497.810000002</v>
      </c>
      <c r="AL24" s="190">
        <v>341018174.50999999</v>
      </c>
      <c r="AM24" s="190">
        <v>278630444.51999998</v>
      </c>
      <c r="AN24" s="190">
        <v>191294800.91</v>
      </c>
      <c r="AO24" s="190">
        <v>86753585.109999999</v>
      </c>
      <c r="AP24" s="190">
        <v>320503933.14999998</v>
      </c>
      <c r="AQ24" s="190">
        <v>258604504.56999999</v>
      </c>
      <c r="AR24" s="190">
        <v>171854498.22999999</v>
      </c>
      <c r="AS24" s="190">
        <v>79533646.469999999</v>
      </c>
      <c r="AT24" s="190">
        <v>287325876.88</v>
      </c>
      <c r="AU24" s="190">
        <v>236368819.65000001</v>
      </c>
      <c r="AV24" s="190">
        <v>144963207.65000001</v>
      </c>
      <c r="AW24" s="190">
        <v>60663276.289999999</v>
      </c>
      <c r="AX24" s="190">
        <v>260380319.21000001</v>
      </c>
      <c r="AY24" s="190">
        <v>185647156.86000001</v>
      </c>
      <c r="AZ24" s="190">
        <v>111568690.25</v>
      </c>
      <c r="BA24" s="190">
        <v>55206921.07</v>
      </c>
      <c r="BB24" s="190">
        <v>249412352.00999999</v>
      </c>
      <c r="BC24" s="190">
        <v>229613198.88</v>
      </c>
      <c r="BD24" s="190">
        <v>160180203.25999999</v>
      </c>
      <c r="BE24" s="190">
        <v>74017189.209999993</v>
      </c>
      <c r="BF24" s="190">
        <v>313879867.31999999</v>
      </c>
      <c r="BG24" s="190">
        <v>240094894.22</v>
      </c>
      <c r="BH24" s="190">
        <v>171840388.65000001</v>
      </c>
      <c r="BI24" s="190">
        <v>79723979.810000002</v>
      </c>
      <c r="BJ24" s="190">
        <v>354755251.63</v>
      </c>
      <c r="BK24" s="190">
        <v>261143817.5</v>
      </c>
      <c r="BL24" s="190">
        <v>158446089.09999999</v>
      </c>
      <c r="BM24" s="190">
        <v>69759969.170000002</v>
      </c>
      <c r="BN24" s="190">
        <v>311618075.51999998</v>
      </c>
      <c r="BO24" s="190">
        <v>247779889.27000001</v>
      </c>
      <c r="BP24" s="190">
        <v>160106779.80000001</v>
      </c>
      <c r="BQ24" s="190">
        <v>63994293.100000001</v>
      </c>
      <c r="BR24" s="190">
        <v>258239260.90000001</v>
      </c>
      <c r="BS24" s="190">
        <v>127298216.06999999</v>
      </c>
      <c r="BT24" s="190">
        <v>205332139.88999999</v>
      </c>
      <c r="BU24" s="190">
        <v>111173617.91</v>
      </c>
      <c r="BV24" s="190">
        <v>186685025.84999999</v>
      </c>
      <c r="BW24" s="190">
        <v>111461693.06999999</v>
      </c>
      <c r="BX24" s="190">
        <v>-4422417.92</v>
      </c>
      <c r="BY24" s="190">
        <v>0</v>
      </c>
      <c r="BZ24" s="190">
        <v>0</v>
      </c>
      <c r="CA24" s="190">
        <v>0</v>
      </c>
      <c r="CB24" s="190">
        <v>0</v>
      </c>
      <c r="CC24" s="190">
        <v>0</v>
      </c>
      <c r="CD24" s="190">
        <v>0</v>
      </c>
      <c r="CE24" s="190">
        <v>-120000</v>
      </c>
      <c r="CF24" s="190">
        <v>-231000</v>
      </c>
      <c r="CG24" s="190">
        <v>-21037.8</v>
      </c>
      <c r="CH24" s="190">
        <v>0</v>
      </c>
      <c r="CI24" s="190">
        <v>0</v>
      </c>
      <c r="CJ24" s="190">
        <v>0</v>
      </c>
      <c r="CK24" s="190">
        <v>0</v>
      </c>
      <c r="CL24" s="190">
        <v>0</v>
      </c>
    </row>
    <row r="25" spans="1:90">
      <c r="A25" s="190" t="s">
        <v>212</v>
      </c>
    </row>
    <row r="26" spans="1:90">
      <c r="A26" s="190" t="s">
        <v>213</v>
      </c>
      <c r="B26" s="190">
        <v>1.24</v>
      </c>
      <c r="C26" s="190">
        <v>1.01</v>
      </c>
      <c r="D26" s="190">
        <v>0.64</v>
      </c>
      <c r="E26" s="190">
        <v>0.23</v>
      </c>
      <c r="F26" s="190">
        <v>1.36</v>
      </c>
      <c r="G26" s="190">
        <v>1.02</v>
      </c>
      <c r="H26" s="190">
        <v>0.62</v>
      </c>
      <c r="I26" s="190">
        <v>0.23</v>
      </c>
      <c r="J26" s="190">
        <v>1.42</v>
      </c>
      <c r="K26" s="190">
        <v>1.1200000000000001</v>
      </c>
      <c r="L26" s="190">
        <v>0.73</v>
      </c>
      <c r="M26" s="190">
        <v>0.21</v>
      </c>
      <c r="N26" s="190">
        <v>1.79</v>
      </c>
      <c r="O26" s="190">
        <v>1.58</v>
      </c>
      <c r="P26" s="190">
        <v>0.54</v>
      </c>
      <c r="Q26" s="190">
        <v>0.14000000000000001</v>
      </c>
      <c r="R26" s="190">
        <v>0.84</v>
      </c>
      <c r="S26" s="190">
        <v>0.73</v>
      </c>
      <c r="T26" s="190">
        <v>0.45</v>
      </c>
      <c r="U26" s="190">
        <v>0.17</v>
      </c>
      <c r="V26" s="190">
        <v>0.92</v>
      </c>
      <c r="W26" s="190">
        <v>0.61</v>
      </c>
      <c r="X26" s="190">
        <v>0.28000000000000003</v>
      </c>
      <c r="Y26" s="190">
        <v>8.5999999999999993E-2</v>
      </c>
      <c r="Z26" s="190">
        <v>0.69</v>
      </c>
      <c r="AA26" s="190">
        <v>0.57999999999999996</v>
      </c>
      <c r="AB26" s="190">
        <v>0.54</v>
      </c>
      <c r="AC26" s="190">
        <v>0.29899999999999999</v>
      </c>
      <c r="AD26" s="190">
        <v>0.7</v>
      </c>
      <c r="AE26" s="190">
        <v>0.63</v>
      </c>
      <c r="AF26" s="190">
        <v>0.44</v>
      </c>
      <c r="AG26" s="190">
        <v>0.186</v>
      </c>
      <c r="AH26" s="190">
        <v>0.65</v>
      </c>
      <c r="AI26" s="190">
        <v>0.52</v>
      </c>
      <c r="AJ26" s="190">
        <v>0.34</v>
      </c>
      <c r="AK26" s="190">
        <v>0.16600000000000001</v>
      </c>
      <c r="AL26" s="190">
        <v>0.46</v>
      </c>
      <c r="AM26" s="190">
        <v>0.48199999999999998</v>
      </c>
      <c r="AN26" s="190">
        <v>0.33</v>
      </c>
      <c r="AO26" s="190">
        <v>0.13400000000000001</v>
      </c>
      <c r="AP26" s="190">
        <v>0.63</v>
      </c>
      <c r="AQ26" s="190">
        <v>0.45700000000000002</v>
      </c>
      <c r="AR26" s="190">
        <v>0.38200000000000001</v>
      </c>
      <c r="AS26" s="190">
        <v>0.155</v>
      </c>
      <c r="AT26" s="190">
        <v>0.71099999999999997</v>
      </c>
      <c r="AU26" s="190">
        <v>0.54300000000000004</v>
      </c>
      <c r="AV26" s="190">
        <v>0.34899999999999998</v>
      </c>
      <c r="AW26" s="190">
        <v>0.1053</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c r="CL26" s="190">
        <v>0</v>
      </c>
    </row>
    <row r="27" spans="1:90">
      <c r="A27" s="190" t="s">
        <v>214</v>
      </c>
      <c r="B27" s="190">
        <v>1.24</v>
      </c>
      <c r="C27" s="190">
        <v>1.01</v>
      </c>
      <c r="D27" s="190">
        <v>0.64</v>
      </c>
      <c r="E27" s="190">
        <v>0.23</v>
      </c>
      <c r="F27" s="190">
        <v>1.36</v>
      </c>
      <c r="G27" s="190">
        <v>1.02</v>
      </c>
      <c r="H27" s="190">
        <v>0.62</v>
      </c>
      <c r="I27" s="190">
        <v>0.23</v>
      </c>
      <c r="J27" s="190">
        <v>1.42</v>
      </c>
      <c r="K27" s="190">
        <v>1.1200000000000001</v>
      </c>
      <c r="L27" s="190">
        <v>0.73</v>
      </c>
      <c r="M27" s="190">
        <v>0.21</v>
      </c>
      <c r="N27" s="190">
        <v>1.79</v>
      </c>
      <c r="O27" s="190">
        <v>1.58</v>
      </c>
      <c r="P27" s="190">
        <v>0.54</v>
      </c>
      <c r="Q27" s="190">
        <v>0.14000000000000001</v>
      </c>
      <c r="R27" s="190">
        <v>0.84</v>
      </c>
      <c r="S27" s="190">
        <v>0.73</v>
      </c>
      <c r="T27" s="190">
        <v>0.45</v>
      </c>
      <c r="U27" s="190">
        <v>0.17</v>
      </c>
      <c r="V27" s="190">
        <v>0.92</v>
      </c>
      <c r="W27" s="190">
        <v>0.61</v>
      </c>
      <c r="X27" s="190">
        <v>0.28000000000000003</v>
      </c>
      <c r="Y27" s="190">
        <v>8.5999999999999993E-2</v>
      </c>
      <c r="Z27" s="190">
        <v>0.69</v>
      </c>
      <c r="AA27" s="190">
        <v>0.57999999999999996</v>
      </c>
      <c r="AB27" s="190">
        <v>0.54</v>
      </c>
      <c r="AC27" s="190">
        <v>0.29899999999999999</v>
      </c>
      <c r="AD27" s="190">
        <v>0.7</v>
      </c>
      <c r="AE27" s="190">
        <v>0.63</v>
      </c>
      <c r="AF27" s="190">
        <v>0.44</v>
      </c>
      <c r="AG27" s="190">
        <v>0.186</v>
      </c>
      <c r="AH27" s="190">
        <v>0.65</v>
      </c>
      <c r="AI27" s="190">
        <v>0.52</v>
      </c>
      <c r="AJ27" s="190">
        <v>0.34</v>
      </c>
      <c r="AK27" s="190">
        <v>0.16600000000000001</v>
      </c>
      <c r="AL27" s="190">
        <v>0</v>
      </c>
      <c r="AM27" s="190">
        <v>0.48199999999999998</v>
      </c>
      <c r="AN27" s="190">
        <v>0.33</v>
      </c>
      <c r="AO27" s="190">
        <v>0.13400000000000001</v>
      </c>
      <c r="AP27" s="190">
        <v>0.63</v>
      </c>
      <c r="AQ27" s="190">
        <v>0.45700000000000002</v>
      </c>
      <c r="AR27" s="190">
        <v>0.38200000000000001</v>
      </c>
      <c r="AS27" s="190">
        <v>0.155</v>
      </c>
      <c r="AT27" s="190">
        <v>0.71099999999999997</v>
      </c>
      <c r="AU27" s="190">
        <v>0.54300000000000004</v>
      </c>
      <c r="AV27" s="190">
        <v>0.34899999999999998</v>
      </c>
      <c r="AW27" s="190">
        <v>0.1053</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row>
    <row r="28" spans="1:90">
      <c r="A28" s="190" t="s">
        <v>215</v>
      </c>
      <c r="B28" s="190">
        <v>456001.78</v>
      </c>
      <c r="C28" s="190">
        <v>205783.08</v>
      </c>
      <c r="D28" s="190">
        <v>205783.08</v>
      </c>
      <c r="E28" s="190">
        <v>0</v>
      </c>
      <c r="F28" s="190">
        <v>-48098590.850000001</v>
      </c>
      <c r="G28" s="190">
        <v>-1177249.97</v>
      </c>
      <c r="H28" s="190">
        <v>6556423.4699999997</v>
      </c>
      <c r="I28" s="190">
        <v>8796268.1999999993</v>
      </c>
      <c r="J28" s="190">
        <v>-982788.02</v>
      </c>
      <c r="K28" s="190">
        <v>-28366344.449999999</v>
      </c>
      <c r="L28" s="190">
        <v>-26873141.84</v>
      </c>
      <c r="M28" s="190">
        <v>-21554469.379999999</v>
      </c>
      <c r="N28" s="190">
        <v>5618539.7599999998</v>
      </c>
      <c r="O28" s="190">
        <v>79127152.640000001</v>
      </c>
      <c r="P28" s="190">
        <v>21161153.059999999</v>
      </c>
      <c r="Q28" s="190">
        <v>16491510.01</v>
      </c>
      <c r="R28" s="190">
        <v>12678499.35</v>
      </c>
      <c r="S28" s="190">
        <v>7106429.5199999996</v>
      </c>
      <c r="T28" s="190">
        <v>-10656000.99</v>
      </c>
      <c r="U28" s="190">
        <v>-2020226.36</v>
      </c>
      <c r="V28" s="190">
        <v>-25554739.649999999</v>
      </c>
      <c r="W28" s="190">
        <v>36708517.380000003</v>
      </c>
      <c r="X28" s="190">
        <v>11909951.199999999</v>
      </c>
      <c r="Y28" s="190">
        <v>-570456.94999999995</v>
      </c>
      <c r="Z28" s="190">
        <v>-33989737.82</v>
      </c>
      <c r="AA28" s="190">
        <v>-31340267.109999999</v>
      </c>
      <c r="AB28" s="190">
        <v>2509863.6</v>
      </c>
      <c r="AC28" s="190">
        <v>6875241.0499999998</v>
      </c>
      <c r="AD28" s="190">
        <v>5177803.7</v>
      </c>
      <c r="AE28" s="190">
        <v>4907980.3600000003</v>
      </c>
      <c r="AF28" s="190">
        <v>-287965.93</v>
      </c>
      <c r="AG28" s="190">
        <v>-162495.17000000001</v>
      </c>
      <c r="AH28" s="190">
        <v>4196643.5</v>
      </c>
      <c r="AI28" s="190">
        <v>5330808.12</v>
      </c>
      <c r="AJ28" s="190">
        <v>3920799.22</v>
      </c>
      <c r="AK28" s="190">
        <v>-661729.80000000005</v>
      </c>
      <c r="AL28" s="190">
        <v>57148842.609999999</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row>
    <row r="29" spans="1:90">
      <c r="A29" s="190" t="s">
        <v>216</v>
      </c>
      <c r="B29" s="190">
        <v>2136173250.27</v>
      </c>
      <c r="C29" s="190">
        <v>1736262646.9000001</v>
      </c>
      <c r="D29" s="190">
        <v>1090289426.75</v>
      </c>
      <c r="E29" s="190">
        <v>394993455.75</v>
      </c>
      <c r="F29" s="190">
        <v>2313068987.0100002</v>
      </c>
      <c r="G29" s="190">
        <v>1757900211.3099999</v>
      </c>
      <c r="H29" s="190">
        <v>1062241963.41</v>
      </c>
      <c r="I29" s="190">
        <v>400514375.05000001</v>
      </c>
      <c r="J29" s="190">
        <v>2412623704.8499999</v>
      </c>
      <c r="K29" s="190">
        <v>1819229392.29</v>
      </c>
      <c r="L29" s="190">
        <v>1138066593.9000001</v>
      </c>
      <c r="M29" s="190">
        <v>350136757.75999999</v>
      </c>
      <c r="N29" s="190">
        <v>2805994414.8499999</v>
      </c>
      <c r="O29" s="190">
        <v>2399127489.4299998</v>
      </c>
      <c r="P29" s="190">
        <v>994357285.11000001</v>
      </c>
      <c r="Q29" s="190">
        <v>308879060.99000001</v>
      </c>
      <c r="R29" s="190">
        <v>1812470466.0699999</v>
      </c>
      <c r="S29" s="190">
        <v>1420495766.1400001</v>
      </c>
      <c r="T29" s="190">
        <v>851241326.42999995</v>
      </c>
      <c r="U29" s="190">
        <v>310442849.75</v>
      </c>
      <c r="V29" s="190">
        <v>1811456010.6500001</v>
      </c>
      <c r="W29" s="190">
        <v>1299758664.72</v>
      </c>
      <c r="X29" s="190">
        <v>659925426.82000005</v>
      </c>
      <c r="Y29" s="190">
        <v>215110485.15000001</v>
      </c>
      <c r="Z29" s="190">
        <v>1280834944.77</v>
      </c>
      <c r="AA29" s="190">
        <v>1004447665.91</v>
      </c>
      <c r="AB29" s="190">
        <v>823475616.92999995</v>
      </c>
      <c r="AC29" s="190">
        <v>426296621.67000002</v>
      </c>
      <c r="AD29" s="190">
        <v>1183473486.46</v>
      </c>
      <c r="AE29" s="190">
        <v>1045584546.29</v>
      </c>
      <c r="AF29" s="190">
        <v>693937626.85000002</v>
      </c>
      <c r="AG29" s="190">
        <v>290172110.38</v>
      </c>
      <c r="AH29" s="190">
        <v>1090715745.0899999</v>
      </c>
      <c r="AI29" s="190">
        <v>854171272.63999999</v>
      </c>
      <c r="AJ29" s="190">
        <v>562482566.88999999</v>
      </c>
      <c r="AK29" s="190">
        <v>256066742.96000001</v>
      </c>
      <c r="AL29" s="190">
        <v>863908425.80999994</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c r="CL29" s="190">
        <v>0</v>
      </c>
    </row>
    <row r="30" spans="1:90">
      <c r="A30" s="190" t="s">
        <v>217</v>
      </c>
      <c r="B30" s="190">
        <v>1268946379.6400001</v>
      </c>
      <c r="C30" s="190">
        <v>1032662250.3</v>
      </c>
      <c r="D30" s="190">
        <v>653789149.12</v>
      </c>
      <c r="E30" s="190">
        <v>238803602.36000001</v>
      </c>
      <c r="F30" s="190">
        <v>1342231940.95</v>
      </c>
      <c r="G30" s="190">
        <v>1043883568.83</v>
      </c>
      <c r="H30" s="190">
        <v>637261592.88</v>
      </c>
      <c r="I30" s="190">
        <v>247788113.34999999</v>
      </c>
      <c r="J30" s="190">
        <v>1448108184.8199999</v>
      </c>
      <c r="K30" s="190">
        <v>1114491530.51</v>
      </c>
      <c r="L30" s="190">
        <v>715381813.22000003</v>
      </c>
      <c r="M30" s="190">
        <v>197801352.47999999</v>
      </c>
      <c r="N30" s="190">
        <v>1840190651.6900001</v>
      </c>
      <c r="O30" s="190">
        <v>1698152880.02</v>
      </c>
      <c r="P30" s="190">
        <v>572817206.89999998</v>
      </c>
      <c r="Q30" s="190">
        <v>158688000.47</v>
      </c>
      <c r="R30" s="190">
        <v>870560598.91999996</v>
      </c>
      <c r="S30" s="190">
        <v>748688533.40999997</v>
      </c>
      <c r="T30" s="190">
        <v>450690679.07999998</v>
      </c>
      <c r="U30" s="190">
        <v>169407365.19</v>
      </c>
      <c r="V30" s="190">
        <v>918278806.71000004</v>
      </c>
      <c r="W30" s="190">
        <v>658994720.53999996</v>
      </c>
      <c r="X30" s="190">
        <v>296080933.45999998</v>
      </c>
      <c r="Y30" s="190">
        <v>87435144.959999993</v>
      </c>
      <c r="Z30" s="190">
        <v>669499665.28999996</v>
      </c>
      <c r="AA30" s="190">
        <v>558856305.75</v>
      </c>
      <c r="AB30" s="190">
        <v>552557092.23000002</v>
      </c>
      <c r="AC30" s="190">
        <v>312309726.79000002</v>
      </c>
      <c r="AD30" s="190">
        <v>716658079.49000001</v>
      </c>
      <c r="AE30" s="190">
        <v>654041122.99000001</v>
      </c>
      <c r="AF30" s="190">
        <v>449622757.87</v>
      </c>
      <c r="AG30" s="190">
        <v>189904257.44999999</v>
      </c>
      <c r="AH30" s="190">
        <v>670090287.5</v>
      </c>
      <c r="AI30" s="190">
        <v>535109393.47000003</v>
      </c>
      <c r="AJ30" s="190">
        <v>356705338.18000001</v>
      </c>
      <c r="AK30" s="190">
        <v>168786245.15000001</v>
      </c>
      <c r="AL30" s="190">
        <v>522890251.30000001</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row>
    <row r="31" spans="1:90">
      <c r="A31" s="190" t="s">
        <v>218</v>
      </c>
      <c r="B31" s="190">
        <v>867226870.63</v>
      </c>
      <c r="C31" s="190">
        <v>703600396.60000002</v>
      </c>
      <c r="D31" s="190">
        <v>436500277.63</v>
      </c>
      <c r="E31" s="190">
        <v>156189853.38999999</v>
      </c>
      <c r="F31" s="190">
        <v>970837046.05999994</v>
      </c>
      <c r="G31" s="190">
        <v>714016642.48000002</v>
      </c>
      <c r="H31" s="190">
        <v>424980370.52999997</v>
      </c>
      <c r="I31" s="190">
        <v>152726261.69999999</v>
      </c>
      <c r="J31" s="190">
        <v>964515520.02999997</v>
      </c>
      <c r="K31" s="190">
        <v>704737861.77999997</v>
      </c>
      <c r="L31" s="190">
        <v>422684780.68000001</v>
      </c>
      <c r="M31" s="190">
        <v>152335405.28</v>
      </c>
      <c r="N31" s="190">
        <v>965803763.15999997</v>
      </c>
      <c r="O31" s="190">
        <v>700974609.40999997</v>
      </c>
      <c r="P31" s="190">
        <v>421540078.20999998</v>
      </c>
      <c r="Q31" s="190">
        <v>150191060.52000001</v>
      </c>
      <c r="R31" s="190">
        <v>941909867.14999998</v>
      </c>
      <c r="S31" s="190">
        <v>671807232.73000002</v>
      </c>
      <c r="T31" s="190">
        <v>400550647.35000002</v>
      </c>
      <c r="U31" s="190">
        <v>141035484.56</v>
      </c>
      <c r="V31" s="190">
        <v>893177203.94000006</v>
      </c>
      <c r="W31" s="190">
        <v>640763944.17999995</v>
      </c>
      <c r="X31" s="190">
        <v>363844493.36000001</v>
      </c>
      <c r="Y31" s="190">
        <v>127675340.19</v>
      </c>
      <c r="Z31" s="190">
        <v>611335279.48000002</v>
      </c>
      <c r="AA31" s="190">
        <v>445591360.16000003</v>
      </c>
      <c r="AB31" s="190">
        <v>270918524.69999999</v>
      </c>
      <c r="AC31" s="190">
        <v>113986894.88</v>
      </c>
      <c r="AD31" s="190">
        <v>466815406.97000003</v>
      </c>
      <c r="AE31" s="190">
        <v>391543423.30000001</v>
      </c>
      <c r="AF31" s="190">
        <v>244314868.97999999</v>
      </c>
      <c r="AG31" s="190">
        <v>100267852.93000001</v>
      </c>
      <c r="AH31" s="190">
        <v>420625457.58999997</v>
      </c>
      <c r="AI31" s="190">
        <v>319061879.17000002</v>
      </c>
      <c r="AJ31" s="190">
        <v>205777228.71000001</v>
      </c>
      <c r="AK31" s="190">
        <v>87280497.810000002</v>
      </c>
      <c r="AL31" s="190">
        <v>341018174.50999999</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c r="CL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W77"/>
  <sheetViews>
    <sheetView workbookViewId="0">
      <selection activeCell="A31" sqref="A31"/>
    </sheetView>
  </sheetViews>
  <sheetFormatPr defaultRowHeight="13.5"/>
  <cols>
    <col min="1" max="1" width="54.625" style="190" bestFit="1" customWidth="1"/>
    <col min="2" max="2" width="13.875" style="190" bestFit="1" customWidth="1"/>
    <col min="3" max="5" width="13.875" style="190" hidden="1" customWidth="1"/>
    <col min="6" max="6" width="13.875" style="190" bestFit="1" customWidth="1"/>
    <col min="7" max="9" width="13.875" style="190" hidden="1" customWidth="1"/>
    <col min="10" max="10" width="13.875" style="190" bestFit="1" customWidth="1"/>
    <col min="11" max="12" width="13.875" style="190" hidden="1" customWidth="1"/>
    <col min="13" max="13" width="12.75" style="190" hidden="1" customWidth="1"/>
    <col min="14" max="14" width="13.875" style="190" bestFit="1" customWidth="1"/>
    <col min="15" max="17" width="13.875" style="190" hidden="1" customWidth="1"/>
    <col min="18" max="18" width="13.875" style="190" bestFit="1" customWidth="1"/>
    <col min="19" max="19" width="12.75" style="190" hidden="1" customWidth="1"/>
    <col min="20" max="21" width="13.875" style="190" hidden="1" customWidth="1"/>
    <col min="22" max="22" width="13.875" style="190" bestFit="1" customWidth="1"/>
    <col min="23" max="25" width="13.875" style="190" hidden="1" customWidth="1"/>
    <col min="26" max="26" width="13.875" style="190" bestFit="1" customWidth="1"/>
    <col min="27" max="29" width="13.875" style="190" hidden="1" customWidth="1"/>
    <col min="30" max="30" width="13.875" style="190" bestFit="1" customWidth="1"/>
    <col min="31" max="33" width="13.875" style="190" hidden="1" customWidth="1"/>
    <col min="34" max="34" width="13.875" style="190" bestFit="1" customWidth="1"/>
    <col min="35" max="37" width="13.875" style="190" hidden="1" customWidth="1"/>
    <col min="38" max="38" width="13.875" style="190" bestFit="1" customWidth="1"/>
    <col min="39" max="41" width="13.875" style="190" hidden="1" customWidth="1"/>
    <col min="42" max="42" width="13.875" style="190" bestFit="1" customWidth="1"/>
    <col min="43" max="45" width="13.875" style="190" hidden="1" customWidth="1"/>
    <col min="46" max="46" width="13.875" style="190" bestFit="1" customWidth="1"/>
    <col min="47" max="49" width="13.875" style="190" hidden="1" customWidth="1"/>
    <col min="50" max="50" width="13.875" style="190" bestFit="1" customWidth="1"/>
    <col min="51" max="53" width="13.875" style="190" hidden="1" customWidth="1"/>
    <col min="54" max="54" width="13.875" style="190" bestFit="1" customWidth="1"/>
    <col min="55" max="57" width="13.875" style="190" hidden="1" customWidth="1"/>
    <col min="58" max="58" width="13.875" style="190" bestFit="1" customWidth="1"/>
    <col min="59" max="61" width="13.875" style="190" hidden="1" customWidth="1"/>
    <col min="62" max="62" width="13.875" style="190" bestFit="1" customWidth="1"/>
    <col min="63" max="65" width="13.875" style="190" hidden="1" customWidth="1"/>
    <col min="66" max="66" width="13.875" style="190" bestFit="1" customWidth="1"/>
    <col min="67" max="67" width="13.875" style="190" hidden="1" customWidth="1"/>
    <col min="68" max="68" width="13.875" style="190" bestFit="1" customWidth="1"/>
    <col min="69" max="69" width="13.875" style="190" hidden="1" customWidth="1"/>
    <col min="70" max="70" width="13.875" style="190" bestFit="1" customWidth="1"/>
    <col min="71" max="71" width="13.875" style="190" hidden="1" customWidth="1"/>
    <col min="72" max="72" width="13.875" style="190" bestFit="1" customWidth="1"/>
    <col min="73" max="73" width="13.875" style="190" hidden="1" customWidth="1"/>
    <col min="74" max="74" width="13.875" style="190" bestFit="1" customWidth="1"/>
    <col min="75" max="75" width="9.5" style="190" hidden="1" customWidth="1"/>
    <col min="76" max="16384" width="9" style="190"/>
  </cols>
  <sheetData>
    <row r="1" spans="1:75">
      <c r="A1" s="190">
        <v>600835</v>
      </c>
      <c r="B1" s="190">
        <v>20181231</v>
      </c>
      <c r="C1" s="190">
        <v>20180930</v>
      </c>
      <c r="D1" s="190">
        <v>20180630</v>
      </c>
      <c r="E1" s="190">
        <v>20180331</v>
      </c>
      <c r="F1" s="190">
        <v>20171231</v>
      </c>
      <c r="G1" s="190">
        <v>20170930</v>
      </c>
      <c r="H1" s="190">
        <v>20170630</v>
      </c>
      <c r="I1" s="190">
        <v>20170331</v>
      </c>
      <c r="J1" s="190">
        <v>20161231</v>
      </c>
      <c r="K1" s="190">
        <v>20160930</v>
      </c>
      <c r="L1" s="190">
        <v>20160630</v>
      </c>
      <c r="M1" s="190">
        <v>20160331</v>
      </c>
      <c r="N1" s="190">
        <v>20151231</v>
      </c>
      <c r="O1" s="190">
        <v>20150930</v>
      </c>
      <c r="P1" s="190">
        <v>20150630</v>
      </c>
      <c r="Q1" s="190">
        <v>20150331</v>
      </c>
      <c r="R1" s="190">
        <v>20141231</v>
      </c>
      <c r="S1" s="190">
        <v>20140930</v>
      </c>
      <c r="T1" s="190">
        <v>20140630</v>
      </c>
      <c r="U1" s="190">
        <v>20140331</v>
      </c>
      <c r="V1" s="190">
        <v>20131231</v>
      </c>
      <c r="W1" s="190">
        <v>20130930</v>
      </c>
      <c r="X1" s="190">
        <v>20130630</v>
      </c>
      <c r="Y1" s="190">
        <v>20130331</v>
      </c>
      <c r="Z1" s="190">
        <v>20121231</v>
      </c>
      <c r="AA1" s="190">
        <v>20120930</v>
      </c>
      <c r="AB1" s="190">
        <v>20120630</v>
      </c>
      <c r="AC1" s="190">
        <v>20120331</v>
      </c>
      <c r="AD1" s="190">
        <v>20111231</v>
      </c>
      <c r="AE1" s="190">
        <v>20110930</v>
      </c>
      <c r="AF1" s="190">
        <v>20110630</v>
      </c>
      <c r="AG1" s="190">
        <v>20110331</v>
      </c>
      <c r="AH1" s="190">
        <v>20101231</v>
      </c>
      <c r="AI1" s="190">
        <v>20100930</v>
      </c>
      <c r="AJ1" s="190">
        <v>20100630</v>
      </c>
      <c r="AK1" s="190">
        <v>20100331</v>
      </c>
      <c r="AL1" s="190">
        <v>20091231</v>
      </c>
      <c r="AM1" s="190">
        <v>20090930</v>
      </c>
      <c r="AN1" s="190">
        <v>20090630</v>
      </c>
      <c r="AO1" s="190">
        <v>20090331</v>
      </c>
      <c r="AP1" s="190">
        <v>20081231</v>
      </c>
      <c r="AQ1" s="190">
        <v>20080930</v>
      </c>
      <c r="AR1" s="190">
        <v>20080630</v>
      </c>
      <c r="AS1" s="190">
        <v>20080331</v>
      </c>
      <c r="AT1" s="190">
        <v>20071231</v>
      </c>
      <c r="AU1" s="190">
        <v>20070930</v>
      </c>
      <c r="AV1" s="190">
        <v>20070630</v>
      </c>
      <c r="AW1" s="190">
        <v>20070331</v>
      </c>
      <c r="AX1" s="190">
        <v>20061231</v>
      </c>
      <c r="AY1" s="190">
        <v>20060930</v>
      </c>
      <c r="AZ1" s="190">
        <v>20060630</v>
      </c>
      <c r="BA1" s="190">
        <v>20060331</v>
      </c>
      <c r="BB1" s="190">
        <v>20051231</v>
      </c>
      <c r="BC1" s="190">
        <v>20050930</v>
      </c>
      <c r="BD1" s="190">
        <v>20050630</v>
      </c>
      <c r="BE1" s="190">
        <v>20050331</v>
      </c>
      <c r="BF1" s="190">
        <v>20041231</v>
      </c>
      <c r="BG1" s="190">
        <v>20040930</v>
      </c>
      <c r="BH1" s="190">
        <v>20040630</v>
      </c>
      <c r="BI1" s="190">
        <v>20040331</v>
      </c>
      <c r="BJ1" s="190">
        <v>20031231</v>
      </c>
      <c r="BK1" s="190">
        <v>20030930</v>
      </c>
      <c r="BL1" s="190">
        <v>20030630</v>
      </c>
      <c r="BM1" s="190">
        <v>20030331</v>
      </c>
      <c r="BN1" s="190">
        <v>20021231</v>
      </c>
      <c r="BO1" s="190">
        <v>20020630</v>
      </c>
      <c r="BP1" s="190">
        <v>20011231</v>
      </c>
      <c r="BQ1" s="190">
        <v>20010630</v>
      </c>
      <c r="BR1" s="190">
        <v>20001231</v>
      </c>
      <c r="BS1" s="190">
        <v>20000630</v>
      </c>
      <c r="BT1" s="190">
        <v>19991231</v>
      </c>
      <c r="BU1" s="190">
        <v>19990630</v>
      </c>
      <c r="BV1" s="190">
        <v>19981231</v>
      </c>
      <c r="BW1" s="190">
        <v>19700101</v>
      </c>
    </row>
    <row r="2" spans="1:7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row>
    <row r="3" spans="1:75">
      <c r="A3" s="190" t="s">
        <v>219</v>
      </c>
    </row>
    <row r="4" spans="1:75">
      <c r="A4" s="190" t="s">
        <v>220</v>
      </c>
      <c r="B4" s="190">
        <v>21551644884.849998</v>
      </c>
      <c r="C4" s="190">
        <v>16306225559.65</v>
      </c>
      <c r="D4" s="190">
        <v>10589133022.360001</v>
      </c>
      <c r="E4" s="190">
        <v>5144863934.2299995</v>
      </c>
      <c r="F4" s="190">
        <v>21615471586.720001</v>
      </c>
      <c r="G4" s="190">
        <v>16309796642.459999</v>
      </c>
      <c r="H4" s="190">
        <v>10616235400.49</v>
      </c>
      <c r="I4" s="190">
        <v>5200700279.9200001</v>
      </c>
      <c r="J4" s="190">
        <v>21700262235.91</v>
      </c>
      <c r="K4" s="190">
        <v>16059469594.370001</v>
      </c>
      <c r="L4" s="190">
        <v>10414146211.309999</v>
      </c>
      <c r="M4" s="190">
        <v>4861017188.1800003</v>
      </c>
      <c r="N4" s="190">
        <v>22118931049.43</v>
      </c>
      <c r="O4" s="190">
        <v>16794904023.219999</v>
      </c>
      <c r="P4" s="190">
        <v>10925609399.530001</v>
      </c>
      <c r="Q4" s="190">
        <v>5222057975.54</v>
      </c>
      <c r="R4" s="190">
        <v>25080462458.5</v>
      </c>
      <c r="S4" s="190">
        <v>19423122089.759998</v>
      </c>
      <c r="T4" s="190">
        <v>12152925253.75</v>
      </c>
      <c r="U4" s="190">
        <v>5753362301.7600002</v>
      </c>
      <c r="V4" s="190">
        <v>24362876491.75</v>
      </c>
      <c r="W4" s="190">
        <v>17953117397.18</v>
      </c>
      <c r="X4" s="190">
        <v>11479746545.02</v>
      </c>
      <c r="Y4" s="190">
        <v>5435592112.2799997</v>
      </c>
      <c r="Z4" s="190">
        <v>23713487437.599998</v>
      </c>
      <c r="AA4" s="190">
        <v>17116459111.469999</v>
      </c>
      <c r="AB4" s="190">
        <v>9320542419.0400009</v>
      </c>
      <c r="AC4" s="190">
        <v>4030440463.96</v>
      </c>
      <c r="AD4" s="190">
        <v>18465684448.189999</v>
      </c>
      <c r="AE4" s="190">
        <v>13831613296.459999</v>
      </c>
      <c r="AF4" s="190">
        <v>8828234047.4699993</v>
      </c>
      <c r="AG4" s="190">
        <v>3743149907.7800002</v>
      </c>
      <c r="AH4" s="190">
        <v>16173840511.33</v>
      </c>
      <c r="AI4" s="190">
        <v>11733350434.34</v>
      </c>
      <c r="AJ4" s="190">
        <v>7404760641.7200003</v>
      </c>
      <c r="AK4" s="190">
        <v>3294722423.1999998</v>
      </c>
      <c r="AL4" s="190">
        <v>13826033590.67</v>
      </c>
      <c r="AM4" s="190">
        <v>9980752809.7299995</v>
      </c>
      <c r="AN4" s="190">
        <v>6157262463.6800003</v>
      </c>
      <c r="AO4" s="190">
        <v>2689765070.9099998</v>
      </c>
      <c r="AP4" s="190">
        <v>11500866679.030001</v>
      </c>
      <c r="AQ4" s="190">
        <v>8583509185.2200003</v>
      </c>
      <c r="AR4" s="190">
        <v>5684145774.6400003</v>
      </c>
      <c r="AS4" s="190">
        <v>2438831482.8099999</v>
      </c>
      <c r="AT4" s="190">
        <v>11066783694.620001</v>
      </c>
      <c r="AU4" s="190">
        <v>7604383352.4200001</v>
      </c>
      <c r="AV4" s="190">
        <v>4729115156.0200005</v>
      </c>
      <c r="AW4" s="190">
        <v>1972689134.8599999</v>
      </c>
      <c r="AX4" s="190">
        <v>8875481920.0499992</v>
      </c>
      <c r="AY4" s="190">
        <v>6107895469.0100002</v>
      </c>
      <c r="AZ4" s="190">
        <v>3961296543.5599999</v>
      </c>
      <c r="BA4" s="190">
        <v>1648944862.27</v>
      </c>
      <c r="BB4" s="190">
        <v>7556068715.5500002</v>
      </c>
      <c r="BC4" s="190">
        <v>5313191711.25</v>
      </c>
      <c r="BD4" s="190">
        <v>3613762709.4499998</v>
      </c>
      <c r="BE4" s="190">
        <v>1589031548.52</v>
      </c>
      <c r="BF4" s="190">
        <v>7641177156.1599998</v>
      </c>
      <c r="BG4" s="190">
        <v>5367719831.0699997</v>
      </c>
      <c r="BH4" s="190">
        <v>3436517133.8200002</v>
      </c>
      <c r="BI4" s="190">
        <v>1630715396.5899999</v>
      </c>
      <c r="BJ4" s="190">
        <v>7021176568.6300001</v>
      </c>
      <c r="BK4" s="190">
        <v>4952219867.7700005</v>
      </c>
      <c r="BL4" s="190">
        <v>3020753474.52</v>
      </c>
      <c r="BM4" s="190">
        <v>1256172399.1199999</v>
      </c>
      <c r="BN4" s="190">
        <v>5800437064.4300003</v>
      </c>
      <c r="BO4" s="190">
        <v>2499687582.1500001</v>
      </c>
      <c r="BP4" s="190">
        <v>4718592246.3800001</v>
      </c>
      <c r="BQ4" s="190">
        <v>2179640256.3099999</v>
      </c>
      <c r="BR4" s="190">
        <v>4248239660.5100002</v>
      </c>
      <c r="BS4" s="190">
        <v>1982968753.8900001</v>
      </c>
      <c r="BT4" s="190">
        <v>3947232350.0599999</v>
      </c>
      <c r="BU4" s="190">
        <v>1574224982.78</v>
      </c>
      <c r="BV4" s="190">
        <v>328128663.93000001</v>
      </c>
      <c r="BW4" s="190">
        <v>0</v>
      </c>
    </row>
    <row r="5" spans="1:75">
      <c r="A5" s="190" t="s">
        <v>221</v>
      </c>
      <c r="B5" s="190">
        <v>3580214.18</v>
      </c>
      <c r="C5" s="190">
        <v>5697595.0599999996</v>
      </c>
      <c r="D5" s="190">
        <v>3361043.12</v>
      </c>
      <c r="E5" s="190">
        <v>2202717.13</v>
      </c>
      <c r="F5" s="190">
        <v>9666626.0099999998</v>
      </c>
      <c r="G5" s="190">
        <v>4807652.12</v>
      </c>
      <c r="H5" s="190">
        <v>4807652.12</v>
      </c>
      <c r="I5" s="190">
        <v>4348200.83</v>
      </c>
      <c r="J5" s="190">
        <v>19883106.93</v>
      </c>
      <c r="K5" s="190">
        <v>30806440.859999999</v>
      </c>
      <c r="L5" s="190">
        <v>25748679.18</v>
      </c>
      <c r="M5" s="190">
        <v>24688929.370000001</v>
      </c>
      <c r="N5" s="190">
        <v>38068705.329999998</v>
      </c>
      <c r="O5" s="190">
        <v>29208699.600000001</v>
      </c>
      <c r="P5" s="190">
        <v>22641661.239999998</v>
      </c>
      <c r="Q5" s="190">
        <v>11720028.91</v>
      </c>
      <c r="R5" s="190">
        <v>59663982.75</v>
      </c>
      <c r="S5" s="190">
        <v>53873689.119999997</v>
      </c>
      <c r="T5" s="190">
        <v>45538186.329999998</v>
      </c>
      <c r="U5" s="190">
        <v>13858352.039999999</v>
      </c>
      <c r="V5" s="190">
        <v>66820843.280000001</v>
      </c>
      <c r="W5" s="190">
        <v>37057961.149999999</v>
      </c>
      <c r="X5" s="190">
        <v>32846064.050000001</v>
      </c>
      <c r="Y5" s="190">
        <v>8614742.8000000007</v>
      </c>
      <c r="Z5" s="190">
        <v>61024232.030000001</v>
      </c>
      <c r="AA5" s="190">
        <v>47923626.229999997</v>
      </c>
      <c r="AB5" s="190">
        <v>34824255.009999998</v>
      </c>
      <c r="AC5" s="190">
        <v>14147033.34</v>
      </c>
      <c r="AD5" s="190">
        <v>74523672.459999993</v>
      </c>
      <c r="AE5" s="190">
        <v>58333791.850000001</v>
      </c>
      <c r="AF5" s="190">
        <v>41930615.399999999</v>
      </c>
      <c r="AG5" s="190">
        <v>21354942.379999999</v>
      </c>
      <c r="AH5" s="190">
        <v>61228817.619999997</v>
      </c>
      <c r="AI5" s="190">
        <v>45378740.549999997</v>
      </c>
      <c r="AJ5" s="190">
        <v>26358871.75</v>
      </c>
      <c r="AK5" s="190">
        <v>10323354.49</v>
      </c>
      <c r="AL5" s="190">
        <v>61875637.469999999</v>
      </c>
      <c r="AM5" s="190">
        <v>41973089.009999998</v>
      </c>
      <c r="AN5" s="190">
        <v>30613891.75</v>
      </c>
      <c r="AO5" s="190">
        <v>12042301.199999999</v>
      </c>
      <c r="AP5" s="190">
        <v>92607935.680000007</v>
      </c>
      <c r="AQ5" s="190">
        <v>56572497.229999997</v>
      </c>
      <c r="AR5" s="190">
        <v>38473049.850000001</v>
      </c>
      <c r="AS5" s="190">
        <v>5786869.2199999997</v>
      </c>
      <c r="AT5" s="190">
        <v>60227524.729999997</v>
      </c>
      <c r="AU5" s="190">
        <v>50740094.359999999</v>
      </c>
      <c r="AV5" s="190">
        <v>28299440.969999999</v>
      </c>
      <c r="AW5" s="190">
        <v>13342295.76</v>
      </c>
      <c r="AX5" s="190">
        <v>31472959.699999999</v>
      </c>
      <c r="AY5" s="190">
        <v>4924497.5999999996</v>
      </c>
      <c r="AZ5" s="190">
        <v>2534420.84</v>
      </c>
      <c r="BA5" s="190">
        <v>1174896.8899999999</v>
      </c>
      <c r="BB5" s="190">
        <v>17440244.289999999</v>
      </c>
      <c r="BC5" s="190">
        <v>8335782.5499999998</v>
      </c>
      <c r="BD5" s="190">
        <v>7411374.3099999996</v>
      </c>
      <c r="BE5" s="190">
        <v>1978405.23</v>
      </c>
      <c r="BF5" s="190">
        <v>27785185.52</v>
      </c>
      <c r="BG5" s="190">
        <v>1035929.21</v>
      </c>
      <c r="BH5" s="190">
        <v>2088448.58</v>
      </c>
      <c r="BI5" s="190">
        <v>0</v>
      </c>
      <c r="BJ5" s="190">
        <v>7091888.2199999997</v>
      </c>
      <c r="BK5" s="190">
        <v>2018897.94</v>
      </c>
      <c r="BL5" s="190">
        <v>614294.57999999996</v>
      </c>
      <c r="BM5" s="190">
        <v>675659.9</v>
      </c>
      <c r="BN5" s="190">
        <v>5796784.3499999996</v>
      </c>
      <c r="BO5" s="190">
        <v>3279860.16</v>
      </c>
      <c r="BP5" s="190">
        <v>653800</v>
      </c>
      <c r="BQ5" s="190">
        <v>7695261.9800000004</v>
      </c>
      <c r="BR5" s="190">
        <v>54717.43</v>
      </c>
      <c r="BS5" s="190">
        <v>434866.75</v>
      </c>
      <c r="BT5" s="190">
        <v>35716077.380000003</v>
      </c>
      <c r="BU5" s="190">
        <v>0</v>
      </c>
      <c r="BV5" s="190">
        <v>0</v>
      </c>
      <c r="BW5" s="190">
        <v>0</v>
      </c>
    </row>
    <row r="6" spans="1:75">
      <c r="A6" s="190" t="s">
        <v>222</v>
      </c>
      <c r="B6" s="190">
        <v>244099759.06999999</v>
      </c>
      <c r="C6" s="190">
        <v>151148883.83000001</v>
      </c>
      <c r="D6" s="190">
        <v>118445754.7</v>
      </c>
      <c r="E6" s="190">
        <v>38111532.189999998</v>
      </c>
      <c r="F6" s="190">
        <v>632867375.40999997</v>
      </c>
      <c r="G6" s="190">
        <v>749527336.60000002</v>
      </c>
      <c r="H6" s="190">
        <v>192205269.50999999</v>
      </c>
      <c r="I6" s="190">
        <v>64047620.490000002</v>
      </c>
      <c r="J6" s="190">
        <v>234727892.03999999</v>
      </c>
      <c r="K6" s="190">
        <v>301033700.32999998</v>
      </c>
      <c r="L6" s="190">
        <v>208669095.02000001</v>
      </c>
      <c r="M6" s="190">
        <v>64495491.850000001</v>
      </c>
      <c r="N6" s="190">
        <v>259147405.13</v>
      </c>
      <c r="O6" s="190">
        <v>304900269.31</v>
      </c>
      <c r="P6" s="190">
        <v>236080134.09999999</v>
      </c>
      <c r="Q6" s="190">
        <v>85036438.140000001</v>
      </c>
      <c r="R6" s="190">
        <v>437407078.69</v>
      </c>
      <c r="S6" s="190">
        <v>409125861.63999999</v>
      </c>
      <c r="T6" s="190">
        <v>310652896.92000002</v>
      </c>
      <c r="U6" s="190">
        <v>74995774</v>
      </c>
      <c r="V6" s="190">
        <v>517430145.37</v>
      </c>
      <c r="W6" s="190">
        <v>385430106.38999999</v>
      </c>
      <c r="X6" s="190">
        <v>239107300.65000001</v>
      </c>
      <c r="Y6" s="190">
        <v>62466570.710000001</v>
      </c>
      <c r="Z6" s="190">
        <v>410796502.36000001</v>
      </c>
      <c r="AA6" s="190">
        <v>476263343.74000001</v>
      </c>
      <c r="AB6" s="190">
        <v>223358404.08000001</v>
      </c>
      <c r="AC6" s="190">
        <v>138333242.02000001</v>
      </c>
      <c r="AD6" s="190">
        <v>276472548.31</v>
      </c>
      <c r="AE6" s="190">
        <v>296033402.17000002</v>
      </c>
      <c r="AF6" s="190">
        <v>209028097.56</v>
      </c>
      <c r="AG6" s="190">
        <v>100341889.06999999</v>
      </c>
      <c r="AH6" s="190">
        <v>187238175.28999999</v>
      </c>
      <c r="AI6" s="190">
        <v>224205050.69</v>
      </c>
      <c r="AJ6" s="190">
        <v>125349198.42</v>
      </c>
      <c r="AK6" s="190">
        <v>98941963.370000005</v>
      </c>
      <c r="AL6" s="190">
        <v>193106210.69</v>
      </c>
      <c r="AM6" s="190">
        <v>296121791.95999998</v>
      </c>
      <c r="AN6" s="190">
        <v>164064752.13999999</v>
      </c>
      <c r="AO6" s="190">
        <v>78694478.719999999</v>
      </c>
      <c r="AP6" s="190">
        <v>175194703.24000001</v>
      </c>
      <c r="AQ6" s="190">
        <v>335974851.20999998</v>
      </c>
      <c r="AR6" s="190">
        <v>103340834.84999999</v>
      </c>
      <c r="AS6" s="190">
        <v>102021104.89</v>
      </c>
      <c r="AT6" s="190">
        <v>127212403.66</v>
      </c>
      <c r="AU6" s="190">
        <v>161866179.28999999</v>
      </c>
      <c r="AV6" s="190">
        <v>90610508.780000001</v>
      </c>
      <c r="AW6" s="190">
        <v>34707863.259999998</v>
      </c>
      <c r="AX6" s="190">
        <v>145543011.56999999</v>
      </c>
      <c r="AY6" s="190">
        <v>84528999.150000006</v>
      </c>
      <c r="AZ6" s="190">
        <v>49875377.329999998</v>
      </c>
      <c r="BA6" s="190">
        <v>43895632.109999999</v>
      </c>
      <c r="BB6" s="190">
        <v>141602861.84999999</v>
      </c>
      <c r="BC6" s="190">
        <v>220808392.18000001</v>
      </c>
      <c r="BD6" s="190">
        <v>105924527.55</v>
      </c>
      <c r="BE6" s="190">
        <v>38809555.850000001</v>
      </c>
      <c r="BF6" s="190">
        <v>82212810.480000004</v>
      </c>
      <c r="BG6" s="190">
        <v>334606653.85000002</v>
      </c>
      <c r="BH6" s="190">
        <v>295198019.44</v>
      </c>
      <c r="BI6" s="190">
        <v>46373827.840000004</v>
      </c>
      <c r="BJ6" s="190">
        <v>115396487.28</v>
      </c>
      <c r="BK6" s="190">
        <v>177559757.41999999</v>
      </c>
      <c r="BL6" s="190">
        <v>143782066.5</v>
      </c>
      <c r="BM6" s="190">
        <v>124240621.66</v>
      </c>
      <c r="BN6" s="190">
        <v>123286322.86</v>
      </c>
      <c r="BO6" s="190">
        <v>117489930.61</v>
      </c>
      <c r="BP6" s="190">
        <v>99946815.230000004</v>
      </c>
      <c r="BQ6" s="190">
        <v>137400105.86000001</v>
      </c>
      <c r="BR6" s="190">
        <v>105103922.15000001</v>
      </c>
      <c r="BS6" s="190">
        <v>135312217.36000001</v>
      </c>
      <c r="BT6" s="190">
        <v>96451543.260000005</v>
      </c>
      <c r="BU6" s="190">
        <v>123937154.33</v>
      </c>
      <c r="BV6" s="190">
        <v>4053596.39</v>
      </c>
      <c r="BW6" s="190">
        <v>0</v>
      </c>
    </row>
    <row r="7" spans="1:75">
      <c r="A7" s="190" t="s">
        <v>223</v>
      </c>
      <c r="B7" s="190">
        <v>21799324858.099998</v>
      </c>
      <c r="C7" s="190">
        <v>16463072038.540001</v>
      </c>
      <c r="D7" s="190">
        <v>10710939820.18</v>
      </c>
      <c r="E7" s="190">
        <v>5185178183.5500002</v>
      </c>
      <c r="F7" s="190">
        <v>22258005588.139999</v>
      </c>
      <c r="G7" s="190">
        <v>17064131631.18</v>
      </c>
      <c r="H7" s="190">
        <v>10813248322.120001</v>
      </c>
      <c r="I7" s="190">
        <v>5269096101.2399998</v>
      </c>
      <c r="J7" s="190">
        <v>21954873234.880001</v>
      </c>
      <c r="K7" s="190">
        <v>16391309735.559999</v>
      </c>
      <c r="L7" s="190">
        <v>10648563985.51</v>
      </c>
      <c r="M7" s="190">
        <v>4950201609.3999996</v>
      </c>
      <c r="N7" s="190">
        <v>22416147159.889999</v>
      </c>
      <c r="O7" s="190">
        <v>17129012992.129999</v>
      </c>
      <c r="P7" s="190">
        <v>11184331194.870001</v>
      </c>
      <c r="Q7" s="190">
        <v>5318814442.5900002</v>
      </c>
      <c r="R7" s="190">
        <v>25577533519.939999</v>
      </c>
      <c r="S7" s="190">
        <v>19886121640.52</v>
      </c>
      <c r="T7" s="190">
        <v>12509116337</v>
      </c>
      <c r="U7" s="190">
        <v>5842216427.8000002</v>
      </c>
      <c r="V7" s="190">
        <v>24947127480.400002</v>
      </c>
      <c r="W7" s="190">
        <v>18375605464.720001</v>
      </c>
      <c r="X7" s="190">
        <v>11751699909.719999</v>
      </c>
      <c r="Y7" s="190">
        <v>5506673425.79</v>
      </c>
      <c r="Z7" s="190">
        <v>24185308171.990002</v>
      </c>
      <c r="AA7" s="190">
        <v>17640646081.439999</v>
      </c>
      <c r="AB7" s="190">
        <v>9578725078.1299992</v>
      </c>
      <c r="AC7" s="190">
        <v>4182920739.3200002</v>
      </c>
      <c r="AD7" s="190">
        <v>18816680668.959999</v>
      </c>
      <c r="AE7" s="190">
        <v>14185980490.48</v>
      </c>
      <c r="AF7" s="190">
        <v>9079192760.4300003</v>
      </c>
      <c r="AG7" s="190">
        <v>3864846739.23</v>
      </c>
      <c r="AH7" s="190">
        <v>16422307504.24</v>
      </c>
      <c r="AI7" s="190">
        <v>12002934225.58</v>
      </c>
      <c r="AJ7" s="190">
        <v>7556468711.8900003</v>
      </c>
      <c r="AK7" s="190">
        <v>3403987741.0599999</v>
      </c>
      <c r="AL7" s="190">
        <v>14081015438.83</v>
      </c>
      <c r="AM7" s="190">
        <v>10318847690.700001</v>
      </c>
      <c r="AN7" s="190">
        <v>6351941107.5699997</v>
      </c>
      <c r="AO7" s="190">
        <v>2780501850.8299999</v>
      </c>
      <c r="AP7" s="190">
        <v>11768669317.950001</v>
      </c>
      <c r="AQ7" s="190">
        <v>8976056533.6599998</v>
      </c>
      <c r="AR7" s="190">
        <v>5825959659.3400002</v>
      </c>
      <c r="AS7" s="190">
        <v>2546639456.9200001</v>
      </c>
      <c r="AT7" s="190">
        <v>11254223623.01</v>
      </c>
      <c r="AU7" s="190">
        <v>7816989626.0699997</v>
      </c>
      <c r="AV7" s="190">
        <v>4848025105.7700005</v>
      </c>
      <c r="AW7" s="190">
        <v>2020739293.8800001</v>
      </c>
      <c r="AX7" s="190">
        <v>9052497891.3199997</v>
      </c>
      <c r="AY7" s="190">
        <v>6197348965.7600002</v>
      </c>
      <c r="AZ7" s="190">
        <v>4013706341.73</v>
      </c>
      <c r="BA7" s="190">
        <v>1694015391.27</v>
      </c>
      <c r="BB7" s="190">
        <v>7715111821.6899996</v>
      </c>
      <c r="BC7" s="190">
        <v>5542335885.9799995</v>
      </c>
      <c r="BD7" s="190">
        <v>3727098611.3099999</v>
      </c>
      <c r="BE7" s="190">
        <v>1629819509.5999999</v>
      </c>
      <c r="BF7" s="190">
        <v>7751175152.1599998</v>
      </c>
      <c r="BG7" s="190">
        <v>5703362414.1300001</v>
      </c>
      <c r="BH7" s="190">
        <v>3733803601.8400002</v>
      </c>
      <c r="BI7" s="190">
        <v>1677089224.4300001</v>
      </c>
      <c r="BJ7" s="190">
        <v>7143664944.1300001</v>
      </c>
      <c r="BK7" s="190">
        <v>5131798523.1300001</v>
      </c>
      <c r="BL7" s="190">
        <v>3165149835.5999999</v>
      </c>
      <c r="BM7" s="190">
        <v>1381088680.6800001</v>
      </c>
      <c r="BN7" s="190">
        <v>5929520171.6400003</v>
      </c>
      <c r="BO7" s="190">
        <v>2620457372.9200001</v>
      </c>
      <c r="BP7" s="190">
        <v>4819192861.6099997</v>
      </c>
      <c r="BQ7" s="190">
        <v>2324735624.1500001</v>
      </c>
      <c r="BR7" s="190">
        <v>4353398300.0900002</v>
      </c>
      <c r="BS7" s="190">
        <v>2118715838</v>
      </c>
      <c r="BT7" s="190">
        <v>4079399970.6999998</v>
      </c>
      <c r="BU7" s="190">
        <v>1698162137.1099999</v>
      </c>
      <c r="BV7" s="190">
        <v>332182260.31999999</v>
      </c>
      <c r="BW7" s="190">
        <v>0</v>
      </c>
    </row>
    <row r="8" spans="1:75">
      <c r="A8" s="190" t="s">
        <v>224</v>
      </c>
      <c r="B8" s="190">
        <v>18268869100.650002</v>
      </c>
      <c r="C8" s="190">
        <v>13840162239.280001</v>
      </c>
      <c r="D8" s="190">
        <v>9009777019.5900002</v>
      </c>
      <c r="E8" s="190">
        <v>5306180639.9099998</v>
      </c>
      <c r="F8" s="190">
        <v>17203678491.950001</v>
      </c>
      <c r="G8" s="190">
        <v>12855392471.65</v>
      </c>
      <c r="H8" s="190">
        <v>8491554890.1300001</v>
      </c>
      <c r="I8" s="190">
        <v>4663129326.8100004</v>
      </c>
      <c r="J8" s="190">
        <v>16730042411.68</v>
      </c>
      <c r="K8" s="190">
        <v>11744213838.540001</v>
      </c>
      <c r="L8" s="190">
        <v>7486141286.8800001</v>
      </c>
      <c r="M8" s="190">
        <v>3756004039.3699999</v>
      </c>
      <c r="N8" s="190">
        <v>17029793769.049999</v>
      </c>
      <c r="O8" s="190">
        <v>12354665132.200001</v>
      </c>
      <c r="P8" s="190">
        <v>8503676192.8000002</v>
      </c>
      <c r="Q8" s="190">
        <v>4264344591.1999998</v>
      </c>
      <c r="R8" s="190">
        <v>19202429859.580002</v>
      </c>
      <c r="S8" s="190">
        <v>14705895759.719999</v>
      </c>
      <c r="T8" s="190">
        <v>9289192319.0900002</v>
      </c>
      <c r="U8" s="190">
        <v>4840725271.75</v>
      </c>
      <c r="V8" s="190">
        <v>18615671437.509998</v>
      </c>
      <c r="W8" s="190">
        <v>13762574738.610001</v>
      </c>
      <c r="X8" s="190">
        <v>8770327332.8199997</v>
      </c>
      <c r="Y8" s="190">
        <v>4671083077.4399996</v>
      </c>
      <c r="Z8" s="190">
        <v>17046100647.559999</v>
      </c>
      <c r="AA8" s="190">
        <v>12624415386.879999</v>
      </c>
      <c r="AB8" s="190">
        <v>6625329657.4300003</v>
      </c>
      <c r="AC8" s="190">
        <v>3574963099.9299998</v>
      </c>
      <c r="AD8" s="190">
        <v>14548598306.969999</v>
      </c>
      <c r="AE8" s="190">
        <v>10564596354.42</v>
      </c>
      <c r="AF8" s="190">
        <v>6891803403.6800003</v>
      </c>
      <c r="AG8" s="190">
        <v>3396718299.8600001</v>
      </c>
      <c r="AH8" s="190">
        <v>12207379737.690001</v>
      </c>
      <c r="AI8" s="190">
        <v>8299033371.4099998</v>
      </c>
      <c r="AJ8" s="190">
        <v>5173682553.9399996</v>
      </c>
      <c r="AK8" s="190">
        <v>2701144427.3400002</v>
      </c>
      <c r="AL8" s="190">
        <v>9888646141.4500008</v>
      </c>
      <c r="AM8" s="190">
        <v>6984735961.5500002</v>
      </c>
      <c r="AN8" s="190">
        <v>4374429893.7399998</v>
      </c>
      <c r="AO8" s="190">
        <v>1958747407.95</v>
      </c>
      <c r="AP8" s="190">
        <v>9297697606.5499992</v>
      </c>
      <c r="AQ8" s="190">
        <v>7006740701.7600002</v>
      </c>
      <c r="AR8" s="190">
        <v>4795436914.6300001</v>
      </c>
      <c r="AS8" s="190">
        <v>2343337224.8600001</v>
      </c>
      <c r="AT8" s="190">
        <v>8439301660.3699999</v>
      </c>
      <c r="AU8" s="190">
        <v>5645438824.8199997</v>
      </c>
      <c r="AV8" s="190">
        <v>3653248410.1300001</v>
      </c>
      <c r="AW8" s="190">
        <v>1655223903.1700001</v>
      </c>
      <c r="AX8" s="190">
        <v>6716988667.6199999</v>
      </c>
      <c r="AY8" s="190">
        <v>4366408879.6999998</v>
      </c>
      <c r="AZ8" s="190">
        <v>2990345555.2199998</v>
      </c>
      <c r="BA8" s="190">
        <v>1340659418.1700001</v>
      </c>
      <c r="BB8" s="190">
        <v>6028097285.9399996</v>
      </c>
      <c r="BC8" s="190">
        <v>4407120300.3299999</v>
      </c>
      <c r="BD8" s="190">
        <v>3144336036.7399998</v>
      </c>
      <c r="BE8" s="190">
        <v>1522658299.3800001</v>
      </c>
      <c r="BF8" s="190">
        <v>5614016180.96</v>
      </c>
      <c r="BG8" s="190">
        <v>3872793846.8000002</v>
      </c>
      <c r="BH8" s="190">
        <v>2530998557.7199998</v>
      </c>
      <c r="BI8" s="190">
        <v>1154563908.27</v>
      </c>
      <c r="BJ8" s="190">
        <v>4870597418.2600002</v>
      </c>
      <c r="BK8" s="190">
        <v>3317551949.3499999</v>
      </c>
      <c r="BL8" s="190">
        <v>2135613025.21</v>
      </c>
      <c r="BM8" s="190">
        <v>910503910.89999998</v>
      </c>
      <c r="BN8" s="190">
        <v>3729495973.8099999</v>
      </c>
      <c r="BO8" s="190">
        <v>1589793099.0599999</v>
      </c>
      <c r="BP8" s="190">
        <v>2894800732.7600002</v>
      </c>
      <c r="BQ8" s="190">
        <v>1542140385.1500001</v>
      </c>
      <c r="BR8" s="190">
        <v>2478344257.5999999</v>
      </c>
      <c r="BS8" s="190">
        <v>1075836196.97</v>
      </c>
      <c r="BT8" s="190">
        <v>2539752355.5</v>
      </c>
      <c r="BU8" s="190">
        <v>991001146.80999994</v>
      </c>
      <c r="BV8" s="190">
        <v>374003501.58999997</v>
      </c>
      <c r="BW8" s="190">
        <v>0</v>
      </c>
    </row>
    <row r="9" spans="1:75">
      <c r="A9" s="190" t="s">
        <v>225</v>
      </c>
      <c r="B9" s="190">
        <v>940363539.01999998</v>
      </c>
      <c r="C9" s="190">
        <v>552797682.07000005</v>
      </c>
      <c r="D9" s="190">
        <v>626081768.51999998</v>
      </c>
      <c r="E9" s="190">
        <v>192260802.75999999</v>
      </c>
      <c r="F9" s="190">
        <v>970977152.42999995</v>
      </c>
      <c r="G9" s="190">
        <v>536436162.22000003</v>
      </c>
      <c r="H9" s="190">
        <v>568091793.37</v>
      </c>
      <c r="I9" s="190">
        <v>173803555.53</v>
      </c>
      <c r="J9" s="190">
        <v>964087653.13999999</v>
      </c>
      <c r="K9" s="190">
        <v>532972780.01999998</v>
      </c>
      <c r="L9" s="190">
        <v>552990103.37</v>
      </c>
      <c r="M9" s="190">
        <v>167790267.44999999</v>
      </c>
      <c r="N9" s="190">
        <v>1394786106.9300001</v>
      </c>
      <c r="O9" s="190">
        <v>847381449.77999997</v>
      </c>
      <c r="P9" s="190">
        <v>639311893.54999995</v>
      </c>
      <c r="Q9" s="190">
        <v>390301208.66000003</v>
      </c>
      <c r="R9" s="190">
        <v>1616167806.3199999</v>
      </c>
      <c r="S9" s="190">
        <v>1032540176.22</v>
      </c>
      <c r="T9" s="190">
        <v>684322849.79999995</v>
      </c>
      <c r="U9" s="190">
        <v>317229935.70999998</v>
      </c>
      <c r="V9" s="190">
        <v>1621795627.21</v>
      </c>
      <c r="W9" s="190">
        <v>1131306384.22</v>
      </c>
      <c r="X9" s="190">
        <v>746372273.10000002</v>
      </c>
      <c r="Y9" s="190">
        <v>364630420.81999999</v>
      </c>
      <c r="Z9" s="190">
        <v>1500145832.7</v>
      </c>
      <c r="AA9" s="190">
        <v>771151702.04999995</v>
      </c>
      <c r="AB9" s="190">
        <v>333306321.48000002</v>
      </c>
      <c r="AC9" s="190">
        <v>160353071.19</v>
      </c>
      <c r="AD9" s="190">
        <v>870580080.11000001</v>
      </c>
      <c r="AE9" s="190">
        <v>507042096.05000001</v>
      </c>
      <c r="AF9" s="190">
        <v>343949636.23000002</v>
      </c>
      <c r="AG9" s="190">
        <v>168430709.55000001</v>
      </c>
      <c r="AH9" s="190">
        <v>757202675.89999998</v>
      </c>
      <c r="AI9" s="190">
        <v>497495754.70999998</v>
      </c>
      <c r="AJ9" s="190">
        <v>314897446.24000001</v>
      </c>
      <c r="AK9" s="190">
        <v>154438711.40000001</v>
      </c>
      <c r="AL9" s="190">
        <v>685728443.04999995</v>
      </c>
      <c r="AM9" s="190">
        <v>522690685.70999998</v>
      </c>
      <c r="AN9" s="190">
        <v>279554711.61000001</v>
      </c>
      <c r="AO9" s="190">
        <v>128319132.93000001</v>
      </c>
      <c r="AP9" s="190">
        <v>681026271.62</v>
      </c>
      <c r="AQ9" s="190">
        <v>461699732.83999997</v>
      </c>
      <c r="AR9" s="190">
        <v>369494424.77999997</v>
      </c>
      <c r="AS9" s="190">
        <v>159193632.97</v>
      </c>
      <c r="AT9" s="190">
        <v>537693276.05999994</v>
      </c>
      <c r="AU9" s="190">
        <v>410989697.44999999</v>
      </c>
      <c r="AV9" s="190">
        <v>264784676.43000001</v>
      </c>
      <c r="AW9" s="190">
        <v>144720683.88</v>
      </c>
      <c r="AX9" s="190">
        <v>529256769.47000003</v>
      </c>
      <c r="AY9" s="190">
        <v>263415258.22999999</v>
      </c>
      <c r="AZ9" s="190">
        <v>290183651.72000003</v>
      </c>
      <c r="BA9" s="190">
        <v>99344713.790000007</v>
      </c>
      <c r="BB9" s="190">
        <v>611561770.66999996</v>
      </c>
      <c r="BC9" s="190">
        <v>295360541.63999999</v>
      </c>
      <c r="BD9" s="190">
        <v>317561457.06</v>
      </c>
      <c r="BE9" s="190">
        <v>100022790.27</v>
      </c>
      <c r="BF9" s="190">
        <v>532847423.85000002</v>
      </c>
      <c r="BG9" s="190">
        <v>288258370.33999997</v>
      </c>
      <c r="BH9" s="190">
        <v>199118978.84</v>
      </c>
      <c r="BI9" s="190">
        <v>130604069.75</v>
      </c>
      <c r="BJ9" s="190">
        <v>688578280.36000001</v>
      </c>
      <c r="BK9" s="190">
        <v>380356361.70999998</v>
      </c>
      <c r="BL9" s="190">
        <v>236739696.03</v>
      </c>
      <c r="BM9" s="190">
        <v>137738571.97</v>
      </c>
      <c r="BN9" s="190">
        <v>436844762.80000001</v>
      </c>
      <c r="BO9" s="190">
        <v>245613691.21000001</v>
      </c>
      <c r="BP9" s="190">
        <v>263161682.46000001</v>
      </c>
      <c r="BQ9" s="190">
        <v>109853486.31999999</v>
      </c>
      <c r="BR9" s="190">
        <v>250005190.52000001</v>
      </c>
      <c r="BS9" s="190">
        <v>92185724.790000007</v>
      </c>
      <c r="BT9" s="190">
        <v>212387043.30000001</v>
      </c>
      <c r="BU9" s="190">
        <v>65516535.5</v>
      </c>
      <c r="BV9" s="190">
        <v>45048845.920000002</v>
      </c>
      <c r="BW9" s="190">
        <v>0</v>
      </c>
    </row>
    <row r="10" spans="1:75">
      <c r="A10" s="190" t="s">
        <v>226</v>
      </c>
      <c r="B10" s="190">
        <v>1041176951.35</v>
      </c>
      <c r="C10" s="190">
        <v>876103972.78999996</v>
      </c>
      <c r="D10" s="190">
        <v>670247083.57000005</v>
      </c>
      <c r="E10" s="190">
        <v>278486073.35000002</v>
      </c>
      <c r="F10" s="190">
        <v>925384838.42999995</v>
      </c>
      <c r="G10" s="190">
        <v>814888401.14999998</v>
      </c>
      <c r="H10" s="190">
        <v>599458328.17999995</v>
      </c>
      <c r="I10" s="190">
        <v>219198200.00999999</v>
      </c>
      <c r="J10" s="190">
        <v>890394298.39999998</v>
      </c>
      <c r="K10" s="190">
        <v>822654346.01999998</v>
      </c>
      <c r="L10" s="190">
        <v>575432522.65999997</v>
      </c>
      <c r="M10" s="190">
        <v>240949044.00999999</v>
      </c>
      <c r="N10" s="190">
        <v>1096305647.23</v>
      </c>
      <c r="O10" s="190">
        <v>984550718.79999995</v>
      </c>
      <c r="P10" s="190">
        <v>553882312.47000003</v>
      </c>
      <c r="Q10" s="190">
        <v>295020936.98000002</v>
      </c>
      <c r="R10" s="190">
        <v>1159932580.24</v>
      </c>
      <c r="S10" s="190">
        <v>1136020704.7</v>
      </c>
      <c r="T10" s="190">
        <v>743290580.04999995</v>
      </c>
      <c r="U10" s="190">
        <v>259557231.69</v>
      </c>
      <c r="V10" s="190">
        <v>1298349125.9200001</v>
      </c>
      <c r="W10" s="190">
        <v>952755912.39999998</v>
      </c>
      <c r="X10" s="190">
        <v>662964481.05999994</v>
      </c>
      <c r="Y10" s="190">
        <v>352620592.5</v>
      </c>
      <c r="Z10" s="190">
        <v>1201951494.49</v>
      </c>
      <c r="AA10" s="190">
        <v>921221466.33000004</v>
      </c>
      <c r="AB10" s="190">
        <v>537627544.54999995</v>
      </c>
      <c r="AC10" s="190">
        <v>204849131.74000001</v>
      </c>
      <c r="AD10" s="190">
        <v>738175187.25999999</v>
      </c>
      <c r="AE10" s="190">
        <v>650066549.14999998</v>
      </c>
      <c r="AF10" s="190">
        <v>422777706.51999998</v>
      </c>
      <c r="AG10" s="190">
        <v>205233443.43000001</v>
      </c>
      <c r="AH10" s="190">
        <v>756185836.21000004</v>
      </c>
      <c r="AI10" s="190">
        <v>685549745.44000006</v>
      </c>
      <c r="AJ10" s="190">
        <v>431839332.66000003</v>
      </c>
      <c r="AK10" s="190">
        <v>185533075.75</v>
      </c>
      <c r="AL10" s="190">
        <v>725235214.87</v>
      </c>
      <c r="AM10" s="190">
        <v>577109134.17999995</v>
      </c>
      <c r="AN10" s="190">
        <v>394226579.04000002</v>
      </c>
      <c r="AO10" s="190">
        <v>99629370.900000006</v>
      </c>
      <c r="AP10" s="190">
        <v>551618927.30999994</v>
      </c>
      <c r="AQ10" s="190">
        <v>404803647.58999997</v>
      </c>
      <c r="AR10" s="190">
        <v>288058301.27999997</v>
      </c>
      <c r="AS10" s="190">
        <v>82543124.659999996</v>
      </c>
      <c r="AT10" s="190">
        <v>583675095.75</v>
      </c>
      <c r="AU10" s="190">
        <v>482545529.24000001</v>
      </c>
      <c r="AV10" s="190">
        <v>269258056.74000001</v>
      </c>
      <c r="AW10" s="190">
        <v>94570043.140000001</v>
      </c>
      <c r="AX10" s="190">
        <v>429773899.37</v>
      </c>
      <c r="AY10" s="190">
        <v>358366577.08999997</v>
      </c>
      <c r="AZ10" s="190">
        <v>261862160.41</v>
      </c>
      <c r="BA10" s="190">
        <v>119028833.73999999</v>
      </c>
      <c r="BB10" s="190">
        <v>366587488.63999999</v>
      </c>
      <c r="BC10" s="190">
        <v>294294844.44</v>
      </c>
      <c r="BD10" s="190">
        <v>198730844.71000001</v>
      </c>
      <c r="BE10" s="190">
        <v>81359793.780000001</v>
      </c>
      <c r="BF10" s="190">
        <v>434595280.93000001</v>
      </c>
      <c r="BG10" s="190">
        <v>360943655.20999998</v>
      </c>
      <c r="BH10" s="190">
        <v>291883186.77999997</v>
      </c>
      <c r="BI10" s="190">
        <v>173829533.93000001</v>
      </c>
      <c r="BJ10" s="190">
        <v>343204784.19</v>
      </c>
      <c r="BK10" s="190">
        <v>300907660.50999999</v>
      </c>
      <c r="BL10" s="190">
        <v>195896731.53</v>
      </c>
      <c r="BM10" s="190">
        <v>96676650</v>
      </c>
      <c r="BN10" s="190">
        <v>451756175.17000002</v>
      </c>
      <c r="BO10" s="190">
        <v>180577246.28999999</v>
      </c>
      <c r="BP10" s="190">
        <v>366733267.85000002</v>
      </c>
      <c r="BQ10" s="190">
        <v>173454062.75</v>
      </c>
      <c r="BR10" s="190">
        <v>316686529.44999999</v>
      </c>
      <c r="BS10" s="190">
        <v>161754792.58000001</v>
      </c>
      <c r="BT10" s="190">
        <v>432141177.42000002</v>
      </c>
      <c r="BU10" s="190">
        <v>216318662.94</v>
      </c>
      <c r="BV10" s="190">
        <v>24419805.850000001</v>
      </c>
      <c r="BW10" s="190">
        <v>0</v>
      </c>
    </row>
    <row r="11" spans="1:75">
      <c r="A11" s="190" t="s">
        <v>227</v>
      </c>
      <c r="B11" s="190">
        <v>1360464997.53</v>
      </c>
      <c r="C11" s="190">
        <v>1414852432.75</v>
      </c>
      <c r="D11" s="190">
        <v>765722654.91999996</v>
      </c>
      <c r="E11" s="190">
        <v>590706975.79999995</v>
      </c>
      <c r="F11" s="190">
        <v>1227846651.3199999</v>
      </c>
      <c r="G11" s="190">
        <v>1451724992.02</v>
      </c>
      <c r="H11" s="190">
        <v>717521622.62</v>
      </c>
      <c r="I11" s="190">
        <v>490193270.27999997</v>
      </c>
      <c r="J11" s="190">
        <v>1370775168.6800001</v>
      </c>
      <c r="K11" s="190">
        <v>1361823388.8</v>
      </c>
      <c r="L11" s="190">
        <v>717607721.47000003</v>
      </c>
      <c r="M11" s="190">
        <v>466319223.38999999</v>
      </c>
      <c r="N11" s="190">
        <v>1556487112.22</v>
      </c>
      <c r="O11" s="190">
        <v>1434313783.55</v>
      </c>
      <c r="P11" s="190">
        <v>923729241.38999999</v>
      </c>
      <c r="Q11" s="190">
        <v>508997351.85000002</v>
      </c>
      <c r="R11" s="190">
        <v>1587040008.1500001</v>
      </c>
      <c r="S11" s="190">
        <v>1244495748.8499999</v>
      </c>
      <c r="T11" s="190">
        <v>820257280.29999995</v>
      </c>
      <c r="U11" s="190">
        <v>472424866.44</v>
      </c>
      <c r="V11" s="190">
        <v>1652418400.53</v>
      </c>
      <c r="W11" s="190">
        <v>1025104324.1900001</v>
      </c>
      <c r="X11" s="190">
        <v>643194617.30999994</v>
      </c>
      <c r="Y11" s="190">
        <v>751379194.51999998</v>
      </c>
      <c r="Z11" s="190">
        <v>1317051434.3299999</v>
      </c>
      <c r="AA11" s="190">
        <v>1057522556.9299999</v>
      </c>
      <c r="AB11" s="190">
        <v>575865634.61000001</v>
      </c>
      <c r="AC11" s="190">
        <v>368416562.50999999</v>
      </c>
      <c r="AD11" s="190">
        <v>1116948841.5899999</v>
      </c>
      <c r="AE11" s="190">
        <v>1029770285</v>
      </c>
      <c r="AF11" s="190">
        <v>536518550.99000001</v>
      </c>
      <c r="AG11" s="190">
        <v>318003812.94999999</v>
      </c>
      <c r="AH11" s="190">
        <v>914074926.77999997</v>
      </c>
      <c r="AI11" s="190">
        <v>802723441.03999996</v>
      </c>
      <c r="AJ11" s="190">
        <v>513846499.38</v>
      </c>
      <c r="AK11" s="190">
        <v>332401887.29000002</v>
      </c>
      <c r="AL11" s="190">
        <v>752807307.28999996</v>
      </c>
      <c r="AM11" s="190">
        <v>618189033.26999998</v>
      </c>
      <c r="AN11" s="190">
        <v>360249819.89999998</v>
      </c>
      <c r="AO11" s="190">
        <v>215508479.90000001</v>
      </c>
      <c r="AP11" s="190">
        <v>721829414.5</v>
      </c>
      <c r="AQ11" s="190">
        <v>721593667.90999997</v>
      </c>
      <c r="AR11" s="190">
        <v>368885408.35000002</v>
      </c>
      <c r="AS11" s="190">
        <v>247773974.13999999</v>
      </c>
      <c r="AT11" s="190">
        <v>635674709.44000006</v>
      </c>
      <c r="AU11" s="190">
        <v>508155486.41000003</v>
      </c>
      <c r="AV11" s="190">
        <v>365125773.33999997</v>
      </c>
      <c r="AW11" s="190">
        <v>156773760.88999999</v>
      </c>
      <c r="AX11" s="190">
        <v>529521434.30000001</v>
      </c>
      <c r="AY11" s="190">
        <v>723918159.30999994</v>
      </c>
      <c r="AZ11" s="190">
        <v>272005530.35000002</v>
      </c>
      <c r="BA11" s="190">
        <v>215095784.63</v>
      </c>
      <c r="BB11" s="190">
        <v>465334495.74000001</v>
      </c>
      <c r="BC11" s="190">
        <v>710930896.69000006</v>
      </c>
      <c r="BD11" s="190">
        <v>223849520.24000001</v>
      </c>
      <c r="BE11" s="190">
        <v>159324391.75</v>
      </c>
      <c r="BF11" s="190">
        <v>565048505.83000004</v>
      </c>
      <c r="BG11" s="190">
        <v>843913443.65999997</v>
      </c>
      <c r="BH11" s="190">
        <v>635049416.34000003</v>
      </c>
      <c r="BI11" s="190">
        <v>161342897.40000001</v>
      </c>
      <c r="BJ11" s="190">
        <v>949113984.55999994</v>
      </c>
      <c r="BK11" s="190">
        <v>676259054.02999997</v>
      </c>
      <c r="BL11" s="190">
        <v>439927203.47000003</v>
      </c>
      <c r="BM11" s="190">
        <v>242040762.38999999</v>
      </c>
      <c r="BN11" s="190">
        <v>620831642.63</v>
      </c>
      <c r="BO11" s="190">
        <v>285882044.66000003</v>
      </c>
      <c r="BP11" s="190">
        <v>407311148.24000001</v>
      </c>
      <c r="BQ11" s="190">
        <v>299063686.94</v>
      </c>
      <c r="BR11" s="190">
        <v>630209390.03999996</v>
      </c>
      <c r="BS11" s="190">
        <v>657246827.17999995</v>
      </c>
      <c r="BT11" s="190">
        <v>647686286.5</v>
      </c>
      <c r="BU11" s="190">
        <v>382255254.47000003</v>
      </c>
      <c r="BV11" s="190">
        <v>43651482.350000001</v>
      </c>
      <c r="BW11" s="190">
        <v>0</v>
      </c>
    </row>
    <row r="12" spans="1:75">
      <c r="A12" s="190" t="s">
        <v>228</v>
      </c>
      <c r="B12" s="190">
        <v>21610874588.549999</v>
      </c>
      <c r="C12" s="190">
        <v>16683916326.889999</v>
      </c>
      <c r="D12" s="190">
        <v>11071828526.6</v>
      </c>
      <c r="E12" s="190">
        <v>6367634491.8199997</v>
      </c>
      <c r="F12" s="190">
        <v>20327887134.130001</v>
      </c>
      <c r="G12" s="190">
        <v>15658442027.040001</v>
      </c>
      <c r="H12" s="190">
        <v>10376626634.299999</v>
      </c>
      <c r="I12" s="190">
        <v>5546324352.6300001</v>
      </c>
      <c r="J12" s="190">
        <v>19955299531.900002</v>
      </c>
      <c r="K12" s="190">
        <v>14461664353.379999</v>
      </c>
      <c r="L12" s="190">
        <v>9332171634.3799992</v>
      </c>
      <c r="M12" s="190">
        <v>4631062574.2200003</v>
      </c>
      <c r="N12" s="190">
        <v>21077372635.43</v>
      </c>
      <c r="O12" s="190">
        <v>15620911084.33</v>
      </c>
      <c r="P12" s="190">
        <v>10620599640.209999</v>
      </c>
      <c r="Q12" s="190">
        <v>5458664088.6899996</v>
      </c>
      <c r="R12" s="190">
        <v>23565570254.290001</v>
      </c>
      <c r="S12" s="190">
        <v>18118952389.490002</v>
      </c>
      <c r="T12" s="190">
        <v>11537063029.24</v>
      </c>
      <c r="U12" s="190">
        <v>5889937305.5900002</v>
      </c>
      <c r="V12" s="190">
        <v>23188234591.169998</v>
      </c>
      <c r="W12" s="190">
        <v>16871741359.42</v>
      </c>
      <c r="X12" s="190">
        <v>10822858704.290001</v>
      </c>
      <c r="Y12" s="190">
        <v>6139713285.2799997</v>
      </c>
      <c r="Z12" s="190">
        <v>21065249409.080002</v>
      </c>
      <c r="AA12" s="190">
        <v>15374311112.190001</v>
      </c>
      <c r="AB12" s="190">
        <v>8072129158.0699997</v>
      </c>
      <c r="AC12" s="190">
        <v>4308581865.3699999</v>
      </c>
      <c r="AD12" s="190">
        <v>17274302415.93</v>
      </c>
      <c r="AE12" s="190">
        <v>12751475284.620001</v>
      </c>
      <c r="AF12" s="190">
        <v>8195049297.4200001</v>
      </c>
      <c r="AG12" s="190">
        <v>4088386265.79</v>
      </c>
      <c r="AH12" s="190">
        <v>14634843176.58</v>
      </c>
      <c r="AI12" s="190">
        <v>10284802312.6</v>
      </c>
      <c r="AJ12" s="190">
        <v>6434265832.2200003</v>
      </c>
      <c r="AK12" s="190">
        <v>3373518101.7800002</v>
      </c>
      <c r="AL12" s="190">
        <v>12052417106.66</v>
      </c>
      <c r="AM12" s="190">
        <v>8702724814.7099991</v>
      </c>
      <c r="AN12" s="190">
        <v>5408461004.29</v>
      </c>
      <c r="AO12" s="190">
        <v>2402204391.6799998</v>
      </c>
      <c r="AP12" s="190">
        <v>11252172219.98</v>
      </c>
      <c r="AQ12" s="190">
        <v>8594837750.1000004</v>
      </c>
      <c r="AR12" s="190">
        <v>5821875049.04</v>
      </c>
      <c r="AS12" s="190">
        <v>2832847956.6300001</v>
      </c>
      <c r="AT12" s="190">
        <v>10196344741.620001</v>
      </c>
      <c r="AU12" s="190">
        <v>7047129537.9200001</v>
      </c>
      <c r="AV12" s="190">
        <v>4552416916.6400003</v>
      </c>
      <c r="AW12" s="190">
        <v>2051288391.0799999</v>
      </c>
      <c r="AX12" s="190">
        <v>8205540770.7600002</v>
      </c>
      <c r="AY12" s="190">
        <v>5712108874.3299999</v>
      </c>
      <c r="AZ12" s="190">
        <v>3814396897.6999998</v>
      </c>
      <c r="BA12" s="190">
        <v>1774128750.3299999</v>
      </c>
      <c r="BB12" s="190">
        <v>7471581040.9899998</v>
      </c>
      <c r="BC12" s="190">
        <v>5707706583.1000004</v>
      </c>
      <c r="BD12" s="190">
        <v>3884477858.75</v>
      </c>
      <c r="BE12" s="190">
        <v>1863365275.1800001</v>
      </c>
      <c r="BF12" s="190">
        <v>7146507391.5699997</v>
      </c>
      <c r="BG12" s="190">
        <v>5365909316.0100002</v>
      </c>
      <c r="BH12" s="190">
        <v>3657050139.6799998</v>
      </c>
      <c r="BI12" s="190">
        <v>1620340409.3499999</v>
      </c>
      <c r="BJ12" s="190">
        <v>6851494467.3699999</v>
      </c>
      <c r="BK12" s="190">
        <v>4675075025.6000004</v>
      </c>
      <c r="BL12" s="190">
        <v>3008176656.2399998</v>
      </c>
      <c r="BM12" s="190">
        <v>1386959895.26</v>
      </c>
      <c r="BN12" s="190">
        <v>5238928554.4099998</v>
      </c>
      <c r="BO12" s="190">
        <v>2301866081.2199998</v>
      </c>
      <c r="BP12" s="190">
        <v>3932006831.3099999</v>
      </c>
      <c r="BQ12" s="190">
        <v>2124511621.1600001</v>
      </c>
      <c r="BR12" s="190">
        <v>3675245367.6100001</v>
      </c>
      <c r="BS12" s="190">
        <v>1987023541.52</v>
      </c>
      <c r="BT12" s="190">
        <v>3831966862.7199998</v>
      </c>
      <c r="BU12" s="190">
        <v>1655091599.72</v>
      </c>
      <c r="BV12" s="190">
        <v>487123635.70999998</v>
      </c>
      <c r="BW12" s="190">
        <v>0</v>
      </c>
    </row>
    <row r="13" spans="1:75">
      <c r="A13" s="190" t="s">
        <v>229</v>
      </c>
      <c r="B13" s="190">
        <v>188450269.55000001</v>
      </c>
      <c r="C13" s="190">
        <v>-220844288.34999999</v>
      </c>
      <c r="D13" s="190">
        <v>-360888706.42000002</v>
      </c>
      <c r="E13" s="190">
        <v>-1182456308.27</v>
      </c>
      <c r="F13" s="190">
        <v>1930118454.01</v>
      </c>
      <c r="G13" s="190">
        <v>1405689604.1400001</v>
      </c>
      <c r="H13" s="190">
        <v>436621687.81999999</v>
      </c>
      <c r="I13" s="190">
        <v>-277228251.38999999</v>
      </c>
      <c r="J13" s="190">
        <v>1999573702.98</v>
      </c>
      <c r="K13" s="190">
        <v>1929645382.1800001</v>
      </c>
      <c r="L13" s="190">
        <v>1316392351.1300001</v>
      </c>
      <c r="M13" s="190">
        <v>319139035.18000001</v>
      </c>
      <c r="N13" s="190">
        <v>1338774524.46</v>
      </c>
      <c r="O13" s="190">
        <v>1508101907.8</v>
      </c>
      <c r="P13" s="190">
        <v>563731554.65999997</v>
      </c>
      <c r="Q13" s="190">
        <v>-139849646.09999999</v>
      </c>
      <c r="R13" s="190">
        <v>2011963265.6500001</v>
      </c>
      <c r="S13" s="190">
        <v>1767169251.03</v>
      </c>
      <c r="T13" s="190">
        <v>972053307.75999999</v>
      </c>
      <c r="U13" s="190">
        <v>-47720877.789999999</v>
      </c>
      <c r="V13" s="190">
        <v>1758892889.23</v>
      </c>
      <c r="W13" s="190">
        <v>1503864105.3</v>
      </c>
      <c r="X13" s="190">
        <v>928841205.42999995</v>
      </c>
      <c r="Y13" s="190">
        <v>-633039859.49000001</v>
      </c>
      <c r="Z13" s="190">
        <v>3120058762.9099998</v>
      </c>
      <c r="AA13" s="190">
        <v>2266334969.25</v>
      </c>
      <c r="AB13" s="190">
        <v>1506595920.0599999</v>
      </c>
      <c r="AC13" s="190">
        <v>-125661126.05</v>
      </c>
      <c r="AD13" s="190">
        <v>1542378253.03</v>
      </c>
      <c r="AE13" s="190">
        <v>1434505205.8599999</v>
      </c>
      <c r="AF13" s="190">
        <v>884143463.00999999</v>
      </c>
      <c r="AG13" s="190">
        <v>-223539526.56</v>
      </c>
      <c r="AH13" s="190">
        <v>1787464327.6600001</v>
      </c>
      <c r="AI13" s="190">
        <v>1718131912.98</v>
      </c>
      <c r="AJ13" s="190">
        <v>1122202879.6700001</v>
      </c>
      <c r="AK13" s="190">
        <v>30469639.280000001</v>
      </c>
      <c r="AL13" s="190">
        <v>2028598332.1700001</v>
      </c>
      <c r="AM13" s="190">
        <v>1616122875.99</v>
      </c>
      <c r="AN13" s="190">
        <v>943480103.27999997</v>
      </c>
      <c r="AO13" s="190">
        <v>378297459.14999998</v>
      </c>
      <c r="AP13" s="190">
        <v>516497097.97000003</v>
      </c>
      <c r="AQ13" s="190">
        <v>381218783.56</v>
      </c>
      <c r="AR13" s="190">
        <v>4084610.3</v>
      </c>
      <c r="AS13" s="190">
        <v>-286208499.70999998</v>
      </c>
      <c r="AT13" s="190">
        <v>1057878881.39</v>
      </c>
      <c r="AU13" s="190">
        <v>769860088.14999998</v>
      </c>
      <c r="AV13" s="190">
        <v>295608189.13</v>
      </c>
      <c r="AW13" s="190">
        <v>-30549097.199999999</v>
      </c>
      <c r="AX13" s="190">
        <v>846957120.55999994</v>
      </c>
      <c r="AY13" s="190">
        <v>485240091.43000001</v>
      </c>
      <c r="AZ13" s="190">
        <v>199309444.03</v>
      </c>
      <c r="BA13" s="190">
        <v>-80113359.060000002</v>
      </c>
      <c r="BB13" s="190">
        <v>243530780.69999999</v>
      </c>
      <c r="BC13" s="190">
        <v>-165370697.12</v>
      </c>
      <c r="BD13" s="190">
        <v>-157379247.44</v>
      </c>
      <c r="BE13" s="190">
        <v>-233545765.58000001</v>
      </c>
      <c r="BF13" s="190">
        <v>604667760.59000003</v>
      </c>
      <c r="BG13" s="190">
        <v>337453098.12</v>
      </c>
      <c r="BH13" s="190">
        <v>76753462.159999996</v>
      </c>
      <c r="BI13" s="190">
        <v>56748815.079999998</v>
      </c>
      <c r="BJ13" s="190">
        <v>292170476.75999999</v>
      </c>
      <c r="BK13" s="190">
        <v>456723497.52999997</v>
      </c>
      <c r="BL13" s="190">
        <v>156973179.36000001</v>
      </c>
      <c r="BM13" s="190">
        <v>-5871214.5800000001</v>
      </c>
      <c r="BN13" s="190">
        <v>690591617.23000002</v>
      </c>
      <c r="BO13" s="190">
        <v>318591291.69999999</v>
      </c>
      <c r="BP13" s="190">
        <v>887186030.29999995</v>
      </c>
      <c r="BQ13" s="190">
        <v>200224002.99000001</v>
      </c>
      <c r="BR13" s="190">
        <v>678152932.48000002</v>
      </c>
      <c r="BS13" s="190">
        <v>131692296.48</v>
      </c>
      <c r="BT13" s="190">
        <v>247433107.97999999</v>
      </c>
      <c r="BU13" s="190">
        <v>43070537.390000001</v>
      </c>
      <c r="BV13" s="190">
        <v>-154941375.38999999</v>
      </c>
      <c r="BW13" s="190">
        <v>0</v>
      </c>
    </row>
    <row r="14" spans="1:75">
      <c r="A14" s="190" t="s">
        <v>230</v>
      </c>
    </row>
    <row r="15" spans="1:75">
      <c r="A15" s="190" t="s">
        <v>231</v>
      </c>
      <c r="B15" s="190">
        <v>0</v>
      </c>
      <c r="C15" s="190">
        <v>0</v>
      </c>
      <c r="D15" s="190">
        <v>0</v>
      </c>
      <c r="E15" s="190">
        <v>0</v>
      </c>
      <c r="F15" s="190">
        <v>72249917.090000004</v>
      </c>
      <c r="G15" s="190">
        <v>0</v>
      </c>
      <c r="H15" s="190">
        <v>0</v>
      </c>
      <c r="I15" s="190">
        <v>18646792.640000001</v>
      </c>
      <c r="J15" s="190">
        <v>228260900</v>
      </c>
      <c r="K15" s="190">
        <v>100000000</v>
      </c>
      <c r="L15" s="190">
        <v>0</v>
      </c>
      <c r="M15" s="190">
        <v>0</v>
      </c>
      <c r="N15" s="190">
        <v>0</v>
      </c>
      <c r="O15" s="190">
        <v>0</v>
      </c>
      <c r="P15" s="190">
        <v>0</v>
      </c>
      <c r="Q15" s="190">
        <v>0</v>
      </c>
      <c r="R15" s="190">
        <v>139350000</v>
      </c>
      <c r="S15" s="190">
        <v>139350000</v>
      </c>
      <c r="T15" s="190">
        <v>0</v>
      </c>
      <c r="U15" s="190">
        <v>0</v>
      </c>
      <c r="V15" s="190">
        <v>9973583.3800000008</v>
      </c>
      <c r="W15" s="190">
        <v>4142881.31</v>
      </c>
      <c r="X15" s="190">
        <v>4142881.31</v>
      </c>
      <c r="Y15" s="190">
        <v>3985608.51</v>
      </c>
      <c r="Z15" s="190">
        <v>34576267.049999997</v>
      </c>
      <c r="AA15" s="190">
        <v>5890410.7000000002</v>
      </c>
      <c r="AB15" s="190">
        <v>0</v>
      </c>
      <c r="AC15" s="190">
        <v>4200000</v>
      </c>
      <c r="AD15" s="190">
        <v>17106275.600000001</v>
      </c>
      <c r="AE15" s="190">
        <v>507446.54</v>
      </c>
      <c r="AF15" s="190">
        <v>0</v>
      </c>
      <c r="AG15" s="190">
        <v>0</v>
      </c>
      <c r="AH15" s="190">
        <v>19914522.329999998</v>
      </c>
      <c r="AI15" s="190">
        <v>19426925.760000002</v>
      </c>
      <c r="AJ15" s="190">
        <v>11519743.26</v>
      </c>
      <c r="AK15" s="190">
        <v>11519743.26</v>
      </c>
      <c r="AL15" s="190">
        <v>239917935.53</v>
      </c>
      <c r="AM15" s="190">
        <v>259000000</v>
      </c>
      <c r="AN15" s="190">
        <v>230000000</v>
      </c>
      <c r="AO15" s="190">
        <v>229930940.88</v>
      </c>
      <c r="AP15" s="190">
        <v>661883.51</v>
      </c>
      <c r="AQ15" s="190">
        <v>8596096.5099999998</v>
      </c>
      <c r="AR15" s="190">
        <v>22165691.16</v>
      </c>
      <c r="AS15" s="190">
        <v>8501597.6699999999</v>
      </c>
      <c r="AT15" s="190">
        <v>11311370.23</v>
      </c>
      <c r="AU15" s="190">
        <v>29882250.57</v>
      </c>
      <c r="AV15" s="190">
        <v>4429898</v>
      </c>
      <c r="AW15" s="190">
        <v>0</v>
      </c>
      <c r="AX15" s="190">
        <v>331336099.61000001</v>
      </c>
      <c r="AY15" s="190">
        <v>402582117.86000001</v>
      </c>
      <c r="AZ15" s="190">
        <v>131037707.78</v>
      </c>
      <c r="BA15" s="190">
        <v>56269433.299999997</v>
      </c>
      <c r="BB15" s="190">
        <v>48620029.68</v>
      </c>
      <c r="BC15" s="190">
        <v>48410938.68</v>
      </c>
      <c r="BD15" s="190">
        <v>41576569.200000003</v>
      </c>
      <c r="BE15" s="190">
        <v>37472012.280000001</v>
      </c>
      <c r="BF15" s="190">
        <v>17835477.789999999</v>
      </c>
      <c r="BG15" s="190">
        <v>2941000</v>
      </c>
      <c r="BH15" s="190">
        <v>2706000</v>
      </c>
      <c r="BI15" s="190">
        <v>0</v>
      </c>
      <c r="BJ15" s="190">
        <v>114306933.04000001</v>
      </c>
      <c r="BK15" s="190">
        <v>33491223.620000001</v>
      </c>
      <c r="BL15" s="190">
        <v>28305500.989999998</v>
      </c>
      <c r="BM15" s="190">
        <v>0</v>
      </c>
      <c r="BN15" s="190">
        <v>2766191</v>
      </c>
      <c r="BO15" s="190">
        <v>399800</v>
      </c>
      <c r="BP15" s="190">
        <v>770000</v>
      </c>
      <c r="BQ15" s="190">
        <v>770000</v>
      </c>
      <c r="BR15" s="190">
        <v>421702685.23000002</v>
      </c>
      <c r="BS15" s="190">
        <v>200420280</v>
      </c>
      <c r="BT15" s="190">
        <v>253449858.5</v>
      </c>
      <c r="BU15" s="190">
        <v>0</v>
      </c>
      <c r="BV15" s="190">
        <v>82049426.939999998</v>
      </c>
      <c r="BW15" s="190">
        <v>0</v>
      </c>
    </row>
    <row r="16" spans="1:75">
      <c r="A16" s="190" t="s">
        <v>232</v>
      </c>
      <c r="B16" s="190">
        <v>124855333.79000001</v>
      </c>
      <c r="C16" s="190">
        <v>104979748.29000001</v>
      </c>
      <c r="D16" s="190">
        <v>93352463.700000003</v>
      </c>
      <c r="E16" s="190">
        <v>16746000</v>
      </c>
      <c r="F16" s="190">
        <v>166765082.34999999</v>
      </c>
      <c r="G16" s="190">
        <v>141707080.02000001</v>
      </c>
      <c r="H16" s="190">
        <v>83196451.430000007</v>
      </c>
      <c r="I16" s="190">
        <v>24544193.59</v>
      </c>
      <c r="J16" s="190">
        <v>262860031.84999999</v>
      </c>
      <c r="K16" s="190">
        <v>80420889.010000005</v>
      </c>
      <c r="L16" s="190">
        <v>61506932.810000002</v>
      </c>
      <c r="M16" s="190">
        <v>41399924.240000002</v>
      </c>
      <c r="N16" s="190">
        <v>246525694.44</v>
      </c>
      <c r="O16" s="190">
        <v>52638223.899999999</v>
      </c>
      <c r="P16" s="190">
        <v>53217582.689999998</v>
      </c>
      <c r="Q16" s="190">
        <v>168000</v>
      </c>
      <c r="R16" s="190">
        <v>189971172.59</v>
      </c>
      <c r="S16" s="190">
        <v>112359940.38</v>
      </c>
      <c r="T16" s="190">
        <v>108369137.44</v>
      </c>
      <c r="U16" s="190">
        <v>48135435.159999996</v>
      </c>
      <c r="V16" s="190">
        <v>185633002.13999999</v>
      </c>
      <c r="W16" s="190">
        <v>32810691.940000001</v>
      </c>
      <c r="X16" s="190">
        <v>27539745.780000001</v>
      </c>
      <c r="Y16" s="190">
        <v>1200000</v>
      </c>
      <c r="Z16" s="190">
        <v>342221192.94999999</v>
      </c>
      <c r="AA16" s="190">
        <v>286343124.18000001</v>
      </c>
      <c r="AB16" s="190">
        <v>219503505.41</v>
      </c>
      <c r="AC16" s="190">
        <v>33976267.049999997</v>
      </c>
      <c r="AD16" s="190">
        <v>150040838.75999999</v>
      </c>
      <c r="AE16" s="190">
        <v>55688592.189999998</v>
      </c>
      <c r="AF16" s="190">
        <v>16318366</v>
      </c>
      <c r="AG16" s="190">
        <v>5000000</v>
      </c>
      <c r="AH16" s="190">
        <v>159901929.44</v>
      </c>
      <c r="AI16" s="190">
        <v>85496312.450000003</v>
      </c>
      <c r="AJ16" s="190">
        <v>24046255.649999999</v>
      </c>
      <c r="AK16" s="190">
        <v>319037.39</v>
      </c>
      <c r="AL16" s="190">
        <v>230157819.59999999</v>
      </c>
      <c r="AM16" s="190">
        <v>108638941.2</v>
      </c>
      <c r="AN16" s="190">
        <v>69268805.230000004</v>
      </c>
      <c r="AO16" s="190">
        <v>0</v>
      </c>
      <c r="AP16" s="190">
        <v>229972997.99000001</v>
      </c>
      <c r="AQ16" s="190">
        <v>181466136.30000001</v>
      </c>
      <c r="AR16" s="190">
        <v>64489887.590000004</v>
      </c>
      <c r="AS16" s="190">
        <v>2278532.5099999998</v>
      </c>
      <c r="AT16" s="190">
        <v>212019044.16999999</v>
      </c>
      <c r="AU16" s="190">
        <v>42627406.369999997</v>
      </c>
      <c r="AV16" s="190">
        <v>25099125.449999999</v>
      </c>
      <c r="AW16" s="190">
        <v>13244698.449999999</v>
      </c>
      <c r="AX16" s="190">
        <v>218904526.22</v>
      </c>
      <c r="AY16" s="190">
        <v>52612470.270000003</v>
      </c>
      <c r="AZ16" s="190">
        <v>39429080.020000003</v>
      </c>
      <c r="BA16" s="190">
        <v>29880994.68</v>
      </c>
      <c r="BB16" s="190">
        <v>108770874.97</v>
      </c>
      <c r="BC16" s="190">
        <v>68282070.120000005</v>
      </c>
      <c r="BD16" s="190">
        <v>58816115.799999997</v>
      </c>
      <c r="BE16" s="190">
        <v>963468.84</v>
      </c>
      <c r="BF16" s="190">
        <v>77676063.829999998</v>
      </c>
      <c r="BG16" s="190">
        <v>76317705.219999999</v>
      </c>
      <c r="BH16" s="190">
        <v>16482819.43</v>
      </c>
      <c r="BI16" s="190">
        <v>5759633.5999999996</v>
      </c>
      <c r="BJ16" s="190">
        <v>149823204.75999999</v>
      </c>
      <c r="BK16" s="190">
        <v>100880032.64</v>
      </c>
      <c r="BL16" s="190">
        <v>134981538.78</v>
      </c>
      <c r="BM16" s="190">
        <v>4889685.3</v>
      </c>
      <c r="BN16" s="190">
        <v>125682441.56</v>
      </c>
      <c r="BO16" s="190">
        <v>42549705.719999999</v>
      </c>
      <c r="BP16" s="190">
        <v>101369833.77</v>
      </c>
      <c r="BQ16" s="190">
        <v>65745550.280000001</v>
      </c>
      <c r="BR16" s="190">
        <v>109204042.76000001</v>
      </c>
      <c r="BS16" s="190">
        <v>73416010.230000004</v>
      </c>
      <c r="BT16" s="190">
        <v>14011722.24</v>
      </c>
      <c r="BU16" s="190">
        <v>26663959.969999999</v>
      </c>
      <c r="BV16" s="190">
        <v>3614436.26</v>
      </c>
      <c r="BW16" s="190">
        <v>0</v>
      </c>
    </row>
    <row r="17" spans="1:75">
      <c r="A17" s="190" t="s">
        <v>233</v>
      </c>
      <c r="B17" s="190">
        <v>145336.92000000001</v>
      </c>
      <c r="C17" s="190">
        <v>107022.23</v>
      </c>
      <c r="D17" s="190">
        <v>106722.23</v>
      </c>
      <c r="E17" s="190">
        <v>18705.3</v>
      </c>
      <c r="F17" s="190">
        <v>3295447.09</v>
      </c>
      <c r="G17" s="190">
        <v>2467600</v>
      </c>
      <c r="H17" s="190">
        <v>2457600</v>
      </c>
      <c r="I17" s="190">
        <v>1351100</v>
      </c>
      <c r="J17" s="190">
        <v>5600043.7300000004</v>
      </c>
      <c r="K17" s="190">
        <v>5251465.7300000004</v>
      </c>
      <c r="L17" s="190">
        <v>4927285.6399999997</v>
      </c>
      <c r="M17" s="190">
        <v>4716285.6399999997</v>
      </c>
      <c r="N17" s="190">
        <v>96734648.75</v>
      </c>
      <c r="O17" s="190">
        <v>86174108.109999999</v>
      </c>
      <c r="P17" s="190">
        <v>82772701.129999995</v>
      </c>
      <c r="Q17" s="190">
        <v>802433.81</v>
      </c>
      <c r="R17" s="190">
        <v>94986586.040000007</v>
      </c>
      <c r="S17" s="190">
        <v>11811362.74</v>
      </c>
      <c r="T17" s="190">
        <v>8770246.2100000009</v>
      </c>
      <c r="U17" s="190">
        <v>1405004.24</v>
      </c>
      <c r="V17" s="190">
        <v>23413496.690000001</v>
      </c>
      <c r="W17" s="190">
        <v>6178017.9100000001</v>
      </c>
      <c r="X17" s="190">
        <v>5842778.5899999999</v>
      </c>
      <c r="Y17" s="190">
        <v>846571.14</v>
      </c>
      <c r="Z17" s="190">
        <v>22232931.359999999</v>
      </c>
      <c r="AA17" s="190">
        <v>77109303.209999993</v>
      </c>
      <c r="AB17" s="190">
        <v>32523194.649999999</v>
      </c>
      <c r="AC17" s="190">
        <v>28588075</v>
      </c>
      <c r="AD17" s="190">
        <v>15598358.300000001</v>
      </c>
      <c r="AE17" s="190">
        <v>9670513.25</v>
      </c>
      <c r="AF17" s="190">
        <v>4023185.12</v>
      </c>
      <c r="AG17" s="190">
        <v>957559.99</v>
      </c>
      <c r="AH17" s="190">
        <v>91689355.269999996</v>
      </c>
      <c r="AI17" s="190">
        <v>21816753.629999999</v>
      </c>
      <c r="AJ17" s="190">
        <v>14575555.6</v>
      </c>
      <c r="AK17" s="190">
        <v>40392350</v>
      </c>
      <c r="AL17" s="190">
        <v>43380552.960000001</v>
      </c>
      <c r="AM17" s="190">
        <v>15083092.1</v>
      </c>
      <c r="AN17" s="190">
        <v>14785914.1</v>
      </c>
      <c r="AO17" s="190">
        <v>551779</v>
      </c>
      <c r="AP17" s="190">
        <v>17318218.550000001</v>
      </c>
      <c r="AQ17" s="190">
        <v>4778366.91</v>
      </c>
      <c r="AR17" s="190">
        <v>617627.93000000005</v>
      </c>
      <c r="AS17" s="190">
        <v>121437</v>
      </c>
      <c r="AT17" s="190">
        <v>4960461.82</v>
      </c>
      <c r="AU17" s="190">
        <v>543776</v>
      </c>
      <c r="AV17" s="190">
        <v>557603.34</v>
      </c>
      <c r="AW17" s="190">
        <v>309913</v>
      </c>
      <c r="AX17" s="190">
        <v>61630536.399999999</v>
      </c>
      <c r="AY17" s="190">
        <v>63966253.140000001</v>
      </c>
      <c r="AZ17" s="190">
        <v>63791840.140000001</v>
      </c>
      <c r="BA17" s="190">
        <v>1842210</v>
      </c>
      <c r="BB17" s="190">
        <v>40651686.079999998</v>
      </c>
      <c r="BC17" s="190">
        <v>10256240</v>
      </c>
      <c r="BD17" s="190">
        <v>517921</v>
      </c>
      <c r="BE17" s="190">
        <v>88000</v>
      </c>
      <c r="BF17" s="190">
        <v>71474742.049999997</v>
      </c>
      <c r="BG17" s="190">
        <v>38868434.75</v>
      </c>
      <c r="BH17" s="190">
        <v>38416702</v>
      </c>
      <c r="BI17" s="190">
        <v>274402</v>
      </c>
      <c r="BJ17" s="190">
        <v>41365363.460000001</v>
      </c>
      <c r="BK17" s="190">
        <v>2491931.35</v>
      </c>
      <c r="BL17" s="190">
        <v>1992514.85</v>
      </c>
      <c r="BM17" s="190">
        <v>1162020.5</v>
      </c>
      <c r="BN17" s="190">
        <v>2987939.02</v>
      </c>
      <c r="BO17" s="190">
        <v>1058594</v>
      </c>
      <c r="BP17" s="190">
        <v>6827460.8499999996</v>
      </c>
      <c r="BQ17" s="190">
        <v>261643</v>
      </c>
      <c r="BR17" s="190">
        <v>1346419</v>
      </c>
      <c r="BS17" s="190">
        <v>481330</v>
      </c>
      <c r="BT17" s="190">
        <v>1785585.16</v>
      </c>
      <c r="BU17" s="190">
        <v>121328</v>
      </c>
      <c r="BV17" s="190">
        <v>1920433.63</v>
      </c>
      <c r="BW17" s="190">
        <v>0</v>
      </c>
    </row>
    <row r="18" spans="1:75">
      <c r="A18" s="190" t="s">
        <v>234</v>
      </c>
      <c r="B18" s="190">
        <v>0</v>
      </c>
      <c r="C18" s="190">
        <v>0</v>
      </c>
      <c r="D18" s="190">
        <v>0</v>
      </c>
      <c r="E18" s="190">
        <v>0</v>
      </c>
      <c r="F18" s="190">
        <v>0</v>
      </c>
      <c r="G18" s="190">
        <v>0</v>
      </c>
      <c r="H18" s="190">
        <v>0</v>
      </c>
      <c r="I18" s="190">
        <v>0</v>
      </c>
      <c r="J18" s="190">
        <v>134709287.94</v>
      </c>
      <c r="K18" s="190">
        <v>134717409.28999999</v>
      </c>
      <c r="L18" s="190">
        <v>234709287.94</v>
      </c>
      <c r="M18" s="190">
        <v>0</v>
      </c>
      <c r="N18" s="190">
        <v>0</v>
      </c>
      <c r="O18" s="190">
        <v>17817886.559999999</v>
      </c>
      <c r="P18" s="190">
        <v>17817886.559999999</v>
      </c>
      <c r="Q18" s="190">
        <v>29259105.09</v>
      </c>
      <c r="R18" s="190">
        <v>0</v>
      </c>
      <c r="S18" s="190">
        <v>0</v>
      </c>
      <c r="T18" s="190">
        <v>0</v>
      </c>
      <c r="U18" s="190">
        <v>0</v>
      </c>
      <c r="V18" s="190">
        <v>0</v>
      </c>
      <c r="W18" s="190">
        <v>0</v>
      </c>
      <c r="X18" s="190">
        <v>0</v>
      </c>
      <c r="Y18" s="190">
        <v>0</v>
      </c>
      <c r="Z18" s="190">
        <v>4641535.3899999997</v>
      </c>
      <c r="AA18" s="190">
        <v>0</v>
      </c>
      <c r="AB18" s="190">
        <v>1868513.55</v>
      </c>
      <c r="AC18" s="190">
        <v>0</v>
      </c>
      <c r="AD18" s="190">
        <v>129131878.27</v>
      </c>
      <c r="AE18" s="190">
        <v>142540908.24000001</v>
      </c>
      <c r="AF18" s="190">
        <v>0</v>
      </c>
      <c r="AG18" s="190">
        <v>0</v>
      </c>
      <c r="AH18" s="190">
        <v>38933536.32</v>
      </c>
      <c r="AI18" s="190">
        <v>36177645.030000001</v>
      </c>
      <c r="AJ18" s="190">
        <v>0</v>
      </c>
      <c r="AK18" s="190">
        <v>0</v>
      </c>
      <c r="AL18" s="190">
        <v>0</v>
      </c>
      <c r="AM18" s="190">
        <v>0</v>
      </c>
      <c r="AN18" s="190">
        <v>0</v>
      </c>
      <c r="AO18" s="190">
        <v>0</v>
      </c>
      <c r="AP18" s="190">
        <v>3861514.16</v>
      </c>
      <c r="AQ18" s="190">
        <v>0</v>
      </c>
      <c r="AR18" s="190">
        <v>0</v>
      </c>
      <c r="AS18" s="190">
        <v>0</v>
      </c>
      <c r="AT18" s="190">
        <v>5512469.4500000002</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row>
    <row r="19" spans="1:75">
      <c r="A19" s="190" t="s">
        <v>235</v>
      </c>
      <c r="B19" s="190">
        <v>1385323391.5599999</v>
      </c>
      <c r="C19" s="190">
        <v>988476222.21000004</v>
      </c>
      <c r="D19" s="190">
        <v>738801222.21000004</v>
      </c>
      <c r="E19" s="190">
        <v>1616950000</v>
      </c>
      <c r="F19" s="190">
        <v>904445000</v>
      </c>
      <c r="G19" s="190">
        <v>330327000</v>
      </c>
      <c r="H19" s="190">
        <v>967537000</v>
      </c>
      <c r="I19" s="190">
        <v>16660000</v>
      </c>
      <c r="J19" s="190">
        <v>513336360.42000002</v>
      </c>
      <c r="K19" s="190">
        <v>218080260.41999999</v>
      </c>
      <c r="L19" s="190">
        <v>315944000</v>
      </c>
      <c r="M19" s="190">
        <v>21300000</v>
      </c>
      <c r="N19" s="190">
        <v>275516854.72000003</v>
      </c>
      <c r="O19" s="190">
        <v>90405520.609999999</v>
      </c>
      <c r="P19" s="190">
        <v>4950000</v>
      </c>
      <c r="Q19" s="190">
        <v>0</v>
      </c>
      <c r="R19" s="190">
        <v>108150000</v>
      </c>
      <c r="S19" s="190">
        <v>90000000</v>
      </c>
      <c r="T19" s="190">
        <v>94950000</v>
      </c>
      <c r="U19" s="190">
        <v>90000000</v>
      </c>
      <c r="V19" s="190">
        <v>173487926</v>
      </c>
      <c r="W19" s="190">
        <v>208079235.61000001</v>
      </c>
      <c r="X19" s="190">
        <v>160250000</v>
      </c>
      <c r="Y19" s="190">
        <v>0</v>
      </c>
      <c r="Z19" s="190">
        <v>343475000</v>
      </c>
      <c r="AA19" s="190">
        <v>0</v>
      </c>
      <c r="AB19" s="190">
        <v>0</v>
      </c>
      <c r="AC19" s="190">
        <v>0</v>
      </c>
      <c r="AD19" s="190">
        <v>12875000</v>
      </c>
      <c r="AE19" s="190">
        <v>0</v>
      </c>
      <c r="AF19" s="190">
        <v>0</v>
      </c>
      <c r="AG19" s="190">
        <v>0</v>
      </c>
      <c r="AH19" s="190">
        <v>20350000</v>
      </c>
      <c r="AI19" s="190">
        <v>64188321.219999999</v>
      </c>
      <c r="AJ19" s="190">
        <v>73733586.170000002</v>
      </c>
      <c r="AK19" s="190">
        <v>8000000</v>
      </c>
      <c r="AL19" s="190">
        <v>33430000</v>
      </c>
      <c r="AM19" s="190">
        <v>58485128.350000001</v>
      </c>
      <c r="AN19" s="190">
        <v>0</v>
      </c>
      <c r="AO19" s="190">
        <v>0</v>
      </c>
      <c r="AP19" s="190">
        <v>18810000</v>
      </c>
      <c r="AQ19" s="190">
        <v>75547.41</v>
      </c>
      <c r="AR19" s="190">
        <v>0</v>
      </c>
      <c r="AS19" s="190">
        <v>0</v>
      </c>
      <c r="AT19" s="190">
        <v>11250000</v>
      </c>
      <c r="AU19" s="190">
        <v>0</v>
      </c>
      <c r="AV19" s="190">
        <v>5625000</v>
      </c>
      <c r="AW19" s="190">
        <v>0</v>
      </c>
      <c r="AX19" s="190">
        <v>47892803.259999998</v>
      </c>
      <c r="AY19" s="190">
        <v>0</v>
      </c>
      <c r="AZ19" s="190">
        <v>0</v>
      </c>
      <c r="BA19" s="190">
        <v>240000</v>
      </c>
      <c r="BB19" s="190">
        <v>16685655.039999999</v>
      </c>
      <c r="BC19" s="190">
        <v>0</v>
      </c>
      <c r="BD19" s="190">
        <v>0</v>
      </c>
      <c r="BE19" s="190">
        <v>284000</v>
      </c>
      <c r="BF19" s="190">
        <v>0</v>
      </c>
      <c r="BG19" s="190">
        <v>2641281.7000000002</v>
      </c>
      <c r="BH19" s="190">
        <v>105500</v>
      </c>
      <c r="BI19" s="190">
        <v>0</v>
      </c>
      <c r="BJ19" s="190">
        <v>35282482.530000001</v>
      </c>
      <c r="BK19" s="190">
        <v>28383822.43</v>
      </c>
      <c r="BL19" s="190">
        <v>0</v>
      </c>
      <c r="BM19" s="190">
        <v>0</v>
      </c>
      <c r="BN19" s="190">
        <v>69338983.060000002</v>
      </c>
      <c r="BO19" s="190">
        <v>32469097.309999999</v>
      </c>
      <c r="BP19" s="190">
        <v>0</v>
      </c>
      <c r="BQ19" s="190">
        <v>185600.1</v>
      </c>
      <c r="BR19" s="190">
        <v>3987156.06</v>
      </c>
      <c r="BS19" s="190">
        <v>0</v>
      </c>
      <c r="BT19" s="190">
        <v>0</v>
      </c>
      <c r="BU19" s="190">
        <v>0</v>
      </c>
      <c r="BV19" s="190">
        <v>1967222364.01</v>
      </c>
      <c r="BW19" s="190">
        <v>0</v>
      </c>
    </row>
    <row r="20" spans="1:75">
      <c r="A20" s="190" t="s">
        <v>236</v>
      </c>
      <c r="B20" s="190">
        <v>1510324062.27</v>
      </c>
      <c r="C20" s="190">
        <v>1093562992.73</v>
      </c>
      <c r="D20" s="190">
        <v>832260408.13999999</v>
      </c>
      <c r="E20" s="190">
        <v>1633714705.3</v>
      </c>
      <c r="F20" s="190">
        <v>1146755446.53</v>
      </c>
      <c r="G20" s="190">
        <v>474501680.01999998</v>
      </c>
      <c r="H20" s="190">
        <v>1053191051.4299999</v>
      </c>
      <c r="I20" s="190">
        <v>61202086.229999997</v>
      </c>
      <c r="J20" s="190">
        <v>1144766623.9400001</v>
      </c>
      <c r="K20" s="190">
        <v>538470024.45000005</v>
      </c>
      <c r="L20" s="190">
        <v>617087506.38999999</v>
      </c>
      <c r="M20" s="190">
        <v>67416209.879999995</v>
      </c>
      <c r="N20" s="190">
        <v>618777197.90999997</v>
      </c>
      <c r="O20" s="190">
        <v>247035739.18000001</v>
      </c>
      <c r="P20" s="190">
        <v>158758170.38</v>
      </c>
      <c r="Q20" s="190">
        <v>30229538.899999999</v>
      </c>
      <c r="R20" s="190">
        <v>532457758.63</v>
      </c>
      <c r="S20" s="190">
        <v>353521303.12</v>
      </c>
      <c r="T20" s="190">
        <v>212089383.65000001</v>
      </c>
      <c r="U20" s="190">
        <v>139540439.40000001</v>
      </c>
      <c r="V20" s="190">
        <v>421190367.81999999</v>
      </c>
      <c r="W20" s="190">
        <v>251210826.77000001</v>
      </c>
      <c r="X20" s="190">
        <v>197775405.68000001</v>
      </c>
      <c r="Y20" s="190">
        <v>6032179.6500000004</v>
      </c>
      <c r="Z20" s="190">
        <v>747146926.75</v>
      </c>
      <c r="AA20" s="190">
        <v>369342838.08999997</v>
      </c>
      <c r="AB20" s="190">
        <v>253895213.61000001</v>
      </c>
      <c r="AC20" s="190">
        <v>66764342.049999997</v>
      </c>
      <c r="AD20" s="190">
        <v>324752350.93000001</v>
      </c>
      <c r="AE20" s="190">
        <v>208407460.22</v>
      </c>
      <c r="AF20" s="190">
        <v>20341551.120000001</v>
      </c>
      <c r="AG20" s="190">
        <v>5957559.9900000002</v>
      </c>
      <c r="AH20" s="190">
        <v>330789343.36000001</v>
      </c>
      <c r="AI20" s="190">
        <v>227105958.09</v>
      </c>
      <c r="AJ20" s="190">
        <v>123875140.68000001</v>
      </c>
      <c r="AK20" s="190">
        <v>60231130.649999999</v>
      </c>
      <c r="AL20" s="190">
        <v>546886308.09000003</v>
      </c>
      <c r="AM20" s="190">
        <v>441207161.64999998</v>
      </c>
      <c r="AN20" s="190">
        <v>314054719.32999998</v>
      </c>
      <c r="AO20" s="190">
        <v>230482719.88</v>
      </c>
      <c r="AP20" s="190">
        <v>270624614.20999998</v>
      </c>
      <c r="AQ20" s="190">
        <v>194916147.13</v>
      </c>
      <c r="AR20" s="190">
        <v>87273206.680000007</v>
      </c>
      <c r="AS20" s="190">
        <v>10901567.18</v>
      </c>
      <c r="AT20" s="190">
        <v>245053345.66999999</v>
      </c>
      <c r="AU20" s="190">
        <v>73053432.939999998</v>
      </c>
      <c r="AV20" s="190">
        <v>35711626.789999999</v>
      </c>
      <c r="AW20" s="190">
        <v>13554611.449999999</v>
      </c>
      <c r="AX20" s="190">
        <v>659763965.49000001</v>
      </c>
      <c r="AY20" s="190">
        <v>519160841.26999998</v>
      </c>
      <c r="AZ20" s="190">
        <v>234258627.94</v>
      </c>
      <c r="BA20" s="190">
        <v>88232637.980000004</v>
      </c>
      <c r="BB20" s="190">
        <v>214728245.77000001</v>
      </c>
      <c r="BC20" s="190">
        <v>126949248.8</v>
      </c>
      <c r="BD20" s="190">
        <v>100910606</v>
      </c>
      <c r="BE20" s="190">
        <v>38807481.119999997</v>
      </c>
      <c r="BF20" s="190">
        <v>166986283.66999999</v>
      </c>
      <c r="BG20" s="190">
        <v>120768421.67</v>
      </c>
      <c r="BH20" s="190">
        <v>57711021.43</v>
      </c>
      <c r="BI20" s="190">
        <v>6034035.5999999996</v>
      </c>
      <c r="BJ20" s="190">
        <v>340777983.79000002</v>
      </c>
      <c r="BK20" s="190">
        <v>165247010.03999999</v>
      </c>
      <c r="BL20" s="190">
        <v>165279554.62</v>
      </c>
      <c r="BM20" s="190">
        <v>6051705.7999999998</v>
      </c>
      <c r="BN20" s="190">
        <v>200775554.63999999</v>
      </c>
      <c r="BO20" s="190">
        <v>76477197.030000001</v>
      </c>
      <c r="BP20" s="190">
        <v>108967294.62</v>
      </c>
      <c r="BQ20" s="190">
        <v>66962793.380000003</v>
      </c>
      <c r="BR20" s="190">
        <v>536240303.05000001</v>
      </c>
      <c r="BS20" s="190">
        <v>274317620.23000002</v>
      </c>
      <c r="BT20" s="190">
        <v>269247165.89999998</v>
      </c>
      <c r="BU20" s="190">
        <v>26785287.969999999</v>
      </c>
      <c r="BV20" s="190">
        <v>2054806660.8399999</v>
      </c>
      <c r="BW20" s="190">
        <v>0</v>
      </c>
    </row>
    <row r="21" spans="1:75">
      <c r="A21" s="190" t="s">
        <v>237</v>
      </c>
      <c r="B21" s="190">
        <v>264172522.75</v>
      </c>
      <c r="C21" s="190">
        <v>194787493.34</v>
      </c>
      <c r="D21" s="190">
        <v>124779699.81999999</v>
      </c>
      <c r="E21" s="190">
        <v>69487989.120000005</v>
      </c>
      <c r="F21" s="190">
        <v>170487002.40000001</v>
      </c>
      <c r="G21" s="190">
        <v>106370490.7</v>
      </c>
      <c r="H21" s="190">
        <v>75033359.260000005</v>
      </c>
      <c r="I21" s="190">
        <v>26341863.579999998</v>
      </c>
      <c r="J21" s="190">
        <v>500609308.82999998</v>
      </c>
      <c r="K21" s="190">
        <v>506053651.13</v>
      </c>
      <c r="L21" s="190">
        <v>467892105.51999998</v>
      </c>
      <c r="M21" s="190">
        <v>331928681.10000002</v>
      </c>
      <c r="N21" s="190">
        <v>382726741.54000002</v>
      </c>
      <c r="O21" s="190">
        <v>235688552.78</v>
      </c>
      <c r="P21" s="190">
        <v>175824016.66999999</v>
      </c>
      <c r="Q21" s="190">
        <v>91439220.260000005</v>
      </c>
      <c r="R21" s="190">
        <v>478732141.14999998</v>
      </c>
      <c r="S21" s="190">
        <v>301442605.58999997</v>
      </c>
      <c r="T21" s="190">
        <v>141598042.44</v>
      </c>
      <c r="U21" s="190">
        <v>73014905.510000005</v>
      </c>
      <c r="V21" s="190">
        <v>338010590.17000002</v>
      </c>
      <c r="W21" s="190">
        <v>204949931.97999999</v>
      </c>
      <c r="X21" s="190">
        <v>144699280.11000001</v>
      </c>
      <c r="Y21" s="190">
        <v>65920338.539999999</v>
      </c>
      <c r="Z21" s="190">
        <v>509898004.13999999</v>
      </c>
      <c r="AA21" s="190">
        <v>176057238.34</v>
      </c>
      <c r="AB21" s="190">
        <v>154938344.13999999</v>
      </c>
      <c r="AC21" s="190">
        <v>56666351.909999996</v>
      </c>
      <c r="AD21" s="190">
        <v>186359526.97999999</v>
      </c>
      <c r="AE21" s="190">
        <v>123961273.81</v>
      </c>
      <c r="AF21" s="190">
        <v>93124807.310000002</v>
      </c>
      <c r="AG21" s="190">
        <v>55242032.75</v>
      </c>
      <c r="AH21" s="190">
        <v>291699748.41000003</v>
      </c>
      <c r="AI21" s="190">
        <v>231005153.43000001</v>
      </c>
      <c r="AJ21" s="190">
        <v>143855996.90000001</v>
      </c>
      <c r="AK21" s="190">
        <v>72247652.370000005</v>
      </c>
      <c r="AL21" s="190">
        <v>204457321.28999999</v>
      </c>
      <c r="AM21" s="190">
        <v>151200628.47</v>
      </c>
      <c r="AN21" s="190">
        <v>111639208</v>
      </c>
      <c r="AO21" s="190">
        <v>62593595.009999998</v>
      </c>
      <c r="AP21" s="190">
        <v>345652483.20999998</v>
      </c>
      <c r="AQ21" s="190">
        <v>199681821.16999999</v>
      </c>
      <c r="AR21" s="190">
        <v>139663042.84999999</v>
      </c>
      <c r="AS21" s="190">
        <v>88049770.170000002</v>
      </c>
      <c r="AT21" s="190">
        <v>203188800.21000001</v>
      </c>
      <c r="AU21" s="190">
        <v>136073823.53999999</v>
      </c>
      <c r="AV21" s="190">
        <v>69585030.430000007</v>
      </c>
      <c r="AW21" s="190">
        <v>30403694.079999998</v>
      </c>
      <c r="AX21" s="190">
        <v>160167896.80000001</v>
      </c>
      <c r="AY21" s="190">
        <v>123603970.64</v>
      </c>
      <c r="AZ21" s="190">
        <v>79998360.459999993</v>
      </c>
      <c r="BA21" s="190">
        <v>41913112.189999998</v>
      </c>
      <c r="BB21" s="190">
        <v>195376724.21000001</v>
      </c>
      <c r="BC21" s="190">
        <v>136856093.28999999</v>
      </c>
      <c r="BD21" s="190">
        <v>109754391.25</v>
      </c>
      <c r="BE21" s="190">
        <v>11621109.43</v>
      </c>
      <c r="BF21" s="190">
        <v>179871623.03999999</v>
      </c>
      <c r="BG21" s="190">
        <v>60186089.049999997</v>
      </c>
      <c r="BH21" s="190">
        <v>35360561.850000001</v>
      </c>
      <c r="BI21" s="190">
        <v>22426882.170000002</v>
      </c>
      <c r="BJ21" s="190">
        <v>238481768.24000001</v>
      </c>
      <c r="BK21" s="190">
        <v>76763229.650000006</v>
      </c>
      <c r="BL21" s="190">
        <v>62749809.329999998</v>
      </c>
      <c r="BM21" s="190">
        <v>15069822.77</v>
      </c>
      <c r="BN21" s="190">
        <v>104045321.84</v>
      </c>
      <c r="BO21" s="190">
        <v>21510169.949999999</v>
      </c>
      <c r="BP21" s="190">
        <v>58085745.119999997</v>
      </c>
      <c r="BQ21" s="190">
        <v>18871331.609999999</v>
      </c>
      <c r="BR21" s="190">
        <v>107928539.29000001</v>
      </c>
      <c r="BS21" s="190">
        <v>41474775.710000001</v>
      </c>
      <c r="BT21" s="190">
        <v>77554299.430000007</v>
      </c>
      <c r="BU21" s="190">
        <v>5948169.1900000004</v>
      </c>
      <c r="BV21" s="190">
        <v>1672351.66</v>
      </c>
      <c r="BW21" s="190">
        <v>0</v>
      </c>
    </row>
    <row r="22" spans="1:75">
      <c r="A22" s="190" t="s">
        <v>238</v>
      </c>
      <c r="B22" s="190">
        <v>0</v>
      </c>
      <c r="C22" s="190">
        <v>0</v>
      </c>
      <c r="D22" s="190">
        <v>0</v>
      </c>
      <c r="E22" s="190">
        <v>0</v>
      </c>
      <c r="F22" s="190">
        <v>22767200</v>
      </c>
      <c r="G22" s="190">
        <v>0</v>
      </c>
      <c r="H22" s="190">
        <v>0</v>
      </c>
      <c r="I22" s="190">
        <v>0</v>
      </c>
      <c r="J22" s="190">
        <v>40013760</v>
      </c>
      <c r="K22" s="190">
        <v>40013760</v>
      </c>
      <c r="L22" s="190">
        <v>21638760</v>
      </c>
      <c r="M22" s="190">
        <v>21638760</v>
      </c>
      <c r="N22" s="190">
        <v>0</v>
      </c>
      <c r="O22" s="190">
        <v>0</v>
      </c>
      <c r="P22" s="190">
        <v>0</v>
      </c>
      <c r="Q22" s="190">
        <v>0</v>
      </c>
      <c r="R22" s="190">
        <v>0</v>
      </c>
      <c r="S22" s="190">
        <v>0</v>
      </c>
      <c r="T22" s="190">
        <v>0</v>
      </c>
      <c r="U22" s="190">
        <v>0</v>
      </c>
      <c r="V22" s="190">
        <v>6060916</v>
      </c>
      <c r="W22" s="190">
        <v>23146876</v>
      </c>
      <c r="X22" s="190">
        <v>4000000</v>
      </c>
      <c r="Y22" s="190">
        <v>0</v>
      </c>
      <c r="Z22" s="190">
        <v>621095392</v>
      </c>
      <c r="AA22" s="190">
        <v>50035392</v>
      </c>
      <c r="AB22" s="190">
        <v>24934140</v>
      </c>
      <c r="AC22" s="190">
        <v>24934140</v>
      </c>
      <c r="AD22" s="190">
        <v>178886363.59999999</v>
      </c>
      <c r="AE22" s="190">
        <v>145513067.59999999</v>
      </c>
      <c r="AF22" s="190">
        <v>145513067.59999999</v>
      </c>
      <c r="AG22" s="190">
        <v>0</v>
      </c>
      <c r="AH22" s="190">
        <v>1065249</v>
      </c>
      <c r="AI22" s="190">
        <v>1065249</v>
      </c>
      <c r="AJ22" s="190">
        <v>1065249</v>
      </c>
      <c r="AK22" s="190">
        <v>0</v>
      </c>
      <c r="AL22" s="190">
        <v>48600448.390000001</v>
      </c>
      <c r="AM22" s="190">
        <v>332318527.56</v>
      </c>
      <c r="AN22" s="190">
        <v>135300612.93000001</v>
      </c>
      <c r="AO22" s="190">
        <v>0</v>
      </c>
      <c r="AP22" s="190">
        <v>0</v>
      </c>
      <c r="AQ22" s="190">
        <v>0</v>
      </c>
      <c r="AR22" s="190">
        <v>0</v>
      </c>
      <c r="AS22" s="190">
        <v>0</v>
      </c>
      <c r="AT22" s="190">
        <v>233337646.5</v>
      </c>
      <c r="AU22" s="190">
        <v>236246014.47999999</v>
      </c>
      <c r="AV22" s="190">
        <v>0</v>
      </c>
      <c r="AW22" s="190">
        <v>0</v>
      </c>
      <c r="AX22" s="190">
        <v>459535927.75</v>
      </c>
      <c r="AY22" s="190">
        <v>194245268.24000001</v>
      </c>
      <c r="AZ22" s="190">
        <v>50479268.240000002</v>
      </c>
      <c r="BA22" s="190">
        <v>0</v>
      </c>
      <c r="BB22" s="190">
        <v>20471041.780000001</v>
      </c>
      <c r="BC22" s="190">
        <v>14071041.779999999</v>
      </c>
      <c r="BD22" s="190">
        <v>14071041.779999999</v>
      </c>
      <c r="BE22" s="190">
        <v>0</v>
      </c>
      <c r="BF22" s="190">
        <v>188048678.69</v>
      </c>
      <c r="BG22" s="190">
        <v>161945142</v>
      </c>
      <c r="BH22" s="190">
        <v>0</v>
      </c>
      <c r="BI22" s="190">
        <v>0</v>
      </c>
      <c r="BJ22" s="190">
        <v>63797217</v>
      </c>
      <c r="BK22" s="190">
        <v>63797217</v>
      </c>
      <c r="BL22" s="190">
        <v>33000000</v>
      </c>
      <c r="BM22" s="190">
        <v>0</v>
      </c>
      <c r="BN22" s="190">
        <v>14550000</v>
      </c>
      <c r="BO22" s="190">
        <v>1833035.57</v>
      </c>
      <c r="BP22" s="190">
        <v>344618028</v>
      </c>
      <c r="BQ22" s="190">
        <v>160456190</v>
      </c>
      <c r="BR22" s="190">
        <v>58479259.020000003</v>
      </c>
      <c r="BS22" s="190">
        <v>261740000</v>
      </c>
      <c r="BT22" s="190">
        <v>1862251764.1800001</v>
      </c>
      <c r="BU22" s="190">
        <v>0</v>
      </c>
      <c r="BV22" s="190">
        <v>110863264.86</v>
      </c>
      <c r="BW22" s="190">
        <v>0</v>
      </c>
    </row>
    <row r="23" spans="1:75">
      <c r="A23" s="190" t="s">
        <v>239</v>
      </c>
      <c r="B23" s="190">
        <v>0</v>
      </c>
      <c r="C23" s="190">
        <v>0</v>
      </c>
      <c r="D23" s="190">
        <v>0</v>
      </c>
      <c r="E23" s="190">
        <v>0</v>
      </c>
      <c r="F23" s="190">
        <v>0</v>
      </c>
      <c r="G23" s="190">
        <v>0</v>
      </c>
      <c r="H23" s="190">
        <v>0</v>
      </c>
      <c r="I23" s="190">
        <v>0</v>
      </c>
      <c r="J23" s="190">
        <v>0</v>
      </c>
      <c r="K23" s="190">
        <v>0</v>
      </c>
      <c r="L23" s="190">
        <v>0</v>
      </c>
      <c r="M23" s="190">
        <v>0</v>
      </c>
      <c r="N23" s="190">
        <v>64294076.009999998</v>
      </c>
      <c r="O23" s="190">
        <v>0</v>
      </c>
      <c r="P23" s="190">
        <v>0</v>
      </c>
      <c r="Q23" s="190">
        <v>0</v>
      </c>
      <c r="R23" s="190">
        <v>2406835.14</v>
      </c>
      <c r="S23" s="190">
        <v>0</v>
      </c>
      <c r="T23" s="190">
        <v>0</v>
      </c>
      <c r="U23" s="190">
        <v>0</v>
      </c>
      <c r="V23" s="190">
        <v>61910349.130000003</v>
      </c>
      <c r="W23" s="190">
        <v>67399978.109999999</v>
      </c>
      <c r="X23" s="190">
        <v>60105353.490000002</v>
      </c>
      <c r="Y23" s="190">
        <v>0</v>
      </c>
      <c r="Z23" s="190">
        <v>97835647.530000001</v>
      </c>
      <c r="AA23" s="190">
        <v>571060000</v>
      </c>
      <c r="AB23" s="190">
        <v>0</v>
      </c>
      <c r="AC23" s="190">
        <v>0</v>
      </c>
      <c r="AD23" s="190">
        <v>0</v>
      </c>
      <c r="AE23" s="190">
        <v>0</v>
      </c>
      <c r="AF23" s="190">
        <v>0</v>
      </c>
      <c r="AG23" s="190">
        <v>0</v>
      </c>
      <c r="AH23" s="190">
        <v>0</v>
      </c>
      <c r="AI23" s="190">
        <v>0</v>
      </c>
      <c r="AJ23" s="190">
        <v>0</v>
      </c>
      <c r="AK23" s="190">
        <v>0</v>
      </c>
      <c r="AL23" s="190">
        <v>227256611.59</v>
      </c>
      <c r="AM23" s="190">
        <v>0</v>
      </c>
      <c r="AN23" s="190">
        <v>0</v>
      </c>
      <c r="AO23" s="190">
        <v>0</v>
      </c>
      <c r="AP23" s="190">
        <v>0</v>
      </c>
      <c r="AQ23" s="190">
        <v>0</v>
      </c>
      <c r="AR23" s="190">
        <v>0</v>
      </c>
      <c r="AS23" s="190">
        <v>0</v>
      </c>
      <c r="AT23" s="190">
        <v>0</v>
      </c>
      <c r="AU23" s="190">
        <v>0</v>
      </c>
      <c r="AV23" s="190">
        <v>231337646.5</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row>
    <row r="24" spans="1:75">
      <c r="A24" s="190" t="s">
        <v>240</v>
      </c>
      <c r="B24" s="190">
        <v>0</v>
      </c>
      <c r="C24" s="190">
        <v>0</v>
      </c>
      <c r="D24" s="190">
        <v>0</v>
      </c>
      <c r="E24" s="190">
        <v>0</v>
      </c>
      <c r="F24" s="190">
        <v>1474225.45</v>
      </c>
      <c r="G24" s="190">
        <v>1475237.66</v>
      </c>
      <c r="H24" s="190">
        <v>1213448.54</v>
      </c>
      <c r="I24" s="190">
        <v>975128.15</v>
      </c>
      <c r="J24" s="190">
        <v>5179041.67</v>
      </c>
      <c r="K24" s="190">
        <v>11137148.17</v>
      </c>
      <c r="L24" s="190">
        <v>8352006.9000000004</v>
      </c>
      <c r="M24" s="190">
        <v>7768434.7999999998</v>
      </c>
      <c r="N24" s="190">
        <v>231431929.33000001</v>
      </c>
      <c r="O24" s="190">
        <v>21111580.920000002</v>
      </c>
      <c r="P24" s="190">
        <v>28784328.739999998</v>
      </c>
      <c r="Q24" s="190">
        <v>5733039.4199999999</v>
      </c>
      <c r="R24" s="190">
        <v>41080704.850000001</v>
      </c>
      <c r="S24" s="190">
        <v>35039632.200000003</v>
      </c>
      <c r="T24" s="190">
        <v>40307244.740000002</v>
      </c>
      <c r="U24" s="190">
        <v>21595005.43</v>
      </c>
      <c r="V24" s="190">
        <v>53974383.460000001</v>
      </c>
      <c r="W24" s="190">
        <v>0</v>
      </c>
      <c r="X24" s="190">
        <v>0</v>
      </c>
      <c r="Y24" s="190">
        <v>0</v>
      </c>
      <c r="Z24" s="190">
        <v>57405890.890000001</v>
      </c>
      <c r="AA24" s="190">
        <v>0</v>
      </c>
      <c r="AB24" s="190">
        <v>84921533.810000002</v>
      </c>
      <c r="AC24" s="190">
        <v>88897015.629999995</v>
      </c>
      <c r="AD24" s="190">
        <v>0</v>
      </c>
      <c r="AE24" s="190">
        <v>0</v>
      </c>
      <c r="AF24" s="190">
        <v>0</v>
      </c>
      <c r="AG24" s="190">
        <v>0</v>
      </c>
      <c r="AH24" s="190">
        <v>0</v>
      </c>
      <c r="AI24" s="190">
        <v>0</v>
      </c>
      <c r="AJ24" s="190">
        <v>0</v>
      </c>
      <c r="AK24" s="190">
        <v>0</v>
      </c>
      <c r="AL24" s="190">
        <v>50000000</v>
      </c>
      <c r="AM24" s="190">
        <v>0</v>
      </c>
      <c r="AN24" s="190">
        <v>0</v>
      </c>
      <c r="AO24" s="190">
        <v>0</v>
      </c>
      <c r="AP24" s="190">
        <v>0</v>
      </c>
      <c r="AQ24" s="190">
        <v>5411415.5800000001</v>
      </c>
      <c r="AR24" s="190">
        <v>3640710.51</v>
      </c>
      <c r="AS24" s="190">
        <v>6587674.6600000001</v>
      </c>
      <c r="AT24" s="190">
        <v>0</v>
      </c>
      <c r="AU24" s="190">
        <v>0</v>
      </c>
      <c r="AV24" s="190">
        <v>0</v>
      </c>
      <c r="AW24" s="190">
        <v>0</v>
      </c>
      <c r="AX24" s="190">
        <v>0</v>
      </c>
      <c r="AY24" s="190">
        <v>1735400.19</v>
      </c>
      <c r="AZ24" s="190">
        <v>0</v>
      </c>
      <c r="BA24" s="190">
        <v>4881010.03</v>
      </c>
      <c r="BB24" s="190">
        <v>0</v>
      </c>
      <c r="BC24" s="190">
        <v>0</v>
      </c>
      <c r="BD24" s="190">
        <v>0</v>
      </c>
      <c r="BE24" s="190">
        <v>0</v>
      </c>
      <c r="BF24" s="190">
        <v>48186224.600000001</v>
      </c>
      <c r="BG24" s="190">
        <v>14000</v>
      </c>
      <c r="BH24" s="190">
        <v>0</v>
      </c>
      <c r="BI24" s="190">
        <v>0</v>
      </c>
      <c r="BJ24" s="190">
        <v>199600.81</v>
      </c>
      <c r="BK24" s="190">
        <v>3000000</v>
      </c>
      <c r="BL24" s="190">
        <v>0</v>
      </c>
      <c r="BM24" s="190">
        <v>0</v>
      </c>
      <c r="BN24" s="190">
        <v>0</v>
      </c>
      <c r="BO24" s="190">
        <v>0</v>
      </c>
      <c r="BP24" s="190">
        <v>0</v>
      </c>
      <c r="BQ24" s="190">
        <v>17295810</v>
      </c>
      <c r="BR24" s="190">
        <v>403031484</v>
      </c>
      <c r="BS24" s="190">
        <v>0</v>
      </c>
      <c r="BT24" s="190">
        <v>0</v>
      </c>
      <c r="BU24" s="190">
        <v>2610000</v>
      </c>
      <c r="BV24" s="190">
        <v>1321259.9099999999</v>
      </c>
      <c r="BW24" s="190">
        <v>0</v>
      </c>
    </row>
    <row r="25" spans="1:75">
      <c r="A25" s="190" t="s">
        <v>241</v>
      </c>
      <c r="B25" s="190">
        <v>264172522.75</v>
      </c>
      <c r="C25" s="190">
        <v>194787493.34</v>
      </c>
      <c r="D25" s="190">
        <v>124779699.81999999</v>
      </c>
      <c r="E25" s="190">
        <v>69487989.120000005</v>
      </c>
      <c r="F25" s="190">
        <v>194728427.84999999</v>
      </c>
      <c r="G25" s="190">
        <v>107845728.36</v>
      </c>
      <c r="H25" s="190">
        <v>76246807.799999997</v>
      </c>
      <c r="I25" s="190">
        <v>27316991.73</v>
      </c>
      <c r="J25" s="190">
        <v>545802110.5</v>
      </c>
      <c r="K25" s="190">
        <v>557204559.29999995</v>
      </c>
      <c r="L25" s="190">
        <v>497882872.42000002</v>
      </c>
      <c r="M25" s="190">
        <v>361335875.89999998</v>
      </c>
      <c r="N25" s="190">
        <v>678452746.88</v>
      </c>
      <c r="O25" s="190">
        <v>256800133.69999999</v>
      </c>
      <c r="P25" s="190">
        <v>204608345.41</v>
      </c>
      <c r="Q25" s="190">
        <v>97172259.680000007</v>
      </c>
      <c r="R25" s="190">
        <v>522219681.13999999</v>
      </c>
      <c r="S25" s="190">
        <v>336482237.79000002</v>
      </c>
      <c r="T25" s="190">
        <v>181905287.18000001</v>
      </c>
      <c r="U25" s="190">
        <v>94609910.939999998</v>
      </c>
      <c r="V25" s="190">
        <v>459956238.75999999</v>
      </c>
      <c r="W25" s="190">
        <v>295496786.08999997</v>
      </c>
      <c r="X25" s="190">
        <v>208804633.59999999</v>
      </c>
      <c r="Y25" s="190">
        <v>65920338.539999999</v>
      </c>
      <c r="Z25" s="190">
        <v>1286234934.5599999</v>
      </c>
      <c r="AA25" s="190">
        <v>797152630.34000003</v>
      </c>
      <c r="AB25" s="190">
        <v>264794017.94999999</v>
      </c>
      <c r="AC25" s="190">
        <v>170497507.53999999</v>
      </c>
      <c r="AD25" s="190">
        <v>365245890.57999998</v>
      </c>
      <c r="AE25" s="190">
        <v>269474341.41000003</v>
      </c>
      <c r="AF25" s="190">
        <v>238637874.91</v>
      </c>
      <c r="AG25" s="190">
        <v>55242032.75</v>
      </c>
      <c r="AH25" s="190">
        <v>292764997.41000003</v>
      </c>
      <c r="AI25" s="190">
        <v>232070402.43000001</v>
      </c>
      <c r="AJ25" s="190">
        <v>144921245.90000001</v>
      </c>
      <c r="AK25" s="190">
        <v>72247652.370000005</v>
      </c>
      <c r="AL25" s="190">
        <v>530314381.26999998</v>
      </c>
      <c r="AM25" s="190">
        <v>483519156.02999997</v>
      </c>
      <c r="AN25" s="190">
        <v>246939820.93000001</v>
      </c>
      <c r="AO25" s="190">
        <v>62593595.009999998</v>
      </c>
      <c r="AP25" s="190">
        <v>345652483.20999998</v>
      </c>
      <c r="AQ25" s="190">
        <v>205093236.75</v>
      </c>
      <c r="AR25" s="190">
        <v>143303753.36000001</v>
      </c>
      <c r="AS25" s="190">
        <v>94637444.829999998</v>
      </c>
      <c r="AT25" s="190">
        <v>436526446.70999998</v>
      </c>
      <c r="AU25" s="190">
        <v>372319838.01999998</v>
      </c>
      <c r="AV25" s="190">
        <v>300922676.93000001</v>
      </c>
      <c r="AW25" s="190">
        <v>30403694.079999998</v>
      </c>
      <c r="AX25" s="190">
        <v>619703824.54999995</v>
      </c>
      <c r="AY25" s="190">
        <v>319584639.06999999</v>
      </c>
      <c r="AZ25" s="190">
        <v>130477628.7</v>
      </c>
      <c r="BA25" s="190">
        <v>46794122.219999999</v>
      </c>
      <c r="BB25" s="190">
        <v>215847765.99000001</v>
      </c>
      <c r="BC25" s="190">
        <v>150927135.06999999</v>
      </c>
      <c r="BD25" s="190">
        <v>123825433.03</v>
      </c>
      <c r="BE25" s="190">
        <v>11621109.43</v>
      </c>
      <c r="BF25" s="190">
        <v>416106526.32999998</v>
      </c>
      <c r="BG25" s="190">
        <v>222145231.05000001</v>
      </c>
      <c r="BH25" s="190">
        <v>35360561.850000001</v>
      </c>
      <c r="BI25" s="190">
        <v>22426882.170000002</v>
      </c>
      <c r="BJ25" s="190">
        <v>302478586.05000001</v>
      </c>
      <c r="BK25" s="190">
        <v>143560446.65000001</v>
      </c>
      <c r="BL25" s="190">
        <v>95749809.329999998</v>
      </c>
      <c r="BM25" s="190">
        <v>15069822.77</v>
      </c>
      <c r="BN25" s="190">
        <v>118595321.84</v>
      </c>
      <c r="BO25" s="190">
        <v>23343205.52</v>
      </c>
      <c r="BP25" s="190">
        <v>402703773.12</v>
      </c>
      <c r="BQ25" s="190">
        <v>196623331.61000001</v>
      </c>
      <c r="BR25" s="190">
        <v>569439282.30999994</v>
      </c>
      <c r="BS25" s="190">
        <v>303214775.70999998</v>
      </c>
      <c r="BT25" s="190">
        <v>1008680181.52</v>
      </c>
      <c r="BU25" s="190">
        <v>8558169.1899999995</v>
      </c>
      <c r="BV25" s="190">
        <v>58425244</v>
      </c>
      <c r="BW25" s="190">
        <v>0</v>
      </c>
    </row>
    <row r="26" spans="1:75">
      <c r="A26" s="190" t="s">
        <v>242</v>
      </c>
      <c r="B26" s="190">
        <v>1246151539.52</v>
      </c>
      <c r="C26" s="190">
        <v>898775499.38999999</v>
      </c>
      <c r="D26" s="190">
        <v>707480708.32000005</v>
      </c>
      <c r="E26" s="190">
        <v>1564226716.1800001</v>
      </c>
      <c r="F26" s="190">
        <v>952027018.67999995</v>
      </c>
      <c r="G26" s="190">
        <v>366655951.66000003</v>
      </c>
      <c r="H26" s="190">
        <v>976944243.63</v>
      </c>
      <c r="I26" s="190">
        <v>33885094.5</v>
      </c>
      <c r="J26" s="190">
        <v>598964513.44000006</v>
      </c>
      <c r="K26" s="190">
        <v>-18734534.850000001</v>
      </c>
      <c r="L26" s="190">
        <v>119204633.97</v>
      </c>
      <c r="M26" s="190">
        <v>-293919666.01999998</v>
      </c>
      <c r="N26" s="190">
        <v>-59675548.969999999</v>
      </c>
      <c r="O26" s="190">
        <v>-9764394.5199999996</v>
      </c>
      <c r="P26" s="190">
        <v>-45850175.030000001</v>
      </c>
      <c r="Q26" s="190">
        <v>-66942720.780000001</v>
      </c>
      <c r="R26" s="190">
        <v>10238077.49</v>
      </c>
      <c r="S26" s="190">
        <v>17039065.329999998</v>
      </c>
      <c r="T26" s="190">
        <v>30184096.469999999</v>
      </c>
      <c r="U26" s="190">
        <v>44930528.460000001</v>
      </c>
      <c r="V26" s="190">
        <v>-38765870.939999998</v>
      </c>
      <c r="W26" s="190">
        <v>-44285959.32</v>
      </c>
      <c r="X26" s="190">
        <v>-11029227.92</v>
      </c>
      <c r="Y26" s="190">
        <v>-59888158.890000001</v>
      </c>
      <c r="Z26" s="190">
        <v>-539088007.80999994</v>
      </c>
      <c r="AA26" s="190">
        <v>-427809792.25</v>
      </c>
      <c r="AB26" s="190">
        <v>-10898804.34</v>
      </c>
      <c r="AC26" s="190">
        <v>-103733165.48999999</v>
      </c>
      <c r="AD26" s="190">
        <v>-40493539.649999999</v>
      </c>
      <c r="AE26" s="190">
        <v>-61066881.189999998</v>
      </c>
      <c r="AF26" s="190">
        <v>-218296323.78999999</v>
      </c>
      <c r="AG26" s="190">
        <v>-49284472.759999998</v>
      </c>
      <c r="AH26" s="190">
        <v>38024345.950000003</v>
      </c>
      <c r="AI26" s="190">
        <v>-4964444.34</v>
      </c>
      <c r="AJ26" s="190">
        <v>-21046105.219999999</v>
      </c>
      <c r="AK26" s="190">
        <v>-12016521.720000001</v>
      </c>
      <c r="AL26" s="190">
        <v>16571926.82</v>
      </c>
      <c r="AM26" s="190">
        <v>-42311994.380000003</v>
      </c>
      <c r="AN26" s="190">
        <v>67114898.400000006</v>
      </c>
      <c r="AO26" s="190">
        <v>167889124.87</v>
      </c>
      <c r="AP26" s="190">
        <v>-75027869</v>
      </c>
      <c r="AQ26" s="190">
        <v>-10177089.619999999</v>
      </c>
      <c r="AR26" s="190">
        <v>-56030546.68</v>
      </c>
      <c r="AS26" s="190">
        <v>-83735877.650000006</v>
      </c>
      <c r="AT26" s="190">
        <v>-191473101.03999999</v>
      </c>
      <c r="AU26" s="190">
        <v>-299266405.07999998</v>
      </c>
      <c r="AV26" s="190">
        <v>-265211050.13999999</v>
      </c>
      <c r="AW26" s="190">
        <v>-16849082.629999999</v>
      </c>
      <c r="AX26" s="190">
        <v>40060140.939999998</v>
      </c>
      <c r="AY26" s="190">
        <v>199576202.19999999</v>
      </c>
      <c r="AZ26" s="190">
        <v>103780999.23999999</v>
      </c>
      <c r="BA26" s="190">
        <v>41438515.759999998</v>
      </c>
      <c r="BB26" s="190">
        <v>-1119520.22</v>
      </c>
      <c r="BC26" s="190">
        <v>-23977886.27</v>
      </c>
      <c r="BD26" s="190">
        <v>-22914827.030000001</v>
      </c>
      <c r="BE26" s="190">
        <v>27186371.690000001</v>
      </c>
      <c r="BF26" s="190">
        <v>-249120242.66</v>
      </c>
      <c r="BG26" s="190">
        <v>-101376809.38</v>
      </c>
      <c r="BH26" s="190">
        <v>22350459.579999998</v>
      </c>
      <c r="BI26" s="190">
        <v>-16392846.57</v>
      </c>
      <c r="BJ26" s="190">
        <v>38299397.740000002</v>
      </c>
      <c r="BK26" s="190">
        <v>21686563.390000001</v>
      </c>
      <c r="BL26" s="190">
        <v>69529745.290000007</v>
      </c>
      <c r="BM26" s="190">
        <v>-9018116.9700000007</v>
      </c>
      <c r="BN26" s="190">
        <v>82180232.799999997</v>
      </c>
      <c r="BO26" s="190">
        <v>53133991.509999998</v>
      </c>
      <c r="BP26" s="190">
        <v>-293736478.5</v>
      </c>
      <c r="BQ26" s="190">
        <v>-129660538.23</v>
      </c>
      <c r="BR26" s="190">
        <v>-33198979.260000002</v>
      </c>
      <c r="BS26" s="190">
        <v>-28897155.48</v>
      </c>
      <c r="BT26" s="190">
        <v>-739433015.62</v>
      </c>
      <c r="BU26" s="190">
        <v>18227118.780000001</v>
      </c>
      <c r="BV26" s="190">
        <v>1996381416.8399999</v>
      </c>
      <c r="BW26" s="190">
        <v>0</v>
      </c>
    </row>
    <row r="27" spans="1:75">
      <c r="A27" s="190" t="s">
        <v>243</v>
      </c>
    </row>
    <row r="28" spans="1:75">
      <c r="A28" s="190" t="s">
        <v>244</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4220946.96</v>
      </c>
      <c r="S28" s="190">
        <v>4220946.96</v>
      </c>
      <c r="T28" s="190">
        <v>0</v>
      </c>
      <c r="U28" s="190">
        <v>0</v>
      </c>
      <c r="V28" s="190">
        <v>0</v>
      </c>
      <c r="W28" s="190">
        <v>0</v>
      </c>
      <c r="X28" s="190">
        <v>0</v>
      </c>
      <c r="Y28" s="190">
        <v>0</v>
      </c>
      <c r="Z28" s="190">
        <v>0</v>
      </c>
      <c r="AA28" s="190">
        <v>0</v>
      </c>
      <c r="AB28" s="190">
        <v>0</v>
      </c>
      <c r="AC28" s="190">
        <v>0</v>
      </c>
      <c r="AD28" s="190">
        <v>3681592.75</v>
      </c>
      <c r="AE28" s="190">
        <v>0</v>
      </c>
      <c r="AF28" s="190">
        <v>0</v>
      </c>
      <c r="AG28" s="190">
        <v>0</v>
      </c>
      <c r="AH28" s="190">
        <v>0</v>
      </c>
      <c r="AI28" s="190">
        <v>0</v>
      </c>
      <c r="AJ28" s="190">
        <v>0</v>
      </c>
      <c r="AK28" s="190">
        <v>0</v>
      </c>
      <c r="AL28" s="190">
        <v>6252000</v>
      </c>
      <c r="AM28" s="190">
        <v>6252000</v>
      </c>
      <c r="AN28" s="190">
        <v>0</v>
      </c>
      <c r="AO28" s="190">
        <v>0</v>
      </c>
      <c r="AP28" s="190">
        <v>0</v>
      </c>
      <c r="AQ28" s="190">
        <v>0</v>
      </c>
      <c r="AR28" s="190">
        <v>0</v>
      </c>
      <c r="AS28" s="190">
        <v>0</v>
      </c>
      <c r="AT28" s="190">
        <v>0</v>
      </c>
      <c r="AU28" s="190">
        <v>0</v>
      </c>
      <c r="AV28" s="190">
        <v>0</v>
      </c>
      <c r="AW28" s="190">
        <v>0</v>
      </c>
      <c r="AX28" s="190">
        <v>9750000</v>
      </c>
      <c r="AY28" s="190">
        <v>9750000</v>
      </c>
      <c r="AZ28" s="190">
        <v>9750000</v>
      </c>
      <c r="BA28" s="190">
        <v>0</v>
      </c>
      <c r="BB28" s="190">
        <v>4084000</v>
      </c>
      <c r="BC28" s="190">
        <v>4084000</v>
      </c>
      <c r="BD28" s="190">
        <v>4084000</v>
      </c>
      <c r="BE28" s="190">
        <v>0</v>
      </c>
      <c r="BF28" s="190">
        <v>0</v>
      </c>
      <c r="BG28" s="190">
        <v>0</v>
      </c>
      <c r="BH28" s="190">
        <v>0</v>
      </c>
      <c r="BI28" s="190">
        <v>0</v>
      </c>
      <c r="BJ28" s="190">
        <v>0</v>
      </c>
      <c r="BK28" s="190">
        <v>0</v>
      </c>
      <c r="BL28" s="190">
        <v>0</v>
      </c>
      <c r="BM28" s="190">
        <v>0</v>
      </c>
      <c r="BN28" s="190">
        <v>0</v>
      </c>
      <c r="BO28" s="190">
        <v>0</v>
      </c>
      <c r="BP28" s="190">
        <v>0</v>
      </c>
      <c r="BQ28" s="190">
        <v>0</v>
      </c>
      <c r="BR28" s="190">
        <v>1786060.49</v>
      </c>
      <c r="BS28" s="190">
        <v>0</v>
      </c>
      <c r="BT28" s="190">
        <v>1392020681</v>
      </c>
      <c r="BU28" s="190">
        <v>0</v>
      </c>
      <c r="BV28" s="190">
        <v>0</v>
      </c>
      <c r="BW28" s="190">
        <v>0</v>
      </c>
    </row>
    <row r="29" spans="1:7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4220946.96</v>
      </c>
      <c r="S29" s="190">
        <v>4220946.96</v>
      </c>
      <c r="T29" s="190">
        <v>0</v>
      </c>
      <c r="U29" s="190">
        <v>0</v>
      </c>
      <c r="V29" s="190">
        <v>0</v>
      </c>
      <c r="W29" s="190">
        <v>0</v>
      </c>
      <c r="X29" s="190">
        <v>0</v>
      </c>
      <c r="Y29" s="190">
        <v>0</v>
      </c>
      <c r="Z29" s="190">
        <v>0</v>
      </c>
      <c r="AA29" s="190">
        <v>0</v>
      </c>
      <c r="AB29" s="190">
        <v>0</v>
      </c>
      <c r="AC29" s="190">
        <v>0</v>
      </c>
      <c r="AD29" s="190">
        <v>3681592.75</v>
      </c>
      <c r="AE29" s="190">
        <v>0</v>
      </c>
      <c r="AF29" s="190">
        <v>0</v>
      </c>
      <c r="AG29" s="190">
        <v>0</v>
      </c>
      <c r="AH29" s="190">
        <v>0</v>
      </c>
      <c r="AI29" s="190">
        <v>0</v>
      </c>
      <c r="AJ29" s="190">
        <v>0</v>
      </c>
      <c r="AK29" s="190">
        <v>0</v>
      </c>
      <c r="AL29" s="190">
        <v>6252000</v>
      </c>
      <c r="AM29" s="190">
        <v>0</v>
      </c>
      <c r="AN29" s="190">
        <v>0</v>
      </c>
      <c r="AO29" s="190">
        <v>0</v>
      </c>
      <c r="AP29" s="190">
        <v>0</v>
      </c>
      <c r="AQ29" s="190">
        <v>0</v>
      </c>
      <c r="AR29" s="190">
        <v>0</v>
      </c>
      <c r="AS29" s="190">
        <v>0</v>
      </c>
      <c r="AT29" s="190">
        <v>0</v>
      </c>
      <c r="AU29" s="190">
        <v>0</v>
      </c>
      <c r="AV29" s="190">
        <v>0</v>
      </c>
      <c r="AW29" s="190">
        <v>0</v>
      </c>
      <c r="AX29" s="190">
        <v>9750000</v>
      </c>
      <c r="AY29" s="190">
        <v>0</v>
      </c>
      <c r="AZ29" s="190">
        <v>9750000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row>
    <row r="30" spans="1:75">
      <c r="A30" s="190" t="s">
        <v>246</v>
      </c>
      <c r="B30" s="190">
        <v>39000000</v>
      </c>
      <c r="C30" s="190">
        <v>19500000</v>
      </c>
      <c r="D30" s="190">
        <v>14500000</v>
      </c>
      <c r="E30" s="190">
        <v>14500000</v>
      </c>
      <c r="F30" s="190">
        <v>34500000</v>
      </c>
      <c r="G30" s="190">
        <v>15000000</v>
      </c>
      <c r="H30" s="190">
        <v>10000000</v>
      </c>
      <c r="I30" s="190">
        <v>10000000</v>
      </c>
      <c r="J30" s="190">
        <v>29500000</v>
      </c>
      <c r="K30" s="190">
        <v>10000000</v>
      </c>
      <c r="L30" s="190">
        <v>10000000</v>
      </c>
      <c r="M30" s="190">
        <v>8582780</v>
      </c>
      <c r="N30" s="190">
        <v>52469220</v>
      </c>
      <c r="O30" s="190">
        <v>59310412.549999997</v>
      </c>
      <c r="P30" s="190">
        <v>25310412.550000001</v>
      </c>
      <c r="Q30" s="190">
        <v>18322000</v>
      </c>
      <c r="R30" s="190">
        <v>1575624674.99</v>
      </c>
      <c r="S30" s="190">
        <v>79216000</v>
      </c>
      <c r="T30" s="190">
        <v>64352756.5</v>
      </c>
      <c r="U30" s="190">
        <v>50700000</v>
      </c>
      <c r="V30" s="190">
        <v>340478779.29000002</v>
      </c>
      <c r="W30" s="190">
        <v>212500000</v>
      </c>
      <c r="X30" s="190">
        <v>152500000</v>
      </c>
      <c r="Y30" s="190">
        <v>38000000</v>
      </c>
      <c r="Z30" s="190">
        <v>1617752850.48</v>
      </c>
      <c r="AA30" s="190">
        <v>206885000</v>
      </c>
      <c r="AB30" s="190">
        <v>156885000</v>
      </c>
      <c r="AC30" s="190">
        <v>38985000</v>
      </c>
      <c r="AD30" s="190">
        <v>359145000</v>
      </c>
      <c r="AE30" s="190">
        <v>222500000</v>
      </c>
      <c r="AF30" s="190">
        <v>147915464</v>
      </c>
      <c r="AG30" s="190">
        <v>28000000</v>
      </c>
      <c r="AH30" s="190">
        <v>341084536</v>
      </c>
      <c r="AI30" s="190">
        <v>188000000</v>
      </c>
      <c r="AJ30" s="190">
        <v>143000000</v>
      </c>
      <c r="AK30" s="190">
        <v>98000000</v>
      </c>
      <c r="AL30" s="190">
        <v>729500000</v>
      </c>
      <c r="AM30" s="190">
        <v>469500000</v>
      </c>
      <c r="AN30" s="190">
        <v>216500000</v>
      </c>
      <c r="AO30" s="190">
        <v>110000000</v>
      </c>
      <c r="AP30" s="190">
        <v>410500000</v>
      </c>
      <c r="AQ30" s="190">
        <v>230000000</v>
      </c>
      <c r="AR30" s="190">
        <v>254055709</v>
      </c>
      <c r="AS30" s="190">
        <v>115000000</v>
      </c>
      <c r="AT30" s="190">
        <v>501715528</v>
      </c>
      <c r="AU30" s="190">
        <v>452000000</v>
      </c>
      <c r="AV30" s="190">
        <v>378000000</v>
      </c>
      <c r="AW30" s="190">
        <v>111000000</v>
      </c>
      <c r="AX30" s="190">
        <v>483775880</v>
      </c>
      <c r="AY30" s="190">
        <v>346800000</v>
      </c>
      <c r="AZ30" s="190">
        <v>293800000</v>
      </c>
      <c r="BA30" s="190">
        <v>92300000</v>
      </c>
      <c r="BB30" s="190">
        <v>980900000</v>
      </c>
      <c r="BC30" s="190">
        <v>634600000</v>
      </c>
      <c r="BD30" s="190">
        <v>561100000</v>
      </c>
      <c r="BE30" s="190">
        <v>290600000</v>
      </c>
      <c r="BF30" s="190">
        <v>1061540000</v>
      </c>
      <c r="BG30" s="190">
        <v>635600000</v>
      </c>
      <c r="BH30" s="190">
        <v>577100000</v>
      </c>
      <c r="BI30" s="190">
        <v>295100000</v>
      </c>
      <c r="BJ30" s="190">
        <v>1233394800</v>
      </c>
      <c r="BK30" s="190">
        <v>955764800</v>
      </c>
      <c r="BL30" s="190">
        <v>861764800</v>
      </c>
      <c r="BM30" s="190">
        <v>369100000</v>
      </c>
      <c r="BN30" s="190">
        <v>1552612000</v>
      </c>
      <c r="BO30" s="190">
        <v>712640000</v>
      </c>
      <c r="BP30" s="190">
        <v>1014556500</v>
      </c>
      <c r="BQ30" s="190">
        <v>558107500</v>
      </c>
      <c r="BR30" s="190">
        <v>1389655020</v>
      </c>
      <c r="BS30" s="190">
        <v>725073780</v>
      </c>
      <c r="BT30" s="190">
        <v>1114468379.3299999</v>
      </c>
      <c r="BU30" s="190">
        <v>520820580</v>
      </c>
      <c r="BV30" s="190">
        <v>1402441570</v>
      </c>
      <c r="BW30" s="190">
        <v>0</v>
      </c>
    </row>
    <row r="31" spans="1:7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row>
    <row r="32" spans="1:75">
      <c r="A32" s="190" t="s">
        <v>248</v>
      </c>
      <c r="B32" s="190">
        <v>0</v>
      </c>
      <c r="C32" s="190">
        <v>0</v>
      </c>
      <c r="D32" s="190">
        <v>0</v>
      </c>
      <c r="E32" s="190">
        <v>0</v>
      </c>
      <c r="F32" s="190">
        <v>0</v>
      </c>
      <c r="G32" s="190">
        <v>0</v>
      </c>
      <c r="H32" s="190">
        <v>0</v>
      </c>
      <c r="I32" s="190">
        <v>0</v>
      </c>
      <c r="J32" s="190">
        <v>0</v>
      </c>
      <c r="K32" s="190">
        <v>0</v>
      </c>
      <c r="L32" s="190">
        <v>0</v>
      </c>
      <c r="M32" s="190">
        <v>0</v>
      </c>
      <c r="N32" s="190">
        <v>404375000</v>
      </c>
      <c r="O32" s="190">
        <v>404375000</v>
      </c>
      <c r="P32" s="190">
        <v>404375000</v>
      </c>
      <c r="Q32" s="190">
        <v>0</v>
      </c>
      <c r="R32" s="190">
        <v>82780000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5000000</v>
      </c>
      <c r="AI32" s="190">
        <v>5000000</v>
      </c>
      <c r="AJ32" s="190">
        <v>5000000</v>
      </c>
      <c r="AK32" s="190">
        <v>0</v>
      </c>
      <c r="AL32" s="190">
        <v>0</v>
      </c>
      <c r="AM32" s="190">
        <v>0</v>
      </c>
      <c r="AN32" s="190">
        <v>0</v>
      </c>
      <c r="AO32" s="190">
        <v>0</v>
      </c>
      <c r="AP32" s="190">
        <v>0</v>
      </c>
      <c r="AQ32" s="190">
        <v>0</v>
      </c>
      <c r="AR32" s="190">
        <v>0</v>
      </c>
      <c r="AS32" s="190">
        <v>0</v>
      </c>
      <c r="AT32" s="190">
        <v>0</v>
      </c>
      <c r="AU32" s="190">
        <v>1100000</v>
      </c>
      <c r="AV32" s="190">
        <v>0</v>
      </c>
      <c r="AW32" s="190">
        <v>0</v>
      </c>
      <c r="AX32" s="190">
        <v>0</v>
      </c>
      <c r="AY32" s="190">
        <v>6376.63</v>
      </c>
      <c r="AZ32" s="190">
        <v>0</v>
      </c>
      <c r="BA32" s="190">
        <v>11300.1</v>
      </c>
      <c r="BB32" s="190">
        <v>0</v>
      </c>
      <c r="BC32" s="190">
        <v>15403.21</v>
      </c>
      <c r="BD32" s="190">
        <v>0</v>
      </c>
      <c r="BE32" s="190">
        <v>0</v>
      </c>
      <c r="BF32" s="190">
        <v>0</v>
      </c>
      <c r="BG32" s="190">
        <v>130200</v>
      </c>
      <c r="BH32" s="190">
        <v>130200</v>
      </c>
      <c r="BI32" s="190">
        <v>130200</v>
      </c>
      <c r="BJ32" s="190">
        <v>6999500</v>
      </c>
      <c r="BK32" s="190">
        <v>3163208.44</v>
      </c>
      <c r="BL32" s="190">
        <v>3018789.28</v>
      </c>
      <c r="BM32" s="190">
        <v>2979852.75</v>
      </c>
      <c r="BN32" s="190">
        <v>360000</v>
      </c>
      <c r="BO32" s="190">
        <v>0</v>
      </c>
      <c r="BP32" s="190">
        <v>0</v>
      </c>
      <c r="BQ32" s="190">
        <v>821940.96</v>
      </c>
      <c r="BR32" s="190">
        <v>558615.15</v>
      </c>
      <c r="BS32" s="190">
        <v>401675.92</v>
      </c>
      <c r="BT32" s="190">
        <v>1451424.53</v>
      </c>
      <c r="BU32" s="190">
        <v>39232.22</v>
      </c>
      <c r="BV32" s="190">
        <v>165069.32999999999</v>
      </c>
      <c r="BW32" s="190">
        <v>0</v>
      </c>
    </row>
    <row r="33" spans="1:75">
      <c r="A33" s="190" t="s">
        <v>249</v>
      </c>
      <c r="B33" s="190">
        <v>39000000</v>
      </c>
      <c r="C33" s="190">
        <v>19500000</v>
      </c>
      <c r="D33" s="190">
        <v>14500000</v>
      </c>
      <c r="E33" s="190">
        <v>14500000</v>
      </c>
      <c r="F33" s="190">
        <v>34500000</v>
      </c>
      <c r="G33" s="190">
        <v>15000000</v>
      </c>
      <c r="H33" s="190">
        <v>10000000</v>
      </c>
      <c r="I33" s="190">
        <v>10000000</v>
      </c>
      <c r="J33" s="190">
        <v>29500000</v>
      </c>
      <c r="K33" s="190">
        <v>10000000</v>
      </c>
      <c r="L33" s="190">
        <v>10000000</v>
      </c>
      <c r="M33" s="190">
        <v>8582780</v>
      </c>
      <c r="N33" s="190">
        <v>456844220</v>
      </c>
      <c r="O33" s="190">
        <v>463685412.55000001</v>
      </c>
      <c r="P33" s="190">
        <v>429685412.55000001</v>
      </c>
      <c r="Q33" s="190">
        <v>18322000</v>
      </c>
      <c r="R33" s="190">
        <v>1662625621.95</v>
      </c>
      <c r="S33" s="190">
        <v>83436946.959999993</v>
      </c>
      <c r="T33" s="190">
        <v>64352756.5</v>
      </c>
      <c r="U33" s="190">
        <v>50700000</v>
      </c>
      <c r="V33" s="190">
        <v>340478779.29000002</v>
      </c>
      <c r="W33" s="190">
        <v>212500000</v>
      </c>
      <c r="X33" s="190">
        <v>152500000</v>
      </c>
      <c r="Y33" s="190">
        <v>38000000</v>
      </c>
      <c r="Z33" s="190">
        <v>1617752850.48</v>
      </c>
      <c r="AA33" s="190">
        <v>206885000</v>
      </c>
      <c r="AB33" s="190">
        <v>156885000</v>
      </c>
      <c r="AC33" s="190">
        <v>38985000</v>
      </c>
      <c r="AD33" s="190">
        <v>362826592.75</v>
      </c>
      <c r="AE33" s="190">
        <v>222500000</v>
      </c>
      <c r="AF33" s="190">
        <v>147915464</v>
      </c>
      <c r="AG33" s="190">
        <v>28000000</v>
      </c>
      <c r="AH33" s="190">
        <v>346084536</v>
      </c>
      <c r="AI33" s="190">
        <v>193000000</v>
      </c>
      <c r="AJ33" s="190">
        <v>148000000</v>
      </c>
      <c r="AK33" s="190">
        <v>98000000</v>
      </c>
      <c r="AL33" s="190">
        <v>735752000</v>
      </c>
      <c r="AM33" s="190">
        <v>475752000</v>
      </c>
      <c r="AN33" s="190">
        <v>216500000</v>
      </c>
      <c r="AO33" s="190">
        <v>110000000</v>
      </c>
      <c r="AP33" s="190">
        <v>410500000</v>
      </c>
      <c r="AQ33" s="190">
        <v>230000000</v>
      </c>
      <c r="AR33" s="190">
        <v>254055709</v>
      </c>
      <c r="AS33" s="190">
        <v>115000000</v>
      </c>
      <c r="AT33" s="190">
        <v>501715528</v>
      </c>
      <c r="AU33" s="190">
        <v>453100000</v>
      </c>
      <c r="AV33" s="190">
        <v>378000000</v>
      </c>
      <c r="AW33" s="190">
        <v>111000000</v>
      </c>
      <c r="AX33" s="190">
        <v>493525880</v>
      </c>
      <c r="AY33" s="190">
        <v>356556376.63</v>
      </c>
      <c r="AZ33" s="190">
        <v>303550000</v>
      </c>
      <c r="BA33" s="190">
        <v>92311300.099999994</v>
      </c>
      <c r="BB33" s="190">
        <v>984984000</v>
      </c>
      <c r="BC33" s="190">
        <v>638699403.21000004</v>
      </c>
      <c r="BD33" s="190">
        <v>565184000</v>
      </c>
      <c r="BE33" s="190">
        <v>290600000</v>
      </c>
      <c r="BF33" s="190">
        <v>1061540000</v>
      </c>
      <c r="BG33" s="190">
        <v>635730200</v>
      </c>
      <c r="BH33" s="190">
        <v>577230200</v>
      </c>
      <c r="BI33" s="190">
        <v>295230200</v>
      </c>
      <c r="BJ33" s="190">
        <v>1240394300</v>
      </c>
      <c r="BK33" s="190">
        <v>958928008.44000006</v>
      </c>
      <c r="BL33" s="190">
        <v>864783589.27999997</v>
      </c>
      <c r="BM33" s="190">
        <v>372079852.75</v>
      </c>
      <c r="BN33" s="190">
        <v>1552972000</v>
      </c>
      <c r="BO33" s="190">
        <v>712640000</v>
      </c>
      <c r="BP33" s="190">
        <v>1014556500</v>
      </c>
      <c r="BQ33" s="190">
        <v>558929440.96000004</v>
      </c>
      <c r="BR33" s="190">
        <v>1391999695.6400001</v>
      </c>
      <c r="BS33" s="190">
        <v>725475455.91999996</v>
      </c>
      <c r="BT33" s="190">
        <v>2507940484.8600001</v>
      </c>
      <c r="BU33" s="190">
        <v>520859812.22000003</v>
      </c>
      <c r="BV33" s="190">
        <v>1402606639.3299999</v>
      </c>
      <c r="BW33" s="190">
        <v>0</v>
      </c>
    </row>
    <row r="34" spans="1:75">
      <c r="A34" s="190" t="s">
        <v>250</v>
      </c>
      <c r="B34" s="190">
        <v>34500000</v>
      </c>
      <c r="C34" s="190">
        <v>15000000</v>
      </c>
      <c r="D34" s="190">
        <v>10000000</v>
      </c>
      <c r="E34" s="190">
        <v>10000000</v>
      </c>
      <c r="F34" s="190">
        <v>29500000</v>
      </c>
      <c r="G34" s="190">
        <v>10000000</v>
      </c>
      <c r="H34" s="190">
        <v>10000000</v>
      </c>
      <c r="I34" s="190">
        <v>10000000</v>
      </c>
      <c r="J34" s="190">
        <v>48500000</v>
      </c>
      <c r="K34" s="190">
        <v>20917220</v>
      </c>
      <c r="L34" s="190">
        <v>20917220</v>
      </c>
      <c r="M34" s="190">
        <v>15000000</v>
      </c>
      <c r="N34" s="190">
        <v>48500000</v>
      </c>
      <c r="O34" s="190">
        <v>53500000</v>
      </c>
      <c r="P34" s="190">
        <v>19500000</v>
      </c>
      <c r="Q34" s="190">
        <v>15000000</v>
      </c>
      <c r="R34" s="190">
        <v>1580790240</v>
      </c>
      <c r="S34" s="190">
        <v>76170885.579999998</v>
      </c>
      <c r="T34" s="190">
        <v>67228397.480000004</v>
      </c>
      <c r="U34" s="190">
        <v>40578397.479999997</v>
      </c>
      <c r="V34" s="190">
        <v>1879100012</v>
      </c>
      <c r="W34" s="190">
        <v>1634009262.3</v>
      </c>
      <c r="X34" s="190">
        <v>1584009262.3</v>
      </c>
      <c r="Y34" s="190">
        <v>1445600012</v>
      </c>
      <c r="Z34" s="190">
        <v>221720506.78999999</v>
      </c>
      <c r="AA34" s="190">
        <v>225030000</v>
      </c>
      <c r="AB34" s="190">
        <v>171130000</v>
      </c>
      <c r="AC34" s="190">
        <v>53000000</v>
      </c>
      <c r="AD34" s="190">
        <v>231000000</v>
      </c>
      <c r="AE34" s="190">
        <v>122500000</v>
      </c>
      <c r="AF34" s="190">
        <v>62500000</v>
      </c>
      <c r="AG34" s="190">
        <v>13000000</v>
      </c>
      <c r="AH34" s="190">
        <v>640512154.66999996</v>
      </c>
      <c r="AI34" s="190">
        <v>419012154.67000002</v>
      </c>
      <c r="AJ34" s="190">
        <v>315008781.13999999</v>
      </c>
      <c r="AK34" s="190">
        <v>130000000</v>
      </c>
      <c r="AL34" s="190">
        <v>657027442.23000002</v>
      </c>
      <c r="AM34" s="190">
        <v>416500000</v>
      </c>
      <c r="AN34" s="190">
        <v>295500000</v>
      </c>
      <c r="AO34" s="190">
        <v>134000000</v>
      </c>
      <c r="AP34" s="190">
        <v>428870976.33999997</v>
      </c>
      <c r="AQ34" s="190">
        <v>247000000</v>
      </c>
      <c r="AR34" s="190">
        <v>228318755.61000001</v>
      </c>
      <c r="AS34" s="190">
        <v>90144561.719999999</v>
      </c>
      <c r="AT34" s="190">
        <v>475875393.01999998</v>
      </c>
      <c r="AU34" s="190">
        <v>448351390.80000001</v>
      </c>
      <c r="AV34" s="190">
        <v>351012832.19</v>
      </c>
      <c r="AW34" s="190">
        <v>81326909.859999999</v>
      </c>
      <c r="AX34" s="190">
        <v>699305561.45000005</v>
      </c>
      <c r="AY34" s="190">
        <v>567289149.54999995</v>
      </c>
      <c r="AZ34" s="190">
        <v>458229135.86000001</v>
      </c>
      <c r="BA34" s="190">
        <v>127530403.13</v>
      </c>
      <c r="BB34" s="190">
        <v>1093937000</v>
      </c>
      <c r="BC34" s="190">
        <v>741837000</v>
      </c>
      <c r="BD34" s="190">
        <v>611337000</v>
      </c>
      <c r="BE34" s="190">
        <v>249100000</v>
      </c>
      <c r="BF34" s="190">
        <v>1249308312</v>
      </c>
      <c r="BG34" s="190">
        <v>819943970.54999995</v>
      </c>
      <c r="BH34" s="190">
        <v>657530000</v>
      </c>
      <c r="BI34" s="190">
        <v>309300000</v>
      </c>
      <c r="BJ34" s="190">
        <v>1774057000</v>
      </c>
      <c r="BK34" s="190">
        <v>1403407000</v>
      </c>
      <c r="BL34" s="190">
        <v>883307000</v>
      </c>
      <c r="BM34" s="190">
        <v>286825633.25</v>
      </c>
      <c r="BN34" s="190">
        <v>1404572000</v>
      </c>
      <c r="BO34" s="190">
        <v>598117200</v>
      </c>
      <c r="BP34" s="190">
        <v>904921200</v>
      </c>
      <c r="BQ34" s="190">
        <v>416192587</v>
      </c>
      <c r="BR34" s="190">
        <v>1366971380</v>
      </c>
      <c r="BS34" s="190">
        <v>677586562.88</v>
      </c>
      <c r="BT34" s="190">
        <v>1121086840</v>
      </c>
      <c r="BU34" s="190">
        <v>465202780</v>
      </c>
      <c r="BV34" s="190">
        <v>1350144890</v>
      </c>
      <c r="BW34" s="190">
        <v>0</v>
      </c>
    </row>
    <row r="35" spans="1:75">
      <c r="A35" s="190" t="s">
        <v>551</v>
      </c>
      <c r="B35" s="190">
        <v>1420255882.1800001</v>
      </c>
      <c r="C35" s="190">
        <v>1419647033.29</v>
      </c>
      <c r="D35" s="190">
        <v>682396282.87</v>
      </c>
      <c r="E35" s="190">
        <v>73246783.790000007</v>
      </c>
      <c r="F35" s="190">
        <v>1247146865.5799999</v>
      </c>
      <c r="G35" s="190">
        <v>1206175778.0999999</v>
      </c>
      <c r="H35" s="190">
        <v>554575853.34000003</v>
      </c>
      <c r="I35" s="190">
        <v>276293.09000000003</v>
      </c>
      <c r="J35" s="190">
        <v>1147560145.71</v>
      </c>
      <c r="K35" s="190">
        <v>1010695482.46</v>
      </c>
      <c r="L35" s="190">
        <v>360983317.12</v>
      </c>
      <c r="M35" s="190">
        <v>562615.68999999994</v>
      </c>
      <c r="N35" s="190">
        <v>1222546505.1400001</v>
      </c>
      <c r="O35" s="190">
        <v>1152163548.8900001</v>
      </c>
      <c r="P35" s="190">
        <v>420218337.13</v>
      </c>
      <c r="Q35" s="190">
        <v>4336628.04</v>
      </c>
      <c r="R35" s="190">
        <v>1155690205.55</v>
      </c>
      <c r="S35" s="190">
        <v>1083361297.28</v>
      </c>
      <c r="T35" s="190">
        <v>76669449.840000004</v>
      </c>
      <c r="U35" s="190">
        <v>10470919.060000001</v>
      </c>
      <c r="V35" s="190">
        <v>817721795.76999998</v>
      </c>
      <c r="W35" s="190">
        <v>754028948.88</v>
      </c>
      <c r="X35" s="190">
        <v>63580143.18</v>
      </c>
      <c r="Y35" s="190">
        <v>14309430.66</v>
      </c>
      <c r="Z35" s="190">
        <v>784393173.50999999</v>
      </c>
      <c r="AA35" s="190">
        <v>699742225.38999999</v>
      </c>
      <c r="AB35" s="190">
        <v>9599275.9299999997</v>
      </c>
      <c r="AC35" s="190">
        <v>4879588.04</v>
      </c>
      <c r="AD35" s="190">
        <v>530852789.88999999</v>
      </c>
      <c r="AE35" s="190">
        <v>526057522.69999999</v>
      </c>
      <c r="AF35" s="190">
        <v>263915652.06999999</v>
      </c>
      <c r="AG35" s="190">
        <v>1939913.16</v>
      </c>
      <c r="AH35" s="190">
        <v>414747529.50999999</v>
      </c>
      <c r="AI35" s="190">
        <v>339937208.44</v>
      </c>
      <c r="AJ35" s="190">
        <v>120279709.18000001</v>
      </c>
      <c r="AK35" s="190">
        <v>10759542.5</v>
      </c>
      <c r="AL35" s="190">
        <v>424520415.68000001</v>
      </c>
      <c r="AM35" s="190">
        <v>331750681.61000001</v>
      </c>
      <c r="AN35" s="190">
        <v>12406904.189999999</v>
      </c>
      <c r="AO35" s="190">
        <v>6198654.2599999998</v>
      </c>
      <c r="AP35" s="190">
        <v>340564618.88999999</v>
      </c>
      <c r="AQ35" s="190">
        <v>314576109.47000003</v>
      </c>
      <c r="AR35" s="190">
        <v>20361003.300000001</v>
      </c>
      <c r="AS35" s="190">
        <v>5627802.7300000004</v>
      </c>
      <c r="AT35" s="190">
        <v>323422478.02999997</v>
      </c>
      <c r="AU35" s="190">
        <v>308225237.47000003</v>
      </c>
      <c r="AV35" s="190">
        <v>33795458.359999999</v>
      </c>
      <c r="AW35" s="190">
        <v>3513422.21</v>
      </c>
      <c r="AX35" s="190">
        <v>328317514.82999998</v>
      </c>
      <c r="AY35" s="190">
        <v>101531418.90000001</v>
      </c>
      <c r="AZ35" s="190">
        <v>35797954.119999997</v>
      </c>
      <c r="BA35" s="190">
        <v>7864170.3499999996</v>
      </c>
      <c r="BB35" s="190">
        <v>452382938</v>
      </c>
      <c r="BC35" s="190">
        <v>432027242.73000002</v>
      </c>
      <c r="BD35" s="190">
        <v>231226871.53999999</v>
      </c>
      <c r="BE35" s="190">
        <v>9829482.8900000006</v>
      </c>
      <c r="BF35" s="190">
        <v>372465870.36000001</v>
      </c>
      <c r="BG35" s="190">
        <v>377720268.13</v>
      </c>
      <c r="BH35" s="190">
        <v>66320134.159999996</v>
      </c>
      <c r="BI35" s="190">
        <v>12023185.300000001</v>
      </c>
      <c r="BJ35" s="190">
        <v>382008949.44999999</v>
      </c>
      <c r="BK35" s="190">
        <v>382044218.43000001</v>
      </c>
      <c r="BL35" s="190">
        <v>266573230.11000001</v>
      </c>
      <c r="BM35" s="190">
        <v>64720384.990000002</v>
      </c>
      <c r="BN35" s="190">
        <v>344175606.19</v>
      </c>
      <c r="BO35" s="190">
        <v>45280287.740000002</v>
      </c>
      <c r="BP35" s="190">
        <v>322966108.74000001</v>
      </c>
      <c r="BQ35" s="190">
        <v>33441501.010000002</v>
      </c>
      <c r="BR35" s="190">
        <v>241064266.09</v>
      </c>
      <c r="BS35" s="190">
        <v>101564427.92</v>
      </c>
      <c r="BT35" s="190">
        <v>183690399.66999999</v>
      </c>
      <c r="BU35" s="190">
        <v>295602823.06</v>
      </c>
      <c r="BV35" s="190">
        <v>36498097.030000001</v>
      </c>
      <c r="BW35" s="190">
        <v>0</v>
      </c>
    </row>
    <row r="36" spans="1:75">
      <c r="A36" s="190" t="s">
        <v>251</v>
      </c>
      <c r="B36" s="190">
        <v>927043742.98000002</v>
      </c>
      <c r="C36" s="190">
        <v>927530067.14999998</v>
      </c>
      <c r="D36" s="190">
        <v>195601722.28999999</v>
      </c>
      <c r="E36" s="190">
        <v>0</v>
      </c>
      <c r="F36" s="190">
        <v>805764718.15999997</v>
      </c>
      <c r="G36" s="190">
        <v>765549896.58000004</v>
      </c>
      <c r="H36" s="190">
        <v>114797950.90000001</v>
      </c>
      <c r="I36" s="190">
        <v>0</v>
      </c>
      <c r="J36" s="190">
        <v>879762768.00999999</v>
      </c>
      <c r="K36" s="190">
        <v>879762768.00999999</v>
      </c>
      <c r="L36" s="190">
        <v>94015088.010000005</v>
      </c>
      <c r="M36" s="190">
        <v>0</v>
      </c>
      <c r="N36" s="190">
        <v>870409885.49000001</v>
      </c>
      <c r="O36" s="190">
        <v>807658250.84000003</v>
      </c>
      <c r="P36" s="190">
        <v>39251005.490000002</v>
      </c>
      <c r="Q36" s="190">
        <v>0</v>
      </c>
      <c r="R36" s="190">
        <v>821895956.83000004</v>
      </c>
      <c r="S36" s="190">
        <v>796994291.03999996</v>
      </c>
      <c r="T36" s="190">
        <v>57381581.530000001</v>
      </c>
      <c r="U36" s="190">
        <v>0</v>
      </c>
      <c r="V36" s="190">
        <v>556845765.57000005</v>
      </c>
      <c r="W36" s="190">
        <v>214775254.68000001</v>
      </c>
      <c r="X36" s="190">
        <v>40000000</v>
      </c>
      <c r="Y36" s="190">
        <v>0</v>
      </c>
      <c r="Z36" s="190">
        <v>409354873.99000001</v>
      </c>
      <c r="AA36" s="190">
        <v>338807200</v>
      </c>
      <c r="AB36" s="190">
        <v>0</v>
      </c>
      <c r="AC36" s="190">
        <v>0</v>
      </c>
      <c r="AD36" s="190">
        <v>308316000</v>
      </c>
      <c r="AE36" s="190">
        <v>308316000</v>
      </c>
      <c r="AF36" s="190">
        <v>51386000</v>
      </c>
      <c r="AG36" s="190">
        <v>0</v>
      </c>
      <c r="AH36" s="190">
        <v>289501397.69</v>
      </c>
      <c r="AI36" s="190">
        <v>221346340.91999999</v>
      </c>
      <c r="AJ36" s="190">
        <v>4880000</v>
      </c>
      <c r="AK36" s="190">
        <v>3900000</v>
      </c>
      <c r="AL36" s="190">
        <v>298305639.39999998</v>
      </c>
      <c r="AM36" s="190">
        <v>214502394</v>
      </c>
      <c r="AN36" s="190">
        <v>12406904.189999999</v>
      </c>
      <c r="AO36" s="190">
        <v>0</v>
      </c>
      <c r="AP36" s="190">
        <v>0</v>
      </c>
      <c r="AQ36" s="190">
        <v>0</v>
      </c>
      <c r="AR36" s="190">
        <v>5680500</v>
      </c>
      <c r="AS36" s="190">
        <v>0</v>
      </c>
      <c r="AT36" s="190">
        <v>213550720</v>
      </c>
      <c r="AU36" s="190">
        <v>0</v>
      </c>
      <c r="AV36" s="190">
        <v>0</v>
      </c>
      <c r="AW36" s="190">
        <v>0</v>
      </c>
      <c r="AX36" s="190">
        <v>211553923.69</v>
      </c>
      <c r="AY36" s="190">
        <v>0</v>
      </c>
      <c r="AZ36" s="190">
        <v>21597629.75</v>
      </c>
      <c r="BA36" s="190">
        <v>1400000</v>
      </c>
      <c r="BB36" s="190">
        <v>248034936.44</v>
      </c>
      <c r="BC36" s="190">
        <v>1400000</v>
      </c>
      <c r="BD36" s="190">
        <v>0</v>
      </c>
      <c r="BE36" s="190">
        <v>2612627.69</v>
      </c>
      <c r="BF36" s="190">
        <v>15484553.380000001</v>
      </c>
      <c r="BG36" s="190">
        <v>2612627.69</v>
      </c>
      <c r="BH36" s="190">
        <v>0</v>
      </c>
      <c r="BI36" s="190">
        <v>0</v>
      </c>
      <c r="BJ36" s="190">
        <v>260800563.65000001</v>
      </c>
      <c r="BK36" s="190">
        <v>0</v>
      </c>
      <c r="BL36" s="190">
        <v>0</v>
      </c>
      <c r="BM36" s="190">
        <v>47509873.799999997</v>
      </c>
      <c r="BN36" s="190">
        <v>193742403.52000001</v>
      </c>
      <c r="BO36" s="190">
        <v>4073602.72</v>
      </c>
      <c r="BP36" s="190">
        <v>141605131.96000001</v>
      </c>
      <c r="BQ36" s="190">
        <v>0</v>
      </c>
      <c r="BR36" s="190">
        <v>140544869.84999999</v>
      </c>
      <c r="BS36" s="190">
        <v>74207233.75</v>
      </c>
      <c r="BT36" s="190">
        <v>0</v>
      </c>
      <c r="BU36" s="190">
        <v>0</v>
      </c>
      <c r="BV36" s="190">
        <v>0</v>
      </c>
      <c r="BW36" s="190">
        <v>0</v>
      </c>
    </row>
    <row r="37" spans="1:75">
      <c r="A37" s="190" t="s">
        <v>252</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8050</v>
      </c>
      <c r="X37" s="190">
        <v>8050</v>
      </c>
      <c r="Y37" s="190">
        <v>0</v>
      </c>
      <c r="Z37" s="190">
        <v>0</v>
      </c>
      <c r="AA37" s="190">
        <v>0</v>
      </c>
      <c r="AB37" s="190">
        <v>0</v>
      </c>
      <c r="AC37" s="190">
        <v>0</v>
      </c>
      <c r="AD37" s="190">
        <v>1610920.89</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2142258.38</v>
      </c>
      <c r="AZ37" s="190">
        <v>0</v>
      </c>
      <c r="BA37" s="190">
        <v>674216.64</v>
      </c>
      <c r="BB37" s="190">
        <v>0</v>
      </c>
      <c r="BC37" s="190">
        <v>0</v>
      </c>
      <c r="BD37" s="190">
        <v>0</v>
      </c>
      <c r="BE37" s="190">
        <v>0</v>
      </c>
      <c r="BF37" s="190">
        <v>0</v>
      </c>
      <c r="BG37" s="190">
        <v>0</v>
      </c>
      <c r="BH37" s="190">
        <v>2462936.4700000002</v>
      </c>
      <c r="BI37" s="190">
        <v>0</v>
      </c>
      <c r="BJ37" s="190">
        <v>36546056.780000001</v>
      </c>
      <c r="BK37" s="190">
        <v>36617674.280000001</v>
      </c>
      <c r="BL37" s="190">
        <v>964600.57</v>
      </c>
      <c r="BM37" s="190">
        <v>313971.81</v>
      </c>
      <c r="BN37" s="190">
        <v>301982141.69999999</v>
      </c>
      <c r="BO37" s="190">
        <v>61740.93</v>
      </c>
      <c r="BP37" s="190">
        <v>100450</v>
      </c>
      <c r="BQ37" s="190">
        <v>305216.15000000002</v>
      </c>
      <c r="BR37" s="190">
        <v>0</v>
      </c>
      <c r="BS37" s="190">
        <v>-12284.78</v>
      </c>
      <c r="BT37" s="190">
        <v>3280062.26</v>
      </c>
      <c r="BU37" s="190">
        <v>509868.68</v>
      </c>
      <c r="BV37" s="190">
        <v>3264464.68</v>
      </c>
      <c r="BW37" s="190">
        <v>0</v>
      </c>
    </row>
    <row r="38" spans="1:75">
      <c r="A38" s="190" t="s">
        <v>253</v>
      </c>
      <c r="B38" s="190">
        <v>1454755882.1800001</v>
      </c>
      <c r="C38" s="190">
        <v>1434647033.29</v>
      </c>
      <c r="D38" s="190">
        <v>692396282.87</v>
      </c>
      <c r="E38" s="190">
        <v>83246783.790000007</v>
      </c>
      <c r="F38" s="190">
        <v>1276646865.5799999</v>
      </c>
      <c r="G38" s="190">
        <v>1216175778.0999999</v>
      </c>
      <c r="H38" s="190">
        <v>564575853.34000003</v>
      </c>
      <c r="I38" s="190">
        <v>10276293.09</v>
      </c>
      <c r="J38" s="190">
        <v>1196060145.71</v>
      </c>
      <c r="K38" s="190">
        <v>1031612702.46</v>
      </c>
      <c r="L38" s="190">
        <v>381900537.12</v>
      </c>
      <c r="M38" s="190">
        <v>15562615.689999999</v>
      </c>
      <c r="N38" s="190">
        <v>1271046505.1400001</v>
      </c>
      <c r="O38" s="190">
        <v>1205663548.8900001</v>
      </c>
      <c r="P38" s="190">
        <v>439718337.13</v>
      </c>
      <c r="Q38" s="190">
        <v>19336628.039999999</v>
      </c>
      <c r="R38" s="190">
        <v>2736480445.5500002</v>
      </c>
      <c r="S38" s="190">
        <v>1159532182.8599999</v>
      </c>
      <c r="T38" s="190">
        <v>143897847.31999999</v>
      </c>
      <c r="U38" s="190">
        <v>51049316.539999999</v>
      </c>
      <c r="V38" s="190">
        <v>2696821807.77</v>
      </c>
      <c r="W38" s="190">
        <v>2388046261.1799998</v>
      </c>
      <c r="X38" s="190">
        <v>1647597455.48</v>
      </c>
      <c r="Y38" s="190">
        <v>1459909442.6600001</v>
      </c>
      <c r="Z38" s="190">
        <v>1006113680.3</v>
      </c>
      <c r="AA38" s="190">
        <v>924772225.38999999</v>
      </c>
      <c r="AB38" s="190">
        <v>180729275.93000001</v>
      </c>
      <c r="AC38" s="190">
        <v>57879588.039999999</v>
      </c>
      <c r="AD38" s="190">
        <v>763463710.77999997</v>
      </c>
      <c r="AE38" s="190">
        <v>648557522.70000005</v>
      </c>
      <c r="AF38" s="190">
        <v>326415652.06999999</v>
      </c>
      <c r="AG38" s="190">
        <v>14939913.16</v>
      </c>
      <c r="AH38" s="190">
        <v>1055259684.1799999</v>
      </c>
      <c r="AI38" s="190">
        <v>758949363.11000001</v>
      </c>
      <c r="AJ38" s="190">
        <v>435288490.31999999</v>
      </c>
      <c r="AK38" s="190">
        <v>140759542.5</v>
      </c>
      <c r="AL38" s="190">
        <v>1081547857.9100001</v>
      </c>
      <c r="AM38" s="190">
        <v>748250681.61000001</v>
      </c>
      <c r="AN38" s="190">
        <v>307906904.19</v>
      </c>
      <c r="AO38" s="190">
        <v>140198654.25999999</v>
      </c>
      <c r="AP38" s="190">
        <v>769435595.23000002</v>
      </c>
      <c r="AQ38" s="190">
        <v>561576109.47000003</v>
      </c>
      <c r="AR38" s="190">
        <v>248679758.91</v>
      </c>
      <c r="AS38" s="190">
        <v>95772364.450000003</v>
      </c>
      <c r="AT38" s="190">
        <v>799297871.04999995</v>
      </c>
      <c r="AU38" s="190">
        <v>756576628.26999998</v>
      </c>
      <c r="AV38" s="190">
        <v>384808290.55000001</v>
      </c>
      <c r="AW38" s="190">
        <v>84840332.069999993</v>
      </c>
      <c r="AX38" s="190">
        <v>1027623076.28</v>
      </c>
      <c r="AY38" s="190">
        <v>670962826.83000004</v>
      </c>
      <c r="AZ38" s="190">
        <v>494027089.98000002</v>
      </c>
      <c r="BA38" s="190">
        <v>136068790.12</v>
      </c>
      <c r="BB38" s="190">
        <v>1546319938</v>
      </c>
      <c r="BC38" s="190">
        <v>1173864242.73</v>
      </c>
      <c r="BD38" s="190">
        <v>842563871.53999996</v>
      </c>
      <c r="BE38" s="190">
        <v>258929482.88999999</v>
      </c>
      <c r="BF38" s="190">
        <v>1621774182.3599999</v>
      </c>
      <c r="BG38" s="190">
        <v>1197664238.6800001</v>
      </c>
      <c r="BH38" s="190">
        <v>726313070.63</v>
      </c>
      <c r="BI38" s="190">
        <v>321323185.30000001</v>
      </c>
      <c r="BJ38" s="190">
        <v>2192612006.23</v>
      </c>
      <c r="BK38" s="190">
        <v>1822068892.71</v>
      </c>
      <c r="BL38" s="190">
        <v>1150844830.6800001</v>
      </c>
      <c r="BM38" s="190">
        <v>351859990.05000001</v>
      </c>
      <c r="BN38" s="190">
        <v>2050729747.8900001</v>
      </c>
      <c r="BO38" s="190">
        <v>643459228.66999996</v>
      </c>
      <c r="BP38" s="190">
        <v>1227987758.74</v>
      </c>
      <c r="BQ38" s="190">
        <v>449939304.16000003</v>
      </c>
      <c r="BR38" s="190">
        <v>1608035646.0899999</v>
      </c>
      <c r="BS38" s="190">
        <v>779138706.01999998</v>
      </c>
      <c r="BT38" s="190">
        <v>1308057301.9300001</v>
      </c>
      <c r="BU38" s="190">
        <v>761315471.74000001</v>
      </c>
      <c r="BV38" s="190">
        <v>1389907451.71</v>
      </c>
      <c r="BW38" s="190">
        <v>0</v>
      </c>
    </row>
    <row r="39" spans="1:75">
      <c r="A39" s="190" t="s">
        <v>254</v>
      </c>
      <c r="B39" s="190">
        <v>-1415755882.1800001</v>
      </c>
      <c r="C39" s="190">
        <v>-1415147033.29</v>
      </c>
      <c r="D39" s="190">
        <v>-677896282.87</v>
      </c>
      <c r="E39" s="190">
        <v>-68746783.790000007</v>
      </c>
      <c r="F39" s="190">
        <v>-1242146865.5799999</v>
      </c>
      <c r="G39" s="190">
        <v>-1201175778.0999999</v>
      </c>
      <c r="H39" s="190">
        <v>-554575853.34000003</v>
      </c>
      <c r="I39" s="190">
        <v>-276293.09000000003</v>
      </c>
      <c r="J39" s="190">
        <v>-1166560145.71</v>
      </c>
      <c r="K39" s="190">
        <v>-1021612702.46</v>
      </c>
      <c r="L39" s="190">
        <v>-371900537.12</v>
      </c>
      <c r="M39" s="190">
        <v>-6979835.6900000004</v>
      </c>
      <c r="N39" s="190">
        <v>-814202285.13999999</v>
      </c>
      <c r="O39" s="190">
        <v>-741978136.34000003</v>
      </c>
      <c r="P39" s="190">
        <v>-10032924.58</v>
      </c>
      <c r="Q39" s="190">
        <v>-1014628.04</v>
      </c>
      <c r="R39" s="190">
        <v>-1073854823.5999999</v>
      </c>
      <c r="S39" s="190">
        <v>-1076095235.9000001</v>
      </c>
      <c r="T39" s="190">
        <v>-79545090.819999993</v>
      </c>
      <c r="U39" s="190">
        <v>-349316.54</v>
      </c>
      <c r="V39" s="190">
        <v>-2356343028.48</v>
      </c>
      <c r="W39" s="190">
        <v>-2175546261.1799998</v>
      </c>
      <c r="X39" s="190">
        <v>-1495097455.48</v>
      </c>
      <c r="Y39" s="190">
        <v>-1421909442.6600001</v>
      </c>
      <c r="Z39" s="190">
        <v>611639170.17999995</v>
      </c>
      <c r="AA39" s="190">
        <v>-717887225.38999999</v>
      </c>
      <c r="AB39" s="190">
        <v>-23844275.93</v>
      </c>
      <c r="AC39" s="190">
        <v>-18894588.039999999</v>
      </c>
      <c r="AD39" s="190">
        <v>-400637118.02999997</v>
      </c>
      <c r="AE39" s="190">
        <v>-426057522.69999999</v>
      </c>
      <c r="AF39" s="190">
        <v>-178500188.06999999</v>
      </c>
      <c r="AG39" s="190">
        <v>13060086.84</v>
      </c>
      <c r="AH39" s="190">
        <v>-709175148.17999995</v>
      </c>
      <c r="AI39" s="190">
        <v>-565949363.11000001</v>
      </c>
      <c r="AJ39" s="190">
        <v>-287288490.31999999</v>
      </c>
      <c r="AK39" s="190">
        <v>-42759542.5</v>
      </c>
      <c r="AL39" s="190">
        <v>-345795857.91000003</v>
      </c>
      <c r="AM39" s="190">
        <v>-272498681.61000001</v>
      </c>
      <c r="AN39" s="190">
        <v>-91406904.189999998</v>
      </c>
      <c r="AO39" s="190">
        <v>-30198654.260000002</v>
      </c>
      <c r="AP39" s="190">
        <v>-358935595.23000002</v>
      </c>
      <c r="AQ39" s="190">
        <v>-331576109.47000003</v>
      </c>
      <c r="AR39" s="190">
        <v>5375950.0899999999</v>
      </c>
      <c r="AS39" s="190">
        <v>19227635.550000001</v>
      </c>
      <c r="AT39" s="190">
        <v>-297582343.05000001</v>
      </c>
      <c r="AU39" s="190">
        <v>-303476628.26999998</v>
      </c>
      <c r="AV39" s="190">
        <v>-6808290.5499999998</v>
      </c>
      <c r="AW39" s="190">
        <v>26159667.93</v>
      </c>
      <c r="AX39" s="190">
        <v>-534097196.27999997</v>
      </c>
      <c r="AY39" s="190">
        <v>-314406450.19999999</v>
      </c>
      <c r="AZ39" s="190">
        <v>-190477089.97999999</v>
      </c>
      <c r="BA39" s="190">
        <v>-43757490.020000003</v>
      </c>
      <c r="BB39" s="190">
        <v>-561335938</v>
      </c>
      <c r="BC39" s="190">
        <v>-535164839.51999998</v>
      </c>
      <c r="BD39" s="190">
        <v>-277379871.54000002</v>
      </c>
      <c r="BE39" s="190">
        <v>31670517.109999999</v>
      </c>
      <c r="BF39" s="190">
        <v>-560234182.36000001</v>
      </c>
      <c r="BG39" s="190">
        <v>-561934038.67999995</v>
      </c>
      <c r="BH39" s="190">
        <v>-149082870.63</v>
      </c>
      <c r="BI39" s="190">
        <v>-26092985.300000001</v>
      </c>
      <c r="BJ39" s="190">
        <v>-952217706.23000002</v>
      </c>
      <c r="BK39" s="190">
        <v>-863140884.26999998</v>
      </c>
      <c r="BL39" s="190">
        <v>-286061241.39999998</v>
      </c>
      <c r="BM39" s="190">
        <v>20219862.699999999</v>
      </c>
      <c r="BN39" s="190">
        <v>-497757747.88999999</v>
      </c>
      <c r="BO39" s="190">
        <v>69180771.329999998</v>
      </c>
      <c r="BP39" s="190">
        <v>-213431258.74000001</v>
      </c>
      <c r="BQ39" s="190">
        <v>108990136.8</v>
      </c>
      <c r="BR39" s="190">
        <v>-216035950.44999999</v>
      </c>
      <c r="BS39" s="190">
        <v>-53663250.100000001</v>
      </c>
      <c r="BT39" s="190">
        <v>1199883182.9300001</v>
      </c>
      <c r="BU39" s="190">
        <v>-240455659.52000001</v>
      </c>
      <c r="BV39" s="190">
        <v>12699187.619999999</v>
      </c>
      <c r="BW39" s="190">
        <v>0</v>
      </c>
    </row>
    <row r="40" spans="1:75">
      <c r="A40" s="190" t="s">
        <v>255</v>
      </c>
      <c r="B40" s="190">
        <v>15316113.67</v>
      </c>
      <c r="C40" s="190">
        <v>16331831.710000001</v>
      </c>
      <c r="D40" s="190">
        <v>2691953.75</v>
      </c>
      <c r="E40" s="190">
        <v>-14781817.800000001</v>
      </c>
      <c r="F40" s="190">
        <v>-28508371.440000001</v>
      </c>
      <c r="G40" s="190">
        <v>-22003069.559999999</v>
      </c>
      <c r="H40" s="190">
        <v>-11688082.93</v>
      </c>
      <c r="I40" s="190">
        <v>-2771029.64</v>
      </c>
      <c r="J40" s="190">
        <v>13735037.199999999</v>
      </c>
      <c r="K40" s="190">
        <v>3097325.14</v>
      </c>
      <c r="L40" s="190">
        <v>2265598.2000000002</v>
      </c>
      <c r="M40" s="190">
        <v>-679871.7</v>
      </c>
      <c r="N40" s="190">
        <v>405766.38</v>
      </c>
      <c r="O40" s="190">
        <v>-1612307.12</v>
      </c>
      <c r="P40" s="190">
        <v>-1736023.04</v>
      </c>
      <c r="Q40" s="190">
        <v>368925.07</v>
      </c>
      <c r="R40" s="190">
        <v>-15696045.48</v>
      </c>
      <c r="S40" s="190">
        <v>5162711.8499999996</v>
      </c>
      <c r="T40" s="190">
        <v>13603254.859999999</v>
      </c>
      <c r="U40" s="190">
        <v>-2604825.7799999998</v>
      </c>
      <c r="V40" s="190">
        <v>-18589985.800000001</v>
      </c>
      <c r="W40" s="190">
        <v>4334617.29</v>
      </c>
      <c r="X40" s="190">
        <v>-7111968.4100000001</v>
      </c>
      <c r="Y40" s="190">
        <v>985971.02</v>
      </c>
      <c r="Z40" s="190">
        <v>1614741.65</v>
      </c>
      <c r="AA40" s="190">
        <v>-3089172.87</v>
      </c>
      <c r="AB40" s="190">
        <v>-475499.18</v>
      </c>
      <c r="AC40" s="190">
        <v>-198758.04</v>
      </c>
      <c r="AD40" s="190">
        <v>-4274417</v>
      </c>
      <c r="AE40" s="190">
        <v>-1281212.6599999999</v>
      </c>
      <c r="AF40" s="190">
        <v>-499787.25</v>
      </c>
      <c r="AG40" s="190">
        <v>-306827.27</v>
      </c>
      <c r="AH40" s="190">
        <v>-2029647.13</v>
      </c>
      <c r="AI40" s="190">
        <v>-443358.29</v>
      </c>
      <c r="AJ40" s="190">
        <v>-213327.99</v>
      </c>
      <c r="AK40" s="190">
        <v>-123792.02</v>
      </c>
      <c r="AL40" s="190">
        <v>-1952789.5</v>
      </c>
      <c r="AM40" s="190">
        <v>-487219.55</v>
      </c>
      <c r="AN40" s="190">
        <v>-365937.4</v>
      </c>
      <c r="AO40" s="190">
        <v>-90858.64</v>
      </c>
      <c r="AP40" s="190">
        <v>-3763316.3</v>
      </c>
      <c r="AQ40" s="190">
        <v>294150.63</v>
      </c>
      <c r="AR40" s="190">
        <v>-373679.35</v>
      </c>
      <c r="AS40" s="190">
        <v>122265.75</v>
      </c>
      <c r="AT40" s="190">
        <v>-6087528.7400000002</v>
      </c>
      <c r="AU40" s="190">
        <v>-2048691.23</v>
      </c>
      <c r="AV40" s="190">
        <v>-2497195.13</v>
      </c>
      <c r="AW40" s="190">
        <v>-751062.62</v>
      </c>
      <c r="AX40" s="190">
        <v>-2822480.34</v>
      </c>
      <c r="AY40" s="190">
        <v>-366927.78</v>
      </c>
      <c r="AZ40" s="190">
        <v>-189774.5</v>
      </c>
      <c r="BA40" s="190">
        <v>-87844.5</v>
      </c>
      <c r="BB40" s="190">
        <v>-7864967.1799999997</v>
      </c>
      <c r="BC40" s="190">
        <v>-6727713.4299999997</v>
      </c>
      <c r="BD40" s="190">
        <v>-1884806.36</v>
      </c>
      <c r="BE40" s="190">
        <v>68792.789999999994</v>
      </c>
      <c r="BF40" s="190">
        <v>743124.25</v>
      </c>
      <c r="BG40" s="190">
        <v>-1773819.65</v>
      </c>
      <c r="BH40" s="190">
        <v>-48600.11</v>
      </c>
      <c r="BI40" s="190">
        <v>166294.87</v>
      </c>
      <c r="BJ40" s="190">
        <v>3726891</v>
      </c>
      <c r="BK40" s="190">
        <v>1387923.93</v>
      </c>
      <c r="BL40" s="190">
        <v>-1772.01</v>
      </c>
      <c r="BM40" s="190">
        <v>0</v>
      </c>
      <c r="BN40" s="190">
        <v>-832854.43</v>
      </c>
      <c r="BO40" s="190">
        <v>1274160.99</v>
      </c>
      <c r="BP40" s="190">
        <v>-1924830.85</v>
      </c>
      <c r="BQ40" s="190">
        <v>-687438.1</v>
      </c>
      <c r="BR40" s="190">
        <v>-383126.7</v>
      </c>
      <c r="BS40" s="190">
        <v>-956594.97</v>
      </c>
      <c r="BT40" s="190">
        <v>-227462.11</v>
      </c>
      <c r="BU40" s="190">
        <v>-1165286.75</v>
      </c>
      <c r="BV40" s="190">
        <v>-80076.160000000003</v>
      </c>
      <c r="BW40" s="190">
        <v>0</v>
      </c>
    </row>
    <row r="41" spans="1:75">
      <c r="A41" s="190" t="s">
        <v>256</v>
      </c>
      <c r="B41" s="190">
        <v>34162040.560000002</v>
      </c>
      <c r="C41" s="190">
        <v>-720883990.53999996</v>
      </c>
      <c r="D41" s="190">
        <v>-328612327.22000003</v>
      </c>
      <c r="E41" s="190">
        <v>298241806.31999999</v>
      </c>
      <c r="F41" s="190">
        <v>1611490235.6700001</v>
      </c>
      <c r="G41" s="190">
        <v>549166708.13999999</v>
      </c>
      <c r="H41" s="190">
        <v>847301995.17999995</v>
      </c>
      <c r="I41" s="190">
        <v>-246390479.62</v>
      </c>
      <c r="J41" s="190">
        <v>1445713107.9100001</v>
      </c>
      <c r="K41" s="190">
        <v>892395470.00999999</v>
      </c>
      <c r="L41" s="190">
        <v>1065962046.1799999</v>
      </c>
      <c r="M41" s="190">
        <v>17559661.77</v>
      </c>
      <c r="N41" s="190">
        <v>465302456.73000002</v>
      </c>
      <c r="O41" s="190">
        <v>754747069.82000005</v>
      </c>
      <c r="P41" s="190">
        <v>506112432.00999999</v>
      </c>
      <c r="Q41" s="190">
        <v>-207438069.84999999</v>
      </c>
      <c r="R41" s="190">
        <v>932650474.05999994</v>
      </c>
      <c r="S41" s="190">
        <v>713275792.30999994</v>
      </c>
      <c r="T41" s="190">
        <v>936295568.26999998</v>
      </c>
      <c r="U41" s="190">
        <v>-5744491.6500000004</v>
      </c>
      <c r="V41" s="190">
        <v>-654805995.99000001</v>
      </c>
      <c r="W41" s="190">
        <v>-711633497.90999997</v>
      </c>
      <c r="X41" s="190">
        <v>-584397446.38</v>
      </c>
      <c r="Y41" s="190">
        <v>-2113851490.02</v>
      </c>
      <c r="Z41" s="190">
        <v>3194224666.9299998</v>
      </c>
      <c r="AA41" s="190">
        <v>1117548778.74</v>
      </c>
      <c r="AB41" s="190">
        <v>1471377340.6099999</v>
      </c>
      <c r="AC41" s="190">
        <v>-248487637.62</v>
      </c>
      <c r="AD41" s="190">
        <v>1096973178.3499999</v>
      </c>
      <c r="AE41" s="190">
        <v>946099589.30999994</v>
      </c>
      <c r="AF41" s="190">
        <v>486847163.89999998</v>
      </c>
      <c r="AG41" s="190">
        <v>-260070739.75</v>
      </c>
      <c r="AH41" s="190">
        <v>1114283878.3</v>
      </c>
      <c r="AI41" s="190">
        <v>1146774747.24</v>
      </c>
      <c r="AJ41" s="190">
        <v>813654956.13999999</v>
      </c>
      <c r="AK41" s="190">
        <v>-24430216.960000001</v>
      </c>
      <c r="AL41" s="190">
        <v>1697421611.5799999</v>
      </c>
      <c r="AM41" s="190">
        <v>1300824980.45</v>
      </c>
      <c r="AN41" s="190">
        <v>918822160.09000003</v>
      </c>
      <c r="AO41" s="190">
        <v>515897071.12</v>
      </c>
      <c r="AP41" s="190">
        <v>78770317.439999998</v>
      </c>
      <c r="AQ41" s="190">
        <v>39759735.100000001</v>
      </c>
      <c r="AR41" s="190">
        <v>-46943665.640000001</v>
      </c>
      <c r="AS41" s="190">
        <v>-350594476.06</v>
      </c>
      <c r="AT41" s="190">
        <v>562735908.55999994</v>
      </c>
      <c r="AU41" s="190">
        <v>165068363.56999999</v>
      </c>
      <c r="AV41" s="190">
        <v>21091653.309999999</v>
      </c>
      <c r="AW41" s="190">
        <v>-21989574.52</v>
      </c>
      <c r="AX41" s="190">
        <v>350097584.88</v>
      </c>
      <c r="AY41" s="190">
        <v>370042915.64999998</v>
      </c>
      <c r="AZ41" s="190">
        <v>112423578.79000001</v>
      </c>
      <c r="BA41" s="190">
        <v>-82520177.819999993</v>
      </c>
      <c r="BB41" s="190">
        <v>-326789644.69999999</v>
      </c>
      <c r="BC41" s="190">
        <v>-731241136.34000003</v>
      </c>
      <c r="BD41" s="190">
        <v>-459558752.37</v>
      </c>
      <c r="BE41" s="190">
        <v>-174620083.99000001</v>
      </c>
      <c r="BF41" s="190">
        <v>-203943540.18000001</v>
      </c>
      <c r="BG41" s="190">
        <v>-327631569.58999997</v>
      </c>
      <c r="BH41" s="190">
        <v>-50027549</v>
      </c>
      <c r="BI41" s="190">
        <v>14429278.08</v>
      </c>
      <c r="BJ41" s="190">
        <v>-618020940.73000002</v>
      </c>
      <c r="BK41" s="190">
        <v>-383342899.42000002</v>
      </c>
      <c r="BL41" s="190">
        <v>-59560088.759999998</v>
      </c>
      <c r="BM41" s="190">
        <v>5330531.1500000004</v>
      </c>
      <c r="BN41" s="190">
        <v>274181247.70999998</v>
      </c>
      <c r="BO41" s="190">
        <v>442180215.52999997</v>
      </c>
      <c r="BP41" s="190">
        <v>378093462.20999998</v>
      </c>
      <c r="BQ41" s="190">
        <v>178866163.46000001</v>
      </c>
      <c r="BR41" s="190">
        <v>428534876.06999999</v>
      </c>
      <c r="BS41" s="190">
        <v>48175295.93</v>
      </c>
      <c r="BT41" s="190">
        <v>707655813.17999995</v>
      </c>
      <c r="BU41" s="190">
        <v>-180323290.09999999</v>
      </c>
      <c r="BV41" s="190">
        <v>1854059152.9100001</v>
      </c>
      <c r="BW41" s="190">
        <v>0</v>
      </c>
    </row>
    <row r="42" spans="1:75">
      <c r="A42" s="190" t="s">
        <v>257</v>
      </c>
      <c r="B42" s="190">
        <v>7516763869.54</v>
      </c>
      <c r="C42" s="190">
        <v>7516763869.54</v>
      </c>
      <c r="D42" s="190">
        <v>7516763869.54</v>
      </c>
      <c r="E42" s="190">
        <v>7516763869.54</v>
      </c>
      <c r="F42" s="190">
        <v>5905273633.8699999</v>
      </c>
      <c r="G42" s="190">
        <v>5905273633.8699999</v>
      </c>
      <c r="H42" s="190">
        <v>5905273633.8699999</v>
      </c>
      <c r="I42" s="190">
        <v>5905273633.8699999</v>
      </c>
      <c r="J42" s="190">
        <v>4459560525.96</v>
      </c>
      <c r="K42" s="190">
        <v>4459560525.96</v>
      </c>
      <c r="L42" s="190">
        <v>4459560525.96</v>
      </c>
      <c r="M42" s="190">
        <v>4459560525.96</v>
      </c>
      <c r="N42" s="190">
        <v>3994258069.23</v>
      </c>
      <c r="O42" s="190">
        <v>11566758069.23</v>
      </c>
      <c r="P42" s="190">
        <v>11566758069.23</v>
      </c>
      <c r="Q42" s="190">
        <v>11566758069.23</v>
      </c>
      <c r="R42" s="190">
        <v>10634107595.17</v>
      </c>
      <c r="S42" s="190">
        <v>10634107595.17</v>
      </c>
      <c r="T42" s="190">
        <v>10634107595.17</v>
      </c>
      <c r="U42" s="190">
        <v>10634107595.17</v>
      </c>
      <c r="V42" s="190">
        <v>11288913591.16</v>
      </c>
      <c r="W42" s="190">
        <v>11288913591.16</v>
      </c>
      <c r="X42" s="190">
        <v>11288913591.16</v>
      </c>
      <c r="Y42" s="190">
        <v>11288913591.16</v>
      </c>
      <c r="Z42" s="190">
        <v>8094688924.2299995</v>
      </c>
      <c r="AA42" s="190">
        <v>8027443674.3599997</v>
      </c>
      <c r="AB42" s="190">
        <v>7566875443.3199997</v>
      </c>
      <c r="AC42" s="190">
        <v>7566875443.3199997</v>
      </c>
      <c r="AD42" s="190">
        <v>6469902264.9700003</v>
      </c>
      <c r="AE42" s="190">
        <v>6469902264.9700003</v>
      </c>
      <c r="AF42" s="190">
        <v>6469902264.9700003</v>
      </c>
      <c r="AG42" s="190">
        <v>6469902264.9700003</v>
      </c>
      <c r="AH42" s="190">
        <v>5355618386.6700001</v>
      </c>
      <c r="AI42" s="190">
        <v>5355618386.6700001</v>
      </c>
      <c r="AJ42" s="190">
        <v>5355618386.6700001</v>
      </c>
      <c r="AK42" s="190">
        <v>5355618386.6700001</v>
      </c>
      <c r="AL42" s="190">
        <v>3658196775.0900002</v>
      </c>
      <c r="AM42" s="190">
        <v>3658196775.0900002</v>
      </c>
      <c r="AN42" s="190">
        <v>3658196775.0900002</v>
      </c>
      <c r="AO42" s="190">
        <v>3658196775.0900002</v>
      </c>
      <c r="AP42" s="190">
        <v>3579426457.6500001</v>
      </c>
      <c r="AQ42" s="190">
        <v>3579426457.6500001</v>
      </c>
      <c r="AR42" s="190">
        <v>3579426457.6500001</v>
      </c>
      <c r="AS42" s="190">
        <v>3579426457.6500001</v>
      </c>
      <c r="AT42" s="190">
        <v>3016690549.0900002</v>
      </c>
      <c r="AU42" s="190">
        <v>3016690549.0900002</v>
      </c>
      <c r="AV42" s="190">
        <v>3016690549.0900002</v>
      </c>
      <c r="AW42" s="190">
        <v>3016690549.0900002</v>
      </c>
      <c r="AX42" s="190">
        <v>2692734316.98</v>
      </c>
      <c r="AY42" s="190">
        <v>2692734316.98</v>
      </c>
      <c r="AZ42" s="190">
        <v>2692734316.98</v>
      </c>
      <c r="BA42" s="190">
        <v>2692734316.98</v>
      </c>
      <c r="BB42" s="190">
        <v>3019523961.6799998</v>
      </c>
      <c r="BC42" s="190">
        <v>3021753961.6799998</v>
      </c>
      <c r="BD42" s="190">
        <v>3021753961.6799998</v>
      </c>
      <c r="BE42" s="190">
        <v>3021753961.6799998</v>
      </c>
      <c r="BF42" s="190">
        <v>3223467501.8600001</v>
      </c>
      <c r="BG42" s="190">
        <v>3194952662.6999998</v>
      </c>
      <c r="BH42" s="190">
        <v>3194952662.6999998</v>
      </c>
      <c r="BI42" s="190">
        <v>3594952662.6999998</v>
      </c>
      <c r="BJ42" s="190">
        <v>3812973603.4299998</v>
      </c>
      <c r="BK42" s="190">
        <v>3812973603.4299998</v>
      </c>
      <c r="BL42" s="190">
        <v>3812973603.4299998</v>
      </c>
      <c r="BM42" s="190">
        <v>3812973603.4299998</v>
      </c>
      <c r="BN42" s="190">
        <v>3538792355.7199998</v>
      </c>
      <c r="BO42" s="190">
        <v>3538792355.7199998</v>
      </c>
      <c r="BP42" s="190">
        <v>3160698893.5100002</v>
      </c>
      <c r="BQ42" s="190">
        <v>3160775351.5900002</v>
      </c>
      <c r="BR42" s="190">
        <v>2732240475.52</v>
      </c>
      <c r="BS42" s="190">
        <v>2732240475.52</v>
      </c>
      <c r="BT42" s="190">
        <v>2024584662.3399999</v>
      </c>
      <c r="BU42" s="190">
        <v>2024584662.3399999</v>
      </c>
      <c r="BV42" s="190">
        <v>170525509.43000001</v>
      </c>
      <c r="BW42" s="190">
        <v>0</v>
      </c>
    </row>
    <row r="43" spans="1:75">
      <c r="A43" s="190" t="s">
        <v>258</v>
      </c>
      <c r="B43" s="190">
        <v>7550925910.1000004</v>
      </c>
      <c r="C43" s="190">
        <v>6795879879</v>
      </c>
      <c r="D43" s="190">
        <v>7188151542.3199997</v>
      </c>
      <c r="E43" s="190">
        <v>7815005675.8599997</v>
      </c>
      <c r="F43" s="190">
        <v>7516763869.54</v>
      </c>
      <c r="G43" s="190">
        <v>6454440342.0100002</v>
      </c>
      <c r="H43" s="190">
        <v>6752575629.0500002</v>
      </c>
      <c r="I43" s="190">
        <v>5658883154.25</v>
      </c>
      <c r="J43" s="190">
        <v>5905273633.8699999</v>
      </c>
      <c r="K43" s="190">
        <v>5351955995.9700003</v>
      </c>
      <c r="L43" s="190">
        <v>5525522572.1400003</v>
      </c>
      <c r="M43" s="190">
        <v>4477120187.7299995</v>
      </c>
      <c r="N43" s="190">
        <v>4459560525.96</v>
      </c>
      <c r="O43" s="190">
        <v>12321505139.049999</v>
      </c>
      <c r="P43" s="190">
        <v>12072870501.24</v>
      </c>
      <c r="Q43" s="190">
        <v>11359319999.379999</v>
      </c>
      <c r="R43" s="190">
        <v>11566758069.23</v>
      </c>
      <c r="S43" s="190">
        <v>11347383387.48</v>
      </c>
      <c r="T43" s="190">
        <v>11570403163.440001</v>
      </c>
      <c r="U43" s="190">
        <v>10628363103.52</v>
      </c>
      <c r="V43" s="190">
        <v>10634107595.17</v>
      </c>
      <c r="W43" s="190">
        <v>10577280093.25</v>
      </c>
      <c r="X43" s="190">
        <v>10704516144.780001</v>
      </c>
      <c r="Y43" s="190">
        <v>9175062101.1399994</v>
      </c>
      <c r="Z43" s="190">
        <v>11288913591.16</v>
      </c>
      <c r="AA43" s="190">
        <v>9144992453.1000004</v>
      </c>
      <c r="AB43" s="190">
        <v>9038252783.9300003</v>
      </c>
      <c r="AC43" s="190">
        <v>7318387805.6999998</v>
      </c>
      <c r="AD43" s="190">
        <v>7566875443.3199997</v>
      </c>
      <c r="AE43" s="190">
        <v>7416001854.2799997</v>
      </c>
      <c r="AF43" s="190">
        <v>6956749428.8699999</v>
      </c>
      <c r="AG43" s="190">
        <v>6209831525.2200003</v>
      </c>
      <c r="AH43" s="190">
        <v>6469902264.9700003</v>
      </c>
      <c r="AI43" s="190">
        <v>6502393133.9099998</v>
      </c>
      <c r="AJ43" s="190">
        <v>6169273342.8100004</v>
      </c>
      <c r="AK43" s="190">
        <v>5331188169.71</v>
      </c>
      <c r="AL43" s="190">
        <v>5355618386.6700001</v>
      </c>
      <c r="AM43" s="190">
        <v>4959021755.54</v>
      </c>
      <c r="AN43" s="190">
        <v>4577018935.1800003</v>
      </c>
      <c r="AO43" s="190">
        <v>4174093846.21</v>
      </c>
      <c r="AP43" s="190">
        <v>3658196775.0900002</v>
      </c>
      <c r="AQ43" s="190">
        <v>3619186192.75</v>
      </c>
      <c r="AR43" s="190">
        <v>3532482792.0100002</v>
      </c>
      <c r="AS43" s="190">
        <v>3228831981.5900002</v>
      </c>
      <c r="AT43" s="190">
        <v>3579426457.6500001</v>
      </c>
      <c r="AU43" s="190">
        <v>3181758912.6599998</v>
      </c>
      <c r="AV43" s="190">
        <v>3037782202.4000001</v>
      </c>
      <c r="AW43" s="190">
        <v>2994700974.5700002</v>
      </c>
      <c r="AX43" s="190">
        <v>3042831901.8600001</v>
      </c>
      <c r="AY43" s="190">
        <v>3062777232.6300001</v>
      </c>
      <c r="AZ43" s="190">
        <v>2805157895.77</v>
      </c>
      <c r="BA43" s="190">
        <v>2610214139.1599998</v>
      </c>
      <c r="BB43" s="190">
        <v>2692734316.98</v>
      </c>
      <c r="BC43" s="190">
        <v>2290512825.3400002</v>
      </c>
      <c r="BD43" s="190">
        <v>2562195209.3099999</v>
      </c>
      <c r="BE43" s="190">
        <v>2847133877.6900001</v>
      </c>
      <c r="BF43" s="190">
        <v>3019523961.6799998</v>
      </c>
      <c r="BG43" s="190">
        <v>2867321093.1100001</v>
      </c>
      <c r="BH43" s="190">
        <v>3144925113.6999998</v>
      </c>
      <c r="BI43" s="190">
        <v>3609381940.7800002</v>
      </c>
      <c r="BJ43" s="190">
        <v>3194952662.6999998</v>
      </c>
      <c r="BK43" s="190">
        <v>3429630704.0100002</v>
      </c>
      <c r="BL43" s="190">
        <v>3753413514.6700001</v>
      </c>
      <c r="BM43" s="190">
        <v>3818304134.5799999</v>
      </c>
      <c r="BN43" s="190">
        <v>3812973603.4299998</v>
      </c>
      <c r="BO43" s="190">
        <v>3980972571.25</v>
      </c>
      <c r="BP43" s="190">
        <v>3538792355.7199998</v>
      </c>
      <c r="BQ43" s="190">
        <v>3339641515.0500002</v>
      </c>
      <c r="BR43" s="190">
        <v>3160775351.5900002</v>
      </c>
      <c r="BS43" s="190">
        <v>2780415771.4499998</v>
      </c>
      <c r="BT43" s="190">
        <v>2732240475.52</v>
      </c>
      <c r="BU43" s="190">
        <v>1844261372.24</v>
      </c>
      <c r="BV43" s="190">
        <v>2024584662.3399999</v>
      </c>
      <c r="BW43" s="190">
        <v>0</v>
      </c>
    </row>
    <row r="44" spans="1:75">
      <c r="A44" s="190" t="s">
        <v>259</v>
      </c>
    </row>
    <row r="45" spans="1:75">
      <c r="A45" s="190" t="s">
        <v>260</v>
      </c>
      <c r="B45" s="190">
        <v>2135717248.49</v>
      </c>
      <c r="C45" s="190">
        <v>0</v>
      </c>
      <c r="D45" s="190">
        <v>1090083643.6700001</v>
      </c>
      <c r="E45" s="190">
        <v>0</v>
      </c>
      <c r="F45" s="190">
        <v>2361167577.8600001</v>
      </c>
      <c r="G45" s="190">
        <v>0</v>
      </c>
      <c r="H45" s="190">
        <v>1055685539.9400001</v>
      </c>
      <c r="I45" s="190">
        <v>0</v>
      </c>
      <c r="J45" s="190">
        <v>2413606492.8699999</v>
      </c>
      <c r="K45" s="190">
        <v>0</v>
      </c>
      <c r="L45" s="190">
        <v>1164939735.74</v>
      </c>
      <c r="M45" s="190">
        <v>0</v>
      </c>
      <c r="N45" s="190">
        <v>2800375875.0900002</v>
      </c>
      <c r="O45" s="190">
        <v>0</v>
      </c>
      <c r="P45" s="190">
        <v>973196132.04999995</v>
      </c>
      <c r="Q45" s="190">
        <v>0</v>
      </c>
      <c r="R45" s="190">
        <v>1799791966.72</v>
      </c>
      <c r="S45" s="190">
        <v>0</v>
      </c>
      <c r="T45" s="190">
        <v>861897327.41999996</v>
      </c>
      <c r="U45" s="190">
        <v>0</v>
      </c>
      <c r="V45" s="190">
        <v>1837010750.3</v>
      </c>
      <c r="W45" s="190">
        <v>0</v>
      </c>
      <c r="X45" s="190">
        <v>648015475.62</v>
      </c>
      <c r="Y45" s="190">
        <v>0</v>
      </c>
      <c r="Z45" s="190">
        <v>1314824682.5899999</v>
      </c>
      <c r="AA45" s="190">
        <v>0</v>
      </c>
      <c r="AB45" s="190">
        <v>820965753.33000004</v>
      </c>
      <c r="AC45" s="190">
        <v>0</v>
      </c>
      <c r="AD45" s="190">
        <v>1178295682.76</v>
      </c>
      <c r="AE45" s="190">
        <v>0</v>
      </c>
      <c r="AF45" s="190">
        <v>694225592.77999997</v>
      </c>
      <c r="AG45" s="190">
        <v>0</v>
      </c>
      <c r="AH45" s="190">
        <v>1086519101.5899999</v>
      </c>
      <c r="AI45" s="190">
        <v>0</v>
      </c>
      <c r="AJ45" s="190">
        <v>558561767.66999996</v>
      </c>
      <c r="AK45" s="190">
        <v>0</v>
      </c>
      <c r="AL45" s="190">
        <v>806759583.20000005</v>
      </c>
      <c r="AM45" s="190">
        <v>0</v>
      </c>
      <c r="AN45" s="190">
        <v>526251406.68000001</v>
      </c>
      <c r="AO45" s="190">
        <v>0</v>
      </c>
      <c r="AP45" s="190">
        <v>967108766.96000004</v>
      </c>
      <c r="AQ45" s="190">
        <v>0</v>
      </c>
      <c r="AR45" s="190">
        <v>497794244.75</v>
      </c>
      <c r="AS45" s="190">
        <v>0</v>
      </c>
      <c r="AT45" s="190">
        <v>892906408.98000002</v>
      </c>
      <c r="AU45" s="190">
        <v>0</v>
      </c>
      <c r="AV45" s="190">
        <v>442767373.94999999</v>
      </c>
      <c r="AW45" s="190">
        <v>0</v>
      </c>
      <c r="AX45" s="190">
        <v>401514527.35000002</v>
      </c>
      <c r="AY45" s="190">
        <v>256573756.66999999</v>
      </c>
      <c r="AZ45" s="190">
        <v>137612432.38</v>
      </c>
      <c r="BA45" s="190">
        <v>62226459.109999999</v>
      </c>
      <c r="BB45" s="190">
        <v>159443460.78999999</v>
      </c>
      <c r="BC45" s="190">
        <v>133564054.06999999</v>
      </c>
      <c r="BD45" s="190">
        <v>122533552.03</v>
      </c>
      <c r="BE45" s="190">
        <v>73002861.420000002</v>
      </c>
      <c r="BF45" s="190">
        <v>293740978.41000003</v>
      </c>
      <c r="BG45" s="190">
        <v>255376997.08000001</v>
      </c>
      <c r="BH45" s="190">
        <v>194491271.11000001</v>
      </c>
      <c r="BI45" s="190">
        <v>82187262.709999993</v>
      </c>
      <c r="BJ45" s="190">
        <v>412010778.26999998</v>
      </c>
      <c r="BK45" s="190">
        <v>307400101.85000002</v>
      </c>
      <c r="BL45" s="190">
        <v>220268441.96000001</v>
      </c>
      <c r="BM45" s="190">
        <v>73114610.659999996</v>
      </c>
      <c r="BN45" s="190">
        <v>272775662.16000003</v>
      </c>
      <c r="BO45" s="190">
        <v>134696233.75999999</v>
      </c>
      <c r="BP45" s="190">
        <v>246444551.36000001</v>
      </c>
      <c r="BQ45" s="190">
        <v>145924889.72999999</v>
      </c>
      <c r="BR45" s="190">
        <v>275868909.13999999</v>
      </c>
      <c r="BS45" s="190">
        <v>145360130.50999999</v>
      </c>
      <c r="BT45" s="190">
        <v>244333013.37</v>
      </c>
      <c r="BU45" s="190">
        <v>98950981.099999994</v>
      </c>
      <c r="BV45" s="190">
        <v>10415260.810000001</v>
      </c>
      <c r="BW45" s="190">
        <v>0</v>
      </c>
    </row>
    <row r="46" spans="1:7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260380319.21000001</v>
      </c>
      <c r="AY46" s="190">
        <v>185647156.86000001</v>
      </c>
      <c r="AZ46" s="190">
        <v>111568690.25</v>
      </c>
      <c r="BA46" s="190">
        <v>55206921.07</v>
      </c>
      <c r="BB46" s="190">
        <v>249412352.00999999</v>
      </c>
      <c r="BC46" s="190">
        <v>229613198.88</v>
      </c>
      <c r="BD46" s="190">
        <v>160180203.25999999</v>
      </c>
      <c r="BE46" s="190">
        <v>74017189.209999993</v>
      </c>
      <c r="BF46" s="190">
        <v>313879867.31999999</v>
      </c>
      <c r="BG46" s="190">
        <v>240094894.22</v>
      </c>
      <c r="BH46" s="190">
        <v>171840388.65000001</v>
      </c>
      <c r="BI46" s="190">
        <v>79723979.810000002</v>
      </c>
      <c r="BJ46" s="190">
        <v>354755251.63</v>
      </c>
      <c r="BK46" s="190">
        <v>261143817.5</v>
      </c>
      <c r="BL46" s="190">
        <v>158446089.09999999</v>
      </c>
      <c r="BM46" s="190">
        <v>69759969.170000002</v>
      </c>
      <c r="BN46" s="190">
        <v>311618075.51999998</v>
      </c>
      <c r="BO46" s="190">
        <v>160106779.80000001</v>
      </c>
      <c r="BP46" s="190">
        <v>258239260.90000001</v>
      </c>
      <c r="BQ46" s="190">
        <v>128086071.06</v>
      </c>
      <c r="BR46" s="190">
        <v>199833262.15000001</v>
      </c>
      <c r="BS46" s="190">
        <v>111173617.91</v>
      </c>
      <c r="BT46" s="190">
        <v>186685025.84999999</v>
      </c>
      <c r="BU46" s="190">
        <v>111461693.06999999</v>
      </c>
      <c r="BV46" s="190">
        <v>-4422017.92</v>
      </c>
      <c r="BW46" s="190">
        <v>0</v>
      </c>
    </row>
    <row r="47" spans="1:7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c r="BW47" s="190">
        <v>0</v>
      </c>
    </row>
    <row r="48" spans="1:75">
      <c r="A48" s="190" t="s">
        <v>262</v>
      </c>
      <c r="B48" s="190">
        <v>489077.55</v>
      </c>
      <c r="C48" s="190">
        <v>0</v>
      </c>
      <c r="D48" s="190">
        <v>-4068178.91</v>
      </c>
      <c r="E48" s="190">
        <v>0</v>
      </c>
      <c r="F48" s="190">
        <v>84893677.329999998</v>
      </c>
      <c r="G48" s="190">
        <v>0</v>
      </c>
      <c r="H48" s="190">
        <v>-9017574.5099999998</v>
      </c>
      <c r="I48" s="190">
        <v>0</v>
      </c>
      <c r="J48" s="190">
        <v>186234579.59</v>
      </c>
      <c r="K48" s="190">
        <v>0</v>
      </c>
      <c r="L48" s="190">
        <v>75046732.370000005</v>
      </c>
      <c r="M48" s="190">
        <v>0</v>
      </c>
      <c r="N48" s="190">
        <v>243482658.03</v>
      </c>
      <c r="O48" s="190">
        <v>0</v>
      </c>
      <c r="P48" s="190">
        <v>14682542.59</v>
      </c>
      <c r="Q48" s="190">
        <v>0</v>
      </c>
      <c r="R48" s="190">
        <v>124041702.59</v>
      </c>
      <c r="S48" s="190">
        <v>0</v>
      </c>
      <c r="T48" s="190">
        <v>-57587392.090000004</v>
      </c>
      <c r="U48" s="190">
        <v>0</v>
      </c>
      <c r="V48" s="190">
        <v>96208556.939999998</v>
      </c>
      <c r="W48" s="190">
        <v>0</v>
      </c>
      <c r="X48" s="190">
        <v>-18826371.219999999</v>
      </c>
      <c r="Y48" s="190">
        <v>0</v>
      </c>
      <c r="Z48" s="190">
        <v>53030020.170000002</v>
      </c>
      <c r="AA48" s="190">
        <v>0</v>
      </c>
      <c r="AB48" s="190">
        <v>14104676.15</v>
      </c>
      <c r="AC48" s="190">
        <v>0</v>
      </c>
      <c r="AD48" s="190">
        <v>93266157.510000005</v>
      </c>
      <c r="AE48" s="190">
        <v>0</v>
      </c>
      <c r="AF48" s="190">
        <v>-8577014.7400000002</v>
      </c>
      <c r="AG48" s="190">
        <v>0</v>
      </c>
      <c r="AH48" s="190">
        <v>181911146.94999999</v>
      </c>
      <c r="AI48" s="190">
        <v>0</v>
      </c>
      <c r="AJ48" s="190">
        <v>7482781.3399999999</v>
      </c>
      <c r="AK48" s="190">
        <v>0</v>
      </c>
      <c r="AL48" s="190">
        <v>114686083.62</v>
      </c>
      <c r="AM48" s="190">
        <v>0</v>
      </c>
      <c r="AN48" s="190">
        <v>-30637066.32</v>
      </c>
      <c r="AO48" s="190">
        <v>0</v>
      </c>
      <c r="AP48" s="190">
        <v>115301326.72</v>
      </c>
      <c r="AQ48" s="190">
        <v>0</v>
      </c>
      <c r="AR48" s="190">
        <v>36916701.020000003</v>
      </c>
      <c r="AS48" s="190">
        <v>0</v>
      </c>
      <c r="AT48" s="190">
        <v>43408183.109999999</v>
      </c>
      <c r="AU48" s="190">
        <v>0</v>
      </c>
      <c r="AV48" s="190">
        <v>-24190045.109999999</v>
      </c>
      <c r="AW48" s="190">
        <v>0</v>
      </c>
      <c r="AX48" s="190">
        <v>47471913.479999997</v>
      </c>
      <c r="AY48" s="190">
        <v>-112846.14</v>
      </c>
      <c r="AZ48" s="190">
        <v>-247134.14</v>
      </c>
      <c r="BA48" s="190">
        <v>219280.68</v>
      </c>
      <c r="BB48" s="190">
        <v>54908546.030000001</v>
      </c>
      <c r="BC48" s="190">
        <v>16293594.689999999</v>
      </c>
      <c r="BD48" s="190">
        <v>22490615.210000001</v>
      </c>
      <c r="BE48" s="190">
        <v>-95090</v>
      </c>
      <c r="BF48" s="190">
        <v>-46257251.75</v>
      </c>
      <c r="BG48" s="190">
        <v>-100043275.13</v>
      </c>
      <c r="BH48" s="190">
        <v>-95843019.280000001</v>
      </c>
      <c r="BI48" s="190">
        <v>-7199676.7400000002</v>
      </c>
      <c r="BJ48" s="190">
        <v>-295008216.08999997</v>
      </c>
      <c r="BK48" s="190">
        <v>1480417.41</v>
      </c>
      <c r="BL48" s="190">
        <v>4500</v>
      </c>
      <c r="BM48" s="190">
        <v>0</v>
      </c>
      <c r="BN48" s="190">
        <v>111140736.28</v>
      </c>
      <c r="BO48" s="190">
        <v>14610852.029999999</v>
      </c>
      <c r="BP48" s="190">
        <v>77915642.629999995</v>
      </c>
      <c r="BQ48" s="190">
        <v>376238.13</v>
      </c>
      <c r="BR48" s="190">
        <v>78247504.189999998</v>
      </c>
      <c r="BS48" s="190">
        <v>1139178.3799999999</v>
      </c>
      <c r="BT48" s="190">
        <v>101429188.83</v>
      </c>
      <c r="BU48" s="190">
        <v>-48896.84</v>
      </c>
      <c r="BV48" s="190">
        <v>-976817.08</v>
      </c>
      <c r="BW48" s="190">
        <v>0</v>
      </c>
    </row>
    <row r="49" spans="1:75">
      <c r="A49" s="190" t="s">
        <v>263</v>
      </c>
      <c r="B49" s="190">
        <v>207333338.52000001</v>
      </c>
      <c r="C49" s="190">
        <v>0</v>
      </c>
      <c r="D49" s="190">
        <v>104345762.37</v>
      </c>
      <c r="E49" s="190">
        <v>0</v>
      </c>
      <c r="F49" s="190">
        <v>216291451.30000001</v>
      </c>
      <c r="G49" s="190">
        <v>0</v>
      </c>
      <c r="H49" s="190">
        <v>108325102.36</v>
      </c>
      <c r="I49" s="190">
        <v>0</v>
      </c>
      <c r="J49" s="190">
        <v>203128375.74000001</v>
      </c>
      <c r="K49" s="190">
        <v>0</v>
      </c>
      <c r="L49" s="190">
        <v>96679162.939999998</v>
      </c>
      <c r="M49" s="190">
        <v>0</v>
      </c>
      <c r="N49" s="190">
        <v>222847806.49000001</v>
      </c>
      <c r="O49" s="190">
        <v>0</v>
      </c>
      <c r="P49" s="190">
        <v>119450542.08</v>
      </c>
      <c r="Q49" s="190">
        <v>0</v>
      </c>
      <c r="R49" s="190">
        <v>206709237.77000001</v>
      </c>
      <c r="S49" s="190">
        <v>0</v>
      </c>
      <c r="T49" s="190">
        <v>100964149.67</v>
      </c>
      <c r="U49" s="190">
        <v>0</v>
      </c>
      <c r="V49" s="190">
        <v>190840526.88</v>
      </c>
      <c r="W49" s="190">
        <v>0</v>
      </c>
      <c r="X49" s="190">
        <v>94240872.510000005</v>
      </c>
      <c r="Y49" s="190">
        <v>0</v>
      </c>
      <c r="Z49" s="190">
        <v>211656428.75</v>
      </c>
      <c r="AA49" s="190">
        <v>0</v>
      </c>
      <c r="AB49" s="190">
        <v>75401710.290000007</v>
      </c>
      <c r="AC49" s="190">
        <v>0</v>
      </c>
      <c r="AD49" s="190">
        <v>179708807.44</v>
      </c>
      <c r="AE49" s="190">
        <v>0</v>
      </c>
      <c r="AF49" s="190">
        <v>93353490.260000005</v>
      </c>
      <c r="AG49" s="190">
        <v>0</v>
      </c>
      <c r="AH49" s="190">
        <v>183797295.69</v>
      </c>
      <c r="AI49" s="190">
        <v>0</v>
      </c>
      <c r="AJ49" s="190">
        <v>96421944.840000004</v>
      </c>
      <c r="AK49" s="190">
        <v>0</v>
      </c>
      <c r="AL49" s="190">
        <v>173832101</v>
      </c>
      <c r="AM49" s="190">
        <v>0</v>
      </c>
      <c r="AN49" s="190">
        <v>74238264.670000002</v>
      </c>
      <c r="AO49" s="190">
        <v>0</v>
      </c>
      <c r="AP49" s="190">
        <v>149697083.86000001</v>
      </c>
      <c r="AQ49" s="190">
        <v>0</v>
      </c>
      <c r="AR49" s="190">
        <v>76707133.730000004</v>
      </c>
      <c r="AS49" s="190">
        <v>0</v>
      </c>
      <c r="AT49" s="190">
        <v>149095466.41</v>
      </c>
      <c r="AU49" s="190">
        <v>0</v>
      </c>
      <c r="AV49" s="190">
        <v>70480885.659999996</v>
      </c>
      <c r="AW49" s="190">
        <v>0</v>
      </c>
      <c r="AX49" s="190">
        <v>135970339.59</v>
      </c>
      <c r="AY49" s="190">
        <v>99638377.700000003</v>
      </c>
      <c r="AZ49" s="190">
        <v>66467900.159999996</v>
      </c>
      <c r="BA49" s="190">
        <v>32543624.02</v>
      </c>
      <c r="BB49" s="190">
        <v>127237559.11</v>
      </c>
      <c r="BC49" s="190">
        <v>102527567.28</v>
      </c>
      <c r="BD49" s="190">
        <v>60330594.689999998</v>
      </c>
      <c r="BE49" s="190">
        <v>32978661.32</v>
      </c>
      <c r="BF49" s="190">
        <v>126409348.19</v>
      </c>
      <c r="BG49" s="190">
        <v>100643777.94</v>
      </c>
      <c r="BH49" s="190">
        <v>67804503.920000002</v>
      </c>
      <c r="BI49" s="190">
        <v>33559333.810000002</v>
      </c>
      <c r="BJ49" s="190">
        <v>109899974.7</v>
      </c>
      <c r="BK49" s="190">
        <v>84496337.579999998</v>
      </c>
      <c r="BL49" s="190">
        <v>52892178.280000001</v>
      </c>
      <c r="BM49" s="190">
        <v>31403755.149999999</v>
      </c>
      <c r="BN49" s="190">
        <v>107782040.09</v>
      </c>
      <c r="BO49" s="190">
        <v>44246118.780000001</v>
      </c>
      <c r="BP49" s="190">
        <v>88222126.709999993</v>
      </c>
      <c r="BQ49" s="190">
        <v>41275585.07</v>
      </c>
      <c r="BR49" s="190">
        <v>95503651.379999995</v>
      </c>
      <c r="BS49" s="190">
        <v>40994058.859999999</v>
      </c>
      <c r="BT49" s="190">
        <v>89520764.239999995</v>
      </c>
      <c r="BU49" s="190">
        <v>41116374.049999997</v>
      </c>
      <c r="BV49" s="190">
        <v>26243609.890000001</v>
      </c>
      <c r="BW49" s="190">
        <v>0</v>
      </c>
    </row>
    <row r="50" spans="1:75">
      <c r="A50" s="190" t="s">
        <v>264</v>
      </c>
      <c r="B50" s="190">
        <v>11856611.15</v>
      </c>
      <c r="C50" s="190">
        <v>0</v>
      </c>
      <c r="D50" s="190">
        <v>6355119.8399999999</v>
      </c>
      <c r="E50" s="190">
        <v>0</v>
      </c>
      <c r="F50" s="190">
        <v>12100977.699999999</v>
      </c>
      <c r="G50" s="190">
        <v>0</v>
      </c>
      <c r="H50" s="190">
        <v>5621280.7300000004</v>
      </c>
      <c r="I50" s="190">
        <v>0</v>
      </c>
      <c r="J50" s="190">
        <v>11766445.74</v>
      </c>
      <c r="K50" s="190">
        <v>0</v>
      </c>
      <c r="L50" s="190">
        <v>7042826.4699999997</v>
      </c>
      <c r="M50" s="190">
        <v>0</v>
      </c>
      <c r="N50" s="190">
        <v>10836222.99</v>
      </c>
      <c r="O50" s="190">
        <v>0</v>
      </c>
      <c r="P50" s="190">
        <v>5389341.1500000004</v>
      </c>
      <c r="Q50" s="190">
        <v>0</v>
      </c>
      <c r="R50" s="190">
        <v>29509235.420000002</v>
      </c>
      <c r="S50" s="190">
        <v>0</v>
      </c>
      <c r="T50" s="190">
        <v>5904966.6299999999</v>
      </c>
      <c r="U50" s="190">
        <v>0</v>
      </c>
      <c r="V50" s="190">
        <v>18250433.190000001</v>
      </c>
      <c r="W50" s="190">
        <v>0</v>
      </c>
      <c r="X50" s="190">
        <v>7194405.1900000004</v>
      </c>
      <c r="Y50" s="190">
        <v>0</v>
      </c>
      <c r="Z50" s="190">
        <v>11104598.15</v>
      </c>
      <c r="AA50" s="190">
        <v>0</v>
      </c>
      <c r="AB50" s="190">
        <v>3637111.92</v>
      </c>
      <c r="AC50" s="190">
        <v>0</v>
      </c>
      <c r="AD50" s="190">
        <v>11362406.59</v>
      </c>
      <c r="AE50" s="190">
        <v>0</v>
      </c>
      <c r="AF50" s="190">
        <v>5885056.0300000003</v>
      </c>
      <c r="AG50" s="190">
        <v>0</v>
      </c>
      <c r="AH50" s="190">
        <v>13455764.949999999</v>
      </c>
      <c r="AI50" s="190">
        <v>0</v>
      </c>
      <c r="AJ50" s="190">
        <v>7770726.2400000002</v>
      </c>
      <c r="AK50" s="190">
        <v>0</v>
      </c>
      <c r="AL50" s="190">
        <v>10476796.07</v>
      </c>
      <c r="AM50" s="190">
        <v>0</v>
      </c>
      <c r="AN50" s="190">
        <v>3985898.22</v>
      </c>
      <c r="AO50" s="190">
        <v>0</v>
      </c>
      <c r="AP50" s="190">
        <v>8281692.7300000004</v>
      </c>
      <c r="AQ50" s="190">
        <v>0</v>
      </c>
      <c r="AR50" s="190">
        <v>4287664.18</v>
      </c>
      <c r="AS50" s="190">
        <v>0</v>
      </c>
      <c r="AT50" s="190">
        <v>9182599.4299999997</v>
      </c>
      <c r="AU50" s="190">
        <v>0</v>
      </c>
      <c r="AV50" s="190">
        <v>4229515.78</v>
      </c>
      <c r="AW50" s="190">
        <v>0</v>
      </c>
      <c r="AX50" s="190">
        <v>7588614.3200000003</v>
      </c>
      <c r="AY50" s="190">
        <v>5366158.8</v>
      </c>
      <c r="AZ50" s="190">
        <v>3936162.12</v>
      </c>
      <c r="BA50" s="190">
        <v>1714130.86</v>
      </c>
      <c r="BB50" s="190">
        <v>8559224.7200000007</v>
      </c>
      <c r="BC50" s="190">
        <v>6334941.6399999997</v>
      </c>
      <c r="BD50" s="190">
        <v>3852457.77</v>
      </c>
      <c r="BE50" s="190">
        <v>1902642.2</v>
      </c>
      <c r="BF50" s="190">
        <v>10406698.82</v>
      </c>
      <c r="BG50" s="190">
        <v>6792565.9699999997</v>
      </c>
      <c r="BH50" s="190">
        <v>4751764.13</v>
      </c>
      <c r="BI50" s="190">
        <v>2335835.9500000002</v>
      </c>
      <c r="BJ50" s="190">
        <v>8782625.9000000004</v>
      </c>
      <c r="BK50" s="190">
        <v>7089526.9800000004</v>
      </c>
      <c r="BL50" s="190">
        <v>1620462.95</v>
      </c>
      <c r="BM50" s="190">
        <v>1763517.7</v>
      </c>
      <c r="BN50" s="190">
        <v>2443610.4700000002</v>
      </c>
      <c r="BO50" s="190">
        <v>1123455.74</v>
      </c>
      <c r="BP50" s="190">
        <v>1595400.12</v>
      </c>
      <c r="BQ50" s="190">
        <v>600708.37</v>
      </c>
      <c r="BR50" s="190">
        <v>11702335.1</v>
      </c>
      <c r="BS50" s="190">
        <v>-80152.47</v>
      </c>
      <c r="BT50" s="190">
        <v>5482118.0300000003</v>
      </c>
      <c r="BU50" s="190">
        <v>2729291.5</v>
      </c>
      <c r="BV50" s="190">
        <v>2377808.85</v>
      </c>
      <c r="BW50" s="190">
        <v>0</v>
      </c>
    </row>
    <row r="51" spans="1:75">
      <c r="A51" s="190" t="s">
        <v>265</v>
      </c>
      <c r="B51" s="190">
        <v>5009659.03</v>
      </c>
      <c r="C51" s="190">
        <v>0</v>
      </c>
      <c r="D51" s="190">
        <v>562767.42000000004</v>
      </c>
      <c r="E51" s="190">
        <v>0</v>
      </c>
      <c r="F51" s="190">
        <v>3834444.51</v>
      </c>
      <c r="G51" s="190">
        <v>0</v>
      </c>
      <c r="H51" s="190">
        <v>1032693.37</v>
      </c>
      <c r="I51" s="190">
        <v>0</v>
      </c>
      <c r="J51" s="190">
        <v>3574635.55</v>
      </c>
      <c r="K51" s="190">
        <v>0</v>
      </c>
      <c r="L51" s="190">
        <v>1371001.43</v>
      </c>
      <c r="M51" s="190">
        <v>0</v>
      </c>
      <c r="N51" s="190">
        <v>2948250.25</v>
      </c>
      <c r="O51" s="190">
        <v>0</v>
      </c>
      <c r="P51" s="190">
        <v>2774819.35</v>
      </c>
      <c r="Q51" s="190">
        <v>0</v>
      </c>
      <c r="R51" s="190">
        <v>3947946.12</v>
      </c>
      <c r="S51" s="190">
        <v>0</v>
      </c>
      <c r="T51" s="190">
        <v>1449728.46</v>
      </c>
      <c r="U51" s="190">
        <v>0</v>
      </c>
      <c r="V51" s="190">
        <v>3549047</v>
      </c>
      <c r="W51" s="190">
        <v>0</v>
      </c>
      <c r="X51" s="190">
        <v>1015878.84</v>
      </c>
      <c r="Y51" s="190">
        <v>0</v>
      </c>
      <c r="Z51" s="190">
        <v>3261544.59</v>
      </c>
      <c r="AA51" s="190">
        <v>0</v>
      </c>
      <c r="AB51" s="190">
        <v>1055298.78</v>
      </c>
      <c r="AC51" s="190">
        <v>0</v>
      </c>
      <c r="AD51" s="190">
        <v>2420528.16</v>
      </c>
      <c r="AE51" s="190">
        <v>0</v>
      </c>
      <c r="AF51" s="190">
        <v>1236152.3999999999</v>
      </c>
      <c r="AG51" s="190">
        <v>0</v>
      </c>
      <c r="AH51" s="190">
        <v>2160991.79</v>
      </c>
      <c r="AI51" s="190">
        <v>0</v>
      </c>
      <c r="AJ51" s="190">
        <v>1515130.74</v>
      </c>
      <c r="AK51" s="190">
        <v>0</v>
      </c>
      <c r="AL51" s="190">
        <v>3888307.08</v>
      </c>
      <c r="AM51" s="190">
        <v>0</v>
      </c>
      <c r="AN51" s="190">
        <v>2222649.63</v>
      </c>
      <c r="AO51" s="190">
        <v>0</v>
      </c>
      <c r="AP51" s="190">
        <v>3255932.87</v>
      </c>
      <c r="AQ51" s="190">
        <v>0</v>
      </c>
      <c r="AR51" s="190">
        <v>521360.08</v>
      </c>
      <c r="AS51" s="190">
        <v>0</v>
      </c>
      <c r="AT51" s="190">
        <v>549249.48</v>
      </c>
      <c r="AU51" s="190">
        <v>0</v>
      </c>
      <c r="AV51" s="190">
        <v>320435.40000000002</v>
      </c>
      <c r="AW51" s="190">
        <v>0</v>
      </c>
      <c r="AX51" s="190">
        <v>472638.68</v>
      </c>
      <c r="AY51" s="190">
        <v>0</v>
      </c>
      <c r="AZ51" s="190">
        <v>217166.64</v>
      </c>
      <c r="BA51" s="190">
        <v>108583.32</v>
      </c>
      <c r="BB51" s="190">
        <v>3725414.18</v>
      </c>
      <c r="BC51" s="190">
        <v>1042249.97</v>
      </c>
      <c r="BD51" s="190">
        <v>1864638.85</v>
      </c>
      <c r="BE51" s="190">
        <v>214083.35</v>
      </c>
      <c r="BF51" s="190">
        <v>805724.4</v>
      </c>
      <c r="BG51" s="190">
        <v>650441.05000000005</v>
      </c>
      <c r="BH51" s="190">
        <v>150594.06</v>
      </c>
      <c r="BI51" s="190">
        <v>75297.03</v>
      </c>
      <c r="BJ51" s="190">
        <v>815521.44</v>
      </c>
      <c r="BK51" s="190">
        <v>270000</v>
      </c>
      <c r="BL51" s="190">
        <v>0</v>
      </c>
      <c r="BM51" s="190">
        <v>0</v>
      </c>
      <c r="BN51" s="190">
        <v>11111469.439999999</v>
      </c>
      <c r="BO51" s="190">
        <v>6254422.8600000003</v>
      </c>
      <c r="BP51" s="190">
        <v>16627329</v>
      </c>
      <c r="BQ51" s="190">
        <v>715497.66</v>
      </c>
      <c r="BR51" s="190">
        <v>0</v>
      </c>
      <c r="BS51" s="190">
        <v>0</v>
      </c>
      <c r="BT51" s="190">
        <v>0</v>
      </c>
      <c r="BU51" s="190">
        <v>0</v>
      </c>
      <c r="BV51" s="190">
        <v>0</v>
      </c>
      <c r="BW51" s="190">
        <v>0</v>
      </c>
    </row>
    <row r="52" spans="1:7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2330807.15</v>
      </c>
      <c r="AY52" s="190">
        <v>-2895194.54</v>
      </c>
      <c r="AZ52" s="190">
        <v>-4451409.71</v>
      </c>
      <c r="BA52" s="190">
        <v>-4603439.92</v>
      </c>
      <c r="BB52" s="190">
        <v>-1145419.52</v>
      </c>
      <c r="BC52" s="190">
        <v>-6900901.1500000004</v>
      </c>
      <c r="BD52" s="190">
        <v>-4855470.7699999996</v>
      </c>
      <c r="BE52" s="190">
        <v>-2552220.9700000002</v>
      </c>
      <c r="BF52" s="190">
        <v>-1319288.74</v>
      </c>
      <c r="BG52" s="190">
        <v>-3567654.07</v>
      </c>
      <c r="BH52" s="190">
        <v>-3032196.37</v>
      </c>
      <c r="BI52" s="190">
        <v>-1339343.43</v>
      </c>
      <c r="BJ52" s="190">
        <v>304445.68</v>
      </c>
      <c r="BK52" s="190">
        <v>-1212662.71</v>
      </c>
      <c r="BL52" s="190">
        <v>-780534.11</v>
      </c>
      <c r="BM52" s="190">
        <v>122616.9</v>
      </c>
      <c r="BN52" s="190">
        <v>221604.63</v>
      </c>
      <c r="BO52" s="190">
        <v>82360768.730000004</v>
      </c>
      <c r="BP52" s="190">
        <v>1258082.44</v>
      </c>
      <c r="BQ52" s="190">
        <v>10771448.060000001</v>
      </c>
      <c r="BR52" s="190">
        <v>1659798.94</v>
      </c>
      <c r="BS52" s="190">
        <v>0</v>
      </c>
      <c r="BT52" s="190">
        <v>-6407716.7599999998</v>
      </c>
      <c r="BU52" s="190">
        <v>3252954.96</v>
      </c>
      <c r="BV52" s="190">
        <v>4469070.16</v>
      </c>
      <c r="BW52" s="190">
        <v>0</v>
      </c>
    </row>
    <row r="53" spans="1:7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3654505.62</v>
      </c>
      <c r="AY53" s="190">
        <v>9118213.7400000002</v>
      </c>
      <c r="AZ53" s="190">
        <v>5602227.5300000003</v>
      </c>
      <c r="BA53" s="190">
        <v>157072410.22999999</v>
      </c>
      <c r="BB53" s="190">
        <v>1942393.29</v>
      </c>
      <c r="BC53" s="190">
        <v>8249002.7199999997</v>
      </c>
      <c r="BD53" s="190">
        <v>7053178.75</v>
      </c>
      <c r="BE53" s="190">
        <v>7916669.3399999999</v>
      </c>
      <c r="BF53" s="190">
        <v>-3170522.94</v>
      </c>
      <c r="BG53" s="190">
        <v>16593817.960000001</v>
      </c>
      <c r="BH53" s="190">
        <v>16249617.27</v>
      </c>
      <c r="BI53" s="190">
        <v>19552626.609999999</v>
      </c>
      <c r="BJ53" s="190">
        <v>-4769211.5999999996</v>
      </c>
      <c r="BK53" s="190">
        <v>48222570.68</v>
      </c>
      <c r="BL53" s="190">
        <v>22800799.800000001</v>
      </c>
      <c r="BM53" s="190">
        <v>92494185.019999996</v>
      </c>
      <c r="BN53" s="190">
        <v>-183701.92</v>
      </c>
      <c r="BO53" s="190">
        <v>3078820.06</v>
      </c>
      <c r="BP53" s="190">
        <v>1097615</v>
      </c>
      <c r="BQ53" s="190">
        <v>5841145.25</v>
      </c>
      <c r="BR53" s="190">
        <v>342145.17</v>
      </c>
      <c r="BS53" s="190">
        <v>0</v>
      </c>
      <c r="BT53" s="190">
        <v>797371.81</v>
      </c>
      <c r="BU53" s="190">
        <v>0</v>
      </c>
      <c r="BV53" s="190">
        <v>0</v>
      </c>
      <c r="BW53" s="190">
        <v>0</v>
      </c>
    </row>
    <row r="54" spans="1:75">
      <c r="A54" s="190" t="s">
        <v>268</v>
      </c>
      <c r="B54" s="190">
        <v>22004664.890000001</v>
      </c>
      <c r="C54" s="190">
        <v>0</v>
      </c>
      <c r="D54" s="190">
        <v>1151235.1499999999</v>
      </c>
      <c r="E54" s="190">
        <v>0</v>
      </c>
      <c r="F54" s="190">
        <v>2634605.08</v>
      </c>
      <c r="G54" s="190">
        <v>0</v>
      </c>
      <c r="H54" s="190">
        <v>177407.02</v>
      </c>
      <c r="I54" s="190">
        <v>0</v>
      </c>
      <c r="J54" s="190">
        <v>-2583506.83</v>
      </c>
      <c r="K54" s="190">
        <v>0</v>
      </c>
      <c r="L54" s="190">
        <v>-1475420.23</v>
      </c>
      <c r="M54" s="190">
        <v>0</v>
      </c>
      <c r="N54" s="190">
        <v>-7584455.8499999996</v>
      </c>
      <c r="O54" s="190">
        <v>0</v>
      </c>
      <c r="P54" s="190">
        <v>494174.06</v>
      </c>
      <c r="Q54" s="190">
        <v>0</v>
      </c>
      <c r="R54" s="190">
        <v>-43590900.140000001</v>
      </c>
      <c r="S54" s="190">
        <v>0</v>
      </c>
      <c r="T54" s="190">
        <v>-635067.56999999995</v>
      </c>
      <c r="U54" s="190">
        <v>0</v>
      </c>
      <c r="V54" s="190">
        <v>-11109.1</v>
      </c>
      <c r="W54" s="190">
        <v>0</v>
      </c>
      <c r="X54" s="190">
        <v>-2781848.42</v>
      </c>
      <c r="Y54" s="190">
        <v>0</v>
      </c>
      <c r="Z54" s="190">
        <v>-15580237.02</v>
      </c>
      <c r="AA54" s="190">
        <v>0</v>
      </c>
      <c r="AB54" s="190">
        <v>-5509407.6799999997</v>
      </c>
      <c r="AC54" s="190">
        <v>0</v>
      </c>
      <c r="AD54" s="190">
        <v>-1028767.17</v>
      </c>
      <c r="AE54" s="190">
        <v>0</v>
      </c>
      <c r="AF54" s="190">
        <v>2470634.19</v>
      </c>
      <c r="AG54" s="190">
        <v>0</v>
      </c>
      <c r="AH54" s="190">
        <v>-16473816.779999999</v>
      </c>
      <c r="AI54" s="190">
        <v>0</v>
      </c>
      <c r="AJ54" s="190">
        <v>297735.53999999998</v>
      </c>
      <c r="AK54" s="190">
        <v>0</v>
      </c>
      <c r="AL54" s="190">
        <v>-15148984.42</v>
      </c>
      <c r="AM54" s="190">
        <v>0</v>
      </c>
      <c r="AN54" s="190">
        <v>818666.38</v>
      </c>
      <c r="AO54" s="190">
        <v>0</v>
      </c>
      <c r="AP54" s="190">
        <v>2982227.09</v>
      </c>
      <c r="AQ54" s="190">
        <v>0</v>
      </c>
      <c r="AR54" s="190">
        <v>3814238.88</v>
      </c>
      <c r="AS54" s="190">
        <v>0</v>
      </c>
      <c r="AT54" s="190">
        <v>-877676.99</v>
      </c>
      <c r="AU54" s="190">
        <v>0</v>
      </c>
      <c r="AV54" s="190">
        <v>737015.48</v>
      </c>
      <c r="AW54" s="190">
        <v>0</v>
      </c>
      <c r="AX54" s="190">
        <v>-4208975.4400000004</v>
      </c>
      <c r="AY54" s="190">
        <v>-4371197.1399999997</v>
      </c>
      <c r="AZ54" s="190">
        <v>-3444912.78</v>
      </c>
      <c r="BA54" s="190">
        <v>-825342.77</v>
      </c>
      <c r="BB54" s="190">
        <v>-3771127.98</v>
      </c>
      <c r="BC54" s="190">
        <v>-3964748.61</v>
      </c>
      <c r="BD54" s="190">
        <v>-34907.67</v>
      </c>
      <c r="BE54" s="190">
        <v>20651.740000000002</v>
      </c>
      <c r="BF54" s="190">
        <v>-1203819.48</v>
      </c>
      <c r="BG54" s="190">
        <v>-1449535.52</v>
      </c>
      <c r="BH54" s="190">
        <v>-1646497.44</v>
      </c>
      <c r="BI54" s="190">
        <v>-1167774.18</v>
      </c>
      <c r="BJ54" s="190">
        <v>109793000.17</v>
      </c>
      <c r="BK54" s="190">
        <v>17882960.59</v>
      </c>
      <c r="BL54" s="190">
        <v>876509.65</v>
      </c>
      <c r="BM54" s="190">
        <v>-611768.49</v>
      </c>
      <c r="BN54" s="190">
        <v>4354770.18</v>
      </c>
      <c r="BO54" s="190">
        <v>486335.56</v>
      </c>
      <c r="BP54" s="190">
        <v>403950.03</v>
      </c>
      <c r="BQ54" s="190">
        <v>62125.15</v>
      </c>
      <c r="BR54" s="190">
        <v>1766643.97</v>
      </c>
      <c r="BS54" s="190">
        <v>-26839.89</v>
      </c>
      <c r="BT54" s="190">
        <v>2926130.13</v>
      </c>
      <c r="BU54" s="190">
        <v>497243.51</v>
      </c>
      <c r="BV54" s="190">
        <v>-4723976.24</v>
      </c>
      <c r="BW54" s="190">
        <v>0</v>
      </c>
    </row>
    <row r="55" spans="1:7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-785626.86</v>
      </c>
      <c r="Y55" s="190">
        <v>0</v>
      </c>
      <c r="Z55" s="190">
        <v>0</v>
      </c>
      <c r="AA55" s="190">
        <v>0</v>
      </c>
      <c r="AB55" s="190">
        <v>43481.42</v>
      </c>
      <c r="AC55" s="190">
        <v>0</v>
      </c>
      <c r="AD55" s="190">
        <v>0</v>
      </c>
      <c r="AE55" s="190">
        <v>0</v>
      </c>
      <c r="AF55" s="190">
        <v>0</v>
      </c>
      <c r="AG55" s="190">
        <v>0</v>
      </c>
      <c r="AH55" s="190">
        <v>0</v>
      </c>
      <c r="AI55" s="190">
        <v>0</v>
      </c>
      <c r="AJ55" s="190">
        <v>126562.73</v>
      </c>
      <c r="AK55" s="190">
        <v>0</v>
      </c>
      <c r="AL55" s="190">
        <v>4696280.87</v>
      </c>
      <c r="AM55" s="190">
        <v>0</v>
      </c>
      <c r="AN55" s="190">
        <v>544578.19999999995</v>
      </c>
      <c r="AO55" s="190">
        <v>0</v>
      </c>
      <c r="AP55" s="190">
        <v>45788.21</v>
      </c>
      <c r="AQ55" s="190">
        <v>0</v>
      </c>
      <c r="AR55" s="190">
        <v>159435.85999999999</v>
      </c>
      <c r="AS55" s="190">
        <v>0</v>
      </c>
      <c r="AT55" s="190">
        <v>1332829.3400000001</v>
      </c>
      <c r="AU55" s="190">
        <v>0</v>
      </c>
      <c r="AV55" s="190">
        <v>815529.13</v>
      </c>
      <c r="AW55" s="190">
        <v>0</v>
      </c>
      <c r="AX55" s="190">
        <v>1794685</v>
      </c>
      <c r="AY55" s="190">
        <v>1115687</v>
      </c>
      <c r="AZ55" s="190">
        <v>0</v>
      </c>
      <c r="BA55" s="190">
        <v>2650</v>
      </c>
      <c r="BB55" s="190">
        <v>72072.160000000003</v>
      </c>
      <c r="BC55" s="190">
        <v>147194.41</v>
      </c>
      <c r="BD55" s="190">
        <v>47824.41</v>
      </c>
      <c r="BE55" s="190">
        <v>142236.41</v>
      </c>
      <c r="BF55" s="190">
        <v>1465303.32</v>
      </c>
      <c r="BG55" s="190">
        <v>4084502.1</v>
      </c>
      <c r="BH55" s="190">
        <v>2197201.34</v>
      </c>
      <c r="BI55" s="190">
        <v>1952404.56</v>
      </c>
      <c r="BJ55" s="190">
        <v>927280.99</v>
      </c>
      <c r="BK55" s="190">
        <v>859864.72</v>
      </c>
      <c r="BL55" s="190">
        <v>648703.48</v>
      </c>
      <c r="BM55" s="190">
        <v>8525</v>
      </c>
      <c r="BN55" s="190">
        <v>550805.42000000004</v>
      </c>
      <c r="BO55" s="190">
        <v>38757.050000000003</v>
      </c>
      <c r="BP55" s="190">
        <v>253471</v>
      </c>
      <c r="BQ55" s="190">
        <v>568103.55000000005</v>
      </c>
      <c r="BR55" s="190">
        <v>198046.58</v>
      </c>
      <c r="BS55" s="190">
        <v>20412.77</v>
      </c>
      <c r="BT55" s="190">
        <v>20588.57</v>
      </c>
      <c r="BU55" s="190">
        <v>11000</v>
      </c>
      <c r="BV55" s="190">
        <v>443143.48</v>
      </c>
      <c r="BW55" s="190">
        <v>0</v>
      </c>
    </row>
    <row r="56" spans="1:75">
      <c r="A56" s="190" t="s">
        <v>270</v>
      </c>
      <c r="B56" s="190">
        <v>9120246.5600000005</v>
      </c>
      <c r="C56" s="190">
        <v>0</v>
      </c>
      <c r="D56" s="190">
        <v>18242348.899999999</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row>
    <row r="57" spans="1:75">
      <c r="A57" s="190" t="s">
        <v>271</v>
      </c>
      <c r="B57" s="190">
        <v>-9198155.4600000009</v>
      </c>
      <c r="C57" s="190">
        <v>0</v>
      </c>
      <c r="D57" s="190">
        <v>0</v>
      </c>
      <c r="E57" s="190">
        <v>0</v>
      </c>
      <c r="F57" s="190">
        <v>-10678155.48</v>
      </c>
      <c r="G57" s="190">
        <v>0</v>
      </c>
      <c r="H57" s="190">
        <v>0</v>
      </c>
      <c r="I57" s="190">
        <v>0</v>
      </c>
      <c r="J57" s="190">
        <v>-13497233.18</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row>
    <row r="58" spans="1:7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row>
    <row r="59" spans="1:75">
      <c r="A59" s="190" t="s">
        <v>197</v>
      </c>
      <c r="B59" s="190">
        <v>-148063730.90000001</v>
      </c>
      <c r="C59" s="190">
        <v>0</v>
      </c>
      <c r="D59" s="190">
        <v>-72464290.230000004</v>
      </c>
      <c r="E59" s="190">
        <v>0</v>
      </c>
      <c r="F59" s="190">
        <v>-128724942.86</v>
      </c>
      <c r="G59" s="190">
        <v>0</v>
      </c>
      <c r="H59" s="190">
        <v>-77377461.900000006</v>
      </c>
      <c r="I59" s="190">
        <v>0</v>
      </c>
      <c r="J59" s="190">
        <v>-199751474.94999999</v>
      </c>
      <c r="K59" s="190">
        <v>0</v>
      </c>
      <c r="L59" s="190">
        <v>-103098875.67</v>
      </c>
      <c r="M59" s="190">
        <v>0</v>
      </c>
      <c r="N59" s="190">
        <v>-264354272.96000001</v>
      </c>
      <c r="O59" s="190">
        <v>0</v>
      </c>
      <c r="P59" s="190">
        <v>28285966.920000002</v>
      </c>
      <c r="Q59" s="190">
        <v>0</v>
      </c>
      <c r="R59" s="190">
        <v>27687309.359999999</v>
      </c>
      <c r="S59" s="190">
        <v>0</v>
      </c>
      <c r="T59" s="190">
        <v>19587867.960000001</v>
      </c>
      <c r="U59" s="190">
        <v>0</v>
      </c>
      <c r="V59" s="190">
        <v>32161386.079999998</v>
      </c>
      <c r="W59" s="190">
        <v>0</v>
      </c>
      <c r="X59" s="190">
        <v>23580143.18</v>
      </c>
      <c r="Y59" s="190">
        <v>0</v>
      </c>
      <c r="Z59" s="190">
        <v>51728236.600000001</v>
      </c>
      <c r="AA59" s="190">
        <v>0</v>
      </c>
      <c r="AB59" s="190">
        <v>10074775.109999999</v>
      </c>
      <c r="AC59" s="190">
        <v>0</v>
      </c>
      <c r="AD59" s="190">
        <v>9280342.7300000004</v>
      </c>
      <c r="AE59" s="190">
        <v>0</v>
      </c>
      <c r="AF59" s="190">
        <v>7962231.7800000003</v>
      </c>
      <c r="AG59" s="190">
        <v>0</v>
      </c>
      <c r="AH59" s="190">
        <v>12651826.15</v>
      </c>
      <c r="AI59" s="190">
        <v>0</v>
      </c>
      <c r="AJ59" s="190">
        <v>13626786.529999999</v>
      </c>
      <c r="AK59" s="190">
        <v>0</v>
      </c>
      <c r="AL59" s="190">
        <v>4749273.5</v>
      </c>
      <c r="AM59" s="190">
        <v>0</v>
      </c>
      <c r="AN59" s="190">
        <v>9826102.4900000002</v>
      </c>
      <c r="AO59" s="190">
        <v>0</v>
      </c>
      <c r="AP59" s="190">
        <v>11379980.58</v>
      </c>
      <c r="AQ59" s="190">
        <v>0</v>
      </c>
      <c r="AR59" s="190">
        <v>13562832.65</v>
      </c>
      <c r="AS59" s="190">
        <v>0</v>
      </c>
      <c r="AT59" s="190">
        <v>19496954.859999999</v>
      </c>
      <c r="AU59" s="190">
        <v>0</v>
      </c>
      <c r="AV59" s="190">
        <v>10549275.689999999</v>
      </c>
      <c r="AW59" s="190">
        <v>0</v>
      </c>
      <c r="AX59" s="190">
        <v>29317795.780000001</v>
      </c>
      <c r="AY59" s="190">
        <v>21836882.190000001</v>
      </c>
      <c r="AZ59" s="190">
        <v>14390098.869999999</v>
      </c>
      <c r="BA59" s="190">
        <v>7930588.8799999999</v>
      </c>
      <c r="BB59" s="190">
        <v>41848936.689999998</v>
      </c>
      <c r="BC59" s="190">
        <v>34031331.810000002</v>
      </c>
      <c r="BD59" s="190">
        <v>20381562.460000001</v>
      </c>
      <c r="BE59" s="190">
        <v>7803248.9800000004</v>
      </c>
      <c r="BF59" s="190">
        <v>35887592.640000001</v>
      </c>
      <c r="BG59" s="190">
        <v>28891198.809999999</v>
      </c>
      <c r="BH59" s="190">
        <v>19238661.98</v>
      </c>
      <c r="BI59" s="190">
        <v>8767678.7400000002</v>
      </c>
      <c r="BJ59" s="190">
        <v>57235692.200000003</v>
      </c>
      <c r="BK59" s="190">
        <v>49427495.600000001</v>
      </c>
      <c r="BL59" s="190">
        <v>36216842.700000003</v>
      </c>
      <c r="BM59" s="190">
        <v>16282656.23</v>
      </c>
      <c r="BN59" s="190">
        <v>71959672.269999996</v>
      </c>
      <c r="BO59" s="190">
        <v>31275826.550000001</v>
      </c>
      <c r="BP59" s="190">
        <v>60025590.369999997</v>
      </c>
      <c r="BQ59" s="190">
        <v>26491318.57</v>
      </c>
      <c r="BR59" s="190">
        <v>56218165.460000001</v>
      </c>
      <c r="BS59" s="190">
        <v>-87429.7</v>
      </c>
      <c r="BT59" s="190">
        <v>54253933.350000001</v>
      </c>
      <c r="BU59" s="190">
        <v>27410048.010000002</v>
      </c>
      <c r="BV59" s="190">
        <v>868607.39</v>
      </c>
      <c r="BW59" s="190">
        <v>0</v>
      </c>
    </row>
    <row r="60" spans="1:75">
      <c r="A60" s="190" t="s">
        <v>273</v>
      </c>
      <c r="B60" s="190">
        <v>-307404582.81</v>
      </c>
      <c r="C60" s="190">
        <v>0</v>
      </c>
      <c r="D60" s="190">
        <v>-142435555.63999999</v>
      </c>
      <c r="E60" s="190">
        <v>0</v>
      </c>
      <c r="F60" s="190">
        <v>-335160128.07999998</v>
      </c>
      <c r="G60" s="190">
        <v>0</v>
      </c>
      <c r="H60" s="190">
        <v>-155147077.78</v>
      </c>
      <c r="I60" s="190">
        <v>0</v>
      </c>
      <c r="J60" s="190">
        <v>-564831382.39999998</v>
      </c>
      <c r="K60" s="190">
        <v>0</v>
      </c>
      <c r="L60" s="190">
        <v>-326237733.10000002</v>
      </c>
      <c r="M60" s="190">
        <v>0</v>
      </c>
      <c r="N60" s="190">
        <v>-1151206092.8099999</v>
      </c>
      <c r="O60" s="190">
        <v>0</v>
      </c>
      <c r="P60" s="190">
        <v>-240115838.13999999</v>
      </c>
      <c r="Q60" s="190">
        <v>0</v>
      </c>
      <c r="R60" s="190">
        <v>-316311672.64999998</v>
      </c>
      <c r="S60" s="190">
        <v>0</v>
      </c>
      <c r="T60" s="190">
        <v>-182282145.13</v>
      </c>
      <c r="U60" s="190">
        <v>0</v>
      </c>
      <c r="V60" s="190">
        <v>-243256941.71000001</v>
      </c>
      <c r="W60" s="190">
        <v>0</v>
      </c>
      <c r="X60" s="190">
        <v>-52985679.450000003</v>
      </c>
      <c r="Y60" s="190">
        <v>0</v>
      </c>
      <c r="Z60" s="190">
        <v>-437060383.77999997</v>
      </c>
      <c r="AA60" s="190">
        <v>0</v>
      </c>
      <c r="AB60" s="190">
        <v>-316779008.56999999</v>
      </c>
      <c r="AC60" s="190">
        <v>0</v>
      </c>
      <c r="AD60" s="190">
        <v>-345448072.76999998</v>
      </c>
      <c r="AE60" s="190">
        <v>0</v>
      </c>
      <c r="AF60" s="190">
        <v>-206154765.75999999</v>
      </c>
      <c r="AG60" s="190">
        <v>0</v>
      </c>
      <c r="AH60" s="190">
        <v>-358487050.43000001</v>
      </c>
      <c r="AI60" s="190">
        <v>0</v>
      </c>
      <c r="AJ60" s="190">
        <v>-171484647.58000001</v>
      </c>
      <c r="AK60" s="190">
        <v>0</v>
      </c>
      <c r="AL60" s="190">
        <v>-251508369.59</v>
      </c>
      <c r="AM60" s="190">
        <v>0</v>
      </c>
      <c r="AN60" s="190">
        <v>-130525571.23999999</v>
      </c>
      <c r="AO60" s="190">
        <v>0</v>
      </c>
      <c r="AP60" s="190">
        <v>-412102974.93000001</v>
      </c>
      <c r="AQ60" s="190">
        <v>0</v>
      </c>
      <c r="AR60" s="190">
        <v>-147019454.00999999</v>
      </c>
      <c r="AS60" s="190">
        <v>0</v>
      </c>
      <c r="AT60" s="190">
        <v>-251429322.63999999</v>
      </c>
      <c r="AU60" s="190">
        <v>0</v>
      </c>
      <c r="AV60" s="190">
        <v>-149178110.13999999</v>
      </c>
      <c r="AW60" s="190">
        <v>0</v>
      </c>
      <c r="AX60" s="190">
        <v>-106002085.7</v>
      </c>
      <c r="AY60" s="190">
        <v>-78146813.989999995</v>
      </c>
      <c r="AZ60" s="190">
        <v>-31508275.550000001</v>
      </c>
      <c r="BA60" s="190">
        <v>-6818330.1399999997</v>
      </c>
      <c r="BB60" s="190">
        <v>52414533.450000003</v>
      </c>
      <c r="BC60" s="190">
        <v>47415743.689999998</v>
      </c>
      <c r="BD60" s="190">
        <v>4476487.08</v>
      </c>
      <c r="BE60" s="190">
        <v>-13731417.210000001</v>
      </c>
      <c r="BF60" s="190">
        <v>-74080792.579999998</v>
      </c>
      <c r="BG60" s="190">
        <v>-53634658.140000001</v>
      </c>
      <c r="BH60" s="190">
        <v>-44718368.039999999</v>
      </c>
      <c r="BI60" s="190">
        <v>-13012623.23</v>
      </c>
      <c r="BJ60" s="190">
        <v>-129351232.81999999</v>
      </c>
      <c r="BK60" s="190">
        <v>-126231548.87</v>
      </c>
      <c r="BL60" s="190">
        <v>-99137772.019999996</v>
      </c>
      <c r="BM60" s="190">
        <v>-21058739.870000001</v>
      </c>
      <c r="BN60" s="190">
        <v>-80579243.650000006</v>
      </c>
      <c r="BO60" s="190">
        <v>-47536007.049999997</v>
      </c>
      <c r="BP60" s="190">
        <v>-47111894.539999999</v>
      </c>
      <c r="BQ60" s="190">
        <v>-42178051.18</v>
      </c>
      <c r="BR60" s="190">
        <v>-116410829.40000001</v>
      </c>
      <c r="BS60" s="190">
        <v>-55492097.759999998</v>
      </c>
      <c r="BT60" s="190">
        <v>-42252799.109999999</v>
      </c>
      <c r="BU60" s="190">
        <v>8467811.9100000001</v>
      </c>
      <c r="BV60" s="190">
        <v>-44424228.259999998</v>
      </c>
      <c r="BW60" s="190">
        <v>0</v>
      </c>
    </row>
    <row r="61" spans="1:75">
      <c r="A61" s="190" t="s">
        <v>274</v>
      </c>
      <c r="B61" s="190">
        <v>-43205373.030000001</v>
      </c>
      <c r="C61" s="190">
        <v>0</v>
      </c>
      <c r="D61" s="190">
        <v>-2989118.5</v>
      </c>
      <c r="E61" s="190">
        <v>0</v>
      </c>
      <c r="F61" s="190">
        <v>-81807586.780000001</v>
      </c>
      <c r="G61" s="190">
        <v>0</v>
      </c>
      <c r="H61" s="190">
        <v>35783944.049999997</v>
      </c>
      <c r="I61" s="190">
        <v>0</v>
      </c>
      <c r="J61" s="190">
        <v>-20703647</v>
      </c>
      <c r="K61" s="190">
        <v>0</v>
      </c>
      <c r="L61" s="190">
        <v>-19739122.850000001</v>
      </c>
      <c r="M61" s="190">
        <v>0</v>
      </c>
      <c r="N61" s="190">
        <v>4683469.8</v>
      </c>
      <c r="O61" s="190">
        <v>0</v>
      </c>
      <c r="P61" s="190">
        <v>-23127482.050000001</v>
      </c>
      <c r="Q61" s="190">
        <v>0</v>
      </c>
      <c r="R61" s="190">
        <v>-1825074.41</v>
      </c>
      <c r="S61" s="190">
        <v>0</v>
      </c>
      <c r="T61" s="190">
        <v>-1495300.78</v>
      </c>
      <c r="U61" s="190">
        <v>0</v>
      </c>
      <c r="V61" s="190">
        <v>-28501854.18</v>
      </c>
      <c r="W61" s="190">
        <v>0</v>
      </c>
      <c r="X61" s="190">
        <v>-1347849.42</v>
      </c>
      <c r="Y61" s="190">
        <v>0</v>
      </c>
      <c r="Z61" s="190">
        <v>-24188107.140000001</v>
      </c>
      <c r="AA61" s="190">
        <v>0</v>
      </c>
      <c r="AB61" s="190">
        <v>-4694668.9800000004</v>
      </c>
      <c r="AC61" s="190">
        <v>0</v>
      </c>
      <c r="AD61" s="190">
        <v>-21208066.739999998</v>
      </c>
      <c r="AE61" s="190">
        <v>0</v>
      </c>
      <c r="AF61" s="190">
        <v>-577257.34</v>
      </c>
      <c r="AG61" s="190">
        <v>0</v>
      </c>
      <c r="AH61" s="190">
        <v>-21714280.91</v>
      </c>
      <c r="AI61" s="190">
        <v>0</v>
      </c>
      <c r="AJ61" s="190">
        <v>60258.83</v>
      </c>
      <c r="AK61" s="190">
        <v>0</v>
      </c>
      <c r="AL61" s="190">
        <v>-24510892.41</v>
      </c>
      <c r="AM61" s="190">
        <v>0</v>
      </c>
      <c r="AN61" s="190">
        <v>-2004885.16</v>
      </c>
      <c r="AO61" s="190">
        <v>0</v>
      </c>
      <c r="AP61" s="190">
        <v>-4005068.83</v>
      </c>
      <c r="AQ61" s="190">
        <v>0</v>
      </c>
      <c r="AR61" s="190">
        <v>-7341532.3499999996</v>
      </c>
      <c r="AS61" s="190">
        <v>0</v>
      </c>
      <c r="AT61" s="190">
        <v>-23234251.079999998</v>
      </c>
      <c r="AU61" s="190">
        <v>0</v>
      </c>
      <c r="AV61" s="190">
        <v>3292787.88</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c r="BW61" s="190">
        <v>0</v>
      </c>
    </row>
    <row r="62" spans="1:75">
      <c r="A62" s="190" t="s">
        <v>275</v>
      </c>
      <c r="B62" s="190">
        <v>-3627813.08</v>
      </c>
      <c r="C62" s="190">
        <v>0</v>
      </c>
      <c r="D62" s="190">
        <v>22418106.5</v>
      </c>
      <c r="E62" s="190">
        <v>0</v>
      </c>
      <c r="F62" s="190">
        <v>-16565504.17</v>
      </c>
      <c r="G62" s="190">
        <v>0</v>
      </c>
      <c r="H62" s="190">
        <v>1881552.89</v>
      </c>
      <c r="I62" s="190">
        <v>0</v>
      </c>
      <c r="J62" s="190">
        <v>-9355799.7200000007</v>
      </c>
      <c r="K62" s="190">
        <v>0</v>
      </c>
      <c r="L62" s="190">
        <v>-13764982.380000001</v>
      </c>
      <c r="M62" s="190">
        <v>0</v>
      </c>
      <c r="N62" s="190">
        <v>14220400.66</v>
      </c>
      <c r="O62" s="190">
        <v>0</v>
      </c>
      <c r="P62" s="190">
        <v>-98239.15</v>
      </c>
      <c r="Q62" s="190">
        <v>0</v>
      </c>
      <c r="R62" s="190">
        <v>-16563963.24</v>
      </c>
      <c r="S62" s="190">
        <v>0</v>
      </c>
      <c r="T62" s="190">
        <v>-2920880.83</v>
      </c>
      <c r="U62" s="190">
        <v>0</v>
      </c>
      <c r="V62" s="190">
        <v>-2583577.96</v>
      </c>
      <c r="W62" s="190">
        <v>0</v>
      </c>
      <c r="X62" s="190">
        <v>1555825.2</v>
      </c>
      <c r="Y62" s="190">
        <v>0</v>
      </c>
      <c r="Z62" s="190">
        <v>4898089.01</v>
      </c>
      <c r="AA62" s="190">
        <v>0</v>
      </c>
      <c r="AB62" s="190">
        <v>-380759.83</v>
      </c>
      <c r="AC62" s="190">
        <v>0</v>
      </c>
      <c r="AD62" s="190">
        <v>-1152943.95</v>
      </c>
      <c r="AE62" s="190">
        <v>0</v>
      </c>
      <c r="AF62" s="190">
        <v>-7306626.1799999997</v>
      </c>
      <c r="AG62" s="190">
        <v>0</v>
      </c>
      <c r="AH62" s="190">
        <v>-4035884.57</v>
      </c>
      <c r="AI62" s="190">
        <v>0</v>
      </c>
      <c r="AJ62" s="190">
        <v>-1586241.22</v>
      </c>
      <c r="AK62" s="190">
        <v>0</v>
      </c>
      <c r="AL62" s="190">
        <v>-3367173.56</v>
      </c>
      <c r="AM62" s="190">
        <v>0</v>
      </c>
      <c r="AN62" s="190">
        <v>-1761526.94</v>
      </c>
      <c r="AO62" s="190">
        <v>0</v>
      </c>
      <c r="AP62" s="190">
        <v>-8268833.4800000004</v>
      </c>
      <c r="AQ62" s="190">
        <v>0</v>
      </c>
      <c r="AR62" s="190">
        <v>3751750.75</v>
      </c>
      <c r="AS62" s="190">
        <v>0</v>
      </c>
      <c r="AT62" s="190">
        <v>6464761.2400000002</v>
      </c>
      <c r="AU62" s="190">
        <v>0</v>
      </c>
      <c r="AV62" s="190">
        <v>18727502.359999999</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2045133.22</v>
      </c>
      <c r="BR62" s="190">
        <v>0</v>
      </c>
      <c r="BS62" s="190">
        <v>1128045.8600000001</v>
      </c>
      <c r="BT62" s="190">
        <v>0</v>
      </c>
      <c r="BU62" s="190">
        <v>0</v>
      </c>
      <c r="BV62" s="190">
        <v>0</v>
      </c>
      <c r="BW62" s="190">
        <v>0</v>
      </c>
    </row>
    <row r="63" spans="1:75">
      <c r="A63" s="190" t="s">
        <v>276</v>
      </c>
      <c r="B63" s="190">
        <v>-235901092.22</v>
      </c>
      <c r="C63" s="190">
        <v>0</v>
      </c>
      <c r="D63" s="190">
        <v>51787531.119999997</v>
      </c>
      <c r="E63" s="190">
        <v>0</v>
      </c>
      <c r="F63" s="190">
        <v>-1345384160</v>
      </c>
      <c r="G63" s="190">
        <v>0</v>
      </c>
      <c r="H63" s="190">
        <v>-271801600.31</v>
      </c>
      <c r="I63" s="190">
        <v>0</v>
      </c>
      <c r="J63" s="190">
        <v>-520740505.74000001</v>
      </c>
      <c r="K63" s="190">
        <v>0</v>
      </c>
      <c r="L63" s="190">
        <v>-29235461.710000001</v>
      </c>
      <c r="M63" s="190">
        <v>0</v>
      </c>
      <c r="N63" s="190">
        <v>147396067.34</v>
      </c>
      <c r="O63" s="190">
        <v>0</v>
      </c>
      <c r="P63" s="190">
        <v>716677969.57000005</v>
      </c>
      <c r="Q63" s="190">
        <v>0</v>
      </c>
      <c r="R63" s="190">
        <v>-1423975321.74</v>
      </c>
      <c r="S63" s="190">
        <v>0</v>
      </c>
      <c r="T63" s="190">
        <v>-507973442.58999997</v>
      </c>
      <c r="U63" s="190">
        <v>0</v>
      </c>
      <c r="V63" s="190">
        <v>-1731602128.9100001</v>
      </c>
      <c r="W63" s="190">
        <v>0</v>
      </c>
      <c r="X63" s="190">
        <v>-563270828.35000002</v>
      </c>
      <c r="Y63" s="190">
        <v>0</v>
      </c>
      <c r="Z63" s="190">
        <v>-637386557.01999998</v>
      </c>
      <c r="AA63" s="190">
        <v>0</v>
      </c>
      <c r="AB63" s="190">
        <v>-2391825.04</v>
      </c>
      <c r="AC63" s="190">
        <v>0</v>
      </c>
      <c r="AD63" s="190">
        <v>-1069823043.9</v>
      </c>
      <c r="AE63" s="190">
        <v>0</v>
      </c>
      <c r="AF63" s="190">
        <v>-268753843.43000001</v>
      </c>
      <c r="AG63" s="190">
        <v>0</v>
      </c>
      <c r="AH63" s="190">
        <v>-449631499.31999999</v>
      </c>
      <c r="AI63" s="190">
        <v>0</v>
      </c>
      <c r="AJ63" s="190">
        <v>73587656.950000003</v>
      </c>
      <c r="AK63" s="190">
        <v>0</v>
      </c>
      <c r="AL63" s="190">
        <v>-69426335.810000002</v>
      </c>
      <c r="AM63" s="190">
        <v>0</v>
      </c>
      <c r="AN63" s="190">
        <v>191270103.90000001</v>
      </c>
      <c r="AO63" s="190">
        <v>0</v>
      </c>
      <c r="AP63" s="190">
        <v>-144338344.81</v>
      </c>
      <c r="AQ63" s="190">
        <v>0</v>
      </c>
      <c r="AR63" s="190">
        <v>-171552255.84</v>
      </c>
      <c r="AS63" s="190">
        <v>0</v>
      </c>
      <c r="AT63" s="190">
        <v>-312584976.75999999</v>
      </c>
      <c r="AU63" s="190">
        <v>0</v>
      </c>
      <c r="AV63" s="190">
        <v>-203155499.75999999</v>
      </c>
      <c r="AW63" s="190">
        <v>0</v>
      </c>
      <c r="AX63" s="190">
        <v>-281427314.94</v>
      </c>
      <c r="AY63" s="190">
        <v>243392312.08000001</v>
      </c>
      <c r="AZ63" s="190">
        <v>152252822.71000001</v>
      </c>
      <c r="BA63" s="190">
        <v>82198436.969999999</v>
      </c>
      <c r="BB63" s="190">
        <v>45992740.700000003</v>
      </c>
      <c r="BC63" s="190">
        <v>-122429316.67</v>
      </c>
      <c r="BD63" s="190">
        <v>-35812084.32</v>
      </c>
      <c r="BE63" s="190">
        <v>-68512974.989999995</v>
      </c>
      <c r="BF63" s="190">
        <v>-68683451.700000003</v>
      </c>
      <c r="BG63" s="190">
        <v>-29597334.73</v>
      </c>
      <c r="BH63" s="190">
        <v>56309564.390000001</v>
      </c>
      <c r="BI63" s="190">
        <v>180670480.34</v>
      </c>
      <c r="BJ63" s="190">
        <v>-161825605.94999999</v>
      </c>
      <c r="BK63" s="190">
        <v>-96295323.819999993</v>
      </c>
      <c r="BL63" s="190">
        <v>39699790.780000001</v>
      </c>
      <c r="BM63" s="190">
        <v>44996058.270000003</v>
      </c>
      <c r="BN63" s="190">
        <v>-401717642.95999998</v>
      </c>
      <c r="BO63" s="190">
        <v>153214169.71000001</v>
      </c>
      <c r="BP63" s="190">
        <v>24042664.359999999</v>
      </c>
      <c r="BQ63" s="190">
        <v>70458797.650000006</v>
      </c>
      <c r="BR63" s="190">
        <v>-60657947.170000002</v>
      </c>
      <c r="BS63" s="190">
        <v>-25015726.43</v>
      </c>
      <c r="BT63" s="190">
        <v>-230698857.69999999</v>
      </c>
      <c r="BU63" s="190">
        <v>-100046202.38</v>
      </c>
      <c r="BV63" s="190">
        <v>70142663.879999995</v>
      </c>
      <c r="BW63" s="190">
        <v>0</v>
      </c>
    </row>
    <row r="64" spans="1:75">
      <c r="A64" s="190" t="s">
        <v>277</v>
      </c>
      <c r="B64" s="190">
        <v>-923154917.63</v>
      </c>
      <c r="C64" s="190">
        <v>0</v>
      </c>
      <c r="D64" s="190">
        <v>-615180458.07000005</v>
      </c>
      <c r="E64" s="190">
        <v>0</v>
      </c>
      <c r="F64" s="190">
        <v>74082968.730000004</v>
      </c>
      <c r="G64" s="190">
        <v>0</v>
      </c>
      <c r="H64" s="190">
        <v>488021230.01999998</v>
      </c>
      <c r="I64" s="190">
        <v>0</v>
      </c>
      <c r="J64" s="190">
        <v>-295463057.07999998</v>
      </c>
      <c r="K64" s="190">
        <v>0</v>
      </c>
      <c r="L64" s="190">
        <v>-25987432.010000002</v>
      </c>
      <c r="M64" s="190">
        <v>0</v>
      </c>
      <c r="N64" s="190">
        <v>-998909392.55999994</v>
      </c>
      <c r="O64" s="190">
        <v>0</v>
      </c>
      <c r="P64" s="190">
        <v>-723446569.17999995</v>
      </c>
      <c r="Q64" s="190">
        <v>0</v>
      </c>
      <c r="R64" s="190">
        <v>-384805309.30000001</v>
      </c>
      <c r="S64" s="190">
        <v>0</v>
      </c>
      <c r="T64" s="190">
        <v>-15452597.02</v>
      </c>
      <c r="U64" s="190">
        <v>0</v>
      </c>
      <c r="V64" s="190">
        <v>-495438400.27999997</v>
      </c>
      <c r="W64" s="190">
        <v>0</v>
      </c>
      <c r="X64" s="190">
        <v>-57958398.020000003</v>
      </c>
      <c r="Y64" s="190">
        <v>0</v>
      </c>
      <c r="Z64" s="190">
        <v>-750776589.62</v>
      </c>
      <c r="AA64" s="190">
        <v>0</v>
      </c>
      <c r="AB64" s="190">
        <v>-525332568.94999999</v>
      </c>
      <c r="AC64" s="190">
        <v>0</v>
      </c>
      <c r="AD64" s="190">
        <v>-718676433</v>
      </c>
      <c r="AE64" s="190">
        <v>0</v>
      </c>
      <c r="AF64" s="190">
        <v>-485283377.26999998</v>
      </c>
      <c r="AG64" s="190">
        <v>0</v>
      </c>
      <c r="AH64" s="190">
        <v>-602079510.98000002</v>
      </c>
      <c r="AI64" s="190">
        <v>0</v>
      </c>
      <c r="AJ64" s="190">
        <v>-440036647.70999998</v>
      </c>
      <c r="AK64" s="190">
        <v>0</v>
      </c>
      <c r="AL64" s="190">
        <v>-275331370.44</v>
      </c>
      <c r="AM64" s="190">
        <v>0</v>
      </c>
      <c r="AN64" s="190">
        <v>-463665108.51999998</v>
      </c>
      <c r="AO64" s="190">
        <v>0</v>
      </c>
      <c r="AP64" s="190">
        <v>-60205473.100000001</v>
      </c>
      <c r="AQ64" s="190">
        <v>0</v>
      </c>
      <c r="AR64" s="190">
        <v>-314000456.07999998</v>
      </c>
      <c r="AS64" s="190">
        <v>0</v>
      </c>
      <c r="AT64" s="190">
        <v>-365084508.38999999</v>
      </c>
      <c r="AU64" s="190">
        <v>0</v>
      </c>
      <c r="AV64" s="190">
        <v>-316527848.49000001</v>
      </c>
      <c r="AW64" s="190">
        <v>0</v>
      </c>
      <c r="AX64" s="190">
        <v>-160172650.83000001</v>
      </c>
      <c r="AY64" s="190">
        <v>-7857889.0099999998</v>
      </c>
      <c r="AZ64" s="190">
        <v>-53258064.829999998</v>
      </c>
      <c r="BA64" s="190">
        <v>-102871520.40000001</v>
      </c>
      <c r="BB64" s="190">
        <v>-140825288.12</v>
      </c>
      <c r="BC64" s="190">
        <v>-273874328.13999999</v>
      </c>
      <c r="BD64" s="190">
        <v>-214240783.13</v>
      </c>
      <c r="BE64" s="190">
        <v>-92917349.629999995</v>
      </c>
      <c r="BF64" s="190">
        <v>-132355610.91</v>
      </c>
      <c r="BG64" s="190">
        <v>-232868162.43000001</v>
      </c>
      <c r="BH64" s="190">
        <v>-186564154.86000001</v>
      </c>
      <c r="BI64" s="190">
        <v>-121640023</v>
      </c>
      <c r="BJ64" s="190">
        <v>-285391552.36000001</v>
      </c>
      <c r="BK64" s="190">
        <v>-200525188.16</v>
      </c>
      <c r="BL64" s="190">
        <v>-156467125.44</v>
      </c>
      <c r="BM64" s="190">
        <v>-175225292.24000001</v>
      </c>
      <c r="BN64" s="190">
        <v>-146640631.16</v>
      </c>
      <c r="BO64" s="190">
        <v>-189348060.13999999</v>
      </c>
      <c r="BP64" s="190">
        <v>82198383.299999997</v>
      </c>
      <c r="BQ64" s="190">
        <v>-57169712.159999996</v>
      </c>
      <c r="BR64" s="190">
        <v>330067626.42000002</v>
      </c>
      <c r="BS64" s="190">
        <v>-127595169.08</v>
      </c>
      <c r="BT64" s="190">
        <v>-11104610.439999999</v>
      </c>
      <c r="BU64" s="190">
        <v>-130022707.01000001</v>
      </c>
      <c r="BV64" s="190">
        <v>-3804584.91</v>
      </c>
      <c r="BW64" s="190">
        <v>0</v>
      </c>
    </row>
    <row r="65" spans="1:75">
      <c r="A65" s="190" t="s">
        <v>278</v>
      </c>
      <c r="B65" s="190">
        <v>-631878456.59000003</v>
      </c>
      <c r="C65" s="190">
        <v>0</v>
      </c>
      <c r="D65" s="190">
        <v>-822433745.38999999</v>
      </c>
      <c r="E65" s="190">
        <v>0</v>
      </c>
      <c r="F65" s="190">
        <v>694445992.83000004</v>
      </c>
      <c r="G65" s="190">
        <v>0</v>
      </c>
      <c r="H65" s="190">
        <v>-750169287.62</v>
      </c>
      <c r="I65" s="190">
        <v>0</v>
      </c>
      <c r="J65" s="190">
        <v>796894143.97000003</v>
      </c>
      <c r="K65" s="190">
        <v>0</v>
      </c>
      <c r="L65" s="190">
        <v>481745293.64999998</v>
      </c>
      <c r="M65" s="190">
        <v>0</v>
      </c>
      <c r="N65" s="190">
        <v>317781172.38999999</v>
      </c>
      <c r="O65" s="190">
        <v>0</v>
      </c>
      <c r="P65" s="190">
        <v>-210664228.41999999</v>
      </c>
      <c r="Q65" s="190">
        <v>0</v>
      </c>
      <c r="R65" s="190">
        <v>2000472842.96</v>
      </c>
      <c r="S65" s="190">
        <v>0</v>
      </c>
      <c r="T65" s="190">
        <v>747751783.73000002</v>
      </c>
      <c r="U65" s="190">
        <v>0</v>
      </c>
      <c r="V65" s="190">
        <v>2088089685.9200001</v>
      </c>
      <c r="W65" s="190">
        <v>0</v>
      </c>
      <c r="X65" s="190">
        <v>847140879.13</v>
      </c>
      <c r="Y65" s="190">
        <v>0</v>
      </c>
      <c r="Z65" s="190">
        <v>3321789665.6599998</v>
      </c>
      <c r="AA65" s="190">
        <v>0</v>
      </c>
      <c r="AB65" s="190">
        <v>1435022382.28</v>
      </c>
      <c r="AC65" s="190">
        <v>0</v>
      </c>
      <c r="AD65" s="190">
        <v>2222556767.6500001</v>
      </c>
      <c r="AE65" s="190">
        <v>0</v>
      </c>
      <c r="AF65" s="190">
        <v>1054250746.4299999</v>
      </c>
      <c r="AG65" s="190">
        <v>0</v>
      </c>
      <c r="AH65" s="190">
        <v>1756539989.8199999</v>
      </c>
      <c r="AI65" s="190">
        <v>0</v>
      </c>
      <c r="AJ65" s="190">
        <v>973993960.90999997</v>
      </c>
      <c r="AK65" s="190">
        <v>0</v>
      </c>
      <c r="AL65" s="190">
        <v>1547504904.6500001</v>
      </c>
      <c r="AM65" s="190">
        <v>0</v>
      </c>
      <c r="AN65" s="190">
        <v>762916591.28999996</v>
      </c>
      <c r="AO65" s="190">
        <v>0</v>
      </c>
      <c r="AP65" s="190">
        <v>-112635005.90000001</v>
      </c>
      <c r="AQ65" s="190">
        <v>0</v>
      </c>
      <c r="AR65" s="190">
        <v>6482946.6799999997</v>
      </c>
      <c r="AS65" s="190">
        <v>0</v>
      </c>
      <c r="AT65" s="190">
        <v>903304818.19000006</v>
      </c>
      <c r="AU65" s="190">
        <v>0</v>
      </c>
      <c r="AV65" s="190">
        <v>436739371.30000001</v>
      </c>
      <c r="AW65" s="190">
        <v>0</v>
      </c>
      <c r="AX65" s="190">
        <v>508272001.29000002</v>
      </c>
      <c r="AY65" s="190">
        <v>-244064512.78999999</v>
      </c>
      <c r="AZ65" s="190">
        <v>-199828259.62</v>
      </c>
      <c r="BA65" s="190">
        <v>-364217810.97000003</v>
      </c>
      <c r="BB65" s="190">
        <v>-356284616.81</v>
      </c>
      <c r="BC65" s="190">
        <v>-337420281.70999998</v>
      </c>
      <c r="BD65" s="190">
        <v>-305647116.06</v>
      </c>
      <c r="BE65" s="190">
        <v>-253734956.75</v>
      </c>
      <c r="BF65" s="190">
        <v>151372985.59</v>
      </c>
      <c r="BG65" s="190">
        <v>105485523.01000001</v>
      </c>
      <c r="BH65" s="190">
        <v>-124475868.7</v>
      </c>
      <c r="BI65" s="190">
        <v>-207716643.90000001</v>
      </c>
      <c r="BJ65" s="190">
        <v>113991724.59999999</v>
      </c>
      <c r="BK65" s="190">
        <v>102645128.18000001</v>
      </c>
      <c r="BL65" s="190">
        <v>-120185707.77</v>
      </c>
      <c r="BM65" s="190">
        <v>-138921308.08000001</v>
      </c>
      <c r="BN65" s="190">
        <v>425754390.45999998</v>
      </c>
      <c r="BO65" s="190">
        <v>-76017181.739999995</v>
      </c>
      <c r="BP65" s="190">
        <v>75973857.620000005</v>
      </c>
      <c r="BQ65" s="190">
        <v>-116156319.88</v>
      </c>
      <c r="BR65" s="190">
        <v>-196186379.44999999</v>
      </c>
      <c r="BS65" s="190">
        <v>-45120933.270000003</v>
      </c>
      <c r="BT65" s="190">
        <v>-146235501.94</v>
      </c>
      <c r="BU65" s="190">
        <v>-20683315.18</v>
      </c>
      <c r="BV65" s="190">
        <v>-211549915.44</v>
      </c>
      <c r="BW65" s="190">
        <v>0</v>
      </c>
    </row>
    <row r="66" spans="1:7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row>
    <row r="67" spans="1:7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row>
    <row r="68" spans="1:7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-14651653.789999999</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70000</v>
      </c>
      <c r="BL68" s="190">
        <v>70000</v>
      </c>
      <c r="BM68" s="190">
        <v>0</v>
      </c>
      <c r="BN68" s="190">
        <v>0</v>
      </c>
      <c r="BO68" s="190">
        <v>0</v>
      </c>
      <c r="BP68" s="190">
        <v>0</v>
      </c>
      <c r="BQ68" s="190">
        <v>-17488975.260000002</v>
      </c>
      <c r="BR68" s="190">
        <v>0</v>
      </c>
      <c r="BS68" s="190">
        <v>85295200.790000007</v>
      </c>
      <c r="BT68" s="190">
        <v>-1315540.25</v>
      </c>
      <c r="BU68" s="190">
        <v>-25739.31</v>
      </c>
      <c r="BV68" s="190">
        <v>0</v>
      </c>
      <c r="BW68" s="190">
        <v>0</v>
      </c>
    </row>
    <row r="69" spans="1:75">
      <c r="A69" s="190" t="s">
        <v>282</v>
      </c>
      <c r="B69" s="190">
        <v>188450269.55000001</v>
      </c>
      <c r="C69" s="190">
        <v>0</v>
      </c>
      <c r="D69" s="190">
        <v>-360888706.42000002</v>
      </c>
      <c r="E69" s="190">
        <v>0</v>
      </c>
      <c r="F69" s="190">
        <v>1930118454.01</v>
      </c>
      <c r="G69" s="190">
        <v>0</v>
      </c>
      <c r="H69" s="190">
        <v>436621687.81999999</v>
      </c>
      <c r="I69" s="190">
        <v>0</v>
      </c>
      <c r="J69" s="190">
        <v>1999573702.98</v>
      </c>
      <c r="K69" s="190">
        <v>0</v>
      </c>
      <c r="L69" s="190">
        <v>1316392351.1300001</v>
      </c>
      <c r="M69" s="190">
        <v>0</v>
      </c>
      <c r="N69" s="190">
        <v>1338774524.46</v>
      </c>
      <c r="O69" s="190">
        <v>0</v>
      </c>
      <c r="P69" s="190">
        <v>563731554.65999997</v>
      </c>
      <c r="Q69" s="190">
        <v>0</v>
      </c>
      <c r="R69" s="190">
        <v>2011963265.6500001</v>
      </c>
      <c r="S69" s="190">
        <v>0</v>
      </c>
      <c r="T69" s="190">
        <v>972053307.75999999</v>
      </c>
      <c r="U69" s="190">
        <v>0</v>
      </c>
      <c r="V69" s="190">
        <v>1758892889.23</v>
      </c>
      <c r="W69" s="190">
        <v>0</v>
      </c>
      <c r="X69" s="190">
        <v>928841205.42999995</v>
      </c>
      <c r="Y69" s="190">
        <v>0</v>
      </c>
      <c r="Z69" s="190">
        <v>3120058762.9099998</v>
      </c>
      <c r="AA69" s="190">
        <v>0</v>
      </c>
      <c r="AB69" s="190">
        <v>1506595920.0599999</v>
      </c>
      <c r="AC69" s="190">
        <v>0</v>
      </c>
      <c r="AD69" s="190">
        <v>1542378253.03</v>
      </c>
      <c r="AE69" s="190">
        <v>0</v>
      </c>
      <c r="AF69" s="190">
        <v>884143463.00999999</v>
      </c>
      <c r="AG69" s="190">
        <v>0</v>
      </c>
      <c r="AH69" s="190">
        <v>1787464327.6600001</v>
      </c>
      <c r="AI69" s="190">
        <v>0</v>
      </c>
      <c r="AJ69" s="190">
        <v>1122202879.6700001</v>
      </c>
      <c r="AK69" s="190">
        <v>0</v>
      </c>
      <c r="AL69" s="190">
        <v>2028598332.1700001</v>
      </c>
      <c r="AM69" s="190">
        <v>0</v>
      </c>
      <c r="AN69" s="190">
        <v>943480103.27999997</v>
      </c>
      <c r="AO69" s="190">
        <v>0</v>
      </c>
      <c r="AP69" s="190">
        <v>516497097.97000003</v>
      </c>
      <c r="AQ69" s="190">
        <v>0</v>
      </c>
      <c r="AR69" s="190">
        <v>4084610.3</v>
      </c>
      <c r="AS69" s="190">
        <v>0</v>
      </c>
      <c r="AT69" s="190">
        <v>1057878881.39</v>
      </c>
      <c r="AU69" s="190">
        <v>0</v>
      </c>
      <c r="AV69" s="190">
        <v>295608189.13</v>
      </c>
      <c r="AW69" s="190">
        <v>0</v>
      </c>
      <c r="AX69" s="190">
        <v>846957120.55999994</v>
      </c>
      <c r="AY69" s="190">
        <v>485240091.43000001</v>
      </c>
      <c r="AZ69" s="190">
        <v>199309444.03</v>
      </c>
      <c r="BA69" s="190">
        <v>-80113359.060000002</v>
      </c>
      <c r="BB69" s="190">
        <v>243530780.69999999</v>
      </c>
      <c r="BC69" s="190">
        <v>-165370697.12</v>
      </c>
      <c r="BD69" s="190">
        <v>-157379247.44</v>
      </c>
      <c r="BE69" s="190">
        <v>-233545765.58000001</v>
      </c>
      <c r="BF69" s="190">
        <v>604667760.59000003</v>
      </c>
      <c r="BG69" s="190">
        <v>337453098.12</v>
      </c>
      <c r="BH69" s="190">
        <v>76753462.159999996</v>
      </c>
      <c r="BI69" s="190">
        <v>56748815.079999998</v>
      </c>
      <c r="BJ69" s="190">
        <v>292170476.75999999</v>
      </c>
      <c r="BK69" s="190">
        <v>456723497.52999997</v>
      </c>
      <c r="BL69" s="190">
        <v>156973179.36000001</v>
      </c>
      <c r="BM69" s="190">
        <v>-5871214.5800000001</v>
      </c>
      <c r="BN69" s="190">
        <v>690591617.23000002</v>
      </c>
      <c r="BO69" s="190">
        <v>318591291.69999999</v>
      </c>
      <c r="BP69" s="190">
        <v>887186030.29999995</v>
      </c>
      <c r="BQ69" s="190">
        <v>200224002.99000001</v>
      </c>
      <c r="BR69" s="190">
        <v>678152932.48000002</v>
      </c>
      <c r="BS69" s="190">
        <v>131692296.48</v>
      </c>
      <c r="BT69" s="190">
        <v>247433107.97999999</v>
      </c>
      <c r="BU69" s="190">
        <v>43070537.390000001</v>
      </c>
      <c r="BV69" s="190">
        <v>-154941375.38999999</v>
      </c>
      <c r="BW69" s="190">
        <v>0</v>
      </c>
    </row>
    <row r="70" spans="1:7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row>
    <row r="71" spans="1:7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c r="BW71" s="190">
        <v>0</v>
      </c>
    </row>
    <row r="72" spans="1:7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c r="BW72" s="190">
        <v>0</v>
      </c>
    </row>
    <row r="73" spans="1:75">
      <c r="A73" s="190" t="s">
        <v>286</v>
      </c>
      <c r="B73" s="190">
        <v>7550925910.1000004</v>
      </c>
      <c r="C73" s="190">
        <v>0</v>
      </c>
      <c r="D73" s="190">
        <v>7188151542.3199997</v>
      </c>
      <c r="E73" s="190">
        <v>0</v>
      </c>
      <c r="F73" s="190">
        <v>7516763869.54</v>
      </c>
      <c r="G73" s="190">
        <v>0</v>
      </c>
      <c r="H73" s="190">
        <v>6752575629.0500002</v>
      </c>
      <c r="I73" s="190">
        <v>0</v>
      </c>
      <c r="J73" s="190">
        <v>5905273633.8699999</v>
      </c>
      <c r="K73" s="190">
        <v>0</v>
      </c>
      <c r="L73" s="190">
        <v>5525522572.1400003</v>
      </c>
      <c r="M73" s="190">
        <v>0</v>
      </c>
      <c r="N73" s="190">
        <v>4459560525.96</v>
      </c>
      <c r="O73" s="190">
        <v>0</v>
      </c>
      <c r="P73" s="190">
        <v>12072870501.24</v>
      </c>
      <c r="Q73" s="190">
        <v>0</v>
      </c>
      <c r="R73" s="190">
        <v>11566758069.23</v>
      </c>
      <c r="S73" s="190">
        <v>0</v>
      </c>
      <c r="T73" s="190">
        <v>11570403163.440001</v>
      </c>
      <c r="U73" s="190">
        <v>0</v>
      </c>
      <c r="V73" s="190">
        <v>0</v>
      </c>
      <c r="W73" s="190">
        <v>0</v>
      </c>
      <c r="X73" s="190">
        <v>0</v>
      </c>
      <c r="Y73" s="190">
        <v>0</v>
      </c>
      <c r="Z73" s="190">
        <v>0</v>
      </c>
      <c r="AA73" s="190">
        <v>0</v>
      </c>
      <c r="AB73" s="190">
        <v>0</v>
      </c>
      <c r="AC73" s="190">
        <v>0</v>
      </c>
      <c r="AD73" s="190">
        <v>0</v>
      </c>
      <c r="AE73" s="190">
        <v>0</v>
      </c>
      <c r="AF73" s="190">
        <v>6956749428.8699999</v>
      </c>
      <c r="AG73" s="190">
        <v>6209831525.2200003</v>
      </c>
      <c r="AH73" s="190">
        <v>6469902264.9700003</v>
      </c>
      <c r="AI73" s="190">
        <v>6502393133.9099998</v>
      </c>
      <c r="AJ73" s="190">
        <v>6169273342.8100004</v>
      </c>
      <c r="AK73" s="190">
        <v>5331188169.71</v>
      </c>
      <c r="AL73" s="190">
        <v>5355618386.6700001</v>
      </c>
      <c r="AM73" s="190">
        <v>4959021755.54</v>
      </c>
      <c r="AN73" s="190">
        <v>4577018935.1800003</v>
      </c>
      <c r="AO73" s="190">
        <v>4174093846.21</v>
      </c>
      <c r="AP73" s="190">
        <v>3658196775.0900002</v>
      </c>
      <c r="AQ73" s="190">
        <v>3619186192.75</v>
      </c>
      <c r="AR73" s="190">
        <v>3532482792.0100002</v>
      </c>
      <c r="AS73" s="190">
        <v>3228831981.5900002</v>
      </c>
      <c r="AT73" s="190">
        <v>3579426457.6500001</v>
      </c>
      <c r="AU73" s="190">
        <v>3181758912.6599998</v>
      </c>
      <c r="AV73" s="190">
        <v>3037782202.4000001</v>
      </c>
      <c r="AW73" s="190">
        <v>2994700974.5700002</v>
      </c>
      <c r="AX73" s="190">
        <v>3042831901.8600001</v>
      </c>
      <c r="AY73" s="190">
        <v>3062777232.6300001</v>
      </c>
      <c r="AZ73" s="190">
        <v>2805157895.77</v>
      </c>
      <c r="BA73" s="190">
        <v>2610214139.1599998</v>
      </c>
      <c r="BB73" s="190">
        <v>2692734316.98</v>
      </c>
      <c r="BC73" s="190">
        <v>2290512825.3400002</v>
      </c>
      <c r="BD73" s="190">
        <v>2562195209.3099999</v>
      </c>
      <c r="BE73" s="190">
        <v>2847133877.6900001</v>
      </c>
      <c r="BF73" s="190">
        <v>3019523961.6799998</v>
      </c>
      <c r="BG73" s="190">
        <v>2867321093.1100001</v>
      </c>
      <c r="BH73" s="190">
        <v>3144925113.6999998</v>
      </c>
      <c r="BI73" s="190">
        <v>3609381940.7800002</v>
      </c>
      <c r="BJ73" s="190">
        <v>3194952662.6999998</v>
      </c>
      <c r="BK73" s="190">
        <v>3429630704.0100002</v>
      </c>
      <c r="BL73" s="190">
        <v>3753413514.6700001</v>
      </c>
      <c r="BM73" s="190">
        <v>3818304134.5799999</v>
      </c>
      <c r="BN73" s="190">
        <v>3812973603.4299998</v>
      </c>
      <c r="BO73" s="190">
        <v>3980972571.25</v>
      </c>
      <c r="BP73" s="190">
        <v>3538792355.7199998</v>
      </c>
      <c r="BQ73" s="190">
        <v>3339641515.0500002</v>
      </c>
      <c r="BR73" s="190">
        <v>3160775351.5900002</v>
      </c>
      <c r="BS73" s="190">
        <v>2780415771.4499998</v>
      </c>
      <c r="BT73" s="190">
        <v>2732240475.52</v>
      </c>
      <c r="BU73" s="190">
        <v>1844261372.24</v>
      </c>
      <c r="BV73" s="190">
        <v>2024584662.3399999</v>
      </c>
      <c r="BW73" s="190">
        <v>0</v>
      </c>
    </row>
    <row r="74" spans="1:75">
      <c r="A74" s="190" t="s">
        <v>287</v>
      </c>
      <c r="B74" s="190">
        <v>7516763869.54</v>
      </c>
      <c r="C74" s="190">
        <v>0</v>
      </c>
      <c r="D74" s="190">
        <v>7516763869.54</v>
      </c>
      <c r="E74" s="190">
        <v>0</v>
      </c>
      <c r="F74" s="190">
        <v>5905273633.8699999</v>
      </c>
      <c r="G74" s="190">
        <v>0</v>
      </c>
      <c r="H74" s="190">
        <v>5905273633.8699999</v>
      </c>
      <c r="I74" s="190">
        <v>0</v>
      </c>
      <c r="J74" s="190">
        <v>4459560525.96</v>
      </c>
      <c r="K74" s="190">
        <v>0</v>
      </c>
      <c r="L74" s="190">
        <v>4459560525.96</v>
      </c>
      <c r="M74" s="190">
        <v>0</v>
      </c>
      <c r="N74" s="190">
        <v>3994258069.23</v>
      </c>
      <c r="O74" s="190">
        <v>0</v>
      </c>
      <c r="P74" s="190">
        <v>11566758069.23</v>
      </c>
      <c r="Q74" s="190">
        <v>0</v>
      </c>
      <c r="R74" s="190">
        <v>10634107595.17</v>
      </c>
      <c r="S74" s="190">
        <v>0</v>
      </c>
      <c r="T74" s="190">
        <v>10634107595.17</v>
      </c>
      <c r="U74" s="190">
        <v>0</v>
      </c>
      <c r="V74" s="190">
        <v>0</v>
      </c>
      <c r="W74" s="190">
        <v>0</v>
      </c>
      <c r="X74" s="190">
        <v>0</v>
      </c>
      <c r="Y74" s="190">
        <v>0</v>
      </c>
      <c r="Z74" s="190">
        <v>0</v>
      </c>
      <c r="AA74" s="190">
        <v>0</v>
      </c>
      <c r="AB74" s="190">
        <v>0</v>
      </c>
      <c r="AC74" s="190">
        <v>0</v>
      </c>
      <c r="AD74" s="190">
        <v>0</v>
      </c>
      <c r="AE74" s="190">
        <v>0</v>
      </c>
      <c r="AF74" s="190">
        <v>6469902264.9700003</v>
      </c>
      <c r="AG74" s="190">
        <v>6469902264.9700003</v>
      </c>
      <c r="AH74" s="190">
        <v>5355618386.6700001</v>
      </c>
      <c r="AI74" s="190">
        <v>5355618386.6700001</v>
      </c>
      <c r="AJ74" s="190">
        <v>5355618386.6700001</v>
      </c>
      <c r="AK74" s="190">
        <v>5355618386.6700001</v>
      </c>
      <c r="AL74" s="190">
        <v>3658196775.0900002</v>
      </c>
      <c r="AM74" s="190">
        <v>3658196775.0900002</v>
      </c>
      <c r="AN74" s="190">
        <v>3658196775.0900002</v>
      </c>
      <c r="AO74" s="190">
        <v>3658196775.0900002</v>
      </c>
      <c r="AP74" s="190">
        <v>3579426457.6500001</v>
      </c>
      <c r="AQ74" s="190">
        <v>3579426457.6500001</v>
      </c>
      <c r="AR74" s="190">
        <v>3579426457.6500001</v>
      </c>
      <c r="AS74" s="190">
        <v>3579426457.6500001</v>
      </c>
      <c r="AT74" s="190">
        <v>3016690549.0900002</v>
      </c>
      <c r="AU74" s="190">
        <v>3016690549.0900002</v>
      </c>
      <c r="AV74" s="190">
        <v>3016690549.0900002</v>
      </c>
      <c r="AW74" s="190">
        <v>3016690549.0900002</v>
      </c>
      <c r="AX74" s="190">
        <v>2692734316.98</v>
      </c>
      <c r="AY74" s="190">
        <v>2692734316.98</v>
      </c>
      <c r="AZ74" s="190">
        <v>2692734316.98</v>
      </c>
      <c r="BA74" s="190">
        <v>2692734316.98</v>
      </c>
      <c r="BB74" s="190">
        <v>3019523961.6799998</v>
      </c>
      <c r="BC74" s="190">
        <v>3021753961.6799998</v>
      </c>
      <c r="BD74" s="190">
        <v>3021753961.6799998</v>
      </c>
      <c r="BE74" s="190">
        <v>3021753961.6799998</v>
      </c>
      <c r="BF74" s="190">
        <v>3223467501.8600001</v>
      </c>
      <c r="BG74" s="190">
        <v>3194952662.6999998</v>
      </c>
      <c r="BH74" s="190">
        <v>3194952662.6999998</v>
      </c>
      <c r="BI74" s="190">
        <v>3594952662.6999998</v>
      </c>
      <c r="BJ74" s="190">
        <v>3812973603.4299998</v>
      </c>
      <c r="BK74" s="190">
        <v>3812973603.4299998</v>
      </c>
      <c r="BL74" s="190">
        <v>3812973603.4299998</v>
      </c>
      <c r="BM74" s="190">
        <v>3812973603.4299998</v>
      </c>
      <c r="BN74" s="190">
        <v>3538792355.7199998</v>
      </c>
      <c r="BO74" s="190">
        <v>3538792355.7199998</v>
      </c>
      <c r="BP74" s="190">
        <v>3160698893.5100002</v>
      </c>
      <c r="BQ74" s="190">
        <v>3160775351.5900002</v>
      </c>
      <c r="BR74" s="190">
        <v>2732240475.52</v>
      </c>
      <c r="BS74" s="190">
        <v>2732240475.52</v>
      </c>
      <c r="BT74" s="190">
        <v>2024584662.3399999</v>
      </c>
      <c r="BU74" s="190">
        <v>2024584662.3399999</v>
      </c>
      <c r="BV74" s="190">
        <v>170525509.43000001</v>
      </c>
      <c r="BW74" s="190">
        <v>0</v>
      </c>
    </row>
    <row r="75" spans="1:7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row>
    <row r="76" spans="1:7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row>
    <row r="77" spans="1:75">
      <c r="A77" s="190" t="s">
        <v>290</v>
      </c>
      <c r="B77" s="190">
        <v>34162040.560000002</v>
      </c>
      <c r="C77" s="190">
        <v>0</v>
      </c>
      <c r="D77" s="190">
        <v>-328612327.22000003</v>
      </c>
      <c r="E77" s="190">
        <v>0</v>
      </c>
      <c r="F77" s="190">
        <v>1611490235.6700001</v>
      </c>
      <c r="G77" s="190">
        <v>0</v>
      </c>
      <c r="H77" s="190">
        <v>847301995.17999995</v>
      </c>
      <c r="I77" s="190">
        <v>0</v>
      </c>
      <c r="J77" s="190">
        <v>1445713107.9100001</v>
      </c>
      <c r="K77" s="190">
        <v>0</v>
      </c>
      <c r="L77" s="190">
        <v>1065962046.1799999</v>
      </c>
      <c r="M77" s="190">
        <v>0</v>
      </c>
      <c r="N77" s="190">
        <v>465302456.73000002</v>
      </c>
      <c r="O77" s="190">
        <v>0</v>
      </c>
      <c r="P77" s="190">
        <v>506112432.00999999</v>
      </c>
      <c r="Q77" s="190">
        <v>0</v>
      </c>
      <c r="R77" s="190">
        <v>932650474.05999994</v>
      </c>
      <c r="S77" s="190">
        <v>0</v>
      </c>
      <c r="T77" s="190">
        <v>936295568.26999998</v>
      </c>
      <c r="U77" s="190">
        <v>0</v>
      </c>
      <c r="V77" s="190">
        <v>0</v>
      </c>
      <c r="W77" s="190">
        <v>0</v>
      </c>
      <c r="X77" s="190">
        <v>0</v>
      </c>
      <c r="Y77" s="190">
        <v>0</v>
      </c>
      <c r="Z77" s="190">
        <v>0</v>
      </c>
      <c r="AA77" s="190">
        <v>0</v>
      </c>
      <c r="AB77" s="190">
        <v>0</v>
      </c>
      <c r="AC77" s="190">
        <v>0</v>
      </c>
      <c r="AD77" s="190">
        <v>0</v>
      </c>
      <c r="AE77" s="190">
        <v>0</v>
      </c>
      <c r="AF77" s="190">
        <v>486847163.89999998</v>
      </c>
      <c r="AG77" s="190">
        <v>-260070739.75</v>
      </c>
      <c r="AH77" s="190">
        <v>1114283878.3</v>
      </c>
      <c r="AI77" s="190">
        <v>1146774747.24</v>
      </c>
      <c r="AJ77" s="190">
        <v>813654956.13999999</v>
      </c>
      <c r="AK77" s="190">
        <v>-24430216.960000001</v>
      </c>
      <c r="AL77" s="190">
        <v>1697421611.5799999</v>
      </c>
      <c r="AM77" s="190">
        <v>1300824980.45</v>
      </c>
      <c r="AN77" s="190">
        <v>918822160.09000003</v>
      </c>
      <c r="AO77" s="190">
        <v>515897071.12</v>
      </c>
      <c r="AP77" s="190">
        <v>78770317.439999998</v>
      </c>
      <c r="AQ77" s="190">
        <v>39759735.100000001</v>
      </c>
      <c r="AR77" s="190">
        <v>-46943665.640000001</v>
      </c>
      <c r="AS77" s="190">
        <v>-350594476.06</v>
      </c>
      <c r="AT77" s="190">
        <v>562735908.55999994</v>
      </c>
      <c r="AU77" s="190">
        <v>165068363.56999999</v>
      </c>
      <c r="AV77" s="190">
        <v>21091653.309999999</v>
      </c>
      <c r="AW77" s="190">
        <v>-21989574.52</v>
      </c>
      <c r="AX77" s="190">
        <v>350097584.88</v>
      </c>
      <c r="AY77" s="190">
        <v>370042915.64999998</v>
      </c>
      <c r="AZ77" s="190">
        <v>112423578.79000001</v>
      </c>
      <c r="BA77" s="190">
        <v>-82520177.819999993</v>
      </c>
      <c r="BB77" s="190">
        <v>-326789644.69999999</v>
      </c>
      <c r="BC77" s="190">
        <v>-731241136.34000003</v>
      </c>
      <c r="BD77" s="190">
        <v>-459558752.37</v>
      </c>
      <c r="BE77" s="190">
        <v>-174620083.99000001</v>
      </c>
      <c r="BF77" s="190">
        <v>-203943540.18000001</v>
      </c>
      <c r="BG77" s="190">
        <v>-327631569.58999997</v>
      </c>
      <c r="BH77" s="190">
        <v>-50027549</v>
      </c>
      <c r="BI77" s="190">
        <v>14429278.08</v>
      </c>
      <c r="BJ77" s="190">
        <v>-618020940.73000002</v>
      </c>
      <c r="BK77" s="190">
        <v>-383342899.42000002</v>
      </c>
      <c r="BL77" s="190">
        <v>-59560088.759999998</v>
      </c>
      <c r="BM77" s="190">
        <v>5330531.1500000004</v>
      </c>
      <c r="BN77" s="190">
        <v>274181247.70999998</v>
      </c>
      <c r="BO77" s="190">
        <v>442180215.52999997</v>
      </c>
      <c r="BP77" s="190">
        <v>378093462.20999998</v>
      </c>
      <c r="BQ77" s="190">
        <v>178866163.46000001</v>
      </c>
      <c r="BR77" s="190">
        <v>428534876.06999999</v>
      </c>
      <c r="BS77" s="190">
        <v>48175295.93</v>
      </c>
      <c r="BT77" s="190">
        <v>707655813.17999995</v>
      </c>
      <c r="BU77" s="190">
        <v>-180323290.09999999</v>
      </c>
      <c r="BV77" s="190">
        <v>1854059152.9100001</v>
      </c>
      <c r="BW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3.625" style="17"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7.75" bestFit="1" customWidth="1"/>
    <col min="80" max="81" width="19" bestFit="1" customWidth="1"/>
    <col min="82" max="82" width="9.5" hidden="1" customWidth="1"/>
    <col min="83" max="84" width="19.375" bestFit="1" customWidth="1"/>
    <col min="85" max="87" width="17.25" bestFit="1" customWidth="1"/>
    <col min="88" max="89" width="16.125" bestFit="1" customWidth="1"/>
    <col min="90" max="90" width="7.125" bestFit="1" customWidth="1"/>
  </cols>
  <sheetData>
    <row r="1" spans="1:90" s="41" customFormat="1" ht="14.45">
      <c r="A1" s="41">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c r="CE1" s="190"/>
      <c r="CF1" s="190"/>
      <c r="CG1" s="190"/>
      <c r="CH1" s="190"/>
      <c r="CI1" s="190"/>
      <c r="CJ1" s="190"/>
      <c r="CK1" s="190"/>
      <c r="CL1" s="19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c r="CE4" s="190"/>
      <c r="CF4" s="190"/>
      <c r="CG4" s="190"/>
      <c r="CH4" s="190"/>
      <c r="CI4" s="190"/>
      <c r="CJ4" s="190"/>
      <c r="CK4" s="190"/>
      <c r="CL4" s="190"/>
    </row>
    <row r="5" spans="1:90">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c r="CE5" s="190"/>
      <c r="CF5" s="190"/>
      <c r="CG5" s="190"/>
      <c r="CH5" s="190"/>
      <c r="CI5" s="190"/>
      <c r="CJ5" s="190"/>
      <c r="CK5" s="190"/>
      <c r="CL5" s="190"/>
    </row>
    <row r="6" spans="1:90">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c r="A8" s="17" t="s">
        <v>5</v>
      </c>
      <c r="B8" s="190">
        <v>1200000</v>
      </c>
      <c r="C8" s="190">
        <v>1200000</v>
      </c>
      <c r="D8" s="190">
        <v>1200000</v>
      </c>
      <c r="E8" s="190">
        <v>1200000</v>
      </c>
      <c r="F8" s="190">
        <v>1200000</v>
      </c>
      <c r="G8" s="190">
        <v>1200000</v>
      </c>
      <c r="H8" s="190">
        <v>1200000</v>
      </c>
      <c r="I8" s="190">
        <v>1200000</v>
      </c>
      <c r="J8" s="190">
        <v>1200000</v>
      </c>
      <c r="K8" s="190">
        <v>1200000</v>
      </c>
      <c r="L8" s="190">
        <v>1200000</v>
      </c>
      <c r="M8" s="190">
        <v>1200000</v>
      </c>
      <c r="N8" s="190">
        <v>1200000</v>
      </c>
      <c r="O8" s="190">
        <v>1200000</v>
      </c>
      <c r="P8" s="190">
        <v>1200000</v>
      </c>
      <c r="Q8" s="190">
        <v>1200000</v>
      </c>
      <c r="R8" s="190">
        <v>1200000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c r="CF9" s="190"/>
      <c r="CG9" s="190"/>
      <c r="CH9" s="190"/>
      <c r="CI9" s="190"/>
      <c r="CJ9" s="190"/>
      <c r="CK9" s="190"/>
      <c r="CL9" s="190"/>
    </row>
    <row r="10" spans="1:90">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c r="A13" s="17" t="s">
        <v>10</v>
      </c>
      <c r="B13" s="190">
        <v>0</v>
      </c>
      <c r="C13" s="190">
        <v>896209492.20000005</v>
      </c>
      <c r="D13" s="190">
        <v>698586641.74000001</v>
      </c>
      <c r="E13" s="190">
        <v>613136431.42999995</v>
      </c>
      <c r="F13" s="190">
        <v>749721710.38</v>
      </c>
      <c r="G13" s="190">
        <v>829863225</v>
      </c>
      <c r="H13" s="190">
        <v>696005435.27999997</v>
      </c>
      <c r="I13" s="190">
        <v>604019151.69000006</v>
      </c>
      <c r="J13" s="190">
        <v>553030925.94000006</v>
      </c>
      <c r="K13" s="190">
        <v>579948348.63999999</v>
      </c>
      <c r="L13" s="190">
        <v>434804190.69999999</v>
      </c>
      <c r="M13" s="190">
        <v>398511238.64999998</v>
      </c>
      <c r="N13" s="190">
        <v>393919064.10000002</v>
      </c>
      <c r="O13" s="190">
        <v>371591340.93000001</v>
      </c>
      <c r="P13" s="190">
        <v>256097826.94</v>
      </c>
      <c r="Q13" s="190">
        <v>216399146.66</v>
      </c>
      <c r="R13" s="190">
        <v>308673824.19999999</v>
      </c>
      <c r="S13" s="190">
        <v>342299854.17000002</v>
      </c>
      <c r="T13" s="190">
        <v>296183029.95999998</v>
      </c>
      <c r="U13" s="190">
        <v>355196983.69</v>
      </c>
      <c r="V13" s="190">
        <v>455867454.29000002</v>
      </c>
      <c r="W13" s="190">
        <v>468116161.61000001</v>
      </c>
      <c r="X13" s="190">
        <v>446820156.70999998</v>
      </c>
      <c r="Y13" s="190">
        <v>418175820.61000001</v>
      </c>
      <c r="Z13" s="190">
        <v>429918420.89999998</v>
      </c>
      <c r="AA13" s="190">
        <v>377424524.44999999</v>
      </c>
      <c r="AB13" s="190">
        <v>294469156.37</v>
      </c>
      <c r="AC13" s="190">
        <v>295940185.10000002</v>
      </c>
      <c r="AD13" s="190">
        <v>136641507.16999999</v>
      </c>
      <c r="AE13" s="190">
        <v>147828634.97</v>
      </c>
      <c r="AF13" s="190">
        <v>39873135.909999996</v>
      </c>
      <c r="AG13" s="190">
        <v>63714535.909999996</v>
      </c>
      <c r="AH13" s="190">
        <v>17555203.170000002</v>
      </c>
      <c r="AI13" s="190">
        <v>48182973.82</v>
      </c>
      <c r="AJ13" s="190">
        <v>12057261.5</v>
      </c>
      <c r="AK13" s="190">
        <v>29337771.640000001</v>
      </c>
      <c r="AL13" s="190">
        <v>2021425</v>
      </c>
      <c r="AM13" s="190">
        <v>13592850</v>
      </c>
      <c r="AN13" s="190">
        <v>13090025</v>
      </c>
      <c r="AO13" s="190">
        <v>52818875</v>
      </c>
      <c r="AP13" s="190">
        <v>2013750</v>
      </c>
      <c r="AQ13" s="190">
        <v>49343103.829999998</v>
      </c>
      <c r="AR13" s="190">
        <v>6723978.7599999998</v>
      </c>
      <c r="AS13" s="190">
        <v>43219626.439999998</v>
      </c>
      <c r="AT13" s="190">
        <v>22055917.120000001</v>
      </c>
      <c r="AU13" s="190">
        <v>34057542.119999997</v>
      </c>
      <c r="AV13" s="190">
        <v>11063062.5</v>
      </c>
      <c r="AW13" s="190">
        <v>23900187.5</v>
      </c>
      <c r="AX13" s="190">
        <v>14764375</v>
      </c>
      <c r="AY13" s="190">
        <v>22445562.5</v>
      </c>
      <c r="AZ13" s="190">
        <v>6350562.5</v>
      </c>
      <c r="BA13" s="190">
        <v>10667991.02</v>
      </c>
      <c r="BB13" s="190">
        <v>6884375</v>
      </c>
      <c r="BC13" s="190">
        <v>13199379.74</v>
      </c>
      <c r="BD13" s="190">
        <v>8005797.5599999996</v>
      </c>
      <c r="BE13" s="190">
        <v>4424750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90">
        <v>876952840.72000003</v>
      </c>
      <c r="C19" s="190">
        <v>912952840.72000003</v>
      </c>
      <c r="D19" s="190">
        <v>862854004.09000003</v>
      </c>
      <c r="E19" s="190">
        <v>862854004.09000003</v>
      </c>
      <c r="F19" s="190">
        <v>817039621.86000001</v>
      </c>
      <c r="G19" s="190">
        <v>817039621.86000001</v>
      </c>
      <c r="H19" s="190">
        <v>794643093.01999998</v>
      </c>
      <c r="I19" s="190">
        <v>794643093.01999998</v>
      </c>
      <c r="J19" s="190">
        <v>776343407.57000005</v>
      </c>
      <c r="K19" s="190">
        <v>777443407.57000005</v>
      </c>
      <c r="L19" s="190">
        <v>866009462.48000002</v>
      </c>
      <c r="M19" s="190">
        <v>902009462.48000002</v>
      </c>
      <c r="N19" s="190">
        <v>879809253.45000005</v>
      </c>
      <c r="O19" s="190">
        <v>879809253.45000005</v>
      </c>
      <c r="P19" s="190">
        <v>867864898.53999996</v>
      </c>
      <c r="Q19" s="190">
        <v>867864898.53999996</v>
      </c>
      <c r="R19" s="190">
        <v>847613095.01999998</v>
      </c>
      <c r="S19" s="190">
        <v>834813095.01999998</v>
      </c>
      <c r="T19" s="190">
        <v>840577356.5</v>
      </c>
      <c r="U19" s="190">
        <v>120577356.5</v>
      </c>
      <c r="V19" s="190">
        <v>113813089.69</v>
      </c>
      <c r="W19" s="190">
        <v>113939689.69</v>
      </c>
      <c r="X19" s="190">
        <v>120137513.77</v>
      </c>
      <c r="Y19" s="190">
        <v>120351122.77</v>
      </c>
      <c r="Z19" s="190">
        <v>116553819.92</v>
      </c>
      <c r="AA19" s="190">
        <v>116553819.92</v>
      </c>
      <c r="AB19" s="190">
        <v>120875383.31</v>
      </c>
      <c r="AC19" s="190">
        <v>130875383.31</v>
      </c>
      <c r="AD19" s="190">
        <v>126434622.69</v>
      </c>
      <c r="AE19" s="190">
        <v>28434622.690000001</v>
      </c>
      <c r="AF19" s="190">
        <v>32524090.850000001</v>
      </c>
      <c r="AG19" s="190">
        <v>32524090.850000001</v>
      </c>
      <c r="AH19" s="190">
        <v>67796988.840000004</v>
      </c>
      <c r="AI19" s="190">
        <v>25796988.84</v>
      </c>
      <c r="AJ19" s="190">
        <v>29979154.25</v>
      </c>
      <c r="AK19" s="190">
        <v>29979054.25</v>
      </c>
      <c r="AL19" s="190">
        <v>25057697.460000001</v>
      </c>
      <c r="AM19" s="190">
        <v>25057697.460000001</v>
      </c>
      <c r="AN19" s="190">
        <v>27470267.23</v>
      </c>
      <c r="AO19" s="190">
        <v>27470267.23</v>
      </c>
      <c r="AP19" s="190">
        <v>24961576.43</v>
      </c>
      <c r="AQ19" s="190">
        <v>24961576.43</v>
      </c>
      <c r="AR19" s="190">
        <v>26391145.920000002</v>
      </c>
      <c r="AS19" s="190">
        <v>26391145.920000002</v>
      </c>
      <c r="AT19" s="190">
        <v>23748167.739999998</v>
      </c>
      <c r="AU19" s="190">
        <v>23748167.739999998</v>
      </c>
      <c r="AV19" s="190">
        <v>26391145.920000002</v>
      </c>
      <c r="AW19" s="190">
        <v>26391145.920000002</v>
      </c>
      <c r="AX19" s="190">
        <v>26684924.460000001</v>
      </c>
      <c r="AY19" s="190">
        <v>26747904.73</v>
      </c>
      <c r="AZ19" s="190">
        <v>27119534.640000001</v>
      </c>
      <c r="BA19" s="190">
        <v>27119534.640000001</v>
      </c>
      <c r="BB19" s="190">
        <v>30576600</v>
      </c>
      <c r="BC19" s="190">
        <v>30576600</v>
      </c>
      <c r="BD19" s="190">
        <v>13426600</v>
      </c>
      <c r="BE19" s="190">
        <v>3426600</v>
      </c>
      <c r="BF19" s="190">
        <v>7976600</v>
      </c>
      <c r="BG19" s="190">
        <v>3426600</v>
      </c>
      <c r="BH19" s="190">
        <v>3426600</v>
      </c>
      <c r="BI19" s="190">
        <v>3426600</v>
      </c>
      <c r="BJ19" s="190">
        <v>3656600</v>
      </c>
      <c r="BK19" s="190">
        <v>3656600</v>
      </c>
      <c r="BL19" s="190">
        <v>3656600</v>
      </c>
      <c r="BM19" s="190">
        <v>3656600</v>
      </c>
      <c r="BN19" s="190">
        <v>3656600</v>
      </c>
      <c r="BO19" s="190">
        <v>3656600</v>
      </c>
      <c r="BP19" s="190">
        <v>3656600</v>
      </c>
      <c r="BQ19" s="190">
        <v>3656600</v>
      </c>
      <c r="BR19" s="190">
        <v>0</v>
      </c>
      <c r="BS19" s="190">
        <v>5656600</v>
      </c>
      <c r="BT19" s="190">
        <v>5806600</v>
      </c>
      <c r="BU19" s="190">
        <v>5806600</v>
      </c>
      <c r="BV19" s="190">
        <v>5406600</v>
      </c>
      <c r="BW19" s="190">
        <v>3506600</v>
      </c>
      <c r="BX19" s="190">
        <v>0</v>
      </c>
      <c r="BY19" s="190">
        <v>0</v>
      </c>
      <c r="BZ19" s="190">
        <v>0</v>
      </c>
      <c r="CA19" s="190">
        <v>0</v>
      </c>
      <c r="CB19" s="190">
        <v>0</v>
      </c>
      <c r="CC19" s="190">
        <v>0</v>
      </c>
      <c r="CD19" s="190">
        <v>0</v>
      </c>
      <c r="CE19" s="190"/>
      <c r="CF19" s="190"/>
      <c r="CG19" s="190"/>
      <c r="CH19" s="190"/>
      <c r="CI19" s="190"/>
      <c r="CJ19" s="190"/>
      <c r="CK19" s="190"/>
      <c r="CL19" s="19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90">
        <v>14319733592.74</v>
      </c>
      <c r="C22" s="190">
        <v>16977557220.09</v>
      </c>
      <c r="D22" s="190">
        <v>17196073686.740002</v>
      </c>
      <c r="E22" s="190">
        <v>11188200510.91</v>
      </c>
      <c r="F22" s="190">
        <v>10434216114.75</v>
      </c>
      <c r="G22" s="190">
        <v>11527797189.120001</v>
      </c>
      <c r="H22" s="190">
        <v>13159107548.99</v>
      </c>
      <c r="I22" s="190">
        <v>9579098215.2299995</v>
      </c>
      <c r="J22" s="190">
        <v>8483681711.9499998</v>
      </c>
      <c r="K22" s="190">
        <v>11151897352.93</v>
      </c>
      <c r="L22" s="190">
        <v>16167613235.6</v>
      </c>
      <c r="M22" s="190">
        <v>8665339281.5900002</v>
      </c>
      <c r="N22" s="190">
        <v>5830649754.7700005</v>
      </c>
      <c r="O22" s="190">
        <v>7425023965.3599997</v>
      </c>
      <c r="P22" s="190">
        <v>7622456071.8199997</v>
      </c>
      <c r="Q22" s="190">
        <v>7369422899.46</v>
      </c>
      <c r="R22" s="190">
        <v>7364396469.04</v>
      </c>
      <c r="S22" s="190">
        <v>8952154232.8199997</v>
      </c>
      <c r="T22" s="190">
        <v>9153573194.8099995</v>
      </c>
      <c r="U22" s="190">
        <v>3625484719.4099998</v>
      </c>
      <c r="V22" s="190">
        <v>4104036271.0900002</v>
      </c>
      <c r="W22" s="190">
        <v>4247102908.23</v>
      </c>
      <c r="X22" s="190">
        <v>2885552496.4400001</v>
      </c>
      <c r="Y22" s="190">
        <v>2594222586.9299998</v>
      </c>
      <c r="Z22" s="190">
        <v>1671281067.5799999</v>
      </c>
      <c r="AA22" s="190">
        <v>2399499494.96</v>
      </c>
      <c r="AB22" s="190">
        <v>2374016621.27</v>
      </c>
      <c r="AC22" s="190">
        <v>1938673301.02</v>
      </c>
      <c r="AD22" s="190">
        <v>1656244403.1900001</v>
      </c>
      <c r="AE22" s="190">
        <v>1619094085.5</v>
      </c>
      <c r="AF22" s="190">
        <v>2516511592.3299999</v>
      </c>
      <c r="AG22" s="190">
        <v>2180616262.52</v>
      </c>
      <c r="AH22" s="190">
        <v>1425521975.4400001</v>
      </c>
      <c r="AI22" s="190">
        <v>1276951868.4100001</v>
      </c>
      <c r="AJ22" s="190">
        <v>1410762154.1800001</v>
      </c>
      <c r="AK22" s="190">
        <v>1842131762.6199999</v>
      </c>
      <c r="AL22" s="190">
        <v>1011783426.12</v>
      </c>
      <c r="AM22" s="190">
        <v>566096206.28999996</v>
      </c>
      <c r="AN22" s="190">
        <v>298348819.12</v>
      </c>
      <c r="AO22" s="190">
        <v>601748849.88</v>
      </c>
      <c r="AP22" s="190">
        <v>510997030.19999999</v>
      </c>
      <c r="AQ22" s="190">
        <v>352053475.43000001</v>
      </c>
      <c r="AR22" s="190">
        <v>397695819.48000002</v>
      </c>
      <c r="AS22" s="190">
        <v>523942546.5</v>
      </c>
      <c r="AT22" s="190">
        <v>438071678.39999998</v>
      </c>
      <c r="AU22" s="190">
        <v>379986577.06</v>
      </c>
      <c r="AV22" s="190">
        <v>700835412.30999994</v>
      </c>
      <c r="AW22" s="190">
        <v>669717586.73000002</v>
      </c>
      <c r="AX22" s="190">
        <v>636883188.83000004</v>
      </c>
      <c r="AY22" s="190">
        <v>418106596.38</v>
      </c>
      <c r="AZ22" s="190">
        <v>551795849.77999997</v>
      </c>
      <c r="BA22" s="190">
        <v>567966196</v>
      </c>
      <c r="BB22" s="190">
        <v>914569335.20000005</v>
      </c>
      <c r="BC22" s="190">
        <v>975117540.52999997</v>
      </c>
      <c r="BD22" s="190">
        <v>611455924.19000006</v>
      </c>
      <c r="BE22" s="190">
        <v>683957089</v>
      </c>
      <c r="BF22" s="190">
        <v>486619894.12</v>
      </c>
      <c r="BG22" s="190">
        <v>550250862</v>
      </c>
      <c r="BH22" s="190">
        <v>391663000</v>
      </c>
      <c r="BI22" s="190">
        <v>550460821.35000002</v>
      </c>
      <c r="BJ22" s="190">
        <v>566707454.88</v>
      </c>
      <c r="BK22" s="190">
        <v>280062160</v>
      </c>
      <c r="BL22" s="190">
        <v>264602772</v>
      </c>
      <c r="BM22" s="190">
        <v>376468732</v>
      </c>
      <c r="BN22" s="190">
        <v>305916880</v>
      </c>
      <c r="BO22" s="190">
        <v>243659520</v>
      </c>
      <c r="BP22" s="190">
        <v>184015332</v>
      </c>
      <c r="BQ22" s="190">
        <v>98460640</v>
      </c>
      <c r="BR22" s="190">
        <v>0</v>
      </c>
      <c r="BS22" s="190">
        <v>148695117.40000001</v>
      </c>
      <c r="BT22" s="190">
        <v>93413130</v>
      </c>
      <c r="BU22" s="190">
        <v>93229460</v>
      </c>
      <c r="BV22" s="190">
        <v>146284500</v>
      </c>
      <c r="BW22" s="190">
        <v>95218000</v>
      </c>
      <c r="BX22" s="190">
        <v>64188400</v>
      </c>
      <c r="BY22" s="190">
        <v>26924000</v>
      </c>
      <c r="BZ22" s="190">
        <v>2600000</v>
      </c>
      <c r="CA22" s="190">
        <v>0</v>
      </c>
      <c r="CB22" s="190">
        <v>4000000</v>
      </c>
      <c r="CC22" s="190">
        <v>0</v>
      </c>
      <c r="CD22" s="190">
        <v>0</v>
      </c>
      <c r="CE22" s="190"/>
      <c r="CF22" s="190"/>
      <c r="CG22" s="190"/>
      <c r="CH22" s="190"/>
      <c r="CI22" s="190"/>
      <c r="CJ22" s="190"/>
      <c r="CK22" s="190"/>
      <c r="CL22" s="190"/>
    </row>
    <row r="23" spans="1:90">
      <c r="A23" s="17" t="s">
        <v>15</v>
      </c>
      <c r="B23" s="190">
        <v>159633443.63</v>
      </c>
      <c r="C23" s="190">
        <v>178700262.75999999</v>
      </c>
      <c r="D23" s="190">
        <v>153117071.25</v>
      </c>
      <c r="E23" s="190">
        <v>109569527.26000001</v>
      </c>
      <c r="F23" s="190">
        <v>117313272.51000001</v>
      </c>
      <c r="G23" s="190">
        <v>121745303.23999999</v>
      </c>
      <c r="H23" s="190">
        <v>153556780.75</v>
      </c>
      <c r="I23" s="190">
        <v>107702772.20999999</v>
      </c>
      <c r="J23" s="190">
        <v>127688546.06</v>
      </c>
      <c r="K23" s="190">
        <v>124322436.59999999</v>
      </c>
      <c r="L23" s="190">
        <v>146053117.66</v>
      </c>
      <c r="M23" s="190">
        <v>106953033.25</v>
      </c>
      <c r="N23" s="190">
        <v>120971070.58</v>
      </c>
      <c r="O23" s="190">
        <v>142355074.77000001</v>
      </c>
      <c r="P23" s="190">
        <v>214776783.08000001</v>
      </c>
      <c r="Q23" s="190">
        <v>122947745.88</v>
      </c>
      <c r="R23" s="190">
        <v>130143929.04000001</v>
      </c>
      <c r="S23" s="190">
        <v>132997074.34</v>
      </c>
      <c r="T23" s="190">
        <v>94682124.099999994</v>
      </c>
      <c r="U23" s="190">
        <v>75473277.189999998</v>
      </c>
      <c r="V23" s="190">
        <v>127791575.36</v>
      </c>
      <c r="W23" s="190">
        <v>122003853.23</v>
      </c>
      <c r="X23" s="190">
        <v>137135845.06999999</v>
      </c>
      <c r="Y23" s="190">
        <v>80997122.239999995</v>
      </c>
      <c r="Z23" s="190">
        <v>139523546.13999999</v>
      </c>
      <c r="AA23" s="190">
        <v>111469617.20999999</v>
      </c>
      <c r="AB23" s="190">
        <v>91302403.829999998</v>
      </c>
      <c r="AC23" s="190">
        <v>75620180.150000006</v>
      </c>
      <c r="AD23" s="190">
        <v>107612919.33</v>
      </c>
      <c r="AE23" s="190">
        <v>90179133.640000001</v>
      </c>
      <c r="AF23" s="190">
        <v>135662395.46000001</v>
      </c>
      <c r="AG23" s="190">
        <v>89308643.659999996</v>
      </c>
      <c r="AH23" s="190">
        <v>95257645.409999996</v>
      </c>
      <c r="AI23" s="190">
        <v>121431445.87</v>
      </c>
      <c r="AJ23" s="190">
        <v>106195171.78</v>
      </c>
      <c r="AK23" s="190">
        <v>102759224.95999999</v>
      </c>
      <c r="AL23" s="190">
        <v>218856184.69</v>
      </c>
      <c r="AM23" s="190">
        <v>81047717.200000003</v>
      </c>
      <c r="AN23" s="190">
        <v>41423790.420000002</v>
      </c>
      <c r="AO23" s="190">
        <v>5170935.7300000004</v>
      </c>
      <c r="AP23" s="190">
        <v>20361430.23</v>
      </c>
      <c r="AQ23" s="190">
        <v>16460544.41</v>
      </c>
      <c r="AR23" s="190">
        <v>62119013.289999999</v>
      </c>
      <c r="AS23" s="190">
        <v>6792521.3799999999</v>
      </c>
      <c r="AT23" s="190">
        <v>60092296.229999997</v>
      </c>
      <c r="AU23" s="190">
        <v>10677560.939999999</v>
      </c>
      <c r="AV23" s="190">
        <v>62527448.840000004</v>
      </c>
      <c r="AW23" s="190">
        <v>6260195.0199999996</v>
      </c>
      <c r="AX23" s="190">
        <v>58185536.700000003</v>
      </c>
      <c r="AY23" s="190">
        <v>5688086.54</v>
      </c>
      <c r="AZ23" s="190">
        <v>4505066.0599999996</v>
      </c>
      <c r="BA23" s="190">
        <v>3485923.59</v>
      </c>
      <c r="BB23" s="190">
        <v>44915049.399999999</v>
      </c>
      <c r="BC23" s="190">
        <v>5919635.0700000003</v>
      </c>
      <c r="BD23" s="190">
        <v>47660585.799999997</v>
      </c>
      <c r="BE23" s="190">
        <v>2151313.52</v>
      </c>
      <c r="BF23" s="190">
        <v>57118311.170000002</v>
      </c>
      <c r="BG23" s="190">
        <v>2989801.7</v>
      </c>
      <c r="BH23" s="190">
        <v>10392876.48</v>
      </c>
      <c r="BI23" s="190">
        <v>2709674.42</v>
      </c>
      <c r="BJ23" s="190">
        <v>3297701.91</v>
      </c>
      <c r="BK23" s="190">
        <v>6416936.2800000003</v>
      </c>
      <c r="BL23" s="190">
        <v>240365350.56</v>
      </c>
      <c r="BM23" s="190">
        <v>2926977.69</v>
      </c>
      <c r="BN23" s="190">
        <v>5068027.75</v>
      </c>
      <c r="BO23" s="190">
        <v>37640854.090000004</v>
      </c>
      <c r="BP23" s="190">
        <v>132748147.05</v>
      </c>
      <c r="BQ23" s="190">
        <v>7910472.4500000002</v>
      </c>
      <c r="BR23" s="190">
        <v>0</v>
      </c>
      <c r="BS23" s="190">
        <v>78436213.890000001</v>
      </c>
      <c r="BT23" s="190">
        <v>38304361.759999998</v>
      </c>
      <c r="BU23" s="190">
        <v>15162121.77</v>
      </c>
      <c r="BV23" s="190">
        <v>99818939.200000003</v>
      </c>
      <c r="BW23" s="190">
        <v>104285129.01000001</v>
      </c>
      <c r="BX23" s="190">
        <v>31475559.050000001</v>
      </c>
      <c r="BY23" s="190">
        <v>13522153.390000001</v>
      </c>
      <c r="BZ23" s="190">
        <v>3188798.42</v>
      </c>
      <c r="CA23" s="190">
        <v>1781269.24</v>
      </c>
      <c r="CB23" s="190">
        <v>2927659.32</v>
      </c>
      <c r="CC23" s="190">
        <v>2788901.88</v>
      </c>
      <c r="CD23" s="190">
        <v>0</v>
      </c>
      <c r="CE23" s="190"/>
      <c r="CF23" s="190"/>
      <c r="CG23" s="190"/>
      <c r="CH23" s="190"/>
      <c r="CI23" s="190"/>
      <c r="CJ23" s="190"/>
      <c r="CK23" s="190"/>
      <c r="CL23" s="190"/>
    </row>
    <row r="24" spans="1:90">
      <c r="A24" s="17" t="s">
        <v>16</v>
      </c>
      <c r="B24" s="190">
        <v>661505054.35000002</v>
      </c>
      <c r="C24" s="190">
        <v>457883202.29000002</v>
      </c>
      <c r="D24" s="190">
        <v>459361428.92000002</v>
      </c>
      <c r="E24" s="190">
        <v>198058435.49000001</v>
      </c>
      <c r="F24" s="190">
        <v>285151661.41000003</v>
      </c>
      <c r="G24" s="190">
        <v>237477969.99000001</v>
      </c>
      <c r="H24" s="190">
        <v>363047875.52999997</v>
      </c>
      <c r="I24" s="190">
        <v>271649757.80000001</v>
      </c>
      <c r="J24" s="190">
        <v>281844564.43000001</v>
      </c>
      <c r="K24" s="190">
        <v>314006426.75999999</v>
      </c>
      <c r="L24" s="190">
        <v>389494047.27999997</v>
      </c>
      <c r="M24" s="190">
        <v>332130005.31999999</v>
      </c>
      <c r="N24" s="190">
        <v>198250284.71000001</v>
      </c>
      <c r="O24" s="190">
        <v>199040884.59</v>
      </c>
      <c r="P24" s="190">
        <v>211099303.16999999</v>
      </c>
      <c r="Q24" s="190">
        <v>298155704.17000002</v>
      </c>
      <c r="R24" s="190">
        <v>567747380.69000006</v>
      </c>
      <c r="S24" s="190">
        <v>224045622.72999999</v>
      </c>
      <c r="T24" s="190">
        <v>145246155.97</v>
      </c>
      <c r="U24" s="190">
        <v>213651778.22</v>
      </c>
      <c r="V24" s="190">
        <v>375593573.01999998</v>
      </c>
      <c r="W24" s="190">
        <v>226754621.13</v>
      </c>
      <c r="X24" s="190">
        <v>109493039.03</v>
      </c>
      <c r="Y24" s="190">
        <v>258719181.59999999</v>
      </c>
      <c r="Z24" s="190">
        <v>278664739.87</v>
      </c>
      <c r="AA24" s="190">
        <v>251995509.90000001</v>
      </c>
      <c r="AB24" s="190">
        <v>263222943.09</v>
      </c>
      <c r="AC24" s="190">
        <v>254497498.00999999</v>
      </c>
      <c r="AD24" s="190">
        <v>241814896.36000001</v>
      </c>
      <c r="AE24" s="190">
        <v>218455551.13999999</v>
      </c>
      <c r="AF24" s="190">
        <v>275157634.20999998</v>
      </c>
      <c r="AG24" s="190">
        <v>328380998.27999997</v>
      </c>
      <c r="AH24" s="190">
        <v>191907282.83000001</v>
      </c>
      <c r="AI24" s="190">
        <v>323106093.92000002</v>
      </c>
      <c r="AJ24" s="190">
        <v>348428191.00999999</v>
      </c>
      <c r="AK24" s="190">
        <v>195685085.40000001</v>
      </c>
      <c r="AL24" s="190">
        <v>184675932.61000001</v>
      </c>
      <c r="AM24" s="190">
        <v>139038405.69</v>
      </c>
      <c r="AN24" s="190">
        <v>41232496.460000001</v>
      </c>
      <c r="AO24" s="190">
        <v>45462986.789999999</v>
      </c>
      <c r="AP24" s="190">
        <v>11928878.33</v>
      </c>
      <c r="AQ24" s="190">
        <v>10500016.779999999</v>
      </c>
      <c r="AR24" s="190">
        <v>5023436.71</v>
      </c>
      <c r="AS24" s="190">
        <v>7624049.3799999999</v>
      </c>
      <c r="AT24" s="190">
        <v>2496309.2999999998</v>
      </c>
      <c r="AU24" s="190">
        <v>5602998.9400000004</v>
      </c>
      <c r="AV24" s="190">
        <v>1716533.62</v>
      </c>
      <c r="AW24" s="190">
        <v>2846244.14</v>
      </c>
      <c r="AX24" s="190">
        <v>4130276.51</v>
      </c>
      <c r="AY24" s="190">
        <v>7161550.7300000004</v>
      </c>
      <c r="AZ24" s="190">
        <v>67045199.5</v>
      </c>
      <c r="BA24" s="190">
        <v>81478767.469999999</v>
      </c>
      <c r="BB24" s="190">
        <v>8635003.25</v>
      </c>
      <c r="BC24" s="190">
        <v>5840481.6299999999</v>
      </c>
      <c r="BD24" s="190">
        <v>2818645.49</v>
      </c>
      <c r="BE24" s="190">
        <v>6959145.8700000001</v>
      </c>
      <c r="BF24" s="190">
        <v>820864.99</v>
      </c>
      <c r="BG24" s="190">
        <v>2720360.71</v>
      </c>
      <c r="BH24" s="190">
        <v>1401151.11</v>
      </c>
      <c r="BI24" s="190">
        <v>201151.11</v>
      </c>
      <c r="BJ24" s="190">
        <v>279151.11</v>
      </c>
      <c r="BK24" s="190">
        <v>1294471.81</v>
      </c>
      <c r="BL24" s="190">
        <v>1551502.91</v>
      </c>
      <c r="BM24" s="190">
        <v>46973092.109999999</v>
      </c>
      <c r="BN24" s="190">
        <v>7921870.3200000003</v>
      </c>
      <c r="BO24" s="190">
        <v>15255469.43</v>
      </c>
      <c r="BP24" s="190">
        <v>21453880.149999999</v>
      </c>
      <c r="BQ24" s="190">
        <v>4955055.3600000003</v>
      </c>
      <c r="BR24" s="190">
        <v>0</v>
      </c>
      <c r="BS24" s="190">
        <v>53713400.82</v>
      </c>
      <c r="BT24" s="190">
        <v>401627395.88</v>
      </c>
      <c r="BU24" s="190">
        <v>114124914.41</v>
      </c>
      <c r="BV24" s="190">
        <v>347571735.83999997</v>
      </c>
      <c r="BW24" s="190">
        <v>547588023.92999995</v>
      </c>
      <c r="BX24" s="190">
        <v>50037907.729999997</v>
      </c>
      <c r="BY24" s="190">
        <v>52103421.990000002</v>
      </c>
      <c r="BZ24" s="190">
        <v>136861423.19999999</v>
      </c>
      <c r="CA24" s="190">
        <v>43872563.140000001</v>
      </c>
      <c r="CB24" s="190">
        <v>812211</v>
      </c>
      <c r="CC24" s="190">
        <v>17203730.27</v>
      </c>
      <c r="CD24" s="190">
        <v>0</v>
      </c>
      <c r="CE24" s="190"/>
      <c r="CF24" s="190"/>
      <c r="CG24" s="190"/>
      <c r="CH24" s="190"/>
      <c r="CI24" s="190"/>
      <c r="CJ24" s="190"/>
      <c r="CK24" s="190"/>
      <c r="CL24" s="190"/>
    </row>
    <row r="25" spans="1:90">
      <c r="A25" s="17" t="s">
        <v>17</v>
      </c>
      <c r="B25" s="190">
        <v>879193067.00999999</v>
      </c>
      <c r="C25" s="190">
        <v>54701761.460000001</v>
      </c>
      <c r="D25" s="190">
        <v>45736774.259999998</v>
      </c>
      <c r="E25" s="190">
        <v>21131300.66</v>
      </c>
      <c r="F25" s="190">
        <v>40418418.960000001</v>
      </c>
      <c r="G25" s="190">
        <v>25246550.280000001</v>
      </c>
      <c r="H25" s="190">
        <v>31034384.079999998</v>
      </c>
      <c r="I25" s="190">
        <v>18782965.600000001</v>
      </c>
      <c r="J25" s="190">
        <v>76936616.310000002</v>
      </c>
      <c r="K25" s="190">
        <v>63325655.530000001</v>
      </c>
      <c r="L25" s="190">
        <v>32211234.280000001</v>
      </c>
      <c r="M25" s="190">
        <v>19436307.34</v>
      </c>
      <c r="N25" s="190">
        <v>34183309.530000001</v>
      </c>
      <c r="O25" s="190">
        <v>26192058.609999999</v>
      </c>
      <c r="P25" s="190">
        <v>37919746.390000001</v>
      </c>
      <c r="Q25" s="190">
        <v>19560121.190000001</v>
      </c>
      <c r="R25" s="190">
        <v>87106826.590000004</v>
      </c>
      <c r="S25" s="190">
        <v>29584864.93</v>
      </c>
      <c r="T25" s="190">
        <v>30281211.370000001</v>
      </c>
      <c r="U25" s="190">
        <v>23332076.120000001</v>
      </c>
      <c r="V25" s="190">
        <v>49944731.740000002</v>
      </c>
      <c r="W25" s="190">
        <v>36286298.670000002</v>
      </c>
      <c r="X25" s="190">
        <v>35140468.409999996</v>
      </c>
      <c r="Y25" s="190">
        <v>25692147.43</v>
      </c>
      <c r="Z25" s="190">
        <v>123598983.22</v>
      </c>
      <c r="AA25" s="190">
        <v>57451613.520000003</v>
      </c>
      <c r="AB25" s="190">
        <v>51875346.560000002</v>
      </c>
      <c r="AC25" s="190">
        <v>42779907.200000003</v>
      </c>
      <c r="AD25" s="190">
        <v>48946166.030000001</v>
      </c>
      <c r="AE25" s="190">
        <v>52250874.969999999</v>
      </c>
      <c r="AF25" s="190">
        <v>61979651.539999999</v>
      </c>
      <c r="AG25" s="190">
        <v>37700601.640000001</v>
      </c>
      <c r="AH25" s="190">
        <v>58541301.049999997</v>
      </c>
      <c r="AI25" s="190">
        <v>71438969.379999995</v>
      </c>
      <c r="AJ25" s="190">
        <v>97633444.069999993</v>
      </c>
      <c r="AK25" s="190">
        <v>68864328.269999996</v>
      </c>
      <c r="AL25" s="190">
        <v>50242987.810000002</v>
      </c>
      <c r="AM25" s="190">
        <v>29081736.34</v>
      </c>
      <c r="AN25" s="190">
        <v>37755192.710000001</v>
      </c>
      <c r="AO25" s="190">
        <v>25936687.260000002</v>
      </c>
      <c r="AP25" s="190">
        <v>29715469.859999999</v>
      </c>
      <c r="AQ25" s="190">
        <v>29105179.32</v>
      </c>
      <c r="AR25" s="190">
        <v>29268188.57</v>
      </c>
      <c r="AS25" s="190">
        <v>27592841.539999999</v>
      </c>
      <c r="AT25" s="190">
        <v>31841306.379999999</v>
      </c>
      <c r="AU25" s="190">
        <v>28274604.239999998</v>
      </c>
      <c r="AV25" s="190">
        <v>26532807.890000001</v>
      </c>
      <c r="AW25" s="190">
        <v>25060355.109999999</v>
      </c>
      <c r="AX25" s="190">
        <v>27389747.18</v>
      </c>
      <c r="AY25" s="190">
        <v>26737112.18</v>
      </c>
      <c r="AZ25" s="190">
        <v>27573851</v>
      </c>
      <c r="BA25" s="190">
        <v>25847449.93</v>
      </c>
      <c r="BB25" s="190">
        <v>27557665.949999999</v>
      </c>
      <c r="BC25" s="190">
        <v>27662132.690000001</v>
      </c>
      <c r="BD25" s="190">
        <v>7150137.2199999997</v>
      </c>
      <c r="BE25" s="190">
        <v>11566490.199999999</v>
      </c>
      <c r="BF25" s="190">
        <v>13473895.74</v>
      </c>
      <c r="BG25" s="190">
        <v>13602466.67</v>
      </c>
      <c r="BH25" s="190">
        <v>25097801.030000001</v>
      </c>
      <c r="BI25" s="190">
        <v>22812470.93</v>
      </c>
      <c r="BJ25" s="190">
        <v>22763656.050000001</v>
      </c>
      <c r="BK25" s="190">
        <v>24248360.920000002</v>
      </c>
      <c r="BL25" s="190">
        <v>49351830.579999998</v>
      </c>
      <c r="BM25" s="190">
        <v>14226681.33</v>
      </c>
      <c r="BN25" s="190">
        <v>81260234.730000004</v>
      </c>
      <c r="BO25" s="190">
        <v>97718320.129999995</v>
      </c>
      <c r="BP25" s="190">
        <v>108023655.18000001</v>
      </c>
      <c r="BQ25" s="190">
        <v>165468658.28</v>
      </c>
      <c r="BR25" s="190">
        <v>0</v>
      </c>
      <c r="BS25" s="190">
        <v>26270936.149999999</v>
      </c>
      <c r="BT25" s="190">
        <v>19840418.710000001</v>
      </c>
      <c r="BU25" s="190">
        <v>26316868.579999998</v>
      </c>
      <c r="BV25" s="190">
        <v>587428972.38</v>
      </c>
      <c r="BW25" s="190">
        <v>90645670.879999995</v>
      </c>
      <c r="BX25" s="190">
        <v>132720247.31</v>
      </c>
      <c r="BY25" s="190">
        <v>8383799.7400000002</v>
      </c>
      <c r="BZ25" s="190">
        <v>136036363.34</v>
      </c>
      <c r="CA25" s="190">
        <v>36862013.93</v>
      </c>
      <c r="CB25" s="190">
        <v>16618451.49</v>
      </c>
      <c r="CC25" s="190">
        <v>12844507.380000001</v>
      </c>
      <c r="CD25" s="190">
        <v>0</v>
      </c>
      <c r="CE25" s="190"/>
      <c r="CF25" s="190"/>
      <c r="CG25" s="190"/>
      <c r="CH25" s="190"/>
      <c r="CI25" s="190"/>
      <c r="CJ25" s="190"/>
      <c r="CK25" s="190"/>
      <c r="CL25" s="190"/>
    </row>
    <row r="26" spans="1:90">
      <c r="A26" s="17" t="s">
        <v>18</v>
      </c>
      <c r="B26" s="190">
        <v>11437518043.67</v>
      </c>
      <c r="C26" s="190">
        <v>11334058116.57</v>
      </c>
      <c r="D26" s="190">
        <v>10505467773.08</v>
      </c>
      <c r="E26" s="190">
        <v>10557801464.120001</v>
      </c>
      <c r="F26" s="190">
        <v>9913263627.9400005</v>
      </c>
      <c r="G26" s="190">
        <v>9627605128.6299992</v>
      </c>
      <c r="H26" s="190">
        <v>9364037239.7700005</v>
      </c>
      <c r="I26" s="190">
        <v>9257369374.4799995</v>
      </c>
      <c r="J26" s="190">
        <v>9442953679.8199997</v>
      </c>
      <c r="K26" s="190">
        <v>9355869460.9099998</v>
      </c>
      <c r="L26" s="190">
        <v>8929792868.5599995</v>
      </c>
      <c r="M26" s="190">
        <v>8700851179.5300007</v>
      </c>
      <c r="N26" s="190">
        <v>8530807984.9499998</v>
      </c>
      <c r="O26" s="190">
        <v>8507213622.3999996</v>
      </c>
      <c r="P26" s="190">
        <v>8253645529.4799995</v>
      </c>
      <c r="Q26" s="190">
        <v>8091488733.5600004</v>
      </c>
      <c r="R26" s="190">
        <v>7531491241.9899998</v>
      </c>
      <c r="S26" s="190">
        <v>7316591405.9399996</v>
      </c>
      <c r="T26" s="190">
        <v>7077955284.5699997</v>
      </c>
      <c r="U26" s="190">
        <v>6885585995.3900003</v>
      </c>
      <c r="V26" s="190">
        <v>6988166978.5200005</v>
      </c>
      <c r="W26" s="190">
        <v>6890600435.0699997</v>
      </c>
      <c r="X26" s="190">
        <v>6752485923.0600004</v>
      </c>
      <c r="Y26" s="190">
        <v>6680023737.3199997</v>
      </c>
      <c r="Z26" s="190">
        <v>6346798188.0900002</v>
      </c>
      <c r="AA26" s="190">
        <v>6080842217.1899996</v>
      </c>
      <c r="AB26" s="190">
        <v>5707586438.5799999</v>
      </c>
      <c r="AC26" s="190">
        <v>5536502482.54</v>
      </c>
      <c r="AD26" s="190">
        <v>4860415255.9099998</v>
      </c>
      <c r="AE26" s="190">
        <v>4835039413.5500002</v>
      </c>
      <c r="AF26" s="190">
        <v>4551014859.0900002</v>
      </c>
      <c r="AG26" s="190">
        <v>4514778551.6300001</v>
      </c>
      <c r="AH26" s="190">
        <v>4012206493.4699998</v>
      </c>
      <c r="AI26" s="190">
        <v>4009234951.54</v>
      </c>
      <c r="AJ26" s="190">
        <v>3756438574.9499998</v>
      </c>
      <c r="AK26" s="190">
        <v>3476844741.04</v>
      </c>
      <c r="AL26" s="190">
        <v>3264420284.7800002</v>
      </c>
      <c r="AM26" s="190">
        <v>3219922001.1799998</v>
      </c>
      <c r="AN26" s="190">
        <v>2084787694.03</v>
      </c>
      <c r="AO26" s="190">
        <v>2076930883.6099999</v>
      </c>
      <c r="AP26" s="190">
        <v>1915649161.1700001</v>
      </c>
      <c r="AQ26" s="190">
        <v>1891491824.8299999</v>
      </c>
      <c r="AR26" s="190">
        <v>1740967246.4100001</v>
      </c>
      <c r="AS26" s="190">
        <v>1805867257.73</v>
      </c>
      <c r="AT26" s="190">
        <v>1630465329.8499999</v>
      </c>
      <c r="AU26" s="190">
        <v>1660895359.1300001</v>
      </c>
      <c r="AV26" s="190">
        <v>1485234639.98</v>
      </c>
      <c r="AW26" s="190">
        <v>1508022529.5899999</v>
      </c>
      <c r="AX26" s="190">
        <v>1424746013.72</v>
      </c>
      <c r="AY26" s="190">
        <v>1509173104.5999999</v>
      </c>
      <c r="AZ26" s="190">
        <v>1543267261.29</v>
      </c>
      <c r="BA26" s="190">
        <v>1449461394.5699999</v>
      </c>
      <c r="BB26" s="190">
        <v>1373053158.5599999</v>
      </c>
      <c r="BC26" s="190">
        <v>1313056259.1199999</v>
      </c>
      <c r="BD26" s="190">
        <v>1447514700.6900001</v>
      </c>
      <c r="BE26" s="190">
        <v>1375514738.79</v>
      </c>
      <c r="BF26" s="190">
        <v>1334464661.9300001</v>
      </c>
      <c r="BG26" s="190">
        <v>1257081230</v>
      </c>
      <c r="BH26" s="190">
        <v>1114274704.9100001</v>
      </c>
      <c r="BI26" s="190">
        <v>1092522751.3199999</v>
      </c>
      <c r="BJ26" s="190">
        <v>980722281.51999998</v>
      </c>
      <c r="BK26" s="190">
        <v>895371219.82000005</v>
      </c>
      <c r="BL26" s="190">
        <v>931357053.15999997</v>
      </c>
      <c r="BM26" s="190">
        <v>958709328.83000004</v>
      </c>
      <c r="BN26" s="190">
        <v>1485944703.75</v>
      </c>
      <c r="BO26" s="190">
        <v>936722057.44000006</v>
      </c>
      <c r="BP26" s="190">
        <v>958050682.25</v>
      </c>
      <c r="BQ26" s="190">
        <v>1308727394.73</v>
      </c>
      <c r="BR26" s="190">
        <v>0</v>
      </c>
      <c r="BS26" s="190">
        <v>894969989.32000005</v>
      </c>
      <c r="BT26" s="190">
        <v>578141921.86000001</v>
      </c>
      <c r="BU26" s="190">
        <v>972147455.64999998</v>
      </c>
      <c r="BV26" s="190">
        <v>576645619.39999998</v>
      </c>
      <c r="BW26" s="190">
        <v>630729514.10000002</v>
      </c>
      <c r="BX26" s="190">
        <v>436495272.38</v>
      </c>
      <c r="BY26" s="190">
        <v>552805762.85000002</v>
      </c>
      <c r="BZ26" s="190">
        <v>553526408.04999995</v>
      </c>
      <c r="CA26" s="190">
        <v>609545054.58000004</v>
      </c>
      <c r="CB26" s="190">
        <v>536879605.17999995</v>
      </c>
      <c r="CC26" s="190">
        <v>467186347.06</v>
      </c>
      <c r="CD26" s="190">
        <v>0</v>
      </c>
      <c r="CE26" s="190"/>
      <c r="CF26" s="190"/>
      <c r="CG26" s="190"/>
      <c r="CH26" s="190"/>
      <c r="CI26" s="190"/>
      <c r="CJ26" s="190"/>
      <c r="CK26" s="190"/>
      <c r="CL26" s="190"/>
    </row>
    <row r="27" spans="1:90">
      <c r="A27" s="17" t="s">
        <v>19</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146460.91</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90">
        <v>0</v>
      </c>
      <c r="C35" s="190">
        <v>493870872.73000002</v>
      </c>
      <c r="D35" s="190">
        <v>565844194.5</v>
      </c>
      <c r="E35" s="190">
        <v>629668486.53999996</v>
      </c>
      <c r="F35" s="190">
        <v>444281179.75999999</v>
      </c>
      <c r="G35" s="190">
        <v>401616467.52999997</v>
      </c>
      <c r="H35" s="190">
        <v>393457461.22000003</v>
      </c>
      <c r="I35" s="190">
        <v>327474650.48000002</v>
      </c>
      <c r="J35" s="190">
        <v>281697340.70999998</v>
      </c>
      <c r="K35" s="190">
        <v>217131959.84999999</v>
      </c>
      <c r="L35" s="190">
        <v>168562188.22</v>
      </c>
      <c r="M35" s="190">
        <v>206060495.80000001</v>
      </c>
      <c r="N35" s="190">
        <v>246844082.41999999</v>
      </c>
      <c r="O35" s="190">
        <v>209802069.41999999</v>
      </c>
      <c r="P35" s="190">
        <v>116354744.69</v>
      </c>
      <c r="Q35" s="190">
        <v>85449379.480000004</v>
      </c>
      <c r="R35" s="190">
        <v>210739647.93000001</v>
      </c>
      <c r="S35" s="190">
        <v>102106793.65000001</v>
      </c>
      <c r="T35" s="190">
        <v>56484738.25</v>
      </c>
      <c r="U35" s="190">
        <v>52577851.100000001</v>
      </c>
      <c r="V35" s="190">
        <v>54814400</v>
      </c>
      <c r="W35" s="190">
        <v>49160000</v>
      </c>
      <c r="X35" s="190">
        <v>30000000</v>
      </c>
      <c r="Y35" s="190">
        <v>0</v>
      </c>
      <c r="Z35" s="190">
        <v>0</v>
      </c>
      <c r="AA35" s="190">
        <v>0</v>
      </c>
      <c r="AB35" s="190">
        <v>0</v>
      </c>
      <c r="AC35" s="190">
        <v>0</v>
      </c>
      <c r="AD35" s="190">
        <v>0</v>
      </c>
      <c r="AE35" s="190">
        <v>0</v>
      </c>
      <c r="AF35" s="190">
        <v>0</v>
      </c>
      <c r="AG35" s="190">
        <v>56456400</v>
      </c>
      <c r="AH35" s="190">
        <v>22822800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c r="CF35" s="190"/>
      <c r="CG35" s="190"/>
      <c r="CH35" s="190"/>
      <c r="CI35" s="190"/>
      <c r="CJ35" s="190"/>
      <c r="CK35" s="190"/>
      <c r="CL35" s="190"/>
    </row>
    <row r="36" spans="1:90">
      <c r="A36" s="17" t="s">
        <v>22</v>
      </c>
      <c r="B36" s="190">
        <v>0</v>
      </c>
      <c r="C36" s="190">
        <v>3970836974.7600002</v>
      </c>
      <c r="D36" s="190">
        <v>3838984045.9699998</v>
      </c>
      <c r="E36" s="190">
        <v>3137915625.6100001</v>
      </c>
      <c r="F36" s="190">
        <v>3556064072.6199999</v>
      </c>
      <c r="G36" s="190">
        <v>3526387932.96</v>
      </c>
      <c r="H36" s="190">
        <v>3040708704.7800002</v>
      </c>
      <c r="I36" s="190">
        <v>2171287638.1399999</v>
      </c>
      <c r="J36" s="190">
        <v>1534554612.8900001</v>
      </c>
      <c r="K36" s="190">
        <v>1608905206.8399999</v>
      </c>
      <c r="L36" s="190">
        <v>1571631407.6099999</v>
      </c>
      <c r="M36" s="190">
        <v>1058247050.29</v>
      </c>
      <c r="N36" s="190">
        <v>884085345.91999996</v>
      </c>
      <c r="O36" s="190">
        <v>974909229.63</v>
      </c>
      <c r="P36" s="190">
        <v>1149524453.5999999</v>
      </c>
      <c r="Q36" s="190">
        <v>647043070</v>
      </c>
      <c r="R36" s="190">
        <v>741184097.14999998</v>
      </c>
      <c r="S36" s="190">
        <v>986430295.13</v>
      </c>
      <c r="T36" s="190">
        <v>923957982.58000004</v>
      </c>
      <c r="U36" s="190">
        <v>583987991.92999995</v>
      </c>
      <c r="V36" s="190">
        <v>962793175.55999994</v>
      </c>
      <c r="W36" s="190">
        <v>580932251.35000002</v>
      </c>
      <c r="X36" s="190">
        <v>712717208.05999994</v>
      </c>
      <c r="Y36" s="190">
        <v>730530919.89999998</v>
      </c>
      <c r="Z36" s="190">
        <v>339830835.56999999</v>
      </c>
      <c r="AA36" s="190">
        <v>355483573.51999998</v>
      </c>
      <c r="AB36" s="190">
        <v>263252391.58000001</v>
      </c>
      <c r="AC36" s="190">
        <v>234517751.80000001</v>
      </c>
      <c r="AD36" s="190">
        <v>254313834.71000001</v>
      </c>
      <c r="AE36" s="190">
        <v>218946880.88</v>
      </c>
      <c r="AF36" s="190">
        <v>326267826.50999999</v>
      </c>
      <c r="AG36" s="190">
        <v>155435476.75999999</v>
      </c>
      <c r="AH36" s="190">
        <v>261887557.63</v>
      </c>
      <c r="AI36" s="190">
        <v>447782773.98000002</v>
      </c>
      <c r="AJ36" s="190">
        <v>405567824.89999998</v>
      </c>
      <c r="AK36" s="190">
        <v>239072532.94</v>
      </c>
      <c r="AL36" s="190">
        <v>455109648.48000002</v>
      </c>
      <c r="AM36" s="190">
        <v>523434740.57999998</v>
      </c>
      <c r="AN36" s="190">
        <v>242586539.78</v>
      </c>
      <c r="AO36" s="190">
        <v>38079985.509999998</v>
      </c>
      <c r="AP36" s="190">
        <v>264017878.25</v>
      </c>
      <c r="AQ36" s="190">
        <v>46494790.409999996</v>
      </c>
      <c r="AR36" s="190">
        <v>36925617.490000002</v>
      </c>
      <c r="AS36" s="190">
        <v>30308923.309999999</v>
      </c>
      <c r="AT36" s="190">
        <v>26164564.460000001</v>
      </c>
      <c r="AU36" s="190">
        <v>29179995.600000001</v>
      </c>
      <c r="AV36" s="190">
        <v>174303975.41</v>
      </c>
      <c r="AW36" s="190">
        <v>36304903.149999999</v>
      </c>
      <c r="AX36" s="190">
        <v>102823628.08</v>
      </c>
      <c r="AY36" s="190">
        <v>85475050.379999995</v>
      </c>
      <c r="AZ36" s="190">
        <v>40755924.520000003</v>
      </c>
      <c r="BA36" s="190">
        <v>65058276.600000001</v>
      </c>
      <c r="BB36" s="190">
        <v>21775974.030000001</v>
      </c>
      <c r="BC36" s="190">
        <v>200335690.00999999</v>
      </c>
      <c r="BD36" s="190">
        <v>37252464.07</v>
      </c>
      <c r="BE36" s="190">
        <v>35958562.25</v>
      </c>
      <c r="BF36" s="190">
        <v>378517172.31</v>
      </c>
      <c r="BG36" s="190">
        <v>450865370.57999998</v>
      </c>
      <c r="BH36" s="190">
        <v>585396527.25</v>
      </c>
      <c r="BI36" s="190">
        <v>49607110.049999997</v>
      </c>
      <c r="BJ36" s="190">
        <v>209521018.34999999</v>
      </c>
      <c r="BK36" s="190">
        <v>160787260.09</v>
      </c>
      <c r="BL36" s="190">
        <v>301939028.25</v>
      </c>
      <c r="BM36" s="190">
        <v>274372579.00999999</v>
      </c>
      <c r="BN36" s="190">
        <v>232238050.12</v>
      </c>
      <c r="BO36" s="190">
        <v>236894201.50999999</v>
      </c>
      <c r="BP36" s="190">
        <v>256286446.86000001</v>
      </c>
      <c r="BQ36" s="190">
        <v>242014437.78999999</v>
      </c>
      <c r="BR36" s="190">
        <v>0</v>
      </c>
      <c r="BS36" s="190">
        <v>112228383.06</v>
      </c>
      <c r="BT36" s="190">
        <v>8611001.7100000009</v>
      </c>
      <c r="BU36" s="190">
        <v>14299649.949999999</v>
      </c>
      <c r="BV36" s="190">
        <v>15794690.85</v>
      </c>
      <c r="BW36" s="190">
        <v>40926765.5</v>
      </c>
      <c r="BX36" s="190">
        <v>2009498.44</v>
      </c>
      <c r="BY36" s="190">
        <v>4567124.41</v>
      </c>
      <c r="BZ36" s="190">
        <v>127350.54</v>
      </c>
      <c r="CA36" s="190">
        <v>96482.04</v>
      </c>
      <c r="CB36" s="190">
        <v>6728609.3700000001</v>
      </c>
      <c r="CC36" s="190">
        <v>12653045.130000001</v>
      </c>
      <c r="CD36" s="190">
        <v>0</v>
      </c>
      <c r="CE36" s="190"/>
      <c r="CF36" s="190"/>
      <c r="CG36" s="190"/>
      <c r="CH36" s="190"/>
      <c r="CI36" s="190"/>
      <c r="CJ36" s="190"/>
      <c r="CK36" s="190"/>
      <c r="CL36" s="190"/>
    </row>
    <row r="37" spans="1:90">
      <c r="A37" s="17" t="s">
        <v>23</v>
      </c>
      <c r="B37" s="190">
        <v>2439900796.75</v>
      </c>
      <c r="C37" s="190">
        <v>4418983399.2299995</v>
      </c>
      <c r="D37" s="190">
        <v>5771644744.0299997</v>
      </c>
      <c r="E37" s="190">
        <v>4645721765.9899998</v>
      </c>
      <c r="F37" s="190">
        <v>4925694275.4399996</v>
      </c>
      <c r="G37" s="190">
        <v>5511067556</v>
      </c>
      <c r="H37" s="190">
        <v>6237059999.7299995</v>
      </c>
      <c r="I37" s="190">
        <v>6298680313.8800001</v>
      </c>
      <c r="J37" s="190">
        <v>6723035776.4899998</v>
      </c>
      <c r="K37" s="190">
        <v>4416995952.9399996</v>
      </c>
      <c r="L37" s="190">
        <v>6826442994.04</v>
      </c>
      <c r="M37" s="190">
        <v>1993934055.9100001</v>
      </c>
      <c r="N37" s="190">
        <v>656301527.12</v>
      </c>
      <c r="O37" s="190">
        <v>621830322.53999996</v>
      </c>
      <c r="P37" s="190">
        <v>778364798.66999996</v>
      </c>
      <c r="Q37" s="190">
        <v>858110981.88999999</v>
      </c>
      <c r="R37" s="190">
        <v>1430141617.3499999</v>
      </c>
      <c r="S37" s="190">
        <v>1189254075.97</v>
      </c>
      <c r="T37" s="190">
        <v>1566551581.8199999</v>
      </c>
      <c r="U37" s="190">
        <v>824725426.75</v>
      </c>
      <c r="V37" s="190">
        <v>1309599466.4400001</v>
      </c>
      <c r="W37" s="190">
        <v>3386451882.9099998</v>
      </c>
      <c r="X37" s="190">
        <v>3863416187.6999998</v>
      </c>
      <c r="Y37" s="190">
        <v>6467422141.71</v>
      </c>
      <c r="Z37" s="190">
        <v>6510647051.3999996</v>
      </c>
      <c r="AA37" s="190">
        <v>7479837557.5900002</v>
      </c>
      <c r="AB37" s="190">
        <v>7790285617.7200003</v>
      </c>
      <c r="AC37" s="190">
        <v>9047172727.9300003</v>
      </c>
      <c r="AD37" s="190">
        <v>7899140218.46</v>
      </c>
      <c r="AE37" s="190">
        <v>8241570251.0799999</v>
      </c>
      <c r="AF37" s="190">
        <v>7659580030.1700001</v>
      </c>
      <c r="AG37" s="190">
        <v>7107610071.8599997</v>
      </c>
      <c r="AH37" s="190">
        <v>5268820414.8100004</v>
      </c>
      <c r="AI37" s="190">
        <v>5270872584.79</v>
      </c>
      <c r="AJ37" s="190">
        <v>4965561554.71</v>
      </c>
      <c r="AK37" s="190">
        <v>4376268193.6700001</v>
      </c>
      <c r="AL37" s="190">
        <v>3032086738.1700001</v>
      </c>
      <c r="AM37" s="190">
        <v>276311548.98000002</v>
      </c>
      <c r="AN37" s="190">
        <v>187233216.74000001</v>
      </c>
      <c r="AO37" s="190">
        <v>1052920496.85</v>
      </c>
      <c r="AP37" s="190">
        <v>505629720.07999998</v>
      </c>
      <c r="AQ37" s="190">
        <v>346203139.69999999</v>
      </c>
      <c r="AR37" s="190">
        <v>442082196.89999998</v>
      </c>
      <c r="AS37" s="190">
        <v>711587261.14999998</v>
      </c>
      <c r="AT37" s="190">
        <v>580516526.89999998</v>
      </c>
      <c r="AU37" s="190">
        <v>342011688.20999998</v>
      </c>
      <c r="AV37" s="190">
        <v>215327186.46000001</v>
      </c>
      <c r="AW37" s="190">
        <v>345968840.57999998</v>
      </c>
      <c r="AX37" s="190">
        <v>229829359.40000001</v>
      </c>
      <c r="AY37" s="190">
        <v>167171049.72</v>
      </c>
      <c r="AZ37" s="190">
        <v>168400577.74000001</v>
      </c>
      <c r="BA37" s="190">
        <v>296621379.50999999</v>
      </c>
      <c r="BB37" s="190">
        <v>200475191.44</v>
      </c>
      <c r="BC37" s="190">
        <v>158445830.63999999</v>
      </c>
      <c r="BD37" s="190">
        <v>148593472.91999999</v>
      </c>
      <c r="BE37" s="190">
        <v>564444875.91999996</v>
      </c>
      <c r="BF37" s="190">
        <v>267627268.38</v>
      </c>
      <c r="BG37" s="190">
        <v>158357937.21000001</v>
      </c>
      <c r="BH37" s="190">
        <v>261267708.34999999</v>
      </c>
      <c r="BI37" s="190">
        <v>800467461.40999997</v>
      </c>
      <c r="BJ37" s="190">
        <v>629715938.67999995</v>
      </c>
      <c r="BK37" s="190">
        <v>142691086.62</v>
      </c>
      <c r="BL37" s="190">
        <v>216295919.33000001</v>
      </c>
      <c r="BM37" s="190">
        <v>584725447.89999998</v>
      </c>
      <c r="BN37" s="190">
        <v>358327853.04000002</v>
      </c>
      <c r="BO37" s="190">
        <v>204888539.56</v>
      </c>
      <c r="BP37" s="190">
        <v>208329971.93000001</v>
      </c>
      <c r="BQ37" s="190">
        <v>894549790.89999998</v>
      </c>
      <c r="BR37" s="190">
        <v>0</v>
      </c>
      <c r="BS37" s="190">
        <v>313458926.70999998</v>
      </c>
      <c r="BT37" s="190">
        <v>153185224.31</v>
      </c>
      <c r="BU37" s="190">
        <v>901537767.23000002</v>
      </c>
      <c r="BV37" s="190">
        <v>167561288.84</v>
      </c>
      <c r="BW37" s="190">
        <v>666367419.39999998</v>
      </c>
      <c r="BX37" s="190">
        <v>51055443.700000003</v>
      </c>
      <c r="BY37" s="190">
        <v>134594069.78999999</v>
      </c>
      <c r="BZ37" s="190">
        <v>354309750</v>
      </c>
      <c r="CA37" s="190">
        <v>267886661.69999999</v>
      </c>
      <c r="CB37" s="190">
        <v>223119861.33000001</v>
      </c>
      <c r="CC37" s="190">
        <v>165676312.36000001</v>
      </c>
      <c r="CD37" s="190">
        <v>0</v>
      </c>
      <c r="CE37" s="190"/>
      <c r="CF37" s="190"/>
      <c r="CG37" s="190"/>
      <c r="CH37" s="190"/>
      <c r="CI37" s="190"/>
      <c r="CJ37" s="190"/>
      <c r="CK37" s="190"/>
      <c r="CL37" s="190"/>
    </row>
    <row r="38" spans="1:90">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c r="A39" s="17" t="s">
        <v>25</v>
      </c>
      <c r="B39" s="190">
        <v>2579613439.3499999</v>
      </c>
      <c r="C39" s="190">
        <v>2568412966.9200001</v>
      </c>
      <c r="D39" s="190">
        <v>2583211456.79</v>
      </c>
      <c r="E39" s="190">
        <v>2566575608.48</v>
      </c>
      <c r="F39" s="190">
        <v>2308344141.98</v>
      </c>
      <c r="G39" s="190">
        <v>2277944100.8800001</v>
      </c>
      <c r="H39" s="190">
        <v>2277365113.0100002</v>
      </c>
      <c r="I39" s="190">
        <v>2273948506.8899999</v>
      </c>
      <c r="J39" s="190">
        <v>2401117225.5700002</v>
      </c>
      <c r="K39" s="190">
        <v>2416873000.23</v>
      </c>
      <c r="L39" s="190">
        <v>2210304258.0599999</v>
      </c>
      <c r="M39" s="190">
        <v>2387050259.0700002</v>
      </c>
      <c r="N39" s="190">
        <v>2095979570.0799999</v>
      </c>
      <c r="O39" s="190">
        <v>2250908932.27</v>
      </c>
      <c r="P39" s="190">
        <v>2195342417.4400001</v>
      </c>
      <c r="Q39" s="190">
        <v>2272260762.6300001</v>
      </c>
      <c r="R39" s="190">
        <v>1715232165.96</v>
      </c>
      <c r="S39" s="190">
        <v>1858748167.6500001</v>
      </c>
      <c r="T39" s="190">
        <v>2049570229.1900001</v>
      </c>
      <c r="U39" s="190">
        <v>2329068193.8299999</v>
      </c>
      <c r="V39" s="190">
        <v>2324951566.9400001</v>
      </c>
      <c r="W39" s="190">
        <v>2384027440.2399998</v>
      </c>
      <c r="X39" s="190">
        <v>1956435084.75</v>
      </c>
      <c r="Y39" s="190">
        <v>1971327322.3900001</v>
      </c>
      <c r="Z39" s="190">
        <v>1566700889.3</v>
      </c>
      <c r="AA39" s="190">
        <v>1520251335.3399999</v>
      </c>
      <c r="AB39" s="190">
        <v>1150338408.47</v>
      </c>
      <c r="AC39" s="190">
        <v>1063798296.8099999</v>
      </c>
      <c r="AD39" s="190">
        <v>614523162.72000003</v>
      </c>
      <c r="AE39" s="190">
        <v>349281985.49000001</v>
      </c>
      <c r="AF39" s="190">
        <v>344757117.88</v>
      </c>
      <c r="AG39" s="190">
        <v>348244603.83999997</v>
      </c>
      <c r="AH39" s="190">
        <v>348072998.49000001</v>
      </c>
      <c r="AI39" s="190">
        <v>37741922.579999998</v>
      </c>
      <c r="AJ39" s="190">
        <v>38875988.979999997</v>
      </c>
      <c r="AK39" s="190">
        <v>41710820.659999996</v>
      </c>
      <c r="AL39" s="190">
        <v>38420673.689999998</v>
      </c>
      <c r="AM39" s="190">
        <v>38785799.340000004</v>
      </c>
      <c r="AN39" s="190">
        <v>37384585.82</v>
      </c>
      <c r="AO39" s="190">
        <v>37475412.420000002</v>
      </c>
      <c r="AP39" s="190">
        <v>184237207.84</v>
      </c>
      <c r="AQ39" s="190">
        <v>189324045.03</v>
      </c>
      <c r="AR39" s="190">
        <v>185692378.16999999</v>
      </c>
      <c r="AS39" s="190">
        <v>193361894.02000001</v>
      </c>
      <c r="AT39" s="190">
        <v>364189862.92000002</v>
      </c>
      <c r="AU39" s="190">
        <v>226254094.66999999</v>
      </c>
      <c r="AV39" s="190">
        <v>224727463.31999999</v>
      </c>
      <c r="AW39" s="190">
        <v>200471053.72999999</v>
      </c>
      <c r="AX39" s="190">
        <v>199942676.69999999</v>
      </c>
      <c r="AY39" s="190">
        <v>199338215.37</v>
      </c>
      <c r="AZ39" s="190">
        <v>197590202.28</v>
      </c>
      <c r="BA39" s="190">
        <v>221827198.33000001</v>
      </c>
      <c r="BB39" s="190">
        <v>239324798.97</v>
      </c>
      <c r="BC39" s="190">
        <v>234337135.13</v>
      </c>
      <c r="BD39" s="190">
        <v>232269652.11000001</v>
      </c>
      <c r="BE39" s="190">
        <v>238504922.24000001</v>
      </c>
      <c r="BF39" s="190">
        <v>240142159.19</v>
      </c>
      <c r="BG39" s="190">
        <v>233532491.97999999</v>
      </c>
      <c r="BH39" s="190">
        <v>226448753.03</v>
      </c>
      <c r="BI39" s="190">
        <v>216156839.5</v>
      </c>
      <c r="BJ39" s="190">
        <v>204076027.99000001</v>
      </c>
      <c r="BK39" s="190">
        <v>197906581.22999999</v>
      </c>
      <c r="BL39" s="190">
        <v>193306881.84999999</v>
      </c>
      <c r="BM39" s="190">
        <v>187845500.33000001</v>
      </c>
      <c r="BN39" s="190">
        <v>184263383.56</v>
      </c>
      <c r="BO39" s="190">
        <v>180750840.25999999</v>
      </c>
      <c r="BP39" s="190">
        <v>174948161.38</v>
      </c>
      <c r="BQ39" s="190">
        <v>167906251.19999999</v>
      </c>
      <c r="BR39" s="190">
        <v>0</v>
      </c>
      <c r="BS39" s="190">
        <v>152054401.22999999</v>
      </c>
      <c r="BT39" s="190">
        <v>148930769.24000001</v>
      </c>
      <c r="BU39" s="190">
        <v>144738256.78</v>
      </c>
      <c r="BV39" s="190">
        <v>139606706.46000001</v>
      </c>
      <c r="BW39" s="190">
        <v>132629471.67</v>
      </c>
      <c r="BX39" s="190">
        <v>104150836.27</v>
      </c>
      <c r="BY39" s="190">
        <v>100718037.31</v>
      </c>
      <c r="BZ39" s="190">
        <v>70154801.060000002</v>
      </c>
      <c r="CA39" s="190">
        <v>18458106.190000001</v>
      </c>
      <c r="CB39" s="190">
        <v>16306257.609999999</v>
      </c>
      <c r="CC39" s="190">
        <v>25925821.690000001</v>
      </c>
      <c r="CD39" s="190">
        <v>0</v>
      </c>
      <c r="CE39" s="190"/>
      <c r="CF39" s="190"/>
      <c r="CG39" s="190"/>
      <c r="CH39" s="190"/>
      <c r="CI39" s="190"/>
      <c r="CJ39" s="190"/>
      <c r="CK39" s="190"/>
      <c r="CL39" s="190"/>
    </row>
    <row r="40" spans="1:90">
      <c r="A40" s="17" t="s">
        <v>26</v>
      </c>
      <c r="B40" s="190">
        <v>2445091023.25</v>
      </c>
      <c r="C40" s="190">
        <v>2431664835.9099998</v>
      </c>
      <c r="D40" s="190">
        <v>4101546395.6500001</v>
      </c>
      <c r="E40" s="190">
        <v>2644725962.5900002</v>
      </c>
      <c r="F40" s="190">
        <v>924311008.65999997</v>
      </c>
      <c r="G40" s="190">
        <v>581008449.63999999</v>
      </c>
      <c r="H40" s="190">
        <v>1623532023.6700001</v>
      </c>
      <c r="I40" s="190">
        <v>1091867750.03</v>
      </c>
      <c r="J40" s="190">
        <v>1077097693.23</v>
      </c>
      <c r="K40" s="190">
        <v>1024186092.38</v>
      </c>
      <c r="L40" s="190">
        <v>1130744682.3099999</v>
      </c>
      <c r="M40" s="190">
        <v>1042400938.1799999</v>
      </c>
      <c r="N40" s="190">
        <v>630566838.41999996</v>
      </c>
      <c r="O40" s="190">
        <v>908856741.54999995</v>
      </c>
      <c r="P40" s="190">
        <v>881400105</v>
      </c>
      <c r="Q40" s="190">
        <v>1097979258.6500001</v>
      </c>
      <c r="R40" s="190">
        <v>826697781.57000005</v>
      </c>
      <c r="S40" s="190">
        <v>1775265967.23</v>
      </c>
      <c r="T40" s="190">
        <v>1832690627.3499999</v>
      </c>
      <c r="U40" s="190">
        <v>2194188016.6599998</v>
      </c>
      <c r="V40" s="190">
        <v>2252817698.6199999</v>
      </c>
      <c r="W40" s="190">
        <v>3022230844.2399998</v>
      </c>
      <c r="X40" s="190">
        <v>2800160682.02</v>
      </c>
      <c r="Y40" s="190">
        <v>2780243294.1399999</v>
      </c>
      <c r="Z40" s="190">
        <v>2714697307.3899999</v>
      </c>
      <c r="AA40" s="190">
        <v>2341835538.6900001</v>
      </c>
      <c r="AB40" s="190">
        <v>2191605783.7199998</v>
      </c>
      <c r="AC40" s="190">
        <v>2087153334.95</v>
      </c>
      <c r="AD40" s="190">
        <v>1457830918.25</v>
      </c>
      <c r="AE40" s="190">
        <v>1555148691.54</v>
      </c>
      <c r="AF40" s="190">
        <v>1377392496.6199999</v>
      </c>
      <c r="AG40" s="190">
        <v>1582292614.5999999</v>
      </c>
      <c r="AH40" s="190">
        <v>875784865.62</v>
      </c>
      <c r="AI40" s="190">
        <v>606566873.84000003</v>
      </c>
      <c r="AJ40" s="190">
        <v>887626587.16999996</v>
      </c>
      <c r="AK40" s="190">
        <v>1046110746.79</v>
      </c>
      <c r="AL40" s="190">
        <v>825077628.10000002</v>
      </c>
      <c r="AM40" s="190">
        <v>831067887.66999996</v>
      </c>
      <c r="AN40" s="190">
        <v>1107063971.8499999</v>
      </c>
      <c r="AO40" s="190">
        <v>827803261.89999998</v>
      </c>
      <c r="AP40" s="190">
        <v>925269448.76999998</v>
      </c>
      <c r="AQ40" s="190">
        <v>902244377.95000005</v>
      </c>
      <c r="AR40" s="190">
        <v>1091124081.77</v>
      </c>
      <c r="AS40" s="190">
        <v>941728762.87</v>
      </c>
      <c r="AT40" s="190">
        <v>1368910307.23</v>
      </c>
      <c r="AU40" s="190">
        <v>1502244746.7</v>
      </c>
      <c r="AV40" s="190">
        <v>1597837675.27</v>
      </c>
      <c r="AW40" s="190">
        <v>1211103490.9000001</v>
      </c>
      <c r="AX40" s="190">
        <v>1323829312.27</v>
      </c>
      <c r="AY40" s="190">
        <v>1252128227.3699999</v>
      </c>
      <c r="AZ40" s="190">
        <v>1789022238.51</v>
      </c>
      <c r="BA40" s="190">
        <v>1434633243.3800001</v>
      </c>
      <c r="BB40" s="190">
        <v>1507555626.5699999</v>
      </c>
      <c r="BC40" s="190">
        <v>1568096163.8499999</v>
      </c>
      <c r="BD40" s="190">
        <v>1549608873.25</v>
      </c>
      <c r="BE40" s="190">
        <v>1229519160.02</v>
      </c>
      <c r="BF40" s="190">
        <v>1285696916.4100001</v>
      </c>
      <c r="BG40" s="190">
        <v>1343563012.78</v>
      </c>
      <c r="BH40" s="190">
        <v>1404173188.1300001</v>
      </c>
      <c r="BI40" s="190">
        <v>1049534838.29</v>
      </c>
      <c r="BJ40" s="190">
        <v>984770253.08000004</v>
      </c>
      <c r="BK40" s="190">
        <v>941464754.41999996</v>
      </c>
      <c r="BL40" s="190">
        <v>1004877827.5</v>
      </c>
      <c r="BM40" s="190">
        <v>729957675.29999995</v>
      </c>
      <c r="BN40" s="190">
        <v>786265003.01999998</v>
      </c>
      <c r="BO40" s="190">
        <v>787770022.34000003</v>
      </c>
      <c r="BP40" s="190">
        <v>733783820.07000005</v>
      </c>
      <c r="BQ40" s="190">
        <v>393489075.31</v>
      </c>
      <c r="BR40" s="190">
        <v>0</v>
      </c>
      <c r="BS40" s="190">
        <v>481468408.29000002</v>
      </c>
      <c r="BT40" s="190">
        <v>573691390.54999995</v>
      </c>
      <c r="BU40" s="190">
        <v>259216465.53</v>
      </c>
      <c r="BV40" s="190">
        <v>639621921.52999997</v>
      </c>
      <c r="BW40" s="190">
        <v>485183469.38</v>
      </c>
      <c r="BX40" s="190">
        <v>284101021.47000003</v>
      </c>
      <c r="BY40" s="190">
        <v>275509234.19999999</v>
      </c>
      <c r="BZ40" s="190">
        <v>221359624</v>
      </c>
      <c r="CA40" s="190">
        <v>130531218.91</v>
      </c>
      <c r="CB40" s="190">
        <v>69481090.340000004</v>
      </c>
      <c r="CC40" s="190">
        <v>14148829.369999999</v>
      </c>
      <c r="CD40" s="190">
        <v>0</v>
      </c>
      <c r="CE40" s="190"/>
      <c r="CF40" s="190"/>
      <c r="CG40" s="190"/>
      <c r="CH40" s="190"/>
      <c r="CI40" s="190"/>
      <c r="CJ40" s="190"/>
      <c r="CK40" s="190"/>
      <c r="CL40" s="190"/>
    </row>
    <row r="41" spans="1:90">
      <c r="A41" s="17" t="s">
        <v>27</v>
      </c>
      <c r="B41" s="190">
        <v>2833164018.8499999</v>
      </c>
      <c r="C41" s="190">
        <v>2680768736.9299998</v>
      </c>
      <c r="D41" s="190">
        <v>2620675030.77</v>
      </c>
      <c r="E41" s="190">
        <v>2343421664.52</v>
      </c>
      <c r="F41" s="190">
        <v>1786094619.5699999</v>
      </c>
      <c r="G41" s="190">
        <v>1870305164.1099999</v>
      </c>
      <c r="H41" s="190">
        <v>2068230974.0899999</v>
      </c>
      <c r="I41" s="190">
        <v>1524627778.99</v>
      </c>
      <c r="J41" s="190">
        <v>1521840057.29</v>
      </c>
      <c r="K41" s="190">
        <v>1674159681.1800001</v>
      </c>
      <c r="L41" s="190">
        <v>1489404677.6700001</v>
      </c>
      <c r="M41" s="190">
        <v>1279924101.98</v>
      </c>
      <c r="N41" s="190">
        <v>849959453.26999998</v>
      </c>
      <c r="O41" s="190">
        <v>895112768.73000002</v>
      </c>
      <c r="P41" s="190">
        <v>763978112.34000003</v>
      </c>
      <c r="Q41" s="190">
        <v>964097340.10000002</v>
      </c>
      <c r="R41" s="190">
        <v>629662172.80999994</v>
      </c>
      <c r="S41" s="190">
        <v>534507606.94999999</v>
      </c>
      <c r="T41" s="190">
        <v>1067589249.7</v>
      </c>
      <c r="U41" s="190">
        <v>1058057337.88</v>
      </c>
      <c r="V41" s="190">
        <v>985846342.65999997</v>
      </c>
      <c r="W41" s="190">
        <v>1080971102.96</v>
      </c>
      <c r="X41" s="190">
        <v>1481140976.6099999</v>
      </c>
      <c r="Y41" s="190">
        <v>1394952635.3800001</v>
      </c>
      <c r="Z41" s="190">
        <v>1058913890.29</v>
      </c>
      <c r="AA41" s="190">
        <v>1168176009.1500001</v>
      </c>
      <c r="AB41" s="190">
        <v>839069143.04999995</v>
      </c>
      <c r="AC41" s="190">
        <v>801788668.84000003</v>
      </c>
      <c r="AD41" s="190">
        <v>757530281.40999997</v>
      </c>
      <c r="AE41" s="190">
        <v>845567369.25999999</v>
      </c>
      <c r="AF41" s="190">
        <v>575152633.72000003</v>
      </c>
      <c r="AG41" s="190">
        <v>689020663.08000004</v>
      </c>
      <c r="AH41" s="190">
        <v>304261188.48000002</v>
      </c>
      <c r="AI41" s="190">
        <v>456936057.51999998</v>
      </c>
      <c r="AJ41" s="190">
        <v>314291643.43000001</v>
      </c>
      <c r="AK41" s="190">
        <v>339959685.67000002</v>
      </c>
      <c r="AL41" s="190">
        <v>338920878.33999997</v>
      </c>
      <c r="AM41" s="190">
        <v>1488170160.77</v>
      </c>
      <c r="AN41" s="190">
        <v>72532938.930000007</v>
      </c>
      <c r="AO41" s="190">
        <v>84204694.840000004</v>
      </c>
      <c r="AP41" s="190">
        <v>69669456.340000004</v>
      </c>
      <c r="AQ41" s="190">
        <v>68127138.370000005</v>
      </c>
      <c r="AR41" s="190">
        <v>64087542.850000001</v>
      </c>
      <c r="AS41" s="190">
        <v>65927301.579999998</v>
      </c>
      <c r="AT41" s="190">
        <v>79209500.799999997</v>
      </c>
      <c r="AU41" s="190">
        <v>69486753.209999993</v>
      </c>
      <c r="AV41" s="190">
        <v>69325369.180000007</v>
      </c>
      <c r="AW41" s="190">
        <v>86262157.519999996</v>
      </c>
      <c r="AX41" s="190">
        <v>92534346.069999993</v>
      </c>
      <c r="AY41" s="190">
        <v>77012707.480000004</v>
      </c>
      <c r="AZ41" s="190">
        <v>73022433.510000005</v>
      </c>
      <c r="BA41" s="190">
        <v>71106488.989999995</v>
      </c>
      <c r="BB41" s="190">
        <v>66748166.009999998</v>
      </c>
      <c r="BC41" s="190">
        <v>55066850.789999999</v>
      </c>
      <c r="BD41" s="190">
        <v>52630683.039999999</v>
      </c>
      <c r="BE41" s="190">
        <v>50905875.689999998</v>
      </c>
      <c r="BF41" s="190">
        <v>94748745.290000007</v>
      </c>
      <c r="BG41" s="190">
        <v>91169462.680000007</v>
      </c>
      <c r="BH41" s="190">
        <v>53351389.810000002</v>
      </c>
      <c r="BI41" s="190">
        <v>42176687.57</v>
      </c>
      <c r="BJ41" s="190">
        <v>37867581.289999999</v>
      </c>
      <c r="BK41" s="190">
        <v>75939893.799999997</v>
      </c>
      <c r="BL41" s="190">
        <v>64162946.270000003</v>
      </c>
      <c r="BM41" s="190">
        <v>67870157.969999999</v>
      </c>
      <c r="BN41" s="190">
        <v>144028779.55000001</v>
      </c>
      <c r="BO41" s="190">
        <v>145439199.37</v>
      </c>
      <c r="BP41" s="190">
        <v>250811320.91999999</v>
      </c>
      <c r="BQ41" s="190">
        <v>205173603.58000001</v>
      </c>
      <c r="BR41" s="190">
        <v>0</v>
      </c>
      <c r="BS41" s="190">
        <v>626054931.66999996</v>
      </c>
      <c r="BT41" s="190">
        <v>40244829.950000003</v>
      </c>
      <c r="BU41" s="190">
        <v>50642667.810000002</v>
      </c>
      <c r="BV41" s="190">
        <v>28956327.039999999</v>
      </c>
      <c r="BW41" s="190">
        <v>159473726.08000001</v>
      </c>
      <c r="BX41" s="190">
        <v>165513370.62</v>
      </c>
      <c r="BY41" s="190">
        <v>51325961.829999998</v>
      </c>
      <c r="BZ41" s="190">
        <v>11420007.890000001</v>
      </c>
      <c r="CA41" s="190">
        <v>267189021.71000001</v>
      </c>
      <c r="CB41" s="190">
        <v>122816479.70999999</v>
      </c>
      <c r="CC41" s="190">
        <v>9945678.8499999996</v>
      </c>
      <c r="CD41" s="190">
        <v>0</v>
      </c>
      <c r="CE41" s="190"/>
      <c r="CF41" s="190"/>
      <c r="CG41" s="190"/>
      <c r="CH41" s="190"/>
      <c r="CI41" s="190"/>
      <c r="CJ41" s="190"/>
      <c r="CK41" s="190"/>
      <c r="CL41" s="190"/>
    </row>
    <row r="42" spans="1:90" s="39" customFormat="1">
      <c r="A42" s="124" t="s">
        <v>28</v>
      </c>
      <c r="B42" s="190">
        <v>0</v>
      </c>
      <c r="C42" s="190">
        <v>0</v>
      </c>
      <c r="D42" s="190">
        <v>0</v>
      </c>
      <c r="E42" s="190">
        <v>0</v>
      </c>
      <c r="F42" s="190">
        <v>0</v>
      </c>
      <c r="G42" s="190">
        <v>0</v>
      </c>
      <c r="H42" s="190">
        <v>0</v>
      </c>
      <c r="I42" s="190">
        <v>0</v>
      </c>
      <c r="J42" s="190">
        <v>6677340</v>
      </c>
      <c r="K42" s="190">
        <v>6677340</v>
      </c>
      <c r="L42" s="190">
        <v>6677340</v>
      </c>
      <c r="M42" s="190">
        <v>6677340</v>
      </c>
      <c r="N42" s="190">
        <v>4591646</v>
      </c>
      <c r="O42" s="190">
        <v>4591646</v>
      </c>
      <c r="P42" s="190">
        <v>4591646</v>
      </c>
      <c r="Q42" s="190">
        <v>4591646</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c r="A43" s="17" t="s">
        <v>29</v>
      </c>
      <c r="B43" s="190">
        <v>268884201.55000001</v>
      </c>
      <c r="C43" s="190">
        <v>271827784.88</v>
      </c>
      <c r="D43" s="190">
        <v>277698333.19</v>
      </c>
      <c r="E43" s="190">
        <v>280271916.51999998</v>
      </c>
      <c r="F43" s="190">
        <v>285279999.85000002</v>
      </c>
      <c r="G43" s="190">
        <v>285738749.86000001</v>
      </c>
      <c r="H43" s="190">
        <v>281197499.87</v>
      </c>
      <c r="I43" s="190">
        <v>280660735.08999997</v>
      </c>
      <c r="J43" s="190">
        <v>283219485.10000002</v>
      </c>
      <c r="K43" s="190">
        <v>226158235.11000001</v>
      </c>
      <c r="L43" s="190">
        <v>227016985.12</v>
      </c>
      <c r="M43" s="190">
        <v>227179736.72999999</v>
      </c>
      <c r="N43" s="190">
        <v>186078486.74000001</v>
      </c>
      <c r="O43" s="190">
        <v>187450268</v>
      </c>
      <c r="P43" s="190">
        <v>147999018.00999999</v>
      </c>
      <c r="Q43" s="190">
        <v>145257768.02000001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564822857.91999996</v>
      </c>
      <c r="AM45" s="190">
        <v>566280800.39999998</v>
      </c>
      <c r="AN45" s="190">
        <v>0</v>
      </c>
      <c r="AO45" s="190">
        <v>0</v>
      </c>
      <c r="AP45" s="190">
        <v>0</v>
      </c>
      <c r="AQ45" s="190">
        <v>0</v>
      </c>
      <c r="AR45" s="190">
        <v>250000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29379522.879999999</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c r="A51" s="193" t="s">
        <v>33</v>
      </c>
    </row>
    <row r="52" spans="1:90" s="193" customFormat="1">
      <c r="A52" s="193" t="s">
        <v>34</v>
      </c>
      <c r="B52" s="190">
        <v>5282593649.3400002</v>
      </c>
      <c r="C52" s="190">
        <v>5342671729.5299997</v>
      </c>
      <c r="D52" s="190">
        <v>5210283730.3500004</v>
      </c>
      <c r="E52" s="190">
        <v>5292583427.1999998</v>
      </c>
      <c r="F52" s="190">
        <v>5277803007.6599998</v>
      </c>
      <c r="G52" s="190">
        <v>5310208763.0200005</v>
      </c>
      <c r="H52" s="190">
        <v>5357774717.21</v>
      </c>
      <c r="I52" s="190">
        <v>5431085733.1599998</v>
      </c>
      <c r="J52" s="190">
        <v>5075825005.04</v>
      </c>
      <c r="K52" s="190">
        <v>5178721783.9899998</v>
      </c>
      <c r="L52" s="190">
        <v>5243340408.9499998</v>
      </c>
      <c r="M52" s="190">
        <v>5347549946.8800001</v>
      </c>
      <c r="N52" s="190">
        <v>5447067768.5299997</v>
      </c>
      <c r="O52" s="190">
        <v>5569494294.8800001</v>
      </c>
      <c r="P52" s="190">
        <v>5561162652.8900003</v>
      </c>
      <c r="Q52" s="190">
        <v>5676482317.6499996</v>
      </c>
      <c r="R52" s="190">
        <v>5714480502.4799995</v>
      </c>
      <c r="S52" s="190">
        <v>5618349275.9399996</v>
      </c>
      <c r="T52" s="190">
        <v>5746016698.6599998</v>
      </c>
      <c r="U52" s="190">
        <v>5882125515.1599998</v>
      </c>
      <c r="V52" s="190">
        <v>5496333315.8199997</v>
      </c>
      <c r="W52" s="190">
        <v>5636878064.6800003</v>
      </c>
      <c r="X52" s="190">
        <v>5760836594.4499998</v>
      </c>
      <c r="Y52" s="190">
        <v>5497236500.9799995</v>
      </c>
      <c r="Z52" s="190">
        <v>5477857707.71</v>
      </c>
      <c r="AA52" s="190">
        <v>5608943204.5600004</v>
      </c>
      <c r="AB52" s="190">
        <v>5775442018.75</v>
      </c>
      <c r="AC52" s="190">
        <v>5905055195.5</v>
      </c>
      <c r="AD52" s="190">
        <v>6066038876.1300001</v>
      </c>
      <c r="AE52" s="190">
        <v>6178043190.9700003</v>
      </c>
      <c r="AF52" s="190">
        <v>6212189646.3800001</v>
      </c>
      <c r="AG52" s="190">
        <v>6373457302.8599997</v>
      </c>
      <c r="AH52" s="190">
        <v>6538960841.9200001</v>
      </c>
      <c r="AI52" s="190">
        <v>6686192245.9099998</v>
      </c>
      <c r="AJ52" s="190">
        <v>6807745494.1300001</v>
      </c>
      <c r="AK52" s="190">
        <v>6935927656.6199999</v>
      </c>
      <c r="AL52" s="190">
        <v>6725076984.0900002</v>
      </c>
      <c r="AM52" s="190">
        <v>6866972825.3900003</v>
      </c>
      <c r="AN52" s="190">
        <v>4245800806.3699999</v>
      </c>
      <c r="AO52" s="190">
        <v>4334380905.8800001</v>
      </c>
      <c r="AP52" s="190">
        <v>4608271296.8800001</v>
      </c>
      <c r="AQ52" s="190">
        <v>4711785850.8299999</v>
      </c>
      <c r="AR52" s="190">
        <v>4608423992.0200005</v>
      </c>
      <c r="AS52" s="190">
        <v>4670657791.3599997</v>
      </c>
      <c r="AT52" s="190">
        <v>4934237086.5299997</v>
      </c>
      <c r="AU52" s="190">
        <v>5019279783.0500002</v>
      </c>
      <c r="AV52" s="190">
        <v>5082147090.9300003</v>
      </c>
      <c r="AW52" s="190">
        <v>5193905238.7700005</v>
      </c>
      <c r="AX52" s="190">
        <v>5289844741.3100004</v>
      </c>
      <c r="AY52" s="190">
        <v>5356101803.7600002</v>
      </c>
      <c r="AZ52" s="190">
        <v>5272215535.1000004</v>
      </c>
      <c r="BA52" s="190">
        <v>5378990872.5299997</v>
      </c>
      <c r="BB52" s="190">
        <v>5451346214.2799997</v>
      </c>
      <c r="BC52" s="190">
        <v>5569703297.2299995</v>
      </c>
      <c r="BD52" s="190">
        <v>5601605514.1899996</v>
      </c>
      <c r="BE52" s="190">
        <v>5647276968.4899998</v>
      </c>
      <c r="BF52" s="190">
        <v>4692216694</v>
      </c>
      <c r="BG52" s="190">
        <v>4779198241.9799995</v>
      </c>
      <c r="BH52" s="190">
        <v>4855612116.8599997</v>
      </c>
      <c r="BI52" s="190">
        <v>4896279236.6899996</v>
      </c>
      <c r="BJ52" s="190">
        <v>3680362197.46</v>
      </c>
      <c r="BK52" s="190">
        <v>3766242267.48</v>
      </c>
      <c r="BL52" s="190">
        <v>3559955468.8299999</v>
      </c>
      <c r="BM52" s="190">
        <v>3602003201.1100001</v>
      </c>
      <c r="BN52" s="190">
        <v>3417705127.8600001</v>
      </c>
      <c r="BO52" s="190">
        <v>3445620147.3200002</v>
      </c>
      <c r="BP52" s="190">
        <v>3047036752.3400002</v>
      </c>
      <c r="BQ52" s="190">
        <v>3074187958.48</v>
      </c>
      <c r="BR52" s="190">
        <v>0</v>
      </c>
      <c r="BS52" s="190">
        <v>2996112005.8499999</v>
      </c>
      <c r="BT52" s="190">
        <v>1326479175.75</v>
      </c>
      <c r="BU52" s="190">
        <v>1220622570.2</v>
      </c>
      <c r="BV52" s="190">
        <v>1245325894.1400001</v>
      </c>
      <c r="BW52" s="190">
        <v>1205088242.78</v>
      </c>
      <c r="BX52" s="190">
        <v>773054420.82000005</v>
      </c>
      <c r="BY52" s="190">
        <v>800607155.58000004</v>
      </c>
      <c r="BZ52" s="190">
        <v>455849033.79000002</v>
      </c>
      <c r="CA52" s="190">
        <v>225513764.90000001</v>
      </c>
      <c r="CB52" s="190">
        <v>222897373.97999999</v>
      </c>
      <c r="CC52" s="190">
        <v>158461384.13999999</v>
      </c>
      <c r="CD52" s="190">
        <v>0</v>
      </c>
      <c r="CE52" s="190"/>
      <c r="CF52" s="190"/>
      <c r="CG52" s="190"/>
      <c r="CH52" s="190"/>
      <c r="CI52" s="190"/>
      <c r="CJ52" s="190"/>
      <c r="CK52" s="190"/>
      <c r="CL52" s="190"/>
    </row>
    <row r="53" spans="1:90" s="193" customFormat="1">
      <c r="A53" s="193" t="s">
        <v>35</v>
      </c>
      <c r="B53" s="190">
        <v>308092704</v>
      </c>
      <c r="C53" s="190">
        <v>289649202.87</v>
      </c>
      <c r="D53" s="190">
        <v>461106398.14999998</v>
      </c>
      <c r="E53" s="190">
        <v>271653749.52999997</v>
      </c>
      <c r="F53" s="190">
        <v>293854009.37</v>
      </c>
      <c r="G53" s="190">
        <v>324538161.11000001</v>
      </c>
      <c r="H53" s="190">
        <v>348440047.02999997</v>
      </c>
      <c r="I53" s="190">
        <v>292881811.61000001</v>
      </c>
      <c r="J53" s="190">
        <v>679794179</v>
      </c>
      <c r="K53" s="190">
        <v>651606385.32000005</v>
      </c>
      <c r="L53" s="190">
        <v>621285037.23000002</v>
      </c>
      <c r="M53" s="190">
        <v>554771287.60000002</v>
      </c>
      <c r="N53" s="190">
        <v>515231211.56</v>
      </c>
      <c r="O53" s="190">
        <v>442337179.86000001</v>
      </c>
      <c r="P53" s="190">
        <v>461155792.07999998</v>
      </c>
      <c r="Q53" s="190">
        <v>384533672.73000002</v>
      </c>
      <c r="R53" s="190">
        <v>389754043.56</v>
      </c>
      <c r="S53" s="190">
        <v>375618975.69</v>
      </c>
      <c r="T53" s="190">
        <v>293040488.70999998</v>
      </c>
      <c r="U53" s="190">
        <v>223094343.47999999</v>
      </c>
      <c r="V53" s="190">
        <v>683382375.25999999</v>
      </c>
      <c r="W53" s="190">
        <v>599153056.07000005</v>
      </c>
      <c r="X53" s="190">
        <v>577888903.21000004</v>
      </c>
      <c r="Y53" s="190">
        <v>855585255.33000004</v>
      </c>
      <c r="Z53" s="190">
        <v>986738283.25</v>
      </c>
      <c r="AA53" s="190">
        <v>966002053.88</v>
      </c>
      <c r="AB53" s="190">
        <v>910719299.58000004</v>
      </c>
      <c r="AC53" s="190">
        <v>787493319.77999997</v>
      </c>
      <c r="AD53" s="190">
        <v>652572593.78999996</v>
      </c>
      <c r="AE53" s="190">
        <v>633703948.47000003</v>
      </c>
      <c r="AF53" s="190">
        <v>603595798.02999997</v>
      </c>
      <c r="AG53" s="190">
        <v>514643508.64999998</v>
      </c>
      <c r="AH53" s="190">
        <v>413532910.43000001</v>
      </c>
      <c r="AI53" s="190">
        <v>353532910.43000001</v>
      </c>
      <c r="AJ53" s="190">
        <v>271382910.43000001</v>
      </c>
      <c r="AK53" s="190">
        <v>218457910.43000001</v>
      </c>
      <c r="AL53" s="190">
        <v>456047491.41000003</v>
      </c>
      <c r="AM53" s="190">
        <v>422932472.19999999</v>
      </c>
      <c r="AN53" s="190">
        <v>411554268.08999997</v>
      </c>
      <c r="AO53" s="190">
        <v>327723836.08999997</v>
      </c>
      <c r="AP53" s="190">
        <v>129382571.26000001</v>
      </c>
      <c r="AQ53" s="190">
        <v>129382571.26000001</v>
      </c>
      <c r="AR53" s="190">
        <v>279097163.50999999</v>
      </c>
      <c r="AS53" s="190">
        <v>322898322.74000001</v>
      </c>
      <c r="AT53" s="190">
        <v>91207611.170000002</v>
      </c>
      <c r="AU53" s="190">
        <v>52207611.170000002</v>
      </c>
      <c r="AV53" s="190">
        <v>50577836.869999997</v>
      </c>
      <c r="AW53" s="190">
        <v>18177836.870000001</v>
      </c>
      <c r="AX53" s="190">
        <v>30237841.699999999</v>
      </c>
      <c r="AY53" s="190">
        <v>29552394.699999999</v>
      </c>
      <c r="AZ53" s="190">
        <v>29552394.699999999</v>
      </c>
      <c r="BA53" s="190">
        <v>29552394.699999999</v>
      </c>
      <c r="BB53" s="190">
        <v>29567210.289999999</v>
      </c>
      <c r="BC53" s="190">
        <v>29567210.289999999</v>
      </c>
      <c r="BD53" s="190">
        <v>97643076.810000002</v>
      </c>
      <c r="BE53" s="190">
        <v>123043076.81</v>
      </c>
      <c r="BF53" s="190">
        <v>665769611.87</v>
      </c>
      <c r="BG53" s="190">
        <v>668969611.87</v>
      </c>
      <c r="BH53" s="190">
        <v>660331699.49000001</v>
      </c>
      <c r="BI53" s="190">
        <v>619018667.15999997</v>
      </c>
      <c r="BJ53" s="190">
        <v>1419518505.3099999</v>
      </c>
      <c r="BK53" s="190">
        <v>700560718.25999999</v>
      </c>
      <c r="BL53" s="190">
        <v>844818644.94000006</v>
      </c>
      <c r="BM53" s="190">
        <v>844818644.94000006</v>
      </c>
      <c r="BN53" s="190">
        <v>126894081.58</v>
      </c>
      <c r="BO53" s="190">
        <v>162667645.38999999</v>
      </c>
      <c r="BP53" s="190">
        <v>399832678.99000001</v>
      </c>
      <c r="BQ53" s="190">
        <v>407129955.11000001</v>
      </c>
      <c r="BR53" s="190">
        <v>0</v>
      </c>
      <c r="BS53" s="190">
        <v>460000000</v>
      </c>
      <c r="BT53" s="190">
        <v>375089152.60000002</v>
      </c>
      <c r="BU53" s="190">
        <v>375088852.60000002</v>
      </c>
      <c r="BV53" s="190">
        <v>375087726.19999999</v>
      </c>
      <c r="BW53" s="190">
        <v>88107716.200000003</v>
      </c>
      <c r="BX53" s="190">
        <v>24500000</v>
      </c>
      <c r="BY53" s="190">
        <v>21500000</v>
      </c>
      <c r="BZ53" s="190">
        <v>273299036</v>
      </c>
      <c r="CA53" s="190">
        <v>0</v>
      </c>
      <c r="CB53" s="190">
        <v>0</v>
      </c>
      <c r="CC53" s="190">
        <v>0</v>
      </c>
      <c r="CD53" s="190">
        <v>0</v>
      </c>
      <c r="CE53" s="190"/>
      <c r="CF53" s="190"/>
      <c r="CG53" s="190"/>
      <c r="CH53" s="190"/>
      <c r="CI53" s="190"/>
      <c r="CJ53" s="190"/>
      <c r="CK53" s="190"/>
      <c r="CL53" s="190"/>
    </row>
    <row r="54" spans="1:90" s="193" customFormat="1">
      <c r="A54" s="193" t="s">
        <v>36</v>
      </c>
      <c r="B54" s="190">
        <v>0</v>
      </c>
      <c r="C54" s="190">
        <v>1761090.07</v>
      </c>
      <c r="D54" s="190">
        <v>1761090.07</v>
      </c>
      <c r="E54" s="190">
        <v>1761078.76</v>
      </c>
      <c r="F54" s="190">
        <v>1761078.76</v>
      </c>
      <c r="G54" s="190">
        <v>1761078.76</v>
      </c>
      <c r="H54" s="190">
        <v>1761078.76</v>
      </c>
      <c r="I54" s="190">
        <v>1667017.72</v>
      </c>
      <c r="J54" s="190">
        <v>1667017.72</v>
      </c>
      <c r="K54" s="190">
        <v>1667017.72</v>
      </c>
      <c r="L54" s="190">
        <v>1667017.72</v>
      </c>
      <c r="M54" s="190">
        <v>1667017.72</v>
      </c>
      <c r="N54" s="190">
        <v>2345837.34</v>
      </c>
      <c r="O54" s="190">
        <v>2345837.34</v>
      </c>
      <c r="P54" s="190">
        <v>0</v>
      </c>
      <c r="Q54" s="190">
        <v>0</v>
      </c>
      <c r="R54" s="190">
        <v>0</v>
      </c>
      <c r="S54" s="190">
        <v>886472.77</v>
      </c>
      <c r="T54" s="190">
        <v>886472.77</v>
      </c>
      <c r="U54" s="190">
        <v>1755346.28</v>
      </c>
      <c r="V54" s="190">
        <v>1755346.28</v>
      </c>
      <c r="W54" s="190">
        <v>1360425.6</v>
      </c>
      <c r="X54" s="190">
        <v>868873.51</v>
      </c>
      <c r="Y54" s="190">
        <v>868873.51</v>
      </c>
      <c r="Z54" s="190">
        <v>868873.51</v>
      </c>
      <c r="AA54" s="190">
        <v>868873.51</v>
      </c>
      <c r="AB54" s="190">
        <v>4618186.3099999996</v>
      </c>
      <c r="AC54" s="190">
        <v>4618186.3099999996</v>
      </c>
      <c r="AD54" s="190">
        <v>3959809.39</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89194</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c r="A55" s="193" t="s">
        <v>37</v>
      </c>
      <c r="B55" s="190">
        <v>0</v>
      </c>
      <c r="C55" s="190">
        <v>893413.43</v>
      </c>
      <c r="D55" s="190">
        <v>909214.56</v>
      </c>
      <c r="E55" s="190">
        <v>288961.94</v>
      </c>
      <c r="F55" s="190">
        <v>415003.29</v>
      </c>
      <c r="G55" s="190">
        <v>462889.13</v>
      </c>
      <c r="H55" s="190">
        <v>428414.15</v>
      </c>
      <c r="I55" s="190">
        <v>376757.14</v>
      </c>
      <c r="J55" s="190">
        <v>3915320.77</v>
      </c>
      <c r="K55" s="190">
        <v>547544.29</v>
      </c>
      <c r="L55" s="190">
        <v>29416.67</v>
      </c>
      <c r="M55" s="190">
        <v>77252.92</v>
      </c>
      <c r="N55" s="190">
        <v>116193.38</v>
      </c>
      <c r="O55" s="190">
        <v>104795.98</v>
      </c>
      <c r="P55" s="190">
        <v>588148.86</v>
      </c>
      <c r="Q55" s="190">
        <v>0</v>
      </c>
      <c r="R55" s="190">
        <v>16879528.420000002</v>
      </c>
      <c r="S55" s="190">
        <v>17486607.289999999</v>
      </c>
      <c r="T55" s="190">
        <v>3089634.06</v>
      </c>
      <c r="U55" s="190">
        <v>23060688.899999999</v>
      </c>
      <c r="V55" s="190">
        <v>1450865.12</v>
      </c>
      <c r="W55" s="190">
        <v>3030629.26</v>
      </c>
      <c r="X55" s="190">
        <v>16439.16</v>
      </c>
      <c r="Y55" s="190">
        <v>0</v>
      </c>
      <c r="Z55" s="190">
        <v>505169.2</v>
      </c>
      <c r="AA55" s="190">
        <v>254378.39</v>
      </c>
      <c r="AB55" s="190">
        <v>793603.03</v>
      </c>
      <c r="AC55" s="190">
        <v>0</v>
      </c>
      <c r="AD55" s="190">
        <v>3917205.74</v>
      </c>
      <c r="AE55" s="190">
        <v>20126.830000000002</v>
      </c>
      <c r="AF55" s="190">
        <v>-321275.59999999998</v>
      </c>
      <c r="AG55" s="190">
        <v>0</v>
      </c>
      <c r="AH55" s="190">
        <v>-77395.37</v>
      </c>
      <c r="AI55" s="190">
        <v>152293.06</v>
      </c>
      <c r="AJ55" s="190">
        <v>-3189.36</v>
      </c>
      <c r="AK55" s="190">
        <v>0</v>
      </c>
      <c r="AL55" s="190">
        <v>251869.68</v>
      </c>
      <c r="AM55" s="190">
        <v>284937.68</v>
      </c>
      <c r="AN55" s="190">
        <v>293896.46000000002</v>
      </c>
      <c r="AO55" s="190">
        <v>0</v>
      </c>
      <c r="AP55" s="190">
        <v>2010620.24</v>
      </c>
      <c r="AQ55" s="190">
        <v>1947340.32</v>
      </c>
      <c r="AR55" s="190">
        <v>2195635.52</v>
      </c>
      <c r="AS55" s="190">
        <v>0</v>
      </c>
      <c r="AT55" s="190">
        <v>321143.26</v>
      </c>
      <c r="AU55" s="190">
        <v>400255.66</v>
      </c>
      <c r="AV55" s="190">
        <v>152167.29</v>
      </c>
      <c r="AW55" s="190">
        <v>0</v>
      </c>
      <c r="AX55" s="190">
        <v>1347170.96</v>
      </c>
      <c r="AY55" s="190">
        <v>0</v>
      </c>
      <c r="AZ55" s="190">
        <v>431491.66</v>
      </c>
      <c r="BA55" s="190">
        <v>0</v>
      </c>
      <c r="BB55" s="190">
        <v>320852.43</v>
      </c>
      <c r="BC55" s="190">
        <v>-16338.42</v>
      </c>
      <c r="BD55" s="190">
        <v>78396.740000000005</v>
      </c>
      <c r="BE55" s="190">
        <v>0</v>
      </c>
      <c r="BF55" s="190">
        <v>711059.3</v>
      </c>
      <c r="BG55" s="190">
        <v>18337.099999999999</v>
      </c>
      <c r="BH55" s="190">
        <v>4818.46</v>
      </c>
      <c r="BI55" s="190">
        <v>0</v>
      </c>
      <c r="BJ55" s="190">
        <v>2469421.9900000002</v>
      </c>
      <c r="BK55" s="190">
        <v>3450286.61</v>
      </c>
      <c r="BL55" s="190">
        <v>308063.73</v>
      </c>
      <c r="BM55" s="190">
        <v>0</v>
      </c>
      <c r="BN55" s="190">
        <v>21704.28</v>
      </c>
      <c r="BO55" s="190">
        <v>14580.65</v>
      </c>
      <c r="BP55" s="190">
        <v>13860.65</v>
      </c>
      <c r="BQ55" s="190">
        <v>0</v>
      </c>
      <c r="BR55" s="190">
        <v>0</v>
      </c>
      <c r="BS55" s="190">
        <v>5459040.46</v>
      </c>
      <c r="BT55" s="190">
        <v>5534040.46</v>
      </c>
      <c r="BU55" s="190">
        <v>5531581.5599999996</v>
      </c>
      <c r="BV55" s="190">
        <v>0</v>
      </c>
      <c r="BW55" s="190">
        <v>0</v>
      </c>
      <c r="BX55" s="190">
        <v>153.43</v>
      </c>
      <c r="BY55" s="190">
        <v>0</v>
      </c>
      <c r="BZ55" s="190">
        <v>-32684.51</v>
      </c>
      <c r="CA55" s="190">
        <v>0</v>
      </c>
      <c r="CB55" s="190">
        <v>0</v>
      </c>
      <c r="CC55" s="190">
        <v>0</v>
      </c>
      <c r="CD55" s="190">
        <v>0</v>
      </c>
      <c r="CE55" s="190"/>
      <c r="CF55" s="190"/>
      <c r="CG55" s="190"/>
      <c r="CH55" s="190"/>
      <c r="CI55" s="190"/>
      <c r="CJ55" s="190"/>
      <c r="CK55" s="190"/>
      <c r="CL55" s="190"/>
    </row>
    <row r="56" spans="1:90" s="193" customFormat="1">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c r="A58" s="193" t="s">
        <v>40</v>
      </c>
      <c r="B58" s="190">
        <v>409538513.31</v>
      </c>
      <c r="C58" s="190">
        <v>405011373.60000002</v>
      </c>
      <c r="D58" s="190">
        <v>405233901.17000002</v>
      </c>
      <c r="E58" s="190">
        <v>399362442.36000001</v>
      </c>
      <c r="F58" s="190">
        <v>401014121.88</v>
      </c>
      <c r="G58" s="190">
        <v>402106287.05000001</v>
      </c>
      <c r="H58" s="190">
        <v>403375212.81999999</v>
      </c>
      <c r="I58" s="190">
        <v>402445490.66000003</v>
      </c>
      <c r="J58" s="190">
        <v>405058608.17000002</v>
      </c>
      <c r="K58" s="190">
        <v>408260788.24000001</v>
      </c>
      <c r="L58" s="190">
        <v>410580251.26999998</v>
      </c>
      <c r="M58" s="190">
        <v>411690665.44999999</v>
      </c>
      <c r="N58" s="190">
        <v>413781641.51999998</v>
      </c>
      <c r="O58" s="190">
        <v>416329498.33999997</v>
      </c>
      <c r="P58" s="190">
        <v>418798824.29000002</v>
      </c>
      <c r="Q58" s="190">
        <v>421573592.33999997</v>
      </c>
      <c r="R58" s="190">
        <v>407530654.27999997</v>
      </c>
      <c r="S58" s="190">
        <v>289485867.45999998</v>
      </c>
      <c r="T58" s="190">
        <v>291516506.41000003</v>
      </c>
      <c r="U58" s="190">
        <v>293642157.83999997</v>
      </c>
      <c r="V58" s="190">
        <v>286159461.87</v>
      </c>
      <c r="W58" s="190">
        <v>286508406.24000001</v>
      </c>
      <c r="X58" s="190">
        <v>287842307.35000002</v>
      </c>
      <c r="Y58" s="190">
        <v>289762684.52999997</v>
      </c>
      <c r="Z58" s="190">
        <v>291861174.47000003</v>
      </c>
      <c r="AA58" s="190">
        <v>294151982.13</v>
      </c>
      <c r="AB58" s="190">
        <v>296216674.35000002</v>
      </c>
      <c r="AC58" s="190">
        <v>297477470.22000003</v>
      </c>
      <c r="AD58" s="190">
        <v>294440574.5</v>
      </c>
      <c r="AE58" s="190">
        <v>296094213.19</v>
      </c>
      <c r="AF58" s="190">
        <v>297864163.10000002</v>
      </c>
      <c r="AG58" s="190">
        <v>299598624.00999999</v>
      </c>
      <c r="AH58" s="190">
        <v>301379560.60000002</v>
      </c>
      <c r="AI58" s="190">
        <v>303567227.47000003</v>
      </c>
      <c r="AJ58" s="190">
        <v>305889251.11000001</v>
      </c>
      <c r="AK58" s="190">
        <v>308093817.98000002</v>
      </c>
      <c r="AL58" s="190">
        <v>310308703.5</v>
      </c>
      <c r="AM58" s="190">
        <v>312590026.97000003</v>
      </c>
      <c r="AN58" s="190">
        <v>60505086.25</v>
      </c>
      <c r="AO58" s="190">
        <v>60901622.469999999</v>
      </c>
      <c r="AP58" s="190">
        <v>61445140.880000003</v>
      </c>
      <c r="AQ58" s="190">
        <v>61813677.100000001</v>
      </c>
      <c r="AR58" s="190">
        <v>62091231.130000003</v>
      </c>
      <c r="AS58" s="190">
        <v>62487767.350000001</v>
      </c>
      <c r="AT58" s="190">
        <v>62884303.57</v>
      </c>
      <c r="AU58" s="190">
        <v>63280839.789999999</v>
      </c>
      <c r="AV58" s="190">
        <v>63677376.009999998</v>
      </c>
      <c r="AW58" s="190">
        <v>64073912.229999997</v>
      </c>
      <c r="AX58" s="190">
        <v>64470448.450000003</v>
      </c>
      <c r="AY58" s="190">
        <v>64866984.670000002</v>
      </c>
      <c r="AZ58" s="190">
        <v>65263520.890000001</v>
      </c>
      <c r="BA58" s="190">
        <v>65660057.109999999</v>
      </c>
      <c r="BB58" s="190">
        <v>66056593.329999998</v>
      </c>
      <c r="BC58" s="190">
        <v>66453129.549999997</v>
      </c>
      <c r="BD58" s="190">
        <v>66849665.770000003</v>
      </c>
      <c r="BE58" s="190">
        <v>67246201.989999995</v>
      </c>
      <c r="BF58" s="190">
        <v>67642738.209999993</v>
      </c>
      <c r="BG58" s="190">
        <v>68039274.430000007</v>
      </c>
      <c r="BH58" s="190">
        <v>68435812.170000002</v>
      </c>
      <c r="BI58" s="190">
        <v>68832346.870000005</v>
      </c>
      <c r="BJ58" s="190">
        <v>69228883.090000004</v>
      </c>
      <c r="BK58" s="190">
        <v>69625419.310000002</v>
      </c>
      <c r="BL58" s="190">
        <v>69900957.549999997</v>
      </c>
      <c r="BM58" s="190">
        <v>70298083.719999999</v>
      </c>
      <c r="BN58" s="190">
        <v>72597881.879999995</v>
      </c>
      <c r="BO58" s="190">
        <v>73034046.689999998</v>
      </c>
      <c r="BP58" s="190">
        <v>73098044.840000004</v>
      </c>
      <c r="BQ58" s="190">
        <v>73559143.010000005</v>
      </c>
      <c r="BR58" s="190">
        <v>0</v>
      </c>
      <c r="BS58" s="190">
        <v>73598684.810000002</v>
      </c>
      <c r="BT58" s="190">
        <v>74026010.75</v>
      </c>
      <c r="BU58" s="190">
        <v>58765770.75</v>
      </c>
      <c r="BV58" s="190">
        <v>59482506.689999998</v>
      </c>
      <c r="BW58" s="190">
        <v>58139409.280000001</v>
      </c>
      <c r="BX58" s="190">
        <v>65587064.039999999</v>
      </c>
      <c r="BY58" s="190">
        <v>66981120.990000002</v>
      </c>
      <c r="BZ58" s="190">
        <v>65983463.460000001</v>
      </c>
      <c r="CA58" s="190">
        <v>63478146.789999999</v>
      </c>
      <c r="CB58" s="190">
        <v>48623979.789999999</v>
      </c>
      <c r="CC58" s="190">
        <v>48623979.789999999</v>
      </c>
      <c r="CD58" s="190">
        <v>0</v>
      </c>
      <c r="CE58" s="190"/>
      <c r="CF58" s="190"/>
      <c r="CG58" s="190"/>
      <c r="CH58" s="190"/>
      <c r="CI58" s="190"/>
      <c r="CJ58" s="190"/>
      <c r="CK58" s="190"/>
      <c r="CL58" s="190"/>
    </row>
    <row r="59" spans="1:90" s="193" customFormat="1">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118000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c r="A60" s="193" t="s">
        <v>42</v>
      </c>
      <c r="B60" s="190">
        <v>1621619.53</v>
      </c>
      <c r="C60" s="190">
        <v>1621619.53</v>
      </c>
      <c r="D60" s="190">
        <v>1621619.53</v>
      </c>
      <c r="E60" s="190">
        <v>1621619.53</v>
      </c>
      <c r="F60" s="190">
        <v>1621619.53</v>
      </c>
      <c r="G60" s="190">
        <v>1621619.53</v>
      </c>
      <c r="H60" s="190">
        <v>1621619.53</v>
      </c>
      <c r="I60" s="190">
        <v>1621619.53</v>
      </c>
      <c r="J60" s="190">
        <v>1621619.53</v>
      </c>
      <c r="K60" s="190">
        <v>1621619.53</v>
      </c>
      <c r="L60" s="190">
        <v>1621619.53</v>
      </c>
      <c r="M60" s="190">
        <v>1621619.53</v>
      </c>
      <c r="N60" s="190">
        <v>1621619.53</v>
      </c>
      <c r="O60" s="190">
        <v>1621619.53</v>
      </c>
      <c r="P60" s="190">
        <v>1621619.53</v>
      </c>
      <c r="Q60" s="190">
        <v>1621619.53</v>
      </c>
      <c r="R60" s="190">
        <v>1621619.53</v>
      </c>
      <c r="S60" s="190">
        <v>1621619.53</v>
      </c>
      <c r="T60" s="190">
        <v>1621619.53</v>
      </c>
      <c r="U60" s="190">
        <v>1621619.53</v>
      </c>
      <c r="V60" s="190">
        <v>1621619.53</v>
      </c>
      <c r="W60" s="190">
        <v>1621619.53</v>
      </c>
      <c r="X60" s="190">
        <v>1621619.53</v>
      </c>
      <c r="Y60" s="190">
        <v>1621619.53</v>
      </c>
      <c r="Z60" s="190">
        <v>1621619.53</v>
      </c>
      <c r="AA60" s="190">
        <v>1621619.53</v>
      </c>
      <c r="AB60" s="190">
        <v>1621619.53</v>
      </c>
      <c r="AC60" s="190">
        <v>1621619.53</v>
      </c>
      <c r="AD60" s="190">
        <v>1621619.53</v>
      </c>
      <c r="AE60" s="190">
        <v>1621619.53</v>
      </c>
      <c r="AF60" s="190">
        <v>1621619.53</v>
      </c>
      <c r="AG60" s="190">
        <v>1621619.53</v>
      </c>
      <c r="AH60" s="190">
        <v>1621619.53</v>
      </c>
      <c r="AI60" s="190">
        <v>1621619.53</v>
      </c>
      <c r="AJ60" s="190">
        <v>1621619.53</v>
      </c>
      <c r="AK60" s="190">
        <v>1621619.53</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c r="A61" s="193" t="s">
        <v>43</v>
      </c>
      <c r="B61" s="190">
        <v>98248295.469999999</v>
      </c>
      <c r="C61" s="190">
        <v>112515295.45999999</v>
      </c>
      <c r="D61" s="190">
        <v>120670925.28</v>
      </c>
      <c r="E61" s="190">
        <v>131727256.62</v>
      </c>
      <c r="F61" s="190">
        <v>118149951.62</v>
      </c>
      <c r="G61" s="190">
        <v>125281603.20999999</v>
      </c>
      <c r="H61" s="190">
        <v>123455998.7</v>
      </c>
      <c r="I61" s="190">
        <v>125948144.17</v>
      </c>
      <c r="J61" s="190">
        <v>96525402.329999998</v>
      </c>
      <c r="K61" s="190">
        <v>96261860.170000002</v>
      </c>
      <c r="L61" s="190">
        <v>102748671.52</v>
      </c>
      <c r="M61" s="190">
        <v>88655857.090000004</v>
      </c>
      <c r="N61" s="190">
        <v>96448663.359999999</v>
      </c>
      <c r="O61" s="190">
        <v>81558733.780000001</v>
      </c>
      <c r="P61" s="190">
        <v>55458375.509999998</v>
      </c>
      <c r="Q61" s="190">
        <v>52451701.799999997</v>
      </c>
      <c r="R61" s="190">
        <v>47321964.009999998</v>
      </c>
      <c r="S61" s="190">
        <v>52857869.810000002</v>
      </c>
      <c r="T61" s="190">
        <v>57004033.350000001</v>
      </c>
      <c r="U61" s="190">
        <v>62472496.579999998</v>
      </c>
      <c r="V61" s="190">
        <v>62706969.280000001</v>
      </c>
      <c r="W61" s="190">
        <v>68217230.219999999</v>
      </c>
      <c r="X61" s="190">
        <v>76264499.430000007</v>
      </c>
      <c r="Y61" s="190">
        <v>74221410.430000007</v>
      </c>
      <c r="Z61" s="190">
        <v>51744500.789999999</v>
      </c>
      <c r="AA61" s="190">
        <v>50263338.350000001</v>
      </c>
      <c r="AB61" s="190">
        <v>51999371.619999997</v>
      </c>
      <c r="AC61" s="190">
        <v>48772420.079999998</v>
      </c>
      <c r="AD61" s="190">
        <v>55485489.719999999</v>
      </c>
      <c r="AE61" s="190">
        <v>54750990.350000001</v>
      </c>
      <c r="AF61" s="190">
        <v>63203725.390000001</v>
      </c>
      <c r="AG61" s="190">
        <v>70535041.769999996</v>
      </c>
      <c r="AH61" s="190">
        <v>63128855.079999998</v>
      </c>
      <c r="AI61" s="190">
        <v>54574209.359999999</v>
      </c>
      <c r="AJ61" s="190">
        <v>91036439.319999993</v>
      </c>
      <c r="AK61" s="190">
        <v>66356766.630000003</v>
      </c>
      <c r="AL61" s="190">
        <v>85968483.560000002</v>
      </c>
      <c r="AM61" s="190">
        <v>74647447.140000001</v>
      </c>
      <c r="AN61" s="190">
        <v>0</v>
      </c>
      <c r="AO61" s="190">
        <v>0</v>
      </c>
      <c r="AP61" s="190">
        <v>11031429.68</v>
      </c>
      <c r="AQ61" s="190">
        <v>11031429.68</v>
      </c>
      <c r="AR61" s="190">
        <v>0</v>
      </c>
      <c r="AS61" s="190">
        <v>0</v>
      </c>
      <c r="AT61" s="190">
        <v>1571037.88</v>
      </c>
      <c r="AU61" s="190">
        <v>1571037.88</v>
      </c>
      <c r="AV61" s="190">
        <v>955962.74</v>
      </c>
      <c r="AW61" s="190">
        <v>820470.57</v>
      </c>
      <c r="AX61" s="190">
        <v>306513.43</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-22018374.600000001</v>
      </c>
      <c r="CA61" s="190">
        <v>0</v>
      </c>
      <c r="CB61" s="190">
        <v>0</v>
      </c>
      <c r="CC61" s="190">
        <v>0</v>
      </c>
      <c r="CD61" s="190">
        <v>0</v>
      </c>
      <c r="CE61" s="190"/>
      <c r="CF61" s="190"/>
      <c r="CG61" s="190"/>
      <c r="CH61" s="190"/>
      <c r="CI61" s="190"/>
      <c r="CJ61" s="190"/>
      <c r="CK61" s="190"/>
      <c r="CL61" s="190"/>
    </row>
    <row r="62" spans="1:90" s="193" customFormat="1">
      <c r="A62" s="193" t="s">
        <v>44</v>
      </c>
      <c r="B62" s="190">
        <v>1040482867.13</v>
      </c>
      <c r="C62" s="190">
        <v>1036875258.38</v>
      </c>
      <c r="D62" s="190">
        <v>682568492.45000005</v>
      </c>
      <c r="E62" s="190">
        <v>679873063.75</v>
      </c>
      <c r="F62" s="190">
        <v>620993168.41999996</v>
      </c>
      <c r="G62" s="190">
        <v>618709496.92999995</v>
      </c>
      <c r="H62" s="190">
        <v>622896896.25999999</v>
      </c>
      <c r="I62" s="190">
        <v>617996843.13</v>
      </c>
      <c r="J62" s="190">
        <v>675871507.95000005</v>
      </c>
      <c r="K62" s="190">
        <v>682999347.13999999</v>
      </c>
      <c r="L62" s="190">
        <v>614806961.21000004</v>
      </c>
      <c r="M62" s="190">
        <v>639980604.64999998</v>
      </c>
      <c r="N62" s="190">
        <v>432266396.35000002</v>
      </c>
      <c r="O62" s="190">
        <v>471621586.19</v>
      </c>
      <c r="P62" s="190">
        <v>484803224.08999997</v>
      </c>
      <c r="Q62" s="190">
        <v>503061914.86000001</v>
      </c>
      <c r="R62" s="190">
        <v>424816869.47000003</v>
      </c>
      <c r="S62" s="190">
        <v>464592876.10000002</v>
      </c>
      <c r="T62" s="190">
        <v>508801393.82999998</v>
      </c>
      <c r="U62" s="190">
        <v>578932509.05999994</v>
      </c>
      <c r="V62" s="190">
        <v>560767802.94000006</v>
      </c>
      <c r="W62" s="190">
        <v>596433478.84000003</v>
      </c>
      <c r="X62" s="190">
        <v>485655212.66000003</v>
      </c>
      <c r="Y62" s="190">
        <v>485655212.66000003</v>
      </c>
      <c r="Z62" s="190">
        <v>170777709.03999999</v>
      </c>
      <c r="AA62" s="190">
        <v>141785901.94999999</v>
      </c>
      <c r="AB62" s="190">
        <v>16785901.949999999</v>
      </c>
      <c r="AC62" s="190">
        <v>16785901.949999999</v>
      </c>
      <c r="AD62" s="190">
        <v>11530479.92</v>
      </c>
      <c r="AE62" s="190">
        <v>11530479.92</v>
      </c>
      <c r="AF62" s="190">
        <v>11405479.92</v>
      </c>
      <c r="AG62" s="190">
        <v>11405479.92</v>
      </c>
      <c r="AH62" s="190">
        <v>5737024.5300000003</v>
      </c>
      <c r="AI62" s="190">
        <v>5737024.5300000003</v>
      </c>
      <c r="AJ62" s="190">
        <v>9795813.5700000003</v>
      </c>
      <c r="AK62" s="190">
        <v>5737024.5300000003</v>
      </c>
      <c r="AL62" s="190">
        <v>4392036.46</v>
      </c>
      <c r="AM62" s="190">
        <v>4392036.46</v>
      </c>
      <c r="AN62" s="190">
        <v>4392036.46</v>
      </c>
      <c r="AO62" s="190">
        <v>4392036.46</v>
      </c>
      <c r="AP62" s="190">
        <v>4576563.1399999997</v>
      </c>
      <c r="AQ62" s="190">
        <v>4576563.1399999997</v>
      </c>
      <c r="AR62" s="190">
        <v>5273199.54</v>
      </c>
      <c r="AS62" s="190">
        <v>5324118.0199999996</v>
      </c>
      <c r="AT62" s="190">
        <v>5856404.9299999997</v>
      </c>
      <c r="AU62" s="190">
        <v>5836543.5300000003</v>
      </c>
      <c r="AV62" s="190">
        <v>5840564.8300000001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1437813.12</v>
      </c>
      <c r="Y63" s="190">
        <v>1731506.96</v>
      </c>
      <c r="Z63" s="190">
        <v>803421.28</v>
      </c>
      <c r="AA63" s="190">
        <v>1054171.6000000001</v>
      </c>
      <c r="AB63" s="190">
        <v>1406781.76</v>
      </c>
      <c r="AC63" s="190">
        <v>1538490.4</v>
      </c>
      <c r="AD63" s="190">
        <v>1418973.68</v>
      </c>
      <c r="AE63" s="190">
        <v>2127254</v>
      </c>
      <c r="AF63" s="190">
        <v>2593201.44</v>
      </c>
      <c r="AG63" s="190">
        <v>2152565.08</v>
      </c>
      <c r="AH63" s="190">
        <v>2154568.16</v>
      </c>
      <c r="AI63" s="190">
        <v>2159192.08</v>
      </c>
      <c r="AJ63" s="190">
        <v>3428369.52</v>
      </c>
      <c r="AK63" s="190">
        <v>3880421.16</v>
      </c>
      <c r="AL63" s="190">
        <v>0</v>
      </c>
      <c r="AM63" s="190">
        <v>0</v>
      </c>
      <c r="AN63" s="190">
        <v>0</v>
      </c>
      <c r="AO63" s="190">
        <v>0</v>
      </c>
      <c r="AP63" s="190">
        <v>0</v>
      </c>
      <c r="AQ63" s="190">
        <v>0</v>
      </c>
      <c r="AR63" s="190">
        <v>0</v>
      </c>
      <c r="AS63" s="190">
        <v>0</v>
      </c>
      <c r="AT63" s="190">
        <v>2666997.58</v>
      </c>
      <c r="AU63" s="190">
        <v>2685258.13</v>
      </c>
      <c r="AV63" s="190">
        <v>2811819.73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v>0</v>
      </c>
      <c r="AX73" s="190">
        <v>0</v>
      </c>
      <c r="AY73" s="190">
        <v>0</v>
      </c>
      <c r="AZ73" s="190">
        <v>0</v>
      </c>
      <c r="BA73" s="190">
        <v>0</v>
      </c>
      <c r="BB73" s="190">
        <v>0</v>
      </c>
      <c r="BC73" s="190">
        <v>0</v>
      </c>
      <c r="BD73" s="190">
        <v>0</v>
      </c>
      <c r="BE73" s="190">
        <v>0</v>
      </c>
      <c r="BF73" s="190">
        <v>0</v>
      </c>
      <c r="BG73" s="190">
        <v>0</v>
      </c>
      <c r="BH73" s="190">
        <v>0</v>
      </c>
      <c r="BI73" s="190">
        <v>0</v>
      </c>
      <c r="BJ73" s="190">
        <v>0</v>
      </c>
      <c r="BK73" s="190">
        <v>0</v>
      </c>
      <c r="BL73" s="190">
        <v>0</v>
      </c>
      <c r="BM73" s="190">
        <v>0</v>
      </c>
      <c r="BN73" s="190">
        <v>0</v>
      </c>
      <c r="BO73" s="190">
        <v>0</v>
      </c>
      <c r="BP73" s="190">
        <v>0</v>
      </c>
      <c r="BQ73" s="190">
        <v>0</v>
      </c>
      <c r="BR73" s="190">
        <v>0</v>
      </c>
      <c r="BS73" s="190">
        <v>0</v>
      </c>
      <c r="BT73" s="190">
        <v>0</v>
      </c>
      <c r="BU73" s="190">
        <v>0</v>
      </c>
      <c r="BV73" s="190">
        <v>0</v>
      </c>
      <c r="BW73" s="190">
        <v>0</v>
      </c>
      <c r="BX73" s="190">
        <v>0</v>
      </c>
      <c r="BY73" s="190">
        <v>0</v>
      </c>
      <c r="BZ73" s="190">
        <v>0</v>
      </c>
      <c r="CA73" s="190">
        <v>40000000</v>
      </c>
      <c r="CB73" s="190">
        <v>107500000</v>
      </c>
      <c r="CC73" s="190">
        <v>177400000</v>
      </c>
      <c r="CD73" s="190">
        <v>0</v>
      </c>
      <c r="CE73" s="190"/>
      <c r="CF73" s="190"/>
      <c r="CG73" s="190"/>
      <c r="CH73" s="190"/>
      <c r="CI73" s="190"/>
      <c r="CJ73" s="190"/>
      <c r="CK73" s="190"/>
      <c r="CL73" s="190"/>
    </row>
    <row r="74" spans="1:90">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c r="A76" s="128" t="s">
        <v>54</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30000000</v>
      </c>
      <c r="CC76" s="190">
        <v>0</v>
      </c>
      <c r="CD76" s="190">
        <v>0</v>
      </c>
      <c r="CE76" s="190"/>
      <c r="CF76" s="190"/>
      <c r="CG76" s="190"/>
      <c r="CH76" s="190"/>
      <c r="CI76" s="190"/>
      <c r="CJ76" s="190"/>
      <c r="CK76" s="190"/>
      <c r="CL76" s="190"/>
    </row>
    <row r="77" spans="1:90">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t="14.45" hidden="1">
      <c r="A78" s="128"/>
      <c r="B78" s="26"/>
      <c r="C78" s="26"/>
      <c r="D78" s="26"/>
      <c r="E78" s="26"/>
      <c r="F78" s="26"/>
      <c r="G78" s="26"/>
      <c r="H78" s="26"/>
      <c r="I78" s="26"/>
      <c r="J78" s="26"/>
      <c r="K78" s="26"/>
      <c r="L78" s="23"/>
    </row>
    <row r="79" spans="1:90" ht="14.45" hidden="1">
      <c r="A79" s="128"/>
      <c r="B79" s="26"/>
      <c r="C79" s="26"/>
      <c r="D79" s="26"/>
      <c r="E79" s="26"/>
      <c r="F79" s="26"/>
      <c r="G79" s="26"/>
      <c r="H79" s="26"/>
      <c r="I79" s="26"/>
      <c r="J79" s="26"/>
      <c r="K79" s="26"/>
      <c r="L79" s="23"/>
    </row>
    <row r="80" spans="1:90" ht="14.45" hidden="1">
      <c r="A80" s="128"/>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0</v>
      </c>
      <c r="BQ82" s="190">
        <v>0</v>
      </c>
      <c r="BR82" s="190">
        <v>0</v>
      </c>
      <c r="BS82" s="190">
        <v>0</v>
      </c>
      <c r="BT82" s="190">
        <v>0</v>
      </c>
      <c r="BU82" s="190">
        <v>23500000</v>
      </c>
      <c r="BV82" s="190">
        <v>0</v>
      </c>
      <c r="BW82" s="190">
        <v>2813030.67</v>
      </c>
      <c r="BX82" s="190">
        <v>0</v>
      </c>
      <c r="BY82" s="190">
        <v>0</v>
      </c>
      <c r="BZ82" s="190">
        <v>0</v>
      </c>
      <c r="CA82" s="190">
        <v>30000000</v>
      </c>
      <c r="CB82" s="190">
        <v>30000000</v>
      </c>
      <c r="CC82" s="190">
        <v>125350000</v>
      </c>
      <c r="CD82" s="190">
        <v>0</v>
      </c>
      <c r="CE82" s="190"/>
      <c r="CF82" s="190"/>
      <c r="CG82" s="190"/>
      <c r="CH82" s="190"/>
      <c r="CI82" s="190"/>
      <c r="CJ82" s="190"/>
      <c r="CK82" s="190"/>
      <c r="CL82" s="190"/>
    </row>
    <row r="83" spans="1:90">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c r="A84" s="128" t="s">
        <v>59</v>
      </c>
      <c r="B84" s="190">
        <v>0</v>
      </c>
      <c r="C84" s="190">
        <v>0</v>
      </c>
      <c r="D84" s="190">
        <v>0</v>
      </c>
      <c r="E84" s="190">
        <v>0</v>
      </c>
      <c r="F84" s="190">
        <v>0</v>
      </c>
      <c r="G84" s="190">
        <v>0</v>
      </c>
      <c r="H84" s="190">
        <v>0</v>
      </c>
      <c r="I84" s="190">
        <v>0</v>
      </c>
      <c r="J84" s="190">
        <v>0</v>
      </c>
      <c r="K84" s="190">
        <v>0</v>
      </c>
      <c r="L84" s="190">
        <v>0</v>
      </c>
      <c r="M84" s="190">
        <v>0</v>
      </c>
      <c r="N84" s="190">
        <v>1000000</v>
      </c>
      <c r="O84" s="190">
        <v>1000000</v>
      </c>
      <c r="P84" s="190">
        <v>1000000</v>
      </c>
      <c r="Q84" s="190">
        <v>1000000</v>
      </c>
      <c r="R84" s="190">
        <v>1000000</v>
      </c>
      <c r="S84" s="190">
        <v>1000000</v>
      </c>
      <c r="T84" s="190">
        <v>1000000</v>
      </c>
      <c r="U84" s="190">
        <v>1000000</v>
      </c>
      <c r="V84" s="190">
        <v>1000000</v>
      </c>
      <c r="W84" s="190">
        <v>1000000</v>
      </c>
      <c r="X84" s="190">
        <v>1000000</v>
      </c>
      <c r="Y84" s="190">
        <v>1000000</v>
      </c>
      <c r="Z84" s="190">
        <v>1000000</v>
      </c>
      <c r="AA84" s="190">
        <v>1000000</v>
      </c>
      <c r="AB84" s="190">
        <v>1000000</v>
      </c>
      <c r="AC84" s="190">
        <v>1000000</v>
      </c>
      <c r="AD84" s="190">
        <v>1000000</v>
      </c>
      <c r="AE84" s="190">
        <v>1000000</v>
      </c>
      <c r="AF84" s="190">
        <v>1000000</v>
      </c>
      <c r="AG84" s="190">
        <v>1000000</v>
      </c>
      <c r="AH84" s="190">
        <v>1000000</v>
      </c>
      <c r="AI84" s="190">
        <v>1000000</v>
      </c>
      <c r="AJ84" s="190">
        <v>1000000</v>
      </c>
      <c r="AK84" s="190">
        <v>1000000</v>
      </c>
      <c r="AL84" s="190">
        <v>0</v>
      </c>
      <c r="AM84" s="190">
        <v>0</v>
      </c>
      <c r="AN84" s="190">
        <v>0</v>
      </c>
      <c r="AO84" s="190">
        <v>0</v>
      </c>
      <c r="AP84" s="190">
        <v>0</v>
      </c>
      <c r="AQ84" s="190">
        <v>0</v>
      </c>
      <c r="AR84" s="190">
        <v>0</v>
      </c>
      <c r="AS84" s="190">
        <v>2500000</v>
      </c>
      <c r="AT84" s="190">
        <v>2500000</v>
      </c>
      <c r="AU84" s="190">
        <v>2500000</v>
      </c>
      <c r="AV84" s="190">
        <v>2500000</v>
      </c>
      <c r="AW84" s="190">
        <v>2500000</v>
      </c>
      <c r="AX84" s="190">
        <v>2500000</v>
      </c>
      <c r="AY84" s="190">
        <v>2500000</v>
      </c>
      <c r="AZ84" s="190">
        <v>2500000</v>
      </c>
      <c r="BA84" s="190">
        <v>2500000</v>
      </c>
      <c r="BB84" s="190">
        <v>2500000</v>
      </c>
      <c r="BC84" s="190">
        <v>2500000</v>
      </c>
      <c r="BD84" s="190">
        <v>2500000</v>
      </c>
      <c r="BE84" s="190">
        <v>2500000</v>
      </c>
      <c r="BF84" s="190">
        <v>2500000</v>
      </c>
      <c r="BG84" s="190">
        <v>2500000</v>
      </c>
      <c r="BH84" s="190">
        <v>2500000</v>
      </c>
      <c r="BI84" s="190">
        <v>0</v>
      </c>
      <c r="BJ84" s="190">
        <v>2500000</v>
      </c>
      <c r="BK84" s="190">
        <v>2500000</v>
      </c>
      <c r="BL84" s="190">
        <v>2500000</v>
      </c>
      <c r="BM84" s="190">
        <v>22500000</v>
      </c>
      <c r="BN84" s="190">
        <v>22500000</v>
      </c>
      <c r="BO84" s="190">
        <v>74500000</v>
      </c>
      <c r="BP84" s="190">
        <v>22500000</v>
      </c>
      <c r="BQ84" s="190">
        <v>22500000</v>
      </c>
      <c r="BR84" s="190">
        <v>0</v>
      </c>
      <c r="BS84" s="190">
        <v>22500000</v>
      </c>
      <c r="BT84" s="190">
        <v>23500000</v>
      </c>
      <c r="BU84" s="190">
        <v>23500000</v>
      </c>
      <c r="BV84" s="190">
        <v>1000000</v>
      </c>
      <c r="BW84" s="190">
        <v>1000000</v>
      </c>
      <c r="BX84" s="190">
        <v>0</v>
      </c>
      <c r="BY84" s="190">
        <v>0</v>
      </c>
      <c r="BZ84" s="190">
        <v>0</v>
      </c>
      <c r="CA84" s="190">
        <v>0</v>
      </c>
      <c r="CB84" s="190">
        <v>0</v>
      </c>
      <c r="CC84" s="190">
        <v>0</v>
      </c>
      <c r="CD84" s="190">
        <v>0</v>
      </c>
      <c r="CE84" s="190"/>
      <c r="CF84" s="190"/>
      <c r="CG84" s="190"/>
      <c r="CH84" s="190"/>
      <c r="CI84" s="190"/>
      <c r="CJ84" s="190"/>
      <c r="CK84" s="190"/>
      <c r="CL84" s="190"/>
    </row>
    <row r="85" spans="1:90">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64516518.030000001</v>
      </c>
      <c r="S85" s="190">
        <v>64195268.039999999</v>
      </c>
      <c r="T85" s="190">
        <v>64654018.049999997</v>
      </c>
      <c r="U85" s="190">
        <v>66612768.060000002</v>
      </c>
      <c r="V85" s="190">
        <v>56924018.060000002</v>
      </c>
      <c r="W85" s="190">
        <v>57235268.060000002</v>
      </c>
      <c r="X85" s="190">
        <v>57546518.060000002</v>
      </c>
      <c r="Y85" s="190">
        <v>56857768.060000002</v>
      </c>
      <c r="Z85" s="190">
        <v>57139018.060000002</v>
      </c>
      <c r="AA85" s="190">
        <v>49620268.060000002</v>
      </c>
      <c r="AB85" s="190">
        <v>47501518.060000002</v>
      </c>
      <c r="AC85" s="190">
        <v>47182768.060000002</v>
      </c>
      <c r="AD85" s="190">
        <v>40877143.07</v>
      </c>
      <c r="AE85" s="190">
        <v>23814643.07</v>
      </c>
      <c r="AF85" s="190">
        <v>19910598.219999999</v>
      </c>
      <c r="AG85" s="190">
        <v>15910598.220000001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2500000</v>
      </c>
      <c r="BJ85" s="190">
        <v>0</v>
      </c>
      <c r="BK85" s="190">
        <v>0</v>
      </c>
      <c r="BL85" s="190">
        <v>0</v>
      </c>
      <c r="BM85" s="190">
        <v>0</v>
      </c>
      <c r="BN85" s="190">
        <v>0</v>
      </c>
      <c r="BO85" s="190">
        <v>0</v>
      </c>
      <c r="BP85" s="190">
        <v>0</v>
      </c>
      <c r="BQ85" s="190">
        <v>0</v>
      </c>
      <c r="BR85" s="190">
        <v>0</v>
      </c>
      <c r="BS85" s="190">
        <v>0</v>
      </c>
      <c r="BT85" s="190">
        <v>0</v>
      </c>
      <c r="BU85" s="190">
        <v>0</v>
      </c>
      <c r="BV85" s="190">
        <v>3321518.19</v>
      </c>
      <c r="BW85" s="190">
        <v>3323374.85</v>
      </c>
      <c r="BX85" s="190">
        <v>0</v>
      </c>
      <c r="BY85" s="190">
        <v>0</v>
      </c>
      <c r="BZ85" s="190">
        <v>0</v>
      </c>
      <c r="CA85" s="190">
        <v>0</v>
      </c>
      <c r="CB85" s="190">
        <v>0</v>
      </c>
      <c r="CC85" s="190">
        <v>0</v>
      </c>
      <c r="CD85" s="190">
        <v>0</v>
      </c>
      <c r="CE85" s="190"/>
      <c r="CF85" s="190"/>
      <c r="CG85" s="190"/>
      <c r="CH85" s="190"/>
      <c r="CI85" s="190"/>
      <c r="CJ85" s="190"/>
      <c r="CK85" s="190"/>
      <c r="CL85" s="190"/>
    </row>
    <row r="86" spans="1:90" ht="14.45" hidden="1">
      <c r="A86" s="128"/>
      <c r="B86" s="26"/>
      <c r="C86" s="26"/>
      <c r="D86" s="26"/>
      <c r="E86" s="26"/>
      <c r="F86" s="26"/>
      <c r="G86" s="26"/>
      <c r="H86" s="26"/>
      <c r="I86" s="26"/>
      <c r="J86" s="26"/>
      <c r="K86" s="26"/>
      <c r="L86" s="23"/>
    </row>
    <row r="87" spans="1:90" ht="14.45" hidden="1">
      <c r="A87" s="128"/>
      <c r="B87" s="26"/>
      <c r="C87" s="26"/>
      <c r="D87" s="26"/>
      <c r="E87" s="26"/>
      <c r="F87" s="26"/>
      <c r="G87" s="26"/>
      <c r="H87" s="26"/>
      <c r="I87" s="26"/>
      <c r="J87" s="26"/>
      <c r="K87" s="26"/>
      <c r="L87" s="23"/>
    </row>
    <row r="88" spans="1:90" ht="14.45" hidden="1">
      <c r="A88" s="128"/>
      <c r="B88" s="26"/>
      <c r="C88" s="26"/>
      <c r="D88" s="26"/>
      <c r="E88" s="26"/>
      <c r="F88" s="26"/>
      <c r="G88" s="26"/>
      <c r="H88" s="26"/>
      <c r="I88" s="26"/>
      <c r="J88" s="26"/>
      <c r="K88" s="26"/>
      <c r="L88" s="23"/>
    </row>
    <row r="89" spans="1:90" s="5" customFormat="1">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90">
        <v>3881608005</v>
      </c>
      <c r="C91" s="190">
        <v>3881608005</v>
      </c>
      <c r="D91" s="190">
        <v>3795966720</v>
      </c>
      <c r="E91" s="190">
        <v>3795966720</v>
      </c>
      <c r="F91" s="190">
        <v>3795966720</v>
      </c>
      <c r="G91" s="190">
        <v>3795966720</v>
      </c>
      <c r="H91" s="190">
        <v>3795966720</v>
      </c>
      <c r="I91" s="190">
        <v>3795966720</v>
      </c>
      <c r="J91" s="190">
        <v>3795966720</v>
      </c>
      <c r="K91" s="190">
        <v>3795966720</v>
      </c>
      <c r="L91" s="190">
        <v>3795966720</v>
      </c>
      <c r="M91" s="190">
        <v>3795966720</v>
      </c>
      <c r="N91" s="190">
        <v>3795966720</v>
      </c>
      <c r="O91" s="190">
        <v>3795966720</v>
      </c>
      <c r="P91" s="190">
        <v>3795966720</v>
      </c>
      <c r="Q91" s="190">
        <v>3795966720</v>
      </c>
      <c r="R91" s="190">
        <v>3795966720</v>
      </c>
      <c r="S91" s="190">
        <v>3795966720</v>
      </c>
      <c r="T91" s="190">
        <v>3795966720</v>
      </c>
      <c r="U91" s="190">
        <v>3795966720</v>
      </c>
      <c r="V91" s="190">
        <v>3795966720</v>
      </c>
      <c r="W91" s="190">
        <v>3795966720</v>
      </c>
      <c r="X91" s="190">
        <v>3795966720</v>
      </c>
      <c r="Y91" s="190">
        <v>3795966720</v>
      </c>
      <c r="Z91" s="190">
        <v>3795966720</v>
      </c>
      <c r="AA91" s="190">
        <v>3795966720</v>
      </c>
      <c r="AB91" s="190">
        <v>3795966720</v>
      </c>
      <c r="AC91" s="190">
        <v>3795966720</v>
      </c>
      <c r="AD91" s="190">
        <v>3795966720</v>
      </c>
      <c r="AE91" s="190">
        <v>3795966720</v>
      </c>
      <c r="AF91" s="190">
        <v>3795966720</v>
      </c>
      <c r="AG91" s="190">
        <v>3795966720</v>
      </c>
      <c r="AH91" s="190">
        <v>3795966720</v>
      </c>
      <c r="AI91" s="190">
        <v>3795966720</v>
      </c>
      <c r="AJ91" s="190">
        <v>3795966720</v>
      </c>
      <c r="AK91" s="190">
        <v>3795966720</v>
      </c>
      <c r="AL91" s="190">
        <v>3795966720</v>
      </c>
      <c r="AM91" s="190">
        <v>3795966720</v>
      </c>
      <c r="AN91" s="190">
        <v>3795966720</v>
      </c>
      <c r="AO91" s="190">
        <v>3795966720</v>
      </c>
      <c r="AP91" s="190">
        <v>3795966720</v>
      </c>
      <c r="AQ91" s="190">
        <v>3795966720</v>
      </c>
      <c r="AR91" s="190">
        <v>3795966720</v>
      </c>
      <c r="AS91" s="190">
        <v>3795966720</v>
      </c>
      <c r="AT91" s="190">
        <v>3795966720</v>
      </c>
      <c r="AU91" s="190">
        <v>3795966720</v>
      </c>
      <c r="AV91" s="190">
        <v>2711404800</v>
      </c>
      <c r="AW91" s="190">
        <v>2711404800</v>
      </c>
      <c r="AX91" s="190">
        <v>2711404800</v>
      </c>
      <c r="AY91" s="190">
        <v>2711404800</v>
      </c>
      <c r="AZ91" s="190">
        <v>2711404800</v>
      </c>
      <c r="BA91" s="190">
        <v>2711404800</v>
      </c>
      <c r="BB91" s="190">
        <v>2711404800</v>
      </c>
      <c r="BC91" s="190">
        <v>2711404800</v>
      </c>
      <c r="BD91" s="190">
        <v>2711404800</v>
      </c>
      <c r="BE91" s="190">
        <v>2711404800</v>
      </c>
      <c r="BF91" s="190">
        <v>2711404800</v>
      </c>
      <c r="BG91" s="190">
        <v>2711404800</v>
      </c>
      <c r="BH91" s="190">
        <v>1355702400</v>
      </c>
      <c r="BI91" s="190">
        <v>1355702400</v>
      </c>
      <c r="BJ91" s="190">
        <v>1355702400</v>
      </c>
      <c r="BK91" s="190">
        <v>1355702400</v>
      </c>
      <c r="BL91" s="190">
        <v>1129752000</v>
      </c>
      <c r="BM91" s="190">
        <v>1129752000</v>
      </c>
      <c r="BN91" s="190">
        <v>1129752000</v>
      </c>
      <c r="BO91" s="190">
        <v>1129752000</v>
      </c>
      <c r="BP91" s="190">
        <v>869040000</v>
      </c>
      <c r="BQ91" s="190">
        <v>869040000</v>
      </c>
      <c r="BR91" s="190">
        <v>869040000</v>
      </c>
      <c r="BS91" s="190">
        <v>511200000</v>
      </c>
      <c r="BT91" s="190">
        <v>511200000</v>
      </c>
      <c r="BU91" s="190">
        <v>480000000</v>
      </c>
      <c r="BV91" s="190">
        <v>480000000</v>
      </c>
      <c r="BW91" s="190">
        <v>480000000</v>
      </c>
      <c r="BX91" s="190">
        <v>320000000</v>
      </c>
      <c r="BY91" s="190">
        <v>320000000</v>
      </c>
      <c r="BZ91" s="190">
        <v>320000000</v>
      </c>
      <c r="CA91" s="190">
        <v>240000000</v>
      </c>
      <c r="CB91" s="190">
        <v>0</v>
      </c>
      <c r="CC91" s="190">
        <v>0</v>
      </c>
      <c r="CD91" s="190">
        <v>0</v>
      </c>
      <c r="CE91" s="190"/>
      <c r="CF91" s="190"/>
      <c r="CG91" s="190"/>
      <c r="CH91" s="190"/>
      <c r="CI91" s="190"/>
      <c r="CJ91" s="190"/>
      <c r="CK91" s="190"/>
      <c r="CL91" s="190"/>
    </row>
    <row r="92" spans="1:90">
      <c r="A92" s="128" t="s">
        <v>63</v>
      </c>
      <c r="B92" s="190">
        <v>2682647086.1500001</v>
      </c>
      <c r="C92" s="190">
        <v>2682647086.1500001</v>
      </c>
      <c r="D92" s="190">
        <v>953255757.16999996</v>
      </c>
      <c r="E92" s="190">
        <v>953255757.16999996</v>
      </c>
      <c r="F92" s="190">
        <v>953255757.16999996</v>
      </c>
      <c r="G92" s="190">
        <v>953255757.16999996</v>
      </c>
      <c r="H92" s="190">
        <v>953255757.16999996</v>
      </c>
      <c r="I92" s="190">
        <v>953255757.16999996</v>
      </c>
      <c r="J92" s="190">
        <v>953255757.16999996</v>
      </c>
      <c r="K92" s="190">
        <v>953255757.16999996</v>
      </c>
      <c r="L92" s="190">
        <v>953255757.16999996</v>
      </c>
      <c r="M92" s="190">
        <v>953203468.32000005</v>
      </c>
      <c r="N92" s="190">
        <v>953203468.32000005</v>
      </c>
      <c r="O92" s="190">
        <v>953203468.32000005</v>
      </c>
      <c r="P92" s="190">
        <v>953203468.32000005</v>
      </c>
      <c r="Q92" s="190">
        <v>953203468.32000005</v>
      </c>
      <c r="R92" s="190">
        <v>953203468.32000005</v>
      </c>
      <c r="S92" s="190">
        <v>953203468.32000005</v>
      </c>
      <c r="T92" s="190">
        <v>953203468.32000005</v>
      </c>
      <c r="U92" s="190">
        <v>953203468.32000005</v>
      </c>
      <c r="V92" s="190">
        <v>953203468.32000005</v>
      </c>
      <c r="W92" s="190">
        <v>953203468.32000005</v>
      </c>
      <c r="X92" s="190">
        <v>953203468.32000005</v>
      </c>
      <c r="Y92" s="190">
        <v>953203468.32000005</v>
      </c>
      <c r="Z92" s="190">
        <v>953203468.32000005</v>
      </c>
      <c r="AA92" s="190">
        <v>953203468.32000005</v>
      </c>
      <c r="AB92" s="190">
        <v>953203468.32000005</v>
      </c>
      <c r="AC92" s="190">
        <v>953203468.32000005</v>
      </c>
      <c r="AD92" s="190">
        <v>953203468.32000005</v>
      </c>
      <c r="AE92" s="190">
        <v>953203468.32000005</v>
      </c>
      <c r="AF92" s="190">
        <v>953203468.32000005</v>
      </c>
      <c r="AG92" s="190">
        <v>953203468.32000005</v>
      </c>
      <c r="AH92" s="190">
        <v>953203468.32000005</v>
      </c>
      <c r="AI92" s="190">
        <v>953203468.32000005</v>
      </c>
      <c r="AJ92" s="190">
        <v>953203468.32000005</v>
      </c>
      <c r="AK92" s="190">
        <v>953203468.32000005</v>
      </c>
      <c r="AL92" s="190">
        <v>953203468.32000005</v>
      </c>
      <c r="AM92" s="190">
        <v>953203468.32000005</v>
      </c>
      <c r="AN92" s="190">
        <v>953203468.32000005</v>
      </c>
      <c r="AO92" s="190">
        <v>953203468.32000005</v>
      </c>
      <c r="AP92" s="190">
        <v>953203468.32000005</v>
      </c>
      <c r="AQ92" s="190">
        <v>953203468.32000005</v>
      </c>
      <c r="AR92" s="190">
        <v>953203468.32000005</v>
      </c>
      <c r="AS92" s="190">
        <v>953203468.32000005</v>
      </c>
      <c r="AT92" s="190">
        <v>968203468.32000005</v>
      </c>
      <c r="AU92" s="190">
        <v>968203468.32000005</v>
      </c>
      <c r="AV92" s="190">
        <v>953203468.32000005</v>
      </c>
      <c r="AW92" s="190">
        <v>953203468.32000005</v>
      </c>
      <c r="AX92" s="190">
        <v>953702337.03999996</v>
      </c>
      <c r="AY92" s="190">
        <v>953203468.32000005</v>
      </c>
      <c r="AZ92" s="190">
        <v>953203468.32000005</v>
      </c>
      <c r="BA92" s="190">
        <v>953203468.32000005</v>
      </c>
      <c r="BB92" s="190">
        <v>953203468.32000005</v>
      </c>
      <c r="BC92" s="190">
        <v>953203468.32000005</v>
      </c>
      <c r="BD92" s="190">
        <v>953203468.32000005</v>
      </c>
      <c r="BE92" s="190">
        <v>953203468.32000005</v>
      </c>
      <c r="BF92" s="190">
        <v>953203468.32000005</v>
      </c>
      <c r="BG92" s="190">
        <v>953203468.32000005</v>
      </c>
      <c r="BH92" s="190">
        <v>1224343948.3199999</v>
      </c>
      <c r="BI92" s="190">
        <v>1224343948.3199999</v>
      </c>
      <c r="BJ92" s="190">
        <v>1224343948.3199999</v>
      </c>
      <c r="BK92" s="190">
        <v>1224343948.3199999</v>
      </c>
      <c r="BL92" s="190">
        <v>1450294348.3199999</v>
      </c>
      <c r="BM92" s="190">
        <v>1450294348.3199999</v>
      </c>
      <c r="BN92" s="190">
        <v>1450279635.1600001</v>
      </c>
      <c r="BO92" s="190">
        <v>1450223254</v>
      </c>
      <c r="BP92" s="190">
        <v>1624031254</v>
      </c>
      <c r="BQ92" s="190">
        <v>1624031254</v>
      </c>
      <c r="BR92" s="190">
        <v>0</v>
      </c>
      <c r="BS92" s="190">
        <v>1777391254</v>
      </c>
      <c r="BT92" s="190">
        <v>1776391254</v>
      </c>
      <c r="BU92" s="190">
        <v>1042014836.88</v>
      </c>
      <c r="BV92" s="190">
        <v>1042014836.88</v>
      </c>
      <c r="BW92" s="190">
        <v>1042014836.88</v>
      </c>
      <c r="BX92" s="190">
        <v>1202014836.8800001</v>
      </c>
      <c r="BY92" s="190">
        <v>1202014836.8800001</v>
      </c>
      <c r="BZ92" s="190">
        <v>1202014836.8800001</v>
      </c>
      <c r="CA92" s="190">
        <v>62700492.729999997</v>
      </c>
      <c r="CB92" s="190">
        <v>0</v>
      </c>
      <c r="CC92" s="190">
        <v>0</v>
      </c>
      <c r="CD92" s="190">
        <v>0</v>
      </c>
      <c r="CE92" s="190"/>
      <c r="CF92" s="190"/>
      <c r="CG92" s="190"/>
      <c r="CH92" s="190"/>
      <c r="CI92" s="190"/>
      <c r="CJ92" s="190"/>
      <c r="CK92" s="190"/>
      <c r="CL92" s="190"/>
    </row>
    <row r="93" spans="1:90">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c r="A96" s="128" t="s">
        <v>67</v>
      </c>
      <c r="B96" s="190">
        <v>10909576690.57</v>
      </c>
      <c r="C96" s="190">
        <v>10909576690.57</v>
      </c>
      <c r="D96" s="190">
        <v>10909576690.57</v>
      </c>
      <c r="E96" s="190">
        <v>10909576690.57</v>
      </c>
      <c r="F96" s="190">
        <v>9352029056.75</v>
      </c>
      <c r="G96" s="190">
        <v>9352029056.75</v>
      </c>
      <c r="H96" s="190">
        <v>9352029056.75</v>
      </c>
      <c r="I96" s="190">
        <v>9352029056.75</v>
      </c>
      <c r="J96" s="190">
        <v>8172440644.0100002</v>
      </c>
      <c r="K96" s="190">
        <v>8172440644.0100002</v>
      </c>
      <c r="L96" s="190">
        <v>8172440644.0100002</v>
      </c>
      <c r="M96" s="190">
        <v>8172440644.0100002</v>
      </c>
      <c r="N96" s="190">
        <v>7070005102.9300003</v>
      </c>
      <c r="O96" s="190">
        <v>7070005102.9300003</v>
      </c>
      <c r="P96" s="190">
        <v>7070005102.9300003</v>
      </c>
      <c r="Q96" s="190">
        <v>7070005102.9300003</v>
      </c>
      <c r="R96" s="190">
        <v>5678791405.4799995</v>
      </c>
      <c r="S96" s="190">
        <v>5678791405.4799995</v>
      </c>
      <c r="T96" s="190">
        <v>5678791405.4799995</v>
      </c>
      <c r="U96" s="190">
        <v>5678791405.4799995</v>
      </c>
      <c r="V96" s="190">
        <v>4361745664.4300003</v>
      </c>
      <c r="W96" s="190">
        <v>4359541398.0200005</v>
      </c>
      <c r="X96" s="190">
        <v>4358041112.96</v>
      </c>
      <c r="Y96" s="190">
        <v>4356977349.0200005</v>
      </c>
      <c r="Z96" s="190">
        <v>4082214414.9499998</v>
      </c>
      <c r="AA96" s="190">
        <v>3826734576.6399999</v>
      </c>
      <c r="AB96" s="190">
        <v>3649723469.3200002</v>
      </c>
      <c r="AC96" s="190">
        <v>3368959934.7800002</v>
      </c>
      <c r="AD96" s="190">
        <v>3186313117.5300002</v>
      </c>
      <c r="AE96" s="190">
        <v>3058448487.4699998</v>
      </c>
      <c r="AF96" s="190">
        <v>2952281810.9699998</v>
      </c>
      <c r="AG96" s="190">
        <v>2759520038.0900002</v>
      </c>
      <c r="AH96" s="190">
        <v>2607545619.9699998</v>
      </c>
      <c r="AI96" s="190">
        <v>2506722817.98</v>
      </c>
      <c r="AJ96" s="190">
        <v>2447380345.21</v>
      </c>
      <c r="AK96" s="190">
        <v>2318892624.6700001</v>
      </c>
      <c r="AL96" s="190">
        <v>2212123551.0100002</v>
      </c>
      <c r="AM96" s="190">
        <v>2136403032.1300001</v>
      </c>
      <c r="AN96" s="190">
        <v>2100990527.9000001</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c r="A98" s="128" t="s">
        <v>69</v>
      </c>
      <c r="B98" s="190">
        <v>42123608105.059998</v>
      </c>
      <c r="C98" s="190">
        <v>39739447209.230003</v>
      </c>
      <c r="D98" s="190">
        <v>42646295139.769997</v>
      </c>
      <c r="E98" s="190">
        <v>37675282021.739998</v>
      </c>
      <c r="F98" s="190">
        <v>36523871400.389999</v>
      </c>
      <c r="G98" s="190">
        <v>34530613711.540001</v>
      </c>
      <c r="H98" s="190">
        <v>36568590646.199997</v>
      </c>
      <c r="I98" s="190">
        <v>32975478205.41</v>
      </c>
      <c r="J98" s="190">
        <v>32471846535.459999</v>
      </c>
      <c r="K98" s="190">
        <v>31257346493.07</v>
      </c>
      <c r="L98" s="190">
        <v>33310418920.939999</v>
      </c>
      <c r="M98" s="190">
        <v>30407306733.790001</v>
      </c>
      <c r="N98" s="190">
        <v>29936642832.48</v>
      </c>
      <c r="O98" s="190">
        <v>28631150864.279999</v>
      </c>
      <c r="P98" s="190">
        <v>29812002585.860001</v>
      </c>
      <c r="Q98" s="190">
        <v>27611203050.689999</v>
      </c>
      <c r="R98" s="190">
        <v>27714789860.799999</v>
      </c>
      <c r="S98" s="190">
        <v>27009314620.470001</v>
      </c>
      <c r="T98" s="190">
        <v>28283818587.369999</v>
      </c>
      <c r="U98" s="190">
        <v>25664678173.200001</v>
      </c>
      <c r="V98" s="190">
        <v>26112755918.48</v>
      </c>
      <c r="W98" s="190">
        <v>24802147680.77</v>
      </c>
      <c r="X98" s="190">
        <v>25676253176.32</v>
      </c>
      <c r="Y98" s="190">
        <v>22050450622.419998</v>
      </c>
      <c r="Z98" s="190">
        <v>20151342436.959999</v>
      </c>
      <c r="AA98" s="190">
        <v>17651207124.470001</v>
      </c>
      <c r="AB98" s="190">
        <v>17735448117.040001</v>
      </c>
      <c r="AC98" s="190">
        <v>15001578576.23</v>
      </c>
      <c r="AD98" s="190">
        <v>13844972803.459999</v>
      </c>
      <c r="AE98" s="190">
        <v>12517213274.74</v>
      </c>
      <c r="AF98" s="190">
        <v>12518523823.18</v>
      </c>
      <c r="AG98" s="190">
        <v>10592343301.51</v>
      </c>
      <c r="AH98" s="190">
        <v>9719977749.6299992</v>
      </c>
      <c r="AI98" s="190">
        <v>8696328565.7000008</v>
      </c>
      <c r="AJ98" s="190">
        <v>8630757884.3799992</v>
      </c>
      <c r="AK98" s="190">
        <v>7206958728.1800003</v>
      </c>
      <c r="AL98" s="190">
        <v>6528272319.1300001</v>
      </c>
      <c r="AM98" s="190">
        <v>5909220286.3299999</v>
      </c>
      <c r="AN98" s="190">
        <v>5790565954.8900003</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c r="A99" s="128" t="s">
        <v>70</v>
      </c>
      <c r="B99" s="190">
        <v>0</v>
      </c>
      <c r="C99" s="190">
        <v>5046990406.5</v>
      </c>
      <c r="D99" s="190">
        <v>0</v>
      </c>
      <c r="E99" s="190">
        <v>0</v>
      </c>
      <c r="F99" s="190">
        <v>0</v>
      </c>
      <c r="G99" s="190">
        <v>201132742.55000001</v>
      </c>
      <c r="H99" s="190">
        <v>0</v>
      </c>
      <c r="I99" s="190">
        <v>0</v>
      </c>
      <c r="J99" s="190">
        <v>70146471.420000002</v>
      </c>
      <c r="K99" s="190">
        <v>3036773376</v>
      </c>
      <c r="L99" s="190">
        <v>0</v>
      </c>
      <c r="M99" s="190">
        <v>0</v>
      </c>
      <c r="N99" s="190">
        <v>0</v>
      </c>
      <c r="O99" s="190">
        <v>0</v>
      </c>
      <c r="P99" s="190">
        <v>0</v>
      </c>
      <c r="Q99" s="190">
        <v>0</v>
      </c>
      <c r="R99" s="190">
        <v>0</v>
      </c>
      <c r="S99" s="190">
        <v>356571.6</v>
      </c>
      <c r="T99" s="190">
        <v>0</v>
      </c>
      <c r="U99" s="190">
        <v>0</v>
      </c>
      <c r="V99" s="190">
        <v>0</v>
      </c>
      <c r="W99" s="190">
        <v>0</v>
      </c>
      <c r="X99" s="190">
        <v>322500000</v>
      </c>
      <c r="Y99" s="190">
        <v>322500000</v>
      </c>
      <c r="Z99" s="190">
        <v>0</v>
      </c>
      <c r="AA99" s="190">
        <v>0</v>
      </c>
      <c r="AB99" s="190">
        <v>0</v>
      </c>
      <c r="AC99" s="190">
        <v>175000000</v>
      </c>
      <c r="AD99" s="190">
        <v>60625990.25</v>
      </c>
      <c r="AE99" s="190">
        <v>443625990.25</v>
      </c>
      <c r="AF99" s="190">
        <v>143625990.25</v>
      </c>
      <c r="AG99" s="190">
        <v>349275990.25</v>
      </c>
      <c r="AH99" s="190">
        <v>83000000</v>
      </c>
      <c r="AI99" s="190">
        <v>83000000</v>
      </c>
      <c r="AJ99" s="190">
        <v>14372430.720000001</v>
      </c>
      <c r="AK99" s="190">
        <v>220625990.25</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c r="A102" s="128" t="s">
        <v>72</v>
      </c>
      <c r="B102" s="190">
        <v>59597439886.779999</v>
      </c>
      <c r="C102" s="190">
        <v>57213278990.949997</v>
      </c>
      <c r="D102" s="190">
        <v>58305094307.510002</v>
      </c>
      <c r="E102" s="190">
        <v>53334081189.480003</v>
      </c>
      <c r="F102" s="190">
        <v>50625122934.309998</v>
      </c>
      <c r="G102" s="190">
        <v>48631865245.459999</v>
      </c>
      <c r="H102" s="190">
        <v>50669842180.120003</v>
      </c>
      <c r="I102" s="190">
        <v>47076729739.330002</v>
      </c>
      <c r="J102" s="190">
        <v>45393509656.639999</v>
      </c>
      <c r="K102" s="190">
        <v>44179009614.25</v>
      </c>
      <c r="L102" s="190">
        <v>46232082042.120003</v>
      </c>
      <c r="M102" s="190">
        <v>43328917566.120003</v>
      </c>
      <c r="N102" s="190">
        <v>41755818123.730003</v>
      </c>
      <c r="O102" s="190">
        <v>40450326155.529999</v>
      </c>
      <c r="P102" s="190">
        <v>41631177877.110001</v>
      </c>
      <c r="Q102" s="190">
        <v>39430378341.940002</v>
      </c>
      <c r="R102" s="190">
        <v>38142751454.599998</v>
      </c>
      <c r="S102" s="190">
        <v>37437276214.269997</v>
      </c>
      <c r="T102" s="190">
        <v>38711780181.169998</v>
      </c>
      <c r="U102" s="190">
        <v>36092639767</v>
      </c>
      <c r="V102" s="190">
        <v>35223671771.230003</v>
      </c>
      <c r="W102" s="190">
        <v>33910859267.110001</v>
      </c>
      <c r="X102" s="190">
        <v>34783464477.599998</v>
      </c>
      <c r="Y102" s="190">
        <v>31156598159.759998</v>
      </c>
      <c r="Z102" s="190">
        <v>28982727040.23</v>
      </c>
      <c r="AA102" s="190">
        <v>26227111889.43</v>
      </c>
      <c r="AB102" s="190">
        <v>26134341774.68</v>
      </c>
      <c r="AC102" s="190">
        <v>23119708699.330002</v>
      </c>
      <c r="AD102" s="190">
        <v>21780456109.310001</v>
      </c>
      <c r="AE102" s="190">
        <v>20324831950.529999</v>
      </c>
      <c r="AF102" s="190">
        <v>20219975822.470001</v>
      </c>
      <c r="AG102" s="190">
        <v>18101033527.919998</v>
      </c>
      <c r="AH102" s="190">
        <v>17076693557.92</v>
      </c>
      <c r="AI102" s="190">
        <v>15952221572</v>
      </c>
      <c r="AJ102" s="190">
        <v>15827308417.91</v>
      </c>
      <c r="AK102" s="190">
        <v>14275021541.17</v>
      </c>
      <c r="AL102" s="190">
        <v>13489566058.459999</v>
      </c>
      <c r="AM102" s="190">
        <v>12794793506.780001</v>
      </c>
      <c r="AN102" s="190">
        <v>12640726671.110001</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c r="A103" s="128" t="s">
        <v>73</v>
      </c>
      <c r="B103" s="190">
        <v>1446814271.1099999</v>
      </c>
      <c r="C103" s="190">
        <v>1333957559.96</v>
      </c>
      <c r="D103" s="190">
        <v>1583200429.74</v>
      </c>
      <c r="E103" s="190">
        <v>1340244459.7</v>
      </c>
      <c r="F103" s="190">
        <v>1228208651.3299999</v>
      </c>
      <c r="G103" s="190">
        <v>1146301133.45</v>
      </c>
      <c r="H103" s="190">
        <v>1275222114.5699999</v>
      </c>
      <c r="I103" s="190">
        <v>1129129470.3699999</v>
      </c>
      <c r="J103" s="190">
        <v>1052199553.7</v>
      </c>
      <c r="K103" s="190">
        <v>1156054850.0699999</v>
      </c>
      <c r="L103" s="190">
        <v>1121409303.0799999</v>
      </c>
      <c r="M103" s="190">
        <v>1016243396.4299999</v>
      </c>
      <c r="N103" s="190">
        <v>955969032.20000005</v>
      </c>
      <c r="O103" s="190">
        <v>885554147.08000004</v>
      </c>
      <c r="P103" s="190">
        <v>995825825.64999998</v>
      </c>
      <c r="Q103" s="190">
        <v>902702104.13999999</v>
      </c>
      <c r="R103" s="190">
        <v>895311832.45000005</v>
      </c>
      <c r="S103" s="190">
        <v>749180152.45000005</v>
      </c>
      <c r="T103" s="190">
        <v>1043052956.52</v>
      </c>
      <c r="U103" s="190">
        <v>926644785.09000003</v>
      </c>
      <c r="V103" s="190">
        <v>712583368.99000001</v>
      </c>
      <c r="W103" s="190">
        <v>581194595.75999999</v>
      </c>
      <c r="X103" s="190">
        <v>491668788.32999998</v>
      </c>
      <c r="Y103" s="190">
        <v>364472393.54000002</v>
      </c>
      <c r="Z103" s="190">
        <v>638715732.45000005</v>
      </c>
      <c r="AA103" s="190">
        <v>522089084.44999999</v>
      </c>
      <c r="AB103" s="190">
        <v>443606107.22000003</v>
      </c>
      <c r="AC103" s="190">
        <v>326980041.12</v>
      </c>
      <c r="AD103" s="190">
        <v>448121904.16000003</v>
      </c>
      <c r="AE103" s="190">
        <v>393276879.88</v>
      </c>
      <c r="AF103" s="190">
        <v>345161311.58999997</v>
      </c>
      <c r="AG103" s="190">
        <v>265068013.55000001</v>
      </c>
      <c r="AH103" s="190">
        <v>442350412.87</v>
      </c>
      <c r="AI103" s="190">
        <v>387189250.22000003</v>
      </c>
      <c r="AJ103" s="190">
        <v>360389434.32999998</v>
      </c>
      <c r="AK103" s="190">
        <v>305440603.42000002</v>
      </c>
      <c r="AL103" s="190">
        <v>169280595.13999999</v>
      </c>
      <c r="AM103" s="190">
        <v>91245677.840000004</v>
      </c>
      <c r="AN103" s="190">
        <v>84490434.319999993</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t="14.45" hidden="1">
      <c r="A104" s="128"/>
      <c r="B104" s="26"/>
      <c r="C104" s="26"/>
      <c r="D104" s="26"/>
      <c r="E104" s="26"/>
      <c r="F104" s="26"/>
      <c r="G104" s="26"/>
      <c r="H104" s="26"/>
      <c r="I104" s="26"/>
      <c r="J104" s="26"/>
      <c r="K104" s="26"/>
      <c r="L104" s="23"/>
    </row>
    <row r="105" spans="1:90" ht="14.45" hidden="1">
      <c r="A105" s="128"/>
      <c r="B105" s="26"/>
      <c r="C105" s="26"/>
      <c r="D105" s="26"/>
      <c r="E105" s="26"/>
      <c r="F105" s="26"/>
      <c r="G105" s="26"/>
      <c r="H105" s="26"/>
      <c r="I105" s="26"/>
      <c r="J105" s="26"/>
      <c r="K105" s="26"/>
      <c r="L105" s="23"/>
    </row>
    <row r="106" spans="1:90" ht="14.45" hidden="1">
      <c r="A106" s="128"/>
      <c r="B106" s="26"/>
      <c r="C106" s="26"/>
      <c r="D106" s="26"/>
      <c r="E106" s="26"/>
      <c r="F106" s="26"/>
      <c r="G106" s="26"/>
      <c r="H106" s="26"/>
      <c r="I106" s="26"/>
      <c r="J106" s="26"/>
      <c r="K106" s="26"/>
      <c r="L106" s="23"/>
    </row>
    <row r="107" spans="1:90" s="5" customFormat="1">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I41" workbookViewId="0">
      <selection activeCell="AG55" sqref="AG55"/>
    </sheetView>
  </sheetViews>
  <sheetFormatPr defaultRowHeight="13.5"/>
  <cols>
    <col min="1" max="1" width="57.25" style="17" bestFit="1" customWidth="1"/>
    <col min="2" max="2" width="22.625" hidden="1" customWidth="1"/>
    <col min="3" max="4" width="21.5" hidden="1" customWidth="1"/>
    <col min="5" max="5" width="22.625" bestFit="1" customWidth="1"/>
    <col min="6" max="8" width="21.5" hidden="1" customWidth="1"/>
    <col min="9" max="9" width="21.5" bestFit="1" customWidth="1"/>
    <col min="10" max="12" width="21.5" hidden="1" customWidth="1"/>
    <col min="13" max="13" width="21.5" bestFit="1" customWidth="1"/>
    <col min="14" max="15" width="21.5" hidden="1" customWidth="1"/>
    <col min="16" max="16" width="22.625" hidden="1" customWidth="1"/>
    <col min="17" max="17" width="21.5" bestFit="1" customWidth="1"/>
    <col min="18" max="20" width="21.5" hidden="1" customWidth="1"/>
    <col min="21" max="21" width="22.625" bestFit="1" customWidth="1"/>
    <col min="22" max="24" width="21.5" hidden="1" customWidth="1"/>
    <col min="25" max="25" width="22.625" bestFit="1" customWidth="1"/>
    <col min="26" max="26" width="22.625" hidden="1" customWidth="1"/>
    <col min="27" max="28" width="21.5" hidden="1" customWidth="1"/>
    <col min="29" max="29" width="21.5" bestFit="1" customWidth="1"/>
    <col min="30" max="32" width="21.5" hidden="1" customWidth="1"/>
    <col min="33" max="33" width="21.5" bestFit="1" customWidth="1"/>
    <col min="34" max="36" width="21.5" hidden="1" customWidth="1"/>
    <col min="37" max="37" width="21.5" bestFit="1" customWidth="1"/>
    <col min="38" max="40" width="21.5" hidden="1" customWidth="1"/>
    <col min="41" max="41" width="21.5" bestFit="1" customWidth="1"/>
    <col min="42" max="44" width="21.5" hidden="1" customWidth="1"/>
    <col min="45" max="45" width="21.5" bestFit="1" customWidth="1"/>
    <col min="46" max="48" width="21.5" hidden="1" customWidth="1"/>
    <col min="49" max="49" width="21.5" bestFit="1" customWidth="1"/>
    <col min="50" max="51" width="21.5" hidden="1" customWidth="1"/>
    <col min="52" max="52" width="19.375" hidden="1" customWidth="1"/>
    <col min="53" max="53" width="21.5" bestFit="1" customWidth="1"/>
    <col min="54" max="54" width="21.5" hidden="1" customWidth="1"/>
    <col min="55" max="55" width="19.375" hidden="1" customWidth="1"/>
    <col min="56" max="56" width="20.25" hidden="1" customWidth="1"/>
    <col min="57" max="57" width="21.5" bestFit="1" customWidth="1"/>
    <col min="58" max="58" width="21.5" hidden="1" customWidth="1"/>
    <col min="59" max="59" width="19.375" hidden="1" customWidth="1"/>
    <col min="60" max="60" width="20.25" hidden="1" customWidth="1"/>
    <col min="61" max="61" width="21.5" bestFit="1" customWidth="1"/>
    <col min="62" max="63" width="19.375" hidden="1" customWidth="1"/>
    <col min="64" max="64" width="20.25" hidden="1" customWidth="1"/>
    <col min="65" max="65" width="19.375" bestFit="1" customWidth="1"/>
    <col min="66" max="67" width="19.375" hidden="1" customWidth="1"/>
    <col min="68" max="68" width="20.25" hidden="1" customWidth="1"/>
    <col min="69" max="69" width="19.375" bestFit="1" customWidth="1"/>
    <col min="70" max="70" width="21.5" hidden="1" customWidth="1"/>
    <col min="71" max="71" width="19.375" hidden="1" customWidth="1"/>
    <col min="72" max="72" width="19" hidden="1" customWidth="1"/>
    <col min="73" max="73" width="21.5" bestFit="1" customWidth="1"/>
    <col min="74" max="74" width="19.375" hidden="1" customWidth="1"/>
    <col min="75" max="75" width="19.375" bestFit="1" customWidth="1"/>
    <col min="76" max="76" width="19" hidden="1" customWidth="1"/>
    <col min="77" max="77" width="19.375" bestFit="1" customWidth="1"/>
    <col min="78" max="78" width="19" hidden="1" customWidth="1"/>
    <col min="79" max="79" width="19.375" bestFit="1" customWidth="1"/>
    <col min="80" max="81" width="19" bestFit="1" customWidth="1"/>
    <col min="82" max="82" width="9.5" hidden="1" customWidth="1"/>
    <col min="83" max="83" width="20.25" bestFit="1" customWidth="1"/>
    <col min="84" max="85" width="19" bestFit="1" customWidth="1"/>
    <col min="86" max="86" width="17.75" bestFit="1" customWidth="1"/>
    <col min="87" max="87" width="19" bestFit="1" customWidth="1"/>
    <col min="88" max="88" width="17.75" bestFit="1" customWidth="1"/>
    <col min="89" max="89" width="9.5" bestFit="1" customWidth="1"/>
  </cols>
  <sheetData>
    <row r="1" spans="1:89"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c r="A2" s="17" t="s">
        <v>84</v>
      </c>
    </row>
    <row r="3" spans="1:89" s="6" customFormat="1">
      <c r="A3" s="18" t="s">
        <v>85</v>
      </c>
    </row>
    <row r="4" spans="1:89">
      <c r="A4" s="17" t="s">
        <v>384</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c r="CE4" s="190"/>
      <c r="CF4" s="190"/>
      <c r="CG4" s="190"/>
      <c r="CH4" s="190"/>
      <c r="CI4" s="190"/>
      <c r="CJ4" s="190"/>
      <c r="CK4" s="190"/>
    </row>
    <row r="5" spans="1:89">
      <c r="A5" s="19" t="s">
        <v>385</v>
      </c>
      <c r="B5" s="190">
        <v>7759838646.7200003</v>
      </c>
      <c r="C5" s="190">
        <v>5818583155.1899996</v>
      </c>
      <c r="D5" s="190">
        <v>3725553183.0700002</v>
      </c>
      <c r="E5" s="190">
        <v>8450087271.3599997</v>
      </c>
      <c r="F5" s="190">
        <v>6350106683.5200005</v>
      </c>
      <c r="G5" s="190">
        <v>4428529135.8999996</v>
      </c>
      <c r="H5" s="190">
        <v>2993353291.3099999</v>
      </c>
      <c r="I5" s="190">
        <v>7314252452.3800001</v>
      </c>
      <c r="J5" s="190">
        <v>5287169637.4300003</v>
      </c>
      <c r="K5" s="190">
        <v>3976153298.8800001</v>
      </c>
      <c r="L5" s="190">
        <v>2661635000.4699998</v>
      </c>
      <c r="M5" s="190">
        <v>6671963269.6700001</v>
      </c>
      <c r="N5" s="190">
        <v>4656198301.6999998</v>
      </c>
      <c r="O5" s="190">
        <v>3376312811.8299999</v>
      </c>
      <c r="P5" s="190">
        <v>2055823734.03</v>
      </c>
      <c r="Q5" s="190">
        <v>5772029404.0299997</v>
      </c>
      <c r="R5" s="190">
        <v>3787920585.1700001</v>
      </c>
      <c r="S5" s="190">
        <v>2857248428.6700001</v>
      </c>
      <c r="T5" s="190">
        <v>1682004658.98</v>
      </c>
      <c r="U5" s="190">
        <v>6610410852.2399998</v>
      </c>
      <c r="V5" s="190">
        <v>5339450953.04</v>
      </c>
      <c r="W5" s="190">
        <v>4376697218.3699999</v>
      </c>
      <c r="X5" s="190">
        <v>2033064547.8699999</v>
      </c>
      <c r="Y5" s="190">
        <v>8015724440.8500004</v>
      </c>
      <c r="Z5" s="190">
        <v>6475620512.3999996</v>
      </c>
      <c r="AA5" s="190">
        <v>5252285371.5299997</v>
      </c>
      <c r="AB5" s="190">
        <v>2519558542.4099998</v>
      </c>
      <c r="AC5" s="190">
        <v>6895411289.1300001</v>
      </c>
      <c r="AD5" s="190">
        <v>5318811654.6899996</v>
      </c>
      <c r="AE5" s="190">
        <v>3589356918.8899999</v>
      </c>
      <c r="AF5" s="190">
        <v>2138107423.97</v>
      </c>
      <c r="AG5" s="190">
        <v>4863189610.8299999</v>
      </c>
      <c r="AH5" s="190">
        <v>3862012275.1300001</v>
      </c>
      <c r="AI5" s="190">
        <v>2470927606.6300001</v>
      </c>
      <c r="AJ5" s="190">
        <v>1354048502.05</v>
      </c>
      <c r="AK5" s="190">
        <v>3860659982.3200002</v>
      </c>
      <c r="AL5" s="190">
        <v>3030912031.6799998</v>
      </c>
      <c r="AM5" s="190">
        <v>2029592156.77</v>
      </c>
      <c r="AN5" s="190">
        <v>1086953253.6500001</v>
      </c>
      <c r="AO5" s="190">
        <v>3618072871.25</v>
      </c>
      <c r="AP5" s="190">
        <v>2994697567.3200002</v>
      </c>
      <c r="AQ5" s="190">
        <v>1909931131.78</v>
      </c>
      <c r="AR5" s="190">
        <v>1210862958.6400001</v>
      </c>
      <c r="AS5" s="190">
        <v>3377979573</v>
      </c>
      <c r="AT5" s="190">
        <v>2691916727.7199998</v>
      </c>
      <c r="AU5" s="190">
        <v>1726068014.1400001</v>
      </c>
      <c r="AV5" s="190">
        <v>1260355739.48</v>
      </c>
      <c r="AW5" s="190">
        <v>3486534076.8200002</v>
      </c>
      <c r="AX5" s="190">
        <v>2763275003.6700001</v>
      </c>
      <c r="AY5" s="190">
        <v>1904934120.6800001</v>
      </c>
      <c r="AZ5" s="190">
        <v>1128853611.54</v>
      </c>
      <c r="BA5" s="190">
        <v>3209547722.3400002</v>
      </c>
      <c r="BB5" s="190">
        <v>2434453784.54</v>
      </c>
      <c r="BC5" s="190">
        <v>1840642005.9300001</v>
      </c>
      <c r="BD5" s="190">
        <v>1190452153.4400001</v>
      </c>
      <c r="BE5" s="190">
        <v>3219308815.7399998</v>
      </c>
      <c r="BF5" s="190">
        <v>2411915899.25</v>
      </c>
      <c r="BG5" s="190">
        <v>1846629284.01</v>
      </c>
      <c r="BH5" s="190">
        <v>1345869096.0899999</v>
      </c>
      <c r="BI5" s="190">
        <v>3485512930.8499999</v>
      </c>
      <c r="BJ5" s="190">
        <v>2527189390.6100001</v>
      </c>
      <c r="BK5" s="190">
        <v>1905502286.49</v>
      </c>
      <c r="BL5" s="190">
        <v>1263173219.8800001</v>
      </c>
      <c r="BM5" s="190">
        <v>3200544107.3400002</v>
      </c>
      <c r="BN5" s="190">
        <v>2439984867.3400002</v>
      </c>
      <c r="BO5" s="190">
        <v>1936175378.28</v>
      </c>
      <c r="BP5" s="190">
        <v>1318965800.5</v>
      </c>
      <c r="BQ5" s="190">
        <v>2643927861.4899998</v>
      </c>
      <c r="BR5" s="190">
        <v>0</v>
      </c>
      <c r="BS5" s="190">
        <v>1570152121.23</v>
      </c>
      <c r="BT5" s="190">
        <v>1238131319.3099999</v>
      </c>
      <c r="BU5" s="190">
        <v>1930789417.8299999</v>
      </c>
      <c r="BV5" s="190">
        <v>1153309650.4000001</v>
      </c>
      <c r="BW5" s="190">
        <v>1576612800.96</v>
      </c>
      <c r="BX5" s="190">
        <v>924155194.89999998</v>
      </c>
      <c r="BY5" s="190">
        <v>1486186561.3499999</v>
      </c>
      <c r="BZ5" s="190">
        <v>596587847.75999999</v>
      </c>
      <c r="CA5" s="190">
        <v>1142349023.22</v>
      </c>
      <c r="CB5" s="190">
        <v>564890120.15999997</v>
      </c>
      <c r="CC5" s="190">
        <v>391634546.25999999</v>
      </c>
      <c r="CD5" s="190">
        <v>0</v>
      </c>
      <c r="CE5" s="190"/>
      <c r="CF5" s="190"/>
      <c r="CG5" s="190"/>
      <c r="CH5" s="190"/>
      <c r="CI5" s="190"/>
      <c r="CJ5" s="190"/>
      <c r="CK5" s="190"/>
    </row>
    <row r="6" spans="1:89" s="3" customFormat="1">
      <c r="A6" s="20" t="s">
        <v>386</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90">
        <v>4399320601.3400002</v>
      </c>
      <c r="C8" s="190">
        <v>3026570088.8899999</v>
      </c>
      <c r="D8" s="190">
        <v>1954791761.8199999</v>
      </c>
      <c r="E8" s="190">
        <v>3494696079.6799998</v>
      </c>
      <c r="F8" s="190">
        <v>2330495982.27</v>
      </c>
      <c r="G8" s="190">
        <v>1428602683.29</v>
      </c>
      <c r="H8" s="190">
        <v>761977874.67999995</v>
      </c>
      <c r="I8" s="190">
        <v>1941174540.51</v>
      </c>
      <c r="J8" s="190">
        <v>1369574668.29</v>
      </c>
      <c r="K8" s="190">
        <v>1036442502.02</v>
      </c>
      <c r="L8" s="190">
        <v>681549806.35000002</v>
      </c>
      <c r="M8" s="190">
        <v>1784675660.3199999</v>
      </c>
      <c r="N8" s="190">
        <v>1185882023.5999999</v>
      </c>
      <c r="O8" s="190">
        <v>885174940.63999999</v>
      </c>
      <c r="P8" s="190">
        <v>496842872.54000002</v>
      </c>
      <c r="Q8" s="190">
        <v>1517236398.1900001</v>
      </c>
      <c r="R8" s="190">
        <v>1056567930.21</v>
      </c>
      <c r="S8" s="190">
        <v>834773708.13</v>
      </c>
      <c r="T8" s="190">
        <v>448817685.83999997</v>
      </c>
      <c r="U8" s="190">
        <v>1849030035.48</v>
      </c>
      <c r="V8" s="190">
        <v>1359146268.04</v>
      </c>
      <c r="W8" s="190">
        <v>1097569220.4100001</v>
      </c>
      <c r="X8" s="190">
        <v>587146311.77999997</v>
      </c>
      <c r="Y8" s="190">
        <v>2005704155.21</v>
      </c>
      <c r="Z8" s="190">
        <v>1558027610.6700001</v>
      </c>
      <c r="AA8" s="190">
        <v>1125809503.8199999</v>
      </c>
      <c r="AB8" s="190">
        <v>649332785.17999995</v>
      </c>
      <c r="AC8" s="190">
        <v>1601644134.96</v>
      </c>
      <c r="AD8" s="190">
        <v>1220745003.9000001</v>
      </c>
      <c r="AE8" s="190">
        <v>818818580.22000003</v>
      </c>
      <c r="AF8" s="190">
        <v>467757266.18000001</v>
      </c>
      <c r="AG8" s="190">
        <v>1392170702.8499999</v>
      </c>
      <c r="AH8" s="190">
        <v>949959547.03999996</v>
      </c>
      <c r="AI8" s="190">
        <v>639437722.14999998</v>
      </c>
      <c r="AJ8" s="190">
        <v>362049254.75</v>
      </c>
      <c r="AK8" s="190">
        <v>798585260.89999998</v>
      </c>
      <c r="AL8" s="190">
        <v>534455603.97000003</v>
      </c>
      <c r="AM8" s="190">
        <v>353016371.48000002</v>
      </c>
      <c r="AN8" s="190">
        <v>229195199.34999999</v>
      </c>
      <c r="AO8" s="190">
        <v>565747370.87</v>
      </c>
      <c r="AP8" s="190">
        <v>459472285.37</v>
      </c>
      <c r="AQ8" s="190">
        <v>314631402.13999999</v>
      </c>
      <c r="AR8" s="190">
        <v>193215185.18000001</v>
      </c>
      <c r="AS8" s="190">
        <v>582633454.80999994</v>
      </c>
      <c r="AT8" s="190">
        <v>449601518.04000002</v>
      </c>
      <c r="AU8" s="190">
        <v>315913759.26999998</v>
      </c>
      <c r="AV8" s="190">
        <v>203169122.56999999</v>
      </c>
      <c r="AW8" s="190">
        <v>686318177.30999994</v>
      </c>
      <c r="AX8" s="190">
        <v>556090845.54999995</v>
      </c>
      <c r="AY8" s="190">
        <v>413944767.72000003</v>
      </c>
      <c r="AZ8" s="190">
        <v>278713692.88999999</v>
      </c>
      <c r="BA8" s="190">
        <v>795539034.54999995</v>
      </c>
      <c r="BB8" s="190">
        <v>611160237.39999998</v>
      </c>
      <c r="BC8" s="190">
        <v>349006847.58999997</v>
      </c>
      <c r="BD8" s="190">
        <v>217156441.12</v>
      </c>
      <c r="BE8" s="190">
        <v>612558108.15999997</v>
      </c>
      <c r="BF8" s="190">
        <v>430574801.92000002</v>
      </c>
      <c r="BG8" s="190">
        <v>300816347.13999999</v>
      </c>
      <c r="BH8" s="190">
        <v>197581411.83000001</v>
      </c>
      <c r="BI8" s="190">
        <v>676350429.50999999</v>
      </c>
      <c r="BJ8" s="190">
        <v>542818070.96000004</v>
      </c>
      <c r="BK8" s="190">
        <v>390629189.02999997</v>
      </c>
      <c r="BL8" s="190">
        <v>235175805.53</v>
      </c>
      <c r="BM8" s="190">
        <v>771795760.16999996</v>
      </c>
      <c r="BN8" s="190">
        <v>632756339.84000003</v>
      </c>
      <c r="BO8" s="190">
        <v>497304015.00999999</v>
      </c>
      <c r="BP8" s="190">
        <v>301207000.88</v>
      </c>
      <c r="BQ8" s="190">
        <v>456967130.48000002</v>
      </c>
      <c r="BR8" s="190">
        <v>0</v>
      </c>
      <c r="BS8" s="190">
        <v>224259442.81</v>
      </c>
      <c r="BT8" s="190">
        <v>153490045</v>
      </c>
      <c r="BU8" s="190">
        <v>214538084.22999999</v>
      </c>
      <c r="BV8" s="190">
        <v>163719979.69999999</v>
      </c>
      <c r="BW8" s="190">
        <v>234582285.06999999</v>
      </c>
      <c r="BX8" s="190">
        <v>132301100.94</v>
      </c>
      <c r="BY8" s="190">
        <v>197975432.55000001</v>
      </c>
      <c r="BZ8" s="190">
        <v>126982521.55</v>
      </c>
      <c r="CA8" s="190">
        <v>270374752.13999999</v>
      </c>
      <c r="CB8" s="190">
        <v>158639410.75999999</v>
      </c>
      <c r="CC8" s="190">
        <v>123488650.38</v>
      </c>
      <c r="CD8" s="190">
        <v>0</v>
      </c>
      <c r="CE8" s="190"/>
      <c r="CF8" s="190"/>
      <c r="CG8" s="190"/>
      <c r="CH8" s="190"/>
      <c r="CI8" s="190"/>
      <c r="CJ8" s="190"/>
      <c r="CK8" s="190"/>
    </row>
    <row r="9" spans="1:89">
      <c r="A9" s="17" t="s">
        <v>389</v>
      </c>
      <c r="B9" s="190">
        <v>3077131771.98</v>
      </c>
      <c r="C9" s="190">
        <v>2155689822.0700002</v>
      </c>
      <c r="D9" s="190">
        <v>1002891971.85</v>
      </c>
      <c r="E9" s="190">
        <v>3625397914.0599999</v>
      </c>
      <c r="F9" s="190">
        <v>2696626088.8800001</v>
      </c>
      <c r="G9" s="190">
        <v>2174133716.02</v>
      </c>
      <c r="H9" s="190">
        <v>1096463607.3</v>
      </c>
      <c r="I9" s="190">
        <v>4694545075.8500004</v>
      </c>
      <c r="J9" s="190">
        <v>3042710866.3499999</v>
      </c>
      <c r="K9" s="190">
        <v>2195621788.48</v>
      </c>
      <c r="L9" s="190">
        <v>1125781380.21</v>
      </c>
      <c r="M9" s="190">
        <v>3568061356.21</v>
      </c>
      <c r="N9" s="190">
        <v>2197272200.48</v>
      </c>
      <c r="O9" s="190">
        <v>1850332525.5599999</v>
      </c>
      <c r="P9" s="190">
        <v>816948847.00999999</v>
      </c>
      <c r="Q9" s="190">
        <v>4308897447.5699997</v>
      </c>
      <c r="R9" s="190">
        <v>2894737834.0100002</v>
      </c>
      <c r="S9" s="190">
        <v>1791032877.01</v>
      </c>
      <c r="T9" s="190">
        <v>638101750.49000001</v>
      </c>
      <c r="U9" s="190">
        <v>3382176991.3499999</v>
      </c>
      <c r="V9" s="190">
        <v>1552031028.3399999</v>
      </c>
      <c r="W9" s="190">
        <v>1195041137.1700001</v>
      </c>
      <c r="X9" s="190">
        <v>504185088.00999999</v>
      </c>
      <c r="Y9" s="190">
        <v>2258966257.29</v>
      </c>
      <c r="Z9" s="190">
        <v>1604891282.3499999</v>
      </c>
      <c r="AA9" s="190">
        <v>1215125573.74</v>
      </c>
      <c r="AB9" s="190">
        <v>482961749.50999999</v>
      </c>
      <c r="AC9" s="190">
        <v>2069991386.1500001</v>
      </c>
      <c r="AD9" s="190">
        <v>1480296163.3299999</v>
      </c>
      <c r="AE9" s="190">
        <v>954816987.75</v>
      </c>
      <c r="AF9" s="190">
        <v>386635240.64999998</v>
      </c>
      <c r="AG9" s="190">
        <v>1803233837.6800001</v>
      </c>
      <c r="AH9" s="190">
        <v>1036561699.9400001</v>
      </c>
      <c r="AI9" s="190">
        <v>773415888.91999996</v>
      </c>
      <c r="AJ9" s="190">
        <v>351594259.31</v>
      </c>
      <c r="AK9" s="190">
        <v>1164153836.1700001</v>
      </c>
      <c r="AL9" s="190">
        <v>772950147.42999995</v>
      </c>
      <c r="AM9" s="190">
        <v>484683782.69999999</v>
      </c>
      <c r="AN9" s="190">
        <v>201341294</v>
      </c>
      <c r="AO9" s="190">
        <v>890832654.12</v>
      </c>
      <c r="AP9" s="190">
        <v>642056969.50999999</v>
      </c>
      <c r="AQ9" s="190">
        <v>412268629.73000002</v>
      </c>
      <c r="AR9" s="190">
        <v>191259723.78</v>
      </c>
      <c r="AS9" s="190">
        <v>782758181.11000001</v>
      </c>
      <c r="AT9" s="190">
        <v>572401037.52999997</v>
      </c>
      <c r="AU9" s="190">
        <v>364868396.85000002</v>
      </c>
      <c r="AV9" s="190">
        <v>283165137.94</v>
      </c>
      <c r="AW9" s="190">
        <v>1005292875.11</v>
      </c>
      <c r="AX9" s="190">
        <v>770050949.13</v>
      </c>
      <c r="AY9" s="190">
        <v>616714289.07000005</v>
      </c>
      <c r="AZ9" s="190">
        <v>365975456.14999998</v>
      </c>
      <c r="BA9" s="190">
        <v>864010470.38</v>
      </c>
      <c r="BB9" s="190">
        <v>525083962.75</v>
      </c>
      <c r="BC9" s="190">
        <v>473957767.24000001</v>
      </c>
      <c r="BD9" s="190">
        <v>265137290.88999999</v>
      </c>
      <c r="BE9" s="190">
        <v>805873049.33000004</v>
      </c>
      <c r="BF9" s="190">
        <v>410271794.06999999</v>
      </c>
      <c r="BG9" s="190">
        <v>288900281.58999997</v>
      </c>
      <c r="BH9" s="190">
        <v>207267783.87</v>
      </c>
      <c r="BI9" s="190">
        <v>693133050.20000005</v>
      </c>
      <c r="BJ9" s="190">
        <v>400176892.02999997</v>
      </c>
      <c r="BK9" s="190">
        <v>284300322.06</v>
      </c>
      <c r="BL9" s="190">
        <v>177334630.08000001</v>
      </c>
      <c r="BM9" s="190">
        <v>490557853.07999998</v>
      </c>
      <c r="BN9" s="190">
        <v>414199424</v>
      </c>
      <c r="BO9" s="190">
        <v>321007216.29000002</v>
      </c>
      <c r="BP9" s="190">
        <v>170323063.34999999</v>
      </c>
      <c r="BQ9" s="190">
        <v>345465316.55000001</v>
      </c>
      <c r="BR9" s="190">
        <v>0</v>
      </c>
      <c r="BS9" s="190">
        <v>214005459.25</v>
      </c>
      <c r="BT9" s="190">
        <v>152235661.08000001</v>
      </c>
      <c r="BU9" s="190">
        <v>587572449.04999995</v>
      </c>
      <c r="BV9" s="190">
        <v>461791453.66000003</v>
      </c>
      <c r="BW9" s="190">
        <v>449730853.39999998</v>
      </c>
      <c r="BX9" s="190">
        <v>311560399.13</v>
      </c>
      <c r="BY9" s="190">
        <v>342697922.81</v>
      </c>
      <c r="BZ9" s="190">
        <v>152190024.56</v>
      </c>
      <c r="CA9" s="190">
        <v>205458922.97999999</v>
      </c>
      <c r="CB9" s="190">
        <v>143092621.77000001</v>
      </c>
      <c r="CC9" s="190">
        <v>33040032.620000001</v>
      </c>
      <c r="CD9" s="190">
        <v>0</v>
      </c>
      <c r="CE9" s="190"/>
      <c r="CF9" s="190"/>
      <c r="CG9" s="190"/>
      <c r="CH9" s="190"/>
      <c r="CI9" s="190"/>
      <c r="CJ9" s="190"/>
      <c r="CK9" s="190"/>
    </row>
    <row r="10" spans="1:89">
      <c r="A10" s="17" t="s">
        <v>390</v>
      </c>
      <c r="B10" s="190">
        <v>1673818880.4100001</v>
      </c>
      <c r="C10" s="190">
        <v>1181611988.78</v>
      </c>
      <c r="D10" s="190">
        <v>594986302.97000003</v>
      </c>
      <c r="E10" s="190">
        <v>2269024701.04</v>
      </c>
      <c r="F10" s="190">
        <v>1612942170.3900001</v>
      </c>
      <c r="G10" s="190">
        <v>1076103861.25</v>
      </c>
      <c r="H10" s="190">
        <v>583795810.88</v>
      </c>
      <c r="I10" s="190">
        <v>2143703443.8199999</v>
      </c>
      <c r="J10" s="190">
        <v>1614574317.9200001</v>
      </c>
      <c r="K10" s="190">
        <v>1107396572.5799999</v>
      </c>
      <c r="L10" s="190">
        <v>572834323.13</v>
      </c>
      <c r="M10" s="190">
        <v>2128805680.22</v>
      </c>
      <c r="N10" s="190">
        <v>1443131572.1199999</v>
      </c>
      <c r="O10" s="190">
        <v>1006746030.52</v>
      </c>
      <c r="P10" s="190">
        <v>538900979.45000005</v>
      </c>
      <c r="Q10" s="190">
        <v>2047028546.72</v>
      </c>
      <c r="R10" s="190">
        <v>1377206394.1400001</v>
      </c>
      <c r="S10" s="190">
        <v>977690587.13999999</v>
      </c>
      <c r="T10" s="190">
        <v>533715812.48000002</v>
      </c>
      <c r="U10" s="190">
        <v>2263637925.0300002</v>
      </c>
      <c r="V10" s="190">
        <v>1521231364.8</v>
      </c>
      <c r="W10" s="190">
        <v>1085694375.8</v>
      </c>
      <c r="X10" s="190">
        <v>577974320.34000003</v>
      </c>
      <c r="Y10" s="190">
        <v>2009184257.8499999</v>
      </c>
      <c r="Z10" s="190">
        <v>1408989421.49</v>
      </c>
      <c r="AA10" s="190">
        <v>922708225.65999997</v>
      </c>
      <c r="AB10" s="190">
        <v>532291967.25999999</v>
      </c>
      <c r="AC10" s="190">
        <v>1750685037.9300001</v>
      </c>
      <c r="AD10" s="190">
        <v>1257263895.1099999</v>
      </c>
      <c r="AE10" s="190">
        <v>818535719.35000002</v>
      </c>
      <c r="AF10" s="190">
        <v>431996771.19999999</v>
      </c>
      <c r="AG10" s="190">
        <v>1561852181.1700001</v>
      </c>
      <c r="AH10" s="190">
        <v>1057076554.55</v>
      </c>
      <c r="AI10" s="190">
        <v>670150753.64999998</v>
      </c>
      <c r="AJ10" s="190">
        <v>356750164.04000002</v>
      </c>
      <c r="AK10" s="190">
        <v>838973053.20000005</v>
      </c>
      <c r="AL10" s="190">
        <v>604128660.64999998</v>
      </c>
      <c r="AM10" s="190">
        <v>368919789.76999998</v>
      </c>
      <c r="AN10" s="190">
        <v>173037218.22999999</v>
      </c>
      <c r="AO10" s="190">
        <v>588986100.29999995</v>
      </c>
      <c r="AP10" s="190">
        <v>438226187.12</v>
      </c>
      <c r="AQ10" s="190">
        <v>294992672.13999999</v>
      </c>
      <c r="AR10" s="190">
        <v>155627050.02000001</v>
      </c>
      <c r="AS10" s="190">
        <v>497940571.16000003</v>
      </c>
      <c r="AT10" s="190">
        <v>399714055.94</v>
      </c>
      <c r="AU10" s="190">
        <v>278496902.70999998</v>
      </c>
      <c r="AV10" s="190">
        <v>143955668</v>
      </c>
      <c r="AW10" s="190">
        <v>471915102.69999999</v>
      </c>
      <c r="AX10" s="190">
        <v>342923580.26999998</v>
      </c>
      <c r="AY10" s="190">
        <v>240044224.87</v>
      </c>
      <c r="AZ10" s="190">
        <v>131751437.98</v>
      </c>
      <c r="BA10" s="190">
        <v>380204276.68000001</v>
      </c>
      <c r="BB10" s="190">
        <v>249813020.28999999</v>
      </c>
      <c r="BC10" s="190">
        <v>221542936.25999999</v>
      </c>
      <c r="BD10" s="190">
        <v>147819190.53</v>
      </c>
      <c r="BE10" s="190">
        <v>407299604.80000001</v>
      </c>
      <c r="BF10" s="190">
        <v>300916626.75</v>
      </c>
      <c r="BG10" s="190">
        <v>216306143.75999999</v>
      </c>
      <c r="BH10" s="190">
        <v>126463988.64</v>
      </c>
      <c r="BI10" s="190">
        <v>415151762.45999998</v>
      </c>
      <c r="BJ10" s="190">
        <v>332929994.25999999</v>
      </c>
      <c r="BK10" s="190">
        <v>220046772.38</v>
      </c>
      <c r="BL10" s="190">
        <v>107707797.45999999</v>
      </c>
      <c r="BM10" s="190">
        <v>401004011.82999998</v>
      </c>
      <c r="BN10" s="190">
        <v>315642991.91000003</v>
      </c>
      <c r="BO10" s="190">
        <v>221909407.99000001</v>
      </c>
      <c r="BP10" s="190">
        <v>106695265.43000001</v>
      </c>
      <c r="BQ10" s="190">
        <v>400197212.51999998</v>
      </c>
      <c r="BR10" s="190">
        <v>0</v>
      </c>
      <c r="BS10" s="190">
        <v>176020993.19999999</v>
      </c>
      <c r="BT10" s="190">
        <v>46574723.729999997</v>
      </c>
      <c r="BU10" s="190">
        <v>232381015.22999999</v>
      </c>
      <c r="BV10" s="190">
        <v>172626087.66</v>
      </c>
      <c r="BW10" s="190">
        <v>278627189.76999998</v>
      </c>
      <c r="BX10" s="190">
        <v>158734444.53</v>
      </c>
      <c r="BY10" s="190">
        <v>156961577.28</v>
      </c>
      <c r="BZ10" s="190">
        <v>40826189.950000003</v>
      </c>
      <c r="CA10" s="190">
        <v>65192867.909999996</v>
      </c>
      <c r="CB10" s="190">
        <v>39177380.969999999</v>
      </c>
      <c r="CC10" s="190">
        <v>30667940.870000001</v>
      </c>
      <c r="CD10" s="190">
        <v>0</v>
      </c>
      <c r="CE10" s="190"/>
      <c r="CF10" s="190"/>
      <c r="CG10" s="190"/>
      <c r="CH10" s="190"/>
      <c r="CI10" s="190"/>
      <c r="CJ10" s="190"/>
      <c r="CK10" s="190"/>
    </row>
    <row r="11" spans="1:89">
      <c r="A11" s="17" t="s">
        <v>391</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c r="A12" s="21" t="s">
        <v>392</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90">
        <v>74925289.900000006</v>
      </c>
      <c r="C13" s="190">
        <v>51777968.100000001</v>
      </c>
      <c r="D13" s="190">
        <v>14935320.23</v>
      </c>
      <c r="E13" s="190">
        <v>45130040.420000002</v>
      </c>
      <c r="F13" s="190">
        <v>66835309.93</v>
      </c>
      <c r="G13" s="190">
        <v>48125000.399999999</v>
      </c>
      <c r="H13" s="190">
        <v>19087948.350000001</v>
      </c>
      <c r="I13" s="190">
        <v>118914963.09</v>
      </c>
      <c r="J13" s="190">
        <v>88263186.109999999</v>
      </c>
      <c r="K13" s="190">
        <v>43962304.340000004</v>
      </c>
      <c r="L13" s="190">
        <v>32517529.260000002</v>
      </c>
      <c r="M13" s="190">
        <v>66157319.229999997</v>
      </c>
      <c r="N13" s="190">
        <v>45697498.869999997</v>
      </c>
      <c r="O13" s="190">
        <v>29909283.52</v>
      </c>
      <c r="P13" s="190">
        <v>16235602.84</v>
      </c>
      <c r="Q13" s="190">
        <v>59944583.859999999</v>
      </c>
      <c r="R13" s="190">
        <v>40517664.25</v>
      </c>
      <c r="S13" s="190">
        <v>27438357.48</v>
      </c>
      <c r="T13" s="190">
        <v>15209143.73</v>
      </c>
      <c r="U13" s="190">
        <v>65895607.939999998</v>
      </c>
      <c r="V13" s="190">
        <v>41110317.899999999</v>
      </c>
      <c r="W13" s="190">
        <v>26300977.050000001</v>
      </c>
      <c r="X13" s="190">
        <v>16077929.140000001</v>
      </c>
      <c r="Y13" s="190">
        <v>64928850.340000004</v>
      </c>
      <c r="Z13" s="190">
        <v>39528314.969999999</v>
      </c>
      <c r="AA13" s="190">
        <v>27168368.620000001</v>
      </c>
      <c r="AB13" s="190">
        <v>12849248.380000001</v>
      </c>
      <c r="AC13" s="190">
        <v>57448935.5</v>
      </c>
      <c r="AD13" s="190">
        <v>40815541.130000003</v>
      </c>
      <c r="AE13" s="190">
        <v>20326076.609999999</v>
      </c>
      <c r="AF13" s="190">
        <v>16632128.41</v>
      </c>
      <c r="AG13" s="190">
        <v>50741916.619999997</v>
      </c>
      <c r="AH13" s="190">
        <v>29781367.59</v>
      </c>
      <c r="AI13" s="190">
        <v>27472504.73</v>
      </c>
      <c r="AJ13" s="190">
        <v>13848487.300000001</v>
      </c>
      <c r="AK13" s="190">
        <v>20724800.289999999</v>
      </c>
      <c r="AL13" s="190">
        <v>16213906.050000001</v>
      </c>
      <c r="AM13" s="190">
        <v>16213906.050000001</v>
      </c>
      <c r="AN13" s="190">
        <v>1152099.1399999999</v>
      </c>
      <c r="AO13" s="190">
        <v>1447926.21</v>
      </c>
      <c r="AP13" s="190">
        <v>1223657.6000000001</v>
      </c>
      <c r="AQ13" s="190">
        <v>619534</v>
      </c>
      <c r="AR13" s="190">
        <v>211131</v>
      </c>
      <c r="AS13" s="190">
        <v>1887645.74</v>
      </c>
      <c r="AT13" s="190">
        <v>1694112.77</v>
      </c>
      <c r="AU13" s="190">
        <v>10548638.199999999</v>
      </c>
      <c r="AV13" s="190">
        <v>1135676.02</v>
      </c>
      <c r="AW13" s="190">
        <v>908060.24</v>
      </c>
      <c r="AX13" s="190">
        <v>660482.18000000005</v>
      </c>
      <c r="AY13" s="190">
        <v>657775.68999999994</v>
      </c>
      <c r="AZ13" s="190">
        <v>246324.35</v>
      </c>
      <c r="BA13" s="190">
        <v>1840586.09</v>
      </c>
      <c r="BB13" s="190">
        <v>1252289.04</v>
      </c>
      <c r="BC13" s="190">
        <v>1028211.8</v>
      </c>
      <c r="BD13" s="190">
        <v>308309.86</v>
      </c>
      <c r="BE13" s="190">
        <v>915684.86</v>
      </c>
      <c r="BF13" s="190">
        <v>586003.18000000005</v>
      </c>
      <c r="BG13" s="190">
        <v>446820.18</v>
      </c>
      <c r="BH13" s="190">
        <v>205955.1</v>
      </c>
      <c r="BI13" s="190">
        <v>2029578.75</v>
      </c>
      <c r="BJ13" s="190">
        <v>1674846.32</v>
      </c>
      <c r="BK13" s="190">
        <v>1524706.6</v>
      </c>
      <c r="BL13" s="190">
        <v>1338486.51</v>
      </c>
      <c r="BM13" s="190">
        <v>1072112.83</v>
      </c>
      <c r="BN13" s="190">
        <v>871631.53</v>
      </c>
      <c r="BO13" s="190">
        <v>607230.13</v>
      </c>
      <c r="BP13" s="190">
        <v>428925.72</v>
      </c>
      <c r="BQ13" s="190">
        <v>948009.23</v>
      </c>
      <c r="BR13" s="190">
        <v>0</v>
      </c>
      <c r="BS13" s="190">
        <v>617213.41</v>
      </c>
      <c r="BT13" s="190">
        <v>402953.81</v>
      </c>
      <c r="BU13" s="190">
        <v>270594.24</v>
      </c>
      <c r="BV13" s="190">
        <v>137255.32</v>
      </c>
      <c r="BW13" s="190">
        <v>207553.5</v>
      </c>
      <c r="BX13" s="190">
        <v>1780</v>
      </c>
      <c r="BY13" s="190">
        <v>100322.9</v>
      </c>
      <c r="BZ13" s="190">
        <v>45346.39</v>
      </c>
      <c r="CA13" s="190">
        <v>0</v>
      </c>
      <c r="CB13" s="190">
        <v>0</v>
      </c>
      <c r="CC13" s="190">
        <v>0</v>
      </c>
      <c r="CD13" s="190">
        <v>0</v>
      </c>
      <c r="CE13" s="190"/>
      <c r="CF13" s="190"/>
      <c r="CG13" s="190"/>
      <c r="CH13" s="190"/>
      <c r="CI13" s="190"/>
      <c r="CJ13" s="190"/>
      <c r="CK13" s="190"/>
    </row>
    <row r="14" spans="1:89">
      <c r="A14" s="17" t="s">
        <v>394</v>
      </c>
      <c r="B14" s="190">
        <v>36430550.340000004</v>
      </c>
      <c r="C14" s="190">
        <v>26047446.829999998</v>
      </c>
      <c r="D14" s="190">
        <v>5187234.2699999996</v>
      </c>
      <c r="E14" s="190">
        <v>27977016.600000001</v>
      </c>
      <c r="F14" s="190">
        <v>20380614.289999999</v>
      </c>
      <c r="G14" s="190">
        <v>14085279.140000001</v>
      </c>
      <c r="H14" s="190">
        <v>5414437.6299999999</v>
      </c>
      <c r="I14" s="190">
        <v>18715363.77</v>
      </c>
      <c r="J14" s="190">
        <v>17255083.41</v>
      </c>
      <c r="K14" s="190">
        <v>13424376.279999999</v>
      </c>
      <c r="L14" s="190">
        <v>4826458.59</v>
      </c>
      <c r="M14" s="190">
        <v>24900730.73</v>
      </c>
      <c r="N14" s="190">
        <v>10418740.880000001</v>
      </c>
      <c r="O14" s="190">
        <v>8385597.25</v>
      </c>
      <c r="P14" s="190">
        <v>5972473.6699999999</v>
      </c>
      <c r="Q14" s="190">
        <v>76429810.819999993</v>
      </c>
      <c r="R14" s="190">
        <v>21948730.800000001</v>
      </c>
      <c r="S14" s="190">
        <v>17767257.829999998</v>
      </c>
      <c r="T14" s="190">
        <v>9220135.6999999993</v>
      </c>
      <c r="U14" s="190">
        <v>251249096.43000001</v>
      </c>
      <c r="V14" s="190">
        <v>240382588.22999999</v>
      </c>
      <c r="W14" s="190">
        <v>234744649.09999999</v>
      </c>
      <c r="X14" s="190">
        <v>205731103.80000001</v>
      </c>
      <c r="Y14" s="190">
        <v>28397993.760000002</v>
      </c>
      <c r="Z14" s="190">
        <v>20251085.850000001</v>
      </c>
      <c r="AA14" s="190">
        <v>4522204.21</v>
      </c>
      <c r="AB14" s="190">
        <v>2291113.5699999998</v>
      </c>
      <c r="AC14" s="190">
        <v>54436988.789999999</v>
      </c>
      <c r="AD14" s="190">
        <v>30022491.640000001</v>
      </c>
      <c r="AE14" s="190">
        <v>3461598.27</v>
      </c>
      <c r="AF14" s="190">
        <v>1367839.63</v>
      </c>
      <c r="AG14" s="190">
        <v>75244790.519999996</v>
      </c>
      <c r="AH14" s="190">
        <v>11748074.09</v>
      </c>
      <c r="AI14" s="190">
        <v>7167163.0999999996</v>
      </c>
      <c r="AJ14" s="190">
        <v>6657736.9000000004</v>
      </c>
      <c r="AK14" s="190">
        <v>1810404.58</v>
      </c>
      <c r="AL14" s="190">
        <v>1348659.93</v>
      </c>
      <c r="AM14" s="190">
        <v>1150390.1000000001</v>
      </c>
      <c r="AN14" s="190">
        <v>6214.34</v>
      </c>
      <c r="AO14" s="190">
        <v>33420578.859999999</v>
      </c>
      <c r="AP14" s="190">
        <v>31475324.5</v>
      </c>
      <c r="AQ14" s="190">
        <v>29553428.690000001</v>
      </c>
      <c r="AR14" s="190">
        <v>43256.94</v>
      </c>
      <c r="AS14" s="190">
        <v>6959120.1299999999</v>
      </c>
      <c r="AT14" s="190">
        <v>-2397785.54</v>
      </c>
      <c r="AU14" s="190">
        <v>-2397785.54</v>
      </c>
      <c r="AV14" s="190">
        <v>4925707.72</v>
      </c>
      <c r="AW14" s="190">
        <v>10215265.289999999</v>
      </c>
      <c r="AX14" s="190">
        <v>6687354.0899999999</v>
      </c>
      <c r="AY14" s="190">
        <v>7619476.1299999999</v>
      </c>
      <c r="AZ14" s="190">
        <v>0</v>
      </c>
      <c r="BA14" s="190">
        <v>2377295.59</v>
      </c>
      <c r="BB14" s="190">
        <v>2025861.95</v>
      </c>
      <c r="BC14" s="190">
        <v>2024807.86</v>
      </c>
      <c r="BD14" s="190">
        <v>1698668.03</v>
      </c>
      <c r="BE14" s="190">
        <v>12486840.279999999</v>
      </c>
      <c r="BF14" s="190">
        <v>7032167.0700000003</v>
      </c>
      <c r="BG14" s="190">
        <v>2328413.73</v>
      </c>
      <c r="BH14" s="190">
        <v>0</v>
      </c>
      <c r="BI14" s="190">
        <v>9239539.8300000001</v>
      </c>
      <c r="BJ14" s="190">
        <v>2857699.22</v>
      </c>
      <c r="BK14" s="190">
        <v>1740299.38</v>
      </c>
      <c r="BL14" s="190">
        <v>17909.78</v>
      </c>
      <c r="BM14" s="190">
        <v>5323122.9000000004</v>
      </c>
      <c r="BN14" s="190">
        <v>4947703.34</v>
      </c>
      <c r="BO14" s="190">
        <v>796621.27</v>
      </c>
      <c r="BP14" s="190">
        <v>45895</v>
      </c>
      <c r="BQ14" s="190">
        <v>3351208.92</v>
      </c>
      <c r="BR14" s="190">
        <v>1350000</v>
      </c>
      <c r="BS14" s="190">
        <v>2138411.16</v>
      </c>
      <c r="BT14" s="190">
        <v>986907.32</v>
      </c>
      <c r="BU14" s="190">
        <v>1258815.75</v>
      </c>
      <c r="BV14" s="190">
        <v>509057.7</v>
      </c>
      <c r="BW14" s="190">
        <v>231640.61</v>
      </c>
      <c r="BX14" s="190">
        <v>7101</v>
      </c>
      <c r="BY14" s="190">
        <v>1716473</v>
      </c>
      <c r="BZ14" s="190">
        <v>185006</v>
      </c>
      <c r="CA14" s="190">
        <v>0</v>
      </c>
      <c r="CB14" s="190">
        <v>0</v>
      </c>
      <c r="CC14" s="190">
        <v>0</v>
      </c>
      <c r="CD14" s="190">
        <v>0</v>
      </c>
      <c r="CE14" s="190"/>
      <c r="CF14" s="190"/>
      <c r="CG14" s="190"/>
      <c r="CH14" s="190"/>
      <c r="CI14" s="190"/>
      <c r="CJ14" s="190"/>
      <c r="CK14" s="190"/>
    </row>
    <row r="15" spans="1:89" s="2" customFormat="1">
      <c r="A15" s="20" t="s">
        <v>397</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90">
        <v>50098836.630000003</v>
      </c>
      <c r="C20" s="190">
        <v>50098836.630000003</v>
      </c>
      <c r="D20" s="190">
        <v>0</v>
      </c>
      <c r="E20" s="190">
        <v>68210911.069999993</v>
      </c>
      <c r="F20" s="190">
        <v>22396528.84</v>
      </c>
      <c r="G20" s="190">
        <v>22396528.84</v>
      </c>
      <c r="H20" s="190">
        <v>0</v>
      </c>
      <c r="I20" s="190">
        <v>33428752.969999999</v>
      </c>
      <c r="J20" s="190">
        <v>10147483.09</v>
      </c>
      <c r="K20" s="190">
        <v>10147483.09</v>
      </c>
      <c r="L20" s="190">
        <v>0</v>
      </c>
      <c r="M20" s="190">
        <v>34144563.939999998</v>
      </c>
      <c r="N20" s="190">
        <v>11944354.91</v>
      </c>
      <c r="O20" s="190">
        <v>11944354.91</v>
      </c>
      <c r="P20" s="190">
        <v>0</v>
      </c>
      <c r="Q20" s="190">
        <v>14487542.039999999</v>
      </c>
      <c r="R20" s="190">
        <v>-5764261.4800000004</v>
      </c>
      <c r="S20" s="190">
        <v>-5764261.4800000004</v>
      </c>
      <c r="T20" s="190">
        <v>0</v>
      </c>
      <c r="U20" s="190">
        <v>566442.73</v>
      </c>
      <c r="V20" s="190">
        <v>-6197824.0800000001</v>
      </c>
      <c r="W20" s="190">
        <v>-6197824.0800000001</v>
      </c>
      <c r="X20" s="190">
        <v>0</v>
      </c>
      <c r="Y20" s="190">
        <v>-396769.54</v>
      </c>
      <c r="Z20" s="190">
        <v>0</v>
      </c>
      <c r="AA20" s="190">
        <v>0</v>
      </c>
      <c r="AB20" s="190">
        <v>0</v>
      </c>
      <c r="AC20" s="190">
        <v>2110192.46</v>
      </c>
      <c r="AD20" s="190">
        <v>-4089468.16</v>
      </c>
      <c r="AE20" s="190">
        <v>-4089468.16</v>
      </c>
      <c r="AF20" s="190">
        <v>0</v>
      </c>
      <c r="AG20" s="190">
        <v>2545036.6</v>
      </c>
      <c r="AH20" s="190">
        <v>0</v>
      </c>
      <c r="AI20" s="190">
        <v>-4182065.41</v>
      </c>
      <c r="AJ20" s="190">
        <v>0</v>
      </c>
      <c r="AK20" s="190">
        <v>2508787.02</v>
      </c>
      <c r="AL20" s="190">
        <v>-2412569.77</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c r="A21" s="18" t="s">
        <v>87</v>
      </c>
      <c r="B21" s="30"/>
      <c r="C21" s="30"/>
      <c r="D21" s="30"/>
      <c r="E21" s="30"/>
      <c r="F21" s="30"/>
      <c r="G21" s="30"/>
      <c r="H21" s="30"/>
      <c r="I21" s="30"/>
      <c r="J21" s="30"/>
      <c r="K21" s="30"/>
    </row>
    <row r="22" spans="1:89">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-7070987.5999999996</v>
      </c>
      <c r="V22" s="190">
        <v>-7070987.5999999996</v>
      </c>
      <c r="W22" s="190">
        <v>-7070987.5999999996</v>
      </c>
      <c r="X22" s="190">
        <v>-1174775.3600000001</v>
      </c>
      <c r="Y22" s="190">
        <v>772066.24</v>
      </c>
      <c r="Z22" s="190">
        <v>-2940276.48</v>
      </c>
      <c r="AA22" s="190">
        <v>-1937275.2</v>
      </c>
      <c r="AB22" s="190">
        <v>-526834.56000000006</v>
      </c>
      <c r="AC22" s="190">
        <v>-2456298.7200000002</v>
      </c>
      <c r="AD22" s="190">
        <v>-2934365.6</v>
      </c>
      <c r="AE22" s="190">
        <v>-101244.32</v>
      </c>
      <c r="AF22" s="190">
        <v>1762545.44</v>
      </c>
      <c r="AG22" s="190">
        <v>-6911424.3200000003</v>
      </c>
      <c r="AH22" s="190">
        <v>-6903412</v>
      </c>
      <c r="AI22" s="190">
        <v>-6884916.3200000003</v>
      </c>
      <c r="AJ22" s="190">
        <v>-1808206.56</v>
      </c>
      <c r="AK22" s="190">
        <v>15521684.640000001</v>
      </c>
      <c r="AL22" s="190">
        <v>0</v>
      </c>
      <c r="AM22" s="190">
        <v>0</v>
      </c>
      <c r="AN22" s="190">
        <v>0</v>
      </c>
      <c r="AO22" s="190">
        <v>0</v>
      </c>
      <c r="AP22" s="190">
        <v>0</v>
      </c>
      <c r="AQ22" s="190">
        <v>0</v>
      </c>
      <c r="AR22" s="190">
        <v>0</v>
      </c>
      <c r="AS22" s="190">
        <v>-186980</v>
      </c>
      <c r="AT22" s="190">
        <v>0</v>
      </c>
      <c r="AU22" s="190">
        <v>37074.449999999997</v>
      </c>
      <c r="AV22" s="190">
        <v>294032.84999999998</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c r="A23" s="21" t="s">
        <v>401</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90">
        <v>0</v>
      </c>
      <c r="C26" s="190">
        <v>0</v>
      </c>
      <c r="D26" s="190">
        <v>0</v>
      </c>
      <c r="E26" s="190">
        <v>0</v>
      </c>
      <c r="F26" s="190">
        <v>0</v>
      </c>
      <c r="G26" s="190">
        <v>0</v>
      </c>
      <c r="H26" s="190">
        <v>0</v>
      </c>
      <c r="I26" s="190">
        <v>0</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c r="A27" s="17" t="s">
        <v>405</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609</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5" thickBot="1">
      <c r="A50" s="17"/>
      <c r="B50" s="1"/>
      <c r="C50" s="1"/>
      <c r="D50" s="1"/>
      <c r="E50" s="1"/>
      <c r="F50" s="1"/>
      <c r="G50" s="1"/>
      <c r="H50" s="1"/>
      <c r="I50" s="1"/>
      <c r="J50" s="1"/>
      <c r="K50"/>
    </row>
    <row r="51" spans="1:89" s="56" customFormat="1">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c r="A52" s="131" t="s">
        <v>571</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90">
        <v>9963464943.2600002</v>
      </c>
      <c r="C59" s="190">
        <v>7463891285.8900003</v>
      </c>
      <c r="D59" s="190">
        <v>5213969088.0699997</v>
      </c>
      <c r="E59" s="190">
        <v>10085969230.030001</v>
      </c>
      <c r="F59" s="190">
        <v>7264975166.4899998</v>
      </c>
      <c r="G59" s="190">
        <v>5189809959.7600002</v>
      </c>
      <c r="H59" s="190">
        <v>3739205084.9899998</v>
      </c>
      <c r="I59" s="190">
        <v>7056765568.8599997</v>
      </c>
      <c r="J59" s="190">
        <v>5296615569.5</v>
      </c>
      <c r="K59" s="190">
        <v>4026624588.9200001</v>
      </c>
      <c r="L59" s="190">
        <v>3008278093.8000002</v>
      </c>
      <c r="M59" s="190">
        <v>6410484336.2700005</v>
      </c>
      <c r="N59" s="190">
        <v>4777110529.6499996</v>
      </c>
      <c r="O59" s="190">
        <v>3421203676.3299999</v>
      </c>
      <c r="P59" s="190">
        <v>2289923256.6799998</v>
      </c>
      <c r="Q59" s="190">
        <v>6058214963.0699997</v>
      </c>
      <c r="R59" s="190">
        <v>4894197804.0500002</v>
      </c>
      <c r="S59" s="190">
        <v>4162447434.1999998</v>
      </c>
      <c r="T59" s="190">
        <v>2735548585.5999999</v>
      </c>
      <c r="U59" s="190">
        <v>8322215360.9499998</v>
      </c>
      <c r="V59" s="190">
        <v>7410685949.0799999</v>
      </c>
      <c r="W59" s="190">
        <v>6039984671.7299995</v>
      </c>
      <c r="X59" s="190">
        <v>3786290698.79</v>
      </c>
      <c r="Y59" s="190">
        <v>10335733704.780001</v>
      </c>
      <c r="Z59" s="190">
        <v>8113605924.1599998</v>
      </c>
      <c r="AA59" s="190">
        <v>5241364125.3599997</v>
      </c>
      <c r="AB59" s="190">
        <v>3166747159.3200002</v>
      </c>
      <c r="AC59" s="190">
        <v>6394377214.9799995</v>
      </c>
      <c r="AD59" s="190">
        <v>5001266488</v>
      </c>
      <c r="AE59" s="190">
        <v>3490797304.9400001</v>
      </c>
      <c r="AF59" s="190">
        <v>2161488984.3400002</v>
      </c>
      <c r="AG59" s="190">
        <v>4562056835.6000004</v>
      </c>
      <c r="AH59" s="190">
        <v>3532769841.4299998</v>
      </c>
      <c r="AI59" s="190">
        <v>2343182863.0100002</v>
      </c>
      <c r="AJ59" s="190">
        <v>1578085299.8699999</v>
      </c>
      <c r="AK59" s="190">
        <v>3466668431.5100002</v>
      </c>
      <c r="AL59" s="190">
        <v>2382708112.8800001</v>
      </c>
      <c r="AM59" s="190">
        <v>1619900643.9000001</v>
      </c>
      <c r="AN59" s="190">
        <v>1269280228.71</v>
      </c>
      <c r="AO59" s="190">
        <v>1829699892.55</v>
      </c>
      <c r="AP59" s="190">
        <v>1604086352.9400001</v>
      </c>
      <c r="AQ59" s="190">
        <v>1308146766.3</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c r="A60" s="22" t="s">
        <v>95</v>
      </c>
      <c r="B60" s="190">
        <v>3226898087.0100002</v>
      </c>
      <c r="C60" s="190">
        <v>2391579054.3600001</v>
      </c>
      <c r="D60" s="190">
        <v>1689408345.8399999</v>
      </c>
      <c r="E60" s="190">
        <v>3305718978.8800001</v>
      </c>
      <c r="F60" s="190">
        <v>2429837036.3600001</v>
      </c>
      <c r="G60" s="190">
        <v>1806600454.54</v>
      </c>
      <c r="H60" s="190">
        <v>1214027296.1600001</v>
      </c>
      <c r="I60" s="190">
        <v>2280645088.0700002</v>
      </c>
      <c r="J60" s="190">
        <v>1730020354.03</v>
      </c>
      <c r="K60" s="190">
        <v>1296349816.03</v>
      </c>
      <c r="L60" s="190">
        <v>982264538.23000002</v>
      </c>
      <c r="M60" s="190">
        <v>1877009646.8800001</v>
      </c>
      <c r="N60" s="190">
        <v>1472777535.0599999</v>
      </c>
      <c r="O60" s="190">
        <v>1064662451.0599999</v>
      </c>
      <c r="P60" s="190">
        <v>720319520.78999996</v>
      </c>
      <c r="Q60" s="190">
        <v>1957701185.49</v>
      </c>
      <c r="R60" s="190">
        <v>1557893877.46</v>
      </c>
      <c r="S60" s="190">
        <v>1385095939.4100001</v>
      </c>
      <c r="T60" s="190">
        <v>932767728.71000004</v>
      </c>
      <c r="U60" s="190">
        <v>2924864055.6500001</v>
      </c>
      <c r="V60" s="190">
        <v>2433760593.79</v>
      </c>
      <c r="W60" s="190">
        <v>1978855837.8399999</v>
      </c>
      <c r="X60" s="190">
        <v>1234975036.8900001</v>
      </c>
      <c r="Y60" s="190">
        <v>3402932422.5</v>
      </c>
      <c r="Z60" s="190">
        <v>2601217500.98</v>
      </c>
      <c r="AA60" s="190">
        <v>1712386078.7</v>
      </c>
      <c r="AB60" s="190">
        <v>1032090586.53</v>
      </c>
      <c r="AC60" s="190">
        <v>2105576465.3599999</v>
      </c>
      <c r="AD60" s="190">
        <v>1616253918.8800001</v>
      </c>
      <c r="AE60" s="190">
        <v>1129689950.29</v>
      </c>
      <c r="AF60" s="190">
        <v>699022568.51999998</v>
      </c>
      <c r="AG60" s="190">
        <v>1508186094.9300001</v>
      </c>
      <c r="AH60" s="190">
        <v>1146174819.1099999</v>
      </c>
      <c r="AI60" s="190">
        <v>766274681.52999997</v>
      </c>
      <c r="AJ60" s="190">
        <v>508597717.20999998</v>
      </c>
      <c r="AK60" s="190">
        <v>1138920195.73</v>
      </c>
      <c r="AL60" s="190">
        <v>782953680.64999998</v>
      </c>
      <c r="AM60" s="190">
        <v>537924395.76999998</v>
      </c>
      <c r="AN60" s="190">
        <v>391157082.13999999</v>
      </c>
      <c r="AO60" s="190">
        <v>569455764.67999995</v>
      </c>
      <c r="AP60" s="190">
        <v>497986317.94</v>
      </c>
      <c r="AQ60" s="190">
        <v>403560717.60000002</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c r="A61" s="22" t="s">
        <v>94</v>
      </c>
      <c r="B61" s="190">
        <v>13190363030.27</v>
      </c>
      <c r="C61" s="190">
        <v>9855470340.25</v>
      </c>
      <c r="D61" s="190">
        <v>6903377433.9099998</v>
      </c>
      <c r="E61" s="190">
        <v>13391688208.91</v>
      </c>
      <c r="F61" s="190">
        <v>9694812202.8500004</v>
      </c>
      <c r="G61" s="190">
        <v>6996410414.3000002</v>
      </c>
      <c r="H61" s="190">
        <v>4953232381.1499996</v>
      </c>
      <c r="I61" s="190">
        <v>9337410656.9300003</v>
      </c>
      <c r="J61" s="190">
        <v>7026635923.5299997</v>
      </c>
      <c r="K61" s="190">
        <v>5322974404.9499998</v>
      </c>
      <c r="L61" s="190">
        <v>3990542632.0300002</v>
      </c>
      <c r="M61" s="190">
        <v>8287493983.1499996</v>
      </c>
      <c r="N61" s="190">
        <v>6249888064.71</v>
      </c>
      <c r="O61" s="190">
        <v>4485866127.3900003</v>
      </c>
      <c r="P61" s="190">
        <v>3010242777.4699998</v>
      </c>
      <c r="Q61" s="190">
        <v>8015916148.5600004</v>
      </c>
      <c r="R61" s="190">
        <v>6452091681.5100002</v>
      </c>
      <c r="S61" s="190">
        <v>5547543373.6099997</v>
      </c>
      <c r="T61" s="190">
        <v>3668316314.3099999</v>
      </c>
      <c r="U61" s="190">
        <v>11247079416.6</v>
      </c>
      <c r="V61" s="190">
        <v>9844446542.8700008</v>
      </c>
      <c r="W61" s="190">
        <v>8018840509.5699997</v>
      </c>
      <c r="X61" s="190">
        <v>5021265735.6800003</v>
      </c>
      <c r="Y61" s="190">
        <v>13738666127.280001</v>
      </c>
      <c r="Z61" s="190">
        <v>10714823425.139999</v>
      </c>
      <c r="AA61" s="190">
        <v>6953750204.0600004</v>
      </c>
      <c r="AB61" s="190">
        <v>4198837745.8499999</v>
      </c>
      <c r="AC61" s="190">
        <v>8499953680.3400002</v>
      </c>
      <c r="AD61" s="190">
        <v>6617520406.8800001</v>
      </c>
      <c r="AE61" s="190">
        <v>4620487255.2299995</v>
      </c>
      <c r="AF61" s="190">
        <v>2860511552.8600001</v>
      </c>
      <c r="AG61" s="190">
        <v>6070242930.5299997</v>
      </c>
      <c r="AH61" s="190">
        <v>4678944660.54</v>
      </c>
      <c r="AI61" s="190">
        <v>3109457544.54</v>
      </c>
      <c r="AJ61" s="190">
        <v>2086683017.0799999</v>
      </c>
      <c r="AK61" s="190">
        <v>4605588627.2399998</v>
      </c>
      <c r="AL61" s="190">
        <v>3165661793.5300002</v>
      </c>
      <c r="AM61" s="190">
        <v>2157825039.6700001</v>
      </c>
      <c r="AN61" s="190">
        <v>1660437310.8499999</v>
      </c>
      <c r="AO61" s="190">
        <v>2399155657.23</v>
      </c>
      <c r="AP61" s="190">
        <v>2102072670.8800001</v>
      </c>
      <c r="AQ61" s="190">
        <v>1711707483.9000001</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ht="14.4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c r="A65" s="22" t="s">
        <v>98</v>
      </c>
      <c r="B65" s="190">
        <v>50098836.630000003</v>
      </c>
      <c r="C65" s="190">
        <v>50098836.630000003</v>
      </c>
      <c r="D65" s="190">
        <v>0</v>
      </c>
      <c r="E65" s="190">
        <v>68210911.069999993</v>
      </c>
      <c r="F65" s="190">
        <v>22396528.84</v>
      </c>
      <c r="G65" s="190">
        <v>22396528.84</v>
      </c>
      <c r="H65" s="190">
        <v>0</v>
      </c>
      <c r="I65" s="190">
        <v>33428752.969999999</v>
      </c>
      <c r="J65" s="190">
        <v>10147483.09</v>
      </c>
      <c r="K65" s="190">
        <v>10147483.09</v>
      </c>
      <c r="L65" s="190">
        <v>0</v>
      </c>
      <c r="M65" s="190">
        <v>34144563.939999998</v>
      </c>
      <c r="N65" s="190">
        <v>11944354.91</v>
      </c>
      <c r="O65" s="190">
        <v>11944354.91</v>
      </c>
      <c r="P65" s="190">
        <v>0</v>
      </c>
      <c r="Q65" s="190">
        <v>14487542.039999999</v>
      </c>
      <c r="R65" s="190">
        <v>-5773861.4800000004</v>
      </c>
      <c r="S65" s="190">
        <v>-5764261.4800000004</v>
      </c>
      <c r="T65" s="190">
        <v>0</v>
      </c>
      <c r="U65" s="190">
        <v>4298863.95</v>
      </c>
      <c r="V65" s="190">
        <v>-2465402.86</v>
      </c>
      <c r="W65" s="190">
        <v>-2465402.86</v>
      </c>
      <c r="X65" s="190">
        <v>0</v>
      </c>
      <c r="Y65" s="190">
        <v>3007200.68</v>
      </c>
      <c r="Z65" s="190">
        <v>-917593.17</v>
      </c>
      <c r="AA65" s="190">
        <v>-984891.57</v>
      </c>
      <c r="AB65" s="190">
        <v>-9791.5400000000009</v>
      </c>
      <c r="AC65" s="190">
        <v>2400112.7400000002</v>
      </c>
      <c r="AD65" s="190">
        <v>-3804432.96</v>
      </c>
      <c r="AE65" s="190">
        <v>-3956459.4</v>
      </c>
      <c r="AF65" s="190">
        <v>9936.35</v>
      </c>
      <c r="AG65" s="190">
        <v>3377150.17</v>
      </c>
      <c r="AH65" s="190">
        <v>-3505725.42</v>
      </c>
      <c r="AI65" s="190">
        <v>-3858370.54</v>
      </c>
      <c r="AJ65" s="190">
        <v>126698.54</v>
      </c>
      <c r="AK65" s="190">
        <v>3117340.01</v>
      </c>
      <c r="AL65" s="190">
        <v>-2381433.1800000002</v>
      </c>
      <c r="AM65" s="190">
        <v>-2412569.77</v>
      </c>
      <c r="AN65" s="190">
        <v>0</v>
      </c>
      <c r="AO65" s="190">
        <v>1579121.31</v>
      </c>
      <c r="AP65" s="190">
        <v>-929569.49</v>
      </c>
      <c r="AQ65" s="190">
        <v>-929569.49</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c r="A66" s="22" t="s">
        <v>99</v>
      </c>
      <c r="B66" s="190">
        <v>50098836.630000003</v>
      </c>
      <c r="C66" s="190">
        <v>50098836.630000003</v>
      </c>
      <c r="D66" s="190">
        <v>0</v>
      </c>
      <c r="E66" s="190">
        <v>68210911.069999993</v>
      </c>
      <c r="F66" s="190">
        <v>22396528.84</v>
      </c>
      <c r="G66" s="190">
        <v>22396528.84</v>
      </c>
      <c r="H66" s="190">
        <v>0</v>
      </c>
      <c r="I66" s="190">
        <v>33428752.969999999</v>
      </c>
      <c r="J66" s="190">
        <v>10147483.09</v>
      </c>
      <c r="K66" s="190">
        <v>10147483.09</v>
      </c>
      <c r="L66" s="190">
        <v>0</v>
      </c>
      <c r="M66" s="190">
        <v>34144563.939999998</v>
      </c>
      <c r="N66" s="190">
        <v>11944354.91</v>
      </c>
      <c r="O66" s="190">
        <v>11944354.91</v>
      </c>
      <c r="P66" s="190">
        <v>0</v>
      </c>
      <c r="Q66" s="190">
        <v>14487542.039999999</v>
      </c>
      <c r="R66" s="190">
        <v>-5764261.4800000004</v>
      </c>
      <c r="S66" s="190">
        <v>-5764261.4800000004</v>
      </c>
      <c r="T66" s="190">
        <v>0</v>
      </c>
      <c r="U66" s="190">
        <v>566442.73</v>
      </c>
      <c r="V66" s="190">
        <v>-6197824.0800000001</v>
      </c>
      <c r="W66" s="190">
        <v>-6197824.0800000001</v>
      </c>
      <c r="X66" s="190">
        <v>0</v>
      </c>
      <c r="Y66" s="190">
        <v>-396769.54</v>
      </c>
      <c r="Z66" s="190">
        <v>0</v>
      </c>
      <c r="AA66" s="190">
        <v>0</v>
      </c>
      <c r="AB66" s="190">
        <v>0</v>
      </c>
      <c r="AC66" s="190">
        <v>2110192.46</v>
      </c>
      <c r="AD66" s="190">
        <v>-4089468.16</v>
      </c>
      <c r="AE66" s="190">
        <v>-4089468.16</v>
      </c>
      <c r="AF66" s="190">
        <v>0</v>
      </c>
      <c r="AG66" s="190">
        <v>2545036.6</v>
      </c>
      <c r="AH66" s="190">
        <v>0</v>
      </c>
      <c r="AI66" s="190">
        <v>-4182065.41</v>
      </c>
      <c r="AJ66" s="190">
        <v>0</v>
      </c>
      <c r="AK66" s="190">
        <v>2508787.02</v>
      </c>
      <c r="AL66" s="190">
        <v>-2412569.77</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90">
        <v>-794183981.63999999</v>
      </c>
      <c r="C68" s="190">
        <v>-526618366.85000002</v>
      </c>
      <c r="D68" s="190">
        <v>-264236441.21000001</v>
      </c>
      <c r="E68" s="190">
        <v>-890505901.86000001</v>
      </c>
      <c r="F68" s="190">
        <v>-639724334.27999997</v>
      </c>
      <c r="G68" s="190">
        <v>-427404960.64999998</v>
      </c>
      <c r="H68" s="190">
        <v>-216710540.40000001</v>
      </c>
      <c r="I68" s="190">
        <v>-765864110.91999996</v>
      </c>
      <c r="J68" s="190">
        <v>-559238520.83000004</v>
      </c>
      <c r="K68" s="190">
        <v>-341637035.05000001</v>
      </c>
      <c r="L68" s="190">
        <v>-179087361.55000001</v>
      </c>
      <c r="M68" s="190">
        <v>-732111447.74000001</v>
      </c>
      <c r="N68" s="190">
        <v>-555911422.89999998</v>
      </c>
      <c r="O68" s="190">
        <v>-357654118.22000003</v>
      </c>
      <c r="P68" s="190">
        <v>-173061007.16999999</v>
      </c>
      <c r="Q68" s="190">
        <v>-657775551.16999996</v>
      </c>
      <c r="R68" s="190">
        <v>-490454942.11000001</v>
      </c>
      <c r="S68" s="190">
        <v>-344899041.82999998</v>
      </c>
      <c r="T68" s="190">
        <v>-245115593.80000001</v>
      </c>
      <c r="U68" s="190">
        <v>-826879677.55999994</v>
      </c>
      <c r="V68" s="190">
        <v>-659404182.44000006</v>
      </c>
      <c r="W68" s="190">
        <v>-471944898.50999999</v>
      </c>
      <c r="X68" s="190">
        <v>-238664090.94</v>
      </c>
      <c r="Y68" s="190">
        <v>-789586016.60000002</v>
      </c>
      <c r="Z68" s="190">
        <v>-620329449.92999995</v>
      </c>
      <c r="AA68" s="190">
        <v>-400245467.81999999</v>
      </c>
      <c r="AB68" s="190">
        <v>-142309808.88</v>
      </c>
      <c r="AC68" s="190">
        <v>-476587420.81</v>
      </c>
      <c r="AD68" s="190">
        <v>-235104521.34</v>
      </c>
      <c r="AE68" s="190">
        <v>-187674784.06999999</v>
      </c>
      <c r="AF68" s="190">
        <v>-23414404.640000001</v>
      </c>
      <c r="AG68" s="190">
        <v>-192470846.37</v>
      </c>
      <c r="AH68" s="190">
        <v>-105230410.26000001</v>
      </c>
      <c r="AI68" s="190">
        <v>-77281557.629999995</v>
      </c>
      <c r="AJ68" s="190">
        <v>-11990167.300000001</v>
      </c>
      <c r="AK68" s="190">
        <v>-109732181.41</v>
      </c>
      <c r="AL68" s="190">
        <v>-66018480.219999999</v>
      </c>
      <c r="AM68" s="190">
        <v>-40647909.57</v>
      </c>
      <c r="AN68" s="190">
        <v>-10967664.689999999</v>
      </c>
      <c r="AO68" s="190">
        <v>-159954267.43000001</v>
      </c>
      <c r="AP68" s="190">
        <v>-87720223.980000004</v>
      </c>
      <c r="AQ68" s="190">
        <v>-74810065.359999999</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90">
        <v>61044254157.889999</v>
      </c>
      <c r="C70" s="190">
        <v>58547236550.910004</v>
      </c>
      <c r="D70" s="190">
        <v>59888294737.25</v>
      </c>
      <c r="E70" s="190">
        <v>54674325649.18</v>
      </c>
      <c r="F70" s="190">
        <v>51853331585.639999</v>
      </c>
      <c r="G70" s="190">
        <v>49778166378.910004</v>
      </c>
      <c r="H70" s="190">
        <v>51945064294.690002</v>
      </c>
      <c r="I70" s="190">
        <v>48205859209.699997</v>
      </c>
      <c r="J70" s="190">
        <v>46445709210.339996</v>
      </c>
      <c r="K70" s="190">
        <v>45335064464.32</v>
      </c>
      <c r="L70" s="190">
        <v>47353491345.199997</v>
      </c>
      <c r="M70" s="190">
        <v>44345160962.550003</v>
      </c>
      <c r="N70" s="190">
        <v>42711787155.93</v>
      </c>
      <c r="O70" s="190">
        <v>41335880302.610001</v>
      </c>
      <c r="P70" s="190">
        <v>42627003702.760002</v>
      </c>
      <c r="Q70" s="190">
        <v>40333080446.080002</v>
      </c>
      <c r="R70" s="190">
        <v>39038063287.050003</v>
      </c>
      <c r="S70" s="190">
        <v>38186456366.720001</v>
      </c>
      <c r="T70" s="190">
        <v>39754833137.690002</v>
      </c>
      <c r="U70" s="190">
        <v>37019284552.089996</v>
      </c>
      <c r="V70" s="190">
        <v>35936255140.220001</v>
      </c>
      <c r="W70" s="190">
        <v>34492053862.870003</v>
      </c>
      <c r="X70" s="190">
        <v>35275133265.93</v>
      </c>
      <c r="Y70" s="190">
        <v>31521070553.299999</v>
      </c>
      <c r="Z70" s="190">
        <v>29621442772.68</v>
      </c>
      <c r="AA70" s="190">
        <v>26749200973.880001</v>
      </c>
      <c r="AB70" s="190">
        <v>26577947881.900002</v>
      </c>
      <c r="AC70" s="190">
        <v>23446688740.450001</v>
      </c>
      <c r="AD70" s="190">
        <v>22228578013.470001</v>
      </c>
      <c r="AE70" s="190">
        <v>20718108830.41</v>
      </c>
      <c r="AF70" s="190">
        <v>20565137134.060001</v>
      </c>
      <c r="AG70" s="190">
        <v>18366101541.470001</v>
      </c>
      <c r="AH70" s="190">
        <v>17519043970.790001</v>
      </c>
      <c r="AI70" s="190">
        <v>16339410822.219999</v>
      </c>
      <c r="AJ70" s="190">
        <v>16187697852.24</v>
      </c>
      <c r="AK70" s="190">
        <v>14580462144.59</v>
      </c>
      <c r="AL70" s="190">
        <v>13658846653.6</v>
      </c>
      <c r="AM70" s="190">
        <v>12886039184.620001</v>
      </c>
      <c r="AN70" s="190">
        <v>12725217105.43</v>
      </c>
      <c r="AO70" s="190">
        <v>11455936876.719999</v>
      </c>
      <c r="AP70" s="190">
        <v>11230323337.110001</v>
      </c>
      <c r="AQ70" s="190">
        <v>10934383750.469999</v>
      </c>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E31" zoomScale="95" zoomScaleNormal="95" workbookViewId="0">
      <selection activeCell="A51" sqref="A51:AK51"/>
    </sheetView>
  </sheetViews>
  <sheetFormatPr defaultRowHeight="13.5"/>
  <cols>
    <col min="1" max="1" width="77.5" style="17" bestFit="1" customWidth="1"/>
    <col min="2" max="2" width="22.5" hidden="1" customWidth="1"/>
    <col min="3" max="4" width="20.375" hidden="1" customWidth="1"/>
    <col min="5" max="5" width="21.5" bestFit="1" customWidth="1"/>
    <col min="6" max="8" width="21.5" hidden="1" customWidth="1"/>
    <col min="9" max="9" width="21.5" bestFit="1" customWidth="1"/>
    <col min="10" max="12" width="21.5" hidden="1" customWidth="1"/>
    <col min="13" max="13" width="21.5" bestFit="1" customWidth="1"/>
    <col min="14" max="16" width="21.5" hidden="1" customWidth="1"/>
    <col min="17" max="17" width="21.5" bestFit="1" customWidth="1"/>
    <col min="18" max="20" width="21.5" hidden="1" customWidth="1"/>
    <col min="21" max="21" width="21.5" bestFit="1" customWidth="1"/>
    <col min="22" max="24" width="21.5" hidden="1" customWidth="1"/>
    <col min="25" max="25" width="21.5" bestFit="1" customWidth="1"/>
    <col min="26" max="28" width="21.5" hidden="1" customWidth="1"/>
    <col min="29" max="29" width="21.5" bestFit="1" customWidth="1"/>
    <col min="30" max="32" width="21.5" hidden="1" customWidth="1"/>
    <col min="33" max="33" width="21.5" bestFit="1" customWidth="1"/>
    <col min="34" max="35" width="21.5" hidden="1" customWidth="1"/>
    <col min="36" max="36" width="20.375" hidden="1" customWidth="1"/>
    <col min="37" max="37" width="20.375" bestFit="1" customWidth="1"/>
    <col min="38" max="38" width="21.5" hidden="1" customWidth="1"/>
    <col min="39" max="40" width="20.375" hidden="1" customWidth="1"/>
    <col min="41" max="41" width="20.375" bestFit="1" customWidth="1"/>
    <col min="42" max="44" width="20.375" hidden="1" customWidth="1"/>
    <col min="45" max="45" width="20.375" bestFit="1" customWidth="1"/>
    <col min="46" max="48" width="20.375" hidden="1" customWidth="1"/>
    <col min="49" max="49" width="20.375" bestFit="1" customWidth="1"/>
    <col min="50" max="52" width="20.375" hidden="1" customWidth="1"/>
    <col min="53" max="53" width="20.375" bestFit="1" customWidth="1"/>
    <col min="54" max="56" width="20.375" hidden="1" customWidth="1"/>
    <col min="57" max="57" width="20.375" bestFit="1" customWidth="1"/>
    <col min="58" max="60" width="20.375" hidden="1" customWidth="1"/>
    <col min="61" max="61" width="20.375" bestFit="1" customWidth="1"/>
    <col min="62" max="64" width="20.375" hidden="1" customWidth="1"/>
    <col min="65" max="65" width="20.375" bestFit="1" customWidth="1"/>
    <col min="66" max="66" width="20.375" hidden="1" customWidth="1"/>
    <col min="67" max="67" width="20.375" bestFit="1" customWidth="1"/>
    <col min="68" max="68" width="20.375" hidden="1" customWidth="1"/>
    <col min="69" max="69" width="20.375" bestFit="1" customWidth="1"/>
    <col min="70" max="70" width="20.375" hidden="1" customWidth="1"/>
    <col min="71" max="71" width="20.375" bestFit="1" customWidth="1"/>
    <col min="72" max="72" width="20.375" hidden="1" customWidth="1"/>
    <col min="73" max="73" width="20.375" bestFit="1" customWidth="1"/>
    <col min="74" max="74" width="18.125" hidden="1" customWidth="1"/>
  </cols>
  <sheetData>
    <row r="1" spans="1:74" s="6" customFormat="1" ht="14.4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c r="A2" s="46" t="s">
        <v>292</v>
      </c>
    </row>
    <row r="3" spans="1:74" s="26" customFormat="1">
      <c r="A3" s="17" t="s">
        <v>320</v>
      </c>
      <c r="B3" s="190">
        <v>5270982.83</v>
      </c>
      <c r="C3" s="190">
        <v>4590653.97</v>
      </c>
      <c r="D3" s="190">
        <v>97938.49</v>
      </c>
      <c r="E3" s="190">
        <v>15177613.02</v>
      </c>
      <c r="F3" s="190">
        <v>16278927.949999999</v>
      </c>
      <c r="G3" s="190">
        <v>7622099.8399999999</v>
      </c>
      <c r="H3" s="190">
        <v>1579366.99</v>
      </c>
      <c r="I3" s="190">
        <v>5353619.6100000003</v>
      </c>
      <c r="J3" s="190">
        <v>485842.2</v>
      </c>
      <c r="K3" s="190">
        <v>455569.2</v>
      </c>
      <c r="L3" s="190">
        <v>18700.8</v>
      </c>
      <c r="M3" s="190">
        <v>1044231.7</v>
      </c>
      <c r="N3" s="190">
        <v>660682.53</v>
      </c>
      <c r="O3" s="190">
        <v>659241.1</v>
      </c>
      <c r="P3" s="190">
        <v>464000.1</v>
      </c>
      <c r="Q3" s="190">
        <v>30475856.719999999</v>
      </c>
      <c r="R3" s="190">
        <v>25915139.010000002</v>
      </c>
      <c r="S3" s="190">
        <v>25841495.82</v>
      </c>
      <c r="T3" s="190">
        <v>23558470.84</v>
      </c>
      <c r="U3" s="190">
        <v>3782193.81</v>
      </c>
      <c r="V3" s="190">
        <v>3391378.97</v>
      </c>
      <c r="W3" s="190">
        <v>3252166.77</v>
      </c>
      <c r="X3" s="190">
        <v>261460.28</v>
      </c>
      <c r="Y3" s="190">
        <v>685226.29</v>
      </c>
      <c r="Z3" s="190">
        <v>185350.6</v>
      </c>
      <c r="AA3" s="190">
        <v>185350.6</v>
      </c>
      <c r="AB3" s="190">
        <v>28460.6</v>
      </c>
      <c r="AC3" s="190">
        <v>5239472.51</v>
      </c>
      <c r="AD3" s="190">
        <v>203195</v>
      </c>
      <c r="AE3" s="190">
        <v>200000</v>
      </c>
      <c r="AF3" s="190">
        <v>0</v>
      </c>
      <c r="AG3" s="190">
        <v>1556299.86</v>
      </c>
      <c r="AH3" s="190">
        <v>13391400.119999999</v>
      </c>
      <c r="AI3" s="190">
        <v>13290787.810000001</v>
      </c>
      <c r="AJ3" s="190">
        <v>510426.18</v>
      </c>
      <c r="AK3" s="190">
        <v>310042.07</v>
      </c>
      <c r="AL3" s="190">
        <v>167266.07</v>
      </c>
      <c r="AM3" s="190">
        <v>167266.07</v>
      </c>
      <c r="AN3" s="190">
        <v>1649.81</v>
      </c>
      <c r="AO3" s="190">
        <v>3361413.55</v>
      </c>
      <c r="AP3" s="190">
        <v>2432381.64</v>
      </c>
      <c r="AQ3" s="190">
        <v>710417.99</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c r="A4" s="17" t="s">
        <v>304</v>
      </c>
      <c r="B4" s="190">
        <v>266963573.63999999</v>
      </c>
      <c r="C4" s="190">
        <v>220511645.30000001</v>
      </c>
      <c r="D4" s="190">
        <v>148455263.44</v>
      </c>
      <c r="E4" s="190">
        <v>216058886.55000001</v>
      </c>
      <c r="F4" s="190">
        <v>126545615.28</v>
      </c>
      <c r="G4" s="190">
        <v>89131857.5</v>
      </c>
      <c r="H4" s="190">
        <v>66866188.82</v>
      </c>
      <c r="I4" s="190">
        <v>307337776.30000001</v>
      </c>
      <c r="J4" s="190">
        <v>206243187.97999999</v>
      </c>
      <c r="K4" s="190">
        <v>167783179.62</v>
      </c>
      <c r="L4" s="190">
        <v>98697173.260000005</v>
      </c>
      <c r="M4" s="190">
        <v>395218520.86000001</v>
      </c>
      <c r="N4" s="190">
        <v>325684472.19999999</v>
      </c>
      <c r="O4" s="190">
        <v>228478960.53999999</v>
      </c>
      <c r="P4" s="190">
        <v>102048998.65000001</v>
      </c>
      <c r="Q4" s="190">
        <v>411004620.01999998</v>
      </c>
      <c r="R4" s="190">
        <v>292777427.69</v>
      </c>
      <c r="S4" s="190">
        <v>202670140.46000001</v>
      </c>
      <c r="T4" s="190">
        <v>88471907.120000005</v>
      </c>
      <c r="U4" s="190">
        <v>341534397.35000002</v>
      </c>
      <c r="V4" s="190">
        <v>286139179.36000001</v>
      </c>
      <c r="W4" s="190">
        <v>215862695.83000001</v>
      </c>
      <c r="X4" s="190">
        <v>144070201.88999999</v>
      </c>
      <c r="Y4" s="190">
        <v>355506717.47000003</v>
      </c>
      <c r="Z4" s="190">
        <v>228521903.88999999</v>
      </c>
      <c r="AA4" s="190">
        <v>204363119.03999999</v>
      </c>
      <c r="AB4" s="190">
        <v>146432254.69999999</v>
      </c>
      <c r="AC4" s="190">
        <v>536106369.48000002</v>
      </c>
      <c r="AD4" s="190">
        <v>351106948.10000002</v>
      </c>
      <c r="AE4" s="190">
        <v>288668171.64999998</v>
      </c>
      <c r="AF4" s="190">
        <v>103106550.39</v>
      </c>
      <c r="AG4" s="190">
        <v>462908343.55000001</v>
      </c>
      <c r="AH4" s="190">
        <v>328702496.94999999</v>
      </c>
      <c r="AI4" s="190">
        <v>247966835.41</v>
      </c>
      <c r="AJ4" s="190">
        <v>135287234.63999999</v>
      </c>
      <c r="AK4" s="190">
        <v>985162241.49000001</v>
      </c>
      <c r="AL4" s="190">
        <v>193936548.19</v>
      </c>
      <c r="AM4" s="190">
        <v>169537553.47</v>
      </c>
      <c r="AN4" s="190">
        <v>105598391.20999999</v>
      </c>
      <c r="AO4" s="190">
        <v>109368261.26000001</v>
      </c>
      <c r="AP4" s="190">
        <v>82119739.920000002</v>
      </c>
      <c r="AQ4" s="190">
        <v>74523182.519999996</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c r="A5" s="135"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c r="A6" s="136" t="s">
        <v>305</v>
      </c>
      <c r="B6" s="190">
        <v>0</v>
      </c>
      <c r="C6" s="190">
        <v>222746598.50999999</v>
      </c>
      <c r="D6" s="190">
        <v>0</v>
      </c>
      <c r="E6" s="190">
        <v>475443742.99000001</v>
      </c>
      <c r="F6" s="190">
        <v>0</v>
      </c>
      <c r="G6" s="190">
        <v>240397528.90000001</v>
      </c>
      <c r="H6" s="190">
        <v>0</v>
      </c>
      <c r="I6" s="190">
        <v>514034686.83999997</v>
      </c>
      <c r="J6" s="190">
        <v>0</v>
      </c>
      <c r="K6" s="190">
        <v>264496743</v>
      </c>
      <c r="L6" s="190">
        <v>0</v>
      </c>
      <c r="M6" s="190">
        <v>571384638.39999998</v>
      </c>
      <c r="N6" s="190">
        <v>0</v>
      </c>
      <c r="O6" s="190">
        <v>282385154.77999997</v>
      </c>
      <c r="P6" s="190">
        <v>0</v>
      </c>
      <c r="Q6" s="190">
        <v>615601722.92999995</v>
      </c>
      <c r="R6" s="190">
        <v>0</v>
      </c>
      <c r="S6" s="190">
        <v>281305161.80000001</v>
      </c>
      <c r="T6" s="190">
        <v>0</v>
      </c>
      <c r="U6" s="190">
        <v>640477322.51999998</v>
      </c>
      <c r="V6" s="190">
        <v>0</v>
      </c>
      <c r="W6" s="190">
        <v>313438532.41000003</v>
      </c>
      <c r="X6" s="190">
        <v>0</v>
      </c>
      <c r="Y6" s="190">
        <v>660996817.02999997</v>
      </c>
      <c r="Z6" s="190">
        <v>0</v>
      </c>
      <c r="AA6" s="190">
        <v>330900138.69999999</v>
      </c>
      <c r="AB6" s="190">
        <v>0</v>
      </c>
      <c r="AC6" s="190">
        <v>700477452.44000006</v>
      </c>
      <c r="AD6" s="190">
        <v>0</v>
      </c>
      <c r="AE6" s="190">
        <v>353569837.38999999</v>
      </c>
      <c r="AF6" s="190">
        <v>0</v>
      </c>
      <c r="AG6" s="190">
        <v>722805104.55999994</v>
      </c>
      <c r="AH6" s="190">
        <v>0</v>
      </c>
      <c r="AI6" s="190">
        <v>360067389.06999999</v>
      </c>
      <c r="AJ6" s="190">
        <v>0</v>
      </c>
      <c r="AK6" s="190">
        <v>646335570.79999995</v>
      </c>
      <c r="AL6" s="190">
        <v>0</v>
      </c>
      <c r="AM6" s="190">
        <v>352652082.83999997</v>
      </c>
      <c r="AN6" s="190">
        <v>0</v>
      </c>
      <c r="AO6" s="190">
        <v>434466978.80000001</v>
      </c>
      <c r="AP6" s="190">
        <v>0</v>
      </c>
      <c r="AQ6" s="190">
        <v>220055249.78</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c r="A7" s="17" t="s">
        <v>306</v>
      </c>
      <c r="B7" s="190">
        <v>0</v>
      </c>
      <c r="C7" s="190">
        <v>7081526.21</v>
      </c>
      <c r="D7" s="190">
        <v>0</v>
      </c>
      <c r="E7" s="190">
        <v>13655637.59</v>
      </c>
      <c r="F7" s="190">
        <v>0</v>
      </c>
      <c r="G7" s="190">
        <v>6652366.8200000003</v>
      </c>
      <c r="H7" s="190">
        <v>0</v>
      </c>
      <c r="I7" s="190">
        <v>13017183.08</v>
      </c>
      <c r="J7" s="190">
        <v>0</v>
      </c>
      <c r="K7" s="190">
        <v>6602244.1799999997</v>
      </c>
      <c r="L7" s="190">
        <v>0</v>
      </c>
      <c r="M7" s="190">
        <v>12716890.33</v>
      </c>
      <c r="N7" s="190">
        <v>0</v>
      </c>
      <c r="O7" s="190">
        <v>6286429.4500000002</v>
      </c>
      <c r="P7" s="190">
        <v>0</v>
      </c>
      <c r="Q7" s="190">
        <v>9758275.0800000001</v>
      </c>
      <c r="R7" s="190">
        <v>0</v>
      </c>
      <c r="S7" s="190">
        <v>4226872.9000000004</v>
      </c>
      <c r="T7" s="190">
        <v>0</v>
      </c>
      <c r="U7" s="190">
        <v>8486946.6699999999</v>
      </c>
      <c r="V7" s="190">
        <v>0</v>
      </c>
      <c r="W7" s="190">
        <v>4060746.45</v>
      </c>
      <c r="X7" s="190">
        <v>0</v>
      </c>
      <c r="Y7" s="190">
        <v>9029127.9100000001</v>
      </c>
      <c r="Z7" s="190">
        <v>0</v>
      </c>
      <c r="AA7" s="190">
        <v>4484684.68</v>
      </c>
      <c r="AB7" s="190">
        <v>0</v>
      </c>
      <c r="AC7" s="190">
        <v>8175665.5899999999</v>
      </c>
      <c r="AD7" s="190">
        <v>0</v>
      </c>
      <c r="AE7" s="190">
        <v>3786462.11</v>
      </c>
      <c r="AF7" s="190">
        <v>0</v>
      </c>
      <c r="AG7" s="190">
        <v>9197284.1500000004</v>
      </c>
      <c r="AH7" s="190">
        <v>0</v>
      </c>
      <c r="AI7" s="190">
        <v>4877963.95</v>
      </c>
      <c r="AJ7" s="190">
        <v>0</v>
      </c>
      <c r="AK7" s="190">
        <v>7271245.3099999996</v>
      </c>
      <c r="AL7" s="190">
        <v>0</v>
      </c>
      <c r="AM7" s="190">
        <v>4907043.74</v>
      </c>
      <c r="AN7" s="190">
        <v>0</v>
      </c>
      <c r="AO7" s="190">
        <v>1586144.88</v>
      </c>
      <c r="AP7" s="190">
        <v>0</v>
      </c>
      <c r="AQ7" s="190">
        <v>845090.25</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c r="A8" s="17" t="s">
        <v>307</v>
      </c>
      <c r="B8" s="190">
        <v>0</v>
      </c>
      <c r="C8" s="190">
        <v>34005626.619999997</v>
      </c>
      <c r="D8" s="190">
        <v>0</v>
      </c>
      <c r="E8" s="190">
        <v>61315287.07</v>
      </c>
      <c r="F8" s="190">
        <v>0</v>
      </c>
      <c r="G8" s="190">
        <v>28987908.420000002</v>
      </c>
      <c r="H8" s="190">
        <v>0</v>
      </c>
      <c r="I8" s="190">
        <v>46386919.689999998</v>
      </c>
      <c r="J8" s="190">
        <v>0</v>
      </c>
      <c r="K8" s="190">
        <v>22006603.620000001</v>
      </c>
      <c r="L8" s="190">
        <v>0</v>
      </c>
      <c r="M8" s="190">
        <v>34520032.619999997</v>
      </c>
      <c r="N8" s="190">
        <v>0</v>
      </c>
      <c r="O8" s="190">
        <v>15251087.630000001</v>
      </c>
      <c r="P8" s="190">
        <v>0</v>
      </c>
      <c r="Q8" s="190">
        <v>27253805.43</v>
      </c>
      <c r="R8" s="190">
        <v>0</v>
      </c>
      <c r="S8" s="190">
        <v>14380864.119999999</v>
      </c>
      <c r="T8" s="190">
        <v>0</v>
      </c>
      <c r="U8" s="190">
        <v>32579186.390000001</v>
      </c>
      <c r="V8" s="190">
        <v>0</v>
      </c>
      <c r="W8" s="190">
        <v>16946915.23</v>
      </c>
      <c r="X8" s="190">
        <v>0</v>
      </c>
      <c r="Y8" s="190">
        <v>36112959.259999998</v>
      </c>
      <c r="Z8" s="190">
        <v>0</v>
      </c>
      <c r="AA8" s="190">
        <v>20521731.27</v>
      </c>
      <c r="AB8" s="190">
        <v>0</v>
      </c>
      <c r="AC8" s="190">
        <v>48417441.210000001</v>
      </c>
      <c r="AD8" s="190">
        <v>0</v>
      </c>
      <c r="AE8" s="190">
        <v>33027836.780000001</v>
      </c>
      <c r="AF8" s="190">
        <v>0</v>
      </c>
      <c r="AG8" s="190">
        <v>38118543.149999999</v>
      </c>
      <c r="AH8" s="190">
        <v>0</v>
      </c>
      <c r="AI8" s="190">
        <v>19325171.309999999</v>
      </c>
      <c r="AJ8" s="190">
        <v>0</v>
      </c>
      <c r="AK8" s="190">
        <v>29472070.109999999</v>
      </c>
      <c r="AL8" s="190">
        <v>0</v>
      </c>
      <c r="AM8" s="190">
        <v>17523174.57</v>
      </c>
      <c r="AN8" s="190">
        <v>0</v>
      </c>
      <c r="AO8" s="190">
        <v>0</v>
      </c>
      <c r="AP8" s="190">
        <v>0</v>
      </c>
      <c r="AQ8" s="190">
        <v>-3272209.09</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c r="A9" s="17" t="s">
        <v>308</v>
      </c>
      <c r="B9" s="190">
        <v>0</v>
      </c>
      <c r="C9" s="190">
        <v>261019.6</v>
      </c>
      <c r="D9" s="190">
        <v>0</v>
      </c>
      <c r="E9" s="190">
        <v>-3657328.2</v>
      </c>
      <c r="F9" s="190">
        <v>0</v>
      </c>
      <c r="G9" s="190">
        <v>-3245153.05</v>
      </c>
      <c r="H9" s="190">
        <v>0</v>
      </c>
      <c r="I9" s="190">
        <v>6305863.9199999999</v>
      </c>
      <c r="J9" s="190">
        <v>0</v>
      </c>
      <c r="K9" s="190">
        <v>3446982.34</v>
      </c>
      <c r="L9" s="190">
        <v>0</v>
      </c>
      <c r="M9" s="190">
        <v>1838674.34</v>
      </c>
      <c r="N9" s="190">
        <v>0</v>
      </c>
      <c r="O9" s="190">
        <v>275015.77</v>
      </c>
      <c r="P9" s="190">
        <v>0</v>
      </c>
      <c r="Q9" s="190">
        <v>20295106.23</v>
      </c>
      <c r="R9" s="190">
        <v>0</v>
      </c>
      <c r="S9" s="190">
        <v>2914020.37</v>
      </c>
      <c r="T9" s="190">
        <v>0</v>
      </c>
      <c r="U9" s="190">
        <v>1912291.32</v>
      </c>
      <c r="V9" s="190">
        <v>0</v>
      </c>
      <c r="W9" s="190">
        <v>68747.679999999993</v>
      </c>
      <c r="X9" s="190">
        <v>0</v>
      </c>
      <c r="Y9" s="190">
        <v>1095331.6000000001</v>
      </c>
      <c r="Z9" s="190">
        <v>0</v>
      </c>
      <c r="AA9" s="190">
        <v>714503.17</v>
      </c>
      <c r="AB9" s="190">
        <v>0</v>
      </c>
      <c r="AC9" s="190">
        <v>6136174.5300000003</v>
      </c>
      <c r="AD9" s="190">
        <v>0</v>
      </c>
      <c r="AE9" s="190">
        <v>1553017.11</v>
      </c>
      <c r="AF9" s="190">
        <v>0</v>
      </c>
      <c r="AG9" s="190">
        <v>810820.36</v>
      </c>
      <c r="AH9" s="190">
        <v>0</v>
      </c>
      <c r="AI9" s="190">
        <v>-257394.23</v>
      </c>
      <c r="AJ9" s="190">
        <v>0</v>
      </c>
      <c r="AK9" s="190">
        <v>415296.61</v>
      </c>
      <c r="AL9" s="190">
        <v>0</v>
      </c>
      <c r="AM9" s="190">
        <v>249641.93</v>
      </c>
      <c r="AN9" s="190">
        <v>0</v>
      </c>
      <c r="AO9" s="190">
        <v>-633994.59</v>
      </c>
      <c r="AP9" s="190">
        <v>0</v>
      </c>
      <c r="AQ9" s="190">
        <v>-661025</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c r="A10" s="17" t="s">
        <v>309</v>
      </c>
      <c r="B10" s="190">
        <v>0</v>
      </c>
      <c r="C10" s="190">
        <v>-805207.89</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2625775.1800000002</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3">
        <f t="shared" ref="R12" si="4">V34</f>
        <v>7206369226.2600002</v>
      </c>
      <c r="S12" s="193">
        <f t="shared" ref="S12" si="5">W34</f>
        <v>7305520980.6000004</v>
      </c>
      <c r="T12" s="193">
        <f t="shared" ref="T12" si="6">X34</f>
        <v>7309510343.54</v>
      </c>
      <c r="U12" s="193">
        <f t="shared" ref="U12" si="7">Y34</f>
        <v>7323681060.21</v>
      </c>
      <c r="V12" s="193">
        <f t="shared" ref="V12" si="8">Z34</f>
        <v>7096907237.8900003</v>
      </c>
      <c r="W12" s="193">
        <f t="shared" ref="W12" si="9">AA34</f>
        <v>7178823552.6900005</v>
      </c>
      <c r="X12" s="193">
        <f t="shared" ref="X12" si="10">AB34</f>
        <v>7177450438.9000006</v>
      </c>
      <c r="Y12" s="193">
        <f t="shared" ref="Y12" si="11">AC34</f>
        <v>7191077877.1500006</v>
      </c>
      <c r="Z12" s="193">
        <f t="shared" ref="Z12" si="12">AD34</f>
        <v>7214379651.8800001</v>
      </c>
      <c r="AA12" s="193">
        <f t="shared" ref="AA12" si="13">AE34</f>
        <v>7202577572.4200001</v>
      </c>
      <c r="AB12" s="193">
        <f t="shared" ref="AB12" si="14">AF34</f>
        <v>7220461628.0700006</v>
      </c>
      <c r="AC12" s="193">
        <f t="shared" ref="AC12" si="15">AG34</f>
        <v>7302164048.0600004</v>
      </c>
      <c r="AD12" s="193">
        <f t="shared" ref="AD12" si="16">AH34</f>
        <v>7390458786.0300007</v>
      </c>
      <c r="AE12" s="193">
        <f t="shared" ref="AE12" si="17">AI34</f>
        <v>7429552899.6000004</v>
      </c>
      <c r="AF12" s="193">
        <f t="shared" ref="AF12" si="18">AJ34</f>
        <v>7515825873.4499998</v>
      </c>
      <c r="AG12" s="193">
        <f t="shared" ref="AG12" si="19">AK34</f>
        <v>7564552230.4400005</v>
      </c>
      <c r="AH12" s="193">
        <f t="shared" ref="AH12" si="20">AL34</f>
        <v>7607103266.1599998</v>
      </c>
      <c r="AI12" s="193">
        <f t="shared" ref="AI12" si="21">AM34</f>
        <v>7706877443.3000002</v>
      </c>
      <c r="AJ12" s="193">
        <f t="shared" ref="AJ12" si="22">AN34</f>
        <v>4750016360.8599997</v>
      </c>
      <c r="AK12" s="193">
        <f t="shared" ref="AK12" si="23">AO34</f>
        <v>4754868668.1300001</v>
      </c>
      <c r="AL12" s="193">
        <f t="shared" ref="AL12" si="24">AP34</f>
        <v>4841679198.5100002</v>
      </c>
      <c r="AM12" s="193">
        <f t="shared" ref="AM12" si="25">AQ34</f>
        <v>4945499008.7600002</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4841679198.5100002</v>
      </c>
      <c r="BN12" s="193">
        <f t="shared" ref="BN12" si="52">BR34</f>
        <v>4945499008.7600002</v>
      </c>
    </row>
    <row r="13" spans="1:74" s="220" customFormat="1">
      <c r="A13" s="220" t="s">
        <v>350</v>
      </c>
      <c r="E13" s="220">
        <f>E11/E12</f>
        <v>-4.5112043930198201E-2</v>
      </c>
      <c r="F13" s="220">
        <f t="shared" ref="F13:AR13" si="53">F11/F12</f>
        <v>1.4292505627880311E-2</v>
      </c>
      <c r="G13" s="220">
        <f t="shared" si="53"/>
        <v>-2.4531284883839048E-2</v>
      </c>
      <c r="H13" s="220">
        <f t="shared" si="53"/>
        <v>8.3057177066180408E-3</v>
      </c>
      <c r="I13" s="220">
        <f t="shared" si="53"/>
        <v>-3.4954246403175543E-2</v>
      </c>
      <c r="J13" s="220">
        <f t="shared" si="53"/>
        <v>2.6422958309188335E-2</v>
      </c>
      <c r="K13" s="220">
        <f t="shared" si="53"/>
        <v>-1.6433305780006253E-2</v>
      </c>
      <c r="L13" s="220">
        <f t="shared" si="53"/>
        <v>1.257077521056205E-2</v>
      </c>
      <c r="M13" s="220">
        <f t="shared" si="53"/>
        <v>-2.8622167927737283E-2</v>
      </c>
      <c r="N13" s="220">
        <f t="shared" si="53"/>
        <v>4.1412762869237958E-2</v>
      </c>
      <c r="O13" s="220">
        <f t="shared" si="53"/>
        <v>-9.9787117490572307E-3</v>
      </c>
      <c r="P13" s="220">
        <f t="shared" si="53"/>
        <v>1.3123095627542842E-2</v>
      </c>
      <c r="Q13" s="220">
        <f t="shared" si="53"/>
        <v>-4.0689391027787285E-2</v>
      </c>
      <c r="R13" s="220">
        <f t="shared" si="53"/>
        <v>3.7031448195514904E-2</v>
      </c>
      <c r="S13" s="220">
        <f t="shared" si="53"/>
        <v>-1.724699373043917E-2</v>
      </c>
      <c r="T13" s="220">
        <f t="shared" si="53"/>
        <v>8.8806819101595776E-3</v>
      </c>
      <c r="U13" s="220">
        <f t="shared" si="53"/>
        <v>-4.7203522452421924E-2</v>
      </c>
      <c r="V13" s="220">
        <f t="shared" si="53"/>
        <v>3.9840988604222541E-2</v>
      </c>
      <c r="W13" s="220">
        <f t="shared" si="53"/>
        <v>-1.6981112826532814E-2</v>
      </c>
      <c r="X13" s="220">
        <f t="shared" si="53"/>
        <v>2.003618733897378E-2</v>
      </c>
      <c r="Y13" s="220">
        <f t="shared" si="53"/>
        <v>-4.9006943137107253E-2</v>
      </c>
      <c r="Z13" s="220">
        <f t="shared" si="53"/>
        <v>3.1650199228217442E-2</v>
      </c>
      <c r="AA13" s="220">
        <f t="shared" si="53"/>
        <v>-2.1165102055093931E-2</v>
      </c>
      <c r="AB13" s="220">
        <f t="shared" si="53"/>
        <v>2.0276237398845248E-2</v>
      </c>
      <c r="AC13" s="220">
        <f t="shared" si="53"/>
        <v>-3.1817942636022653E-2</v>
      </c>
      <c r="AD13" s="220">
        <f t="shared" si="53"/>
        <v>4.748064541856381E-2</v>
      </c>
      <c r="AE13" s="220">
        <f t="shared" si="53"/>
        <v>-1.3926676764838794E-2</v>
      </c>
      <c r="AF13" s="220">
        <f t="shared" si="53"/>
        <v>1.3718592224738552E-2</v>
      </c>
      <c r="AG13" s="220">
        <f t="shared" si="53"/>
        <v>-4.0925054001774389E-2</v>
      </c>
      <c r="AH13" s="220">
        <f t="shared" si="53"/>
        <v>4.144956178426723E-2</v>
      </c>
      <c r="AI13" s="220">
        <f t="shared" si="53"/>
        <v>-1.9377119150873055E-2</v>
      </c>
      <c r="AJ13" s="220">
        <f t="shared" si="53"/>
        <v>2.8373967207893654E-2</v>
      </c>
      <c r="AK13" s="220">
        <f t="shared" si="53"/>
        <v>6.3378830757173862E-2</v>
      </c>
      <c r="AL13" s="220">
        <f t="shared" si="53"/>
        <v>4.0021090653761492E-2</v>
      </c>
      <c r="AM13" s="220">
        <f t="shared" si="53"/>
        <v>-4.1646283886657046E-2</v>
      </c>
      <c r="AN13" s="220">
        <f t="shared" si="53"/>
        <v>2.1188888654587748E-2</v>
      </c>
      <c r="AO13" s="220">
        <f t="shared" si="53"/>
        <v>-6.5262141361557668E-2</v>
      </c>
      <c r="AP13" s="220">
        <f t="shared" si="53"/>
        <v>1.5564466857281717E-2</v>
      </c>
      <c r="AQ13" s="220">
        <f t="shared" si="53"/>
        <v>-2.7709128345900485E-2</v>
      </c>
      <c r="AR13" s="220">
        <f t="shared" si="53"/>
        <v>7.8035645681340682E-4</v>
      </c>
    </row>
    <row r="14" spans="1:74" s="48" customFormat="1">
      <c r="A14" s="46" t="s">
        <v>293</v>
      </c>
    </row>
    <row r="15" spans="1:74" s="26" customFormat="1">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c r="A16" s="17" t="s">
        <v>314</v>
      </c>
      <c r="B16" s="190">
        <v>0</v>
      </c>
      <c r="C16" s="190">
        <v>0</v>
      </c>
      <c r="D16" s="190">
        <v>0</v>
      </c>
      <c r="E16" s="190">
        <v>0</v>
      </c>
      <c r="F16" s="190">
        <v>0</v>
      </c>
      <c r="G16" s="190">
        <v>0</v>
      </c>
      <c r="H16" s="190">
        <v>0</v>
      </c>
      <c r="I16" s="190">
        <v>-4911283.58</v>
      </c>
      <c r="J16" s="190">
        <v>0</v>
      </c>
      <c r="K16" s="190">
        <v>0</v>
      </c>
      <c r="L16" s="190">
        <v>0</v>
      </c>
      <c r="M16" s="190">
        <v>0</v>
      </c>
      <c r="N16" s="190">
        <v>0</v>
      </c>
      <c r="O16" s="190">
        <v>0</v>
      </c>
      <c r="P16" s="190">
        <v>0</v>
      </c>
      <c r="Q16" s="190">
        <v>72009699.129999995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3269464666.25</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3" customFormat="1">
      <c r="A19" s="193" t="s">
        <v>299</v>
      </c>
      <c r="E19" s="193">
        <f>E5+E17</f>
        <v>200881273.53</v>
      </c>
      <c r="F19" s="193">
        <f t="shared" ref="F19:AS19" si="55">F5+F17</f>
        <v>110266687.33</v>
      </c>
      <c r="G19" s="193">
        <f t="shared" si="55"/>
        <v>81509757.659999996</v>
      </c>
      <c r="H19" s="193">
        <f t="shared" si="55"/>
        <v>65286821.829999998</v>
      </c>
      <c r="I19" s="193">
        <f t="shared" si="55"/>
        <v>297072873.11000001</v>
      </c>
      <c r="J19" s="193">
        <f t="shared" si="55"/>
        <v>205757345.78</v>
      </c>
      <c r="K19" s="193">
        <f t="shared" si="55"/>
        <v>167327610.42000002</v>
      </c>
      <c r="L19" s="193">
        <f t="shared" si="55"/>
        <v>98678472.460000008</v>
      </c>
      <c r="M19" s="193">
        <f t="shared" si="55"/>
        <v>394174289.16000003</v>
      </c>
      <c r="N19" s="193">
        <f t="shared" si="55"/>
        <v>325023789.67000002</v>
      </c>
      <c r="O19" s="193">
        <f t="shared" si="55"/>
        <v>227819719.44</v>
      </c>
      <c r="P19" s="193">
        <f t="shared" si="55"/>
        <v>101584998.55000001</v>
      </c>
      <c r="Q19" s="193">
        <f t="shared" si="55"/>
        <v>452538462.42999995</v>
      </c>
      <c r="R19" s="193">
        <f t="shared" si="55"/>
        <v>266862288.68000001</v>
      </c>
      <c r="S19" s="193">
        <f t="shared" si="55"/>
        <v>176828644.64000002</v>
      </c>
      <c r="T19" s="193">
        <f t="shared" si="55"/>
        <v>64913436.280000001</v>
      </c>
      <c r="U19" s="193">
        <f t="shared" si="55"/>
        <v>337752203.54000002</v>
      </c>
      <c r="V19" s="193">
        <f t="shared" si="55"/>
        <v>282747800.38999999</v>
      </c>
      <c r="W19" s="193">
        <f t="shared" si="55"/>
        <v>212610529.06</v>
      </c>
      <c r="X19" s="193">
        <f t="shared" si="55"/>
        <v>143808741.60999998</v>
      </c>
      <c r="Y19" s="193">
        <f t="shared" si="55"/>
        <v>354821491.18000001</v>
      </c>
      <c r="Z19" s="193">
        <f t="shared" si="55"/>
        <v>228336553.28999999</v>
      </c>
      <c r="AA19" s="193">
        <f t="shared" si="55"/>
        <v>204177768.44</v>
      </c>
      <c r="AB19" s="193">
        <f t="shared" si="55"/>
        <v>146403794.09999999</v>
      </c>
      <c r="AC19" s="193">
        <f t="shared" si="55"/>
        <v>530866896.97000003</v>
      </c>
      <c r="AD19" s="193">
        <f t="shared" si="55"/>
        <v>350903753.10000002</v>
      </c>
      <c r="AE19" s="193">
        <f t="shared" si="55"/>
        <v>288468171.64999998</v>
      </c>
      <c r="AF19" s="193">
        <f t="shared" si="55"/>
        <v>103106550.39</v>
      </c>
      <c r="AG19" s="193">
        <f t="shared" si="55"/>
        <v>461352043.69</v>
      </c>
      <c r="AH19" s="193">
        <f t="shared" si="55"/>
        <v>315311096.82999998</v>
      </c>
      <c r="AI19" s="193">
        <f t="shared" si="55"/>
        <v>234676047.59999999</v>
      </c>
      <c r="AJ19" s="193">
        <f t="shared" si="55"/>
        <v>134776808.45999998</v>
      </c>
      <c r="AK19" s="193">
        <f t="shared" si="55"/>
        <v>4254316865.6700001</v>
      </c>
      <c r="AL19" s="193">
        <f t="shared" si="55"/>
        <v>193769282.12</v>
      </c>
      <c r="AM19" s="193">
        <f t="shared" si="55"/>
        <v>169370287.40000001</v>
      </c>
      <c r="AN19" s="193">
        <f t="shared" si="55"/>
        <v>105596741.39999999</v>
      </c>
      <c r="AO19" s="193">
        <f t="shared" si="55"/>
        <v>106006847.71000001</v>
      </c>
      <c r="AP19" s="193">
        <f t="shared" si="55"/>
        <v>79687358.280000001</v>
      </c>
      <c r="AQ19" s="193">
        <f t="shared" si="55"/>
        <v>73812764.530000001</v>
      </c>
      <c r="AR19" s="193">
        <f t="shared" si="55"/>
        <v>4081063.05</v>
      </c>
      <c r="AS19" s="193">
        <f t="shared" si="55"/>
        <v>0</v>
      </c>
    </row>
    <row r="20" spans="1:74" s="193" customFormat="1">
      <c r="A20" s="193" t="s">
        <v>300</v>
      </c>
      <c r="B20" s="190">
        <v>3876870034.4499998</v>
      </c>
      <c r="C20" s="190">
        <v>596647017.74000001</v>
      </c>
      <c r="D20" s="190">
        <v>2398028543.6900001</v>
      </c>
      <c r="E20" s="190">
        <v>9766175822.6599998</v>
      </c>
      <c r="F20" s="190">
        <v>6093165397.6400003</v>
      </c>
      <c r="G20" s="190">
        <v>3164691697.5500002</v>
      </c>
      <c r="H20" s="190">
        <v>1843612667.26</v>
      </c>
      <c r="I20" s="190">
        <v>11696760569.209999</v>
      </c>
      <c r="J20" s="190">
        <v>10562390293.709999</v>
      </c>
      <c r="K20" s="190">
        <v>4311242229.5799999</v>
      </c>
      <c r="L20" s="190">
        <v>759516944.14999998</v>
      </c>
      <c r="M20" s="190">
        <v>6691068449.7799997</v>
      </c>
      <c r="N20" s="190">
        <v>5709770665.1999998</v>
      </c>
      <c r="O20" s="190">
        <v>3116614507.29</v>
      </c>
      <c r="P20" s="190">
        <v>1932422884.71</v>
      </c>
      <c r="Q20" s="190">
        <v>794565645.34000003</v>
      </c>
      <c r="R20" s="190">
        <v>-753891432.66999996</v>
      </c>
      <c r="S20" s="190">
        <v>-1826814406.4000001</v>
      </c>
      <c r="T20" s="190">
        <v>-2201725478.6399999</v>
      </c>
      <c r="U20" s="190">
        <v>1458910756.8800001</v>
      </c>
      <c r="V20" s="190">
        <v>313978957.69999999</v>
      </c>
      <c r="W20" s="190">
        <v>1497787082.24</v>
      </c>
      <c r="X20" s="190">
        <v>1136711876.1900001</v>
      </c>
      <c r="Y20" s="190">
        <v>8749667084.4799995</v>
      </c>
      <c r="Z20" s="190">
        <v>6548229191.1899996</v>
      </c>
      <c r="AA20" s="190">
        <v>3947604599.0900002</v>
      </c>
      <c r="AB20" s="190">
        <v>1681643781.72</v>
      </c>
      <c r="AC20" s="190">
        <v>9533022924.4099998</v>
      </c>
      <c r="AD20" s="190">
        <v>6771939952.1899996</v>
      </c>
      <c r="AE20" s="190">
        <v>5409806169.54</v>
      </c>
      <c r="AF20" s="190">
        <v>2364903317.4000001</v>
      </c>
      <c r="AG20" s="190">
        <v>7703120285.2600002</v>
      </c>
      <c r="AH20" s="190">
        <v>4790789702.7799997</v>
      </c>
      <c r="AI20" s="190">
        <v>3138660150.8800001</v>
      </c>
      <c r="AJ20" s="190">
        <v>2138624515.8499999</v>
      </c>
      <c r="AK20" s="190">
        <v>6054009663</v>
      </c>
      <c r="AL20" s="190">
        <v>4845240857.8000002</v>
      </c>
      <c r="AM20" s="190">
        <v>1883351626.01</v>
      </c>
      <c r="AN20" s="190">
        <v>1227477879.51</v>
      </c>
      <c r="AO20" s="190">
        <v>1972636550.8099999</v>
      </c>
      <c r="AP20" s="190">
        <v>1857136349.6300001</v>
      </c>
      <c r="AQ20" s="190">
        <v>1196792212.5999999</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c r="A21" s="221" t="s">
        <v>666</v>
      </c>
      <c r="E21" s="221">
        <f>E20/E19</f>
        <v>48.616656251940277</v>
      </c>
      <c r="F21" s="221">
        <f t="shared" ref="F21:AS21" si="56">F20/F19</f>
        <v>55.258442465082084</v>
      </c>
      <c r="G21" s="221">
        <f t="shared" si="56"/>
        <v>38.825924507723535</v>
      </c>
      <c r="H21" s="221">
        <f t="shared" si="56"/>
        <v>28.238664642928601</v>
      </c>
      <c r="I21" s="221">
        <f t="shared" si="56"/>
        <v>39.37337141139416</v>
      </c>
      <c r="J21" s="221">
        <f t="shared" si="56"/>
        <v>51.334207552441526</v>
      </c>
      <c r="K21" s="221">
        <f t="shared" si="56"/>
        <v>25.765276984226233</v>
      </c>
      <c r="L21" s="221">
        <f t="shared" si="56"/>
        <v>7.6968859085032486</v>
      </c>
      <c r="M21" s="221">
        <f t="shared" si="56"/>
        <v>16.974898246252728</v>
      </c>
      <c r="N21" s="221">
        <f t="shared" si="56"/>
        <v>17.567239219618934</v>
      </c>
      <c r="O21" s="221">
        <f t="shared" si="56"/>
        <v>13.680178849095681</v>
      </c>
      <c r="P21" s="221">
        <f t="shared" si="56"/>
        <v>19.022719026361592</v>
      </c>
      <c r="Q21" s="221">
        <f t="shared" si="56"/>
        <v>1.755796935079095</v>
      </c>
      <c r="R21" s="221">
        <f t="shared" si="56"/>
        <v>-2.8250204867800055</v>
      </c>
      <c r="S21" s="221">
        <f t="shared" si="56"/>
        <v>-10.330986872173087</v>
      </c>
      <c r="T21" s="221">
        <f t="shared" si="56"/>
        <v>-33.917869778808139</v>
      </c>
      <c r="U21" s="221">
        <f t="shared" si="56"/>
        <v>4.3194707290998364</v>
      </c>
      <c r="V21" s="221">
        <f t="shared" si="56"/>
        <v>1.1104558807068428</v>
      </c>
      <c r="W21" s="221">
        <f t="shared" si="56"/>
        <v>7.0447455676915949</v>
      </c>
      <c r="X21" s="221">
        <f t="shared" si="56"/>
        <v>7.9043308735201174</v>
      </c>
      <c r="Y21" s="221">
        <f t="shared" si="56"/>
        <v>24.659349284007479</v>
      </c>
      <c r="Z21" s="221">
        <f t="shared" si="56"/>
        <v>28.677971603054672</v>
      </c>
      <c r="AA21" s="221">
        <f t="shared" si="56"/>
        <v>19.334154884987147</v>
      </c>
      <c r="AB21" s="221">
        <f t="shared" si="56"/>
        <v>11.486340173475053</v>
      </c>
      <c r="AC21" s="221">
        <f t="shared" si="56"/>
        <v>17.957463497575596</v>
      </c>
      <c r="AD21" s="221">
        <f t="shared" si="56"/>
        <v>19.298568032870662</v>
      </c>
      <c r="AE21" s="221">
        <f t="shared" si="56"/>
        <v>18.753563481879546</v>
      </c>
      <c r="AF21" s="221">
        <f t="shared" si="56"/>
        <v>22.936499266581659</v>
      </c>
      <c r="AG21" s="221">
        <f t="shared" si="56"/>
        <v>16.696837893355081</v>
      </c>
      <c r="AH21" s="221">
        <f t="shared" si="56"/>
        <v>15.193850615929811</v>
      </c>
      <c r="AI21" s="221">
        <f t="shared" si="56"/>
        <v>13.374437583122139</v>
      </c>
      <c r="AJ21" s="221">
        <f t="shared" si="56"/>
        <v>15.867897009037101</v>
      </c>
      <c r="AK21" s="221">
        <f t="shared" si="56"/>
        <v>1.4230274458051144</v>
      </c>
      <c r="AL21" s="221">
        <f t="shared" si="56"/>
        <v>25.005206216325739</v>
      </c>
      <c r="AM21" s="221">
        <f t="shared" si="56"/>
        <v>11.119728583574453</v>
      </c>
      <c r="AN21" s="221">
        <f t="shared" si="56"/>
        <v>11.624202255070724</v>
      </c>
      <c r="AO21" s="221">
        <f t="shared" si="56"/>
        <v>18.608576647864172</v>
      </c>
      <c r="AP21" s="221">
        <f t="shared" si="56"/>
        <v>23.305281913155174</v>
      </c>
      <c r="AQ21" s="221">
        <f t="shared" si="56"/>
        <v>16.213892274873178</v>
      </c>
      <c r="AR21" s="221">
        <f t="shared" si="56"/>
        <v>287.16693512245541</v>
      </c>
      <c r="AS21" s="221" t="e">
        <f t="shared" si="56"/>
        <v>#DIV/0!</v>
      </c>
    </row>
    <row r="22" spans="1:74" s="193" customFormat="1">
      <c r="A22" s="193" t="s">
        <v>301</v>
      </c>
      <c r="E22" s="193">
        <f>I35</f>
        <v>35271136987.740005</v>
      </c>
      <c r="F22" s="193">
        <f t="shared" ref="F22:Y22" si="57">J35</f>
        <v>34215368026.389999</v>
      </c>
      <c r="G22" s="193">
        <f t="shared" si="57"/>
        <v>31154374222.149998</v>
      </c>
      <c r="H22" s="193">
        <f t="shared" si="57"/>
        <v>27457022528.27</v>
      </c>
      <c r="I22" s="193">
        <f t="shared" si="57"/>
        <v>26773901419.16</v>
      </c>
      <c r="J22" s="193">
        <f t="shared" si="57"/>
        <v>25763643116.34</v>
      </c>
      <c r="K22" s="193">
        <f t="shared" si="57"/>
        <v>23225293875.670002</v>
      </c>
      <c r="L22" s="193">
        <f t="shared" si="57"/>
        <v>24474208028.779999</v>
      </c>
      <c r="M22" s="193">
        <f t="shared" si="57"/>
        <v>22599705731.139999</v>
      </c>
      <c r="N22" s="193">
        <f t="shared" si="57"/>
        <v>21126333163.73</v>
      </c>
      <c r="O22" s="193">
        <f t="shared" si="57"/>
        <v>20387235252.57</v>
      </c>
      <c r="P22" s="193">
        <f t="shared" si="57"/>
        <v>23073039389.989998</v>
      </c>
      <c r="Q22" s="193">
        <f t="shared" si="57"/>
        <v>26118692258.639999</v>
      </c>
      <c r="R22" s="193">
        <f t="shared" si="57"/>
        <v>25031477832.98</v>
      </c>
      <c r="S22" s="193">
        <f t="shared" si="57"/>
        <v>26224171936.170002</v>
      </c>
      <c r="T22" s="193">
        <f t="shared" si="57"/>
        <v>29270548001.169998</v>
      </c>
      <c r="U22" s="193">
        <f t="shared" si="57"/>
        <v>28282678686.579998</v>
      </c>
      <c r="V22" s="193">
        <f t="shared" si="57"/>
        <v>26212779803.650002</v>
      </c>
      <c r="W22" s="193">
        <f t="shared" si="57"/>
        <v>23584755802.830002</v>
      </c>
      <c r="X22" s="193">
        <f t="shared" si="57"/>
        <v>23195331714.5</v>
      </c>
      <c r="Y22" s="193">
        <f t="shared" si="57"/>
        <v>21865067913.639999</v>
      </c>
      <c r="Z22" s="193">
        <f t="shared" ref="Z22" si="58">AD35</f>
        <v>19184803623.789997</v>
      </c>
      <c r="AA22" s="193">
        <f t="shared" ref="AA22" si="59">AE35</f>
        <v>18379973645.23</v>
      </c>
      <c r="AB22" s="193">
        <f t="shared" ref="AB22" si="60">AF35</f>
        <v>16253007648.639999</v>
      </c>
      <c r="AC22" s="193">
        <f t="shared" ref="AC22" si="61">AG35</f>
        <v>14218929799.84</v>
      </c>
      <c r="AD22" s="193">
        <f t="shared" ref="AD22" si="62">AH35</f>
        <v>11511333260.220001</v>
      </c>
      <c r="AE22" s="193">
        <f t="shared" ref="AE22" si="63">AI35</f>
        <v>10012132378.76</v>
      </c>
      <c r="AF22" s="193">
        <f t="shared" ref="AF22" si="64">AJ35</f>
        <v>9581517222.7000008</v>
      </c>
      <c r="AG22" s="193">
        <f t="shared" ref="AG22" si="65">AK35</f>
        <v>7596631543.4700003</v>
      </c>
      <c r="AH22" s="193">
        <f t="shared" ref="AH22" si="66">AL35</f>
        <v>6576202996.1300001</v>
      </c>
      <c r="AI22" s="193">
        <f t="shared" ref="AI22" si="67">AM35</f>
        <v>4868026612.3599997</v>
      </c>
      <c r="AJ22" s="193">
        <f t="shared" ref="AJ22" si="68">AN35</f>
        <v>7118454004.9499998</v>
      </c>
      <c r="AK22" s="193">
        <f t="shared" ref="AK22" si="69">AO35</f>
        <v>5986301716.8400002</v>
      </c>
      <c r="AL22" s="193">
        <f t="shared" ref="AL22" si="70">AP35</f>
        <v>5848815880.0900002</v>
      </c>
      <c r="AM22" s="193">
        <f t="shared" ref="AM22" si="71">AQ35</f>
        <v>5241667192.3999996</v>
      </c>
      <c r="AN22" s="193">
        <f t="shared" ref="AN22" si="72">AR35</f>
        <v>5243442422.5600004</v>
      </c>
      <c r="AO22" s="193">
        <f t="shared" ref="AO22" si="73">AS35</f>
        <v>4112072765.1799998</v>
      </c>
      <c r="AP22" s="193">
        <f t="shared" ref="AP22" si="74">AT35</f>
        <v>4726953237.1400003</v>
      </c>
      <c r="AQ22" s="193">
        <f t="shared" ref="AQ22" si="75">AU35</f>
        <v>4326616347.71</v>
      </c>
      <c r="AR22" s="193">
        <f t="shared" ref="AR22" si="76">AV35</f>
        <v>3831893890.9099998</v>
      </c>
      <c r="AS22" s="193">
        <f t="shared" ref="AS22" si="77">AW35</f>
        <v>2818848444.02</v>
      </c>
    </row>
    <row r="23" spans="1:74" s="193" customFormat="1">
      <c r="A23" s="193" t="s">
        <v>302</v>
      </c>
      <c r="E23" s="193">
        <f>E20+E22-E19</f>
        <v>44836431536.87001</v>
      </c>
      <c r="F23" s="193">
        <f t="shared" ref="F23:AS23" si="78">F20+F22-F19</f>
        <v>40198266736.699997</v>
      </c>
      <c r="G23" s="193">
        <f t="shared" si="78"/>
        <v>34237556162.039997</v>
      </c>
      <c r="H23" s="193">
        <f t="shared" si="78"/>
        <v>29235348373.699997</v>
      </c>
      <c r="I23" s="193">
        <f t="shared" si="78"/>
        <v>38173589115.259995</v>
      </c>
      <c r="J23" s="193">
        <f t="shared" si="78"/>
        <v>36120276064.270004</v>
      </c>
      <c r="K23" s="193">
        <f t="shared" si="78"/>
        <v>27369208494.830002</v>
      </c>
      <c r="L23" s="193">
        <f t="shared" si="78"/>
        <v>25135046500.470001</v>
      </c>
      <c r="M23" s="193">
        <f t="shared" si="78"/>
        <v>28896599891.759998</v>
      </c>
      <c r="N23" s="193">
        <f t="shared" si="78"/>
        <v>26511080039.260002</v>
      </c>
      <c r="O23" s="193">
        <f t="shared" si="78"/>
        <v>23276030040.420002</v>
      </c>
      <c r="P23" s="193">
        <f t="shared" si="78"/>
        <v>24903877276.149998</v>
      </c>
      <c r="Q23" s="193">
        <f t="shared" si="78"/>
        <v>26460719441.549999</v>
      </c>
      <c r="R23" s="193">
        <f t="shared" si="78"/>
        <v>24010724111.630001</v>
      </c>
      <c r="S23" s="193">
        <f t="shared" si="78"/>
        <v>24220528885.130001</v>
      </c>
      <c r="T23" s="193">
        <f t="shared" si="78"/>
        <v>27003909086.25</v>
      </c>
      <c r="U23" s="193">
        <f t="shared" si="78"/>
        <v>29403837239.919998</v>
      </c>
      <c r="V23" s="193">
        <f t="shared" si="78"/>
        <v>26244010960.960003</v>
      </c>
      <c r="W23" s="193">
        <f t="shared" si="78"/>
        <v>24869932356.010002</v>
      </c>
      <c r="X23" s="193">
        <f t="shared" si="78"/>
        <v>24188234849.079998</v>
      </c>
      <c r="Y23" s="193">
        <f t="shared" si="78"/>
        <v>30259913506.939999</v>
      </c>
      <c r="Z23" s="193">
        <f t="shared" si="78"/>
        <v>25504696261.689995</v>
      </c>
      <c r="AA23" s="193">
        <f t="shared" si="78"/>
        <v>22123400475.880001</v>
      </c>
      <c r="AB23" s="193">
        <f t="shared" si="78"/>
        <v>17788247636.260002</v>
      </c>
      <c r="AC23" s="193">
        <f t="shared" si="78"/>
        <v>23221085827.279999</v>
      </c>
      <c r="AD23" s="193">
        <f t="shared" si="78"/>
        <v>17932369459.310001</v>
      </c>
      <c r="AE23" s="193">
        <f t="shared" si="78"/>
        <v>15133470376.65</v>
      </c>
      <c r="AF23" s="193">
        <f t="shared" si="78"/>
        <v>11843313989.710001</v>
      </c>
      <c r="AG23" s="193">
        <f t="shared" si="78"/>
        <v>14838399785.039999</v>
      </c>
      <c r="AH23" s="193">
        <f t="shared" si="78"/>
        <v>11051681602.08</v>
      </c>
      <c r="AI23" s="193">
        <f t="shared" si="78"/>
        <v>7772010715.6399994</v>
      </c>
      <c r="AJ23" s="193">
        <f t="shared" si="78"/>
        <v>9122301712.3400002</v>
      </c>
      <c r="AK23" s="193">
        <f t="shared" si="78"/>
        <v>7785994514.1700001</v>
      </c>
      <c r="AL23" s="193">
        <f t="shared" si="78"/>
        <v>10500287455.769999</v>
      </c>
      <c r="AM23" s="193">
        <f t="shared" si="78"/>
        <v>6955648531.0100002</v>
      </c>
      <c r="AN23" s="193">
        <f t="shared" si="78"/>
        <v>6365323560.670001</v>
      </c>
      <c r="AO23" s="193">
        <f t="shared" si="78"/>
        <v>5978702468.2799997</v>
      </c>
      <c r="AP23" s="193">
        <f t="shared" si="78"/>
        <v>6504402228.4900007</v>
      </c>
      <c r="AQ23" s="193">
        <f t="shared" si="78"/>
        <v>5449595795.7799997</v>
      </c>
      <c r="AR23" s="193">
        <f t="shared" si="78"/>
        <v>4999759195.9699993</v>
      </c>
      <c r="AS23" s="193">
        <f t="shared" si="78"/>
        <v>4484394387.7299995</v>
      </c>
    </row>
    <row r="24" spans="1:74" s="221" customFormat="1">
      <c r="A24" s="221" t="s">
        <v>303</v>
      </c>
      <c r="B24" s="190">
        <v>-3595831122.1700001</v>
      </c>
      <c r="C24" s="190">
        <v>1453715334.72</v>
      </c>
      <c r="D24" s="190">
        <v>0</v>
      </c>
      <c r="E24" s="190">
        <v>-3639243140.5500002</v>
      </c>
      <c r="F24" s="190">
        <v>-3639243140.5500002</v>
      </c>
      <c r="G24" s="190">
        <v>-3288334398</v>
      </c>
      <c r="H24" s="190">
        <v>0</v>
      </c>
      <c r="I24" s="190">
        <v>-3193927561.71</v>
      </c>
      <c r="J24" s="190">
        <v>-3123845879.1399999</v>
      </c>
      <c r="K24" s="190">
        <v>2077260</v>
      </c>
      <c r="L24" s="190">
        <v>0</v>
      </c>
      <c r="M24" s="190">
        <v>-2354913014.8000002</v>
      </c>
      <c r="N24" s="190">
        <v>-2398403819.8000002</v>
      </c>
      <c r="O24" s="190">
        <v>-2418403819.8000002</v>
      </c>
      <c r="P24" s="190">
        <v>4000000</v>
      </c>
      <c r="Q24" s="190">
        <v>-2989275619.5599999</v>
      </c>
      <c r="R24" s="190">
        <v>-2992609610.5700002</v>
      </c>
      <c r="S24" s="190">
        <v>-2994919047.9699998</v>
      </c>
      <c r="T24" s="190">
        <v>0</v>
      </c>
      <c r="U24" s="190">
        <v>-3219033426.9200001</v>
      </c>
      <c r="V24" s="190">
        <v>-3318001362.1599998</v>
      </c>
      <c r="W24" s="190">
        <v>-3391501362.1599998</v>
      </c>
      <c r="X24" s="190">
        <v>-32227986.16</v>
      </c>
      <c r="Y24" s="190">
        <v>-2113851892.23</v>
      </c>
      <c r="Z24" s="190">
        <v>-2116322677.4300001</v>
      </c>
      <c r="AA24" s="190">
        <v>-2116322677.4300001</v>
      </c>
      <c r="AB24" s="190">
        <v>-215868531.93000001</v>
      </c>
      <c r="AC24" s="190">
        <v>-1503137193.9100001</v>
      </c>
      <c r="AD24" s="190">
        <v>-1427440016</v>
      </c>
      <c r="AE24" s="190">
        <v>-1044440016</v>
      </c>
      <c r="AF24" s="190">
        <v>-205650000</v>
      </c>
      <c r="AG24" s="190">
        <v>-647767438.72000003</v>
      </c>
      <c r="AH24" s="190">
        <v>-500767438.72000003</v>
      </c>
      <c r="AI24" s="190">
        <v>-500767438.72000003</v>
      </c>
      <c r="AJ24" s="190">
        <v>0</v>
      </c>
      <c r="AK24" s="190">
        <v>-178798336</v>
      </c>
      <c r="AL24" s="190">
        <v>-193030418.09</v>
      </c>
      <c r="AM24" s="190">
        <v>-193030418.09</v>
      </c>
      <c r="AN24" s="190">
        <v>0</v>
      </c>
      <c r="AO24" s="190">
        <v>-2500000</v>
      </c>
      <c r="AP24" s="190">
        <v>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c r="A26" s="17" t="s">
        <v>630</v>
      </c>
      <c r="E26" s="26">
        <f>现金流量表!E15</f>
        <v>0</v>
      </c>
      <c r="F26" s="26">
        <f>现金流量表!F15</f>
        <v>72249917.090000004</v>
      </c>
      <c r="G26" s="26">
        <f>现金流量表!G15</f>
        <v>0</v>
      </c>
      <c r="H26" s="26">
        <f>现金流量表!H15</f>
        <v>0</v>
      </c>
      <c r="I26" s="26">
        <f>现金流量表!I15</f>
        <v>18646792.640000001</v>
      </c>
      <c r="J26" s="26">
        <f>现金流量表!J15</f>
        <v>228260900</v>
      </c>
      <c r="K26" s="26">
        <f>现金流量表!K15</f>
        <v>100000000</v>
      </c>
      <c r="L26" s="26">
        <f>现金流量表!L15</f>
        <v>0</v>
      </c>
      <c r="M26" s="26">
        <f>现金流量表!M15</f>
        <v>0</v>
      </c>
      <c r="N26" s="26">
        <f>现金流量表!N15</f>
        <v>0</v>
      </c>
      <c r="O26" s="26">
        <f>现金流量表!O15</f>
        <v>0</v>
      </c>
      <c r="P26" s="26">
        <f>现金流量表!P15</f>
        <v>0</v>
      </c>
      <c r="Q26" s="26">
        <f>现金流量表!Q15</f>
        <v>0</v>
      </c>
      <c r="R26" s="26">
        <f>现金流量表!R15</f>
        <v>139350000</v>
      </c>
      <c r="S26" s="26">
        <f>现金流量表!S15</f>
        <v>139350000</v>
      </c>
      <c r="T26" s="26">
        <f>现金流量表!T15</f>
        <v>0</v>
      </c>
      <c r="U26" s="26">
        <f>现金流量表!U15</f>
        <v>0</v>
      </c>
      <c r="V26" s="26">
        <f>现金流量表!V15</f>
        <v>9973583.3800000008</v>
      </c>
      <c r="W26" s="26">
        <f>现金流量表!W15</f>
        <v>4142881.31</v>
      </c>
      <c r="X26" s="26">
        <f>现金流量表!X15</f>
        <v>4142881.31</v>
      </c>
      <c r="Y26" s="26">
        <f>现金流量表!Y15</f>
        <v>3985608.51</v>
      </c>
      <c r="Z26" s="26">
        <f>现金流量表!Z15</f>
        <v>34576267.049999997</v>
      </c>
      <c r="AA26" s="26">
        <f>现金流量表!AA15</f>
        <v>5890410.7000000002</v>
      </c>
      <c r="AB26" s="26">
        <f>现金流量表!AB15</f>
        <v>0</v>
      </c>
      <c r="AC26" s="26">
        <f>现金流量表!AC15</f>
        <v>4200000</v>
      </c>
      <c r="AD26" s="26">
        <f>现金流量表!AD15</f>
        <v>17106275.600000001</v>
      </c>
      <c r="AE26" s="26">
        <f>现金流量表!AE15</f>
        <v>507446.54</v>
      </c>
      <c r="AF26" s="26">
        <f>现金流量表!AF15</f>
        <v>0</v>
      </c>
      <c r="AG26" s="26">
        <f>现金流量表!AG15</f>
        <v>0</v>
      </c>
      <c r="AH26" s="26">
        <f>现金流量表!AH15</f>
        <v>19914522.329999998</v>
      </c>
      <c r="AI26" s="26">
        <f>现金流量表!AI15</f>
        <v>19426925.760000002</v>
      </c>
      <c r="AJ26" s="26">
        <f>现金流量表!AJ15</f>
        <v>11519743.26</v>
      </c>
      <c r="AK26" s="26">
        <f>现金流量表!AK15</f>
        <v>11519743.26</v>
      </c>
      <c r="AL26" s="26">
        <f>现金流量表!AL15</f>
        <v>239917935.53</v>
      </c>
      <c r="AM26" s="26">
        <f>现金流量表!AM15</f>
        <v>259000000</v>
      </c>
      <c r="AN26" s="26">
        <f>现金流量表!AN15</f>
        <v>230000000</v>
      </c>
      <c r="AO26" s="26">
        <f>现金流量表!AO15</f>
        <v>229930940.88</v>
      </c>
      <c r="AP26" s="26">
        <f>现金流量表!AP15</f>
        <v>661883.51</v>
      </c>
      <c r="AQ26" s="26">
        <f>现金流量表!AQ15</f>
        <v>8596096.5099999998</v>
      </c>
      <c r="AR26" s="26">
        <f>现金流量表!AR15</f>
        <v>22165691.16</v>
      </c>
      <c r="AS26" s="26">
        <f>现金流量表!AS15</f>
        <v>8501597.6699999999</v>
      </c>
      <c r="AT26" s="26">
        <f>现金流量表!AT15</f>
        <v>11311370.23</v>
      </c>
      <c r="AU26" s="26">
        <f>现金流量表!AU15</f>
        <v>29882250.57</v>
      </c>
      <c r="AV26" s="26">
        <f>现金流量表!AV15</f>
        <v>4429898</v>
      </c>
      <c r="AW26" s="26">
        <f>现金流量表!AW15</f>
        <v>0</v>
      </c>
      <c r="AX26" s="26">
        <f>现金流量表!AX15</f>
        <v>331336099.61000001</v>
      </c>
      <c r="AY26" s="26">
        <f>现金流量表!AY15</f>
        <v>402582117.86000001</v>
      </c>
      <c r="AZ26" s="26">
        <f>现金流量表!AZ15</f>
        <v>131037707.78</v>
      </c>
      <c r="BA26" s="26">
        <f>现金流量表!BA15</f>
        <v>56269433.299999997</v>
      </c>
      <c r="BB26" s="26">
        <f>现金流量表!BB15</f>
        <v>48620029.68</v>
      </c>
      <c r="BC26" s="26">
        <f>现金流量表!BC15</f>
        <v>48410938.68</v>
      </c>
      <c r="BD26" s="26">
        <f>现金流量表!BD15</f>
        <v>41576569.200000003</v>
      </c>
      <c r="BE26" s="26">
        <f>现金流量表!BE15</f>
        <v>37472012.280000001</v>
      </c>
      <c r="BF26" s="26">
        <f>现金流量表!BF15</f>
        <v>17835477.789999999</v>
      </c>
      <c r="BG26" s="26">
        <f>现金流量表!BG15</f>
        <v>2941000</v>
      </c>
      <c r="BH26" s="26">
        <f>现金流量表!BH15</f>
        <v>2706000</v>
      </c>
      <c r="BI26" s="26">
        <f>现金流量表!BI15</f>
        <v>0</v>
      </c>
      <c r="BJ26" s="26">
        <f>现金流量表!BJ15</f>
        <v>114306933.04000001</v>
      </c>
      <c r="BK26" s="26">
        <f>现金流量表!BK15</f>
        <v>33491223.620000001</v>
      </c>
      <c r="BL26" s="26">
        <f>现金流量表!BL15</f>
        <v>28305500.989999998</v>
      </c>
      <c r="BM26" s="26">
        <f>现金流量表!BM15</f>
        <v>0</v>
      </c>
      <c r="BN26" s="26">
        <f>现金流量表!BN15</f>
        <v>2766191</v>
      </c>
      <c r="BO26" s="26">
        <f>现金流量表!BO15</f>
        <v>399800</v>
      </c>
      <c r="BP26" s="26">
        <f>现金流量表!BP15</f>
        <v>770000</v>
      </c>
      <c r="BQ26" s="26">
        <f>现金流量表!BQ15</f>
        <v>770000</v>
      </c>
      <c r="BR26" s="26">
        <f>现金流量表!BR15</f>
        <v>421702685.23000002</v>
      </c>
      <c r="BS26" s="26">
        <f>现金流量表!BS15</f>
        <v>200420280</v>
      </c>
      <c r="BT26" s="26">
        <f>现金流量表!BT15</f>
        <v>253449858.5</v>
      </c>
      <c r="BU26" s="26">
        <f>现金流量表!BU15</f>
        <v>0</v>
      </c>
      <c r="BV26" s="26">
        <f>现金流量表!BV15</f>
        <v>82049426.939999998</v>
      </c>
    </row>
    <row r="27" spans="1:74" s="26" customFormat="1">
      <c r="A27" s="17" t="s">
        <v>631</v>
      </c>
      <c r="E27" s="26">
        <f>现金流量表!E22</f>
        <v>0</v>
      </c>
      <c r="F27" s="26">
        <f>现金流量表!F22</f>
        <v>22767200</v>
      </c>
      <c r="G27" s="26">
        <f>现金流量表!G22</f>
        <v>0</v>
      </c>
      <c r="H27" s="26">
        <f>现金流量表!H22</f>
        <v>0</v>
      </c>
      <c r="I27" s="26">
        <f>现金流量表!I22</f>
        <v>0</v>
      </c>
      <c r="J27" s="26">
        <f>现金流量表!J22</f>
        <v>40013760</v>
      </c>
      <c r="K27" s="26">
        <f>现金流量表!K22</f>
        <v>40013760</v>
      </c>
      <c r="L27" s="26">
        <f>现金流量表!L22</f>
        <v>21638760</v>
      </c>
      <c r="M27" s="26">
        <f>现金流量表!M22</f>
        <v>21638760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6060916</v>
      </c>
      <c r="W27" s="26">
        <f>现金流量表!W22</f>
        <v>23146876</v>
      </c>
      <c r="X27" s="26">
        <f>现金流量表!X22</f>
        <v>4000000</v>
      </c>
      <c r="Y27" s="26">
        <f>现金流量表!Y22</f>
        <v>0</v>
      </c>
      <c r="Z27" s="26">
        <f>现金流量表!Z22</f>
        <v>621095392</v>
      </c>
      <c r="AA27" s="26">
        <f>现金流量表!AA22</f>
        <v>50035392</v>
      </c>
      <c r="AB27" s="26">
        <f>现金流量表!AB22</f>
        <v>24934140</v>
      </c>
      <c r="AC27" s="26">
        <f>现金流量表!AC22</f>
        <v>24934140</v>
      </c>
      <c r="AD27" s="26">
        <f>现金流量表!AD22</f>
        <v>178886363.59999999</v>
      </c>
      <c r="AE27" s="26">
        <f>现金流量表!AE22</f>
        <v>145513067.59999999</v>
      </c>
      <c r="AF27" s="26">
        <f>现金流量表!AF22</f>
        <v>145513067.59999999</v>
      </c>
      <c r="AG27" s="26">
        <f>现金流量表!AG22</f>
        <v>0</v>
      </c>
      <c r="AH27" s="26">
        <f>现金流量表!AH22</f>
        <v>1065249</v>
      </c>
      <c r="AI27" s="26">
        <f>现金流量表!AI22</f>
        <v>1065249</v>
      </c>
      <c r="AJ27" s="26">
        <f>现金流量表!AJ22</f>
        <v>1065249</v>
      </c>
      <c r="AK27" s="26">
        <f>现金流量表!AK22</f>
        <v>0</v>
      </c>
      <c r="AL27" s="26">
        <f>现金流量表!AL22</f>
        <v>48600448.390000001</v>
      </c>
      <c r="AM27" s="26">
        <f>现金流量表!AM22</f>
        <v>332318527.56</v>
      </c>
      <c r="AN27" s="26">
        <f>现金流量表!AN22</f>
        <v>135300612.93000001</v>
      </c>
      <c r="AO27" s="26">
        <f>现金流量表!AO22</f>
        <v>0</v>
      </c>
      <c r="AP27" s="26">
        <f>现金流量表!AP22</f>
        <v>0</v>
      </c>
      <c r="AQ27" s="26">
        <f>现金流量表!AQ22</f>
        <v>0</v>
      </c>
      <c r="AR27" s="26">
        <f>现金流量表!AR22</f>
        <v>0</v>
      </c>
      <c r="AS27" s="26">
        <f>现金流量表!AS22</f>
        <v>0</v>
      </c>
      <c r="AT27" s="26">
        <f>现金流量表!AT22</f>
        <v>233337646.5</v>
      </c>
      <c r="AU27" s="26">
        <f>现金流量表!AU22</f>
        <v>236246014.47999999</v>
      </c>
      <c r="AV27" s="26">
        <f>现金流量表!AV22</f>
        <v>0</v>
      </c>
      <c r="AW27" s="26">
        <f>现金流量表!AW22</f>
        <v>0</v>
      </c>
      <c r="AX27" s="26">
        <f>现金流量表!AX22</f>
        <v>459535927.75</v>
      </c>
      <c r="AY27" s="26">
        <f>现金流量表!AY22</f>
        <v>194245268.24000001</v>
      </c>
      <c r="AZ27" s="26">
        <f>现金流量表!AZ22</f>
        <v>50479268.240000002</v>
      </c>
      <c r="BA27" s="26">
        <f>现金流量表!BA22</f>
        <v>0</v>
      </c>
      <c r="BB27" s="26">
        <f>现金流量表!BB22</f>
        <v>20471041.780000001</v>
      </c>
      <c r="BC27" s="26">
        <f>现金流量表!BC22</f>
        <v>14071041.779999999</v>
      </c>
      <c r="BD27" s="26">
        <f>现金流量表!BD22</f>
        <v>14071041.779999999</v>
      </c>
      <c r="BE27" s="26">
        <f>现金流量表!BE22</f>
        <v>0</v>
      </c>
      <c r="BF27" s="26">
        <f>现金流量表!BF22</f>
        <v>188048678.69</v>
      </c>
      <c r="BG27" s="26">
        <f>现金流量表!BG22</f>
        <v>161945142</v>
      </c>
      <c r="BH27" s="26">
        <f>现金流量表!BH22</f>
        <v>0</v>
      </c>
      <c r="BI27" s="26">
        <f>现金流量表!BI22</f>
        <v>0</v>
      </c>
      <c r="BJ27" s="26">
        <f>现金流量表!BJ22</f>
        <v>63797217</v>
      </c>
      <c r="BK27" s="26">
        <f>现金流量表!BK22</f>
        <v>63797217</v>
      </c>
      <c r="BL27" s="26">
        <f>现金流量表!BL22</f>
        <v>33000000</v>
      </c>
      <c r="BM27" s="26">
        <f>现金流量表!BM22</f>
        <v>0</v>
      </c>
      <c r="BN27" s="26">
        <f>现金流量表!BN22</f>
        <v>14550000</v>
      </c>
      <c r="BO27" s="26">
        <f>现金流量表!BO22</f>
        <v>1833035.57</v>
      </c>
      <c r="BP27" s="26">
        <f>现金流量表!BP22</f>
        <v>344618028</v>
      </c>
      <c r="BQ27" s="26">
        <f>现金流量表!BQ22</f>
        <v>160456190</v>
      </c>
      <c r="BR27" s="26">
        <f>现金流量表!BR22</f>
        <v>58479259.020000003</v>
      </c>
      <c r="BS27" s="26">
        <f>现金流量表!BS22</f>
        <v>261740000</v>
      </c>
      <c r="BT27" s="26">
        <f>现金流量表!BT22</f>
        <v>1862251764.1800001</v>
      </c>
      <c r="BU27" s="26">
        <f>现金流量表!BU22</f>
        <v>0</v>
      </c>
      <c r="BV27" s="26">
        <f>现金流量表!BV22</f>
        <v>110863264.86</v>
      </c>
    </row>
    <row r="28" spans="1:74" s="26" customFormat="1">
      <c r="A28" s="17" t="s">
        <v>632</v>
      </c>
      <c r="E28" s="26">
        <f>E27-E26</f>
        <v>0</v>
      </c>
      <c r="F28" s="26">
        <f t="shared" ref="F28:BQ28" si="79">F27-F26</f>
        <v>-49482717.090000004</v>
      </c>
      <c r="G28" s="26">
        <f t="shared" si="79"/>
        <v>0</v>
      </c>
      <c r="H28" s="26">
        <f t="shared" si="79"/>
        <v>0</v>
      </c>
      <c r="I28" s="26">
        <f t="shared" si="79"/>
        <v>-18646792.640000001</v>
      </c>
      <c r="J28" s="26">
        <f t="shared" si="79"/>
        <v>-188247140</v>
      </c>
      <c r="K28" s="26">
        <f t="shared" si="79"/>
        <v>-59986240</v>
      </c>
      <c r="L28" s="26">
        <f t="shared" si="79"/>
        <v>21638760</v>
      </c>
      <c r="M28" s="26">
        <f t="shared" si="79"/>
        <v>21638760</v>
      </c>
      <c r="N28" s="26">
        <f t="shared" si="79"/>
        <v>0</v>
      </c>
      <c r="O28" s="26">
        <f t="shared" si="79"/>
        <v>0</v>
      </c>
      <c r="P28" s="26">
        <f t="shared" si="79"/>
        <v>0</v>
      </c>
      <c r="Q28" s="26">
        <f t="shared" si="79"/>
        <v>0</v>
      </c>
      <c r="R28" s="26">
        <f t="shared" si="79"/>
        <v>-139350000</v>
      </c>
      <c r="S28" s="26">
        <f t="shared" si="79"/>
        <v>-139350000</v>
      </c>
      <c r="T28" s="26">
        <f t="shared" si="79"/>
        <v>0</v>
      </c>
      <c r="U28" s="26">
        <f t="shared" si="79"/>
        <v>0</v>
      </c>
      <c r="V28" s="26">
        <f t="shared" si="79"/>
        <v>-3912667.3800000008</v>
      </c>
      <c r="W28" s="26">
        <f t="shared" si="79"/>
        <v>19003994.690000001</v>
      </c>
      <c r="X28" s="26">
        <f t="shared" si="79"/>
        <v>-142881.31000000006</v>
      </c>
      <c r="Y28" s="26">
        <f t="shared" si="79"/>
        <v>-3985608.51</v>
      </c>
      <c r="Z28" s="26">
        <f t="shared" si="79"/>
        <v>586519124.95000005</v>
      </c>
      <c r="AA28" s="26">
        <f t="shared" si="79"/>
        <v>44144981.299999997</v>
      </c>
      <c r="AB28" s="26">
        <f t="shared" si="79"/>
        <v>24934140</v>
      </c>
      <c r="AC28" s="26">
        <f t="shared" si="79"/>
        <v>20734140</v>
      </c>
      <c r="AD28" s="26">
        <f t="shared" si="79"/>
        <v>161780088</v>
      </c>
      <c r="AE28" s="26">
        <f t="shared" si="79"/>
        <v>145005621.06</v>
      </c>
      <c r="AF28" s="26">
        <f t="shared" si="79"/>
        <v>145513067.59999999</v>
      </c>
      <c r="AG28" s="26">
        <f t="shared" si="79"/>
        <v>0</v>
      </c>
      <c r="AH28" s="26">
        <f t="shared" si="79"/>
        <v>-18849273.329999998</v>
      </c>
      <c r="AI28" s="26">
        <f t="shared" si="79"/>
        <v>-18361676.760000002</v>
      </c>
      <c r="AJ28" s="26">
        <f t="shared" si="79"/>
        <v>-10454494.26</v>
      </c>
      <c r="AK28" s="26">
        <f t="shared" si="79"/>
        <v>-11519743.26</v>
      </c>
      <c r="AL28" s="26">
        <f t="shared" si="79"/>
        <v>-191317487.13999999</v>
      </c>
      <c r="AM28" s="26">
        <f t="shared" si="79"/>
        <v>73318527.560000002</v>
      </c>
      <c r="AN28" s="26">
        <f t="shared" si="79"/>
        <v>-94699387.069999993</v>
      </c>
      <c r="AO28" s="26">
        <f t="shared" si="79"/>
        <v>-229930940.88</v>
      </c>
      <c r="AP28" s="26">
        <f t="shared" si="79"/>
        <v>-661883.51</v>
      </c>
      <c r="AQ28" s="26">
        <f t="shared" si="79"/>
        <v>-8596096.5099999998</v>
      </c>
      <c r="AR28" s="26">
        <f t="shared" si="79"/>
        <v>-22165691.16</v>
      </c>
      <c r="AS28" s="26">
        <f t="shared" si="79"/>
        <v>-8501597.6699999999</v>
      </c>
      <c r="AT28" s="26">
        <f t="shared" si="79"/>
        <v>222026276.27000001</v>
      </c>
      <c r="AU28" s="26">
        <f t="shared" si="79"/>
        <v>206363763.91</v>
      </c>
      <c r="AV28" s="26">
        <f t="shared" si="79"/>
        <v>-4429898</v>
      </c>
      <c r="AW28" s="26">
        <f t="shared" si="79"/>
        <v>0</v>
      </c>
      <c r="AX28" s="26">
        <f t="shared" si="79"/>
        <v>128199828.13999999</v>
      </c>
      <c r="AY28" s="26">
        <f t="shared" si="79"/>
        <v>-208336849.62</v>
      </c>
      <c r="AZ28" s="26">
        <f t="shared" si="79"/>
        <v>-80558439.539999992</v>
      </c>
      <c r="BA28" s="26">
        <f t="shared" si="79"/>
        <v>-56269433.299999997</v>
      </c>
      <c r="BB28" s="26">
        <f t="shared" si="79"/>
        <v>-28148987.899999999</v>
      </c>
      <c r="BC28" s="26">
        <f t="shared" si="79"/>
        <v>-34339896.899999999</v>
      </c>
      <c r="BD28" s="26">
        <f t="shared" si="79"/>
        <v>-27505527.420000002</v>
      </c>
      <c r="BE28" s="26">
        <f t="shared" si="79"/>
        <v>-37472012.280000001</v>
      </c>
      <c r="BF28" s="26">
        <f t="shared" si="79"/>
        <v>170213200.90000001</v>
      </c>
      <c r="BG28" s="26">
        <f t="shared" si="79"/>
        <v>159004142</v>
      </c>
      <c r="BH28" s="26">
        <f t="shared" si="79"/>
        <v>-2706000</v>
      </c>
      <c r="BI28" s="26">
        <f t="shared" si="79"/>
        <v>0</v>
      </c>
      <c r="BJ28" s="26">
        <f t="shared" si="79"/>
        <v>-50509716.040000007</v>
      </c>
      <c r="BK28" s="26">
        <f t="shared" si="79"/>
        <v>30305993.379999999</v>
      </c>
      <c r="BL28" s="26">
        <f t="shared" si="79"/>
        <v>4694499.0100000016</v>
      </c>
      <c r="BM28" s="26">
        <f t="shared" si="79"/>
        <v>0</v>
      </c>
      <c r="BN28" s="26">
        <f t="shared" si="79"/>
        <v>11783809</v>
      </c>
      <c r="BO28" s="26">
        <f t="shared" si="79"/>
        <v>1433235.57</v>
      </c>
      <c r="BP28" s="26">
        <f t="shared" si="79"/>
        <v>343848028</v>
      </c>
      <c r="BQ28" s="26">
        <f t="shared" si="79"/>
        <v>159686190</v>
      </c>
      <c r="BR28" s="26">
        <f t="shared" ref="BR28:BV28" si="80">BR27-BR26</f>
        <v>-363223426.21000004</v>
      </c>
      <c r="BS28" s="26">
        <f t="shared" si="80"/>
        <v>61319720</v>
      </c>
      <c r="BT28" s="26">
        <f t="shared" si="80"/>
        <v>1608801905.6800001</v>
      </c>
      <c r="BU28" s="26">
        <f t="shared" si="80"/>
        <v>0</v>
      </c>
      <c r="BV28" s="26">
        <f t="shared" si="80"/>
        <v>28813837.920000002</v>
      </c>
    </row>
    <row r="29" spans="1:74" s="26" customFormat="1" ht="16.149999999999999" customHeight="1">
      <c r="A29" s="181" t="s">
        <v>633</v>
      </c>
      <c r="E29" s="182" t="e">
        <f>POWER(E28/U28,1/5)-1</f>
        <v>#DIV/0!</v>
      </c>
    </row>
    <row r="30" spans="1:74" s="30" customFormat="1" ht="15" customHeight="1" thickBot="1">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45" customHeight="1">
      <c r="A31" s="111" t="s">
        <v>310</v>
      </c>
      <c r="B31" s="190">
        <v>8018730489.5</v>
      </c>
      <c r="C31" s="190">
        <v>8105151823.5900002</v>
      </c>
      <c r="D31" s="190">
        <v>7748209375.6499996</v>
      </c>
      <c r="E31" s="190">
        <v>7642925603.7799997</v>
      </c>
      <c r="F31" s="190">
        <v>7533851582.3900003</v>
      </c>
      <c r="G31" s="190">
        <v>7602929520.6000004</v>
      </c>
      <c r="H31" s="190">
        <v>7655597077.4799995</v>
      </c>
      <c r="I31" s="190">
        <v>7669866510.1400003</v>
      </c>
      <c r="J31" s="190">
        <v>7717822068.0799999</v>
      </c>
      <c r="K31" s="190">
        <v>7800329753.9700003</v>
      </c>
      <c r="L31" s="190">
        <v>7863288846.5799999</v>
      </c>
      <c r="M31" s="190">
        <v>7949223714.3199997</v>
      </c>
      <c r="N31" s="190">
        <v>7789888585.0200005</v>
      </c>
      <c r="O31" s="190">
        <v>7866422799.3500004</v>
      </c>
      <c r="P31" s="190">
        <v>7852653535.79</v>
      </c>
      <c r="Q31" s="190">
        <v>7908789717.4499998</v>
      </c>
      <c r="R31" s="190">
        <v>7851218276.7700005</v>
      </c>
      <c r="S31" s="190">
        <v>7655712659.6099997</v>
      </c>
      <c r="T31" s="190">
        <v>7742554203.8199997</v>
      </c>
      <c r="U31" s="190">
        <v>7187282033.3299999</v>
      </c>
      <c r="V31" s="190">
        <v>7207990845.79</v>
      </c>
      <c r="W31" s="190">
        <v>7307142600.1300001</v>
      </c>
      <c r="X31" s="190">
        <v>7311131963.0699997</v>
      </c>
      <c r="Y31" s="190">
        <v>7325302679.7399998</v>
      </c>
      <c r="Z31" s="190">
        <v>7098528857.4200001</v>
      </c>
      <c r="AA31" s="190">
        <v>7180445172.2200003</v>
      </c>
      <c r="AB31" s="190">
        <v>7179072058.4300003</v>
      </c>
      <c r="AC31" s="190">
        <v>7192699496.6800003</v>
      </c>
      <c r="AD31" s="190">
        <v>7216001271.4099998</v>
      </c>
      <c r="AE31" s="190">
        <v>7204199191.9499998</v>
      </c>
      <c r="AF31" s="190">
        <v>7222083247.6000004</v>
      </c>
      <c r="AG31" s="190">
        <v>7303785667.5900002</v>
      </c>
      <c r="AH31" s="190">
        <v>7392080405.5600004</v>
      </c>
      <c r="AI31" s="190">
        <v>7431174519.1300001</v>
      </c>
      <c r="AJ31" s="190">
        <v>7517447492.9799995</v>
      </c>
      <c r="AK31" s="190">
        <v>7566173849.9700003</v>
      </c>
      <c r="AL31" s="190">
        <v>7607103266.1599998</v>
      </c>
      <c r="AM31" s="190">
        <v>7706877443.3000002</v>
      </c>
      <c r="AN31" s="190">
        <v>4750016360.8599997</v>
      </c>
      <c r="AO31" s="190">
        <v>4754868668.1300001</v>
      </c>
      <c r="AP31" s="190">
        <v>4841679198.5100002</v>
      </c>
      <c r="AQ31" s="190">
        <v>4945499008.7600002</v>
      </c>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c r="A32" s="138" t="s">
        <v>311</v>
      </c>
      <c r="B32" s="190">
        <v>1621619.53</v>
      </c>
      <c r="C32" s="190">
        <v>1621619.53</v>
      </c>
      <c r="D32" s="190">
        <v>1621619.53</v>
      </c>
      <c r="E32" s="190">
        <v>1621619.53</v>
      </c>
      <c r="F32" s="190">
        <v>1621619.53</v>
      </c>
      <c r="G32" s="190">
        <v>1621619.53</v>
      </c>
      <c r="H32" s="190">
        <v>1621619.53</v>
      </c>
      <c r="I32" s="190">
        <v>1621619.53</v>
      </c>
      <c r="J32" s="190">
        <v>1621619.53</v>
      </c>
      <c r="K32" s="190">
        <v>1621619.53</v>
      </c>
      <c r="L32" s="190">
        <v>1621619.53</v>
      </c>
      <c r="M32" s="190">
        <v>1621619.53</v>
      </c>
      <c r="N32" s="190">
        <v>1621619.53</v>
      </c>
      <c r="O32" s="190">
        <v>1621619.53</v>
      </c>
      <c r="P32" s="190">
        <v>1621619.53</v>
      </c>
      <c r="Q32" s="190">
        <v>1621619.53</v>
      </c>
      <c r="R32" s="190">
        <v>1621619.53</v>
      </c>
      <c r="S32" s="190">
        <v>1621619.53</v>
      </c>
      <c r="T32" s="190">
        <v>1621619.53</v>
      </c>
      <c r="U32" s="190">
        <v>1621619.53</v>
      </c>
      <c r="V32" s="190">
        <v>1621619.53</v>
      </c>
      <c r="W32" s="190">
        <v>1621619.53</v>
      </c>
      <c r="X32" s="190">
        <v>1621619.53</v>
      </c>
      <c r="Y32" s="190">
        <v>1621619.53</v>
      </c>
      <c r="Z32" s="190">
        <v>1621619.53</v>
      </c>
      <c r="AA32" s="190">
        <v>1621619.53</v>
      </c>
      <c r="AB32" s="190">
        <v>1621619.53</v>
      </c>
      <c r="AC32" s="190">
        <v>1621619.53</v>
      </c>
      <c r="AD32" s="190">
        <v>1621619.53</v>
      </c>
      <c r="AE32" s="190">
        <v>1621619.53</v>
      </c>
      <c r="AF32" s="190">
        <v>1621619.53</v>
      </c>
      <c r="AG32" s="190">
        <v>1621619.53</v>
      </c>
      <c r="AH32" s="190">
        <v>1621619.53</v>
      </c>
      <c r="AI32" s="190">
        <v>1621619.53</v>
      </c>
      <c r="AJ32" s="190">
        <v>1621619.53</v>
      </c>
      <c r="AK32" s="190">
        <v>1621619.53</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149999999999999" customHeight="1">
      <c r="A33" s="138" t="s">
        <v>312</v>
      </c>
      <c r="B33" s="190">
        <v>1200000</v>
      </c>
      <c r="C33" s="190">
        <v>1200000</v>
      </c>
      <c r="D33" s="190">
        <v>1200000</v>
      </c>
      <c r="E33" s="190">
        <v>1200000</v>
      </c>
      <c r="F33" s="190">
        <v>1200000</v>
      </c>
      <c r="G33" s="190">
        <v>1200000</v>
      </c>
      <c r="H33" s="190">
        <v>1200000</v>
      </c>
      <c r="I33" s="190">
        <v>1200000</v>
      </c>
      <c r="J33" s="190">
        <v>1200000</v>
      </c>
      <c r="K33" s="190">
        <v>1200000</v>
      </c>
      <c r="L33" s="190">
        <v>1200000</v>
      </c>
      <c r="M33" s="190">
        <v>1200000</v>
      </c>
      <c r="N33" s="190">
        <v>1200000</v>
      </c>
      <c r="O33" s="190">
        <v>1200000</v>
      </c>
      <c r="P33" s="190">
        <v>1200000</v>
      </c>
      <c r="Q33" s="190">
        <v>1200000</v>
      </c>
      <c r="R33" s="190">
        <v>1200000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4.25" thickBot="1">
      <c r="A34" s="139"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4.25" thickBot="1">
      <c r="A35" s="140"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ht="14.45">
      <c r="A36" s="17"/>
    </row>
    <row r="37" spans="1:74" s="26" customFormat="1" ht="14.45">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c r="A39" s="46" t="s">
        <v>319</v>
      </c>
    </row>
    <row r="40" spans="1:74" s="193" customFormat="1">
      <c r="A40" s="193" t="s">
        <v>743</v>
      </c>
      <c r="B40" s="190">
        <v>1813717926.3599999</v>
      </c>
      <c r="C40" s="190">
        <v>1813717926.3599999</v>
      </c>
      <c r="D40" s="190">
        <v>0</v>
      </c>
      <c r="E40" s="190">
        <v>0</v>
      </c>
      <c r="F40" s="190">
        <v>0</v>
      </c>
      <c r="G40" s="190">
        <v>0</v>
      </c>
      <c r="H40" s="190">
        <v>0</v>
      </c>
      <c r="I40" s="190">
        <v>15952288.85</v>
      </c>
      <c r="J40" s="190">
        <v>15900000</v>
      </c>
      <c r="K40" s="190">
        <v>0</v>
      </c>
      <c r="L40" s="190">
        <v>0</v>
      </c>
      <c r="M40" s="190">
        <v>59000000</v>
      </c>
      <c r="N40" s="190">
        <v>59000000</v>
      </c>
      <c r="O40" s="190">
        <v>39000000</v>
      </c>
      <c r="P40" s="190">
        <v>4000000</v>
      </c>
      <c r="Q40" s="190">
        <v>6000000</v>
      </c>
      <c r="R40" s="190">
        <v>2666009</v>
      </c>
      <c r="S40" s="190">
        <v>0</v>
      </c>
      <c r="T40" s="190">
        <v>0</v>
      </c>
      <c r="U40" s="190">
        <v>172467935.24000001</v>
      </c>
      <c r="V40" s="190">
        <v>73500000</v>
      </c>
      <c r="W40" s="190">
        <v>0</v>
      </c>
      <c r="X40" s="190">
        <v>0</v>
      </c>
      <c r="Y40" s="190">
        <v>0</v>
      </c>
      <c r="Z40" s="190">
        <v>0</v>
      </c>
      <c r="AA40" s="190">
        <v>0</v>
      </c>
      <c r="AB40" s="190">
        <v>0</v>
      </c>
      <c r="AC40" s="190">
        <v>0</v>
      </c>
      <c r="AD40" s="190">
        <v>0</v>
      </c>
      <c r="AE40" s="190">
        <v>0</v>
      </c>
      <c r="AF40" s="190">
        <v>0</v>
      </c>
      <c r="AG40" s="190">
        <v>13000000</v>
      </c>
      <c r="AH40" s="190">
        <v>0</v>
      </c>
      <c r="AI40" s="190">
        <v>0</v>
      </c>
      <c r="AJ40" s="190">
        <v>0</v>
      </c>
      <c r="AK40" s="190">
        <v>11000000</v>
      </c>
      <c r="AL40" s="190">
        <v>0</v>
      </c>
      <c r="AM40" s="190">
        <v>0</v>
      </c>
      <c r="AN40" s="190">
        <v>0</v>
      </c>
      <c r="AO40" s="190">
        <v>0</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c r="A41" s="141" t="s">
        <v>634</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3">
        <f t="shared" si="83"/>
        <v>0</v>
      </c>
      <c r="AM42" s="193">
        <f t="shared" si="83"/>
        <v>0</v>
      </c>
      <c r="AN42" s="193">
        <f t="shared" si="83"/>
        <v>0</v>
      </c>
      <c r="AO42" s="193">
        <f t="shared" si="83"/>
        <v>0</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c r="A43" s="142" t="s">
        <v>321</v>
      </c>
    </row>
    <row r="44" spans="1:74" s="193" customFormat="1">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c r="A45" s="193" t="s">
        <v>323</v>
      </c>
      <c r="E45" s="193">
        <f>股权价值增加表!E53</f>
        <v>15660240.74</v>
      </c>
      <c r="F45" s="193">
        <f>股权价值增加表!F53</f>
        <v>0</v>
      </c>
      <c r="G45" s="193">
        <f>股权价值增加表!G53</f>
        <v>0</v>
      </c>
      <c r="H45" s="193">
        <f>股权价值增加表!H53</f>
        <v>0</v>
      </c>
      <c r="I45" s="193">
        <f>股权价值增加表!I53</f>
        <v>29047315.350000001</v>
      </c>
      <c r="J45" s="193">
        <f>股权价值增加表!J53</f>
        <v>0</v>
      </c>
      <c r="K45" s="193">
        <f>股权价值增加表!K53</f>
        <v>0</v>
      </c>
      <c r="L45" s="193">
        <f>股权价值增加表!L53</f>
        <v>0</v>
      </c>
      <c r="M45" s="193">
        <f>股权价值增加表!M53</f>
        <v>14522441.789999999</v>
      </c>
      <c r="N45" s="193">
        <f>股权价值增加表!N53</f>
        <v>0</v>
      </c>
      <c r="O45" s="193">
        <f>股权价值增加表!O53</f>
        <v>0</v>
      </c>
      <c r="P45" s="193">
        <f>股权价值增加表!P53</f>
        <v>0</v>
      </c>
      <c r="Q45" s="193">
        <f>股权价值增加表!Q53</f>
        <v>8563830.6600000001</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2450000</v>
      </c>
      <c r="AM47" s="190">
        <v>2450000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c r="A49" s="193" t="s">
        <v>599</v>
      </c>
      <c r="E49" s="193">
        <f>E44+E48-E45-E46-E47</f>
        <v>-15660240.74</v>
      </c>
      <c r="F49" s="193">
        <f t="shared" ref="F49:BQ49" si="85">F44+F48-F45-F46-F47</f>
        <v>0</v>
      </c>
      <c r="G49" s="193">
        <f t="shared" si="85"/>
        <v>0</v>
      </c>
      <c r="H49" s="193">
        <f t="shared" si="85"/>
        <v>0</v>
      </c>
      <c r="I49" s="193">
        <f t="shared" si="85"/>
        <v>-29047315.350000001</v>
      </c>
      <c r="J49" s="193">
        <f t="shared" si="85"/>
        <v>0</v>
      </c>
      <c r="K49" s="193">
        <f t="shared" si="85"/>
        <v>0</v>
      </c>
      <c r="L49" s="193">
        <f t="shared" si="85"/>
        <v>0</v>
      </c>
      <c r="M49" s="193">
        <f t="shared" si="85"/>
        <v>-14522441.789999999</v>
      </c>
      <c r="N49" s="193">
        <f t="shared" si="85"/>
        <v>0</v>
      </c>
      <c r="O49" s="193">
        <f t="shared" si="85"/>
        <v>0</v>
      </c>
      <c r="P49" s="193">
        <f t="shared" si="85"/>
        <v>0</v>
      </c>
      <c r="Q49" s="193">
        <f t="shared" si="85"/>
        <v>-8563830.6600000001</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-2450000</v>
      </c>
      <c r="AM49" s="193">
        <f t="shared" si="85"/>
        <v>-2450000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ht="14.45"/>
    <row r="51" spans="1:74" s="16" customFormat="1" ht="120" customHeight="1">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abSelected="1" workbookViewId="0">
      <selection activeCell="E9" sqref="E9:BV9"/>
    </sheetView>
  </sheetViews>
  <sheetFormatPr defaultRowHeight="13.5"/>
  <cols>
    <col min="1" max="1" width="63.625" style="17"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5" hidden="1" customWidth="1"/>
  </cols>
  <sheetData>
    <row r="1" spans="1:74"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c r="A2" s="46" t="s">
        <v>327</v>
      </c>
    </row>
    <row r="3" spans="1:74" s="26" customFormat="1">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c r="A12" s="17" t="s">
        <v>348</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c r="A13" s="63" t="s">
        <v>349</v>
      </c>
      <c r="E13" s="63">
        <f>E5*E11*(1-E6)+E9*E12</f>
        <v>8.0000000000000016E-2</v>
      </c>
      <c r="F13" s="63">
        <f t="shared" ref="F13:J13" si="5">F5*F11*(1-F6)+F9*F12</f>
        <v>0.08</v>
      </c>
      <c r="G13" s="63">
        <f t="shared" si="5"/>
        <v>7.9678054320751923E-2</v>
      </c>
      <c r="H13" s="63">
        <f t="shared" si="5"/>
        <v>8.0000000000000016E-2</v>
      </c>
      <c r="I13" s="63">
        <f t="shared" si="5"/>
        <v>8.0000000000000016E-2</v>
      </c>
      <c r="J13" s="63">
        <f t="shared" si="5"/>
        <v>7.9879359035078437E-2</v>
      </c>
      <c r="K13" s="63">
        <f t="shared" ref="K13" si="6">K5*K11*(1-K6)+K9*K12</f>
        <v>7.4977617536840888E-2</v>
      </c>
      <c r="L13" s="63">
        <f t="shared" ref="L13" si="7">L5*L11*(1-L6)+L9*L12</f>
        <v>8.0000000000000016E-2</v>
      </c>
      <c r="M13" s="63">
        <f t="shared" ref="M13" si="8">M5*M11*(1-M6)+M9*M12</f>
        <v>0.08</v>
      </c>
      <c r="N13" s="63">
        <f t="shared" ref="N13:O13" si="9">N5*N11*(1-N6)+N9*N12</f>
        <v>7.9998127024590832E-2</v>
      </c>
      <c r="O13" s="63">
        <f t="shared" si="9"/>
        <v>7.9998064682205952E-2</v>
      </c>
      <c r="P13" s="63">
        <f t="shared" ref="P13" si="10">P5*P11*(1-P6)+P9*P12</f>
        <v>7.9998123299402965E-2</v>
      </c>
      <c r="Q13" s="63">
        <f t="shared" ref="Q13" si="11">Q5*Q11*(1-Q6)+Q9*Q12</f>
        <v>8.0002695271413626E-2</v>
      </c>
      <c r="R13" s="63">
        <f t="shared" ref="R13" si="12">R5*R11*(1-R6)+R9*R12</f>
        <v>7.9865963130011958E-2</v>
      </c>
      <c r="S13" s="63">
        <f t="shared" ref="S13:T13" si="13">S5*S11*(1-S6)+S9*S12</f>
        <v>7.9862905310934013E-2</v>
      </c>
      <c r="T13" s="63">
        <f t="shared" si="13"/>
        <v>7.986810002038755E-2</v>
      </c>
      <c r="U13" s="63">
        <f t="shared" ref="U13" si="14">U5*U11*(1-U6)+U9*U12</f>
        <v>7.9854152764570557E-2</v>
      </c>
      <c r="V13" s="63">
        <f t="shared" ref="V13" si="15">V5*V11*(1-V6)+V9*V12</f>
        <v>7.9871259143751483E-2</v>
      </c>
      <c r="W13" s="63">
        <f t="shared" ref="W13" si="16">W5*W11*(1-W6)+W9*W12</f>
        <v>7.9865158250133739E-2</v>
      </c>
      <c r="X13" s="63">
        <f t="shared" ref="X13:Y13" si="17">X5*X11*(1-X6)+X9*X12</f>
        <v>7.9145064849081584E-2</v>
      </c>
      <c r="Y13" s="63">
        <f t="shared" si="17"/>
        <v>7.9046167427418101E-2</v>
      </c>
      <c r="Z13" s="63">
        <f t="shared" ref="Z13" si="18">Z5*Z11*(1-Z6)+Z9*Z12</f>
        <v>7.9843288848286578E-2</v>
      </c>
      <c r="AA13" s="63">
        <f t="shared" ref="AA13" si="19">AA5*AA11*(1-AA6)+AA9*AA12</f>
        <v>7.9848893714318428E-2</v>
      </c>
      <c r="AB13" s="63">
        <f t="shared" ref="AB13" si="20">AB5*AB11*(1-AB6)+AB9*AB12</f>
        <v>7.9854275672038871E-2</v>
      </c>
      <c r="AC13" s="63">
        <f t="shared" ref="AC13:AD13" si="21">AC5*AC11*(1-AC6)+AC9*AC12</f>
        <v>7.9245681522251574E-2</v>
      </c>
      <c r="AD13" s="63">
        <f t="shared" si="21"/>
        <v>7.9632787565828242E-2</v>
      </c>
      <c r="AE13" s="63">
        <f t="shared" ref="AE13" si="22">AE5*AE11*(1-AE6)+AE9*AE12</f>
        <v>7.8231177250936743E-2</v>
      </c>
      <c r="AF13" s="63">
        <f t="shared" ref="AF13" si="23">AF5*AF11*(1-AF6)+AF9*AF12</f>
        <v>7.936502005512544E-2</v>
      </c>
      <c r="AG13" s="63">
        <f t="shared" ref="AG13" si="24">AG5*AG11*(1-AG6)+AG9*AG12</f>
        <v>7.8436126602666439E-2</v>
      </c>
      <c r="AH13" s="63">
        <f t="shared" ref="AH13:AI13" si="25">AH5*AH11*(1-AH6)+AH9*AH12</f>
        <v>7.9618247843318973E-2</v>
      </c>
      <c r="AI13" s="63">
        <f t="shared" si="25"/>
        <v>7.9590827991046276E-2</v>
      </c>
      <c r="AJ13" s="63">
        <f t="shared" ref="AJ13" si="26">AJ5*AJ11*(1-AJ6)+AJ9*AJ12</f>
        <v>7.9924101146503487E-2</v>
      </c>
      <c r="AK13" s="63">
        <f t="shared" ref="AK13" si="27">AK5*AK11*(1-AK6)+AK9*AK12</f>
        <v>7.880219067347205E-2</v>
      </c>
      <c r="AL13" s="63">
        <f t="shared" ref="AL13" si="28">AL5*AL11*(1-AL6)+AL9*AL12</f>
        <v>7.9999999999999988E-2</v>
      </c>
      <c r="AM13" s="63">
        <f t="shared" ref="AM13:AN13" si="29">AM5*AM11*(1-AM6)+AM9*AM12</f>
        <v>0.08</v>
      </c>
      <c r="AN13" s="63">
        <f t="shared" si="29"/>
        <v>0.08</v>
      </c>
      <c r="AO13" s="63">
        <f t="shared" ref="AO13" si="30">AO5*AO11*(1-AO6)+AO9*AO12</f>
        <v>7.9999999999999988E-2</v>
      </c>
      <c r="AP13" s="63">
        <f t="shared" ref="AP13" si="31">AP5*AP11*(1-AP6)+AP9*AP12</f>
        <v>0.08</v>
      </c>
      <c r="AQ13" s="63">
        <f t="shared" ref="AQ13" si="32">AQ5*AQ11*(1-AQ6)+AQ9*AQ12</f>
        <v>7.9999999999999988E-2</v>
      </c>
      <c r="AR13" s="63">
        <f t="shared" ref="AR13:AS13" si="33">AR5*AR11*(1-AR6)+AR9*AR12</f>
        <v>7.9999999999999988E-2</v>
      </c>
      <c r="AS13" s="63">
        <f t="shared" si="33"/>
        <v>7.9979228843790329E-2</v>
      </c>
      <c r="AT13" s="63">
        <f t="shared" ref="AT13" si="34">AT5*AT11*(1-AT6)+AT9*AT12</f>
        <v>7.9144772151696324E-2</v>
      </c>
      <c r="AU13" s="63">
        <f t="shared" ref="AU13" si="35">AU5*AU11*(1-AU6)+AU9*AU12</f>
        <v>7.9128263775802135E-2</v>
      </c>
      <c r="AV13" s="63">
        <f t="shared" ref="AV13" si="36">AV5*AV11*(1-AV6)+AV9*AV12</f>
        <v>7.9977910680350817E-2</v>
      </c>
      <c r="AW13" s="63">
        <f t="shared" ref="AW13:AX13" si="37">AW5*AW11*(1-AW6)+AW9*AW12</f>
        <v>7.8496855977776253E-2</v>
      </c>
      <c r="AX13" s="63">
        <f t="shared" si="37"/>
        <v>7.8430200808656661E-2</v>
      </c>
      <c r="AY13" s="63">
        <f t="shared" ref="AY13" si="38">AY5*AY11*(1-AY6)+AY9*AY12</f>
        <v>7.804849386469577E-2</v>
      </c>
      <c r="AZ13" s="63">
        <f t="shared" ref="AZ13" si="39">AZ5*AZ11*(1-AZ6)+AZ9*AZ12</f>
        <v>7.848465061688556E-2</v>
      </c>
      <c r="BA13" s="63">
        <f t="shared" ref="BA13" si="40">BA5*BA11*(1-BA6)+BA9*BA12</f>
        <v>7.8523530885547796E-2</v>
      </c>
      <c r="BB13" s="63">
        <f t="shared" ref="BB13:BC13" si="41">BB5*BB11*(1-BB6)+BB9*BB12</f>
        <v>7.8607526666858191E-2</v>
      </c>
      <c r="BC13" s="63">
        <f t="shared" si="41"/>
        <v>7.8654091974213219E-2</v>
      </c>
      <c r="BD13" s="63">
        <f t="shared" ref="BD13" si="42">BD5*BD11*(1-BD6)+BD9*BD12</f>
        <v>7.8679164872551943E-2</v>
      </c>
      <c r="BE13" s="63">
        <f t="shared" ref="BE13" si="43">BE5*BE11*(1-BE6)+BE9*BE12</f>
        <v>7.8753726368990015E-2</v>
      </c>
      <c r="BF13" s="63">
        <f t="shared" ref="BF13" si="44">BF5*BF11*(1-BF6)+BF9*BF12</f>
        <v>7.8784176995149141E-2</v>
      </c>
      <c r="BG13" s="63">
        <f t="shared" ref="BG13:BH13" si="45">BG5*BG11*(1-BG6)+BG9*BG12</f>
        <v>7.8835450994074907E-2</v>
      </c>
      <c r="BH13" s="63">
        <f t="shared" si="45"/>
        <v>7.8876529588257166E-2</v>
      </c>
      <c r="BI13" s="63">
        <f t="shared" ref="BI13" si="46">BI5*BI11*(1-BI6)+BI9*BI12</f>
        <v>7.896548858459497E-2</v>
      </c>
      <c r="BJ13" s="63">
        <f t="shared" ref="BJ13" si="47">BJ5*BJ11*(1-BJ6)+BJ9*BJ12</f>
        <v>7.8814466395877067E-2</v>
      </c>
      <c r="BK13" s="63">
        <f t="shared" ref="BK13" si="48">BK5*BK11*(1-BK6)+BK9*BK12</f>
        <v>7.8841677111123554E-2</v>
      </c>
      <c r="BL13" s="63">
        <f t="shared" ref="BL13:BM13" si="49">BL5*BL11*(1-BL6)+BL9*BL12</f>
        <v>7.8179045372379227E-2</v>
      </c>
      <c r="BM13" s="63">
        <f t="shared" si="49"/>
        <v>7.8599013452103683E-2</v>
      </c>
      <c r="BN13" s="63">
        <f t="shared" ref="BN13" si="50">BN5*BN11*(1-BN6)+BN9*BN12</f>
        <v>7.7315230505383289E-2</v>
      </c>
      <c r="BO13" s="63">
        <f t="shared" ref="BO13" si="51">BO5*BO11*(1-BO6)+BO9*BO12</f>
        <v>7.6841262271742303E-2</v>
      </c>
      <c r="BP13" s="63">
        <f t="shared" ref="BP13" si="52">BP5*BP11*(1-BP6)+BP9*BP12</f>
        <v>7.7818605606717592E-2</v>
      </c>
      <c r="BQ13" s="63">
        <f t="shared" ref="BQ13:BR13" si="53">BQ5*BQ11*(1-BQ6)+BQ9*BQ12</f>
        <v>7.8620966345894036E-2</v>
      </c>
      <c r="BR13" s="63" t="e">
        <f t="shared" si="53"/>
        <v>#DIV/0!</v>
      </c>
      <c r="BS13" s="63">
        <f t="shared" ref="BS13" si="54">BS5*BS11*(1-BS6)+BS9*BS12</f>
        <v>7.5863838748877074E-2</v>
      </c>
      <c r="BT13" s="63">
        <f t="shared" ref="BT13" si="55">BT5*BT11*(1-BT6)+BT9*BT12</f>
        <v>7.6902398130899621E-2</v>
      </c>
      <c r="BU13" s="63">
        <f t="shared" ref="BU13" si="56">BU5*BU11*(1-BU6)+BU9*BU12</f>
        <v>7.8953338498063463E-2</v>
      </c>
      <c r="BV13" s="63" t="e">
        <f t="shared" ref="BV13" si="57">BV5*BV11*(1-BV6)+BV9*BV12</f>
        <v>#DIV/0!</v>
      </c>
    </row>
    <row r="14" spans="1:74" s="16" customFormat="1" ht="56.45" customHeight="1">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workbookViewId="0">
      <selection activeCell="E45" sqref="E45"/>
    </sheetView>
  </sheetViews>
  <sheetFormatPr defaultRowHeight="13.5"/>
  <cols>
    <col min="1" max="1" width="37.375" style="17" bestFit="1" customWidth="1"/>
    <col min="2" max="4" width="9.5" hidden="1" customWidth="1"/>
    <col min="5" max="5" width="22.625" bestFit="1" customWidth="1"/>
    <col min="6" max="8" width="22.625" hidden="1" customWidth="1"/>
    <col min="9" max="9" width="22.625" bestFit="1" customWidth="1"/>
    <col min="10" max="12" width="22.625" hidden="1" customWidth="1"/>
    <col min="13" max="13" width="22.625" bestFit="1" customWidth="1"/>
    <col min="14" max="16" width="22.625" hidden="1" customWidth="1"/>
    <col min="17" max="17" width="22.625" bestFit="1" customWidth="1"/>
    <col min="18" max="20" width="22.625" hidden="1" customWidth="1"/>
    <col min="21" max="21" width="22.625" bestFit="1" customWidth="1"/>
    <col min="22" max="24" width="22.625" hidden="1" customWidth="1"/>
    <col min="25" max="25" width="22.625" bestFit="1" customWidth="1"/>
    <col min="26" max="28" width="22.625" hidden="1" customWidth="1"/>
    <col min="29" max="29" width="22.625" bestFit="1" customWidth="1"/>
    <col min="30" max="32" width="22.625" hidden="1" customWidth="1"/>
    <col min="33" max="33" width="22.625" bestFit="1" customWidth="1"/>
    <col min="34" max="36" width="22.625" hidden="1" customWidth="1"/>
    <col min="37" max="37" width="22.625" bestFit="1" customWidth="1"/>
    <col min="38" max="40" width="22.625" hidden="1" customWidth="1"/>
    <col min="41" max="41" width="22.625" bestFit="1" customWidth="1"/>
    <col min="42" max="44" width="22.625" hidden="1" customWidth="1"/>
    <col min="45" max="45" width="21.5" bestFit="1" customWidth="1"/>
    <col min="46" max="48" width="21.5" hidden="1" customWidth="1"/>
    <col min="49" max="49" width="21.5" bestFit="1" customWidth="1"/>
    <col min="50" max="52" width="21.5" hidden="1" customWidth="1"/>
    <col min="53" max="53" width="21.5" bestFit="1" customWidth="1"/>
    <col min="54" max="56" width="21.5" hidden="1" customWidth="1"/>
    <col min="57" max="57" width="21.5" bestFit="1" customWidth="1"/>
    <col min="58" max="60" width="21.5" hidden="1" customWidth="1"/>
    <col min="61" max="61" width="21.5" bestFit="1" customWidth="1"/>
    <col min="62" max="64" width="21.5" hidden="1" customWidth="1"/>
    <col min="65" max="65" width="21.5" bestFit="1" customWidth="1"/>
    <col min="66" max="68" width="21.5" hidden="1" customWidth="1"/>
    <col min="69" max="69" width="21.5" bestFit="1" customWidth="1"/>
    <col min="70" max="70" width="9.5" hidden="1" customWidth="1"/>
    <col min="71" max="72" width="21.5" hidden="1" customWidth="1"/>
    <col min="73" max="73" width="21.5" bestFit="1" customWidth="1"/>
    <col min="74" max="74" width="21.5" hidden="1" customWidth="1"/>
    <col min="75" max="75" width="21.5" bestFit="1" customWidth="1"/>
    <col min="76" max="76" width="21.5" hidden="1" customWidth="1"/>
    <col min="77" max="77" width="21.5" bestFit="1" customWidth="1"/>
    <col min="78" max="78" width="21.5" hidden="1" customWidth="1"/>
    <col min="79" max="81" width="19" bestFit="1" customWidth="1"/>
    <col min="82" max="82" width="9.5" hidden="1" customWidth="1"/>
    <col min="83" max="90" width="8.5" bestFit="1" customWidth="1"/>
  </cols>
  <sheetData>
    <row r="1" spans="1:90" s="26" customFormat="1"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90"/>
      <c r="CF1" s="190"/>
      <c r="CG1" s="190"/>
      <c r="CH1" s="190"/>
      <c r="CI1" s="190"/>
      <c r="CJ1" s="190"/>
      <c r="CK1" s="190"/>
      <c r="CL1" s="190"/>
    </row>
    <row r="2" spans="1:90" s="26" customFormat="1">
      <c r="A2" s="41" t="s">
        <v>552</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553</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558</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637</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639</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638</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640</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665</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c r="A20" s="113" t="s">
        <v>575</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c r="A21" s="113" t="s">
        <v>573</v>
      </c>
      <c r="B21" s="115"/>
      <c r="C21" s="115"/>
      <c r="D21" s="115"/>
      <c r="E21" s="115">
        <f>POWER(E4/U4,1/5)-1</f>
        <v>9.0338606403500776E-2</v>
      </c>
      <c r="F21" s="115"/>
      <c r="G21" s="115"/>
      <c r="H21" s="115"/>
      <c r="I21" s="115" t="e">
        <f>POWER(E4/Y4,1/6)-1</f>
        <v>#NUM!</v>
      </c>
      <c r="M21" s="115">
        <f>POWER(E4/AC4,1/7)-1</f>
        <v>-2.0112832230396949</v>
      </c>
    </row>
    <row r="22" spans="1:90" s="63" customFormat="1" ht="14.25" customHeight="1">
      <c r="A22" s="113" t="s">
        <v>576</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c r="A23" s="113" t="s">
        <v>577</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c r="A24" s="113" t="s">
        <v>578</v>
      </c>
      <c r="B24" s="115"/>
      <c r="C24" s="115"/>
      <c r="D24" s="115"/>
      <c r="E24" s="115">
        <f>POWER(E7/U7,1/5)-1</f>
        <v>-8.2822346192683582E-3</v>
      </c>
      <c r="F24" s="115"/>
      <c r="G24" s="115"/>
      <c r="H24" s="115"/>
      <c r="I24" s="115">
        <f>POWER(E7/Y7,1/6)-1</f>
        <v>-1.0068552274409726E-2</v>
      </c>
      <c r="M24" s="115">
        <f>POWER(E7/AC7,1/7)-1</f>
        <v>-5.7938434074081835E-3</v>
      </c>
    </row>
    <row r="25" spans="1:90" s="107" customFormat="1">
      <c r="A25" s="143" t="s">
        <v>554</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3" t="s">
        <v>562</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c r="A27" s="144" t="s">
        <v>555</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4" t="s">
        <v>563</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c r="A29" s="143" t="s">
        <v>572</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3" t="s">
        <v>556</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3" t="s">
        <v>557</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4" t="s">
        <v>559</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4" t="s">
        <v>566</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c r="A34" s="143" t="s">
        <v>560</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3" t="s">
        <v>564</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c r="A36" s="143" t="s">
        <v>561</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3" t="s">
        <v>565</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c r="A39" s="222" t="s">
        <v>552</v>
      </c>
      <c r="B39" s="223"/>
      <c r="C39" s="223"/>
      <c r="D39" s="223"/>
      <c r="E39" s="224">
        <f>E2/E9</f>
        <v>0.75366525966156128</v>
      </c>
      <c r="F39" s="224">
        <f t="shared" ref="F39:U39" si="37">F2/F9</f>
        <v>0.72821523807386701</v>
      </c>
      <c r="G39" s="224">
        <f t="shared" si="37"/>
        <v>0.70612766687291328</v>
      </c>
      <c r="H39" s="224">
        <f t="shared" si="37"/>
        <v>0.7150137490205537</v>
      </c>
      <c r="I39" s="224">
        <f t="shared" si="37"/>
        <v>0.73167738457491771</v>
      </c>
      <c r="J39" s="224">
        <f t="shared" si="37"/>
        <v>0.73556355193110379</v>
      </c>
      <c r="K39" s="224">
        <f t="shared" si="37"/>
        <v>0.64406017247046776</v>
      </c>
      <c r="L39" s="224">
        <f t="shared" si="37"/>
        <v>0.57983100608384586</v>
      </c>
      <c r="M39" s="224">
        <f t="shared" si="37"/>
        <v>0.60376151169618864</v>
      </c>
      <c r="N39" s="224">
        <f t="shared" si="37"/>
        <v>0.60318337509293452</v>
      </c>
      <c r="O39" s="224">
        <f t="shared" si="37"/>
        <v>0.56185405636921182</v>
      </c>
      <c r="P39" s="224">
        <f t="shared" si="37"/>
        <v>0.57413451024907813</v>
      </c>
      <c r="Q39" s="224">
        <f t="shared" si="37"/>
        <v>0.56031290365853437</v>
      </c>
      <c r="R39" s="224">
        <f t="shared" si="37"/>
        <v>0.54026596206891131</v>
      </c>
      <c r="S39" s="224">
        <f t="shared" si="37"/>
        <v>0.53297163230191658</v>
      </c>
      <c r="T39" s="224">
        <f t="shared" si="37"/>
        <v>0.57942634653740277</v>
      </c>
      <c r="U39" s="224">
        <f t="shared" si="37"/>
        <v>0.70425660127813483</v>
      </c>
    </row>
    <row r="40" spans="1:89" s="225" customFormat="1">
      <c r="A40" s="222" t="s">
        <v>553</v>
      </c>
      <c r="B40" s="223"/>
      <c r="C40" s="223"/>
      <c r="D40" s="223"/>
      <c r="E40" s="224">
        <f>E3/E9</f>
        <v>1.5781703639593792E-2</v>
      </c>
      <c r="F40" s="224">
        <f t="shared" ref="F40:U40" si="38">F3/F9</f>
        <v>1.575674304573068E-2</v>
      </c>
      <c r="G40" s="224">
        <f t="shared" si="38"/>
        <v>1.6347560614534132E-2</v>
      </c>
      <c r="H40" s="224">
        <f t="shared" si="38"/>
        <v>1.5297759350376455E-2</v>
      </c>
      <c r="I40" s="224">
        <f t="shared" si="38"/>
        <v>1.6484367378729381E-2</v>
      </c>
      <c r="J40" s="224">
        <f t="shared" si="38"/>
        <v>1.6689866201352571E-2</v>
      </c>
      <c r="K40" s="224">
        <f t="shared" si="38"/>
        <v>1.6072232155751744E-2</v>
      </c>
      <c r="L40" s="224">
        <f t="shared" si="38"/>
        <v>1.8288186105791401E-2</v>
      </c>
      <c r="M40" s="224">
        <f t="shared" si="38"/>
        <v>2.0340651446541312E-2</v>
      </c>
      <c r="N40" s="224">
        <f t="shared" si="38"/>
        <v>2.0598263705857284E-2</v>
      </c>
      <c r="O40" s="224">
        <f t="shared" si="38"/>
        <v>2.1283881294603867E-2</v>
      </c>
      <c r="P40" s="224">
        <f t="shared" si="38"/>
        <v>2.0359032165604536E-2</v>
      </c>
      <c r="Q40" s="224">
        <f t="shared" si="38"/>
        <v>2.1516912966447616E-2</v>
      </c>
      <c r="R40" s="224">
        <f t="shared" si="38"/>
        <v>2.1676099713762918E-2</v>
      </c>
      <c r="S40" s="224">
        <f t="shared" si="38"/>
        <v>2.1824033146610043E-2</v>
      </c>
      <c r="T40" s="224">
        <f t="shared" si="38"/>
        <v>2.1109168082561577E-2</v>
      </c>
      <c r="U40" s="224">
        <f t="shared" si="38"/>
        <v>3.2512117543596212E-3</v>
      </c>
    </row>
    <row r="41" spans="1:89">
      <c r="A41" s="184" t="s">
        <v>558</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4">
        <f t="shared" si="39"/>
        <v>0.21446634753963173</v>
      </c>
      <c r="O41" s="214">
        <f t="shared" si="39"/>
        <v>0.24787462315928682</v>
      </c>
      <c r="P41" s="214">
        <f t="shared" si="39"/>
        <v>0.24168014552187353</v>
      </c>
      <c r="Q41" s="214">
        <f t="shared" si="39"/>
        <v>0.2436347845000901</v>
      </c>
      <c r="R41" s="214">
        <f t="shared" si="39"/>
        <v>0.2589846866977728</v>
      </c>
      <c r="S41" s="214">
        <f t="shared" si="39"/>
        <v>0.2668895248350015</v>
      </c>
      <c r="T41" s="214">
        <f t="shared" si="39"/>
        <v>0.22613720235795692</v>
      </c>
      <c r="U41" s="214">
        <f t="shared" si="39"/>
        <v>0.10194767697986305</v>
      </c>
    </row>
    <row r="42" spans="1:89">
      <c r="A42" s="184" t="s">
        <v>334</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4">
        <f t="shared" si="40"/>
        <v>0.34450719291206622</v>
      </c>
      <c r="O42" s="214">
        <f t="shared" si="40"/>
        <v>0.39431678168274426</v>
      </c>
      <c r="P42" s="214">
        <f t="shared" si="40"/>
        <v>0.38331369087504452</v>
      </c>
      <c r="Q42" s="214">
        <f t="shared" si="40"/>
        <v>0.39424662787385911</v>
      </c>
      <c r="R42" s="214">
        <f t="shared" si="40"/>
        <v>0.40100895942301618</v>
      </c>
      <c r="S42" s="214">
        <f t="shared" si="40"/>
        <v>0.43541173344176948</v>
      </c>
      <c r="T42" s="214">
        <f t="shared" si="40"/>
        <v>0.41440321677333691</v>
      </c>
      <c r="U42" s="214">
        <f t="shared" si="40"/>
        <v>0.29184236559064697</v>
      </c>
    </row>
    <row r="43" spans="1:89">
      <c r="A43" s="184" t="s">
        <v>335</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4">
        <f t="shared" si="41"/>
        <v>0.13004084537243449</v>
      </c>
      <c r="O43" s="214">
        <f t="shared" si="41"/>
        <v>0.14644215852345746</v>
      </c>
      <c r="P43" s="214">
        <f t="shared" si="41"/>
        <v>0.14163354535317102</v>
      </c>
      <c r="Q43" s="214">
        <f t="shared" si="41"/>
        <v>0.15061184337376901</v>
      </c>
      <c r="R43" s="214">
        <f t="shared" si="41"/>
        <v>0.14202427272524334</v>
      </c>
      <c r="S43" s="214">
        <f t="shared" si="41"/>
        <v>0.16852220860676795</v>
      </c>
      <c r="T43" s="214">
        <f t="shared" si="41"/>
        <v>0.18826601441537999</v>
      </c>
      <c r="U43" s="214">
        <f t="shared" si="41"/>
        <v>0.18989468861078393</v>
      </c>
    </row>
    <row r="44" spans="1:89">
      <c r="A44" s="184" t="s">
        <v>336</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4">
        <f t="shared" si="42"/>
        <v>0.16175201366157652</v>
      </c>
      <c r="O44" s="214">
        <f t="shared" si="42"/>
        <v>0.16898743917689749</v>
      </c>
      <c r="P44" s="214">
        <f t="shared" si="42"/>
        <v>0.16382631206344389</v>
      </c>
      <c r="Q44" s="214">
        <f t="shared" si="42"/>
        <v>0.17453539887492781</v>
      </c>
      <c r="R44" s="214">
        <f t="shared" si="42"/>
        <v>0.17907325151955289</v>
      </c>
      <c r="S44" s="214">
        <f t="shared" si="42"/>
        <v>0.17831480971647176</v>
      </c>
      <c r="T44" s="214">
        <f t="shared" si="42"/>
        <v>0.17332728302207881</v>
      </c>
      <c r="U44" s="214">
        <f t="shared" si="42"/>
        <v>0.19054450998764266</v>
      </c>
    </row>
    <row r="45" spans="1:89" s="225" customFormat="1">
      <c r="A45" s="222" t="s">
        <v>337</v>
      </c>
      <c r="B45" s="223"/>
      <c r="C45" s="223"/>
      <c r="D45" s="223"/>
      <c r="E45" s="224">
        <f>E8/E9</f>
        <v>0.23055303669884508</v>
      </c>
      <c r="F45" s="224">
        <f t="shared" ref="F45:U45" si="43">F8/F9</f>
        <v>0.25602801888040233</v>
      </c>
      <c r="G45" s="224">
        <f t="shared" si="43"/>
        <v>0.27752477251255253</v>
      </c>
      <c r="H45" s="224">
        <f t="shared" si="43"/>
        <v>0.26968849162906994</v>
      </c>
      <c r="I45" s="224">
        <f t="shared" si="43"/>
        <v>0.25183824804635302</v>
      </c>
      <c r="J45" s="224">
        <f t="shared" si="43"/>
        <v>0.24774658186754367</v>
      </c>
      <c r="K45" s="224">
        <f t="shared" si="43"/>
        <v>0.33986759537378053</v>
      </c>
      <c r="L45" s="224">
        <f t="shared" si="43"/>
        <v>0.40188080781036284</v>
      </c>
      <c r="M45" s="224">
        <f t="shared" si="43"/>
        <v>0.37589783685727002</v>
      </c>
      <c r="N45" s="224">
        <f t="shared" si="43"/>
        <v>0.37621836120120827</v>
      </c>
      <c r="O45" s="224">
        <f t="shared" si="43"/>
        <v>0.41686206233618428</v>
      </c>
      <c r="P45" s="224">
        <f t="shared" si="43"/>
        <v>0.40550645758531739</v>
      </c>
      <c r="Q45" s="224">
        <f t="shared" si="43"/>
        <v>0.41817018337501788</v>
      </c>
      <c r="R45" s="224">
        <f t="shared" si="43"/>
        <v>0.43805793821732569</v>
      </c>
      <c r="S45" s="224">
        <f t="shared" si="43"/>
        <v>0.44520433455147329</v>
      </c>
      <c r="T45" s="224">
        <f t="shared" si="43"/>
        <v>0.39946448538003571</v>
      </c>
      <c r="U45" s="224">
        <f t="shared" si="43"/>
        <v>0.29249218696750573</v>
      </c>
    </row>
    <row r="46" spans="1:89">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c r="A47" s="184" t="s">
        <v>339</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c r="A48" s="184"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2.341219261457551E-5</v>
      </c>
      <c r="O48" s="214">
        <f t="shared" si="46"/>
        <v>2.41914724255778E-5</v>
      </c>
      <c r="P48" s="214">
        <f t="shared" si="46"/>
        <v>2.3458757463119342E-5</v>
      </c>
      <c r="Q48" s="214">
        <f t="shared" si="46"/>
        <v>2.4792929179006194E-5</v>
      </c>
      <c r="R48" s="214">
        <f t="shared" si="46"/>
        <v>1.6754608748503546E-3</v>
      </c>
      <c r="S48" s="214">
        <f t="shared" si="46"/>
        <v>1.7043619693974722E-3</v>
      </c>
      <c r="T48" s="214">
        <f t="shared" si="46"/>
        <v>1.6487497451556461E-3</v>
      </c>
      <c r="U48" s="214">
        <f t="shared" si="46"/>
        <v>1.8230904428682079E-3</v>
      </c>
    </row>
    <row r="49" spans="1:21">
      <c r="A49" s="184" t="s">
        <v>341</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4">
        <f t="shared" si="47"/>
        <v>2.341219261457551E-5</v>
      </c>
      <c r="O49" s="214">
        <f t="shared" si="47"/>
        <v>2.41914724255778E-5</v>
      </c>
      <c r="P49" s="214">
        <f t="shared" si="47"/>
        <v>2.3458757463119342E-5</v>
      </c>
      <c r="Q49" s="214">
        <f t="shared" si="47"/>
        <v>2.4792929179006194E-5</v>
      </c>
      <c r="R49" s="214">
        <f t="shared" si="47"/>
        <v>1.6754608748503546E-3</v>
      </c>
      <c r="S49" s="214">
        <f t="shared" si="47"/>
        <v>1.7043619693974722E-3</v>
      </c>
      <c r="T49" s="214">
        <f t="shared" si="47"/>
        <v>1.6487497451556461E-3</v>
      </c>
      <c r="U49" s="214">
        <f t="shared" si="47"/>
        <v>1.8230904428682079E-3</v>
      </c>
    </row>
    <row r="50" spans="1:21">
      <c r="A50" s="184" t="s">
        <v>345</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4">
        <f t="shared" si="48"/>
        <v>0.99997658780738541</v>
      </c>
      <c r="O50" s="214">
        <f t="shared" si="48"/>
        <v>0.99997580852757439</v>
      </c>
      <c r="P50" s="214">
        <f t="shared" si="48"/>
        <v>0.99997654124253688</v>
      </c>
      <c r="Q50" s="214">
        <f t="shared" si="48"/>
        <v>0.99997520707082099</v>
      </c>
      <c r="R50" s="214">
        <f t="shared" si="48"/>
        <v>0.99832453912514962</v>
      </c>
      <c r="S50" s="214">
        <f t="shared" si="48"/>
        <v>0.99829563803060251</v>
      </c>
      <c r="T50" s="214">
        <f t="shared" si="48"/>
        <v>0.99835125025484428</v>
      </c>
      <c r="U50" s="214">
        <f t="shared" si="48"/>
        <v>0.9981769095571319</v>
      </c>
    </row>
    <row r="51" spans="1:21">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c r="A55" s="184" t="s">
        <v>645</v>
      </c>
      <c r="B55" s="64"/>
      <c r="C55" s="64"/>
      <c r="D55" s="64"/>
      <c r="E55" s="214">
        <f>E2/E9</f>
        <v>0.75366525966156128</v>
      </c>
      <c r="F55" s="214">
        <f t="shared" ref="F55:U55" si="51">F2/F9</f>
        <v>0.72821523807386701</v>
      </c>
      <c r="G55" s="214">
        <f t="shared" si="51"/>
        <v>0.70612766687291328</v>
      </c>
      <c r="H55" s="214">
        <f t="shared" si="51"/>
        <v>0.7150137490205537</v>
      </c>
      <c r="I55" s="214">
        <f t="shared" si="51"/>
        <v>0.73167738457491771</v>
      </c>
      <c r="J55" s="214">
        <f t="shared" si="51"/>
        <v>0.73556355193110379</v>
      </c>
      <c r="K55" s="214">
        <f t="shared" si="51"/>
        <v>0.64406017247046776</v>
      </c>
      <c r="L55" s="214">
        <f t="shared" si="51"/>
        <v>0.57983100608384586</v>
      </c>
      <c r="M55" s="214">
        <f t="shared" si="51"/>
        <v>0.60376151169618864</v>
      </c>
      <c r="N55" s="214">
        <f t="shared" si="51"/>
        <v>0.60318337509293452</v>
      </c>
      <c r="O55" s="214">
        <f t="shared" si="51"/>
        <v>0.56185405636921182</v>
      </c>
      <c r="P55" s="214">
        <f t="shared" si="51"/>
        <v>0.57413451024907813</v>
      </c>
      <c r="Q55" s="214">
        <f t="shared" si="51"/>
        <v>0.56031290365853437</v>
      </c>
      <c r="R55" s="214">
        <f t="shared" si="51"/>
        <v>0.54026596206891131</v>
      </c>
      <c r="S55" s="214">
        <f t="shared" si="51"/>
        <v>0.53297163230191658</v>
      </c>
      <c r="T55" s="214">
        <f t="shared" si="51"/>
        <v>0.57942634653740277</v>
      </c>
      <c r="U55" s="214">
        <f t="shared" si="51"/>
        <v>0.70425660127813483</v>
      </c>
    </row>
    <row r="56" spans="1:21">
      <c r="A56" s="184" t="s">
        <v>646</v>
      </c>
      <c r="B56" s="64"/>
      <c r="C56" s="64"/>
      <c r="D56" s="64"/>
      <c r="E56" s="214">
        <f>E4/E9</f>
        <v>0.10656665882951567</v>
      </c>
      <c r="F56" s="214">
        <f t="shared" ref="F56:U56" si="52">F4/F9</f>
        <v>0.12651634132428197</v>
      </c>
      <c r="G56" s="214">
        <f t="shared" si="52"/>
        <v>0.14177477165216018</v>
      </c>
      <c r="H56" s="214">
        <f t="shared" si="52"/>
        <v>0.13763063247340751</v>
      </c>
      <c r="I56" s="214">
        <f t="shared" si="52"/>
        <v>0.1092409885054048</v>
      </c>
      <c r="J56" s="214">
        <f t="shared" si="52"/>
        <v>9.8544152743328867E-2</v>
      </c>
      <c r="K56" s="214">
        <f t="shared" si="52"/>
        <v>0.19470696762216919</v>
      </c>
      <c r="L56" s="214">
        <f t="shared" si="52"/>
        <v>0.25413923300018448</v>
      </c>
      <c r="M56" s="214">
        <f t="shared" si="52"/>
        <v>0.21700757467532777</v>
      </c>
      <c r="N56" s="214">
        <f t="shared" si="52"/>
        <v>0.21446634753963173</v>
      </c>
      <c r="O56" s="214">
        <f t="shared" si="52"/>
        <v>0.24787462315928682</v>
      </c>
      <c r="P56" s="214">
        <f t="shared" si="52"/>
        <v>0.24168014552187353</v>
      </c>
      <c r="Q56" s="214">
        <f t="shared" si="52"/>
        <v>0.2436347845000901</v>
      </c>
      <c r="R56" s="214">
        <f t="shared" si="52"/>
        <v>0.2589846866977728</v>
      </c>
      <c r="S56" s="214">
        <f t="shared" si="52"/>
        <v>0.2668895248350015</v>
      </c>
      <c r="T56" s="214">
        <f t="shared" si="52"/>
        <v>0.22613720235795692</v>
      </c>
      <c r="U56" s="214">
        <f t="shared" si="52"/>
        <v>0.10194767697986305</v>
      </c>
    </row>
    <row r="57" spans="1:21">
      <c r="A57" s="184" t="s">
        <v>647</v>
      </c>
      <c r="B57" s="64"/>
      <c r="C57" s="64"/>
      <c r="D57" s="64"/>
      <c r="E57" s="214">
        <f>E5/E9</f>
        <v>0.40375004129147557</v>
      </c>
      <c r="F57" s="214">
        <f t="shared" ref="F57:U57" si="53">F5/F9</f>
        <v>0.40094556048405533</v>
      </c>
      <c r="G57" s="214">
        <f t="shared" si="53"/>
        <v>0.43097587440979651</v>
      </c>
      <c r="H57" s="214">
        <f t="shared" si="53"/>
        <v>0.44413813212814485</v>
      </c>
      <c r="I57" s="214">
        <f t="shared" si="53"/>
        <v>0.39900965153733031</v>
      </c>
      <c r="J57" s="214">
        <f t="shared" si="53"/>
        <v>0.3958457787930198</v>
      </c>
      <c r="K57" s="214">
        <f t="shared" si="53"/>
        <v>0.4343316746013266</v>
      </c>
      <c r="L57" s="214">
        <f t="shared" si="53"/>
        <v>0.54199096569848926</v>
      </c>
      <c r="M57" s="214">
        <f t="shared" si="53"/>
        <v>0.40195388674049848</v>
      </c>
      <c r="N57" s="214">
        <f t="shared" si="53"/>
        <v>0.34450719291206622</v>
      </c>
      <c r="O57" s="214">
        <f t="shared" si="53"/>
        <v>0.39431678168274426</v>
      </c>
      <c r="P57" s="214">
        <f t="shared" si="53"/>
        <v>0.38331369087504452</v>
      </c>
      <c r="Q57" s="214">
        <f t="shared" si="53"/>
        <v>0.39424662787385911</v>
      </c>
      <c r="R57" s="214">
        <f t="shared" si="53"/>
        <v>0.40100895942301618</v>
      </c>
      <c r="S57" s="214">
        <f t="shared" si="53"/>
        <v>0.43541173344176948</v>
      </c>
      <c r="T57" s="214">
        <f t="shared" si="53"/>
        <v>0.41440321677333691</v>
      </c>
      <c r="U57" s="214">
        <f t="shared" si="53"/>
        <v>0.29184236559064697</v>
      </c>
    </row>
    <row r="58" spans="1:21">
      <c r="A58" s="184" t="s">
        <v>648</v>
      </c>
      <c r="B58" s="64"/>
      <c r="C58" s="64"/>
      <c r="D58" s="64"/>
      <c r="E58" s="214">
        <f>E6/E9</f>
        <v>0.29718338246195986</v>
      </c>
      <c r="F58" s="214">
        <f t="shared" ref="F58:U58" si="54">F6/F9</f>
        <v>0.27442921915977336</v>
      </c>
      <c r="G58" s="214">
        <f t="shared" si="54"/>
        <v>0.28920110275763633</v>
      </c>
      <c r="H58" s="214">
        <f t="shared" si="54"/>
        <v>0.30650749965473728</v>
      </c>
      <c r="I58" s="214">
        <f t="shared" si="54"/>
        <v>0.2897686630319255</v>
      </c>
      <c r="J58" s="214">
        <f t="shared" si="54"/>
        <v>0.2973016260496909</v>
      </c>
      <c r="K58" s="214">
        <f t="shared" si="54"/>
        <v>0.23962470697915741</v>
      </c>
      <c r="L58" s="214">
        <f t="shared" si="54"/>
        <v>0.28785173269830483</v>
      </c>
      <c r="M58" s="214">
        <f t="shared" si="54"/>
        <v>0.1849463120651707</v>
      </c>
      <c r="N58" s="214">
        <f t="shared" si="54"/>
        <v>0.13004084537243449</v>
      </c>
      <c r="O58" s="214">
        <f t="shared" si="54"/>
        <v>0.14644215852345746</v>
      </c>
      <c r="P58" s="214">
        <f t="shared" si="54"/>
        <v>0.14163354535317102</v>
      </c>
      <c r="Q58" s="214">
        <f t="shared" si="54"/>
        <v>0.15061184337376901</v>
      </c>
      <c r="R58" s="214">
        <f t="shared" si="54"/>
        <v>0.14202427272524334</v>
      </c>
      <c r="S58" s="214">
        <f t="shared" si="54"/>
        <v>0.16852220860676795</v>
      </c>
      <c r="T58" s="214">
        <f t="shared" si="54"/>
        <v>0.18826601441537999</v>
      </c>
      <c r="U58" s="214">
        <f t="shared" si="54"/>
        <v>0.18989468861078393</v>
      </c>
    </row>
    <row r="59" spans="1:21" s="225" customFormat="1">
      <c r="A59" s="227" t="s">
        <v>642</v>
      </c>
      <c r="B59" s="223"/>
      <c r="C59" s="223"/>
      <c r="D59" s="223"/>
      <c r="E59" s="224">
        <f>E55+E56</f>
        <v>0.86023191849107694</v>
      </c>
      <c r="F59" s="224">
        <f t="shared" ref="F59:U59" si="55">F55+F56</f>
        <v>0.85473157939814892</v>
      </c>
      <c r="G59" s="224">
        <f t="shared" si="55"/>
        <v>0.84790243852507352</v>
      </c>
      <c r="H59" s="224">
        <f t="shared" si="55"/>
        <v>0.85264438149396127</v>
      </c>
      <c r="I59" s="224">
        <f t="shared" si="55"/>
        <v>0.84091837308032247</v>
      </c>
      <c r="J59" s="224">
        <f t="shared" si="55"/>
        <v>0.83410770467443263</v>
      </c>
      <c r="K59" s="224">
        <f t="shared" si="55"/>
        <v>0.83876714009263698</v>
      </c>
      <c r="L59" s="224">
        <f t="shared" si="55"/>
        <v>0.83397023908403034</v>
      </c>
      <c r="M59" s="224">
        <f t="shared" si="55"/>
        <v>0.82076908637151647</v>
      </c>
      <c r="N59" s="224">
        <f t="shared" si="55"/>
        <v>0.8176497226325663</v>
      </c>
      <c r="O59" s="224">
        <f t="shared" si="55"/>
        <v>0.80972867952849858</v>
      </c>
      <c r="P59" s="224">
        <f t="shared" si="55"/>
        <v>0.81581465577095169</v>
      </c>
      <c r="Q59" s="224">
        <f t="shared" si="55"/>
        <v>0.8039476881586245</v>
      </c>
      <c r="R59" s="224">
        <f t="shared" si="55"/>
        <v>0.79925064876668417</v>
      </c>
      <c r="S59" s="224">
        <f t="shared" si="55"/>
        <v>0.79986115713691808</v>
      </c>
      <c r="T59" s="224">
        <f t="shared" si="55"/>
        <v>0.80556354889535964</v>
      </c>
      <c r="U59" s="224">
        <f t="shared" si="55"/>
        <v>0.8062042782579979</v>
      </c>
    </row>
    <row r="60" spans="1:21">
      <c r="A60" s="184" t="s">
        <v>649</v>
      </c>
      <c r="B60" s="64"/>
      <c r="C60" s="64"/>
      <c r="D60" s="64"/>
      <c r="E60" s="214">
        <f>E3/E9</f>
        <v>1.5781703639593792E-2</v>
      </c>
      <c r="F60" s="214">
        <f t="shared" ref="F60:U60" si="56">F3/F9</f>
        <v>1.575674304573068E-2</v>
      </c>
      <c r="G60" s="214">
        <f t="shared" si="56"/>
        <v>1.6347560614534132E-2</v>
      </c>
      <c r="H60" s="214">
        <f t="shared" si="56"/>
        <v>1.5297759350376455E-2</v>
      </c>
      <c r="I60" s="214">
        <f t="shared" si="56"/>
        <v>1.6484367378729381E-2</v>
      </c>
      <c r="J60" s="214">
        <f t="shared" si="56"/>
        <v>1.6689866201352571E-2</v>
      </c>
      <c r="K60" s="214">
        <f t="shared" si="56"/>
        <v>1.6072232155751744E-2</v>
      </c>
      <c r="L60" s="214">
        <f t="shared" si="56"/>
        <v>1.8288186105791401E-2</v>
      </c>
      <c r="M60" s="214">
        <f t="shared" si="56"/>
        <v>2.0340651446541312E-2</v>
      </c>
      <c r="N60" s="214">
        <f t="shared" si="56"/>
        <v>2.0598263705857284E-2</v>
      </c>
      <c r="O60" s="214">
        <f t="shared" si="56"/>
        <v>2.1283881294603867E-2</v>
      </c>
      <c r="P60" s="214">
        <f t="shared" si="56"/>
        <v>2.0359032165604536E-2</v>
      </c>
      <c r="Q60" s="214">
        <f t="shared" si="56"/>
        <v>2.1516912966447616E-2</v>
      </c>
      <c r="R60" s="214">
        <f t="shared" si="56"/>
        <v>2.1676099713762918E-2</v>
      </c>
      <c r="S60" s="214">
        <f t="shared" si="56"/>
        <v>2.1824033146610043E-2</v>
      </c>
      <c r="T60" s="214">
        <f t="shared" si="56"/>
        <v>2.1109168082561577E-2</v>
      </c>
      <c r="U60" s="214">
        <f t="shared" si="56"/>
        <v>3.2512117543596212E-3</v>
      </c>
    </row>
    <row r="61" spans="1:21">
      <c r="A61" s="184" t="s">
        <v>650</v>
      </c>
      <c r="B61" s="64"/>
      <c r="C61" s="64"/>
      <c r="D61" s="64"/>
      <c r="E61" s="214">
        <f>E7/E9</f>
        <v>0.12398637786932939</v>
      </c>
      <c r="F61" s="214">
        <f t="shared" ref="F61:U61" si="57">F7/F9</f>
        <v>0.12951167755612036</v>
      </c>
      <c r="G61" s="214">
        <f t="shared" si="57"/>
        <v>0.13575000086039232</v>
      </c>
      <c r="H61" s="214">
        <f t="shared" si="57"/>
        <v>0.1320578591556624</v>
      </c>
      <c r="I61" s="214">
        <f t="shared" si="57"/>
        <v>0.14259725954094823</v>
      </c>
      <c r="J61" s="214">
        <f t="shared" si="57"/>
        <v>0.1492024291242148</v>
      </c>
      <c r="K61" s="214">
        <f t="shared" si="57"/>
        <v>0.14516062775161134</v>
      </c>
      <c r="L61" s="214">
        <f t="shared" si="57"/>
        <v>0.14774157481017838</v>
      </c>
      <c r="M61" s="214">
        <f t="shared" si="57"/>
        <v>0.15889026218194224</v>
      </c>
      <c r="N61" s="214">
        <f t="shared" si="57"/>
        <v>0.16175201366157652</v>
      </c>
      <c r="O61" s="214">
        <f t="shared" si="57"/>
        <v>0.16898743917689749</v>
      </c>
      <c r="P61" s="214">
        <f t="shared" si="57"/>
        <v>0.16382631206344389</v>
      </c>
      <c r="Q61" s="214">
        <f t="shared" si="57"/>
        <v>0.17453539887492781</v>
      </c>
      <c r="R61" s="214">
        <f t="shared" si="57"/>
        <v>0.17907325151955289</v>
      </c>
      <c r="S61" s="214">
        <f t="shared" si="57"/>
        <v>0.17831480971647176</v>
      </c>
      <c r="T61" s="214">
        <f t="shared" si="57"/>
        <v>0.17332728302207881</v>
      </c>
      <c r="U61" s="214">
        <f t="shared" si="57"/>
        <v>0.19054450998764266</v>
      </c>
    </row>
    <row r="62" spans="1:21" s="225" customFormat="1">
      <c r="A62" s="227" t="s">
        <v>643</v>
      </c>
      <c r="B62" s="223"/>
      <c r="C62" s="223"/>
      <c r="D62" s="223"/>
      <c r="E62" s="224">
        <f>E60+E61</f>
        <v>0.1397680815089232</v>
      </c>
      <c r="F62" s="224">
        <f t="shared" ref="F62:M62" si="58">F60+F61</f>
        <v>0.14526842060185105</v>
      </c>
      <c r="G62" s="224">
        <f t="shared" si="58"/>
        <v>0.15209756147492645</v>
      </c>
      <c r="H62" s="224">
        <f t="shared" si="58"/>
        <v>0.14735561850603884</v>
      </c>
      <c r="I62" s="224">
        <f t="shared" si="58"/>
        <v>0.15908162691967762</v>
      </c>
      <c r="J62" s="224">
        <f t="shared" si="58"/>
        <v>0.16589229532556737</v>
      </c>
      <c r="K62" s="224">
        <f t="shared" si="58"/>
        <v>0.16123285990736308</v>
      </c>
      <c r="L62" s="224">
        <f t="shared" si="58"/>
        <v>0.16602976091596977</v>
      </c>
      <c r="M62" s="224">
        <f t="shared" si="58"/>
        <v>0.17923091362848356</v>
      </c>
      <c r="N62" s="224">
        <f t="shared" ref="N62" si="59">N60+N61</f>
        <v>0.18235027736743381</v>
      </c>
      <c r="O62" s="224">
        <f t="shared" ref="O62" si="60">O60+O61</f>
        <v>0.19027132047150136</v>
      </c>
      <c r="P62" s="224">
        <f t="shared" ref="P62" si="61">P60+P61</f>
        <v>0.18418534422904842</v>
      </c>
      <c r="Q62" s="224">
        <f t="shared" ref="Q62" si="62">Q60+Q61</f>
        <v>0.19605231184137542</v>
      </c>
      <c r="R62" s="224">
        <f t="shared" ref="R62" si="63">R60+R61</f>
        <v>0.2007493512333158</v>
      </c>
      <c r="S62" s="224">
        <f t="shared" ref="S62" si="64">S60+S61</f>
        <v>0.20013884286308181</v>
      </c>
      <c r="T62" s="224">
        <f t="shared" ref="T62" si="65">T60+T61</f>
        <v>0.19443645110464039</v>
      </c>
      <c r="U62" s="224">
        <f t="shared" ref="U62" si="66">U60+U61</f>
        <v>0.1937957217420023</v>
      </c>
    </row>
    <row r="63" spans="1:21">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c r="A67" s="17" t="s">
        <v>652</v>
      </c>
      <c r="E67" s="193">
        <f>E10</f>
        <v>0</v>
      </c>
      <c r="F67" s="193">
        <f t="shared" ref="F67:U67" si="68">F10</f>
        <v>0</v>
      </c>
      <c r="G67" s="193">
        <f t="shared" si="68"/>
        <v>0</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c r="A68" s="17" t="s">
        <v>653</v>
      </c>
      <c r="E68" s="193">
        <f>E11</f>
        <v>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1000000</v>
      </c>
      <c r="O68" s="193">
        <f t="shared" si="69"/>
        <v>1000000</v>
      </c>
      <c r="P68" s="193">
        <f t="shared" si="69"/>
        <v>1000000</v>
      </c>
      <c r="Q68" s="193">
        <f t="shared" si="69"/>
        <v>1000000</v>
      </c>
      <c r="R68" s="193">
        <f t="shared" si="69"/>
        <v>65516518.030000001</v>
      </c>
      <c r="S68" s="193">
        <f t="shared" si="69"/>
        <v>65195268.039999999</v>
      </c>
      <c r="T68" s="193">
        <f t="shared" si="69"/>
        <v>65654018.049999997</v>
      </c>
      <c r="U68" s="193">
        <f t="shared" si="69"/>
        <v>67612768.060000002</v>
      </c>
    </row>
    <row r="69" spans="1:21">
      <c r="A69" s="17" t="s">
        <v>654</v>
      </c>
      <c r="E69" s="193">
        <f>E12</f>
        <v>0</v>
      </c>
      <c r="F69" s="193">
        <f t="shared" ref="F69:U69" si="70">F12</f>
        <v>0</v>
      </c>
      <c r="G69" s="193">
        <f t="shared" si="70"/>
        <v>0</v>
      </c>
      <c r="H69" s="193">
        <f t="shared" si="70"/>
        <v>0</v>
      </c>
      <c r="I69" s="193">
        <f t="shared" si="70"/>
        <v>0</v>
      </c>
      <c r="J69" s="193">
        <f t="shared" si="70"/>
        <v>0</v>
      </c>
      <c r="K69" s="193">
        <f t="shared" si="70"/>
        <v>0</v>
      </c>
      <c r="L69" s="193">
        <f t="shared" si="70"/>
        <v>0</v>
      </c>
      <c r="M69" s="193">
        <f t="shared" si="70"/>
        <v>0</v>
      </c>
      <c r="N69" s="193">
        <f t="shared" si="70"/>
        <v>1000000</v>
      </c>
      <c r="O69" s="193">
        <f t="shared" si="70"/>
        <v>1000000</v>
      </c>
      <c r="P69" s="193">
        <f t="shared" si="70"/>
        <v>1000000</v>
      </c>
      <c r="Q69" s="193">
        <f t="shared" si="70"/>
        <v>1000000</v>
      </c>
      <c r="R69" s="193">
        <f t="shared" si="70"/>
        <v>65516518.030000001</v>
      </c>
      <c r="S69" s="193">
        <f t="shared" si="70"/>
        <v>65195268.039999999</v>
      </c>
      <c r="T69" s="193">
        <f t="shared" si="70"/>
        <v>65654018.049999997</v>
      </c>
      <c r="U69" s="193">
        <f t="shared" si="70"/>
        <v>67612768.060000002</v>
      </c>
    </row>
    <row r="70" spans="1:21" s="234" customFormat="1">
      <c r="A70" s="234" t="s">
        <v>657</v>
      </c>
      <c r="E70" s="234">
        <f>E69/E74</f>
        <v>0</v>
      </c>
      <c r="F70" s="234">
        <f t="shared" ref="F70:U70" si="71">F69/F74</f>
        <v>0</v>
      </c>
      <c r="G70" s="234">
        <f t="shared" si="71"/>
        <v>0</v>
      </c>
      <c r="H70" s="234">
        <f t="shared" si="71"/>
        <v>0</v>
      </c>
      <c r="I70" s="234">
        <f t="shared" si="71"/>
        <v>0</v>
      </c>
      <c r="J70" s="234">
        <f t="shared" si="71"/>
        <v>0</v>
      </c>
      <c r="K70" s="234">
        <f t="shared" si="71"/>
        <v>0</v>
      </c>
      <c r="L70" s="234">
        <f t="shared" si="71"/>
        <v>0</v>
      </c>
      <c r="M70" s="234">
        <f t="shared" si="71"/>
        <v>0</v>
      </c>
      <c r="N70" s="234">
        <f t="shared" si="71"/>
        <v>2.341219261457551E-5</v>
      </c>
      <c r="O70" s="234">
        <f t="shared" si="71"/>
        <v>2.41914724255778E-5</v>
      </c>
      <c r="P70" s="234">
        <f t="shared" si="71"/>
        <v>2.3458757463119342E-5</v>
      </c>
      <c r="Q70" s="234">
        <f t="shared" si="71"/>
        <v>2.4792929179006194E-5</v>
      </c>
      <c r="R70" s="234">
        <f t="shared" si="71"/>
        <v>1.6754608748503546E-3</v>
      </c>
      <c r="S70" s="234">
        <f t="shared" si="71"/>
        <v>1.7043619693974722E-3</v>
      </c>
      <c r="T70" s="234">
        <f t="shared" si="71"/>
        <v>1.6487497451556461E-3</v>
      </c>
      <c r="U70" s="234">
        <f t="shared" si="71"/>
        <v>1.8230904428682079E-3</v>
      </c>
    </row>
    <row r="71" spans="1:21">
      <c r="A71" s="17" t="s">
        <v>655</v>
      </c>
      <c r="E71" s="193">
        <f>E13</f>
        <v>54674325649.179993</v>
      </c>
      <c r="F71" s="193">
        <f t="shared" ref="F71:U71" si="72">F13</f>
        <v>51853331585.639999</v>
      </c>
      <c r="G71" s="193">
        <f t="shared" si="72"/>
        <v>49979299121.460007</v>
      </c>
      <c r="H71" s="193">
        <f t="shared" si="72"/>
        <v>51945064294.689995</v>
      </c>
      <c r="I71" s="193">
        <f t="shared" si="72"/>
        <v>48205859209.699997</v>
      </c>
      <c r="J71" s="193">
        <f t="shared" si="72"/>
        <v>46515855681.759995</v>
      </c>
      <c r="K71" s="193">
        <f t="shared" si="72"/>
        <v>48371837840.32</v>
      </c>
      <c r="L71" s="193">
        <f t="shared" si="72"/>
        <v>47353491345.199997</v>
      </c>
      <c r="M71" s="193">
        <f t="shared" si="72"/>
        <v>44345160962.550003</v>
      </c>
      <c r="N71" s="193">
        <f t="shared" si="72"/>
        <v>42711787155.93</v>
      </c>
      <c r="O71" s="193">
        <f t="shared" si="72"/>
        <v>41335880302.610001</v>
      </c>
      <c r="P71" s="193">
        <f t="shared" si="72"/>
        <v>42627003702.759995</v>
      </c>
      <c r="Q71" s="193">
        <f t="shared" si="72"/>
        <v>40333080446.080002</v>
      </c>
      <c r="R71" s="193">
        <f t="shared" si="72"/>
        <v>39038063287.050003</v>
      </c>
      <c r="S71" s="193">
        <f t="shared" si="72"/>
        <v>38186812938.32</v>
      </c>
      <c r="T71" s="193">
        <f t="shared" si="72"/>
        <v>39754833137.689995</v>
      </c>
      <c r="U71" s="193">
        <f t="shared" si="72"/>
        <v>37019284552.089996</v>
      </c>
    </row>
    <row r="72" spans="1:21" s="234" customFormat="1">
      <c r="A72" s="234" t="s">
        <v>658</v>
      </c>
      <c r="E72" s="234">
        <f>E71/E74</f>
        <v>1</v>
      </c>
      <c r="F72" s="234">
        <f t="shared" ref="F72:U72" si="73">F71/F74</f>
        <v>1</v>
      </c>
      <c r="G72" s="234">
        <f t="shared" si="73"/>
        <v>1</v>
      </c>
      <c r="H72" s="234">
        <f t="shared" si="73"/>
        <v>1</v>
      </c>
      <c r="I72" s="234">
        <f t="shared" si="73"/>
        <v>1</v>
      </c>
      <c r="J72" s="234">
        <f t="shared" si="73"/>
        <v>1</v>
      </c>
      <c r="K72" s="234">
        <f t="shared" si="73"/>
        <v>1</v>
      </c>
      <c r="L72" s="234">
        <f t="shared" si="73"/>
        <v>1</v>
      </c>
      <c r="M72" s="234">
        <f t="shared" si="73"/>
        <v>1</v>
      </c>
      <c r="N72" s="234">
        <f t="shared" si="73"/>
        <v>0.99997658780738541</v>
      </c>
      <c r="O72" s="234">
        <f t="shared" si="73"/>
        <v>0.99997580852757439</v>
      </c>
      <c r="P72" s="234">
        <f t="shared" si="73"/>
        <v>0.99997654124253688</v>
      </c>
      <c r="Q72" s="234">
        <f t="shared" si="73"/>
        <v>0.99997520707082099</v>
      </c>
      <c r="R72" s="234">
        <f t="shared" si="73"/>
        <v>0.99832453912514962</v>
      </c>
      <c r="S72" s="234">
        <f t="shared" si="73"/>
        <v>0.99829563803060251</v>
      </c>
      <c r="T72" s="234">
        <f t="shared" si="73"/>
        <v>0.99835125025484428</v>
      </c>
      <c r="U72" s="234">
        <f t="shared" si="73"/>
        <v>0.9981769095571319</v>
      </c>
    </row>
    <row r="73" spans="1:21" s="236" customFormat="1">
      <c r="A73" s="235" t="s">
        <v>659</v>
      </c>
      <c r="E73" s="237">
        <f>E74/E71</f>
        <v>1</v>
      </c>
      <c r="F73" s="237">
        <f t="shared" ref="F73:U73" si="74">F74/F71</f>
        <v>1</v>
      </c>
      <c r="G73" s="237">
        <f t="shared" si="74"/>
        <v>1</v>
      </c>
      <c r="H73" s="237">
        <f t="shared" si="74"/>
        <v>1</v>
      </c>
      <c r="I73" s="237">
        <f t="shared" si="74"/>
        <v>1</v>
      </c>
      <c r="J73" s="237">
        <f t="shared" si="74"/>
        <v>1</v>
      </c>
      <c r="K73" s="237">
        <f t="shared" si="74"/>
        <v>1</v>
      </c>
      <c r="L73" s="237">
        <f t="shared" si="74"/>
        <v>1</v>
      </c>
      <c r="M73" s="237">
        <f t="shared" si="74"/>
        <v>1</v>
      </c>
      <c r="N73" s="237">
        <f t="shared" si="74"/>
        <v>1.0000234127407581</v>
      </c>
      <c r="O73" s="237">
        <f t="shared" si="74"/>
        <v>1.0000241920576671</v>
      </c>
      <c r="P73" s="237">
        <f t="shared" si="74"/>
        <v>1.0000234593077892</v>
      </c>
      <c r="Q73" s="237">
        <f t="shared" si="74"/>
        <v>1.0000247935438835</v>
      </c>
      <c r="R73" s="237">
        <f t="shared" si="74"/>
        <v>1.0016782727551889</v>
      </c>
      <c r="S73" s="237">
        <f t="shared" si="74"/>
        <v>1.0017072717784883</v>
      </c>
      <c r="T73" s="237">
        <f t="shared" si="74"/>
        <v>1.0016514726102008</v>
      </c>
      <c r="U73" s="237">
        <f t="shared" si="74"/>
        <v>1.0018264201720284</v>
      </c>
    </row>
    <row r="74" spans="1:21">
      <c r="A74" s="17" t="s">
        <v>656</v>
      </c>
      <c r="E74" s="193">
        <f>E14</f>
        <v>54674325649.179993</v>
      </c>
      <c r="F74" s="193">
        <f t="shared" ref="F74:U74" si="75">F14</f>
        <v>51853331585.639999</v>
      </c>
      <c r="G74" s="193">
        <f t="shared" si="75"/>
        <v>49979299121.460007</v>
      </c>
      <c r="H74" s="193">
        <f t="shared" si="75"/>
        <v>51945064294.689995</v>
      </c>
      <c r="I74" s="193">
        <f t="shared" si="75"/>
        <v>48205859209.699997</v>
      </c>
      <c r="J74" s="193">
        <f t="shared" si="75"/>
        <v>46515855681.759995</v>
      </c>
      <c r="K74" s="193">
        <f t="shared" si="75"/>
        <v>48371837840.32</v>
      </c>
      <c r="L74" s="193">
        <f t="shared" si="75"/>
        <v>47353491345.199997</v>
      </c>
      <c r="M74" s="193">
        <f t="shared" si="75"/>
        <v>44345160962.550003</v>
      </c>
      <c r="N74" s="193">
        <f t="shared" si="75"/>
        <v>42712787155.93</v>
      </c>
      <c r="O74" s="193">
        <f t="shared" si="75"/>
        <v>41336880302.610001</v>
      </c>
      <c r="P74" s="193">
        <f t="shared" si="75"/>
        <v>42628003702.759995</v>
      </c>
      <c r="Q74" s="193">
        <f t="shared" si="75"/>
        <v>40334080446.080002</v>
      </c>
      <c r="R74" s="193">
        <f t="shared" si="75"/>
        <v>39103579805.080002</v>
      </c>
      <c r="S74" s="193">
        <f t="shared" si="75"/>
        <v>38252008206.360001</v>
      </c>
      <c r="T74" s="193">
        <f t="shared" si="75"/>
        <v>39820487155.739998</v>
      </c>
      <c r="U74" s="193">
        <f t="shared" si="75"/>
        <v>37086897320.149994</v>
      </c>
    </row>
    <row r="75" spans="1:21" ht="83.45" customHeight="1">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c r="A78" s="184" t="s">
        <v>652</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c r="A79" s="184" t="s">
        <v>661</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c r="A80" s="224" t="s">
        <v>662</v>
      </c>
      <c r="B80" s="224"/>
      <c r="C80" s="224"/>
      <c r="D80" s="224"/>
      <c r="E80" s="224">
        <f>E79/E85</f>
        <v>0</v>
      </c>
      <c r="F80" s="224">
        <f t="shared" ref="F80:U80" si="79">F79/F85</f>
        <v>0</v>
      </c>
      <c r="G80" s="224">
        <f t="shared" si="79"/>
        <v>0</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c r="A81" s="184" t="s">
        <v>653</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c r="A82" s="184" t="s">
        <v>655</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c r="A83" s="184" t="s">
        <v>663</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20" customFormat="1">
      <c r="A84" s="224" t="s">
        <v>664</v>
      </c>
      <c r="B84" s="224"/>
      <c r="C84" s="224"/>
      <c r="D84" s="224"/>
      <c r="E84" s="224">
        <f>E83/E85</f>
        <v>1</v>
      </c>
      <c r="F84" s="224">
        <f t="shared" ref="F84:U84" si="83">F83/F85</f>
        <v>1</v>
      </c>
      <c r="G84" s="224">
        <f t="shared" si="83"/>
        <v>1</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c r="A85" s="184" t="s">
        <v>656</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9" customHeight="1">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35" sqref="A35:AG35"/>
    </sheetView>
  </sheetViews>
  <sheetFormatPr defaultRowHeight="13.5"/>
  <cols>
    <col min="1" max="1" width="47.875" style="17" bestFit="1" customWidth="1"/>
    <col min="2" max="4" width="10.5" hidden="1" customWidth="1"/>
    <col min="5" max="5" width="20.5" bestFit="1" customWidth="1"/>
    <col min="6" max="8" width="20.5" hidden="1" customWidth="1"/>
    <col min="9" max="9" width="21.5" bestFit="1" customWidth="1"/>
    <col min="10" max="11" width="20.5" hidden="1" customWidth="1"/>
    <col min="12" max="12" width="19.375" hidden="1" customWidth="1"/>
    <col min="13" max="13" width="21.5" bestFit="1" customWidth="1"/>
    <col min="14" max="16" width="20.5" hidden="1" customWidth="1"/>
    <col min="17" max="17" width="20.5" bestFit="1" customWidth="1"/>
    <col min="18" max="19" width="20.5" hidden="1" customWidth="1"/>
    <col min="20" max="20" width="19.375" hidden="1" customWidth="1"/>
    <col min="21" max="21" width="20.5" bestFit="1" customWidth="1"/>
    <col min="22" max="23" width="20.5" hidden="1" customWidth="1"/>
    <col min="24" max="24" width="19.375" hidden="1" customWidth="1"/>
    <col min="25" max="25" width="20.5" bestFit="1" customWidth="1"/>
    <col min="26" max="27" width="20.5" hidden="1" customWidth="1"/>
    <col min="28" max="28" width="19.375" hidden="1" customWidth="1"/>
    <col min="29" max="29" width="20.5" bestFit="1" customWidth="1"/>
    <col min="30" max="31" width="20.5" hidden="1" customWidth="1"/>
    <col min="32" max="32" width="19.375" hidden="1" customWidth="1"/>
    <col min="33" max="33" width="20.5" bestFit="1" customWidth="1"/>
    <col min="34" max="34" width="20.5" hidden="1" customWidth="1"/>
    <col min="35" max="36" width="19.375" hidden="1" customWidth="1"/>
    <col min="37" max="37" width="20.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80" width="19.375" bestFit="1" customWidth="1"/>
    <col min="81" max="81" width="17.25" bestFit="1" customWidth="1"/>
    <col min="82" max="82" width="9.5" hidden="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375" bestFit="1" customWidth="1"/>
  </cols>
  <sheetData>
    <row r="1" spans="1:89" s="26" customFormat="1"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c r="A2" s="17" t="s">
        <v>351</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8" t="s">
        <v>360</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8" t="s">
        <v>362</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8" t="s">
        <v>364</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669</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8" t="s">
        <v>365</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8" t="s">
        <v>367</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8" t="s">
        <v>370</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4.25" thickBot="1">
      <c r="A26" s="151" t="s">
        <v>600</v>
      </c>
      <c r="B26" s="152"/>
      <c r="C26" s="152"/>
      <c r="D26" s="152"/>
      <c r="E26" s="153">
        <f>POWER(E2/Y2,1/6)-1</f>
        <v>1.7509638668258498E-2</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c r="A28" s="17" t="s">
        <v>373</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6" t="s">
        <v>378</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6" t="s">
        <v>379</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6" t="s">
        <v>380</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6" t="s">
        <v>376</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c r="A39" s="17" t="s">
        <v>376</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50">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c r="A47" s="17" t="s">
        <v>424</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672</v>
      </c>
      <c r="E54" s="193">
        <f>E39</f>
        <v>13334338198.799999</v>
      </c>
      <c r="F54" s="193">
        <f t="shared" ref="F54:AC54" si="41">F39</f>
        <v>9055118394.5699997</v>
      </c>
      <c r="G54" s="193">
        <f t="shared" si="41"/>
        <v>6569028271.6499996</v>
      </c>
      <c r="H54" s="193">
        <f t="shared" si="41"/>
        <v>4736537002.750001</v>
      </c>
      <c r="I54" s="193">
        <f t="shared" si="41"/>
        <v>9367085915.9599991</v>
      </c>
      <c r="J54" s="193">
        <f t="shared" si="41"/>
        <v>6467397402.6999989</v>
      </c>
      <c r="K54" s="193">
        <f t="shared" si="41"/>
        <v>4981337369.8999996</v>
      </c>
      <c r="L54" s="193">
        <f t="shared" si="41"/>
        <v>3811455270.48</v>
      </c>
      <c r="M54" s="193">
        <f t="shared" si="41"/>
        <v>8302602354.3899994</v>
      </c>
      <c r="N54" s="193">
        <f t="shared" si="41"/>
        <v>5693976641.8099985</v>
      </c>
      <c r="O54" s="193">
        <f t="shared" si="41"/>
        <v>4128212009.1700006</v>
      </c>
      <c r="P54" s="193">
        <f t="shared" si="41"/>
        <v>2837181770.3000002</v>
      </c>
      <c r="Q54" s="193">
        <f t="shared" si="41"/>
        <v>8025021679.8800011</v>
      </c>
      <c r="R54" s="193">
        <f t="shared" si="41"/>
        <v>5961636739.3999996</v>
      </c>
      <c r="S54" s="193">
        <f t="shared" si="41"/>
        <v>5202644331.7800007</v>
      </c>
      <c r="T54" s="193">
        <f t="shared" si="41"/>
        <v>3423200720.5100012</v>
      </c>
      <c r="U54" s="193">
        <f t="shared" si="41"/>
        <v>11247297638.200001</v>
      </c>
      <c r="V54" s="193">
        <f t="shared" si="41"/>
        <v>9185042360.4299984</v>
      </c>
      <c r="W54" s="193">
        <f t="shared" si="41"/>
        <v>7546895611.0600004</v>
      </c>
      <c r="X54" s="193">
        <f t="shared" si="41"/>
        <v>4782601644.7400007</v>
      </c>
      <c r="Y54" s="193">
        <f t="shared" si="41"/>
        <v>13738778207.889996</v>
      </c>
      <c r="Z54" s="193">
        <f t="shared" si="41"/>
        <v>10094493975.210001</v>
      </c>
      <c r="AA54" s="193">
        <f t="shared" si="41"/>
        <v>6553504736.2399998</v>
      </c>
      <c r="AB54" s="193">
        <f t="shared" si="41"/>
        <v>4056527936.9700003</v>
      </c>
      <c r="AC54" s="193">
        <f t="shared" si="41"/>
        <v>8500332489.8899975</v>
      </c>
    </row>
    <row r="55" spans="1:88" s="63" customFormat="1">
      <c r="A55" s="63" t="s">
        <v>673</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c r="A56" s="17" t="s">
        <v>674</v>
      </c>
      <c r="E56" s="193">
        <f>E23</f>
        <v>9295474832.2501526</v>
      </c>
      <c r="F56" s="193">
        <f t="shared" ref="F56:AC56" si="43">F23</f>
        <v>6768801638.1986303</v>
      </c>
      <c r="G56" s="193">
        <f t="shared" si="43"/>
        <v>4856154635.5859785</v>
      </c>
      <c r="H56" s="193">
        <f t="shared" si="43"/>
        <v>3575608988.9147511</v>
      </c>
      <c r="I56" s="193">
        <f t="shared" si="43"/>
        <v>6482526428.6372776</v>
      </c>
      <c r="J56" s="193">
        <f t="shared" si="43"/>
        <v>4867417471.5426207</v>
      </c>
      <c r="K56" s="193">
        <f t="shared" si="43"/>
        <v>3760513185.223103</v>
      </c>
      <c r="L56" s="193">
        <f t="shared" si="43"/>
        <v>2873272748.3356805</v>
      </c>
      <c r="M56" s="193">
        <f t="shared" si="43"/>
        <v>5818530751.5382519</v>
      </c>
      <c r="N56" s="193">
        <f t="shared" si="43"/>
        <v>4343069185.6432056</v>
      </c>
      <c r="O56" s="193">
        <f t="shared" si="43"/>
        <v>3139324632.4330721</v>
      </c>
      <c r="P56" s="193">
        <f t="shared" si="43"/>
        <v>2158273933.2071209</v>
      </c>
      <c r="Q56" s="193">
        <f t="shared" si="43"/>
        <v>5556584772.209527</v>
      </c>
      <c r="R56" s="193">
        <f t="shared" si="43"/>
        <v>4526545700.2707214</v>
      </c>
      <c r="S56" s="193">
        <f t="shared" si="43"/>
        <v>3907986927.7655573</v>
      </c>
      <c r="T56" s="193">
        <f t="shared" si="43"/>
        <v>2552760200.2820849</v>
      </c>
      <c r="U56" s="193">
        <f t="shared" si="43"/>
        <v>7718176530.2848721</v>
      </c>
      <c r="V56" s="193">
        <f t="shared" si="43"/>
        <v>6921479563.1431599</v>
      </c>
      <c r="W56" s="193">
        <f t="shared" si="43"/>
        <v>5691687396.4111643</v>
      </c>
      <c r="X56" s="193">
        <f t="shared" si="43"/>
        <v>3607211631.0854139</v>
      </c>
      <c r="Y56" s="193">
        <f t="shared" si="43"/>
        <v>9750799759.3233471</v>
      </c>
      <c r="Z56" s="193">
        <f t="shared" si="43"/>
        <v>7646793988.2674847</v>
      </c>
      <c r="AA56" s="193">
        <f t="shared" si="43"/>
        <v>4941883120.8399944</v>
      </c>
      <c r="AB56" s="193">
        <f t="shared" si="43"/>
        <v>3059822374.1743827</v>
      </c>
      <c r="AC56" s="193">
        <f t="shared" si="43"/>
        <v>6044027413.3680277</v>
      </c>
    </row>
    <row r="57" spans="1:88" s="63" customFormat="1">
      <c r="A57" s="63" t="s">
        <v>675</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c r="A61" s="89" t="s">
        <v>679</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3" customFormat="1">
      <c r="A62" s="89" t="s">
        <v>680</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c r="A63" s="184" t="s">
        <v>681</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c r="A64" s="214" t="s">
        <v>682</v>
      </c>
      <c r="B64" s="214"/>
      <c r="C64" s="214"/>
      <c r="D64" s="214"/>
      <c r="E64" s="214">
        <f>1-E63/E61</f>
        <v>0.24814207426867485</v>
      </c>
      <c r="F64" s="214">
        <f t="shared" ref="F64:AC64" si="46">1-F63/F61</f>
        <v>0.25063280855569914</v>
      </c>
      <c r="G64" s="214">
        <f t="shared" si="46"/>
        <v>0.258218211103314</v>
      </c>
      <c r="H64" s="214">
        <f t="shared" si="46"/>
        <v>0.24509807084402324</v>
      </c>
      <c r="I64" s="214">
        <f t="shared" si="46"/>
        <v>0.24345696671286909</v>
      </c>
      <c r="J64" s="214">
        <f t="shared" si="46"/>
        <v>0.24620890748540203</v>
      </c>
      <c r="K64" s="214">
        <f t="shared" si="46"/>
        <v>0.24353861533215027</v>
      </c>
      <c r="L64" s="214">
        <f t="shared" si="46"/>
        <v>0.2461481128771501</v>
      </c>
      <c r="M64" s="214">
        <f t="shared" si="46"/>
        <v>0.22646370424388074</v>
      </c>
      <c r="N64" s="214">
        <f t="shared" si="46"/>
        <v>0.23564862599316627</v>
      </c>
      <c r="O64" s="214">
        <f t="shared" si="46"/>
        <v>0.23733709852804941</v>
      </c>
      <c r="P64" s="214">
        <f t="shared" si="46"/>
        <v>0.23928951052758685</v>
      </c>
      <c r="Q64" s="214">
        <f t="shared" si="46"/>
        <v>0.24402964274861483</v>
      </c>
      <c r="R64" s="214">
        <f t="shared" si="46"/>
        <v>0.24145563243072243</v>
      </c>
      <c r="S64" s="214">
        <f t="shared" si="46"/>
        <v>0.24967735196068674</v>
      </c>
      <c r="T64" s="214">
        <f t="shared" si="46"/>
        <v>0.25427679861502095</v>
      </c>
      <c r="U64" s="214">
        <f t="shared" si="46"/>
        <v>0.25992003539539721</v>
      </c>
      <c r="V64" s="214">
        <f t="shared" si="46"/>
        <v>0.24722167804879702</v>
      </c>
      <c r="W64" s="214">
        <f t="shared" si="46"/>
        <v>0.24677580698585477</v>
      </c>
      <c r="X64" s="214">
        <f t="shared" si="46"/>
        <v>0.24594895030441066</v>
      </c>
      <c r="Y64" s="214">
        <f t="shared" si="46"/>
        <v>0.24746946606823428</v>
      </c>
      <c r="Z64" s="214">
        <f t="shared" si="46"/>
        <v>0.24276811644667973</v>
      </c>
      <c r="AA64" s="214">
        <f t="shared" si="46"/>
        <v>0.24625360826165577</v>
      </c>
      <c r="AB64" s="214">
        <f t="shared" si="46"/>
        <v>0.24580387454839991</v>
      </c>
      <c r="AC64" s="214">
        <f t="shared" si="46"/>
        <v>0.24747623709099709</v>
      </c>
    </row>
    <row r="65" spans="1:29" ht="42.6" customHeight="1">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9" customHeight="1">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c r="A69" s="283" t="s">
        <v>703</v>
      </c>
      <c r="B69" s="283"/>
      <c r="C69" s="283"/>
      <c r="D69" s="283"/>
      <c r="E69" s="283"/>
      <c r="F69" s="257"/>
      <c r="G69" s="257"/>
      <c r="H69" s="257"/>
      <c r="I69" s="257" t="s">
        <v>707</v>
      </c>
      <c r="J69" s="257"/>
      <c r="K69" s="257"/>
      <c r="L69" s="257"/>
      <c r="M69" s="257" t="s">
        <v>708</v>
      </c>
    </row>
    <row r="70" spans="1:29" ht="54">
      <c r="A70" s="284" t="s">
        <v>704</v>
      </c>
      <c r="B70" s="65"/>
      <c r="C70" s="65"/>
      <c r="D70" s="65"/>
      <c r="E70" s="65" t="s">
        <v>705</v>
      </c>
      <c r="F70" s="65"/>
      <c r="G70" s="65"/>
      <c r="H70" s="65"/>
      <c r="I70" s="258" t="s">
        <v>709</v>
      </c>
      <c r="J70" s="259"/>
      <c r="K70" s="259"/>
      <c r="L70" s="259"/>
      <c r="M70" s="258" t="s">
        <v>710</v>
      </c>
    </row>
    <row r="71" spans="1:29" ht="54.6" customHeight="1">
      <c r="A71" s="284"/>
      <c r="B71" s="65"/>
      <c r="C71" s="65"/>
      <c r="D71" s="65"/>
      <c r="E71" s="65" t="s">
        <v>706</v>
      </c>
      <c r="F71" s="65"/>
      <c r="G71" s="65"/>
      <c r="H71" s="65"/>
      <c r="I71" s="258" t="s">
        <v>711</v>
      </c>
      <c r="J71" s="259"/>
      <c r="K71" s="259"/>
      <c r="L71" s="259"/>
      <c r="M71" s="258" t="s">
        <v>712</v>
      </c>
    </row>
    <row r="72" spans="1:29" ht="54">
      <c r="A72" s="284" t="s">
        <v>720</v>
      </c>
      <c r="B72" s="65"/>
      <c r="C72" s="65"/>
      <c r="D72" s="65"/>
      <c r="E72" s="65" t="s">
        <v>713</v>
      </c>
      <c r="F72" s="65"/>
      <c r="G72" s="65"/>
      <c r="H72" s="65"/>
      <c r="I72" s="258" t="s">
        <v>721</v>
      </c>
      <c r="J72" s="259"/>
      <c r="K72" s="259"/>
      <c r="L72" s="259"/>
      <c r="M72" s="258" t="s">
        <v>722</v>
      </c>
    </row>
    <row r="73" spans="1:29" ht="40.5">
      <c r="A73" s="284"/>
      <c r="B73" s="65"/>
      <c r="C73" s="65"/>
      <c r="D73" s="65"/>
      <c r="E73" s="65" t="s">
        <v>714</v>
      </c>
      <c r="F73" s="65"/>
      <c r="G73" s="65"/>
      <c r="H73" s="65"/>
      <c r="I73" s="258" t="s">
        <v>723</v>
      </c>
      <c r="J73" s="259"/>
      <c r="K73" s="259"/>
      <c r="L73" s="259"/>
      <c r="M73" s="258" t="s">
        <v>724</v>
      </c>
    </row>
    <row r="74" spans="1:29" ht="54">
      <c r="A74" s="284"/>
      <c r="B74" s="65"/>
      <c r="C74" s="65"/>
      <c r="D74" s="65"/>
      <c r="E74" s="65" t="s">
        <v>715</v>
      </c>
      <c r="F74" s="65"/>
      <c r="G74" s="65"/>
      <c r="H74" s="65"/>
      <c r="I74" s="258" t="s">
        <v>725</v>
      </c>
      <c r="J74" s="259"/>
      <c r="K74" s="259"/>
      <c r="L74" s="259"/>
      <c r="M74" s="258" t="s">
        <v>726</v>
      </c>
    </row>
    <row r="75" spans="1:29" ht="67.5">
      <c r="A75" s="284"/>
      <c r="B75" s="65"/>
      <c r="C75" s="65"/>
      <c r="D75" s="65"/>
      <c r="E75" s="65" t="s">
        <v>716</v>
      </c>
      <c r="F75" s="65"/>
      <c r="G75" s="65"/>
      <c r="H75" s="65"/>
      <c r="I75" s="258" t="s">
        <v>727</v>
      </c>
      <c r="J75" s="259"/>
      <c r="K75" s="259"/>
      <c r="L75" s="259"/>
      <c r="M75" s="258" t="s">
        <v>728</v>
      </c>
    </row>
    <row r="76" spans="1:29">
      <c r="A76" s="284"/>
      <c r="B76" s="65"/>
      <c r="C76" s="65"/>
      <c r="D76" s="65"/>
      <c r="E76" s="65" t="s">
        <v>717</v>
      </c>
      <c r="F76" s="65"/>
      <c r="G76" s="65"/>
      <c r="H76" s="65"/>
      <c r="I76" s="258" t="s">
        <v>729</v>
      </c>
      <c r="J76" s="259"/>
      <c r="K76" s="259"/>
      <c r="L76" s="259"/>
      <c r="M76" s="258" t="s">
        <v>730</v>
      </c>
    </row>
    <row r="77" spans="1:29" ht="40.5">
      <c r="A77" s="284"/>
      <c r="B77" s="65"/>
      <c r="C77" s="65"/>
      <c r="D77" s="65"/>
      <c r="E77" s="65" t="s">
        <v>718</v>
      </c>
      <c r="F77" s="65"/>
      <c r="G77" s="65"/>
      <c r="H77" s="65"/>
      <c r="I77" s="258" t="s">
        <v>731</v>
      </c>
      <c r="J77" s="259"/>
      <c r="K77" s="259"/>
      <c r="L77" s="259"/>
      <c r="M77" s="258" t="s">
        <v>732</v>
      </c>
    </row>
    <row r="78" spans="1:29" ht="54">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workbookViewId="0">
      <selection activeCell="A15" sqref="A15:AG15"/>
    </sheetView>
  </sheetViews>
  <sheetFormatPr defaultRowHeight="13.5"/>
  <cols>
    <col min="1" max="1" width="50.625" style="17" bestFit="1" customWidth="1"/>
    <col min="2" max="4" width="11.625" hidden="1" customWidth="1"/>
    <col min="5" max="5" width="21.5" bestFit="1" customWidth="1"/>
    <col min="6" max="8" width="21.5" hidden="1" customWidth="1"/>
    <col min="9" max="9" width="21.5" bestFit="1" customWidth="1"/>
    <col min="10" max="10" width="20.5" hidden="1" customWidth="1"/>
    <col min="11" max="12" width="21.5" hidden="1" customWidth="1"/>
    <col min="13" max="13" width="21.5" bestFit="1" customWidth="1"/>
    <col min="14" max="16" width="21.5" hidden="1" customWidth="1"/>
    <col min="17" max="17" width="21.5" bestFit="1" customWidth="1"/>
    <col min="18" max="20" width="21.5" hidden="1" customWidth="1"/>
    <col min="21" max="21" width="20.5" bestFit="1" customWidth="1"/>
    <col min="22"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8" width="20.5" hidden="1" customWidth="1"/>
    <col min="49" max="49" width="20.5" bestFit="1" customWidth="1"/>
    <col min="50" max="52" width="20.5" hidden="1" customWidth="1"/>
    <col min="53" max="53" width="20.5" bestFit="1" customWidth="1"/>
    <col min="54" max="56" width="20.5" hidden="1" customWidth="1"/>
    <col min="57" max="57" width="20.5" bestFit="1" customWidth="1"/>
    <col min="58" max="59" width="20.5" hidden="1" customWidth="1"/>
    <col min="60" max="60" width="19.375" hidden="1" customWidth="1"/>
    <col min="61" max="61" width="19.375" bestFit="1" customWidth="1"/>
    <col min="62" max="64" width="19.375" hidden="1" customWidth="1"/>
    <col min="65" max="65" width="19.375" bestFit="1" customWidth="1"/>
    <col min="66" max="66" width="20.5" hidden="1" customWidth="1"/>
    <col min="67" max="68" width="19.375" hidden="1" customWidth="1"/>
    <col min="69" max="69" width="19.375" bestFit="1" customWidth="1"/>
    <col min="70"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80" width="19.375" bestFit="1" customWidth="1"/>
    <col min="81" max="81" width="18.375" bestFit="1" customWidth="1"/>
    <col min="82" max="82" width="9.5" hidden="1" customWidth="1"/>
    <col min="83" max="84" width="19.375" bestFit="1" customWidth="1"/>
    <col min="85" max="87" width="17.25" bestFit="1" customWidth="1"/>
    <col min="88" max="89" width="16.125" bestFit="1" customWidth="1"/>
  </cols>
  <sheetData>
    <row r="1" spans="1:89" s="26" customFormat="1"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c r="A2" s="17" t="s">
        <v>424</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6" t="s">
        <v>430</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c r="A6" s="158" t="s">
        <v>437</v>
      </c>
      <c r="E6" s="158">
        <f>股权价值增加表!E31/股权价值增加表!E4</f>
        <v>0.44172773704487572</v>
      </c>
      <c r="F6" s="158">
        <f>股权价值增加表!F31/股权价值增加表!F4</f>
        <v>0.41201586083953912</v>
      </c>
      <c r="G6" s="158">
        <f>股权价值增加表!G31/股权价值增加表!G4</f>
        <v>0.42052202724361498</v>
      </c>
      <c r="H6" s="158">
        <f>股权价值增加表!H31/股权价值增加表!H4</f>
        <v>0.46624931064444708</v>
      </c>
      <c r="I6" s="158">
        <f>股权价值增加表!I31/股权价值增加表!I4</f>
        <v>0.38164785880874641</v>
      </c>
      <c r="J6" s="158">
        <f>股权价值增加表!J31/股权价值增加表!J4</f>
        <v>0.36539703646073152</v>
      </c>
      <c r="K6" s="158">
        <f>股权价值增加表!K31/股权价值增加表!K4</f>
        <v>0.37579006963920547</v>
      </c>
      <c r="L6" s="158">
        <f>股权价值增加表!L31/股权价值增加表!L4</f>
        <v>0.43186533781747055</v>
      </c>
      <c r="M6" s="158">
        <f>股权价值增加表!M31/股权价值增加表!M4</f>
        <v>0.3833275867540053</v>
      </c>
      <c r="N6" s="158">
        <f>股权价值增加表!N31/股权价值增加表!N4</f>
        <v>0.37630349533399765</v>
      </c>
      <c r="O6" s="158">
        <f>股权价值增加表!O31/股权价值增加表!O4</f>
        <v>0.36808378242796019</v>
      </c>
      <c r="P6" s="158">
        <f>股权价值增加表!P31/股权价值增加表!P4</f>
        <v>0.42123214596554259</v>
      </c>
      <c r="Q6" s="158">
        <f>股权价值增加表!Q31/股权价值增加表!Q4</f>
        <v>0.38193488863353059</v>
      </c>
      <c r="R6" s="158">
        <f>股权价值增加表!R31/股权价值增加表!R4</f>
        <v>0.39564058297298688</v>
      </c>
      <c r="S6" s="158">
        <f>股权价值增加表!S31/股权价值增加表!S4</f>
        <v>0.44609900965128713</v>
      </c>
      <c r="T6" s="158">
        <f>股权价值增加表!T31/股权价值增加表!T4</f>
        <v>0.50941611719284641</v>
      </c>
      <c r="U6" s="158">
        <f>股权价值增加表!U31/股权价值增加表!U4</f>
        <v>0.45501374742788925</v>
      </c>
      <c r="V6" s="158">
        <f>股权价值增加表!V31/股权价值增加表!V4</f>
        <v>0.47924034038261171</v>
      </c>
      <c r="W6" s="158">
        <f>股权价值增加表!W31/股权价值增加表!W4</f>
        <v>0.48627288134975827</v>
      </c>
      <c r="X6" s="158">
        <f>股权价值增加表!X31/股权价值增加表!X4</f>
        <v>0.55125771921835565</v>
      </c>
      <c r="Y6" s="158">
        <f>股权价值增加表!Y31/股权价值增加表!Y4</f>
        <v>0.50508271749797129</v>
      </c>
      <c r="Z6" s="158">
        <f>股权价值增加表!Z31/股权价值增加表!Z4</f>
        <v>0.47780960165283459</v>
      </c>
      <c r="AA6" s="158">
        <f>股权价值增加表!AA31/股权价值增加表!AA4</f>
        <v>0.43545722752803756</v>
      </c>
      <c r="AB6" s="158">
        <f>股权价值增加表!AB31/股权价值增加表!AB4</f>
        <v>0.49285623993002303</v>
      </c>
      <c r="AC6" s="158">
        <f>股权价值增加表!AC31/股权价值增加表!AC4</f>
        <v>0.41769455447405529</v>
      </c>
      <c r="AD6" s="158">
        <f>股权价值增加表!AD31/股权价值增加表!AD4</f>
        <v>0.40785403927579428</v>
      </c>
      <c r="AE6" s="158">
        <f>股权价值增加表!AE31/股权价值增加表!AE4</f>
        <v>0.4183939134599004</v>
      </c>
      <c r="AF6" s="158">
        <f>股权价值增加表!AF31/股权价值增加表!AF4</f>
        <v>0.45433120588578485</v>
      </c>
      <c r="AG6" s="158">
        <f>股权价值增加表!AG31/股权价值增加表!AG4</f>
        <v>0.39058783570217448</v>
      </c>
      <c r="AH6" s="158">
        <f>股权价值增加表!AH31/股权价值增加表!AH4</f>
        <v>0.3986950665732451</v>
      </c>
      <c r="AI6" s="158">
        <f>股权价值增加表!AI31/股权价值增加表!AI4</f>
        <v>0.40020558517480675</v>
      </c>
      <c r="AJ6" s="158">
        <f>股权价值增加表!AJ31/股权价值增加表!AJ4</f>
        <v>0.46169684523533883</v>
      </c>
      <c r="AK6" s="158">
        <f>股权价值增加表!AK31/股权价值增加表!AK4</f>
        <v>0.40396867200080316</v>
      </c>
      <c r="AL6" s="158">
        <f>股权价值增加表!AL31/股权价值增加表!AL4</f>
        <v>0.38602326416860999</v>
      </c>
      <c r="AM6" s="158">
        <f>股权价值增加表!AM31/股权价值增加表!AM4</f>
        <v>0.39640905488245098</v>
      </c>
      <c r="AN6" s="158">
        <f>股权价值增加表!AN31/股权价值增加表!AN4</f>
        <v>0.49402317780304583</v>
      </c>
      <c r="AO6" s="158">
        <f>股权价值增加表!AO31/股权价值增加表!AO4</f>
        <v>0.28226169064295464</v>
      </c>
      <c r="AP6" s="158">
        <f>股权价值增加表!AP31/股权价值增加表!AP4</f>
        <v>0.30619403161239173</v>
      </c>
      <c r="AQ6" s="158">
        <f>股权价值增加表!AQ31/股权价值增加表!AQ4</f>
        <v>0.35605798287666307</v>
      </c>
      <c r="AR6" s="158">
        <f>股权价值增加表!AR31/股权价值增加表!AR4</f>
        <v>0.43287322536764944</v>
      </c>
      <c r="AS6" s="158">
        <f>股权价值增加表!AS31/股权价值增加表!AS4</f>
        <v>0.28465621048728429</v>
      </c>
      <c r="AT6" s="158">
        <f>股权价值增加表!AT31/股权价值增加表!AT4</f>
        <v>0.32004932679564696</v>
      </c>
      <c r="AU6" s="158">
        <f>股权价值增加表!AU31/股权价值增加表!AU4</f>
        <v>0.38466746478559616</v>
      </c>
      <c r="AV6" s="158">
        <f>股权价值增加表!AV31/股权价值增加表!AV4</f>
        <v>0.37090746315926959</v>
      </c>
      <c r="AW6" s="158">
        <f>股权价值增加表!AW31/股权价值增加表!AW4</f>
        <v>0.23446960710182976</v>
      </c>
      <c r="AX6" s="158">
        <f>股权价值增加表!AX31/股权价值增加表!AX4</f>
        <v>0.25516686578887893</v>
      </c>
      <c r="AY6" s="158">
        <f>股权价值增加表!AY31/股权价值增加表!AY4</f>
        <v>0.27660718157855713</v>
      </c>
      <c r="AZ6" s="158">
        <f>股权价值增加表!AZ31/股权价值增加表!AZ4</f>
        <v>0.30233099208277009</v>
      </c>
      <c r="BA6" s="158">
        <f>股权价值增加表!BA31/股权价值增加表!BA4</f>
        <v>0.18149795196228974</v>
      </c>
      <c r="BB6" s="158">
        <f>股权价值增加表!BB31/股权价值增加表!BB4</f>
        <v>0.23068480249896975</v>
      </c>
      <c r="BC6" s="158">
        <f>股权价值增加表!BC31/股权价值增加表!BC4</f>
        <v>0.24175569603353458</v>
      </c>
      <c r="BD6" s="158">
        <f>股权价值增加表!BD31/股权价值增加表!BD4</f>
        <v>0.26220268498804705</v>
      </c>
      <c r="BE6" s="158">
        <f>股权价值增加表!BE31/股权价值增加表!BE4</f>
        <v>0.19703525388795418</v>
      </c>
      <c r="BF6" s="158">
        <f>股权价值增加表!BF31/股权价值增加表!BF4</f>
        <v>0.22242960489816849</v>
      </c>
      <c r="BG6" s="158">
        <f>股权价值增加表!BG31/股权价值增加表!BG4</f>
        <v>0.23229425339171178</v>
      </c>
      <c r="BH6" s="158">
        <f>股权价值增加表!BH31/股权价值增加表!BH4</f>
        <v>0.23428842694417287</v>
      </c>
      <c r="BI6" s="158">
        <f>股权价值增加表!BI31/股权价值增加表!BI4</f>
        <v>0.16661344458132374</v>
      </c>
      <c r="BJ6" s="158">
        <f>股权价值增加表!BJ31/股权价值增加表!BJ4</f>
        <v>0.18034498496750773</v>
      </c>
      <c r="BK6" s="158">
        <f>股权价值增加表!BK31/股权价值增加表!BK4</f>
        <v>0.18272748770083752</v>
      </c>
      <c r="BL6" s="158">
        <f>股权价值增加表!BL31/股权价值增加表!BL4</f>
        <v>0.2166710268280875</v>
      </c>
      <c r="BM6" s="158">
        <f>股权价值增加表!BM31/股权价值增加表!BM4</f>
        <v>0.14694489895184906</v>
      </c>
      <c r="BN6" s="158">
        <f>股权价值增加表!BN31/股权价值增加表!BN4</f>
        <v>0.15134704672307153</v>
      </c>
      <c r="BO6" s="158">
        <f>股权价值增加表!BO31/股权价值增加表!BO4</f>
        <v>0.14074793162431098</v>
      </c>
      <c r="BP6" s="158">
        <f>股权价值增加表!BP31/股权价值增加表!BP4</f>
        <v>0.1618159532243168</v>
      </c>
      <c r="BQ6" s="158">
        <f>股权价值增加表!BQ31/股权价值增加表!BQ4</f>
        <v>0.19094609509598875</v>
      </c>
      <c r="BR6" s="158">
        <f>股权价值增加表!BR31/股权价值增加表!BR4</f>
        <v>1.0030728816170329</v>
      </c>
      <c r="BS6" s="158">
        <f>股权价值增加表!BS31/股权价值增加表!BS4</f>
        <v>0.22761401173542001</v>
      </c>
      <c r="BT6" s="158">
        <f>股权价值增加表!BT31/股权价值增加表!BT4</f>
        <v>0.20712662595188705</v>
      </c>
      <c r="BU6" s="158">
        <f>股权价值增加表!BU31/股权价值增加表!BU4</f>
        <v>0.25033754161306931</v>
      </c>
      <c r="BV6" s="158">
        <f>股权价值增加表!BV31/股权价值增加表!BV4</f>
        <v>0.26834715687618399</v>
      </c>
      <c r="BW6" s="158">
        <f>股权价值增加表!BW31/股权价值增加表!BW4</f>
        <v>0.23247579426216763</v>
      </c>
      <c r="BX6" s="158">
        <f>股权价值增加表!BX31/股权价值增加表!BX4</f>
        <v>0.19682157170377648</v>
      </c>
      <c r="BY6" s="158">
        <f>股权价值增加表!BY31/股权价值增加表!BY4</f>
        <v>0.22346533436050894</v>
      </c>
      <c r="BZ6" s="158">
        <f>股权价值增加表!BZ31/股权价值增加表!BZ4</f>
        <v>0.24264627653330212</v>
      </c>
      <c r="CA6" s="158">
        <f>股权价值增加表!CA31/股权价值增加表!CA4</f>
        <v>0.23637542497227357</v>
      </c>
      <c r="CB6" s="158">
        <f>股权价值增加表!CB31/股权价值增加表!CB4</f>
        <v>0.30838994870056197</v>
      </c>
      <c r="CC6" s="158">
        <f>股权价值增加表!CC31/股权价值增加表!CC4</f>
        <v>0.36719269231952156</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c r="A7" s="243" t="s">
        <v>431</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c r="A9" s="158" t="s">
        <v>432</v>
      </c>
      <c r="E9" s="158">
        <f>股权价值增加表!E38/股权价值增加表!E31</f>
        <v>0.99906571835405211</v>
      </c>
      <c r="F9" s="158">
        <f>股权价值增加表!F38/股权价值增加表!F31</f>
        <v>1.0706440150648497</v>
      </c>
      <c r="G9" s="158">
        <f>股权价值增加表!G38/股权价值增加表!G31</f>
        <v>1.0650601023433639</v>
      </c>
      <c r="H9" s="158">
        <f>股权价值增加表!H38/股权价值增加表!H31</f>
        <v>1.0457494000942438</v>
      </c>
      <c r="I9" s="158">
        <f>股权价值增加表!I38/股权价值增加表!I31</f>
        <v>1.0000713726345631</v>
      </c>
      <c r="J9" s="158">
        <f>股权价值增加表!J38/股权价值增加表!J31</f>
        <v>1.0864704124407958</v>
      </c>
      <c r="K9" s="158">
        <f>股权价值增加表!K38/股权价值增加表!K31</f>
        <v>1.0685833963213094</v>
      </c>
      <c r="L9" s="158">
        <f>股权价值增加表!L38/股权价值增加表!L31</f>
        <v>1.0469866097962752</v>
      </c>
      <c r="M9" s="158">
        <f>股权价值增加表!M38/股权价值增加表!M31</f>
        <v>0.99828296363820646</v>
      </c>
      <c r="N9" s="158">
        <f>股权价值增加表!N38/股权价值增加表!N31</f>
        <v>1.0976314898831911</v>
      </c>
      <c r="O9" s="158">
        <f>股权价值增加表!O38/股权价值增加表!O31</f>
        <v>1.086636567459603</v>
      </c>
      <c r="P9" s="158">
        <f>股权价值增加表!P38/股权价值增加表!P31</f>
        <v>1.0609975042775284</v>
      </c>
      <c r="Q9" s="158">
        <f>股权价值增加表!Q38/股权价值增加表!Q31</f>
        <v>0.99967217793609253</v>
      </c>
      <c r="R9" s="158">
        <f>股权价值增加表!R38/股权价值增加表!R31</f>
        <v>1.0822685050346359</v>
      </c>
      <c r="S9" s="158">
        <f>股权价值增加表!S38/股权价值增加表!S31</f>
        <v>1.066293027129148</v>
      </c>
      <c r="T9" s="158">
        <f>股权价值增加表!T38/股权价值增加表!T31</f>
        <v>1.0716042130779531</v>
      </c>
      <c r="U9" s="158">
        <f>股权价值增加表!U38/股权价值增加表!U31</f>
        <v>1.0005014901927056</v>
      </c>
      <c r="V9" s="158">
        <f>股权价值增加表!V38/股权价值增加表!V31</f>
        <v>1.0717910877886392</v>
      </c>
      <c r="W9" s="158">
        <f>股权价值增加表!W38/股权价值增加表!W31</f>
        <v>1.0625349710440362</v>
      </c>
      <c r="X9" s="158">
        <f>股权价值增加表!X38/股权价值增加表!X31</f>
        <v>1.0499025653124356</v>
      </c>
      <c r="Y9" s="158">
        <f>股权价值增加表!Y38/股权价值增加表!Y31</f>
        <v>1.0008836407325528</v>
      </c>
      <c r="Z9" s="158">
        <f>股权价值增加表!Z38/股权价值增加表!Z31</f>
        <v>1.0614522581769232</v>
      </c>
      <c r="AA9" s="158">
        <f>股权价值增加表!AA38/股权价值增加表!AA31</f>
        <v>1.0610734994371327</v>
      </c>
      <c r="AB9" s="158">
        <f>股权价值增加表!AB38/股权价值增加表!AB31</f>
        <v>1.0350816784923458</v>
      </c>
      <c r="AC9" s="158">
        <f>股权价值增加表!AC38/股权价值增加表!AC31</f>
        <v>1.0009251467527127</v>
      </c>
      <c r="AD9" s="158">
        <f>股权价值增加表!AD38/股权价值增加表!AD31</f>
        <v>1.0368362898244619</v>
      </c>
      <c r="AE9" s="158">
        <f>股权价值增加表!AE38/股权价值增加表!AE31</f>
        <v>1.0423376322122844</v>
      </c>
      <c r="AF9" s="158">
        <f>股权价值增加表!AF38/股权价值增加表!AF31</f>
        <v>1.0082529442654757</v>
      </c>
      <c r="AG9" s="158">
        <f>股权价值增加表!AG38/股权价值增加表!AG31</f>
        <v>1.00042028442176</v>
      </c>
      <c r="AH9" s="158">
        <f>股权价值增加表!AH38/股权价值增加表!AH31</f>
        <v>1.0230076485984139</v>
      </c>
      <c r="AI9" s="158">
        <f>股权价值增加表!AI38/股权价值增加表!AI31</f>
        <v>1.0254871610235115</v>
      </c>
      <c r="AJ9" s="158">
        <f>股权价值增加表!AJ38/股权价值增加表!AJ31</f>
        <v>1.0057792493482933</v>
      </c>
      <c r="AK9" s="158">
        <f>股权价值增加表!AK38/股权价值增加表!AK31</f>
        <v>1.0244074032905963</v>
      </c>
      <c r="AL9" s="158">
        <f>股权价值增加表!AL38/股权价值增加表!AL31</f>
        <v>1.0212987345790767</v>
      </c>
      <c r="AM9" s="158">
        <f>股权价值增加表!AM38/股权价值增加表!AM31</f>
        <v>1.0191991066746882</v>
      </c>
      <c r="AN9" s="158">
        <f>股权价值增加表!AN38/股权价值增加表!AN31</f>
        <v>1.0066492067408048</v>
      </c>
      <c r="AO9" s="158">
        <f>股权价值增加表!AO38/股权价值增加表!AO31</f>
        <v>1.0714336227900816</v>
      </c>
      <c r="AP9" s="158">
        <f>股权价值增加表!AP38/股权价值增加表!AP31</f>
        <v>1.0435476046483314</v>
      </c>
      <c r="AQ9" s="158">
        <f>股权价值增加表!AQ38/股权价值增加表!AQ31</f>
        <v>1.0457023540465507</v>
      </c>
      <c r="AR9" s="158">
        <f>股权价值增加表!AR38/股权价值增加表!AR31</f>
        <v>1.0116884685248784</v>
      </c>
      <c r="AS9" s="158">
        <f>股权价值增加表!AS38/股权价值增加表!AS31</f>
        <v>1.0442101413764713</v>
      </c>
      <c r="AT9" s="158">
        <f>股权价值增加表!AT38/股权价值增加表!AT31</f>
        <v>1.0212081798050991</v>
      </c>
      <c r="AU9" s="158">
        <f>股权价值增加表!AU38/股权价值增加表!AU31</f>
        <v>1.0218412401554835</v>
      </c>
      <c r="AV9" s="158">
        <f>股权价值增加表!AV38/股权价值增加表!AV31</f>
        <v>1.0030249456747746</v>
      </c>
      <c r="AW9" s="158">
        <f>股权价值增加表!AW38/股权价值增加表!AW31</f>
        <v>1.0291584500667292</v>
      </c>
      <c r="AX9" s="158">
        <f>股权价值增加表!AX38/股权价值增加表!AX31</f>
        <v>1.0173511536144748</v>
      </c>
      <c r="AY9" s="158">
        <f>股权价值增加表!AY38/股权价值增加表!AY31</f>
        <v>1.0200588836313704</v>
      </c>
      <c r="AZ9" s="158">
        <f>股权价值增加表!AZ38/股权价值增加表!AZ31</f>
        <v>1.0035344806686362</v>
      </c>
      <c r="BA9" s="158">
        <f>股权价值增加表!BA38/股权价值增加表!BA31</f>
        <v>1.0216533836783466</v>
      </c>
      <c r="BB9" s="158">
        <f>股权价值增加表!BB38/股权价值增加表!BB31</f>
        <v>1.0064905044259536</v>
      </c>
      <c r="BC9" s="158">
        <f>股权价值增加表!BC38/股权价值增加表!BC31</f>
        <v>1.0059714963807089</v>
      </c>
      <c r="BD9" s="158">
        <f>股权价值增加表!BD38/股权价值增加表!BD31</f>
        <v>1.0093559537354264</v>
      </c>
      <c r="BE9" s="158">
        <f>股权价值增加表!BE38/股权价值增加表!BE31</f>
        <v>1.0213214211418007</v>
      </c>
      <c r="BF9" s="158">
        <f>股权价值增加表!BF38/股权价值增加表!BF31</f>
        <v>1.0125507158835021</v>
      </c>
      <c r="BG9" s="158">
        <f>股权价值增加表!BG38/股权价值增加表!BG31</f>
        <v>1.0138309272724124</v>
      </c>
      <c r="BH9" s="158">
        <f>股权价值增加表!BH38/股权价值增加表!BH31</f>
        <v>1.0030241084428919</v>
      </c>
      <c r="BI9" s="158">
        <f>股权价值增加表!BI38/股权价值增加表!BI31</f>
        <v>1.0268757557475032</v>
      </c>
      <c r="BJ9" s="158">
        <f>股权价值增加表!BJ38/股权价值增加表!BJ31</f>
        <v>1.0233965864311443</v>
      </c>
      <c r="BK9" s="158">
        <f>股权价值增加表!BK38/股权价值增加表!BK31</f>
        <v>1.0193668593243521</v>
      </c>
      <c r="BL9" s="158">
        <f>股权价值增加表!BL38/股权价值增加表!BL31</f>
        <v>1.004962401335344</v>
      </c>
      <c r="BM9" s="158">
        <f>股权价值增加表!BM38/股权价值增加表!BM31</f>
        <v>1.0318335360942483</v>
      </c>
      <c r="BN9" s="158">
        <f>股权价值增加表!BN38/股权价值增加表!BN31</f>
        <v>1.0320407670931087</v>
      </c>
      <c r="BO9" s="158">
        <f>股权价值增加表!BO38/股权价值增加表!BO31</f>
        <v>1.0238974546398869</v>
      </c>
      <c r="BP9" s="158">
        <f>股权价值增加表!BP38/股权价值增加表!BP31</f>
        <v>1.0205523235919778</v>
      </c>
      <c r="BQ9" s="158">
        <f>股权价值增加表!BQ38/股权价值增加表!BQ31</f>
        <v>1.0280743981516003</v>
      </c>
      <c r="BR9" s="158">
        <f>股权价值增加表!BR38/股权价值增加表!BR31</f>
        <v>1</v>
      </c>
      <c r="BS9" s="158">
        <f>股权价值增加表!BS38/股权价值增加表!BS31</f>
        <v>1.0256994682680964</v>
      </c>
      <c r="BT9" s="158">
        <f>股权价值增加表!BT38/股权价值增加表!BT31</f>
        <v>1.0131602232736026</v>
      </c>
      <c r="BU9" s="158">
        <f>股权价值增加表!BU38/股权价值增加表!BU31</f>
        <v>1.0144973004390503</v>
      </c>
      <c r="BV9" s="158">
        <f>股权价值增加表!BV38/股权价值增加表!BV31</f>
        <v>1.0103910290903688</v>
      </c>
      <c r="BW9" s="158">
        <f>股权价值增加表!BW38/股权价值增加表!BW31</f>
        <v>1.0196129703602113</v>
      </c>
      <c r="BX9" s="158">
        <f>股权价值增加表!BX38/股权价值增加表!BX31</f>
        <v>1.0256407047807377</v>
      </c>
      <c r="BY9" s="158">
        <f>股权价值增加表!BY38/股权价值增加表!BY31</f>
        <v>1.0680408908609953</v>
      </c>
      <c r="BZ9" s="158">
        <f>股权价值增加表!BZ38/股权价值增加表!BZ31</f>
        <v>1.0130548250125078</v>
      </c>
      <c r="CA9" s="158">
        <f>股权价值增加表!CA38/股权价值增加表!CA31</f>
        <v>0.97728736187302234</v>
      </c>
      <c r="CB9" s="158">
        <f>股权价值增加表!CB38/股权价值增加表!CB31</f>
        <v>0.95976017787007606</v>
      </c>
      <c r="CC9" s="158">
        <f>股权价值增加表!CC38/股权价值增加表!CC31</f>
        <v>0.96305817494199664</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c r="A10" s="243" t="s">
        <v>433</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c r="A12" s="158" t="s">
        <v>434</v>
      </c>
      <c r="E12" s="158">
        <f>E2/股权价值增加表!E38</f>
        <v>0.75185792573132515</v>
      </c>
      <c r="F12" s="158">
        <f>F2/股权价值增加表!F38</f>
        <v>0.74936719144430086</v>
      </c>
      <c r="G12" s="158">
        <f>G2/股权价值增加表!G38</f>
        <v>0.741781788896686</v>
      </c>
      <c r="H12" s="158">
        <f>H2/股权价值增加表!H38</f>
        <v>0.75490192915597676</v>
      </c>
      <c r="I12" s="158">
        <f>I2/股权价值增加表!I38</f>
        <v>0.75654303328713091</v>
      </c>
      <c r="J12" s="158">
        <f>J2/股权价值增加表!J38</f>
        <v>0.75379109251459797</v>
      </c>
      <c r="K12" s="158">
        <f>K2/股权价值增加表!K38</f>
        <v>0.75646138466784973</v>
      </c>
      <c r="L12" s="158">
        <f>L2/股权价值增加表!L38</f>
        <v>0.7538518871228499</v>
      </c>
      <c r="M12" s="158">
        <f>M2/股权价值增加表!M38</f>
        <v>0.77353629575611926</v>
      </c>
      <c r="N12" s="158">
        <f>N2/股权价值增加表!N38</f>
        <v>0.76435137400683373</v>
      </c>
      <c r="O12" s="158">
        <f>O2/股权价值增加表!O38</f>
        <v>0.76266290147195059</v>
      </c>
      <c r="P12" s="158">
        <f>P2/股权价值增加表!P38</f>
        <v>0.76071048947241315</v>
      </c>
      <c r="Q12" s="158">
        <f>Q2/股权价值增加表!Q38</f>
        <v>0.75597035725138517</v>
      </c>
      <c r="R12" s="158">
        <f>R2/股权价值增加表!R38</f>
        <v>0.75854436756927757</v>
      </c>
      <c r="S12" s="158">
        <f>S2/股权价值增加表!S38</f>
        <v>0.75032264803931326</v>
      </c>
      <c r="T12" s="158">
        <f>T2/股权价值增加表!T38</f>
        <v>0.74572320138497905</v>
      </c>
      <c r="U12" s="158">
        <f>U2/股权价值增加表!U38</f>
        <v>0.74007996460460279</v>
      </c>
      <c r="V12" s="158">
        <f>V2/股权价值增加表!V38</f>
        <v>0.75277832195120298</v>
      </c>
      <c r="W12" s="158">
        <f>W2/股权价值增加表!W38</f>
        <v>0.75322419301414523</v>
      </c>
      <c r="X12" s="158">
        <f>X2/股权价值增加表!X38</f>
        <v>0.75405104969558934</v>
      </c>
      <c r="Y12" s="158">
        <f>Y2/股权价值增加表!Y38</f>
        <v>0.75253053393176572</v>
      </c>
      <c r="Z12" s="158">
        <f>Z2/股权价值增加表!Z38</f>
        <v>0.75723188355332027</v>
      </c>
      <c r="AA12" s="158">
        <f>AA2/股权价值增加表!AA38</f>
        <v>0.75374639173834423</v>
      </c>
      <c r="AB12" s="158">
        <f>AB2/股权价值增加表!AB38</f>
        <v>0.75419612545160009</v>
      </c>
      <c r="AC12" s="158">
        <f>AC2/股权价值增加表!AC38</f>
        <v>0.75252376290900291</v>
      </c>
      <c r="AD12" s="158">
        <f>AD2/股权价值增加表!AD38</f>
        <v>0.75576140011602555</v>
      </c>
      <c r="AE12" s="158">
        <f>AE2/股权价值增加表!AE38</f>
        <v>0.75550415185946318</v>
      </c>
      <c r="AF12" s="158">
        <f>AF2/股权价值增加表!AF38</f>
        <v>0.7556302236146879</v>
      </c>
      <c r="AG12" s="158">
        <f>AG2/股权价值增加表!AG38</f>
        <v>0.7516487377268577</v>
      </c>
      <c r="AH12" s="158">
        <f>AH2/股权价值增加表!AH38</f>
        <v>0.75503561117610685</v>
      </c>
      <c r="AI12" s="158">
        <f>AI2/股权价值增加表!AI38</f>
        <v>0.75356644348609059</v>
      </c>
      <c r="AJ12" s="158">
        <f>AJ2/股权价值增加表!AJ38</f>
        <v>0.75626498464452629</v>
      </c>
      <c r="AK12" s="158">
        <f>AK2/股权价值增加表!AK38</f>
        <v>0.75270909151681598</v>
      </c>
      <c r="AL12" s="158">
        <f>AL2/股权价值增加表!AL38</f>
        <v>0.7526729853927524</v>
      </c>
      <c r="AM12" s="158">
        <f>AM2/股权价值增加表!AM38</f>
        <v>0.75070991119267683</v>
      </c>
      <c r="AN12" s="158">
        <f>AN2/股权价值增加表!AN38</f>
        <v>0.76442526340259043</v>
      </c>
      <c r="AO12" s="158">
        <f>AO2/股权价值增加表!AO38</f>
        <v>0.76264326036374064</v>
      </c>
      <c r="AP12" s="158">
        <f>AP2/股权价值增加表!AP38</f>
        <v>0.76309747762834201</v>
      </c>
      <c r="AQ12" s="158">
        <f>AQ2/股权价值增加表!AQ38</f>
        <v>0.76423499844697984</v>
      </c>
      <c r="AR12" s="158">
        <f>AR2/股权价值增加表!AR38</f>
        <v>0.7515269118743747</v>
      </c>
      <c r="AS12" s="158">
        <f>AS2/股权价值增加表!AS38</f>
        <v>0.67610183526253065</v>
      </c>
      <c r="AT12" s="158">
        <f>AT2/股权价值增加表!AT38</f>
        <v>0.67178777722627636</v>
      </c>
      <c r="AU12" s="158">
        <f>AU2/股权价值增加表!AU38</f>
        <v>0.67090674838784348</v>
      </c>
      <c r="AV12" s="158">
        <f>AV2/股权价值增加表!AV38</f>
        <v>0.66550946028498792</v>
      </c>
      <c r="AW12" s="158">
        <f>AW2/股权价值增加表!AW38</f>
        <v>0.6597779318399527</v>
      </c>
      <c r="AX12" s="158">
        <f>AX2/股权价值增加表!AX38</f>
        <v>0.65962405185612782</v>
      </c>
      <c r="AY12" s="158">
        <f>AY2/股权价值增加表!AY38</f>
        <v>0.66128633558197991</v>
      </c>
      <c r="AZ12" s="158">
        <f>AZ2/股权价值增加表!AZ38</f>
        <v>0.66086661006390768</v>
      </c>
      <c r="BA12" s="158">
        <f>BA2/股权价值增加表!BA38</f>
        <v>0.66652942462936371</v>
      </c>
      <c r="BB12" s="158">
        <f>BB2/股权价值增加表!BB38</f>
        <v>0.66720935845174623</v>
      </c>
      <c r="BC12" s="158">
        <f>BC2/股权价值增加表!BC38</f>
        <v>0.63696339088466303</v>
      </c>
      <c r="BD12" s="158">
        <f>BD2/股权价值增加表!BD38</f>
        <v>0.63504477857786334</v>
      </c>
      <c r="BE12" s="158">
        <f>BE2/股权价值增加表!BE38</f>
        <v>0.65170009275211094</v>
      </c>
      <c r="BF12" s="158">
        <f>BF2/股权价值增加表!BF38</f>
        <v>0.65569132320029666</v>
      </c>
      <c r="BG12" s="158">
        <f>BG2/股权价值增加表!BG38</f>
        <v>0.65817464146354066</v>
      </c>
      <c r="BH12" s="158">
        <f>BH2/股权价值增加表!BH38</f>
        <v>0.66415622050271994</v>
      </c>
      <c r="BI12" s="158">
        <f>BI2/股权价值增加表!BI38</f>
        <v>0.64611450412452531</v>
      </c>
      <c r="BJ12" s="158">
        <f>BJ2/股权价值增加表!BJ38</f>
        <v>0.6364927637296719</v>
      </c>
      <c r="BK12" s="158">
        <f>BK2/股权价值增加表!BK38</f>
        <v>0.60825725605467451</v>
      </c>
      <c r="BL12" s="158">
        <f>BL2/股权价值增加表!BL38</f>
        <v>0.5812698413427555</v>
      </c>
      <c r="BM12" s="158">
        <f>BM2/股权价值增加表!BM38</f>
        <v>0.71096294297722129</v>
      </c>
      <c r="BN12" s="158">
        <f>BN2/股权价值增加表!BN38</f>
        <v>0.72755829017822338</v>
      </c>
      <c r="BO12" s="158">
        <f>BO2/股权价值增加表!BO38</f>
        <v>0.74605965992276846</v>
      </c>
      <c r="BP12" s="158">
        <f>BP2/股权价值增加表!BP38</f>
        <v>0.67517842661134864</v>
      </c>
      <c r="BQ12" s="158">
        <f>BQ2/股权价值增加表!BQ38</f>
        <v>0.87455691796730428</v>
      </c>
      <c r="BR12" s="158">
        <f>BR2/股权价值增加表!BR38</f>
        <v>0.95673154644508385</v>
      </c>
      <c r="BS12" s="158">
        <f>BS2/股权价值增加表!BS38</f>
        <v>0.72752888068795396</v>
      </c>
      <c r="BT12" s="158">
        <f>BT2/股权价值增加表!BT38</f>
        <v>0.66924609646363753</v>
      </c>
      <c r="BU12" s="158">
        <f>BU2/股权价值增加表!BU38</f>
        <v>0.76209442931819149</v>
      </c>
      <c r="BV12" s="158">
        <f>BV2/股权价值增加表!BV38</f>
        <v>0.59166565178492314</v>
      </c>
      <c r="BW12" s="158">
        <f>BW2/股权价值增加表!BW38</f>
        <v>0.61312143999409607</v>
      </c>
      <c r="BX12" s="158">
        <f>BX2/股权价值增加表!BX38</f>
        <v>0.82630054812577658</v>
      </c>
      <c r="BY12" s="158">
        <f>BY2/股权价值增加表!BY38</f>
        <v>0.61206163246598766</v>
      </c>
      <c r="BZ12" s="158">
        <f>BZ2/股权价值增加表!BZ38</f>
        <v>0.84999456039660437</v>
      </c>
      <c r="CA12" s="158">
        <f>CA2/股权价值增加表!CA38</f>
        <v>0.66989839891512737</v>
      </c>
      <c r="CB12" s="158">
        <f>CB2/股权价值增加表!CB38</f>
        <v>0.66972371401394104</v>
      </c>
      <c r="CC12" s="158">
        <f>CC2/股权价值增加表!CC38</f>
        <v>0.66968619304185173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c r="A13" s="17" t="s">
        <v>435</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6" t="s">
        <v>436</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row r="18" spans="1:89" s="250" customFormat="1">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c r="A19" s="159" t="s">
        <v>446</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9" t="s">
        <v>447</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c r="A21" s="234" t="s">
        <v>448</v>
      </c>
      <c r="E21" s="244">
        <f>E20/E19</f>
        <v>0.40956138370909567</v>
      </c>
      <c r="F21" s="244">
        <f t="shared" ref="F21:BQ21" si="6">F20/F19</f>
        <v>0.41099535531211984</v>
      </c>
      <c r="G21" s="244">
        <f t="shared" si="6"/>
        <v>0.41908677779638037</v>
      </c>
      <c r="H21" s="244">
        <f t="shared" si="6"/>
        <v>0.46624775475317043</v>
      </c>
      <c r="I21" s="244">
        <f t="shared" si="6"/>
        <v>0.34911538356411548</v>
      </c>
      <c r="J21" s="244">
        <f t="shared" si="6"/>
        <v>0.36482372079482339</v>
      </c>
      <c r="K21" s="244">
        <f t="shared" si="6"/>
        <v>0.37502454763298765</v>
      </c>
      <c r="L21" s="244">
        <f t="shared" si="6"/>
        <v>0.43186533781747055</v>
      </c>
      <c r="M21" s="244">
        <f t="shared" si="6"/>
        <v>0.34728695812815874</v>
      </c>
      <c r="N21" s="244">
        <f t="shared" si="6"/>
        <v>0.37551411687586722</v>
      </c>
      <c r="O21" s="244">
        <f t="shared" si="6"/>
        <v>0.36701878786756248</v>
      </c>
      <c r="P21" s="244">
        <f t="shared" si="6"/>
        <v>0.42123214596554259</v>
      </c>
      <c r="Q21" s="244">
        <f t="shared" si="6"/>
        <v>0.34982133698968765</v>
      </c>
      <c r="R21" s="244">
        <f t="shared" si="6"/>
        <v>0.39602376195919636</v>
      </c>
      <c r="S21" s="244">
        <f t="shared" si="6"/>
        <v>0.44659326433671537</v>
      </c>
      <c r="T21" s="244">
        <f t="shared" si="6"/>
        <v>0.50941611719284641</v>
      </c>
      <c r="U21" s="244">
        <f t="shared" si="6"/>
        <v>0.4219027834420922</v>
      </c>
      <c r="V21" s="244">
        <f t="shared" si="6"/>
        <v>0.47973791272150046</v>
      </c>
      <c r="W21" s="244">
        <f t="shared" si="6"/>
        <v>0.48688734434297426</v>
      </c>
      <c r="X21" s="244">
        <f t="shared" si="6"/>
        <v>0.55139312752405467</v>
      </c>
      <c r="Y21" s="244">
        <f t="shared" si="6"/>
        <v>0.47635475825780443</v>
      </c>
      <c r="Z21" s="244">
        <f t="shared" si="6"/>
        <v>0.47799220884099297</v>
      </c>
      <c r="AA21" s="244">
        <f t="shared" si="6"/>
        <v>0.43565139518202617</v>
      </c>
      <c r="AB21" s="244">
        <f t="shared" si="6"/>
        <v>0.49292143842637354</v>
      </c>
      <c r="AC21" s="244">
        <f t="shared" si="6"/>
        <v>0.39466544825258448</v>
      </c>
      <c r="AD21" s="244">
        <f t="shared" si="6"/>
        <v>0.40828466715430478</v>
      </c>
      <c r="AE21" s="244">
        <f t="shared" si="6"/>
        <v>0.41877690248777311</v>
      </c>
      <c r="AF21" s="244">
        <f t="shared" si="6"/>
        <v>0.45404736160869813</v>
      </c>
      <c r="AG21" s="244">
        <f t="shared" si="6"/>
        <v>0.37861879385975367</v>
      </c>
      <c r="AH21" s="244">
        <f t="shared" si="6"/>
        <v>0.39960244108541165</v>
      </c>
      <c r="AI21" s="244">
        <f t="shared" si="6"/>
        <v>0.40162355148780049</v>
      </c>
      <c r="AJ21" s="244">
        <f t="shared" si="6"/>
        <v>0.46207104373327756</v>
      </c>
      <c r="AK21" s="244">
        <f t="shared" si="6"/>
        <v>0.40229388942578687</v>
      </c>
      <c r="AL21" s="244">
        <f t="shared" si="6"/>
        <v>0.38631984300579281</v>
      </c>
      <c r="AM21" s="244">
        <f t="shared" si="6"/>
        <v>0.39686077169384432</v>
      </c>
      <c r="AN21" s="244">
        <f t="shared" si="6"/>
        <v>0.49402317780304583</v>
      </c>
      <c r="AO21" s="244">
        <f t="shared" si="6"/>
        <v>0.28206263509899093</v>
      </c>
      <c r="AP21" s="244">
        <f t="shared" si="6"/>
        <v>0.30633533192468065</v>
      </c>
      <c r="AQ21" s="244">
        <f t="shared" si="6"/>
        <v>0.35626018286415423</v>
      </c>
      <c r="AR21" s="244">
        <f t="shared" si="6"/>
        <v>0.43287322536764944</v>
      </c>
      <c r="AS21" s="244">
        <f t="shared" si="6"/>
        <v>0.28424513325391026</v>
      </c>
      <c r="AT21" s="244">
        <f t="shared" si="6"/>
        <v>0.31995722047986802</v>
      </c>
      <c r="AU21" s="244">
        <f t="shared" si="6"/>
        <v>0.38464789407892153</v>
      </c>
      <c r="AV21" s="244">
        <f t="shared" si="6"/>
        <v>0.37058854477347153</v>
      </c>
      <c r="AW21" s="244">
        <f t="shared" si="6"/>
        <v>0.23378566506880988</v>
      </c>
      <c r="AX21" s="244">
        <f t="shared" si="6"/>
        <v>0.25474773255908639</v>
      </c>
      <c r="AY21" s="244">
        <f t="shared" si="6"/>
        <v>0.27619046407250619</v>
      </c>
      <c r="AZ21" s="244">
        <f t="shared" si="6"/>
        <v>0.30229436803560522</v>
      </c>
      <c r="BA21" s="244">
        <f t="shared" si="6"/>
        <v>0.18210913272123491</v>
      </c>
      <c r="BB21" s="244">
        <f t="shared" si="6"/>
        <v>0.23078492081602744</v>
      </c>
      <c r="BC21" s="244">
        <f t="shared" si="6"/>
        <v>0.24188700469427177</v>
      </c>
      <c r="BD21" s="244">
        <f t="shared" si="6"/>
        <v>0.26220268498804705</v>
      </c>
      <c r="BE21" s="244">
        <f t="shared" si="6"/>
        <v>0.19705538125128777</v>
      </c>
      <c r="BF21" s="244">
        <f t="shared" si="6"/>
        <v>0.22235440619903715</v>
      </c>
      <c r="BG21" s="244">
        <f t="shared" si="6"/>
        <v>0.23219467690999307</v>
      </c>
      <c r="BH21" s="244">
        <f t="shared" si="6"/>
        <v>0.23386949175117611</v>
      </c>
      <c r="BI21" s="244">
        <f t="shared" si="6"/>
        <v>0.16670098875448081</v>
      </c>
      <c r="BJ21" s="244">
        <f t="shared" si="6"/>
        <v>0.18028308994747561</v>
      </c>
      <c r="BK21" s="244">
        <f t="shared" si="6"/>
        <v>0.18271218945177559</v>
      </c>
      <c r="BL21" s="244">
        <f t="shared" si="6"/>
        <v>0.21655432317641068</v>
      </c>
      <c r="BM21" s="244">
        <f t="shared" si="6"/>
        <v>0.14691354315526561</v>
      </c>
      <c r="BN21" s="244">
        <f t="shared" si="6"/>
        <v>0.15092969379169288</v>
      </c>
      <c r="BO21" s="244">
        <f t="shared" si="6"/>
        <v>0.14031132063405158</v>
      </c>
      <c r="BP21" s="244">
        <f t="shared" si="6"/>
        <v>0.1618928482639026</v>
      </c>
      <c r="BQ21" s="244">
        <f t="shared" si="6"/>
        <v>0.188341767881364</v>
      </c>
      <c r="BR21" s="244">
        <f t="shared" ref="BR21:CK21" si="7">BR20/BR19</f>
        <v>0.99963514598214642</v>
      </c>
      <c r="BS21" s="244">
        <f t="shared" si="7"/>
        <v>0.22414770121205044</v>
      </c>
      <c r="BT21" s="244">
        <f t="shared" si="7"/>
        <v>0.20445223213939145</v>
      </c>
      <c r="BU21" s="244">
        <f t="shared" si="7"/>
        <v>0.24973718305321707</v>
      </c>
      <c r="BV21" s="244">
        <f t="shared" si="7"/>
        <v>0.26834715687618399</v>
      </c>
      <c r="BW21" s="244">
        <f t="shared" si="7"/>
        <v>0.23247579426216763</v>
      </c>
      <c r="BX21" s="244">
        <f t="shared" si="7"/>
        <v>0.19682157170377648</v>
      </c>
      <c r="BY21" s="244">
        <f t="shared" si="7"/>
        <v>0.22346533436050894</v>
      </c>
      <c r="BZ21" s="244">
        <f t="shared" si="7"/>
        <v>0.24264627653330212</v>
      </c>
      <c r="CA21" s="244">
        <f t="shared" si="7"/>
        <v>0.23637542497227357</v>
      </c>
      <c r="CB21" s="244">
        <f t="shared" si="7"/>
        <v>0.30838994870056197</v>
      </c>
      <c r="CC21" s="244">
        <f t="shared" si="7"/>
        <v>0.36719269231952156</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c r="A22" s="26" t="s">
        <v>685</v>
      </c>
      <c r="E22" s="26">
        <f>资产资本表!E69</f>
        <v>12605331807.880001</v>
      </c>
      <c r="F22" s="193">
        <f>资产资本表!F69</f>
        <v>13275905758.220001</v>
      </c>
      <c r="G22" s="193">
        <f>资产资本表!G69</f>
        <v>13870493619.020004</v>
      </c>
      <c r="H22" s="193">
        <f>资产资本表!H69</f>
        <v>14008986037.210001</v>
      </c>
      <c r="I22" s="193">
        <f>资产资本表!I69</f>
        <v>12140079128.939999</v>
      </c>
      <c r="J22" s="193">
        <f>资产资本表!J69</f>
        <v>11524144247.799999</v>
      </c>
      <c r="K22" s="193">
        <f>资产资本表!K69</f>
        <v>16440020210.600004</v>
      </c>
      <c r="L22" s="193">
        <f>资产资本表!L69</f>
        <v>19030459354.450001</v>
      </c>
      <c r="M22" s="193">
        <f>资产资本表!M69</f>
        <v>16669250080.91</v>
      </c>
      <c r="N22" s="193">
        <f>资产资本表!N69</f>
        <v>16069334786.140001</v>
      </c>
      <c r="O22" s="193">
        <f>资产资本表!O69</f>
        <v>17231777173.489998</v>
      </c>
      <c r="P22" s="193">
        <f>资产资本表!P69</f>
        <v>17285930775.439999</v>
      </c>
      <c r="Q22" s="193">
        <f>资产资本表!Q69</f>
        <v>16866509816.399998</v>
      </c>
      <c r="R22" s="193">
        <f>资产资本表!R69</f>
        <v>17129633546.33</v>
      </c>
      <c r="S22" s="193">
        <f>资产资本表!S69</f>
        <v>17029959858.769999</v>
      </c>
      <c r="T22" s="193">
        <f>资产资本表!T69</f>
        <v>15906870409.25</v>
      </c>
      <c r="U22" s="193">
        <f>资产资本表!U69</f>
        <v>10847627705.009998</v>
      </c>
      <c r="V22" s="193">
        <f>资产资本表!V69</f>
        <v>10848888235.609997</v>
      </c>
      <c r="W22" s="193">
        <f>资产资本表!W69</f>
        <v>8212177505.0699997</v>
      </c>
      <c r="X22" s="193">
        <f>资产资本表!X69</f>
        <v>6265494269.0499992</v>
      </c>
      <c r="Y22" s="193">
        <f>资产资本表!Y69</f>
        <v>3498398512.0099974</v>
      </c>
      <c r="Z22" s="193">
        <f>资产资本表!Z69</f>
        <v>3350248167.1699982</v>
      </c>
      <c r="AA22" s="193">
        <f>资产资本表!AA69</f>
        <v>3098511619.1899996</v>
      </c>
      <c r="AB22" s="193">
        <f>资产资本表!AB69</f>
        <v>3310242302.1500006</v>
      </c>
      <c r="AC22" s="193">
        <f>资产资本表!AC69</f>
        <v>1673928211.5599995</v>
      </c>
      <c r="AD22" s="193">
        <f>资产资本表!AD69</f>
        <v>3019842900.3100014</v>
      </c>
      <c r="AE22" s="193">
        <f>资产资本表!AE69</f>
        <v>2778141195.8099985</v>
      </c>
      <c r="AF22" s="193">
        <f>资产资本表!AF69</f>
        <v>4444141983.04</v>
      </c>
      <c r="AG22" s="193">
        <f>资产资本表!AG69</f>
        <v>4480834239.25</v>
      </c>
      <c r="AH22" s="193">
        <f>资产资本表!AH69</f>
        <v>6023913721.7299995</v>
      </c>
      <c r="AI22" s="193">
        <f>资产资本表!AI69</f>
        <v>6385481454.6199999</v>
      </c>
      <c r="AJ22" s="193">
        <f>资产资本表!AJ69</f>
        <v>6591573906.0100002</v>
      </c>
      <c r="AK22" s="193">
        <f>资产资本表!AK69</f>
        <v>7175477537.1200008</v>
      </c>
      <c r="AL22" s="193">
        <f>资产资本表!AL69</f>
        <v>7057585960.0100002</v>
      </c>
      <c r="AM22" s="193">
        <f>资产资本表!AM69</f>
        <v>7992954874.8000011</v>
      </c>
      <c r="AN22" s="193">
        <f>资产资本表!AN69</f>
        <v>5579292833.25</v>
      </c>
      <c r="AO22" s="193">
        <f>资产资本表!AO69</f>
        <v>5442164892.6500006</v>
      </c>
      <c r="AP22" s="193">
        <f>资产资本表!AP69</f>
        <v>5356545880.5900011</v>
      </c>
      <c r="AQ22" s="193">
        <f>资产资本表!AQ69</f>
        <v>5667754981.6400013</v>
      </c>
      <c r="AR22" s="193">
        <f>资产资本表!AR69</f>
        <v>5372111109.0000019</v>
      </c>
      <c r="AS22" s="193">
        <f>资产资本表!AS69</f>
        <v>5490273073.0699997</v>
      </c>
      <c r="AT22" s="193">
        <f>资产资本表!AT69</f>
        <v>4837386747.6099997</v>
      </c>
      <c r="AU22" s="193">
        <f>资产资本表!AU69</f>
        <v>5056150634.8699999</v>
      </c>
      <c r="AV22" s="193">
        <f>资产资本表!AV69</f>
        <v>5195864351.9399996</v>
      </c>
      <c r="AW22" s="193">
        <f>资产资本表!AW69</f>
        <v>5608773923.1499996</v>
      </c>
      <c r="AX22" s="193">
        <f>资产资本表!AX69</f>
        <v>5588582156.2700005</v>
      </c>
      <c r="AY22" s="193">
        <f>资产资本表!AY69</f>
        <v>5636262383.2399998</v>
      </c>
      <c r="AZ22" s="193">
        <f>资产资本表!AZ69</f>
        <v>5292858793.4200001</v>
      </c>
      <c r="BA22" s="193">
        <f>资产资本表!BA69</f>
        <v>5513196469.0899992</v>
      </c>
      <c r="BB22" s="193">
        <f>资产资本表!BB69</f>
        <v>5880141325.6700001</v>
      </c>
      <c r="BC22" s="193">
        <f>资产资本表!BC69</f>
        <v>5777021677.2699995</v>
      </c>
      <c r="BD22" s="193">
        <f>资产资本表!BD69</f>
        <v>5862421501.5100002</v>
      </c>
      <c r="BE22" s="193">
        <f>资产资本表!BE69</f>
        <v>5798381628.5500002</v>
      </c>
      <c r="BF22" s="193">
        <f>资产资本表!BF69</f>
        <v>5052105469.75</v>
      </c>
      <c r="BG22" s="193">
        <f>资产资本表!BG69</f>
        <v>5065381911.2299995</v>
      </c>
      <c r="BH22" s="193">
        <f>资产资本表!BH69</f>
        <v>4596576413.9399996</v>
      </c>
      <c r="BI22" s="193">
        <f>资产资本表!BI69</f>
        <v>5094894183.0299988</v>
      </c>
      <c r="BJ22" s="193">
        <f>资产资本表!BJ69</f>
        <v>4679398433.9300003</v>
      </c>
      <c r="BK22" s="193">
        <f>资产资本表!BK69</f>
        <v>4228482264.3299999</v>
      </c>
      <c r="BL22" s="193">
        <f>资产资本表!BL69</f>
        <v>4181629041.0600004</v>
      </c>
      <c r="BM22" s="193">
        <f>资产资本表!BM69</f>
        <v>4071653381.2200003</v>
      </c>
      <c r="BN22" s="193">
        <f>资产资本表!BN69</f>
        <v>3768827919.9800005</v>
      </c>
      <c r="BO22" s="193">
        <f>资产资本表!BO69</f>
        <v>3456589838.1000004</v>
      </c>
      <c r="BP22" s="193">
        <f>资产资本表!BP69</f>
        <v>3300113312.29</v>
      </c>
      <c r="BQ22" s="193">
        <f>资产资本表!BQ69</f>
        <v>3237266118.6400003</v>
      </c>
      <c r="BR22" s="193">
        <f>资产资本表!BR69</f>
        <v>0</v>
      </c>
      <c r="BS22" s="193">
        <f>资产资本表!BS69</f>
        <v>3052079531.7399998</v>
      </c>
      <c r="BT22" s="193">
        <f>资产资本表!BT69</f>
        <v>1987938852.9200001</v>
      </c>
      <c r="BU22" s="193">
        <f>资产资本表!BU69</f>
        <v>1510554788.22</v>
      </c>
      <c r="BV22" s="193">
        <f>资产资本表!BV69</f>
        <v>2446104959.1300006</v>
      </c>
      <c r="BW22" s="193">
        <f>资产资本表!BW69</f>
        <v>1335220854.1500003</v>
      </c>
      <c r="BX22" s="193">
        <f>资产资本表!BX69</f>
        <v>971228854.25999999</v>
      </c>
      <c r="BY22" s="193">
        <f>资产资本表!BY69</f>
        <v>976112987.00000012</v>
      </c>
      <c r="BZ22" s="193">
        <f>资产资本表!BZ69</f>
        <v>947921933.65999997</v>
      </c>
      <c r="CA22" s="193">
        <f>资产资本表!CA69</f>
        <v>296891322.03000003</v>
      </c>
      <c r="CB22" s="193">
        <f>资产资本表!CB69</f>
        <v>394306982.40000004</v>
      </c>
      <c r="CC22" s="193">
        <f>资产资本表!CC69</f>
        <v>478759163.12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c r="A23" s="245" t="s">
        <v>686</v>
      </c>
      <c r="E23" s="246">
        <f>E19/E22</f>
        <v>2.3947628566404946</v>
      </c>
      <c r="F23" s="246">
        <f t="shared" ref="F23:BQ23" si="8">F19/F22</f>
        <v>1.6554498826637272</v>
      </c>
      <c r="G23" s="246">
        <f t="shared" si="8"/>
        <v>1.1262128147436243</v>
      </c>
      <c r="H23" s="246">
        <f t="shared" si="8"/>
        <v>0.72516365510798997</v>
      </c>
      <c r="I23" s="246">
        <f t="shared" si="8"/>
        <v>2.021716036601569</v>
      </c>
      <c r="J23" s="246">
        <f t="shared" si="8"/>
        <v>1.5358748946229934</v>
      </c>
      <c r="K23" s="246">
        <f t="shared" si="8"/>
        <v>0.80630306266127239</v>
      </c>
      <c r="L23" s="246">
        <f t="shared" si="8"/>
        <v>0.46375991504410363</v>
      </c>
      <c r="M23" s="246">
        <f t="shared" si="8"/>
        <v>1.299355835117304</v>
      </c>
      <c r="N23" s="246">
        <f t="shared" si="8"/>
        <v>0.94162835976638981</v>
      </c>
      <c r="O23" s="246">
        <f t="shared" si="8"/>
        <v>0.65085648996170908</v>
      </c>
      <c r="P23" s="246">
        <f t="shared" si="8"/>
        <v>0.3896483887190943</v>
      </c>
      <c r="Q23" s="246">
        <f t="shared" si="8"/>
        <v>1.2457521896859578</v>
      </c>
      <c r="R23" s="246">
        <f t="shared" si="8"/>
        <v>0.87966356518457833</v>
      </c>
      <c r="S23" s="246">
        <f t="shared" si="8"/>
        <v>0.68482444444894519</v>
      </c>
      <c r="T23" s="246">
        <f t="shared" si="8"/>
        <v>0.42244963637613725</v>
      </c>
      <c r="U23" s="246">
        <f t="shared" si="8"/>
        <v>2.2787091602133129</v>
      </c>
      <c r="V23" s="246">
        <f t="shared" si="8"/>
        <v>1.766617631153278</v>
      </c>
      <c r="W23" s="246">
        <f t="shared" si="8"/>
        <v>1.8898614424418374</v>
      </c>
      <c r="X23" s="246">
        <f t="shared" si="8"/>
        <v>1.3846952036356202</v>
      </c>
      <c r="Y23" s="246">
        <f t="shared" si="8"/>
        <v>7.7752851363156159</v>
      </c>
      <c r="Z23" s="246">
        <f t="shared" si="8"/>
        <v>6.3059816432929923</v>
      </c>
      <c r="AA23" s="246">
        <f t="shared" si="8"/>
        <v>4.8570769656446329</v>
      </c>
      <c r="AB23" s="246">
        <f t="shared" si="8"/>
        <v>2.4864196398173619</v>
      </c>
      <c r="AC23" s="246">
        <f t="shared" si="8"/>
        <v>12.157387830714963</v>
      </c>
      <c r="AD23" s="246">
        <f t="shared" si="8"/>
        <v>5.1819829728836488</v>
      </c>
      <c r="AE23" s="246">
        <f t="shared" si="8"/>
        <v>3.8136399327648132</v>
      </c>
      <c r="AF23" s="246">
        <f t="shared" si="8"/>
        <v>1.40512096676498</v>
      </c>
      <c r="AG23" s="246">
        <f t="shared" si="8"/>
        <v>3.4683944285899977</v>
      </c>
      <c r="AH23" s="246">
        <f t="shared" si="8"/>
        <v>1.9043616327833885</v>
      </c>
      <c r="AI23" s="246">
        <f t="shared" si="8"/>
        <v>1.1865269607835516</v>
      </c>
      <c r="AJ23" s="246">
        <f t="shared" si="8"/>
        <v>0.68172273445236597</v>
      </c>
      <c r="AK23" s="246">
        <f t="shared" si="8"/>
        <v>1.5510076496005452</v>
      </c>
      <c r="AL23" s="246">
        <f t="shared" si="8"/>
        <v>1.1377374816074677</v>
      </c>
      <c r="AM23" s="246">
        <f t="shared" si="8"/>
        <v>0.66819968528142604</v>
      </c>
      <c r="AN23" s="246">
        <f t="shared" si="8"/>
        <v>0.59843618651668484</v>
      </c>
      <c r="AO23" s="246">
        <f t="shared" si="8"/>
        <v>1.457704586262009</v>
      </c>
      <c r="AP23" s="246">
        <f t="shared" si="8"/>
        <v>1.2281570631101149</v>
      </c>
      <c r="AQ23" s="246">
        <f t="shared" si="8"/>
        <v>0.81112851524321694</v>
      </c>
      <c r="AR23" s="246">
        <f t="shared" si="8"/>
        <v>0.57447574167625037</v>
      </c>
      <c r="AS23" s="246">
        <f t="shared" si="8"/>
        <v>1.3348253801011916</v>
      </c>
      <c r="AT23" s="246">
        <f t="shared" si="8"/>
        <v>1.2492412608844408</v>
      </c>
      <c r="AU23" s="246">
        <f t="shared" si="8"/>
        <v>0.85893020081504368</v>
      </c>
      <c r="AV23" s="246">
        <f t="shared" si="8"/>
        <v>0.57927851608870429</v>
      </c>
      <c r="AW23" s="246">
        <f t="shared" si="8"/>
        <v>1.3168905580280184</v>
      </c>
      <c r="AX23" s="246">
        <f t="shared" si="8"/>
        <v>1.0656590783510835</v>
      </c>
      <c r="AY23" s="246">
        <f t="shared" si="8"/>
        <v>0.78012901914839206</v>
      </c>
      <c r="AZ23" s="246">
        <f t="shared" si="8"/>
        <v>0.51587366457696715</v>
      </c>
      <c r="BA23" s="246">
        <f t="shared" si="8"/>
        <v>1.164252265325032</v>
      </c>
      <c r="BB23" s="246">
        <f t="shared" si="8"/>
        <v>0.84483875540592679</v>
      </c>
      <c r="BC23" s="246">
        <f t="shared" si="8"/>
        <v>0.65899236265269634</v>
      </c>
      <c r="BD23" s="246">
        <f t="shared" si="8"/>
        <v>0.42123421406221578</v>
      </c>
      <c r="BE23" s="246">
        <f t="shared" si="8"/>
        <v>1.0860933002360582</v>
      </c>
      <c r="BF23" s="246">
        <f t="shared" si="8"/>
        <v>0.9061730827318899</v>
      </c>
      <c r="BG23" s="246">
        <f t="shared" si="8"/>
        <v>0.68253499140215512</v>
      </c>
      <c r="BH23" s="246">
        <f t="shared" si="8"/>
        <v>0.53299305942354769</v>
      </c>
      <c r="BI23" s="246">
        <f t="shared" si="8"/>
        <v>1.2430269150405848</v>
      </c>
      <c r="BJ23" s="246">
        <f t="shared" si="8"/>
        <v>0.99179181084869883</v>
      </c>
      <c r="BK23" s="246">
        <f t="shared" si="8"/>
        <v>0.81041253756635456</v>
      </c>
      <c r="BL23" s="246">
        <f t="shared" si="8"/>
        <v>0.54396452909973991</v>
      </c>
      <c r="BM23" s="246">
        <f t="shared" si="8"/>
        <v>1.4015233872241211</v>
      </c>
      <c r="BN23" s="246">
        <f t="shared" si="8"/>
        <v>1.1895812007287909</v>
      </c>
      <c r="BO23" s="246">
        <f t="shared" si="8"/>
        <v>1.001680667166803</v>
      </c>
      <c r="BP23" s="246">
        <f t="shared" si="8"/>
        <v>0.6857960775563573</v>
      </c>
      <c r="BQ23" s="246">
        <f t="shared" si="8"/>
        <v>1.4648456959856575</v>
      </c>
      <c r="BR23" s="246" t="e">
        <f t="shared" ref="BR23:CK23" si="9">BR19/BR22</f>
        <v>#DIV/0!</v>
      </c>
      <c r="BS23" s="246">
        <f t="shared" si="9"/>
        <v>0.92313912310592317</v>
      </c>
      <c r="BT23" s="246">
        <f t="shared" si="9"/>
        <v>1.0060166826672921</v>
      </c>
      <c r="BU23" s="246">
        <f t="shared" si="9"/>
        <v>2.617343091288248</v>
      </c>
      <c r="BV23" s="246">
        <f t="shared" si="9"/>
        <v>1.0905846553979466</v>
      </c>
      <c r="BW23" s="246">
        <f t="shared" si="9"/>
        <v>2.4780852032949796</v>
      </c>
      <c r="BX23" s="246">
        <f t="shared" si="9"/>
        <v>1.9572042687285389</v>
      </c>
      <c r="BY23" s="246">
        <f t="shared" si="9"/>
        <v>2.883217998942575</v>
      </c>
      <c r="BZ23" s="246">
        <f t="shared" si="9"/>
        <v>1.2769336358284515</v>
      </c>
      <c r="CA23" s="246">
        <f t="shared" si="9"/>
        <v>7.4251224336467674</v>
      </c>
      <c r="CB23" s="246">
        <f t="shared" si="9"/>
        <v>3.3215158468114407</v>
      </c>
      <c r="CC23" s="246">
        <f t="shared" si="9"/>
        <v>1.9105716314629186</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4.25" thickBot="1">
      <c r="A24" s="160" t="s">
        <v>693</v>
      </c>
      <c r="E24" s="161">
        <f>E21*E23</f>
        <v>0.98080238922082763</v>
      </c>
      <c r="F24" s="161">
        <f t="shared" ref="F24:BQ24" si="10">F21*F23</f>
        <v>0.68038221272678567</v>
      </c>
      <c r="G24" s="161">
        <f t="shared" si="10"/>
        <v>0.47198089964389739</v>
      </c>
      <c r="H24" s="161">
        <f t="shared" si="10"/>
        <v>0.33810592602270279</v>
      </c>
      <c r="I24" s="161">
        <f t="shared" si="10"/>
        <v>0.70581216957588011</v>
      </c>
      <c r="J24" s="161">
        <f t="shared" si="10"/>
        <v>0.56032359373171781</v>
      </c>
      <c r="K24" s="161">
        <f t="shared" si="10"/>
        <v>0.30238344132963618</v>
      </c>
      <c r="L24" s="161">
        <f t="shared" si="10"/>
        <v>0.20028183237672326</v>
      </c>
      <c r="M24" s="161">
        <f t="shared" si="10"/>
        <v>0.4512493355039619</v>
      </c>
      <c r="N24" s="161">
        <f t="shared" si="10"/>
        <v>0.35359474194294727</v>
      </c>
      <c r="O24" s="161">
        <f t="shared" si="10"/>
        <v>0.2388765600214828</v>
      </c>
      <c r="P24" s="161">
        <f t="shared" si="10"/>
        <v>0.16413242695216002</v>
      </c>
      <c r="Q24" s="161">
        <f t="shared" si="10"/>
        <v>0.43579069655377273</v>
      </c>
      <c r="R24" s="161">
        <f t="shared" si="10"/>
        <v>0.34836767434283544</v>
      </c>
      <c r="S24" s="161">
        <f t="shared" si="10"/>
        <v>0.30583798414403202</v>
      </c>
      <c r="T24" s="161">
        <f t="shared" si="10"/>
        <v>0.2152026534722617</v>
      </c>
      <c r="U24" s="161">
        <f t="shared" si="10"/>
        <v>0.96139373734898914</v>
      </c>
      <c r="V24" s="161">
        <f t="shared" si="10"/>
        <v>0.84751345494647512</v>
      </c>
      <c r="W24" s="161">
        <f t="shared" si="10"/>
        <v>0.92014961888668889</v>
      </c>
      <c r="X24" s="161">
        <f t="shared" si="10"/>
        <v>0.76351141900020236</v>
      </c>
      <c r="Y24" s="161">
        <f t="shared" si="10"/>
        <v>3.7037940714951252</v>
      </c>
      <c r="Z24" s="161">
        <f t="shared" si="10"/>
        <v>3.0142100945883721</v>
      </c>
      <c r="AA24" s="161">
        <f t="shared" si="10"/>
        <v>2.1159923565895666</v>
      </c>
      <c r="AB24" s="161">
        <f t="shared" si="10"/>
        <v>1.2256095453903597</v>
      </c>
      <c r="AC24" s="161">
        <f t="shared" si="10"/>
        <v>4.798100917789637</v>
      </c>
      <c r="AD24" s="161">
        <f t="shared" si="10"/>
        <v>2.1157241932830755</v>
      </c>
      <c r="AE24" s="161">
        <f t="shared" si="10"/>
        <v>1.5970643182469277</v>
      </c>
      <c r="AF24" s="161">
        <f t="shared" si="10"/>
        <v>0.63799146770070236</v>
      </c>
      <c r="AG24" s="161">
        <f t="shared" si="10"/>
        <v>1.3131993151826344</v>
      </c>
      <c r="AH24" s="161">
        <f t="shared" si="10"/>
        <v>0.76098755716964239</v>
      </c>
      <c r="AI24" s="161">
        <f t="shared" si="10"/>
        <v>0.47653717192591616</v>
      </c>
      <c r="AJ24" s="161">
        <f t="shared" si="10"/>
        <v>0.31500433544510875</v>
      </c>
      <c r="AK24" s="161">
        <f t="shared" si="10"/>
        <v>0.62396089988695125</v>
      </c>
      <c r="AL24" s="161">
        <f t="shared" si="10"/>
        <v>0.439530565276403</v>
      </c>
      <c r="AM24" s="161">
        <f t="shared" si="10"/>
        <v>0.26518224274637064</v>
      </c>
      <c r="AN24" s="161">
        <f t="shared" si="10"/>
        <v>0.29564134657530888</v>
      </c>
      <c r="AO24" s="161">
        <f t="shared" si="10"/>
        <v>0.4111639967969466</v>
      </c>
      <c r="AP24" s="161">
        <f t="shared" si="10"/>
        <v>0.37622790158347802</v>
      </c>
      <c r="AQ24" s="161">
        <f t="shared" si="10"/>
        <v>0.28897279316687841</v>
      </c>
      <c r="AR24" s="161">
        <f t="shared" si="10"/>
        <v>0.24867516719487109</v>
      </c>
      <c r="AS24" s="161">
        <f t="shared" si="10"/>
        <v>0.37941761803756463</v>
      </c>
      <c r="AT24" s="161">
        <f t="shared" si="10"/>
        <v>0.39970376154135134</v>
      </c>
      <c r="AU24" s="161">
        <f t="shared" si="10"/>
        <v>0.33038569290429171</v>
      </c>
      <c r="AV24" s="161">
        <f t="shared" si="10"/>
        <v>0.21467398229584894</v>
      </c>
      <c r="AW24" s="161">
        <f t="shared" si="10"/>
        <v>0.30787013493141646</v>
      </c>
      <c r="AX24" s="161">
        <f t="shared" si="10"/>
        <v>0.27147423389094433</v>
      </c>
      <c r="AY24" s="161">
        <f t="shared" si="10"/>
        <v>0.21546419583502346</v>
      </c>
      <c r="AZ24" s="161">
        <f t="shared" si="10"/>
        <v>0.15594570341950606</v>
      </c>
      <c r="BA24" s="161">
        <f t="shared" si="10"/>
        <v>0.21202097030707465</v>
      </c>
      <c r="BB24" s="161">
        <f t="shared" si="10"/>
        <v>0.19497604526866799</v>
      </c>
      <c r="BC24" s="161">
        <f t="shared" si="10"/>
        <v>0.159401688718462</v>
      </c>
      <c r="BD24" s="161">
        <f t="shared" si="10"/>
        <v>0.11044874193594274</v>
      </c>
      <c r="BE24" s="161">
        <f t="shared" si="10"/>
        <v>0.21402052935248581</v>
      </c>
      <c r="BF24" s="161">
        <f t="shared" si="10"/>
        <v>0.20149157772440035</v>
      </c>
      <c r="BG24" s="161">
        <f t="shared" si="10"/>
        <v>0.15848099180838832</v>
      </c>
      <c r="BH24" s="161">
        <f t="shared" si="10"/>
        <v>0.1246508159142895</v>
      </c>
      <c r="BI24" s="161">
        <f t="shared" si="10"/>
        <v>0.2072138157856975</v>
      </c>
      <c r="BJ24" s="161">
        <f t="shared" si="10"/>
        <v>0.17880329224440569</v>
      </c>
      <c r="BK24" s="161">
        <f t="shared" si="10"/>
        <v>0.14807224909791797</v>
      </c>
      <c r="BL24" s="161">
        <f t="shared" si="10"/>
        <v>0.11779787043116913</v>
      </c>
      <c r="BM24" s="161">
        <f t="shared" si="10"/>
        <v>0.20590276663206494</v>
      </c>
      <c r="BN24" s="161">
        <f t="shared" si="10"/>
        <v>0.17954312636635075</v>
      </c>
      <c r="BO24" s="161">
        <f t="shared" si="10"/>
        <v>0.14054713726377199</v>
      </c>
      <c r="BP24" s="161">
        <f t="shared" si="10"/>
        <v>0.11102548032381093</v>
      </c>
      <c r="BQ24" s="161">
        <f t="shared" si="10"/>
        <v>0.27589162805534578</v>
      </c>
      <c r="BR24" s="161" t="e">
        <f t="shared" ref="BR24:CK24" si="11">BR21*BR23</f>
        <v>#DIV/0!</v>
      </c>
      <c r="BS24" s="161">
        <f t="shared" si="11"/>
        <v>0.20691951234310071</v>
      </c>
      <c r="BT24" s="161">
        <f t="shared" si="11"/>
        <v>0.20568235634079371</v>
      </c>
      <c r="BU24" s="161">
        <f t="shared" si="11"/>
        <v>0.65364789070212626</v>
      </c>
      <c r="BV24" s="161">
        <f t="shared" si="11"/>
        <v>0.2926552916088318</v>
      </c>
      <c r="BW24" s="161">
        <f t="shared" si="11"/>
        <v>0.57609482588532557</v>
      </c>
      <c r="BX24" s="161">
        <f t="shared" si="11"/>
        <v>0.38522002031649155</v>
      </c>
      <c r="BY24" s="161">
        <f t="shared" si="11"/>
        <v>0.64429927416794008</v>
      </c>
      <c r="BZ24" s="161">
        <f t="shared" si="11"/>
        <v>0.30984319211390537</v>
      </c>
      <c r="CA24" s="161">
        <f t="shared" si="11"/>
        <v>1.7551164707244167</v>
      </c>
      <c r="CB24" s="161">
        <f t="shared" si="11"/>
        <v>1.0243221016062838</v>
      </c>
      <c r="CC24" s="161">
        <f t="shared" si="11"/>
        <v>0.70154794122616981</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c r="A26" s="147" t="s">
        <v>442</v>
      </c>
      <c r="E26" s="76">
        <f>利润表!E14</f>
        <v>56228697.509999998</v>
      </c>
      <c r="F26" s="76">
        <f>利润表!F14</f>
        <v>280139998.44999999</v>
      </c>
      <c r="G26" s="76">
        <f>利润表!G14</f>
        <v>234266318.96000001</v>
      </c>
      <c r="H26" s="76">
        <f>利润表!H14</f>
        <v>154141558.41</v>
      </c>
      <c r="I26" s="76">
        <f>利润表!I14</f>
        <v>66598248.350000001</v>
      </c>
      <c r="J26" s="76">
        <f>利润表!J14</f>
        <v>275673512.30000001</v>
      </c>
      <c r="K26" s="76">
        <f>利润表!K14</f>
        <v>212366929.50999999</v>
      </c>
      <c r="L26" s="76">
        <f>利润表!L14</f>
        <v>135412552.55000001</v>
      </c>
      <c r="M26" s="76">
        <f>利润表!M14</f>
        <v>51533212.600000001</v>
      </c>
      <c r="N26" s="76">
        <f>利润表!N14</f>
        <v>216718386.62</v>
      </c>
      <c r="O26" s="76">
        <f>利润表!O14</f>
        <v>215475533.71000001</v>
      </c>
      <c r="P26" s="76">
        <f>利润表!P14</f>
        <v>160132633.30000001</v>
      </c>
      <c r="Q26" s="76">
        <f>利润表!Q14</f>
        <v>69799508.150000006</v>
      </c>
      <c r="R26" s="76">
        <f>利润表!R14</f>
        <v>308344285.94</v>
      </c>
      <c r="S26" s="76">
        <f>利润表!S14</f>
        <v>267878359.22999999</v>
      </c>
      <c r="T26" s="76">
        <f>利润表!T14</f>
        <v>181016731.13</v>
      </c>
      <c r="U26" s="76">
        <f>利润表!U14</f>
        <v>90165233.569999993</v>
      </c>
      <c r="V26" s="76">
        <f>利润表!V14</f>
        <v>367880015.48000002</v>
      </c>
      <c r="W26" s="76">
        <f>利润表!W14</f>
        <v>300622194.08999997</v>
      </c>
      <c r="X26" s="76">
        <f>利润表!X14</f>
        <v>210398153.75999999</v>
      </c>
      <c r="Y26" s="76">
        <f>利润表!Y14</f>
        <v>90435164.069999993</v>
      </c>
      <c r="Z26" s="76">
        <f>利润表!Z14</f>
        <v>280633741.67000002</v>
      </c>
      <c r="AA26" s="76">
        <f>利润表!AA14</f>
        <v>228566939.72999999</v>
      </c>
      <c r="AB26" s="76">
        <f>利润表!AB14</f>
        <v>164164241.12</v>
      </c>
      <c r="AC26" s="76">
        <f>利润表!AC14</f>
        <v>78989878.340000004</v>
      </c>
      <c r="AD26" s="76">
        <f>利润表!AD14</f>
        <v>342563567.56999999</v>
      </c>
      <c r="AE26" s="76">
        <f>利润表!AE14</f>
        <v>279997039.87</v>
      </c>
      <c r="AF26" s="76">
        <f>利润表!AF14</f>
        <v>202217265.75999999</v>
      </c>
      <c r="AG26" s="76">
        <f>利润表!AG14</f>
        <v>95149442.810000002</v>
      </c>
      <c r="AH26" s="76">
        <f>利润表!AH14</f>
        <v>366534973.06</v>
      </c>
      <c r="AI26" s="76">
        <f>利润表!AI14</f>
        <v>273398414.92000002</v>
      </c>
      <c r="AJ26" s="76">
        <f>利润表!AJ14</f>
        <v>178068309.30000001</v>
      </c>
      <c r="AK26" s="76">
        <f>利润表!AK14</f>
        <v>80554286.239999995</v>
      </c>
      <c r="AL26" s="76">
        <f>利润表!AL14</f>
        <v>247042330.38</v>
      </c>
      <c r="AM26" s="76">
        <f>利润表!AM14</f>
        <v>197074394.38</v>
      </c>
      <c r="AN26" s="76">
        <f>利润表!AN14</f>
        <v>126588071.23999999</v>
      </c>
      <c r="AO26" s="76">
        <f>利润表!AO14</f>
        <v>48014654.869999997</v>
      </c>
      <c r="AP26" s="76">
        <f>利润表!AP14</f>
        <v>236135104.5</v>
      </c>
      <c r="AQ26" s="76">
        <f>利润表!AQ14</f>
        <v>197168703.81</v>
      </c>
      <c r="AR26" s="76">
        <f>利润表!AR14</f>
        <v>142283418.91</v>
      </c>
      <c r="AS26" s="76">
        <f>利润表!AS14</f>
        <v>47837272.439999998</v>
      </c>
      <c r="AT26" s="76">
        <f>利润表!AT14</f>
        <v>250408277.59</v>
      </c>
      <c r="AU26" s="76">
        <f>利润表!AU14</f>
        <v>214420749.16999999</v>
      </c>
      <c r="AV26" s="76">
        <f>利润表!AV14</f>
        <v>145953407.36000001</v>
      </c>
      <c r="AW26" s="76">
        <f>利润表!AW14</f>
        <v>28092424.260000002</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7" t="s">
        <v>443</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5" t="s">
        <v>444</v>
      </c>
      <c r="E28" s="110">
        <f>E26/E27</f>
        <v>6.5165946085283574E-2</v>
      </c>
      <c r="F28" s="110">
        <f t="shared" ref="F28:BQ28" si="12">F26/F27</f>
        <v>0.34287198681045367</v>
      </c>
      <c r="G28" s="110">
        <f t="shared" si="12"/>
        <v>0.2867257752160049</v>
      </c>
      <c r="H28" s="110">
        <f t="shared" si="12"/>
        <v>0.19397583615078434</v>
      </c>
      <c r="I28" s="110">
        <f t="shared" si="12"/>
        <v>8.3809006754084786E-2</v>
      </c>
      <c r="J28" s="110">
        <f t="shared" si="12"/>
        <v>0.35509223059274003</v>
      </c>
      <c r="K28" s="110">
        <f t="shared" si="12"/>
        <v>0.27316062808195946</v>
      </c>
      <c r="L28" s="110">
        <f t="shared" si="12"/>
        <v>0.15636382558940837</v>
      </c>
      <c r="M28" s="110">
        <f t="shared" si="12"/>
        <v>5.7131565403220626E-2</v>
      </c>
      <c r="N28" s="110">
        <f t="shared" si="12"/>
        <v>0.2463242865089009</v>
      </c>
      <c r="O28" s="110">
        <f t="shared" si="12"/>
        <v>0.24491164745659905</v>
      </c>
      <c r="P28" s="110">
        <f t="shared" si="12"/>
        <v>0.18451331949176591</v>
      </c>
      <c r="Q28" s="110">
        <f t="shared" si="12"/>
        <v>8.0426698057984594E-2</v>
      </c>
      <c r="R28" s="110">
        <f t="shared" si="12"/>
        <v>0.36377952128349833</v>
      </c>
      <c r="S28" s="110">
        <f t="shared" si="12"/>
        <v>0.32088423244436803</v>
      </c>
      <c r="T28" s="110">
        <f t="shared" si="12"/>
        <v>0.21534809346247241</v>
      </c>
      <c r="U28" s="110">
        <f t="shared" si="12"/>
        <v>0.74777915345987866</v>
      </c>
      <c r="V28" s="110">
        <f t="shared" si="12"/>
        <v>3.2323172710803156</v>
      </c>
      <c r="W28" s="110">
        <f t="shared" si="12"/>
        <v>2.6384326208708666</v>
      </c>
      <c r="X28" s="110">
        <f t="shared" si="12"/>
        <v>1.7513110364744315</v>
      </c>
      <c r="Y28" s="110">
        <f t="shared" si="12"/>
        <v>0.75142767253470799</v>
      </c>
      <c r="Z28" s="110">
        <f t="shared" si="12"/>
        <v>2.4077609971309468</v>
      </c>
      <c r="AA28" s="110">
        <f t="shared" si="12"/>
        <v>1.9610420309423007</v>
      </c>
      <c r="AB28" s="110">
        <f t="shared" si="12"/>
        <v>1.3581279878879915</v>
      </c>
      <c r="AC28" s="110">
        <f t="shared" si="12"/>
        <v>0.6035503113133156</v>
      </c>
      <c r="AD28" s="110">
        <f t="shared" si="12"/>
        <v>2.7094126615137526</v>
      </c>
      <c r="AE28" s="110">
        <f t="shared" si="12"/>
        <v>9.8470460790911236</v>
      </c>
      <c r="AF28" s="110">
        <f t="shared" si="12"/>
        <v>6.2174609796971456</v>
      </c>
      <c r="AG28" s="110">
        <f t="shared" si="12"/>
        <v>2.9255066113554409</v>
      </c>
      <c r="AH28" s="110">
        <f t="shared" si="12"/>
        <v>5.4063606560022555</v>
      </c>
      <c r="AI28" s="110">
        <f t="shared" si="12"/>
        <v>10.598074706148534</v>
      </c>
      <c r="AJ28" s="110">
        <f t="shared" si="12"/>
        <v>5.9397375861595565</v>
      </c>
      <c r="AK28" s="110">
        <f t="shared" si="12"/>
        <v>2.6870189288909936</v>
      </c>
      <c r="AL28" s="110">
        <f t="shared" si="12"/>
        <v>9.8589397838471626</v>
      </c>
      <c r="AM28" s="110">
        <f t="shared" si="12"/>
        <v>7.864824559183579</v>
      </c>
      <c r="AN28" s="110">
        <f t="shared" si="12"/>
        <v>4.6081849215414419</v>
      </c>
      <c r="AO28" s="110">
        <f t="shared" si="12"/>
        <v>1.7478772400715374</v>
      </c>
      <c r="AP28" s="110">
        <f t="shared" si="12"/>
        <v>9.4599435721616398</v>
      </c>
      <c r="AQ28" s="110">
        <f t="shared" si="12"/>
        <v>7.8988882918882224</v>
      </c>
      <c r="AR28" s="110">
        <f t="shared" si="12"/>
        <v>5.3913315981544159</v>
      </c>
      <c r="AS28" s="110">
        <f t="shared" si="12"/>
        <v>1.8126258171967999</v>
      </c>
      <c r="AT28" s="110">
        <f t="shared" si="12"/>
        <v>10.544319895813572</v>
      </c>
      <c r="AU28" s="110">
        <f t="shared" si="12"/>
        <v>9.0289386329726167</v>
      </c>
      <c r="AV28" s="110">
        <f t="shared" si="12"/>
        <v>5.5303929508188636</v>
      </c>
      <c r="AW28" s="110">
        <f t="shared" si="12"/>
        <v>1.0644639814109291</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c r="A30" s="17"/>
    </row>
    <row r="31" spans="1:89" s="116" customFormat="1">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c r="A32" s="147" t="s">
        <v>449</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8" t="s">
        <v>450</v>
      </c>
    </row>
    <row r="34" spans="1:89" s="76" customFormat="1">
      <c r="A34" s="147" t="s">
        <v>451</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7" t="s">
        <v>452</v>
      </c>
      <c r="E35" s="76">
        <f>利润表!E12</f>
        <v>-340582.65</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7" t="s">
        <v>453</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7" t="s">
        <v>455</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8" t="s">
        <v>460</v>
      </c>
      <c r="E43" s="76">
        <f>SUM(E34:E42)</f>
        <v>41205799254.559998</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26118692258.639999</v>
      </c>
      <c r="V43" s="76">
        <f t="shared" si="14"/>
        <v>25031477832.98</v>
      </c>
      <c r="W43" s="76">
        <f t="shared" si="14"/>
        <v>26224171936.170002</v>
      </c>
      <c r="X43" s="76">
        <f t="shared" si="14"/>
        <v>29252727147.73</v>
      </c>
      <c r="Y43" s="76">
        <f t="shared" si="14"/>
        <v>28263683057.779999</v>
      </c>
      <c r="Z43" s="76">
        <f t="shared" si="14"/>
        <v>26197496517.57</v>
      </c>
      <c r="AA43" s="76">
        <f t="shared" si="14"/>
        <v>23568469515.470001</v>
      </c>
      <c r="AB43" s="76">
        <f t="shared" si="14"/>
        <v>23177634986.5</v>
      </c>
      <c r="AC43" s="76">
        <f t="shared" si="14"/>
        <v>21846801851.079998</v>
      </c>
      <c r="AD43" s="76">
        <f t="shared" si="14"/>
        <v>19167058128.109997</v>
      </c>
      <c r="AE43" s="76">
        <f t="shared" si="14"/>
        <v>18359395028.27</v>
      </c>
      <c r="AF43" s="76">
        <f t="shared" si="14"/>
        <v>16230532641.92</v>
      </c>
      <c r="AG43" s="76">
        <f t="shared" si="14"/>
        <v>14198173538.559999</v>
      </c>
      <c r="AH43" s="76">
        <f t="shared" si="14"/>
        <v>11490639936.620001</v>
      </c>
      <c r="AI43" s="76">
        <f t="shared" si="14"/>
        <v>9991388559.4799995</v>
      </c>
      <c r="AJ43" s="76">
        <f t="shared" si="14"/>
        <v>9555718143.6599998</v>
      </c>
      <c r="AK43" s="76">
        <f t="shared" si="14"/>
        <v>7572926471.6700001</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4103986518.02</v>
      </c>
      <c r="AT43" s="76">
        <f t="shared" si="14"/>
        <v>4710785179.1400003</v>
      </c>
      <c r="AU43" s="76">
        <f t="shared" si="14"/>
        <v>4310377504.71</v>
      </c>
      <c r="AV43" s="76">
        <f t="shared" si="14"/>
        <v>3814441192.9099998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c r="A44" s="145" t="s">
        <v>461</v>
      </c>
      <c r="E44" s="110">
        <f>E32/E43</f>
        <v>1.6472635528726926E-2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2.3175122582020275E-2</v>
      </c>
      <c r="V44" s="110">
        <f t="shared" si="16"/>
        <v>-1.0040159889992021E-4</v>
      </c>
      <c r="W44" s="110">
        <f t="shared" si="16"/>
        <v>-9.5892025628890919E-5</v>
      </c>
      <c r="X44" s="110">
        <f t="shared" si="16"/>
        <v>-3.0282325093688053E-5</v>
      </c>
      <c r="Y44" s="110">
        <f t="shared" si="16"/>
        <v>2.0816427958848457E-2</v>
      </c>
      <c r="Z44" s="110">
        <f t="shared" si="16"/>
        <v>-1.1151072773741737E-4</v>
      </c>
      <c r="AA44" s="110">
        <f t="shared" si="16"/>
        <v>-9.345420828023879E-5</v>
      </c>
      <c r="AB44" s="110">
        <f t="shared" si="16"/>
        <v>-1.7461717973897516E-5</v>
      </c>
      <c r="AC44" s="110">
        <f t="shared" si="16"/>
        <v>1.6070398327608273E-2</v>
      </c>
      <c r="AD44" s="110">
        <f t="shared" si="16"/>
        <v>-1.0446369177215964E-4</v>
      </c>
      <c r="AE44" s="110">
        <f t="shared" si="16"/>
        <v>1.3071327385536581E-6</v>
      </c>
      <c r="AF44" s="110">
        <f t="shared" si="16"/>
        <v>8.2519831041861873E-5</v>
      </c>
      <c r="AG44" s="110">
        <f t="shared" si="16"/>
        <v>9.7128389251689342E-3</v>
      </c>
      <c r="AH44" s="110">
        <f t="shared" si="16"/>
        <v>-6.8397143040560776E-4</v>
      </c>
      <c r="AI44" s="110">
        <f t="shared" si="16"/>
        <v>-4.9485777512975413E-4</v>
      </c>
      <c r="AJ44" s="110">
        <f t="shared" si="16"/>
        <v>-1.3307902324103906E-4</v>
      </c>
      <c r="AK44" s="110">
        <f t="shared" si="16"/>
        <v>1.6032608474211441E-3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4.9630427467999992E-4</v>
      </c>
      <c r="AT44" s="110">
        <f t="shared" si="16"/>
        <v>7.9375292618224347E-5</v>
      </c>
      <c r="AU44" s="110">
        <f t="shared" si="16"/>
        <v>1.3229128590486192E-5</v>
      </c>
      <c r="AV44" s="110">
        <f t="shared" si="16"/>
        <v>1.6747426994147754E-4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c r="A46" s="57" t="s">
        <v>697</v>
      </c>
      <c r="E46" s="57">
        <f>E43/资产资本表!E70</f>
        <v>0.75365903036387982</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0.70425660127813483</v>
      </c>
      <c r="V46" s="57">
        <f>V43/资产资本表!V70</f>
        <v>0.69543127300964802</v>
      </c>
      <c r="W46" s="57">
        <f>W43/资产资本表!W70</f>
        <v>0.75901454360605281</v>
      </c>
      <c r="X46" s="57">
        <f>X43/资产资本表!X70</f>
        <v>0.82041114120881742</v>
      </c>
      <c r="Y46" s="57">
        <f>Y43/资产资本表!Y70</f>
        <v>0.88596920404518997</v>
      </c>
      <c r="Z46" s="57">
        <f>Z43/资产资本表!Z70</f>
        <v>0.88267741446894632</v>
      </c>
      <c r="AA46" s="57">
        <f>AA43/资产资本表!AA70</f>
        <v>0.87942637015006875</v>
      </c>
      <c r="AB46" s="57">
        <f>AB43/资产资本表!AB70</f>
        <v>0.87047411535594443</v>
      </c>
      <c r="AC46" s="57">
        <f>AC43/资产资本表!AC70</f>
        <v>0.92297931753560392</v>
      </c>
      <c r="AD46" s="57">
        <f>AD43/资产资本表!AD70</f>
        <v>0.85831303921732349</v>
      </c>
      <c r="AE46" s="57">
        <f>AE43/资产资本表!AE70</f>
        <v>0.86655899582421847</v>
      </c>
      <c r="AF46" s="57">
        <f>AF43/资产资本表!AF70</f>
        <v>0.78296131715184125</v>
      </c>
      <c r="AG46" s="57">
        <f>AG43/资产资本表!AG70</f>
        <v>0.75795190849466587</v>
      </c>
      <c r="AH46" s="57">
        <f>AH43/资产资本表!AH70</f>
        <v>0.652764371644316</v>
      </c>
      <c r="AI46" s="57">
        <f>AI43/资产资本表!AI70</f>
        <v>0.60836257873804034</v>
      </c>
      <c r="AJ46" s="57">
        <f>AJ43/资产资本表!AJ70</f>
        <v>0.58974737360173612</v>
      </c>
      <c r="AK46" s="57">
        <f>AK43/资产资本表!AK70</f>
        <v>0.51161203761822205</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0.42622272524081878</v>
      </c>
      <c r="AT46" s="57">
        <f>AT43/资产资本表!AT70</f>
        <v>0.49131642348497001</v>
      </c>
      <c r="AU46" s="57">
        <f>AU43/资产资本表!AU70</f>
        <v>0.45823319644186888</v>
      </c>
      <c r="AV46" s="57">
        <f>AV43/资产资本表!AV70</f>
        <v>0.42129205396600916</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c r="A49" s="147" t="s">
        <v>463</v>
      </c>
      <c r="E49" s="76">
        <f>利润表!E4</f>
        <v>3981658165.3600001</v>
      </c>
      <c r="F49" s="76">
        <f>利润表!F4</f>
        <v>19471146411.049999</v>
      </c>
      <c r="G49" s="76">
        <f>利润表!G4</f>
        <v>14693527606.42</v>
      </c>
      <c r="H49" s="76">
        <f>利润表!H4</f>
        <v>9613219456.0699997</v>
      </c>
      <c r="I49" s="76">
        <f>利润表!I4</f>
        <v>3794547830.4299998</v>
      </c>
      <c r="J49" s="76">
        <f>利润表!J4</f>
        <v>18938551893.709999</v>
      </c>
      <c r="K49" s="76">
        <f>利润表!K4</f>
        <v>14218450906.1</v>
      </c>
      <c r="L49" s="76">
        <f>利润表!L4</f>
        <v>9271315229.1499996</v>
      </c>
      <c r="M49" s="76">
        <f>利润表!M4</f>
        <v>3775359862.3600001</v>
      </c>
      <c r="N49" s="76">
        <f>利润表!N4</f>
        <v>19295534666.82</v>
      </c>
      <c r="O49" s="76">
        <f>利润表!O4</f>
        <v>14753293830.16</v>
      </c>
      <c r="P49" s="76">
        <f>利润表!P4</f>
        <v>9829497798.7700005</v>
      </c>
      <c r="Q49" s="76">
        <f>利润表!Q4</f>
        <v>4151295665.3000002</v>
      </c>
      <c r="R49" s="76">
        <f>利润表!R4</f>
        <v>20778933220.52</v>
      </c>
      <c r="S49" s="76">
        <f>利润表!S4</f>
        <v>15575183289.370001</v>
      </c>
      <c r="T49" s="76">
        <f>利润表!T4</f>
        <v>10136316637.43</v>
      </c>
      <c r="U49" s="76">
        <f>利润表!U4</f>
        <v>4133240256.1999998</v>
      </c>
      <c r="V49" s="76">
        <f>利润表!V4</f>
        <v>19907077075.110001</v>
      </c>
      <c r="W49" s="76">
        <f>利润表!W4</f>
        <v>14618769623.620001</v>
      </c>
      <c r="X49" s="76">
        <f>利润表!X4</f>
        <v>9381540032.2600002</v>
      </c>
      <c r="Y49" s="76">
        <f>利润表!Y4</f>
        <v>3883863244.5599999</v>
      </c>
      <c r="Z49" s="76">
        <f>利润表!Z4</f>
        <v>17743250879.580002</v>
      </c>
      <c r="AA49" s="76">
        <f>利润表!AA4</f>
        <v>13454135360.23</v>
      </c>
      <c r="AB49" s="76">
        <f>利润表!AB4</f>
        <v>7196076462.4799995</v>
      </c>
      <c r="AC49" s="76">
        <f>利润表!AC4</f>
        <v>3198850932.6599998</v>
      </c>
      <c r="AD49" s="76">
        <f>利润表!AD4</f>
        <v>14502379031.75</v>
      </c>
      <c r="AE49" s="76">
        <f>利润表!AE4</f>
        <v>11431577726.110001</v>
      </c>
      <c r="AF49" s="76">
        <f>利润表!AF4</f>
        <v>7366026241.6199999</v>
      </c>
      <c r="AG49" s="76">
        <f>利润表!AG4</f>
        <v>3228286800.9099998</v>
      </c>
      <c r="AH49" s="76">
        <f>利润表!AH4</f>
        <v>13259978831.02</v>
      </c>
      <c r="AI49" s="76">
        <f>利润表!AI4</f>
        <v>9744452405.0200005</v>
      </c>
      <c r="AJ49" s="76">
        <f>利润表!AJ4</f>
        <v>6310896504.9499998</v>
      </c>
      <c r="AK49" s="76">
        <f>利润表!AK4</f>
        <v>2739090225.46</v>
      </c>
      <c r="AL49" s="76">
        <f>利润表!AL4</f>
        <v>10986235317.82</v>
      </c>
      <c r="AM49" s="76">
        <f>利润表!AM4</f>
        <v>8066224111.6300001</v>
      </c>
      <c r="AN49" s="76">
        <f>利润表!AN4</f>
        <v>5180700037.8599997</v>
      </c>
      <c r="AO49" s="76">
        <f>利润表!AO4</f>
        <v>2344474929.9000001</v>
      </c>
      <c r="AP49" s="76">
        <f>利润表!AP4</f>
        <v>10447383090.459999</v>
      </c>
      <c r="AQ49" s="76">
        <f>利润表!AQ4</f>
        <v>7918918582.4499998</v>
      </c>
      <c r="AR49" s="76">
        <f>利润表!AR4</f>
        <v>5191719881.5</v>
      </c>
      <c r="AS49" s="76">
        <f>利润表!AS4</f>
        <v>2316491412.3400002</v>
      </c>
      <c r="AT49" s="76">
        <f>利润表!AT4</f>
        <v>9186192504.1200008</v>
      </c>
      <c r="AU49" s="76">
        <f>利润表!AU4</f>
        <v>6667310641.75</v>
      </c>
      <c r="AV49" s="76">
        <f>利润表!AV4</f>
        <v>4210749706.7199998</v>
      </c>
      <c r="AW49" s="76">
        <f>利润表!AW4</f>
        <v>1893486265.3399999</v>
      </c>
      <c r="AX49" s="76">
        <f>利润表!AX4</f>
        <v>7286223314.4200001</v>
      </c>
      <c r="AY49" s="76">
        <f>利润表!AY4</f>
        <v>5245909976.1700001</v>
      </c>
      <c r="AZ49" s="76">
        <f>利润表!AZ4</f>
        <v>3422503680.1999998</v>
      </c>
      <c r="BA49" s="76">
        <f>利润表!BA4</f>
        <v>1557384662.4200001</v>
      </c>
      <c r="BB49" s="76">
        <f>利润表!BB4</f>
        <v>6831533255.1899996</v>
      </c>
      <c r="BC49" s="76">
        <f>利润表!BC4</f>
        <v>5059322816.5</v>
      </c>
      <c r="BD49" s="76">
        <f>利润表!BD4</f>
        <v>3356863760.23</v>
      </c>
      <c r="BE49" s="76">
        <f>利润表!BE4</f>
        <v>1530956087.8499999</v>
      </c>
      <c r="BF49" s="76">
        <f>利润表!BF4</f>
        <v>6555276828.1199999</v>
      </c>
      <c r="BG49" s="76">
        <f>利润表!BG4</f>
        <v>4802388106.7799997</v>
      </c>
      <c r="BH49" s="76">
        <f>利润表!BH4</f>
        <v>3300403591.21</v>
      </c>
      <c r="BI49" s="76">
        <f>利润表!BI4</f>
        <v>1599628295.23</v>
      </c>
      <c r="BJ49" s="76">
        <f>利润表!BJ4</f>
        <v>5559734783.4700003</v>
      </c>
      <c r="BK49" s="76">
        <f>利润表!BK4</f>
        <v>4073338384.8699999</v>
      </c>
      <c r="BL49" s="76">
        <f>利润表!BL4</f>
        <v>2665555632.9699998</v>
      </c>
      <c r="BM49" s="76">
        <f>利润表!BM4</f>
        <v>1253183034.1500001</v>
      </c>
      <c r="BN49" s="76">
        <f>利润表!BN4</f>
        <v>4468336934.6800003</v>
      </c>
      <c r="BO49" s="76">
        <f>利润表!BO4</f>
        <v>3419871820.3000002</v>
      </c>
      <c r="BP49" s="76">
        <f>利润表!BP4</f>
        <v>2289548356.9299998</v>
      </c>
      <c r="BQ49" s="76">
        <f>利润表!BQ4</f>
        <v>1062734559.6900001</v>
      </c>
      <c r="BR49" s="76">
        <f>利润表!BR4</f>
        <v>3844769510</v>
      </c>
      <c r="BS49" s="76">
        <f>利润表!BS4</f>
        <v>1888676871</v>
      </c>
      <c r="BT49" s="76">
        <f>利润表!BT4</f>
        <v>3624435206.8899999</v>
      </c>
      <c r="BU49" s="76">
        <f>利润表!BU4</f>
        <v>1759872948.4200001</v>
      </c>
      <c r="BV49" s="76">
        <f>利润表!BV4</f>
        <v>3503166528.1399999</v>
      </c>
      <c r="BW49" s="76">
        <f>利润表!BW4</f>
        <v>1640969270.5599999</v>
      </c>
      <c r="BX49" s="76">
        <f>利润表!BX4</f>
        <v>444323044.92000002</v>
      </c>
      <c r="BY49" s="76">
        <f>利润表!BY4</f>
        <v>202091770.88</v>
      </c>
      <c r="BZ49" s="76">
        <f>利润表!BZ4</f>
        <v>918888298.00999999</v>
      </c>
      <c r="CA49" s="76">
        <f>利润表!CA4</f>
        <v>393462052.19999999</v>
      </c>
      <c r="CB49" s="76">
        <f>利润表!CB4</f>
        <v>1350796162.8199999</v>
      </c>
      <c r="CC49" s="76">
        <f>利润表!CC4</f>
        <v>953095812.62</v>
      </c>
      <c r="CD49" s="76">
        <f>利润表!CD4</f>
        <v>1924570651.9100001</v>
      </c>
      <c r="CE49" s="76">
        <f>利润表!CE4</f>
        <v>1099680000</v>
      </c>
      <c r="CF49" s="76">
        <f>利润表!CF4</f>
        <v>1434156000</v>
      </c>
      <c r="CG49" s="76">
        <f>利润表!CG4</f>
        <v>767120945.70000005</v>
      </c>
      <c r="CH49" s="76">
        <f>利润表!CH4</f>
        <v>585220000</v>
      </c>
      <c r="CI49" s="76">
        <f>利润表!CI4</f>
        <v>773370000</v>
      </c>
      <c r="CJ49" s="76">
        <f>利润表!CJ4</f>
        <v>630840000</v>
      </c>
      <c r="CK49" s="76">
        <f>利润表!CK4</f>
        <v>542050000</v>
      </c>
    </row>
    <row r="50" spans="1:89" s="76" customFormat="1">
      <c r="A50" s="147" t="s">
        <v>464</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3" t="s">
        <v>465</v>
      </c>
      <c r="E51" s="44">
        <f>E49/E50</f>
        <v>0.68337515800127768</v>
      </c>
      <c r="F51" s="44">
        <f t="shared" ref="F51:BQ51" si="18">F49/F50</f>
        <v>2.9680296357925533</v>
      </c>
      <c r="G51" s="44">
        <f t="shared" si="18"/>
        <v>2.0736571582368599</v>
      </c>
      <c r="H51" s="44">
        <f t="shared" si="18"/>
        <v>1.3446506401162637</v>
      </c>
      <c r="I51" s="44">
        <f t="shared" si="18"/>
        <v>0.72056735402796701</v>
      </c>
      <c r="J51" s="44">
        <f t="shared" si="18"/>
        <v>4.1315678946220045</v>
      </c>
      <c r="K51" s="44">
        <f t="shared" si="18"/>
        <v>1.5096567090433801</v>
      </c>
      <c r="L51" s="44">
        <f t="shared" si="18"/>
        <v>0.77040240145254102</v>
      </c>
      <c r="M51" s="44">
        <f t="shared" si="18"/>
        <v>0.39231708849484315</v>
      </c>
      <c r="N51" s="44">
        <f t="shared" si="18"/>
        <v>2.1063946833772085</v>
      </c>
      <c r="O51" s="44">
        <f t="shared" si="18"/>
        <v>1.4398565546155671</v>
      </c>
      <c r="P51" s="44">
        <f t="shared" si="18"/>
        <v>0.95410321914400409</v>
      </c>
      <c r="Q51" s="44">
        <f t="shared" si="18"/>
        <v>0.42244698203535969</v>
      </c>
      <c r="R51" s="44">
        <f t="shared" si="18"/>
        <v>2.051788749347685</v>
      </c>
      <c r="S51" s="44">
        <f t="shared" si="18"/>
        <v>1.5256235971345113</v>
      </c>
      <c r="T51" s="44">
        <f t="shared" si="18"/>
        <v>1.1256453580177026</v>
      </c>
      <c r="U51" s="44">
        <f t="shared" si="18"/>
        <v>1.0931828618022918</v>
      </c>
      <c r="V51" s="44">
        <f t="shared" si="18"/>
        <v>5.3018940298448607</v>
      </c>
      <c r="W51" s="44">
        <f t="shared" si="18"/>
        <v>14.346549659491988</v>
      </c>
      <c r="X51" s="44">
        <f t="shared" si="18"/>
        <v>-10.152496591109596</v>
      </c>
      <c r="Y51" s="44">
        <f t="shared" si="18"/>
        <v>-1.0483266750432063</v>
      </c>
      <c r="Z51" s="44">
        <f t="shared" si="18"/>
        <v>-4.8867047539166286</v>
      </c>
      <c r="AA51" s="44">
        <f t="shared" si="18"/>
        <v>-3.3938018337488285</v>
      </c>
      <c r="AB51" s="44">
        <f t="shared" si="18"/>
        <v>-1.9207220213519103</v>
      </c>
      <c r="AC51" s="44">
        <f t="shared" si="18"/>
        <v>-0.59388018438654422</v>
      </c>
      <c r="AD51" s="44">
        <f t="shared" si="18"/>
        <v>-3.5647228599564489</v>
      </c>
      <c r="AE51" s="44">
        <f t="shared" si="18"/>
        <v>-2.6007479964606151</v>
      </c>
      <c r="AF51" s="44">
        <f t="shared" si="18"/>
        <v>-2.6855628782928322</v>
      </c>
      <c r="AG51" s="44">
        <f t="shared" si="18"/>
        <v>-1.1578079868074418</v>
      </c>
      <c r="AH51" s="44">
        <f t="shared" si="18"/>
        <v>-10.214007337442135</v>
      </c>
      <c r="AI51" s="44">
        <f t="shared" si="18"/>
        <v>-9.5746283367927898</v>
      </c>
      <c r="AJ51" s="44">
        <f t="shared" si="18"/>
        <v>-7.0713013807178688</v>
      </c>
      <c r="AK51" s="44">
        <f t="shared" si="18"/>
        <v>-7.6760298771579745</v>
      </c>
      <c r="AL51" s="44">
        <f t="shared" si="18"/>
        <v>-20.947724354333992</v>
      </c>
      <c r="AM51" s="44">
        <f t="shared" si="18"/>
        <v>25.92514750292635</v>
      </c>
      <c r="AN51" s="44">
        <f t="shared" si="18"/>
        <v>6.0469445616540538</v>
      </c>
      <c r="AO51" s="44">
        <f t="shared" si="18"/>
        <v>3.2800571332882447</v>
      </c>
      <c r="AP51" s="44">
        <f t="shared" si="18"/>
        <v>19.353160798392082</v>
      </c>
      <c r="AQ51" s="44">
        <f t="shared" si="18"/>
        <v>10.597875531379763</v>
      </c>
      <c r="AR51" s="44">
        <f t="shared" si="18"/>
        <v>12.512825109771816</v>
      </c>
      <c r="AS51" s="44">
        <f t="shared" si="18"/>
        <v>5.400941968106391</v>
      </c>
      <c r="AT51" s="44">
        <f t="shared" si="18"/>
        <v>-35.880222822130555</v>
      </c>
      <c r="AU51" s="44">
        <f t="shared" si="18"/>
        <v>-79.619016756574169</v>
      </c>
      <c r="AV51" s="44">
        <f t="shared" si="18"/>
        <v>-900.72845620169471</v>
      </c>
      <c r="AW51" s="44">
        <f t="shared" si="18"/>
        <v>5.7067704654266374</v>
      </c>
      <c r="AX51" s="44">
        <f t="shared" si="18"/>
        <v>36.003495776456518</v>
      </c>
      <c r="AY51" s="44">
        <f t="shared" si="18"/>
        <v>28.243114468213086</v>
      </c>
      <c r="AZ51" s="44">
        <f t="shared" si="18"/>
        <v>-45.875514020155528</v>
      </c>
      <c r="BA51" s="44">
        <f t="shared" si="18"/>
        <v>39.939960534216972</v>
      </c>
      <c r="BB51" s="44">
        <f t="shared" si="18"/>
        <v>20.524332010336966</v>
      </c>
      <c r="BC51" s="44">
        <f t="shared" si="18"/>
        <v>45.450757388416939</v>
      </c>
      <c r="BD51" s="44">
        <f t="shared" si="18"/>
        <v>34.878373544005093</v>
      </c>
      <c r="BE51" s="44">
        <f t="shared" si="18"/>
        <v>-39.070332622305074</v>
      </c>
      <c r="BF51" s="44">
        <f t="shared" si="18"/>
        <v>-17.516488959172879</v>
      </c>
      <c r="BG51" s="44">
        <f t="shared" si="18"/>
        <v>-10.652005695931937</v>
      </c>
      <c r="BH51" s="44">
        <f t="shared" si="18"/>
        <v>-3.341138643156139</v>
      </c>
      <c r="BI51" s="44">
        <f t="shared" si="18"/>
        <v>-3.2696450668138168</v>
      </c>
      <c r="BJ51" s="44">
        <f t="shared" si="18"/>
        <v>-11.296128043391022</v>
      </c>
      <c r="BK51" s="44">
        <f t="shared" si="18"/>
        <v>-13.080877066560909</v>
      </c>
      <c r="BL51" s="44">
        <f t="shared" si="18"/>
        <v>-9.0864783808364518</v>
      </c>
      <c r="BM51" s="44">
        <f t="shared" si="18"/>
        <v>-2.8131922323441096</v>
      </c>
      <c r="BN51" s="44">
        <f t="shared" si="18"/>
        <v>29.472744156745879</v>
      </c>
      <c r="BO51" s="44">
        <f t="shared" si="18"/>
        <v>-15.216568771047346</v>
      </c>
      <c r="BP51" s="44">
        <f t="shared" si="18"/>
        <v>-10.413284795841694</v>
      </c>
      <c r="BQ51" s="44">
        <f t="shared" si="18"/>
        <v>-3.3460263255286309</v>
      </c>
      <c r="BR51" s="44" t="e">
        <f t="shared" ref="BR51:CJ51" si="19">BR49/BR50</f>
        <v>#DIV/0!</v>
      </c>
      <c r="BS51" s="44">
        <f t="shared" si="19"/>
        <v>-3.9088522749036931</v>
      </c>
      <c r="BT51" s="44">
        <f t="shared" si="19"/>
        <v>17.525394860350499</v>
      </c>
      <c r="BU51" s="44">
        <f t="shared" si="19"/>
        <v>-11.775349624599091</v>
      </c>
      <c r="BV51" s="44">
        <f t="shared" si="19"/>
        <v>4.5720779784522128</v>
      </c>
      <c r="BW51" s="44">
        <f t="shared" si="19"/>
        <v>-101.83175610251365</v>
      </c>
      <c r="BX51" s="44">
        <f t="shared" si="19"/>
        <v>4.1107825836065883</v>
      </c>
      <c r="BY51" s="44">
        <f t="shared" si="19"/>
        <v>2.3222343387463065</v>
      </c>
      <c r="BZ51" s="44">
        <f t="shared" si="19"/>
        <v>5.2555515181162686</v>
      </c>
      <c r="CA51" s="44">
        <f t="shared" si="19"/>
        <v>49.80904083531864</v>
      </c>
      <c r="CB51" s="44">
        <f t="shared" si="19"/>
        <v>11.001256237327775</v>
      </c>
      <c r="CC51" s="44">
        <f t="shared" si="19"/>
        <v>3.5082360369740142</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7" t="s">
        <v>466</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3" t="s">
        <v>467</v>
      </c>
      <c r="E53" s="44">
        <f>E49/E52</f>
        <v>0.58736297137448124</v>
      </c>
      <c r="F53" s="44">
        <f t="shared" ref="F53:BQ53" si="20">F49/F52</f>
        <v>2.8993852720330979</v>
      </c>
      <c r="G53" s="44">
        <f t="shared" si="20"/>
        <v>2.1656889004092532</v>
      </c>
      <c r="H53" s="44">
        <f t="shared" si="20"/>
        <v>1.4013942012858867</v>
      </c>
      <c r="I53" s="44">
        <f t="shared" si="20"/>
        <v>0.55201264240379855</v>
      </c>
      <c r="J53" s="44">
        <f t="shared" si="20"/>
        <v>2.7287883988678803</v>
      </c>
      <c r="K53" s="44">
        <f t="shared" si="20"/>
        <v>2.0249339267895046</v>
      </c>
      <c r="L53" s="44">
        <f t="shared" si="20"/>
        <v>1.3252158416356639</v>
      </c>
      <c r="M53" s="44">
        <f t="shared" si="20"/>
        <v>0.53581496253347782</v>
      </c>
      <c r="N53" s="44">
        <f t="shared" si="20"/>
        <v>2.7928602803423419</v>
      </c>
      <c r="O53" s="44">
        <f t="shared" si="20"/>
        <v>2.1120143758445429</v>
      </c>
      <c r="P53" s="44">
        <f t="shared" si="20"/>
        <v>1.4075138599000676</v>
      </c>
      <c r="Q53" s="44">
        <f t="shared" si="20"/>
        <v>0.58969572988831243</v>
      </c>
      <c r="R53" s="44">
        <f t="shared" si="20"/>
        <v>2.9673994407914357</v>
      </c>
      <c r="S53" s="44">
        <f t="shared" si="20"/>
        <v>2.2834500261852506</v>
      </c>
      <c r="T53" s="44">
        <f t="shared" si="20"/>
        <v>1.4686106403509418</v>
      </c>
      <c r="U53" s="44">
        <f t="shared" si="20"/>
        <v>0.5848893430840385</v>
      </c>
      <c r="V53" s="44">
        <f t="shared" si="20"/>
        <v>2.8061147830687925</v>
      </c>
      <c r="W53" s="44">
        <f t="shared" si="20"/>
        <v>2.0323032459438553</v>
      </c>
      <c r="X53" s="44">
        <f t="shared" si="20"/>
        <v>1.3048843631120846</v>
      </c>
      <c r="Y53" s="44">
        <f t="shared" si="20"/>
        <v>0.53918431168219116</v>
      </c>
      <c r="Z53" s="44">
        <f t="shared" si="20"/>
        <v>2.5415864062638818</v>
      </c>
      <c r="AA53" s="44">
        <f t="shared" si="20"/>
        <v>1.9049193710701615</v>
      </c>
      <c r="AB53" s="44">
        <f t="shared" si="20"/>
        <v>1.0197379504314079</v>
      </c>
      <c r="AC53" s="44">
        <f t="shared" si="20"/>
        <v>0.45307670305190323</v>
      </c>
      <c r="AD53" s="44">
        <f t="shared" si="20"/>
        <v>2.046004075623066</v>
      </c>
      <c r="AE53" s="44">
        <f t="shared" si="20"/>
        <v>1.5935539007237469</v>
      </c>
      <c r="AF53" s="44">
        <f t="shared" si="20"/>
        <v>1.0249145866869878</v>
      </c>
      <c r="AG53" s="44">
        <f t="shared" si="20"/>
        <v>0.4441103848809631</v>
      </c>
      <c r="AH53" s="44">
        <f t="shared" si="20"/>
        <v>1.8109458472077777</v>
      </c>
      <c r="AI53" s="44">
        <f t="shared" si="20"/>
        <v>1.3162454435155939</v>
      </c>
      <c r="AJ53" s="44">
        <f t="shared" si="20"/>
        <v>0.84324730104510182</v>
      </c>
      <c r="AK53" s="44">
        <f t="shared" si="20"/>
        <v>0.36364523428697221</v>
      </c>
      <c r="AL53" s="44">
        <f t="shared" si="20"/>
        <v>1.4489803863977138</v>
      </c>
      <c r="AM53" s="44">
        <f t="shared" si="20"/>
        <v>1.0500407948257533</v>
      </c>
      <c r="AN53" s="44">
        <f t="shared" si="20"/>
        <v>1.0970141815763281</v>
      </c>
      <c r="AO53" s="44">
        <f t="shared" si="20"/>
        <v>0.49593343549248137</v>
      </c>
      <c r="AP53" s="44">
        <f t="shared" si="20"/>
        <v>2.168983924357291</v>
      </c>
      <c r="AQ53" s="44">
        <f t="shared" si="20"/>
        <v>1.6093605000176145</v>
      </c>
      <c r="AR53" s="44">
        <f t="shared" si="20"/>
        <v>1.0473091052609798</v>
      </c>
      <c r="AS53" s="44">
        <f t="shared" si="20"/>
        <v>0.45768089034082698</v>
      </c>
      <c r="AT53" s="44">
        <f t="shared" si="20"/>
        <v>1.8035444702982115</v>
      </c>
      <c r="AU53" s="44">
        <f t="shared" si="20"/>
        <v>1.297169703479236</v>
      </c>
      <c r="AV53" s="44">
        <f t="shared" si="20"/>
        <v>0.80967560513182335</v>
      </c>
      <c r="AW53" s="44">
        <f t="shared" si="20"/>
        <v>0.35882022999957247</v>
      </c>
      <c r="AX53" s="44">
        <f t="shared" si="20"/>
        <v>1.3527559744372264</v>
      </c>
      <c r="AY53" s="44">
        <f t="shared" si="20"/>
        <v>0.96246024919721518</v>
      </c>
      <c r="AZ53" s="44">
        <f t="shared" si="20"/>
        <v>0.63763899573409033</v>
      </c>
      <c r="BA53" s="44">
        <f t="shared" si="20"/>
        <v>0.28449521695611613</v>
      </c>
      <c r="BB53" s="44">
        <f t="shared" si="20"/>
        <v>1.2315080306548991</v>
      </c>
      <c r="BC53" s="44">
        <f t="shared" si="20"/>
        <v>0.89297285401692272</v>
      </c>
      <c r="BD53" s="44">
        <f t="shared" si="20"/>
        <v>0.58216457142127309</v>
      </c>
      <c r="BE53" s="44">
        <f t="shared" si="20"/>
        <v>0.26225930858784219</v>
      </c>
      <c r="BF53" s="44">
        <f t="shared" si="20"/>
        <v>1.2080475427695361</v>
      </c>
      <c r="BG53" s="44">
        <f t="shared" si="20"/>
        <v>0.8705931505011778</v>
      </c>
      <c r="BH53" s="44">
        <f t="shared" si="20"/>
        <v>0.59100579885663818</v>
      </c>
      <c r="BI53" s="44">
        <f t="shared" si="20"/>
        <v>0.28645970337524795</v>
      </c>
      <c r="BJ53" s="44">
        <f t="shared" si="20"/>
        <v>1.0750555633068379</v>
      </c>
      <c r="BK53" s="44">
        <f t="shared" si="20"/>
        <v>0.89723507201920183</v>
      </c>
      <c r="BL53" s="44">
        <f t="shared" si="20"/>
        <v>0.59565713490453565</v>
      </c>
      <c r="BM53" s="44">
        <f t="shared" si="20"/>
        <v>0.27742965731127017</v>
      </c>
      <c r="BN53" s="44">
        <f t="shared" si="20"/>
        <v>1.2352962834637771</v>
      </c>
      <c r="BO53" s="44">
        <f t="shared" si="20"/>
        <v>0.928975630065766</v>
      </c>
      <c r="BP53" s="44">
        <f t="shared" si="20"/>
        <v>0.65044332280420825</v>
      </c>
      <c r="BQ53" s="44">
        <f t="shared" si="20"/>
        <v>0.2989511431111021</v>
      </c>
      <c r="BR53" s="44" t="e">
        <f t="shared" ref="BR53:CK53" si="21">BR49/BR52</f>
        <v>#DIV/0!</v>
      </c>
      <c r="BS53" s="44">
        <f t="shared" si="21"/>
        <v>0.53424004040549622</v>
      </c>
      <c r="BT53" s="44">
        <f t="shared" si="21"/>
        <v>2.0349095823094796</v>
      </c>
      <c r="BU53" s="44">
        <f t="shared" si="21"/>
        <v>1.0601588225359728</v>
      </c>
      <c r="BV53" s="44">
        <f t="shared" si="21"/>
        <v>2.085347106748487</v>
      </c>
      <c r="BW53" s="44">
        <f t="shared" si="21"/>
        <v>1.2143316227066099</v>
      </c>
      <c r="BX53" s="44">
        <f t="shared" si="21"/>
        <v>0.51477419835783145</v>
      </c>
      <c r="BY53" s="44">
        <f t="shared" si="21"/>
        <v>0.22730225581159019</v>
      </c>
      <c r="BZ53" s="44">
        <f t="shared" si="21"/>
        <v>1.1886062690073778</v>
      </c>
      <c r="CA53" s="44">
        <f t="shared" si="21"/>
        <v>1.3614984928092539</v>
      </c>
      <c r="CB53" s="44">
        <f t="shared" si="21"/>
        <v>4.974916867732734</v>
      </c>
      <c r="CC53" s="44">
        <f t="shared" si="21"/>
        <v>4.6024296190346421</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7" t="s">
        <v>468</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3" t="s">
        <v>469</v>
      </c>
      <c r="E55" s="44">
        <f>E49/E54</f>
        <v>9.662778850651961E-2</v>
      </c>
      <c r="F55" s="44">
        <f t="shared" ref="F55:BQ55" si="22">F49/F54</f>
        <v>0.51565008644384536</v>
      </c>
      <c r="G55" s="44">
        <f t="shared" si="22"/>
        <v>0.41634435794853231</v>
      </c>
      <c r="H55" s="44">
        <f t="shared" si="22"/>
        <v>0.25882735584942407</v>
      </c>
      <c r="I55" s="44">
        <f t="shared" si="22"/>
        <v>0.10758223733328919</v>
      </c>
      <c r="J55" s="44">
        <f t="shared" si="22"/>
        <v>0.55351010338695961</v>
      </c>
      <c r="K55" s="44">
        <f t="shared" si="22"/>
        <v>0.45638698452787507</v>
      </c>
      <c r="L55" s="44">
        <f t="shared" si="22"/>
        <v>0.33766644652034533</v>
      </c>
      <c r="M55" s="44">
        <f t="shared" si="22"/>
        <v>0.14100895507362513</v>
      </c>
      <c r="N55" s="44">
        <f t="shared" si="22"/>
        <v>0.7489443391094891</v>
      </c>
      <c r="O55" s="44">
        <f t="shared" si="22"/>
        <v>0.63522528107233256</v>
      </c>
      <c r="P55" s="44">
        <f t="shared" si="22"/>
        <v>0.40162679777875476</v>
      </c>
      <c r="Q55" s="44">
        <f t="shared" si="22"/>
        <v>0.1836880406624036</v>
      </c>
      <c r="R55" s="44">
        <f t="shared" si="22"/>
        <v>0.98355607002324374</v>
      </c>
      <c r="S55" s="44">
        <f t="shared" si="22"/>
        <v>0.76396740884257985</v>
      </c>
      <c r="T55" s="44">
        <f t="shared" si="22"/>
        <v>0.43931432119114472</v>
      </c>
      <c r="U55" s="44">
        <f t="shared" si="22"/>
        <v>0.15824836156690555</v>
      </c>
      <c r="V55" s="44">
        <f t="shared" si="22"/>
        <v>0.79528173318163453</v>
      </c>
      <c r="W55" s="44">
        <f t="shared" si="22"/>
        <v>0.55745400309311155</v>
      </c>
      <c r="X55" s="44">
        <f t="shared" si="22"/>
        <v>0.32051125356057575</v>
      </c>
      <c r="Y55" s="44">
        <f t="shared" si="22"/>
        <v>0.1373230339176775</v>
      </c>
      <c r="Z55" s="44">
        <f t="shared" si="22"/>
        <v>0.67689314191352346</v>
      </c>
      <c r="AA55" s="44">
        <f t="shared" si="22"/>
        <v>0.57045896394719509</v>
      </c>
      <c r="AB55" s="44">
        <f t="shared" si="22"/>
        <v>0.31023813545988421</v>
      </c>
      <c r="AC55" s="44">
        <f t="shared" si="22"/>
        <v>0.14629961111003334</v>
      </c>
      <c r="AD55" s="44">
        <f t="shared" si="22"/>
        <v>0.75593054357702227</v>
      </c>
      <c r="AE55" s="44">
        <f t="shared" si="22"/>
        <v>0.62195833066804984</v>
      </c>
      <c r="AF55" s="44">
        <f t="shared" si="22"/>
        <v>0.45321003969602919</v>
      </c>
      <c r="AG55" s="44">
        <f t="shared" si="22"/>
        <v>0.22704147543835024</v>
      </c>
      <c r="AH55" s="44">
        <f t="shared" si="22"/>
        <v>1.1519064326669124</v>
      </c>
      <c r="AI55" s="44">
        <f t="shared" si="22"/>
        <v>0.97326443922097328</v>
      </c>
      <c r="AJ55" s="44">
        <f t="shared" si="22"/>
        <v>0.65865315046332884</v>
      </c>
      <c r="AK55" s="44">
        <f t="shared" si="22"/>
        <v>0.36056641812705775</v>
      </c>
      <c r="AL55" s="44">
        <f t="shared" si="22"/>
        <v>1.6706046519983095</v>
      </c>
      <c r="AM55" s="44">
        <f t="shared" si="22"/>
        <v>1.6569802825542745</v>
      </c>
      <c r="AN55" s="44">
        <f t="shared" si="22"/>
        <v>0.72778443665681714</v>
      </c>
      <c r="AO55" s="44">
        <f t="shared" si="22"/>
        <v>0.39163995414811503</v>
      </c>
      <c r="AP55" s="44">
        <f t="shared" si="22"/>
        <v>1.7862390105361357</v>
      </c>
      <c r="AQ55" s="44">
        <f t="shared" si="22"/>
        <v>1.5107633300206091</v>
      </c>
      <c r="AR55" s="44">
        <f t="shared" si="22"/>
        <v>0.99013576637411649</v>
      </c>
      <c r="AS55" s="44">
        <f t="shared" si="22"/>
        <v>0.56333911013332938</v>
      </c>
      <c r="AT55" s="44">
        <f t="shared" si="22"/>
        <v>1.9433643709320938</v>
      </c>
      <c r="AU55" s="44">
        <f t="shared" si="22"/>
        <v>1.5409988096769631</v>
      </c>
      <c r="AV55" s="44">
        <f t="shared" si="22"/>
        <v>1.0988690779535206</v>
      </c>
      <c r="AW55" s="44">
        <f t="shared" si="22"/>
        <v>0.67172333062350531</v>
      </c>
      <c r="AX55" s="44">
        <f t="shared" si="22"/>
        <v>2.7113184718410417</v>
      </c>
      <c r="AY55" s="44">
        <f t="shared" si="22"/>
        <v>2.1202117393218978</v>
      </c>
      <c r="AZ55" s="44">
        <f t="shared" si="22"/>
        <v>1.2364501846510796</v>
      </c>
      <c r="BA55" s="44">
        <f t="shared" si="22"/>
        <v>0.78476226394260773</v>
      </c>
      <c r="BB55" s="44">
        <f t="shared" si="22"/>
        <v>4.3226942832653901</v>
      </c>
      <c r="BC55" s="44">
        <f t="shared" si="22"/>
        <v>3.3848866551405488</v>
      </c>
      <c r="BD55" s="44">
        <f t="shared" si="22"/>
        <v>2.6958669987938442</v>
      </c>
      <c r="BE55" s="44">
        <f t="shared" si="22"/>
        <v>1.7213513075425684</v>
      </c>
      <c r="BF55" s="44">
        <f t="shared" si="22"/>
        <v>4.4499136643411568</v>
      </c>
      <c r="BG55" s="44">
        <f t="shared" si="22"/>
        <v>3.6468432364489538</v>
      </c>
      <c r="BH55" s="44">
        <f t="shared" si="22"/>
        <v>1.7365300272432598</v>
      </c>
      <c r="BI55" s="44">
        <f t="shared" si="22"/>
        <v>1.5892726823503698</v>
      </c>
      <c r="BJ55" s="44">
        <f t="shared" si="22"/>
        <v>4.3583433661605451</v>
      </c>
      <c r="BK55" s="44">
        <f t="shared" si="22"/>
        <v>2.6052167228349927</v>
      </c>
      <c r="BL55" s="44">
        <f t="shared" si="22"/>
        <v>1.711946204319748</v>
      </c>
      <c r="BM55" s="44">
        <f t="shared" si="22"/>
        <v>0.93405853619968371</v>
      </c>
      <c r="BN55" s="44">
        <f t="shared" si="22"/>
        <v>2.7533466505651623</v>
      </c>
      <c r="BO55" s="44">
        <f t="shared" si="22"/>
        <v>1.8751865819443445</v>
      </c>
      <c r="BP55" s="44">
        <f t="shared" si="22"/>
        <v>1.2790003340732443</v>
      </c>
      <c r="BQ55" s="44">
        <f t="shared" si="22"/>
        <v>0.68838917005109412</v>
      </c>
      <c r="BR55" s="44" t="e">
        <f t="shared" ref="BR55:CK55" si="23">BR49/BR54</f>
        <v>#DIV/0!</v>
      </c>
      <c r="BS55" s="44">
        <f t="shared" si="23"/>
        <v>1.2052593806018277</v>
      </c>
      <c r="BT55" s="44">
        <f t="shared" si="23"/>
        <v>1.5004235767979679</v>
      </c>
      <c r="BU55" s="44">
        <f t="shared" si="23"/>
        <v>1.0248742775449786</v>
      </c>
      <c r="BV55" s="44">
        <f t="shared" si="23"/>
        <v>5.8423354869266815</v>
      </c>
      <c r="BW55" s="44">
        <f t="shared" si="23"/>
        <v>1.7620372861645623</v>
      </c>
      <c r="BX55" s="44">
        <f t="shared" si="23"/>
        <v>0.35708347818120123</v>
      </c>
      <c r="BY55" s="44">
        <f t="shared" si="23"/>
        <v>0.19198297212350363</v>
      </c>
      <c r="BZ55" s="44">
        <f t="shared" si="23"/>
        <v>1.0115891054138271</v>
      </c>
      <c r="CA55" s="44">
        <f t="shared" si="23"/>
        <v>2.3059834182406616</v>
      </c>
      <c r="CB55" s="44">
        <f t="shared" si="23"/>
        <v>32.847144361840989</v>
      </c>
      <c r="CC55" s="44">
        <f t="shared" si="23"/>
        <v>24.561002729805228</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7" t="s">
        <v>443</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5" t="s">
        <v>470</v>
      </c>
      <c r="E57" s="117">
        <f>E49/E56</f>
        <v>4.6145212822639845</v>
      </c>
      <c r="F57" s="117">
        <f t="shared" ref="F57:BQ57" si="24">F49/F56</f>
        <v>23.831336804356823</v>
      </c>
      <c r="G57" s="117">
        <f t="shared" si="24"/>
        <v>17.983861753203616</v>
      </c>
      <c r="H57" s="117">
        <f t="shared" si="24"/>
        <v>12.097531005442274</v>
      </c>
      <c r="I57" s="117">
        <f t="shared" si="24"/>
        <v>4.7751598972678631</v>
      </c>
      <c r="J57" s="117">
        <f t="shared" si="24"/>
        <v>24.394554921241319</v>
      </c>
      <c r="K57" s="117">
        <f t="shared" si="24"/>
        <v>18.28872785807215</v>
      </c>
      <c r="L57" s="117">
        <f t="shared" si="24"/>
        <v>10.705789752688892</v>
      </c>
      <c r="M57" s="117">
        <f t="shared" si="24"/>
        <v>4.185499176449837</v>
      </c>
      <c r="N57" s="117">
        <f t="shared" si="24"/>
        <v>21.93149775494669</v>
      </c>
      <c r="O57" s="117">
        <f t="shared" si="24"/>
        <v>16.768741374687572</v>
      </c>
      <c r="P57" s="117">
        <f t="shared" si="24"/>
        <v>11.326069086681651</v>
      </c>
      <c r="Q57" s="117">
        <f t="shared" si="24"/>
        <v>4.7833432050123026</v>
      </c>
      <c r="R57" s="117">
        <f t="shared" si="24"/>
        <v>24.514643936724113</v>
      </c>
      <c r="S57" s="117">
        <f t="shared" si="24"/>
        <v>18.657090290368359</v>
      </c>
      <c r="T57" s="117">
        <f t="shared" si="24"/>
        <v>12.05875528176924</v>
      </c>
      <c r="U57" s="117">
        <f t="shared" si="24"/>
        <v>34.278743341002006</v>
      </c>
      <c r="V57" s="117">
        <f t="shared" si="24"/>
        <v>174.91025970151748</v>
      </c>
      <c r="W57" s="117">
        <f t="shared" si="24"/>
        <v>128.30269823793481</v>
      </c>
      <c r="X57" s="117">
        <f t="shared" si="24"/>
        <v>78.090013167916084</v>
      </c>
      <c r="Y57" s="117">
        <f t="shared" si="24"/>
        <v>32.271101051399022</v>
      </c>
      <c r="Z57" s="117">
        <f t="shared" si="24"/>
        <v>152.23225538003459</v>
      </c>
      <c r="AA57" s="117">
        <f t="shared" si="24"/>
        <v>115.4328135230971</v>
      </c>
      <c r="AB57" s="117">
        <f t="shared" si="24"/>
        <v>59.533018762180582</v>
      </c>
      <c r="AC57" s="117">
        <f t="shared" si="24"/>
        <v>24.441960372967863</v>
      </c>
      <c r="AD57" s="117">
        <f t="shared" si="24"/>
        <v>114.70259271708987</v>
      </c>
      <c r="AE57" s="117">
        <f t="shared" si="24"/>
        <v>402.03022388372688</v>
      </c>
      <c r="AF57" s="117">
        <f t="shared" si="24"/>
        <v>226.47908209308176</v>
      </c>
      <c r="AG57" s="117">
        <f t="shared" si="24"/>
        <v>99.258325645403843</v>
      </c>
      <c r="AH57" s="117">
        <f t="shared" si="24"/>
        <v>195.58359534688739</v>
      </c>
      <c r="AI57" s="117">
        <f t="shared" si="24"/>
        <v>377.73603987107822</v>
      </c>
      <c r="AJ57" s="117">
        <f t="shared" si="24"/>
        <v>210.50949110580729</v>
      </c>
      <c r="AK57" s="117">
        <f t="shared" si="24"/>
        <v>91.366799053042172</v>
      </c>
      <c r="AL57" s="117">
        <f t="shared" si="24"/>
        <v>438.43754340786904</v>
      </c>
      <c r="AM57" s="117">
        <f t="shared" si="24"/>
        <v>321.90603803506849</v>
      </c>
      <c r="AN57" s="117">
        <f t="shared" si="24"/>
        <v>188.5929974573458</v>
      </c>
      <c r="AO57" s="117">
        <f t="shared" si="24"/>
        <v>85.3459090976597</v>
      </c>
      <c r="AP57" s="117">
        <f t="shared" si="24"/>
        <v>418.53859349619609</v>
      </c>
      <c r="AQ57" s="117">
        <f t="shared" si="24"/>
        <v>317.24432968635227</v>
      </c>
      <c r="AR57" s="117">
        <f t="shared" si="24"/>
        <v>196.72203311056526</v>
      </c>
      <c r="AS57" s="117">
        <f t="shared" si="24"/>
        <v>87.775325079177165</v>
      </c>
      <c r="AT57" s="117">
        <f t="shared" si="24"/>
        <v>386.81689487342328</v>
      </c>
      <c r="AU57" s="117">
        <f t="shared" si="24"/>
        <v>280.75052840897615</v>
      </c>
      <c r="AV57" s="117">
        <f t="shared" si="24"/>
        <v>159.55160565911493</v>
      </c>
      <c r="AW57" s="117">
        <f t="shared" si="24"/>
        <v>71.747027244658568</v>
      </c>
      <c r="AX57" s="117">
        <f t="shared" si="24"/>
        <v>273.04642834353371</v>
      </c>
      <c r="AY57" s="117">
        <f t="shared" si="24"/>
        <v>196.12414613867963</v>
      </c>
      <c r="AZ57" s="117">
        <f t="shared" si="24"/>
        <v>126.20067879601343</v>
      </c>
      <c r="BA57" s="117">
        <f t="shared" si="24"/>
        <v>57.42667354339234</v>
      </c>
      <c r="BB57" s="117">
        <f t="shared" si="24"/>
        <v>223.42357407919781</v>
      </c>
      <c r="BC57" s="117">
        <f t="shared" si="24"/>
        <v>165.46387814537914</v>
      </c>
      <c r="BD57" s="117">
        <f t="shared" si="24"/>
        <v>250.01592065228726</v>
      </c>
      <c r="BE57" s="117">
        <f t="shared" si="24"/>
        <v>446.78576076869194</v>
      </c>
      <c r="BF57" s="117">
        <f t="shared" si="24"/>
        <v>821.81340773261786</v>
      </c>
      <c r="BG57" s="117">
        <f t="shared" si="24"/>
        <v>1401.5023950213038</v>
      </c>
      <c r="BH57" s="117">
        <f t="shared" si="24"/>
        <v>963.1715377371155</v>
      </c>
      <c r="BI57" s="117">
        <f t="shared" si="24"/>
        <v>466.82667811533298</v>
      </c>
      <c r="BJ57" s="117">
        <f t="shared" si="24"/>
        <v>1520.4656739785594</v>
      </c>
      <c r="BK57" s="117">
        <f t="shared" si="24"/>
        <v>1113.9688193595143</v>
      </c>
      <c r="BL57" s="117">
        <f t="shared" si="24"/>
        <v>728.97107503418465</v>
      </c>
      <c r="BM57" s="117">
        <f t="shared" si="24"/>
        <v>342.71810811956465</v>
      </c>
      <c r="BN57" s="117">
        <f t="shared" si="24"/>
        <v>1221.9922700541488</v>
      </c>
      <c r="BO57" s="117">
        <f t="shared" si="24"/>
        <v>935.2600285237653</v>
      </c>
      <c r="BP57" s="117">
        <f t="shared" si="24"/>
        <v>626.14132170048674</v>
      </c>
      <c r="BQ57" s="117">
        <f t="shared" si="24"/>
        <v>290.63462224197343</v>
      </c>
      <c r="BR57" s="117" t="e">
        <f t="shared" ref="BR57:CK57" si="25">BR49/BR56</f>
        <v>#DIV/0!</v>
      </c>
      <c r="BS57" s="117">
        <f t="shared" si="25"/>
        <v>333.88906251104902</v>
      </c>
      <c r="BT57" s="117">
        <f t="shared" si="25"/>
        <v>624.19233404918543</v>
      </c>
      <c r="BU57" s="117">
        <f t="shared" si="25"/>
        <v>303.08148458994935</v>
      </c>
      <c r="BV57" s="117">
        <f t="shared" si="25"/>
        <v>647.94261238856211</v>
      </c>
      <c r="BW57" s="117">
        <f t="shared" si="25"/>
        <v>467.96591300975302</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5" customHeight="1">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7" t="s">
        <v>463</v>
      </c>
      <c r="E63" s="76">
        <f>E49</f>
        <v>3981658165.3600001</v>
      </c>
      <c r="F63" s="76">
        <f t="shared" ref="F63:BQ63" si="26">F49</f>
        <v>19471146411.049999</v>
      </c>
      <c r="G63" s="76">
        <f t="shared" si="26"/>
        <v>14693527606.42</v>
      </c>
      <c r="H63" s="76">
        <f t="shared" si="26"/>
        <v>9613219456.0699997</v>
      </c>
      <c r="I63" s="76">
        <f t="shared" si="26"/>
        <v>3794547830.4299998</v>
      </c>
      <c r="J63" s="76">
        <f t="shared" si="26"/>
        <v>18938551893.709999</v>
      </c>
      <c r="K63" s="76">
        <f t="shared" si="26"/>
        <v>14218450906.1</v>
      </c>
      <c r="L63" s="76">
        <f t="shared" si="26"/>
        <v>9271315229.1499996</v>
      </c>
      <c r="M63" s="76">
        <f t="shared" si="26"/>
        <v>3775359862.3600001</v>
      </c>
      <c r="N63" s="76">
        <f t="shared" si="26"/>
        <v>19295534666.82</v>
      </c>
      <c r="O63" s="76">
        <f t="shared" si="26"/>
        <v>14753293830.16</v>
      </c>
      <c r="P63" s="76">
        <f t="shared" si="26"/>
        <v>9829497798.7700005</v>
      </c>
      <c r="Q63" s="76">
        <f t="shared" si="26"/>
        <v>4151295665.3000002</v>
      </c>
      <c r="R63" s="76">
        <f t="shared" si="26"/>
        <v>20778933220.52</v>
      </c>
      <c r="S63" s="76">
        <f t="shared" si="26"/>
        <v>15575183289.370001</v>
      </c>
      <c r="T63" s="76">
        <f t="shared" si="26"/>
        <v>10136316637.43</v>
      </c>
      <c r="U63" s="76">
        <f t="shared" si="26"/>
        <v>4133240256.1999998</v>
      </c>
      <c r="V63" s="76">
        <f t="shared" si="26"/>
        <v>19907077075.110001</v>
      </c>
      <c r="W63" s="76">
        <f t="shared" si="26"/>
        <v>14618769623.620001</v>
      </c>
      <c r="X63" s="76">
        <f t="shared" si="26"/>
        <v>9381540032.2600002</v>
      </c>
      <c r="Y63" s="76">
        <f t="shared" si="26"/>
        <v>3883863244.5599999</v>
      </c>
      <c r="Z63" s="76">
        <f t="shared" si="26"/>
        <v>17743250879.580002</v>
      </c>
      <c r="AA63" s="76">
        <f t="shared" si="26"/>
        <v>13454135360.23</v>
      </c>
      <c r="AB63" s="76">
        <f t="shared" si="26"/>
        <v>7196076462.4799995</v>
      </c>
      <c r="AC63" s="76">
        <f t="shared" si="26"/>
        <v>3198850932.6599998</v>
      </c>
      <c r="AD63" s="76">
        <f t="shared" si="26"/>
        <v>14502379031.75</v>
      </c>
      <c r="AE63" s="76">
        <f t="shared" si="26"/>
        <v>11431577726.110001</v>
      </c>
      <c r="AF63" s="76">
        <f t="shared" si="26"/>
        <v>7366026241.6199999</v>
      </c>
      <c r="AG63" s="76">
        <f t="shared" si="26"/>
        <v>3228286800.9099998</v>
      </c>
      <c r="AH63" s="76">
        <f t="shared" si="26"/>
        <v>13259978831.02</v>
      </c>
      <c r="AI63" s="76">
        <f t="shared" si="26"/>
        <v>9744452405.0200005</v>
      </c>
      <c r="AJ63" s="76">
        <f t="shared" si="26"/>
        <v>6310896504.9499998</v>
      </c>
      <c r="AK63" s="76">
        <f t="shared" si="26"/>
        <v>2739090225.46</v>
      </c>
      <c r="AL63" s="76">
        <f t="shared" si="26"/>
        <v>10986235317.82</v>
      </c>
      <c r="AM63" s="76">
        <f t="shared" si="26"/>
        <v>8066224111.6300001</v>
      </c>
      <c r="AN63" s="76">
        <f t="shared" si="26"/>
        <v>5180700037.8599997</v>
      </c>
      <c r="AO63" s="76">
        <f t="shared" si="26"/>
        <v>2344474929.9000001</v>
      </c>
      <c r="AP63" s="76">
        <f t="shared" si="26"/>
        <v>10447383090.459999</v>
      </c>
      <c r="AQ63" s="76">
        <f t="shared" si="26"/>
        <v>7918918582.4499998</v>
      </c>
      <c r="AR63" s="76">
        <f t="shared" si="26"/>
        <v>5191719881.5</v>
      </c>
      <c r="AS63" s="76">
        <f t="shared" si="26"/>
        <v>2316491412.3400002</v>
      </c>
      <c r="AT63" s="76">
        <f t="shared" si="26"/>
        <v>9186192504.1200008</v>
      </c>
      <c r="AU63" s="76">
        <f t="shared" si="26"/>
        <v>6667310641.75</v>
      </c>
      <c r="AV63" s="76">
        <f t="shared" si="26"/>
        <v>4210749706.7199998</v>
      </c>
      <c r="AW63" s="76">
        <f t="shared" si="26"/>
        <v>1893486265.3399999</v>
      </c>
      <c r="AX63" s="76">
        <f t="shared" si="26"/>
        <v>7286223314.4200001</v>
      </c>
      <c r="AY63" s="76">
        <f t="shared" si="26"/>
        <v>5245909976.1700001</v>
      </c>
      <c r="AZ63" s="76">
        <f t="shared" si="26"/>
        <v>3422503680.1999998</v>
      </c>
      <c r="BA63" s="76">
        <f t="shared" si="26"/>
        <v>1557384662.4200001</v>
      </c>
      <c r="BB63" s="76">
        <f t="shared" si="26"/>
        <v>6831533255.1899996</v>
      </c>
      <c r="BC63" s="76">
        <f t="shared" si="26"/>
        <v>5059322816.5</v>
      </c>
      <c r="BD63" s="76">
        <f t="shared" si="26"/>
        <v>3356863760.23</v>
      </c>
      <c r="BE63" s="76">
        <f t="shared" si="26"/>
        <v>1530956087.8499999</v>
      </c>
      <c r="BF63" s="76">
        <f t="shared" si="26"/>
        <v>6555276828.1199999</v>
      </c>
      <c r="BG63" s="76">
        <f t="shared" si="26"/>
        <v>4802388106.7799997</v>
      </c>
      <c r="BH63" s="76">
        <f t="shared" si="26"/>
        <v>3300403591.21</v>
      </c>
      <c r="BI63" s="76">
        <f t="shared" si="26"/>
        <v>1599628295.23</v>
      </c>
      <c r="BJ63" s="76">
        <f t="shared" si="26"/>
        <v>5559734783.4700003</v>
      </c>
      <c r="BK63" s="76">
        <f t="shared" si="26"/>
        <v>4073338384.8699999</v>
      </c>
      <c r="BL63" s="76">
        <f t="shared" si="26"/>
        <v>2665555632.9699998</v>
      </c>
      <c r="BM63" s="76">
        <f t="shared" si="26"/>
        <v>1253183034.1500001</v>
      </c>
      <c r="BN63" s="76">
        <f t="shared" si="26"/>
        <v>4468336934.6800003</v>
      </c>
      <c r="BO63" s="76">
        <f t="shared" si="26"/>
        <v>3419871820.3000002</v>
      </c>
      <c r="BP63" s="76">
        <f t="shared" si="26"/>
        <v>2289548356.9299998</v>
      </c>
      <c r="BQ63" s="76">
        <f t="shared" si="26"/>
        <v>1062734559.6900001</v>
      </c>
      <c r="BR63" s="76">
        <f t="shared" ref="BR63:CJ63" si="27">BR49</f>
        <v>3844769510</v>
      </c>
      <c r="BS63" s="76">
        <f t="shared" si="27"/>
        <v>1888676871</v>
      </c>
      <c r="BT63" s="76">
        <f t="shared" si="27"/>
        <v>3624435206.8899999</v>
      </c>
      <c r="BU63" s="76">
        <f t="shared" si="27"/>
        <v>1759872948.4200001</v>
      </c>
      <c r="BV63" s="76">
        <f t="shared" si="27"/>
        <v>3503166528.1399999</v>
      </c>
      <c r="BW63" s="76">
        <f t="shared" si="27"/>
        <v>1640969270.5599999</v>
      </c>
      <c r="BX63" s="76">
        <f t="shared" si="27"/>
        <v>444323044.92000002</v>
      </c>
      <c r="BY63" s="76">
        <f t="shared" si="27"/>
        <v>202091770.88</v>
      </c>
      <c r="BZ63" s="76">
        <f t="shared" si="27"/>
        <v>918888298.00999999</v>
      </c>
      <c r="CA63" s="76">
        <f t="shared" si="27"/>
        <v>393462052.19999999</v>
      </c>
      <c r="CB63" s="76">
        <f t="shared" si="27"/>
        <v>1350796162.8199999</v>
      </c>
      <c r="CC63" s="76">
        <f t="shared" si="27"/>
        <v>953095812.62</v>
      </c>
      <c r="CD63" s="76">
        <f t="shared" si="27"/>
        <v>1924570651.9100001</v>
      </c>
      <c r="CE63" s="76">
        <f t="shared" si="27"/>
        <v>1099680000</v>
      </c>
      <c r="CF63" s="76">
        <f t="shared" si="27"/>
        <v>1434156000</v>
      </c>
      <c r="CG63" s="76">
        <f t="shared" si="27"/>
        <v>767120945.70000005</v>
      </c>
      <c r="CH63" s="76">
        <f t="shared" si="27"/>
        <v>585220000</v>
      </c>
      <c r="CI63" s="76">
        <f t="shared" si="27"/>
        <v>773370000</v>
      </c>
      <c r="CJ63" s="76">
        <f t="shared" si="27"/>
        <v>630840000</v>
      </c>
    </row>
    <row r="64" spans="1:89" s="76" customFormat="1">
      <c r="A64" s="147" t="s">
        <v>473</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c r="A65" s="154" t="s">
        <v>692</v>
      </c>
      <c r="E65" s="155">
        <f>E63/(E64+I64)*2</f>
        <v>0.79314565061166653</v>
      </c>
      <c r="F65" s="155">
        <f t="shared" ref="F65:BQ65" si="28">F63/(F64+J64)*2</f>
        <v>5.1825144932336284</v>
      </c>
      <c r="G65" s="155">
        <f t="shared" si="28"/>
        <v>2.260942935067745</v>
      </c>
      <c r="H65" s="155">
        <f t="shared" si="28"/>
        <v>1.1608186278869528</v>
      </c>
      <c r="I65" s="155">
        <f t="shared" si="28"/>
        <v>0.74648220994259817</v>
      </c>
      <c r="J65" s="155">
        <f t="shared" si="28"/>
        <v>5.2726794676814395</v>
      </c>
      <c r="K65" s="155">
        <f t="shared" si="28"/>
        <v>2.0599326573902501</v>
      </c>
      <c r="L65" s="155">
        <f t="shared" si="28"/>
        <v>1.1206652974844391</v>
      </c>
      <c r="M65" s="155">
        <f t="shared" si="28"/>
        <v>0.56295644656521782</v>
      </c>
      <c r="N65" s="155">
        <f t="shared" si="28"/>
        <v>3.3971854816640903</v>
      </c>
      <c r="O65" s="155">
        <f t="shared" si="28"/>
        <v>1.988120818022149</v>
      </c>
      <c r="P65" s="155">
        <f t="shared" si="28"/>
        <v>1.3336657405955505</v>
      </c>
      <c r="Q65" s="155">
        <f t="shared" si="28"/>
        <v>0.87299280909239807</v>
      </c>
      <c r="R65" s="155">
        <f t="shared" si="28"/>
        <v>4.6244119954808429</v>
      </c>
      <c r="S65" s="155">
        <f t="shared" si="28"/>
        <v>3.5084962270556761</v>
      </c>
      <c r="T65" s="155">
        <f t="shared" si="28"/>
        <v>2.9634124718707242</v>
      </c>
      <c r="U65" s="155">
        <f t="shared" si="28"/>
        <v>-9.0248389702726435</v>
      </c>
      <c r="V65" s="155">
        <f t="shared" si="28"/>
        <v>-22.397524354868249</v>
      </c>
      <c r="W65" s="155">
        <f t="shared" si="28"/>
        <v>-7.3346645273192177</v>
      </c>
      <c r="X65" s="155">
        <f t="shared" si="28"/>
        <v>-3.0431414094113522</v>
      </c>
      <c r="Y65" s="155">
        <f t="shared" si="28"/>
        <v>-0.71756747147447819</v>
      </c>
      <c r="Z65" s="155">
        <f t="shared" si="28"/>
        <v>-3.2751353276043749</v>
      </c>
      <c r="AA65" s="155">
        <f t="shared" si="28"/>
        <v>-2.339612517829504</v>
      </c>
      <c r="AB65" s="155">
        <f t="shared" si="28"/>
        <v>-1.392918493493726</v>
      </c>
      <c r="AC65" s="155">
        <f t="shared" si="28"/>
        <v>-0.53895515352373613</v>
      </c>
      <c r="AD65" s="155">
        <f t="shared" si="28"/>
        <v>-2.9347170014415935</v>
      </c>
      <c r="AE65" s="155">
        <f t="shared" si="28"/>
        <v>-2.1973690557043395</v>
      </c>
      <c r="AF65" s="155">
        <f t="shared" si="28"/>
        <v>-1.7421989816565484</v>
      </c>
      <c r="AG65" s="155">
        <f t="shared" si="28"/>
        <v>-0.88822646878015965</v>
      </c>
      <c r="AH65" s="155">
        <f t="shared" si="28"/>
        <v>-4.7788116738043049</v>
      </c>
      <c r="AI65" s="155">
        <f t="shared" si="28"/>
        <v>-5.5656237572283267</v>
      </c>
      <c r="AJ65" s="155">
        <f t="shared" si="28"/>
        <v>-3.829352163293267</v>
      </c>
      <c r="AK65" s="155">
        <f t="shared" si="28"/>
        <v>-1.9038793680613766</v>
      </c>
      <c r="AL65" s="155">
        <f t="shared" si="28"/>
        <v>-12.37384868928333</v>
      </c>
      <c r="AM65" s="155">
        <f t="shared" si="28"/>
        <v>41.034528845273165</v>
      </c>
      <c r="AN65" s="155">
        <f t="shared" si="28"/>
        <v>60.852038685703143</v>
      </c>
      <c r="AO65" s="155">
        <f t="shared" si="28"/>
        <v>-7.4801437882229651</v>
      </c>
      <c r="AP65" s="155">
        <f t="shared" si="28"/>
        <v>-369.0102356662394</v>
      </c>
      <c r="AQ65" s="155">
        <f t="shared" si="28"/>
        <v>223.18339881348328</v>
      </c>
      <c r="AR65" s="155">
        <f t="shared" si="28"/>
        <v>18.352812572203675</v>
      </c>
      <c r="AS65" s="155">
        <f t="shared" si="28"/>
        <v>31.061168132910193</v>
      </c>
      <c r="AT65" s="155">
        <f t="shared" si="28"/>
        <v>47.983854087379818</v>
      </c>
      <c r="AU65" s="155">
        <f t="shared" si="28"/>
        <v>43.680530596747751</v>
      </c>
      <c r="AV65" s="155">
        <f t="shared" si="28"/>
        <v>8.9979435542134318</v>
      </c>
      <c r="AW65" s="155">
        <f t="shared" si="28"/>
        <v>6.2611178599486106</v>
      </c>
      <c r="AX65" s="155">
        <f t="shared" si="28"/>
        <v>11.903176457312927</v>
      </c>
      <c r="AY65" s="155">
        <f t="shared" si="28"/>
        <v>9.7217145468347326</v>
      </c>
      <c r="AZ65" s="155">
        <f t="shared" si="28"/>
        <v>7.6189105822238705</v>
      </c>
      <c r="BA65" s="155">
        <f t="shared" si="28"/>
        <v>7.8557739331798393</v>
      </c>
      <c r="BB65" s="155">
        <f t="shared" si="28"/>
        <v>13.199498409383684</v>
      </c>
      <c r="BC65" s="155">
        <f t="shared" si="28"/>
        <v>8.3111795727598441</v>
      </c>
      <c r="BD65" s="155">
        <f t="shared" si="28"/>
        <v>10.308017836724298</v>
      </c>
      <c r="BE65" s="155">
        <f t="shared" si="28"/>
        <v>-24.371793044088598</v>
      </c>
      <c r="BF65" s="155">
        <f t="shared" si="28"/>
        <v>60.584770168155863</v>
      </c>
      <c r="BG65" s="155">
        <f t="shared" si="28"/>
        <v>17.830514206521556</v>
      </c>
      <c r="BH65" s="155">
        <f t="shared" si="28"/>
        <v>15.370002967949745</v>
      </c>
      <c r="BI65" s="155">
        <f t="shared" si="28"/>
        <v>-7.0682011539474487</v>
      </c>
      <c r="BJ65" s="155">
        <f t="shared" si="28"/>
        <v>-103.86812173520813</v>
      </c>
      <c r="BK65" s="155">
        <f t="shared" si="28"/>
        <v>36.996741753870722</v>
      </c>
      <c r="BL65" s="155">
        <f t="shared" si="28"/>
        <v>13.424917161834006</v>
      </c>
      <c r="BM65" s="155">
        <f t="shared" si="28"/>
        <v>-2.5227426625392475</v>
      </c>
      <c r="BN65" s="155">
        <f t="shared" si="28"/>
        <v>-188.76463672925823</v>
      </c>
      <c r="BO65" s="155">
        <f t="shared" si="28"/>
        <v>-689.78505194673482</v>
      </c>
      <c r="BP65" s="155">
        <f t="shared" si="28"/>
        <v>52.654009424986143</v>
      </c>
      <c r="BQ65" s="155">
        <f t="shared" si="28"/>
        <v>-1.3441065576649087</v>
      </c>
      <c r="BR65" s="155">
        <f t="shared" ref="BR65:CK65" si="29">BR63/(BR64+BV64)*2</f>
        <v>97.903342151377302</v>
      </c>
      <c r="BS65" s="155">
        <f t="shared" si="29"/>
        <v>-6.8282884093086196</v>
      </c>
      <c r="BT65" s="155">
        <f t="shared" si="29"/>
        <v>313.25087299034698</v>
      </c>
      <c r="BU65" s="155">
        <f t="shared" si="29"/>
        <v>-3.9668311661958464</v>
      </c>
      <c r="BV65" s="155">
        <f t="shared" si="29"/>
        <v>-25.951419239656104</v>
      </c>
      <c r="BW65" s="155">
        <f t="shared" si="29"/>
        <v>-4.477591117219017</v>
      </c>
      <c r="BX65" s="155">
        <f t="shared" si="29"/>
        <v>-5.1790826222360407</v>
      </c>
      <c r="BY65" s="155">
        <f t="shared" si="29"/>
        <v>-1.5724824547121412</v>
      </c>
      <c r="BZ65" s="155">
        <f t="shared" si="29"/>
        <v>-5.2730735058783234</v>
      </c>
      <c r="CA65" s="155">
        <f t="shared" si="29"/>
        <v>-2.9571896199671626</v>
      </c>
      <c r="CB65" s="155">
        <f t="shared" si="29"/>
        <v>-12.49625241115328</v>
      </c>
      <c r="CC65" s="155">
        <f t="shared" si="29"/>
        <v>-11.702510461814052</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c r="A66" s="148" t="s">
        <v>474</v>
      </c>
      <c r="E66" s="83">
        <f>E62/E65</f>
        <v>460.19290368485963</v>
      </c>
      <c r="F66" s="83">
        <f t="shared" ref="F66:BQ66" si="30">F62/F65</f>
        <v>70.429132514062374</v>
      </c>
      <c r="G66" s="83">
        <f t="shared" si="30"/>
        <v>161.43706872861142</v>
      </c>
      <c r="H66" s="83">
        <f t="shared" si="30"/>
        <v>314.43327254698897</v>
      </c>
      <c r="I66" s="83">
        <f t="shared" si="30"/>
        <v>488.96007853699177</v>
      </c>
      <c r="J66" s="83">
        <f t="shared" si="30"/>
        <v>69.224765555586075</v>
      </c>
      <c r="K66" s="83">
        <f t="shared" si="30"/>
        <v>177.19025847302322</v>
      </c>
      <c r="L66" s="83">
        <f t="shared" si="30"/>
        <v>325.69938662267549</v>
      </c>
      <c r="M66" s="83">
        <f t="shared" si="30"/>
        <v>648.36276807377351</v>
      </c>
      <c r="N66" s="83">
        <f t="shared" si="30"/>
        <v>107.44188151340121</v>
      </c>
      <c r="O66" s="83">
        <f t="shared" si="30"/>
        <v>183.59045219551322</v>
      </c>
      <c r="P66" s="83">
        <f t="shared" si="30"/>
        <v>273.68176964417535</v>
      </c>
      <c r="Q66" s="83">
        <f t="shared" si="30"/>
        <v>418.10195479097951</v>
      </c>
      <c r="R66" s="83">
        <f t="shared" si="30"/>
        <v>78.928953639228581</v>
      </c>
      <c r="S66" s="83">
        <f t="shared" si="30"/>
        <v>104.03317443676072</v>
      </c>
      <c r="T66" s="83">
        <f t="shared" si="30"/>
        <v>123.16881415079727</v>
      </c>
      <c r="U66" s="83">
        <f t="shared" si="30"/>
        <v>-40.443934922527845</v>
      </c>
      <c r="V66" s="83">
        <f t="shared" si="30"/>
        <v>-16.296443938040181</v>
      </c>
      <c r="W66" s="83">
        <f t="shared" si="30"/>
        <v>-49.763693845914126</v>
      </c>
      <c r="X66" s="83">
        <f t="shared" si="30"/>
        <v>-119.94184656394377</v>
      </c>
      <c r="Y66" s="83">
        <f t="shared" si="30"/>
        <v>-508.66296830594558</v>
      </c>
      <c r="Z66" s="83">
        <f t="shared" si="30"/>
        <v>-111.44577658321749</v>
      </c>
      <c r="AA66" s="83">
        <f t="shared" si="30"/>
        <v>-156.00873957479777</v>
      </c>
      <c r="AB66" s="83">
        <f t="shared" si="30"/>
        <v>-262.03974008881522</v>
      </c>
      <c r="AC66" s="83">
        <f t="shared" si="30"/>
        <v>-677.23631106150106</v>
      </c>
      <c r="AD66" s="83">
        <f t="shared" si="30"/>
        <v>-124.37315074015807</v>
      </c>
      <c r="AE66" s="83">
        <f t="shared" si="30"/>
        <v>-166.10773645531464</v>
      </c>
      <c r="AF66" s="83">
        <f t="shared" si="30"/>
        <v>-209.50534574009694</v>
      </c>
      <c r="AG66" s="83">
        <f t="shared" si="30"/>
        <v>-410.93123525272841</v>
      </c>
      <c r="AH66" s="83">
        <f t="shared" si="30"/>
        <v>-76.37882070155564</v>
      </c>
      <c r="AI66" s="83">
        <f t="shared" si="30"/>
        <v>-65.581148838161766</v>
      </c>
      <c r="AJ66" s="83">
        <f t="shared" si="30"/>
        <v>-95.316383668953989</v>
      </c>
      <c r="AK66" s="83">
        <f t="shared" si="30"/>
        <v>-191.71382710642058</v>
      </c>
      <c r="AL66" s="83">
        <f t="shared" si="30"/>
        <v>-29.497693819071593</v>
      </c>
      <c r="AM66" s="83">
        <f t="shared" si="30"/>
        <v>8.894947993098377</v>
      </c>
      <c r="AN66" s="83">
        <f t="shared" si="30"/>
        <v>5.9981556556420648</v>
      </c>
      <c r="AO66" s="83">
        <f t="shared" si="30"/>
        <v>-48.795853439966017</v>
      </c>
      <c r="AP66" s="83">
        <f t="shared" si="30"/>
        <v>-0.98913245412014383</v>
      </c>
      <c r="AQ66" s="83">
        <f t="shared" si="30"/>
        <v>1.6354262993594535</v>
      </c>
      <c r="AR66" s="83">
        <f t="shared" si="30"/>
        <v>19.887959873399033</v>
      </c>
      <c r="AS66" s="83">
        <f t="shared" si="30"/>
        <v>11.751006866134956</v>
      </c>
      <c r="AT66" s="83">
        <f t="shared" si="30"/>
        <v>7.6067253650639595</v>
      </c>
      <c r="AU66" s="83">
        <f t="shared" si="30"/>
        <v>8.3561256013491789</v>
      </c>
      <c r="AV66" s="83">
        <f t="shared" si="30"/>
        <v>40.564824373573991</v>
      </c>
      <c r="AW66" s="83">
        <f t="shared" si="30"/>
        <v>58.296299185621116</v>
      </c>
      <c r="AX66" s="83">
        <f t="shared" si="30"/>
        <v>30.664083768644442</v>
      </c>
      <c r="AY66" s="83">
        <f t="shared" si="30"/>
        <v>37.544817659642085</v>
      </c>
      <c r="AZ66" s="83">
        <f t="shared" si="30"/>
        <v>47.907111661292234</v>
      </c>
      <c r="BA66" s="83">
        <f t="shared" si="30"/>
        <v>46.462640486429613</v>
      </c>
      <c r="BB66" s="83">
        <f t="shared" si="30"/>
        <v>27.65256592936267</v>
      </c>
      <c r="BC66" s="83">
        <f t="shared" si="30"/>
        <v>43.916750541198645</v>
      </c>
      <c r="BD66" s="83">
        <f t="shared" si="30"/>
        <v>35.409329492971693</v>
      </c>
      <c r="BE66" s="83">
        <f t="shared" si="30"/>
        <v>-14.976329371405486</v>
      </c>
      <c r="BF66" s="83">
        <f t="shared" si="30"/>
        <v>6.0246164009028247</v>
      </c>
      <c r="BG66" s="83">
        <f t="shared" si="30"/>
        <v>20.470525738764188</v>
      </c>
      <c r="BH66" s="83">
        <f t="shared" si="30"/>
        <v>23.747555596515838</v>
      </c>
      <c r="BI66" s="83">
        <f t="shared" si="30"/>
        <v>-51.639730116644294</v>
      </c>
      <c r="BJ66" s="83">
        <f t="shared" si="30"/>
        <v>-3.514071438881869</v>
      </c>
      <c r="BK66" s="83">
        <f t="shared" si="30"/>
        <v>9.8657336483370859</v>
      </c>
      <c r="BL66" s="83">
        <f t="shared" si="30"/>
        <v>27.188249700166981</v>
      </c>
      <c r="BM66" s="83">
        <f t="shared" si="30"/>
        <v>-144.68380204606839</v>
      </c>
      <c r="BN66" s="83">
        <f t="shared" si="30"/>
        <v>-1.9336248903628757</v>
      </c>
      <c r="BO66" s="83">
        <f t="shared" si="30"/>
        <v>-0.52915034758999868</v>
      </c>
      <c r="BP66" s="83">
        <f t="shared" si="30"/>
        <v>6.9320457071744839</v>
      </c>
      <c r="BQ66" s="83">
        <f t="shared" si="30"/>
        <v>-271.55585092457824</v>
      </c>
      <c r="BR66" s="83">
        <f t="shared" ref="BR66:CJ66" si="31">BR62/BR65</f>
        <v>3.7281669040025229</v>
      </c>
      <c r="BS66" s="83">
        <f t="shared" si="31"/>
        <v>-53.454098321684263</v>
      </c>
      <c r="BT66" s="83">
        <f t="shared" si="31"/>
        <v>1.1652002642982187</v>
      </c>
      <c r="BU66" s="83">
        <f t="shared" si="31"/>
        <v>-92.012990900752541</v>
      </c>
      <c r="BV66" s="83">
        <f t="shared" si="31"/>
        <v>-14.064741378084138</v>
      </c>
      <c r="BW66" s="83">
        <f t="shared" si="31"/>
        <v>-81.517045760689626</v>
      </c>
      <c r="BX66" s="83">
        <f t="shared" si="31"/>
        <v>-70.475801724594476</v>
      </c>
      <c r="BY66" s="83">
        <f t="shared" si="31"/>
        <v>-232.11705727223324</v>
      </c>
      <c r="BZ66" s="83">
        <f t="shared" si="31"/>
        <v>-69.219592632855367</v>
      </c>
      <c r="CA66" s="83">
        <f t="shared" si="31"/>
        <v>-123.42799986023658</v>
      </c>
      <c r="CB66" s="83">
        <f t="shared" si="31"/>
        <v>-29.208756992954665</v>
      </c>
      <c r="CC66" s="83">
        <f t="shared" si="31"/>
        <v>-31.189888801297421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7" t="s">
        <v>475</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7" t="s">
        <v>476</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c r="A69" s="154" t="s">
        <v>477</v>
      </c>
      <c r="E69" s="155">
        <f>E67/(E68+I68)*2</f>
        <v>0.85289068059904993</v>
      </c>
      <c r="F69" s="155">
        <f t="shared" ref="F69:BQ69" si="32">F67/(F68+J68)*2</f>
        <v>0.65613095601837568</v>
      </c>
      <c r="G69" s="155">
        <f t="shared" si="32"/>
        <v>0.46656676205526082</v>
      </c>
      <c r="H69" s="155">
        <f t="shared" si="32"/>
        <v>0.32725277031483874</v>
      </c>
      <c r="I69" s="155">
        <f t="shared" si="32"/>
        <v>0.81458543516403747</v>
      </c>
      <c r="J69" s="155">
        <f t="shared" si="32"/>
        <v>0.58832087974030189</v>
      </c>
      <c r="K69" s="155">
        <f t="shared" si="32"/>
        <v>0.4451810788021287</v>
      </c>
      <c r="L69" s="155">
        <f t="shared" si="32"/>
        <v>0.309790734405472</v>
      </c>
      <c r="M69" s="155">
        <f t="shared" si="32"/>
        <v>0.79464366540949505</v>
      </c>
      <c r="N69" s="155">
        <f t="shared" si="32"/>
        <v>0.57976734661878715</v>
      </c>
      <c r="O69" s="155">
        <f t="shared" si="32"/>
        <v>0.42673842426434305</v>
      </c>
      <c r="P69" s="155">
        <f t="shared" si="32"/>
        <v>0.26818122373053532</v>
      </c>
      <c r="Q69" s="155">
        <f t="shared" si="32"/>
        <v>0.77078194620648188</v>
      </c>
      <c r="R69" s="155">
        <f t="shared" si="32"/>
        <v>0.52176442828651515</v>
      </c>
      <c r="S69" s="155">
        <f t="shared" si="32"/>
        <v>0.40222564186433574</v>
      </c>
      <c r="T69" s="155">
        <f t="shared" si="32"/>
        <v>0.24323224888184605</v>
      </c>
      <c r="U69" s="155">
        <f t="shared" si="32"/>
        <v>0.97458366892284753</v>
      </c>
      <c r="V69" s="155">
        <f t="shared" si="32"/>
        <v>0.80081963264661293</v>
      </c>
      <c r="W69" s="155">
        <f t="shared" si="32"/>
        <v>0.67482042448184487</v>
      </c>
      <c r="X69" s="155">
        <f t="shared" si="32"/>
        <v>0.32633270319184682</v>
      </c>
      <c r="Y69" s="155">
        <f t="shared" si="32"/>
        <v>1.3122755677991511</v>
      </c>
      <c r="Z69" s="155">
        <f t="shared" si="32"/>
        <v>1.1556165222974046</v>
      </c>
      <c r="AA69" s="155">
        <f t="shared" si="32"/>
        <v>0.96231995714192098</v>
      </c>
      <c r="AB69" s="155">
        <f t="shared" si="32"/>
        <v>0.49120898050346462</v>
      </c>
      <c r="AC69" s="155">
        <f t="shared" si="32"/>
        <v>1.3720462626979764</v>
      </c>
      <c r="AD69" s="155">
        <f t="shared" si="32"/>
        <v>1.1989267219830864</v>
      </c>
      <c r="AE69" s="155">
        <f t="shared" si="32"/>
        <v>0.81167923352940308</v>
      </c>
      <c r="AF69" s="155">
        <f t="shared" si="32"/>
        <v>0.51474436563413062</v>
      </c>
      <c r="AG69" s="155">
        <f t="shared" si="32"/>
        <v>1.2170717844747683</v>
      </c>
      <c r="AH69" s="155">
        <f t="shared" si="32"/>
        <v>1.0614842269150428</v>
      </c>
      <c r="AI69" s="155">
        <f t="shared" si="32"/>
        <v>0.68360048696972986</v>
      </c>
      <c r="AJ69" s="155">
        <f t="shared" si="32"/>
        <v>0.4636178910721927</v>
      </c>
      <c r="AK69" s="155">
        <f t="shared" si="32"/>
        <v>1.3902830230248273</v>
      </c>
      <c r="AL69" s="155">
        <f t="shared" si="32"/>
        <v>1.170220617041996</v>
      </c>
      <c r="AM69" s="155">
        <f t="shared" si="32"/>
        <v>0.79414120079348438</v>
      </c>
      <c r="AN69" s="155">
        <f t="shared" si="32"/>
        <v>0.56822941906728064</v>
      </c>
      <c r="AO69" s="155">
        <f t="shared" si="32"/>
        <v>1.8636420125622908</v>
      </c>
      <c r="AP69" s="155">
        <f t="shared" si="32"/>
        <v>1.6890021881152568</v>
      </c>
      <c r="AQ69" s="155">
        <f t="shared" si="32"/>
        <v>1.0752944613717004</v>
      </c>
      <c r="AR69" s="155">
        <f t="shared" si="32"/>
        <v>0.75064301694703339</v>
      </c>
      <c r="AS69" s="155">
        <f t="shared" si="32"/>
        <v>2.0386794913489448</v>
      </c>
      <c r="AT69" s="155">
        <f t="shared" si="32"/>
        <v>1.762180369868952</v>
      </c>
      <c r="AU69" s="155">
        <f t="shared" si="32"/>
        <v>1.0889783825735142</v>
      </c>
      <c r="AV69" s="155">
        <f t="shared" si="32"/>
        <v>0.83232950189099819</v>
      </c>
      <c r="AW69" s="155">
        <f t="shared" si="32"/>
        <v>2.3577704333999137</v>
      </c>
      <c r="AX69" s="155">
        <f t="shared" si="32"/>
        <v>1.9753204812181961</v>
      </c>
      <c r="AY69" s="155">
        <f t="shared" si="32"/>
        <v>1.3499498978843403</v>
      </c>
      <c r="AZ69" s="155">
        <f t="shared" si="32"/>
        <v>0.75488860498052501</v>
      </c>
      <c r="BA69" s="155">
        <f t="shared" si="32"/>
        <v>2.2722653720423436</v>
      </c>
      <c r="BB69" s="155">
        <f t="shared" si="32"/>
        <v>1.798291975119424</v>
      </c>
      <c r="BC69" s="155">
        <f t="shared" si="32"/>
        <v>1.4323296039389901</v>
      </c>
      <c r="BD69" s="155">
        <f t="shared" si="32"/>
        <v>0.92939111297572297</v>
      </c>
      <c r="BE69" s="155">
        <f t="shared" si="32"/>
        <v>2.6088005783060582</v>
      </c>
      <c r="BF69" s="155">
        <f t="shared" si="32"/>
        <v>2.0835603846796564</v>
      </c>
      <c r="BG69" s="155">
        <f t="shared" si="32"/>
        <v>1.7158374710339597</v>
      </c>
      <c r="BH69" s="155">
        <f t="shared" si="32"/>
        <v>1.3158468925607529</v>
      </c>
      <c r="BI69" s="155">
        <f t="shared" si="32"/>
        <v>3.3984578971630701</v>
      </c>
      <c r="BJ69" s="155">
        <f t="shared" si="32"/>
        <v>2.0490722142076065</v>
      </c>
      <c r="BK69" s="155">
        <f t="shared" si="32"/>
        <v>2.0801367595647609</v>
      </c>
      <c r="BL69" s="155">
        <f t="shared" si="32"/>
        <v>1.3371102448735266</v>
      </c>
      <c r="BM69" s="155">
        <f t="shared" si="32"/>
        <v>2.8230504287810692</v>
      </c>
      <c r="BN69" s="155">
        <f t="shared" si="32"/>
        <v>3.2840856879564084</v>
      </c>
      <c r="BO69" s="155">
        <f t="shared" si="32"/>
        <v>2.1140839495425179</v>
      </c>
      <c r="BP69" s="155">
        <f t="shared" si="32"/>
        <v>1.7171880621885283</v>
      </c>
      <c r="BQ69" s="155">
        <f t="shared" si="32"/>
        <v>2.3183454024665262</v>
      </c>
      <c r="BR69" s="155">
        <f t="shared" ref="BR69:CJ69" si="33">BR67/(BR68+BV68)*2</f>
        <v>0</v>
      </c>
      <c r="BS69" s="155">
        <f t="shared" si="33"/>
        <v>2.0582717864302311</v>
      </c>
      <c r="BT69" s="155">
        <f t="shared" si="33"/>
        <v>2.4405399808695267</v>
      </c>
      <c r="BU69" s="155">
        <f t="shared" si="33"/>
        <v>2.5322605236758613</v>
      </c>
      <c r="BV69" s="155">
        <f t="shared" si="33"/>
        <v>2.0409453116658809</v>
      </c>
      <c r="BW69" s="155">
        <f t="shared" si="33"/>
        <v>2.5423609268034224</v>
      </c>
      <c r="BX69" s="155">
        <f t="shared" si="33"/>
        <v>1.8988679823268482</v>
      </c>
      <c r="BY69" s="155">
        <f t="shared" si="33"/>
        <v>2.9141138385494667</v>
      </c>
      <c r="BZ69" s="155">
        <f t="shared" si="33"/>
        <v>2.1555894681220353</v>
      </c>
      <c r="CA69" s="155">
        <f t="shared" si="33"/>
        <v>3.7482020882184743</v>
      </c>
      <c r="CB69" s="155">
        <f t="shared" si="33"/>
        <v>2.1043456101134961</v>
      </c>
      <c r="CC69" s="155">
        <f t="shared" si="33"/>
        <v>1.676566743546994</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c r="A70" s="148" t="s">
        <v>478</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7" t="s">
        <v>479</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c r="A72" s="154" t="s">
        <v>480</v>
      </c>
      <c r="E72" s="155">
        <f>E67/(E71+I71)*2</f>
        <v>2.9155130849656898</v>
      </c>
      <c r="F72" s="155">
        <f t="shared" ref="F72:BQ72" si="36">F67/(F71+J71)*2</f>
        <v>2.4192721342225334</v>
      </c>
      <c r="G72" s="155">
        <f t="shared" si="36"/>
        <v>1.7024432373643572</v>
      </c>
      <c r="H72" s="155">
        <f t="shared" si="36"/>
        <v>1.3539016758652416</v>
      </c>
      <c r="I72" s="155">
        <f t="shared" si="36"/>
        <v>4.6303139544884537</v>
      </c>
      <c r="J72" s="155">
        <f t="shared" si="36"/>
        <v>4.286164726803781</v>
      </c>
      <c r="K72" s="155">
        <f t="shared" si="36"/>
        <v>3.1838503112283458</v>
      </c>
      <c r="L72" s="155">
        <f t="shared" si="36"/>
        <v>2.2129767165328067</v>
      </c>
      <c r="M72" s="155">
        <f t="shared" si="36"/>
        <v>9.7649374582234003</v>
      </c>
      <c r="N72" s="155">
        <f t="shared" si="36"/>
        <v>7.0716920320301133</v>
      </c>
      <c r="O72" s="155">
        <f t="shared" si="36"/>
        <v>3.649748540813428</v>
      </c>
      <c r="P72" s="155">
        <f t="shared" si="36"/>
        <v>2.1755019467827181</v>
      </c>
      <c r="Q72" s="155">
        <f t="shared" si="36"/>
        <v>13.466372585222796</v>
      </c>
      <c r="R72" s="155">
        <f t="shared" si="36"/>
        <v>7.3824910216261808</v>
      </c>
      <c r="S72" s="155">
        <f t="shared" si="36"/>
        <v>4.507308496194212</v>
      </c>
      <c r="T72" s="155">
        <f t="shared" si="36"/>
        <v>2.2909029001847365</v>
      </c>
      <c r="U72" s="155">
        <f t="shared" si="36"/>
        <v>14.776394799977171</v>
      </c>
      <c r="V72" s="155">
        <f t="shared" si="36"/>
        <v>15.186581549745767</v>
      </c>
      <c r="W72" s="155">
        <f t="shared" si="36"/>
        <v>17.271015544652638</v>
      </c>
      <c r="X72" s="155">
        <f t="shared" si="36"/>
        <v>6.4210120293731752</v>
      </c>
      <c r="Y72" s="155">
        <f t="shared" si="36"/>
        <v>35.480995507964636</v>
      </c>
      <c r="Z72" s="155">
        <f t="shared" si="36"/>
        <v>175.8125980911021</v>
      </c>
      <c r="AA72" s="155">
        <f t="shared" si="36"/>
        <v>101.02550518534782</v>
      </c>
      <c r="AB72" s="155">
        <f t="shared" si="36"/>
        <v>98.536419243002612</v>
      </c>
      <c r="AC72" s="155">
        <f t="shared" si="36"/>
        <v>-101.0547153182569</v>
      </c>
      <c r="AD72" s="155">
        <f t="shared" si="36"/>
        <v>101.02013239031795</v>
      </c>
      <c r="AE72" s="155">
        <f t="shared" si="36"/>
        <v>57.352624278763592</v>
      </c>
      <c r="AF72" s="155">
        <f t="shared" si="36"/>
        <v>39.503202900616131</v>
      </c>
      <c r="AG72" s="155">
        <f t="shared" si="36"/>
        <v>-133.05275641596191</v>
      </c>
      <c r="AH72" s="155">
        <f t="shared" si="36"/>
        <v>21.264433418247172</v>
      </c>
      <c r="AI72" s="155">
        <f t="shared" si="36"/>
        <v>9.7075568103828456</v>
      </c>
      <c r="AJ72" s="155">
        <f t="shared" si="36"/>
        <v>10.476453557121031</v>
      </c>
      <c r="AK72" s="155">
        <f t="shared" si="36"/>
        <v>214.45462343405589</v>
      </c>
      <c r="AL72" s="155">
        <f t="shared" si="36"/>
        <v>11.601072795840373</v>
      </c>
      <c r="AM72" s="155">
        <f t="shared" si="36"/>
        <v>9.6557330335327141</v>
      </c>
      <c r="AN72" s="155">
        <f t="shared" si="36"/>
        <v>9.3198220784368786</v>
      </c>
      <c r="AO72" s="155">
        <f t="shared" si="36"/>
        <v>472.89282220630696</v>
      </c>
      <c r="AP72" s="155">
        <f t="shared" si="36"/>
        <v>21.71980981208424</v>
      </c>
      <c r="AQ72" s="155">
        <f t="shared" si="36"/>
        <v>64.122020295260896</v>
      </c>
      <c r="AR72" s="155">
        <f t="shared" si="36"/>
        <v>11.842781491031436</v>
      </c>
      <c r="AS72" s="155">
        <f t="shared" si="36"/>
        <v>120.33370171449707</v>
      </c>
      <c r="AT72" s="155">
        <f t="shared" si="36"/>
        <v>43.999368750688518</v>
      </c>
      <c r="AU72" s="155">
        <f t="shared" si="36"/>
        <v>33.88084417389566</v>
      </c>
      <c r="AV72" s="155">
        <f t="shared" si="36"/>
        <v>17.229959430959187</v>
      </c>
      <c r="AW72" s="155">
        <f t="shared" si="36"/>
        <v>409.26161171455607</v>
      </c>
      <c r="AX72" s="155">
        <f t="shared" si="36"/>
        <v>49.417297759841084</v>
      </c>
      <c r="AY72" s="155">
        <f t="shared" si="36"/>
        <v>13.96534688673149</v>
      </c>
      <c r="AZ72" s="155">
        <f t="shared" si="36"/>
        <v>277.20487899162322</v>
      </c>
      <c r="BA72" s="155">
        <f t="shared" si="36"/>
        <v>510.30554553939794</v>
      </c>
      <c r="BB72" s="155">
        <f t="shared" si="36"/>
        <v>12.457633500953397</v>
      </c>
      <c r="BC72" s="155">
        <f t="shared" si="36"/>
        <v>5.7283747691432323</v>
      </c>
      <c r="BD72" s="155">
        <f t="shared" si="36"/>
        <v>3.8499222339559473</v>
      </c>
      <c r="BE72" s="155">
        <f t="shared" si="36"/>
        <v>82.11959454567662</v>
      </c>
      <c r="BF72" s="155">
        <f t="shared" si="36"/>
        <v>8.2186370005941445</v>
      </c>
      <c r="BG72" s="155">
        <f t="shared" si="36"/>
        <v>6.078059296614545</v>
      </c>
      <c r="BH72" s="155">
        <f t="shared" si="36"/>
        <v>3.0436343666023178</v>
      </c>
      <c r="BI72" s="155">
        <f t="shared" si="36"/>
        <v>25.183846511926706</v>
      </c>
      <c r="BJ72" s="155">
        <f t="shared" si="36"/>
        <v>11.657905592405449</v>
      </c>
      <c r="BK72" s="155">
        <f t="shared" si="36"/>
        <v>9.9991849778792723</v>
      </c>
      <c r="BL72" s="155">
        <f t="shared" si="36"/>
        <v>4.7202010486631556</v>
      </c>
      <c r="BM72" s="155">
        <f t="shared" si="36"/>
        <v>13.781819311393106</v>
      </c>
      <c r="BN72" s="155">
        <f t="shared" si="36"/>
        <v>21.754871802074081</v>
      </c>
      <c r="BO72" s="155">
        <f t="shared" si="36"/>
        <v>13.822236003399492</v>
      </c>
      <c r="BP72" s="155">
        <f t="shared" si="36"/>
        <v>-16.676367258005907</v>
      </c>
      <c r="BQ72" s="155">
        <f t="shared" si="36"/>
        <v>38.531640682355317</v>
      </c>
      <c r="BR72" s="155">
        <f t="shared" ref="BR72:CJ72" si="37">BR67/(BR71+BV71)*2</f>
        <v>0</v>
      </c>
      <c r="BS72" s="155">
        <f t="shared" si="37"/>
        <v>-7.0073197286338926</v>
      </c>
      <c r="BT72" s="155">
        <f t="shared" si="37"/>
        <v>-5.6145376143051671</v>
      </c>
      <c r="BU72" s="155">
        <f t="shared" si="37"/>
        <v>-26.204790327967672</v>
      </c>
      <c r="BV72" s="155">
        <f t="shared" si="37"/>
        <v>-4.923296830969023</v>
      </c>
      <c r="BW72" s="155">
        <f t="shared" si="37"/>
        <v>-5.7285823025967568</v>
      </c>
      <c r="BX72" s="155">
        <f t="shared" si="37"/>
        <v>-43.890337920723539</v>
      </c>
      <c r="BY72" s="155">
        <f t="shared" si="37"/>
        <v>-57.065565473015745</v>
      </c>
      <c r="BZ72" s="155">
        <f t="shared" si="37"/>
        <v>-8.726249955904736</v>
      </c>
      <c r="CA72" s="155">
        <f t="shared" si="37"/>
        <v>-52.19055678421612</v>
      </c>
      <c r="CB72" s="155">
        <f t="shared" si="37"/>
        <v>190.95743215141206</v>
      </c>
      <c r="CC72" s="155">
        <f t="shared" si="37"/>
        <v>-172.12113526272228</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c r="A73" s="148" t="s">
        <v>481</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c r="A74" s="255" t="s">
        <v>482</v>
      </c>
      <c r="E74" s="256">
        <f>E66+E70</f>
        <v>888.14927406474555</v>
      </c>
      <c r="F74" s="256">
        <f t="shared" ref="F74:BQ74" si="40">F66+F70</f>
        <v>626.72052015860118</v>
      </c>
      <c r="G74" s="256">
        <f t="shared" si="40"/>
        <v>943.74740389296858</v>
      </c>
      <c r="H74" s="256">
        <f t="shared" si="40"/>
        <v>1429.7790636577745</v>
      </c>
      <c r="I74" s="256">
        <f t="shared" si="40"/>
        <v>937.04076380789638</v>
      </c>
      <c r="J74" s="256">
        <f t="shared" si="40"/>
        <v>689.63449869495594</v>
      </c>
      <c r="K74" s="256">
        <f t="shared" si="40"/>
        <v>997.08134859330426</v>
      </c>
      <c r="L74" s="256">
        <f t="shared" si="40"/>
        <v>1503.9140956599927</v>
      </c>
      <c r="M74" s="256">
        <f t="shared" si="40"/>
        <v>1107.6881435701082</v>
      </c>
      <c r="N74" s="256">
        <f t="shared" si="40"/>
        <v>737.00476070741945</v>
      </c>
      <c r="O74" s="256">
        <f t="shared" si="40"/>
        <v>1038.9153520547789</v>
      </c>
      <c r="P74" s="256">
        <f t="shared" si="40"/>
        <v>1634.7017356308575</v>
      </c>
      <c r="Q74" s="256">
        <f t="shared" si="40"/>
        <v>891.64703689416297</v>
      </c>
      <c r="R74" s="256">
        <f t="shared" si="40"/>
        <v>778.47836753596994</v>
      </c>
      <c r="S74" s="256">
        <f t="shared" si="40"/>
        <v>1011.4840229411151</v>
      </c>
      <c r="T74" s="256">
        <f t="shared" si="40"/>
        <v>1623.7921964445843</v>
      </c>
      <c r="U74" s="256">
        <f t="shared" si="40"/>
        <v>334.07496133951804</v>
      </c>
      <c r="V74" s="256">
        <f t="shared" si="40"/>
        <v>439.48658774628399</v>
      </c>
      <c r="W74" s="256">
        <f t="shared" si="40"/>
        <v>491.12094265610364</v>
      </c>
      <c r="X74" s="256">
        <f t="shared" si="40"/>
        <v>998.548566532721</v>
      </c>
      <c r="Y74" s="256">
        <f t="shared" si="40"/>
        <v>-230.52016891499886</v>
      </c>
      <c r="Z74" s="256">
        <f t="shared" si="40"/>
        <v>204.40294395460216</v>
      </c>
      <c r="AA74" s="256">
        <f t="shared" si="40"/>
        <v>223.28298901414863</v>
      </c>
      <c r="AB74" s="256">
        <f t="shared" si="40"/>
        <v>481.02485051759692</v>
      </c>
      <c r="AC74" s="256">
        <f t="shared" si="40"/>
        <v>-411.21029581456025</v>
      </c>
      <c r="AD74" s="256">
        <f t="shared" si="40"/>
        <v>180.0658056259752</v>
      </c>
      <c r="AE74" s="256">
        <f t="shared" si="40"/>
        <v>283.57729295326129</v>
      </c>
      <c r="AF74" s="256">
        <f t="shared" si="40"/>
        <v>499.58449451554998</v>
      </c>
      <c r="AG74" s="256">
        <f t="shared" si="40"/>
        <v>-111.03109406465785</v>
      </c>
      <c r="AH74" s="256">
        <f t="shared" si="40"/>
        <v>267.47932692329192</v>
      </c>
      <c r="AI74" s="256">
        <f t="shared" si="40"/>
        <v>468.3564462299388</v>
      </c>
      <c r="AJ74" s="256">
        <f t="shared" si="40"/>
        <v>691.96988596977246</v>
      </c>
      <c r="AK74" s="256">
        <f t="shared" si="40"/>
        <v>70.822644932109029</v>
      </c>
      <c r="AL74" s="256">
        <f t="shared" si="40"/>
        <v>282.40930447209013</v>
      </c>
      <c r="AM74" s="256">
        <f t="shared" si="40"/>
        <v>468.51094529345488</v>
      </c>
      <c r="AN74" s="256">
        <f t="shared" si="40"/>
        <v>648.34434146053889</v>
      </c>
      <c r="AO74" s="256">
        <f t="shared" si="40"/>
        <v>147.05721144032583</v>
      </c>
      <c r="AP74" s="256">
        <f t="shared" si="40"/>
        <v>215.11479125204175</v>
      </c>
      <c r="AQ74" s="256">
        <f t="shared" si="40"/>
        <v>341.07733092368665</v>
      </c>
      <c r="AR74" s="256">
        <f t="shared" si="40"/>
        <v>506.13773741013591</v>
      </c>
      <c r="AS74" s="256">
        <f t="shared" si="40"/>
        <v>190.78846790346964</v>
      </c>
      <c r="AT74" s="256">
        <f t="shared" si="40"/>
        <v>214.73648701775105</v>
      </c>
      <c r="AU74" s="256">
        <f t="shared" si="40"/>
        <v>343.53265971896718</v>
      </c>
      <c r="AV74" s="256">
        <f t="shared" si="40"/>
        <v>479.09307450857926</v>
      </c>
      <c r="AW74" s="256">
        <f t="shared" si="40"/>
        <v>213.103567454597</v>
      </c>
      <c r="AX74" s="256">
        <f t="shared" si="40"/>
        <v>215.44422626729437</v>
      </c>
      <c r="AY74" s="256">
        <f t="shared" si="40"/>
        <v>307.92522257098949</v>
      </c>
      <c r="AZ74" s="256">
        <f t="shared" si="40"/>
        <v>531.42215956616349</v>
      </c>
      <c r="BA74" s="256">
        <f t="shared" si="40"/>
        <v>207.09528687135997</v>
      </c>
      <c r="BB74" s="256">
        <f t="shared" si="40"/>
        <v>230.62294284813888</v>
      </c>
      <c r="BC74" s="256">
        <f t="shared" si="40"/>
        <v>298.74636447658662</v>
      </c>
      <c r="BD74" s="256">
        <f t="shared" si="40"/>
        <v>428.13957503119684</v>
      </c>
      <c r="BE74" s="256">
        <f t="shared" si="40"/>
        <v>124.93470983765556</v>
      </c>
      <c r="BF74" s="256">
        <f t="shared" si="40"/>
        <v>181.2055243716205</v>
      </c>
      <c r="BG74" s="256">
        <f t="shared" si="40"/>
        <v>233.1946363621625</v>
      </c>
      <c r="BH74" s="256">
        <f t="shared" si="40"/>
        <v>301.13545084751888</v>
      </c>
      <c r="BI74" s="256">
        <f t="shared" si="40"/>
        <v>55.761924117380779</v>
      </c>
      <c r="BJ74" s="256">
        <f t="shared" si="40"/>
        <v>174.61532657315871</v>
      </c>
      <c r="BK74" s="256">
        <f t="shared" si="40"/>
        <v>185.33496581380831</v>
      </c>
      <c r="BL74" s="256">
        <f t="shared" si="40"/>
        <v>300.16499294135298</v>
      </c>
      <c r="BM74" s="256">
        <f t="shared" si="40"/>
        <v>-15.391035512812039</v>
      </c>
      <c r="BN74" s="256">
        <f t="shared" si="40"/>
        <v>109.20842031830796</v>
      </c>
      <c r="BO74" s="256">
        <f t="shared" si="40"/>
        <v>172.12246080483612</v>
      </c>
      <c r="BP74" s="256">
        <f t="shared" si="40"/>
        <v>219.48884600009839</v>
      </c>
      <c r="BQ74" s="256">
        <f t="shared" si="40"/>
        <v>-114.11598039809394</v>
      </c>
      <c r="BR74" s="256" t="e">
        <f t="shared" ref="BR74:CK74" si="41">BR66+BR70</f>
        <v>#DIV/0!</v>
      </c>
      <c r="BS74" s="256">
        <f t="shared" si="41"/>
        <v>123.87913940055003</v>
      </c>
      <c r="BT74" s="256">
        <f t="shared" si="41"/>
        <v>150.72226667627979</v>
      </c>
      <c r="BU74" s="256">
        <f t="shared" si="41"/>
        <v>52.126996508663538</v>
      </c>
      <c r="BV74" s="256">
        <f t="shared" si="41"/>
        <v>164.77395553049499</v>
      </c>
      <c r="BW74" s="256">
        <f t="shared" si="41"/>
        <v>62.050295977418415</v>
      </c>
      <c r="BX74" s="256">
        <f t="shared" si="41"/>
        <v>121.74398574727272</v>
      </c>
      <c r="BY74" s="256">
        <f t="shared" si="41"/>
        <v>-106.86457222117467</v>
      </c>
      <c r="BZ74" s="256">
        <f t="shared" si="41"/>
        <v>100.10764031099019</v>
      </c>
      <c r="CA74" s="256">
        <f t="shared" si="41"/>
        <v>-26.047978343444512</v>
      </c>
      <c r="CB74" s="256">
        <f t="shared" si="41"/>
        <v>144.24183888151009</v>
      </c>
      <c r="CC74" s="256">
        <f t="shared" si="41"/>
        <v>186.51692269598615</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c r="A75" s="255" t="s">
        <v>483</v>
      </c>
      <c r="E75" s="256">
        <f>E74-E73</f>
        <v>762.95690162018991</v>
      </c>
      <c r="F75" s="256">
        <f t="shared" ref="F75:BQ75" si="42">F74-F73</f>
        <v>475.8486960108404</v>
      </c>
      <c r="G75" s="256">
        <f t="shared" si="42"/>
        <v>729.34965365427286</v>
      </c>
      <c r="H75" s="256">
        <f t="shared" si="42"/>
        <v>1160.1878470232737</v>
      </c>
      <c r="I75" s="256">
        <f t="shared" si="42"/>
        <v>858.21241575469742</v>
      </c>
      <c r="J75" s="256">
        <f t="shared" si="42"/>
        <v>604.47678235301248</v>
      </c>
      <c r="K75" s="256">
        <f t="shared" si="42"/>
        <v>882.44028060315077</v>
      </c>
      <c r="L75" s="256">
        <f t="shared" si="42"/>
        <v>1338.9778822452099</v>
      </c>
      <c r="M75" s="256">
        <f t="shared" si="42"/>
        <v>1070.3095119545396</v>
      </c>
      <c r="N75" s="256">
        <f t="shared" si="42"/>
        <v>685.39052208577277</v>
      </c>
      <c r="O75" s="256">
        <f t="shared" si="42"/>
        <v>938.90846228733983</v>
      </c>
      <c r="P75" s="256">
        <f t="shared" si="42"/>
        <v>1466.9243633606156</v>
      </c>
      <c r="Q75" s="256">
        <f t="shared" si="42"/>
        <v>864.54248459620192</v>
      </c>
      <c r="R75" s="256">
        <f t="shared" si="42"/>
        <v>729.03706121662958</v>
      </c>
      <c r="S75" s="256">
        <f t="shared" si="42"/>
        <v>930.50443161556211</v>
      </c>
      <c r="T75" s="256">
        <f t="shared" si="42"/>
        <v>1464.4663690729542</v>
      </c>
      <c r="U75" s="256">
        <f t="shared" si="42"/>
        <v>309.37340152463247</v>
      </c>
      <c r="V75" s="256">
        <f t="shared" si="42"/>
        <v>415.45221247859183</v>
      </c>
      <c r="W75" s="256">
        <f t="shared" si="42"/>
        <v>469.98726936073047</v>
      </c>
      <c r="X75" s="256">
        <f t="shared" si="42"/>
        <v>941.70394479236404</v>
      </c>
      <c r="Y75" s="256">
        <f t="shared" si="42"/>
        <v>-240.80736618143595</v>
      </c>
      <c r="Z75" s="256">
        <f t="shared" si="42"/>
        <v>202.32686974852697</v>
      </c>
      <c r="AA75" s="256">
        <f t="shared" si="42"/>
        <v>219.67003999369732</v>
      </c>
      <c r="AB75" s="256">
        <f t="shared" si="42"/>
        <v>477.32063635186938</v>
      </c>
      <c r="AC75" s="256">
        <f t="shared" si="42"/>
        <v>-407.59839112658517</v>
      </c>
      <c r="AD75" s="256">
        <f t="shared" si="42"/>
        <v>176.4526644494251</v>
      </c>
      <c r="AE75" s="256">
        <f t="shared" si="42"/>
        <v>277.21315522477812</v>
      </c>
      <c r="AF75" s="256">
        <f t="shared" si="42"/>
        <v>490.34473740222722</v>
      </c>
      <c r="AG75" s="256">
        <f t="shared" si="42"/>
        <v>-108.2878213220857</v>
      </c>
      <c r="AH75" s="256">
        <f t="shared" si="42"/>
        <v>250.3145150131476</v>
      </c>
      <c r="AI75" s="256">
        <f t="shared" si="42"/>
        <v>430.75687229701992</v>
      </c>
      <c r="AJ75" s="256">
        <f t="shared" si="42"/>
        <v>657.12985179123086</v>
      </c>
      <c r="AK75" s="256">
        <f t="shared" si="42"/>
        <v>69.120653181335527</v>
      </c>
      <c r="AL75" s="256">
        <f t="shared" si="42"/>
        <v>250.94669696816405</v>
      </c>
      <c r="AM75" s="256">
        <f t="shared" si="42"/>
        <v>430.70956877109069</v>
      </c>
      <c r="AN75" s="256">
        <f t="shared" si="42"/>
        <v>609.18050368250931</v>
      </c>
      <c r="AO75" s="256">
        <f t="shared" si="42"/>
        <v>146.28536635649252</v>
      </c>
      <c r="AP75" s="256">
        <f t="shared" si="42"/>
        <v>198.3098558885228</v>
      </c>
      <c r="AQ75" s="256">
        <f t="shared" si="42"/>
        <v>335.38505862285621</v>
      </c>
      <c r="AR75" s="256">
        <f t="shared" si="42"/>
        <v>475.31727514994685</v>
      </c>
      <c r="AS75" s="256">
        <f t="shared" si="42"/>
        <v>187.7552361919912</v>
      </c>
      <c r="AT75" s="256">
        <f t="shared" si="42"/>
        <v>206.44091345922612</v>
      </c>
      <c r="AU75" s="256">
        <f t="shared" si="42"/>
        <v>332.75961055506167</v>
      </c>
      <c r="AV75" s="256">
        <f t="shared" si="42"/>
        <v>457.90904320179862</v>
      </c>
      <c r="AW75" s="256">
        <f t="shared" si="42"/>
        <v>212.2117173774034</v>
      </c>
      <c r="AX75" s="256">
        <f t="shared" si="42"/>
        <v>208.05814858708951</v>
      </c>
      <c r="AY75" s="256">
        <f t="shared" si="42"/>
        <v>281.78910128732934</v>
      </c>
      <c r="AZ75" s="256">
        <f t="shared" si="42"/>
        <v>530.10544392491022</v>
      </c>
      <c r="BA75" s="256">
        <f t="shared" si="42"/>
        <v>206.38002911413886</v>
      </c>
      <c r="BB75" s="256">
        <f t="shared" si="42"/>
        <v>201.32363813090939</v>
      </c>
      <c r="BC75" s="256">
        <f t="shared" si="42"/>
        <v>235.02846634496848</v>
      </c>
      <c r="BD75" s="256">
        <f t="shared" si="42"/>
        <v>333.33246521979993</v>
      </c>
      <c r="BE75" s="256">
        <f t="shared" si="42"/>
        <v>120.48997284133516</v>
      </c>
      <c r="BF75" s="256">
        <f t="shared" si="42"/>
        <v>136.79426737443066</v>
      </c>
      <c r="BG75" s="256">
        <f t="shared" si="42"/>
        <v>173.14257332893354</v>
      </c>
      <c r="BH75" s="256">
        <f t="shared" si="42"/>
        <v>181.21303046577697</v>
      </c>
      <c r="BI75" s="256">
        <f t="shared" si="42"/>
        <v>41.268506686999714</v>
      </c>
      <c r="BJ75" s="256">
        <f t="shared" si="42"/>
        <v>143.30610064858274</v>
      </c>
      <c r="BK75" s="256">
        <f t="shared" si="42"/>
        <v>148.8319907405926</v>
      </c>
      <c r="BL75" s="256">
        <f t="shared" si="42"/>
        <v>222.83777822379886</v>
      </c>
      <c r="BM75" s="256">
        <f t="shared" si="42"/>
        <v>-41.875202207572222</v>
      </c>
      <c r="BN75" s="256">
        <f t="shared" si="42"/>
        <v>92.430569208875013</v>
      </c>
      <c r="BO75" s="256">
        <f t="shared" si="42"/>
        <v>145.71573472157212</v>
      </c>
      <c r="BP75" s="256">
        <f t="shared" si="42"/>
        <v>241.37610683772311</v>
      </c>
      <c r="BQ75" s="256">
        <f t="shared" si="42"/>
        <v>-123.588714845323</v>
      </c>
      <c r="BR75" s="256" t="e">
        <f t="shared" ref="BR75:CJ75" si="43">BR74-BR73</f>
        <v>#DIV/0!</v>
      </c>
      <c r="BS75" s="256">
        <f t="shared" si="43"/>
        <v>175.96752898958314</v>
      </c>
      <c r="BT75" s="256">
        <f t="shared" si="43"/>
        <v>215.73207248291004</v>
      </c>
      <c r="BU75" s="256">
        <f t="shared" si="43"/>
        <v>66.055747528298497</v>
      </c>
      <c r="BV75" s="256">
        <f t="shared" si="43"/>
        <v>238.91126890636943</v>
      </c>
      <c r="BW75" s="256">
        <f t="shared" si="43"/>
        <v>125.7658857551102</v>
      </c>
      <c r="BX75" s="256">
        <f t="shared" si="43"/>
        <v>130.0601668771441</v>
      </c>
      <c r="BY75" s="256">
        <f t="shared" si="43"/>
        <v>-100.4684207597019</v>
      </c>
      <c r="BZ75" s="256">
        <f t="shared" si="43"/>
        <v>141.93545888648467</v>
      </c>
      <c r="CA75" s="256">
        <f t="shared" si="43"/>
        <v>-19.054376004440797</v>
      </c>
      <c r="CB75" s="256">
        <f t="shared" si="43"/>
        <v>142.33041812198402</v>
      </c>
      <c r="CC75" s="256">
        <f t="shared" si="43"/>
        <v>188.63752223446161</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c r="A76" s="149" t="s">
        <v>484</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14999999999998" customHeight="1">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c r="A81" s="70" t="s">
        <v>580</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581</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c r="A83" s="251" t="s">
        <v>582</v>
      </c>
      <c r="E83" s="155">
        <f>E81/E82</f>
        <v>3.9510954918113357</v>
      </c>
      <c r="F83" s="155">
        <f t="shared" ref="F83:BQ83" si="46">F81/F82</f>
        <v>2.9182723662081593</v>
      </c>
      <c r="G83" s="155">
        <f t="shared" si="46"/>
        <v>2.0553823529743229</v>
      </c>
      <c r="H83" s="155">
        <f t="shared" si="46"/>
        <v>1.3274670836639584</v>
      </c>
      <c r="I83" s="155">
        <f t="shared" si="46"/>
        <v>3.2012063331792051</v>
      </c>
      <c r="J83" s="155">
        <f t="shared" si="46"/>
        <v>2.2941857165460786</v>
      </c>
      <c r="K83" s="155">
        <f t="shared" si="46"/>
        <v>1.6999839458291235</v>
      </c>
      <c r="L83" s="155">
        <f t="shared" si="46"/>
        <v>1.1227785777286672</v>
      </c>
      <c r="M83" s="155">
        <f t="shared" si="46"/>
        <v>2.7256722100509805</v>
      </c>
      <c r="N83" s="155">
        <f t="shared" si="46"/>
        <v>1.9431374385590454</v>
      </c>
      <c r="O83" s="155">
        <f t="shared" si="46"/>
        <v>1.4262440007412385</v>
      </c>
      <c r="P83" s="155">
        <f t="shared" si="46"/>
        <v>0.85803557910690309</v>
      </c>
      <c r="Q83" s="155">
        <f t="shared" si="46"/>
        <v>2.6576747181243956</v>
      </c>
      <c r="R83" s="155">
        <f t="shared" si="46"/>
        <v>1.9199226509238365</v>
      </c>
      <c r="S83" s="155">
        <f t="shared" si="46"/>
        <v>1.5236992528832143</v>
      </c>
      <c r="T83" s="155">
        <f t="shared" si="46"/>
        <v>0.86809328812755016</v>
      </c>
      <c r="U83" s="155">
        <f t="shared" si="46"/>
        <v>3.439988420621459</v>
      </c>
      <c r="V83" s="155">
        <f t="shared" si="46"/>
        <v>2.6595691441398412</v>
      </c>
      <c r="W83" s="155">
        <f t="shared" si="46"/>
        <v>2.1244039496339049</v>
      </c>
      <c r="X83" s="155">
        <f t="shared" si="46"/>
        <v>1.1869194316726701</v>
      </c>
      <c r="Y83" s="155">
        <f t="shared" si="46"/>
        <v>5.0422893833513678</v>
      </c>
      <c r="Z83" s="155">
        <f t="shared" si="46"/>
        <v>3.840276963233364</v>
      </c>
      <c r="AA83" s="155">
        <f t="shared" si="46"/>
        <v>2.6981116875585469</v>
      </c>
      <c r="AB83" s="155">
        <f t="shared" si="46"/>
        <v>1.4449159520596642</v>
      </c>
      <c r="AC83" s="155">
        <f t="shared" si="46"/>
        <v>3.5211057880747987</v>
      </c>
      <c r="AD83" s="155">
        <f t="shared" si="46"/>
        <v>2.6791291993193318</v>
      </c>
      <c r="AE83" s="155">
        <f t="shared" si="46"/>
        <v>1.9496158912877306</v>
      </c>
      <c r="AF83" s="155">
        <f t="shared" si="46"/>
        <v>1.1313316501988777</v>
      </c>
      <c r="AG83" s="155">
        <f t="shared" si="46"/>
        <v>2.7812859776726855</v>
      </c>
      <c r="AH83" s="155">
        <f t="shared" si="46"/>
        <v>2.0530816020926537</v>
      </c>
      <c r="AI83" s="155">
        <f t="shared" si="46"/>
        <v>1.4640001881262368</v>
      </c>
      <c r="AJ83" s="155">
        <f t="shared" si="46"/>
        <v>0.98901527094955943</v>
      </c>
      <c r="AK83" s="155">
        <f t="shared" si="46"/>
        <v>2.484955523998126</v>
      </c>
      <c r="AL83" s="155">
        <f t="shared" si="46"/>
        <v>1.7761727489720707</v>
      </c>
      <c r="AM83" s="155">
        <f t="shared" si="46"/>
        <v>1.475027265036549</v>
      </c>
      <c r="AN83" s="155">
        <f t="shared" si="46"/>
        <v>0.90606704230465451</v>
      </c>
      <c r="AO83" s="155">
        <f t="shared" si="46"/>
        <v>2.2513858873847314</v>
      </c>
      <c r="AP83" s="155">
        <f t="shared" si="46"/>
        <v>1.3587599234465084</v>
      </c>
      <c r="AQ83" s="155">
        <f t="shared" si="46"/>
        <v>0.92958823262866042</v>
      </c>
      <c r="AR83" s="155">
        <f t="shared" si="46"/>
        <v>0.61926187468161786</v>
      </c>
      <c r="AS83" s="155">
        <f t="shared" si="46"/>
        <v>1.4404290046356414</v>
      </c>
      <c r="AT83" s="155">
        <f t="shared" si="46"/>
        <v>1.1803259347203261</v>
      </c>
      <c r="AU83" s="155">
        <f t="shared" si="46"/>
        <v>0.84061322507158853</v>
      </c>
      <c r="AV83" s="155">
        <f t="shared" si="46"/>
        <v>0.57552600269280885</v>
      </c>
      <c r="AW83" s="155">
        <f t="shared" si="46"/>
        <v>1.3927263919460009</v>
      </c>
      <c r="AX83" s="155">
        <f t="shared" si="46"/>
        <v>1.1002480200396034</v>
      </c>
      <c r="AY83" s="155">
        <f t="shared" si="46"/>
        <v>0.80277448015940689</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c r="A84" s="70" t="s">
        <v>583</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c r="A85" s="251" t="s">
        <v>584</v>
      </c>
      <c r="E85" s="155">
        <f>E81/E84</f>
        <v>5.7036002973523425</v>
      </c>
      <c r="F85" s="155">
        <f t="shared" ref="F85:BQ85" si="48">F81/F84</f>
        <v>4.1641562971946025</v>
      </c>
      <c r="G85" s="155">
        <f t="shared" si="48"/>
        <v>2.9417162973600335</v>
      </c>
      <c r="H85" s="155">
        <f t="shared" si="48"/>
        <v>1.8960870987106533</v>
      </c>
      <c r="I85" s="155">
        <f t="shared" si="48"/>
        <v>4.5191318764746411</v>
      </c>
      <c r="J85" s="155">
        <f t="shared" si="48"/>
        <v>3.4870476847872571</v>
      </c>
      <c r="K85" s="155">
        <f t="shared" si="48"/>
        <v>2.559635214812999</v>
      </c>
      <c r="L85" s="155">
        <f t="shared" si="48"/>
        <v>1.6831949721222381</v>
      </c>
      <c r="M85" s="155">
        <f t="shared" si="48"/>
        <v>4.0503197865962894</v>
      </c>
      <c r="N85" s="155">
        <f t="shared" si="48"/>
        <v>2.7778874800548872</v>
      </c>
      <c r="O85" s="155">
        <f t="shared" si="48"/>
        <v>2.0137221465960127</v>
      </c>
      <c r="P85" s="155">
        <f t="shared" si="48"/>
        <v>1.2111559209043741</v>
      </c>
      <c r="Q85" s="155">
        <f t="shared" si="48"/>
        <v>3.7014986324908561</v>
      </c>
      <c r="R85" s="155">
        <f t="shared" si="48"/>
        <v>2.6368651549568813</v>
      </c>
      <c r="S85" s="155">
        <f t="shared" si="48"/>
        <v>2.0757934806961171</v>
      </c>
      <c r="T85" s="155">
        <f t="shared" si="48"/>
        <v>1.1694800020050593</v>
      </c>
      <c r="U85" s="155">
        <f t="shared" si="48"/>
        <v>4.2023225370289694</v>
      </c>
      <c r="V85" s="155">
        <f t="shared" si="48"/>
        <v>3.4870223718556708</v>
      </c>
      <c r="W85" s="155">
        <f t="shared" si="48"/>
        <v>2.7532753852820919</v>
      </c>
      <c r="X85" s="155">
        <f t="shared" si="48"/>
        <v>1.5059965198662779</v>
      </c>
      <c r="Y85" s="155">
        <f t="shared" si="48"/>
        <v>4.9481309284202766</v>
      </c>
      <c r="Z85" s="155">
        <f t="shared" si="48"/>
        <v>3.8567273138392468</v>
      </c>
      <c r="AA85" s="155">
        <f t="shared" si="48"/>
        <v>2.6831630958778074</v>
      </c>
      <c r="AB85" s="155">
        <f t="shared" si="48"/>
        <v>1.4251119560891012</v>
      </c>
      <c r="AC85" s="155">
        <f t="shared" si="48"/>
        <v>3.4463004654416016</v>
      </c>
      <c r="AD85" s="155">
        <f t="shared" si="48"/>
        <v>2.5797352786129153</v>
      </c>
      <c r="AE85" s="155">
        <f t="shared" si="48"/>
        <v>1.7149168232889176</v>
      </c>
      <c r="AF85" s="155">
        <f t="shared" si="48"/>
        <v>1.0052103099088194</v>
      </c>
      <c r="AG85" s="155">
        <f t="shared" si="48"/>
        <v>2.4384411430631316</v>
      </c>
      <c r="AH85" s="155">
        <f t="shared" si="48"/>
        <v>1.7543628793916473</v>
      </c>
      <c r="AI85" s="155">
        <f t="shared" si="48"/>
        <v>1.1331630358257552</v>
      </c>
      <c r="AJ85" s="155">
        <f t="shared" si="48"/>
        <v>0.6600754671902237</v>
      </c>
      <c r="AK85" s="155">
        <f t="shared" si="48"/>
        <v>1.6045756387017258</v>
      </c>
      <c r="AL85" s="155">
        <f t="shared" si="48"/>
        <v>1.1939908041746428</v>
      </c>
      <c r="AM85" s="155">
        <f t="shared" si="48"/>
        <v>0.77776482703740302</v>
      </c>
      <c r="AN85" s="155">
        <f t="shared" si="48"/>
        <v>0.78638892375278246</v>
      </c>
      <c r="AO85" s="155">
        <f t="shared" si="48"/>
        <v>1.8302657047164539</v>
      </c>
      <c r="AP85" s="155">
        <f t="shared" si="48"/>
        <v>1.4275808070531897</v>
      </c>
      <c r="AQ85" s="155">
        <f t="shared" si="48"/>
        <v>0.97569750166174718</v>
      </c>
      <c r="AR85" s="155">
        <f t="shared" si="48"/>
        <v>0.66967525537016737</v>
      </c>
      <c r="AS85" s="155">
        <f t="shared" si="48"/>
        <v>1.5690628962748467</v>
      </c>
      <c r="AT85" s="155">
        <f t="shared" si="48"/>
        <v>1.2247208664672784</v>
      </c>
      <c r="AU85" s="155">
        <f t="shared" si="48"/>
        <v>0.86523976902539157</v>
      </c>
      <c r="AV85" s="155">
        <f t="shared" si="48"/>
        <v>0.59224035387752161</v>
      </c>
      <c r="AW85" s="155">
        <f t="shared" si="48"/>
        <v>1.4220785867204533</v>
      </c>
      <c r="AX85" s="155">
        <f t="shared" si="48"/>
        <v>1.1258408518933483</v>
      </c>
      <c r="AY85" s="155">
        <f t="shared" si="48"/>
        <v>0.82093507662854426</v>
      </c>
      <c r="AZ85" s="155">
        <f t="shared" si="48"/>
        <v>0.51789355796854963</v>
      </c>
      <c r="BA85" s="155">
        <f t="shared" si="48"/>
        <v>1.1933003104913154</v>
      </c>
      <c r="BB85" s="155">
        <f t="shared" si="48"/>
        <v>0.9112925658944101</v>
      </c>
      <c r="BC85" s="155">
        <f t="shared" si="48"/>
        <v>0.68352171759191471</v>
      </c>
      <c r="BD85" s="155">
        <f t="shared" si="48"/>
        <v>0.44084727270322366</v>
      </c>
      <c r="BE85" s="155">
        <f t="shared" si="48"/>
        <v>1.1151539891028015</v>
      </c>
      <c r="BF85" s="155">
        <f t="shared" si="48"/>
        <v>0.97567573843383126</v>
      </c>
      <c r="BG85" s="155">
        <f t="shared" si="48"/>
        <v>0.72340594053233009</v>
      </c>
      <c r="BH85" s="155">
        <f t="shared" si="48"/>
        <v>0.50455910949582106</v>
      </c>
      <c r="BI85" s="155">
        <f t="shared" si="48"/>
        <v>1.2934496364777019</v>
      </c>
      <c r="BJ85" s="155">
        <f t="shared" si="48"/>
        <v>1.2610142147620624</v>
      </c>
      <c r="BK85" s="155">
        <f t="shared" si="48"/>
        <v>0.90987642284172243</v>
      </c>
      <c r="BL85" s="155">
        <f t="shared" si="48"/>
        <v>0.63895683305768414</v>
      </c>
      <c r="BM85" s="155">
        <f t="shared" si="48"/>
        <v>1.5842621785265123</v>
      </c>
      <c r="BN85" s="155">
        <f t="shared" si="48"/>
        <v>1.3117945155196113</v>
      </c>
      <c r="BO85" s="155">
        <f t="shared" si="48"/>
        <v>1.0048696800902592</v>
      </c>
      <c r="BP85" s="155">
        <f t="shared" si="48"/>
        <v>0.7427559786805823</v>
      </c>
      <c r="BQ85" s="155">
        <f t="shared" si="48"/>
        <v>1.5425521811602825</v>
      </c>
      <c r="BR85" s="155" t="e">
        <f t="shared" ref="BR85:CK85" si="49">BR81/BR84</f>
        <v>#DIV/0!</v>
      </c>
      <c r="BS85" s="155">
        <f t="shared" si="49"/>
        <v>0.94038340925798403</v>
      </c>
      <c r="BT85" s="155">
        <f t="shared" si="49"/>
        <v>1.5076751197614873</v>
      </c>
      <c r="BU85" s="155">
        <f t="shared" si="49"/>
        <v>3.2390357473991265</v>
      </c>
      <c r="BV85" s="155">
        <f t="shared" si="49"/>
        <v>2.1421577648654417</v>
      </c>
      <c r="BW85" s="155">
        <f t="shared" si="49"/>
        <v>2.7456836141451348</v>
      </c>
      <c r="BX85" s="155">
        <f t="shared" si="49"/>
        <v>2.458938476095474</v>
      </c>
      <c r="BY85" s="155">
        <f t="shared" si="49"/>
        <v>3.5152652752411959</v>
      </c>
      <c r="BZ85" s="155">
        <f t="shared" si="49"/>
        <v>2.6553383061191722</v>
      </c>
      <c r="CA85" s="155">
        <f t="shared" si="49"/>
        <v>9.7752543687855393</v>
      </c>
      <c r="CB85" s="155">
        <f t="shared" si="49"/>
        <v>5.8757843000317971</v>
      </c>
      <c r="CC85" s="155">
        <f t="shared" si="49"/>
        <v>5.7724074563924237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c r="A86" s="70" t="s">
        <v>585</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4" t="s">
        <v>586</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587</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588</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591</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c r="A93" s="251" t="s">
        <v>690</v>
      </c>
      <c r="E93" s="155">
        <f>E81/E92</f>
        <v>75.587429380573866</v>
      </c>
      <c r="F93" s="155">
        <f t="shared" ref="F93:BQ93" si="52">F81/F92</f>
        <v>54.805044088389003</v>
      </c>
      <c r="G93" s="155">
        <f t="shared" si="52"/>
        <v>38.848255209244179</v>
      </c>
      <c r="H93" s="155">
        <f t="shared" si="52"/>
        <v>25.184511086042395</v>
      </c>
      <c r="I93" s="155">
        <f t="shared" si="52"/>
        <v>60.986626090253431</v>
      </c>
      <c r="J93" s="155">
        <f t="shared" si="52"/>
        <v>43.696500889524593</v>
      </c>
      <c r="K93" s="155">
        <f t="shared" si="52"/>
        <v>32.468556931868626</v>
      </c>
      <c r="L93" s="155">
        <f t="shared" si="52"/>
        <v>21.495345151577339</v>
      </c>
      <c r="M93" s="155">
        <f t="shared" si="52"/>
        <v>52.610586484843509</v>
      </c>
      <c r="N93" s="155">
        <f t="shared" si="52"/>
        <v>36.568421212758494</v>
      </c>
      <c r="O93" s="155">
        <f t="shared" si="52"/>
        <v>26.938792594947984</v>
      </c>
      <c r="P93" s="155">
        <f t="shared" si="52"/>
        <v>16.08274589972584</v>
      </c>
      <c r="Q93" s="155">
        <f t="shared" si="52"/>
        <v>49.840625499128009</v>
      </c>
      <c r="R93" s="155">
        <f t="shared" si="52"/>
        <v>36.974677505651123</v>
      </c>
      <c r="S93" s="155">
        <f t="shared" si="52"/>
        <v>40.287054085227439</v>
      </c>
      <c r="T93" s="155">
        <f t="shared" si="52"/>
        <v>23.0513589196865</v>
      </c>
      <c r="U93" s="155">
        <f t="shared" si="52"/>
        <v>84.179290875047613</v>
      </c>
      <c r="V93" s="155">
        <f t="shared" si="52"/>
        <v>66.976073795340326</v>
      </c>
      <c r="W93" s="155">
        <f t="shared" si="52"/>
        <v>54.169013150418479</v>
      </c>
      <c r="X93" s="155">
        <f t="shared" si="52"/>
        <v>30.140808495572252</v>
      </c>
      <c r="Y93" s="155">
        <f t="shared" si="52"/>
        <v>93.873529628083617</v>
      </c>
      <c r="Z93" s="155">
        <f t="shared" si="52"/>
        <v>72.385796024477983</v>
      </c>
      <c r="AA93" s="155">
        <f t="shared" si="52"/>
        <v>51.16303927096709</v>
      </c>
      <c r="AB93" s="155">
        <f t="shared" si="52"/>
        <v>27.785915464350023</v>
      </c>
      <c r="AC93" s="155">
        <f t="shared" si="52"/>
        <v>68.410540313051868</v>
      </c>
      <c r="AD93" s="155">
        <f t="shared" si="52"/>
        <v>53.147479815795563</v>
      </c>
      <c r="AE93" s="155">
        <f t="shared" si="52"/>
        <v>35.781956320778988</v>
      </c>
      <c r="AF93" s="155">
        <f t="shared" si="52"/>
        <v>20.964445721365799</v>
      </c>
      <c r="AG93" s="155">
        <f t="shared" si="52"/>
        <v>51.873737945910136</v>
      </c>
      <c r="AH93" s="155">
        <f t="shared" si="52"/>
        <v>38.063995275663693</v>
      </c>
      <c r="AI93" s="155">
        <f t="shared" si="52"/>
        <v>24.958378961506149</v>
      </c>
      <c r="AJ93" s="155">
        <f t="shared" si="52"/>
        <v>14.690368397201572</v>
      </c>
      <c r="AK93" s="155">
        <f t="shared" si="52"/>
        <v>36.122829800929196</v>
      </c>
      <c r="AL93" s="155">
        <f t="shared" si="52"/>
        <v>25.876425591040505</v>
      </c>
      <c r="AM93" s="155">
        <f t="shared" si="52"/>
        <v>17.085925560646814</v>
      </c>
      <c r="AN93" s="155">
        <f t="shared" si="52"/>
        <v>55.182976069057339</v>
      </c>
      <c r="AO93" s="155">
        <f t="shared" si="52"/>
        <v>130.26038390221561</v>
      </c>
      <c r="AP93" s="155">
        <f t="shared" si="52"/>
        <v>107.06590566645308</v>
      </c>
      <c r="AQ93" s="155">
        <f t="shared" si="52"/>
        <v>74.373146829344677</v>
      </c>
      <c r="AR93" s="155">
        <f t="shared" si="52"/>
        <v>49.703435695268361</v>
      </c>
      <c r="AS93" s="155">
        <f t="shared" si="52"/>
        <v>117.27984775919506</v>
      </c>
      <c r="AT93" s="155">
        <f t="shared" si="52"/>
        <v>96.098116332689159</v>
      </c>
      <c r="AU93" s="155">
        <f t="shared" si="52"/>
        <v>68.628679622015483</v>
      </c>
      <c r="AV93" s="155">
        <f t="shared" si="52"/>
        <v>47.267220796242107</v>
      </c>
      <c r="AW93" s="155">
        <f t="shared" si="52"/>
        <v>115.27533069928171</v>
      </c>
      <c r="AX93" s="155">
        <f t="shared" si="52"/>
        <v>92.376018053586208</v>
      </c>
      <c r="AY93" s="155">
        <f t="shared" si="52"/>
        <v>67.785050701355502</v>
      </c>
      <c r="AZ93" s="155">
        <f t="shared" si="52"/>
        <v>41.837253409176277</v>
      </c>
      <c r="BA93" s="155">
        <f t="shared" si="52"/>
        <v>97.757324023746946</v>
      </c>
      <c r="BB93" s="155">
        <f t="shared" si="52"/>
        <v>75.204775613729026</v>
      </c>
      <c r="BC93" s="155">
        <f t="shared" si="52"/>
        <v>57.288696408730686</v>
      </c>
      <c r="BD93" s="155">
        <f t="shared" si="52"/>
        <v>36.940386840321523</v>
      </c>
      <c r="BE93" s="155">
        <f t="shared" si="52"/>
        <v>93.649652361281255</v>
      </c>
      <c r="BF93" s="155">
        <f t="shared" si="52"/>
        <v>67.680317340157558</v>
      </c>
      <c r="BG93" s="155">
        <f t="shared" si="52"/>
        <v>50.813304935915077</v>
      </c>
      <c r="BH93" s="155">
        <f t="shared" si="52"/>
        <v>35.799141532128608</v>
      </c>
      <c r="BI93" s="155">
        <f t="shared" si="52"/>
        <v>92.007477396506204</v>
      </c>
      <c r="BJ93" s="155">
        <f t="shared" si="52"/>
        <v>67.038334858538022</v>
      </c>
      <c r="BK93" s="155">
        <f t="shared" si="52"/>
        <v>49.217872952871694</v>
      </c>
      <c r="BL93" s="155">
        <f t="shared" si="52"/>
        <v>32.541154683938949</v>
      </c>
      <c r="BM93" s="155">
        <f t="shared" si="52"/>
        <v>81.176002765299842</v>
      </c>
      <c r="BN93" s="155">
        <f t="shared" si="52"/>
        <v>61.755614988887338</v>
      </c>
      <c r="BO93" s="155">
        <f t="shared" si="52"/>
        <v>47.408015467724049</v>
      </c>
      <c r="BP93" s="155">
        <f t="shared" si="52"/>
        <v>30.961221603310939</v>
      </c>
      <c r="BQ93" s="155">
        <f t="shared" si="52"/>
        <v>64.466429958344335</v>
      </c>
      <c r="BR93" s="155" t="e">
        <f t="shared" ref="BR93:CK93" si="53">BR81/BR92</f>
        <v>#DIV/0!</v>
      </c>
      <c r="BS93" s="155">
        <f t="shared" si="53"/>
        <v>38.281852859919333</v>
      </c>
      <c r="BT93" s="155">
        <f t="shared" si="53"/>
        <v>27.016174853917818</v>
      </c>
      <c r="BU93" s="155">
        <f t="shared" si="53"/>
        <v>67.277942388937362</v>
      </c>
      <c r="BV93" s="155">
        <f t="shared" si="53"/>
        <v>44.848219793811786</v>
      </c>
      <c r="BW93" s="155">
        <f t="shared" si="53"/>
        <v>56.911328869284311</v>
      </c>
      <c r="BX93" s="155">
        <f t="shared" si="53"/>
        <v>28.982746632944114</v>
      </c>
      <c r="BY93" s="155">
        <f t="shared" si="53"/>
        <v>42.017011532849232</v>
      </c>
      <c r="BZ93" s="155">
        <f t="shared" si="53"/>
        <v>18.344496298891311</v>
      </c>
      <c r="CA93" s="155">
        <f t="shared" si="53"/>
        <v>34.727768957289058</v>
      </c>
      <c r="CB93" s="155">
        <f t="shared" si="53"/>
        <v>26.935205555086053</v>
      </c>
      <c r="CC93" s="155">
        <f t="shared" si="53"/>
        <v>18.811781333212011</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593</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594</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595</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c r="A100" s="88" t="s">
        <v>687</v>
      </c>
      <c r="E100" s="197">
        <f>(E84+I84)/2</f>
        <v>5361834580.1800003</v>
      </c>
      <c r="F100" s="197">
        <f t="shared" ref="F100:BQ100" si="54">(F84+J84)/2</f>
        <v>5176814006.3500004</v>
      </c>
      <c r="G100" s="197">
        <f t="shared" si="54"/>
        <v>5244465273.5050001</v>
      </c>
      <c r="H100" s="197">
        <f t="shared" si="54"/>
        <v>5300557563.0799999</v>
      </c>
      <c r="I100" s="197">
        <f t="shared" si="54"/>
        <v>5389317840.0200005</v>
      </c>
      <c r="J100" s="197">
        <f t="shared" si="54"/>
        <v>5261446386.7849998</v>
      </c>
      <c r="K100" s="197">
        <f t="shared" si="54"/>
        <v>5374108039.4349995</v>
      </c>
      <c r="L100" s="197">
        <f t="shared" si="54"/>
        <v>5402251530.9200001</v>
      </c>
      <c r="M100" s="197">
        <f t="shared" si="54"/>
        <v>5512016132.2649994</v>
      </c>
      <c r="N100" s="197">
        <f t="shared" si="54"/>
        <v>5580774135.5049992</v>
      </c>
      <c r="O100" s="197">
        <f t="shared" si="54"/>
        <v>5593921785.4099998</v>
      </c>
      <c r="P100" s="197">
        <f t="shared" si="54"/>
        <v>5653589675.7749996</v>
      </c>
      <c r="Q100" s="197">
        <f t="shared" si="54"/>
        <v>5779303916.4049997</v>
      </c>
      <c r="R100" s="197">
        <f t="shared" si="54"/>
        <v>5605406909.1499996</v>
      </c>
      <c r="S100" s="197">
        <f t="shared" si="54"/>
        <v>5627613670.3099995</v>
      </c>
      <c r="T100" s="197">
        <f t="shared" si="54"/>
        <v>5753426646.5550003</v>
      </c>
      <c r="U100" s="197">
        <f t="shared" si="54"/>
        <v>5689681008.0699997</v>
      </c>
      <c r="V100" s="197">
        <f t="shared" si="54"/>
        <v>5487095511.7649994</v>
      </c>
      <c r="W100" s="197">
        <f t="shared" si="54"/>
        <v>5622910634.6200008</v>
      </c>
      <c r="X100" s="197">
        <f t="shared" si="54"/>
        <v>5768139306.6000004</v>
      </c>
      <c r="Y100" s="197">
        <f t="shared" si="54"/>
        <v>5701145848.2399998</v>
      </c>
      <c r="Z100" s="197">
        <f t="shared" si="54"/>
        <v>5771948291.9200001</v>
      </c>
      <c r="AA100" s="197">
        <f t="shared" si="54"/>
        <v>5893493197.7650003</v>
      </c>
      <c r="AB100" s="197">
        <f t="shared" si="54"/>
        <v>5993815832.5650005</v>
      </c>
      <c r="AC100" s="197">
        <f t="shared" si="54"/>
        <v>6139256249.1800003</v>
      </c>
      <c r="AD100" s="197">
        <f t="shared" si="54"/>
        <v>6302499859.0249996</v>
      </c>
      <c r="AE100" s="197">
        <f t="shared" si="54"/>
        <v>6432117718.4400005</v>
      </c>
      <c r="AF100" s="197">
        <f t="shared" si="54"/>
        <v>6509967570.2550001</v>
      </c>
      <c r="AG100" s="197">
        <f t="shared" si="54"/>
        <v>6654692479.7399998</v>
      </c>
      <c r="AH100" s="197">
        <f t="shared" si="54"/>
        <v>6632018913.0050001</v>
      </c>
      <c r="AI100" s="197">
        <f t="shared" si="54"/>
        <v>6776582535.6499996</v>
      </c>
      <c r="AJ100" s="197">
        <f t="shared" si="54"/>
        <v>5526773150.25</v>
      </c>
      <c r="AK100" s="197">
        <f t="shared" si="54"/>
        <v>5635154281.25</v>
      </c>
      <c r="AL100" s="197">
        <f t="shared" si="54"/>
        <v>5666674140.4850006</v>
      </c>
      <c r="AM100" s="197">
        <f t="shared" si="54"/>
        <v>5789379338.1100006</v>
      </c>
      <c r="AN100" s="197">
        <f t="shared" si="54"/>
        <v>4427112399.1949997</v>
      </c>
      <c r="AO100" s="197">
        <f t="shared" si="54"/>
        <v>4502519348.6199999</v>
      </c>
      <c r="AP100" s="197">
        <f t="shared" si="54"/>
        <v>4771254191.7049999</v>
      </c>
      <c r="AQ100" s="197">
        <f t="shared" si="54"/>
        <v>4865532816.9400005</v>
      </c>
      <c r="AR100" s="197">
        <f t="shared" si="54"/>
        <v>4845285541.4750004</v>
      </c>
      <c r="AS100" s="197">
        <f t="shared" si="54"/>
        <v>4932281515.0650005</v>
      </c>
      <c r="AT100" s="197">
        <f t="shared" si="54"/>
        <v>5112040913.9200001</v>
      </c>
      <c r="AU100" s="197">
        <f t="shared" si="54"/>
        <v>5187690793.4050007</v>
      </c>
      <c r="AV100" s="197">
        <f t="shared" si="54"/>
        <v>5177181313.0150003</v>
      </c>
      <c r="AW100" s="197">
        <f t="shared" si="54"/>
        <v>5286448055.6499996</v>
      </c>
      <c r="AX100" s="197">
        <f t="shared" si="54"/>
        <v>5370595477.7950001</v>
      </c>
      <c r="AY100" s="197">
        <f t="shared" si="54"/>
        <v>5462902550.4949999</v>
      </c>
      <c r="AZ100" s="197">
        <f t="shared" si="54"/>
        <v>5436910524.6450005</v>
      </c>
      <c r="BA100" s="197">
        <f t="shared" si="54"/>
        <v>5513133920.5100002</v>
      </c>
      <c r="BB100" s="197">
        <f t="shared" si="54"/>
        <v>5071781454.1399994</v>
      </c>
      <c r="BC100" s="197">
        <f t="shared" si="54"/>
        <v>5174450769.6049995</v>
      </c>
      <c r="BD100" s="197">
        <f t="shared" si="54"/>
        <v>5228608815.5249996</v>
      </c>
      <c r="BE100" s="197">
        <f t="shared" si="54"/>
        <v>5271778102.5900002</v>
      </c>
      <c r="BF100" s="197">
        <f t="shared" si="54"/>
        <v>4186289445.73</v>
      </c>
      <c r="BG100" s="197">
        <f t="shared" si="54"/>
        <v>4272720254.7299995</v>
      </c>
      <c r="BH100" s="197">
        <f t="shared" si="54"/>
        <v>4207783792.8449998</v>
      </c>
      <c r="BI100" s="197">
        <f t="shared" si="54"/>
        <v>4249141218.8999996</v>
      </c>
      <c r="BJ100" s="197">
        <f t="shared" si="54"/>
        <v>3549033662.6599998</v>
      </c>
      <c r="BK100" s="197">
        <f t="shared" si="54"/>
        <v>3605931207.4000001</v>
      </c>
      <c r="BL100" s="197">
        <f t="shared" si="54"/>
        <v>3303496110.585</v>
      </c>
      <c r="BM100" s="197">
        <f t="shared" si="54"/>
        <v>3338095579.7950001</v>
      </c>
      <c r="BN100" s="197">
        <f t="shared" si="54"/>
        <v>1708852563.9300001</v>
      </c>
      <c r="BO100" s="197">
        <f t="shared" si="54"/>
        <v>3220866076.585</v>
      </c>
      <c r="BP100" s="197">
        <f t="shared" si="54"/>
        <v>2186757964.0450001</v>
      </c>
      <c r="BQ100" s="197">
        <f t="shared" si="54"/>
        <v>2147405264.3400002</v>
      </c>
      <c r="BR100" s="197">
        <f t="shared" ref="BR100:CK100" si="55">(BR84+BV84)/2</f>
        <v>622662947.07000005</v>
      </c>
      <c r="BS100" s="197">
        <f t="shared" si="55"/>
        <v>2100600124.3150001</v>
      </c>
      <c r="BT100" s="197">
        <f t="shared" si="55"/>
        <v>1049766798.2850001</v>
      </c>
      <c r="BU100" s="197">
        <f t="shared" si="55"/>
        <v>1010614862.8900001</v>
      </c>
      <c r="BV100" s="197">
        <f t="shared" si="55"/>
        <v>850587463.96500003</v>
      </c>
      <c r="BW100" s="197">
        <f t="shared" si="55"/>
        <v>715301003.84000003</v>
      </c>
      <c r="BX100" s="197">
        <f t="shared" si="55"/>
        <v>497975897.40000004</v>
      </c>
      <c r="BY100" s="197">
        <f t="shared" si="55"/>
        <v>479534269.86000001</v>
      </c>
      <c r="BZ100" s="197">
        <f t="shared" si="55"/>
        <v>227924516.89500001</v>
      </c>
      <c r="CA100" s="197">
        <f t="shared" si="55"/>
        <v>112756882.45</v>
      </c>
      <c r="CB100" s="197">
        <f t="shared" si="55"/>
        <v>111448686.98999999</v>
      </c>
      <c r="CC100" s="197">
        <f t="shared" si="55"/>
        <v>79230692.069999993</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4.25" thickBot="1">
      <c r="A101" s="253" t="s">
        <v>688</v>
      </c>
      <c r="E101" s="252">
        <f>E100/E84</f>
        <v>1.0130845652095157</v>
      </c>
      <c r="F101" s="252">
        <f t="shared" ref="F101:BQ101" si="56">F100/F84</f>
        <v>0.9808653333283891</v>
      </c>
      <c r="G101" s="252">
        <f t="shared" si="56"/>
        <v>0.98761941527179975</v>
      </c>
      <c r="H101" s="252">
        <f t="shared" si="56"/>
        <v>0.98932072415321803</v>
      </c>
      <c r="I101" s="252">
        <f t="shared" si="56"/>
        <v>0.9923094763750494</v>
      </c>
      <c r="J101" s="252">
        <f t="shared" si="56"/>
        <v>1.036569696859267</v>
      </c>
      <c r="K101" s="252">
        <f t="shared" si="56"/>
        <v>1.0377286642524486</v>
      </c>
      <c r="L101" s="252">
        <f t="shared" si="56"/>
        <v>1.0303072296619824</v>
      </c>
      <c r="M101" s="252">
        <f t="shared" si="56"/>
        <v>1.0307554276292372</v>
      </c>
      <c r="N101" s="252">
        <f t="shared" si="56"/>
        <v>1.0245464849450703</v>
      </c>
      <c r="O101" s="252">
        <f t="shared" si="56"/>
        <v>1.0043859440797804</v>
      </c>
      <c r="P101" s="252">
        <f t="shared" si="56"/>
        <v>1.0166200898362445</v>
      </c>
      <c r="Q101" s="252">
        <f t="shared" si="56"/>
        <v>1.0181136120930554</v>
      </c>
      <c r="R101" s="252">
        <f t="shared" si="56"/>
        <v>0.98091277181142478</v>
      </c>
      <c r="S101" s="252">
        <f t="shared" si="56"/>
        <v>1.0016489530847918</v>
      </c>
      <c r="T101" s="252">
        <f t="shared" si="56"/>
        <v>1.0012895799444386</v>
      </c>
      <c r="U101" s="252">
        <f t="shared" si="56"/>
        <v>0.96728316888274268</v>
      </c>
      <c r="V101" s="252">
        <f t="shared" si="56"/>
        <v>0.99831927877655979</v>
      </c>
      <c r="W101" s="252">
        <f t="shared" si="56"/>
        <v>0.99752213372371534</v>
      </c>
      <c r="X101" s="252">
        <f t="shared" si="56"/>
        <v>1.0012676478546598</v>
      </c>
      <c r="Y101" s="252">
        <f t="shared" si="56"/>
        <v>1.037093064346722</v>
      </c>
      <c r="Z101" s="252">
        <f t="shared" si="56"/>
        <v>1.053687152880235</v>
      </c>
      <c r="AA101" s="252">
        <f t="shared" si="56"/>
        <v>1.0507314805708257</v>
      </c>
      <c r="AB101" s="252">
        <f t="shared" si="56"/>
        <v>1.0378107533771526</v>
      </c>
      <c r="AC101" s="252">
        <f t="shared" si="56"/>
        <v>1.0396611116960388</v>
      </c>
      <c r="AD101" s="252">
        <f t="shared" si="56"/>
        <v>1.03898111893504</v>
      </c>
      <c r="AE101" s="252">
        <f t="shared" si="56"/>
        <v>1.0411254048598046</v>
      </c>
      <c r="AF101" s="252">
        <f t="shared" si="56"/>
        <v>1.0479344548099112</v>
      </c>
      <c r="AG101" s="252">
        <f t="shared" si="56"/>
        <v>1.0441259999896446</v>
      </c>
      <c r="AH101" s="252">
        <f t="shared" si="56"/>
        <v>1.0142313241101588</v>
      </c>
      <c r="AI101" s="252">
        <f t="shared" si="56"/>
        <v>1.0135189486654819</v>
      </c>
      <c r="AJ101" s="252">
        <f t="shared" si="56"/>
        <v>0.81183604102348972</v>
      </c>
      <c r="AK101" s="252">
        <f t="shared" si="56"/>
        <v>0.81245862993849483</v>
      </c>
      <c r="AL101" s="252">
        <f t="shared" si="56"/>
        <v>0.84261847914768273</v>
      </c>
      <c r="AM101" s="252">
        <f t="shared" si="56"/>
        <v>0.84307590627187323</v>
      </c>
      <c r="AN101" s="252">
        <f t="shared" si="56"/>
        <v>1.0427037444980878</v>
      </c>
      <c r="AO101" s="252">
        <f t="shared" si="56"/>
        <v>1.0387918012724502</v>
      </c>
      <c r="AP101" s="252">
        <f t="shared" si="56"/>
        <v>1.0353674695618174</v>
      </c>
      <c r="AQ101" s="252">
        <f t="shared" si="56"/>
        <v>1.0326302958108586</v>
      </c>
      <c r="AR101" s="252">
        <f t="shared" si="56"/>
        <v>1.0513975167790881</v>
      </c>
      <c r="AS101" s="252">
        <f t="shared" si="56"/>
        <v>1.0560143207641897</v>
      </c>
      <c r="AT101" s="252">
        <f t="shared" si="56"/>
        <v>1.0360347150475173</v>
      </c>
      <c r="AU101" s="252">
        <f t="shared" si="56"/>
        <v>1.0335528238381373</v>
      </c>
      <c r="AV101" s="252">
        <f t="shared" si="56"/>
        <v>1.0186996205313705</v>
      </c>
      <c r="AW101" s="252">
        <f t="shared" si="56"/>
        <v>1.0178175789941664</v>
      </c>
      <c r="AX101" s="252">
        <f t="shared" si="56"/>
        <v>1.0152652375322839</v>
      </c>
      <c r="AY101" s="252">
        <f t="shared" si="56"/>
        <v>1.0199400143328168</v>
      </c>
      <c r="AZ101" s="252">
        <f t="shared" si="56"/>
        <v>1.0312382884289415</v>
      </c>
      <c r="BA101" s="252">
        <f t="shared" si="56"/>
        <v>1.0249383297274319</v>
      </c>
      <c r="BB101" s="252">
        <f t="shared" si="56"/>
        <v>0.93037228874847155</v>
      </c>
      <c r="BC101" s="252">
        <f t="shared" si="56"/>
        <v>0.92903526336464415</v>
      </c>
      <c r="BD101" s="252">
        <f t="shared" si="56"/>
        <v>0.93341253722345785</v>
      </c>
      <c r="BE101" s="252">
        <f t="shared" si="56"/>
        <v>0.93350797773950822</v>
      </c>
      <c r="BF101" s="252">
        <f t="shared" si="56"/>
        <v>0.89217734787974823</v>
      </c>
      <c r="BG101" s="252">
        <f t="shared" si="56"/>
        <v>0.89402448661761968</v>
      </c>
      <c r="BH101" s="252">
        <f t="shared" si="56"/>
        <v>0.86658153319834497</v>
      </c>
      <c r="BI101" s="252">
        <f t="shared" si="56"/>
        <v>0.86783065537996551</v>
      </c>
      <c r="BJ101" s="252">
        <f t="shared" si="56"/>
        <v>0.96431641024607939</v>
      </c>
      <c r="BK101" s="252">
        <f t="shared" si="56"/>
        <v>0.95743474564442599</v>
      </c>
      <c r="BL101" s="252">
        <f t="shared" si="56"/>
        <v>0.92795995329422287</v>
      </c>
      <c r="BM101" s="252">
        <f t="shared" si="56"/>
        <v>0.92673309639656243</v>
      </c>
      <c r="BN101" s="252">
        <f t="shared" si="56"/>
        <v>0.5</v>
      </c>
      <c r="BO101" s="252">
        <f t="shared" si="56"/>
        <v>0.93477108296170908</v>
      </c>
      <c r="BP101" s="252">
        <f t="shared" si="56"/>
        <v>0.71766707847079925</v>
      </c>
      <c r="BQ101" s="252">
        <f t="shared" si="56"/>
        <v>0.69852764155701208</v>
      </c>
      <c r="BR101" s="252" t="e">
        <f t="shared" ref="BR101:CK101" si="57">BR100/BR84</f>
        <v>#DIV/0!</v>
      </c>
      <c r="BS101" s="252">
        <f t="shared" si="57"/>
        <v>0.70110867691645518</v>
      </c>
      <c r="BT101" s="252">
        <f t="shared" si="57"/>
        <v>0.79139334976099796</v>
      </c>
      <c r="BU101" s="252">
        <f t="shared" si="57"/>
        <v>0.82795033252941574</v>
      </c>
      <c r="BV101" s="252">
        <f t="shared" si="57"/>
        <v>0.68302399232804889</v>
      </c>
      <c r="BW101" s="252">
        <f t="shared" si="57"/>
        <v>0.59356732432297477</v>
      </c>
      <c r="BX101" s="252">
        <f t="shared" si="57"/>
        <v>0.64416667700028585</v>
      </c>
      <c r="BY101" s="252">
        <f t="shared" si="57"/>
        <v>0.59896325747001511</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opLeftCell="A21" workbookViewId="0">
      <selection activeCell="E27" sqref="E27"/>
    </sheetView>
  </sheetViews>
  <sheetFormatPr defaultRowHeight="13.5"/>
  <cols>
    <col min="1" max="1" width="63.25" style="17" bestFit="1" customWidth="1"/>
    <col min="2" max="4" width="9.5" hidden="1" customWidth="1"/>
    <col min="5" max="5" width="21.5" bestFit="1" customWidth="1"/>
    <col min="6" max="8" width="21.5" hidden="1" customWidth="1"/>
    <col min="9" max="9" width="22.625" bestFit="1" customWidth="1"/>
    <col min="10" max="10" width="22.625" hidden="1" customWidth="1"/>
    <col min="11" max="11" width="21.5" hidden="1" customWidth="1"/>
    <col min="12" max="12" width="19.375" hidden="1" customWidth="1"/>
    <col min="13" max="13" width="21.5" bestFit="1" customWidth="1"/>
    <col min="14" max="16" width="21.5" hidden="1" customWidth="1"/>
    <col min="17" max="17" width="20.5" bestFit="1" customWidth="1"/>
    <col min="18" max="18" width="20.5" hidden="1" customWidth="1"/>
    <col min="19" max="20" width="22.625" hidden="1" customWidth="1"/>
    <col min="21" max="21" width="20.5" bestFit="1" customWidth="1"/>
    <col min="22" max="22" width="20.5" hidden="1" customWidth="1"/>
    <col min="23" max="24" width="21.5" hidden="1" customWidth="1"/>
    <col min="25" max="25" width="21.5" bestFit="1" customWidth="1"/>
    <col min="26" max="28" width="21.5" hidden="1" customWidth="1"/>
    <col min="29" max="29" width="21.5" bestFit="1" customWidth="1"/>
    <col min="30" max="32" width="21.5" hidden="1" customWidth="1"/>
    <col min="33" max="33" width="21.5" bestFit="1" customWidth="1"/>
    <col min="34" max="36" width="21.5" hidden="1" customWidth="1"/>
    <col min="37" max="37" width="21.5" bestFit="1" customWidth="1"/>
    <col min="38" max="40" width="21.5" hidden="1" customWidth="1"/>
    <col min="41" max="41" width="21.5" bestFit="1" customWidth="1"/>
    <col min="42" max="42" width="21.5" hidden="1" customWidth="1"/>
    <col min="43" max="43" width="19.375" hidden="1" customWidth="1"/>
    <col min="44" max="44" width="21.5" hidden="1" customWidth="1"/>
    <col min="45" max="45" width="21.5" bestFit="1" customWidth="1"/>
    <col min="46" max="48" width="21.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21.5" bestFit="1" customWidth="1"/>
    <col min="70" max="70" width="19.375" hidden="1" customWidth="1"/>
    <col min="71" max="71" width="19.375" bestFit="1" customWidth="1"/>
    <col min="72" max="72" width="19.375" hidden="1" customWidth="1"/>
    <col min="73" max="73" width="19.375" bestFit="1" customWidth="1"/>
    <col min="74" max="74" width="19.375" hidden="1" customWidth="1"/>
    <col min="75" max="80" width="19.375" bestFit="1" customWidth="1"/>
    <col min="81" max="81" width="17.25" bestFit="1" customWidth="1"/>
    <col min="82" max="82" width="9.375" bestFit="1" customWidth="1"/>
    <col min="83" max="84" width="17.25" bestFit="1" customWidth="1"/>
    <col min="85" max="86" width="16.125" bestFit="1" customWidth="1"/>
    <col min="87" max="87" width="17.25" bestFit="1" customWidth="1"/>
    <col min="88" max="88" width="16.125" bestFit="1" customWidth="1"/>
    <col min="89" max="90" width="9.375" bestFit="1" customWidth="1"/>
  </cols>
  <sheetData>
    <row r="1" spans="1:90" ht="14.4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5144863934.2299995</v>
      </c>
      <c r="F2" s="26">
        <f>现金流量表!F4</f>
        <v>21615471586.720001</v>
      </c>
      <c r="G2" s="26">
        <f>现金流量表!G4</f>
        <v>16309796642.459999</v>
      </c>
      <c r="H2" s="26">
        <f>现金流量表!H4</f>
        <v>10616235400.49</v>
      </c>
      <c r="I2" s="26">
        <f>现金流量表!I4</f>
        <v>5200700279.9200001</v>
      </c>
      <c r="J2" s="26">
        <f>现金流量表!J4</f>
        <v>21700262235.91</v>
      </c>
      <c r="K2" s="26">
        <f>现金流量表!K4</f>
        <v>16059469594.370001</v>
      </c>
      <c r="L2" s="26">
        <f>现金流量表!L4</f>
        <v>10414146211.309999</v>
      </c>
      <c r="M2" s="26">
        <f>现金流量表!M4</f>
        <v>4861017188.1800003</v>
      </c>
      <c r="N2" s="26">
        <f>现金流量表!N4</f>
        <v>22118931049.43</v>
      </c>
      <c r="O2" s="26">
        <f>现金流量表!O4</f>
        <v>16794904023.219999</v>
      </c>
      <c r="P2" s="26">
        <f>现金流量表!P4</f>
        <v>10925609399.530001</v>
      </c>
      <c r="Q2" s="26">
        <f>现金流量表!Q4</f>
        <v>5222057975.54</v>
      </c>
      <c r="R2" s="26">
        <f>现金流量表!R4</f>
        <v>25080462458.5</v>
      </c>
      <c r="S2" s="26">
        <f>现金流量表!S4</f>
        <v>19423122089.759998</v>
      </c>
      <c r="T2" s="26">
        <f>现金流量表!T4</f>
        <v>12152925253.75</v>
      </c>
      <c r="U2" s="26">
        <f>现金流量表!U4</f>
        <v>5753362301.7600002</v>
      </c>
      <c r="V2" s="26">
        <f>现金流量表!V4</f>
        <v>24362876491.75</v>
      </c>
      <c r="W2" s="26">
        <f>现金流量表!W4</f>
        <v>17953117397.18</v>
      </c>
      <c r="X2" s="26">
        <f>现金流量表!X4</f>
        <v>11479746545.02</v>
      </c>
      <c r="Y2" s="26">
        <f>现金流量表!Y4</f>
        <v>5435592112.2799997</v>
      </c>
      <c r="Z2" s="26">
        <f>现金流量表!Z4</f>
        <v>23713487437.599998</v>
      </c>
      <c r="AA2" s="26">
        <f>现金流量表!AA4</f>
        <v>17116459111.469999</v>
      </c>
      <c r="AB2" s="26">
        <f>现金流量表!AB4</f>
        <v>9320542419.0400009</v>
      </c>
      <c r="AC2" s="26">
        <f>现金流量表!AC4</f>
        <v>4030440463.96</v>
      </c>
      <c r="AD2" s="26">
        <f>现金流量表!AD4</f>
        <v>18465684448.189999</v>
      </c>
      <c r="AE2" s="26">
        <f>现金流量表!AE4</f>
        <v>13831613296.459999</v>
      </c>
      <c r="AF2" s="26">
        <f>现金流量表!AF4</f>
        <v>8828234047.4699993</v>
      </c>
      <c r="AG2" s="26">
        <f>现金流量表!AG4</f>
        <v>3743149907.7800002</v>
      </c>
      <c r="AH2" s="26">
        <f>现金流量表!AH4</f>
        <v>16173840511.33</v>
      </c>
      <c r="AI2" s="26">
        <f>现金流量表!AI4</f>
        <v>11733350434.34</v>
      </c>
      <c r="AJ2" s="26">
        <f>现金流量表!AJ4</f>
        <v>7404760641.7200003</v>
      </c>
      <c r="AK2" s="26">
        <f>现金流量表!AK4</f>
        <v>3294722423.1999998</v>
      </c>
      <c r="AL2" s="26">
        <f>现金流量表!AL4</f>
        <v>13826033590.67</v>
      </c>
      <c r="AM2" s="26">
        <f>现金流量表!AM4</f>
        <v>9980752809.7299995</v>
      </c>
      <c r="AN2" s="26">
        <f>现金流量表!AN4</f>
        <v>6157262463.6800003</v>
      </c>
      <c r="AO2" s="26">
        <f>现金流量表!AO4</f>
        <v>2689765070.9099998</v>
      </c>
      <c r="AP2" s="26">
        <f>现金流量表!AP4</f>
        <v>11500866679.030001</v>
      </c>
      <c r="AQ2" s="26">
        <f>现金流量表!AQ4</f>
        <v>8583509185.2200003</v>
      </c>
      <c r="AR2" s="26">
        <f>现金流量表!AR4</f>
        <v>5684145774.6400003</v>
      </c>
      <c r="AS2" s="26">
        <f>现金流量表!AS4</f>
        <v>2438831482.8099999</v>
      </c>
      <c r="AT2" s="26">
        <f>现金流量表!AT4</f>
        <v>11066783694.620001</v>
      </c>
      <c r="AU2" s="26">
        <f>现金流量表!AU4</f>
        <v>7604383352.4200001</v>
      </c>
      <c r="AV2" s="26">
        <f>现金流量表!AV4</f>
        <v>4729115156.0200005</v>
      </c>
      <c r="AW2" s="26">
        <f>现金流量表!AW4</f>
        <v>1972689134.8599999</v>
      </c>
      <c r="AX2" s="26">
        <f>现金流量表!AX4</f>
        <v>8875481920.0499992</v>
      </c>
      <c r="AY2" s="26">
        <f>现金流量表!AY4</f>
        <v>6107895469.0100002</v>
      </c>
      <c r="AZ2" s="26">
        <f>现金流量表!AZ4</f>
        <v>3961296543.5599999</v>
      </c>
      <c r="BA2" s="26">
        <f>现金流量表!BA4</f>
        <v>1648944862.27</v>
      </c>
      <c r="BB2" s="26">
        <f>现金流量表!BB4</f>
        <v>7556068715.5500002</v>
      </c>
      <c r="BC2" s="26">
        <f>现金流量表!BC4</f>
        <v>5313191711.25</v>
      </c>
      <c r="BD2" s="26">
        <f>现金流量表!BD4</f>
        <v>3613762709.4499998</v>
      </c>
      <c r="BE2" s="26">
        <f>现金流量表!BE4</f>
        <v>1589031548.52</v>
      </c>
      <c r="BF2" s="26">
        <f>现金流量表!BF4</f>
        <v>7641177156.1599998</v>
      </c>
      <c r="BG2" s="26">
        <f>现金流量表!BG4</f>
        <v>5367719831.0699997</v>
      </c>
      <c r="BH2" s="26">
        <f>现金流量表!BH4</f>
        <v>3436517133.8200002</v>
      </c>
      <c r="BI2" s="26">
        <f>现金流量表!BI4</f>
        <v>1630715396.5899999</v>
      </c>
      <c r="BJ2" s="26">
        <f>现金流量表!BJ4</f>
        <v>7021176568.6300001</v>
      </c>
      <c r="BK2" s="26">
        <f>现金流量表!BK4</f>
        <v>4952219867.7700005</v>
      </c>
      <c r="BL2" s="26">
        <f>现金流量表!BL4</f>
        <v>3020753474.52</v>
      </c>
      <c r="BM2" s="26">
        <f>现金流量表!BM4</f>
        <v>1256172399.1199999</v>
      </c>
      <c r="BN2" s="26">
        <f>现金流量表!BN4</f>
        <v>5800437064.4300003</v>
      </c>
      <c r="BO2" s="26">
        <f>现金流量表!BO4</f>
        <v>2499687582.1500001</v>
      </c>
      <c r="BP2" s="26">
        <f>现金流量表!BP4</f>
        <v>4718592246.3800001</v>
      </c>
      <c r="BQ2" s="26">
        <f>现金流量表!BQ4</f>
        <v>2179640256.3099999</v>
      </c>
      <c r="BR2" s="26">
        <f>现金流量表!BR4</f>
        <v>4248239660.5100002</v>
      </c>
      <c r="BS2" s="26">
        <f>现金流量表!BS4</f>
        <v>1982968753.8900001</v>
      </c>
      <c r="BT2" s="26">
        <f>现金流量表!BT4</f>
        <v>3947232350.0599999</v>
      </c>
      <c r="BU2" s="26">
        <f>现金流量表!BU4</f>
        <v>1574224982.78</v>
      </c>
      <c r="BV2" s="26">
        <f>现金流量表!BV4</f>
        <v>328128663.93000001</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3981658165.3600001</v>
      </c>
      <c r="F3" s="26">
        <f>利润表!F3</f>
        <v>19471146411.049999</v>
      </c>
      <c r="G3" s="26">
        <f>利润表!G3</f>
        <v>14693527606.42</v>
      </c>
      <c r="H3" s="26">
        <f>利润表!H3</f>
        <v>9613219456.0699997</v>
      </c>
      <c r="I3" s="26">
        <f>利润表!I3</f>
        <v>3794547830.4299998</v>
      </c>
      <c r="J3" s="26">
        <f>利润表!J3</f>
        <v>18938551893.709999</v>
      </c>
      <c r="K3" s="26">
        <f>利润表!K3</f>
        <v>14218450906.1</v>
      </c>
      <c r="L3" s="26">
        <f>利润表!L3</f>
        <v>9271315229.1499996</v>
      </c>
      <c r="M3" s="26">
        <f>利润表!M3</f>
        <v>3775359862.3600001</v>
      </c>
      <c r="N3" s="26">
        <f>利润表!N3</f>
        <v>19295534666.82</v>
      </c>
      <c r="O3" s="26">
        <f>利润表!O3</f>
        <v>14753293830.16</v>
      </c>
      <c r="P3" s="26">
        <f>利润表!P3</f>
        <v>9829497798.7700005</v>
      </c>
      <c r="Q3" s="26">
        <f>利润表!Q3</f>
        <v>4151295665.3000002</v>
      </c>
      <c r="R3" s="26">
        <f>利润表!R3</f>
        <v>20778933220.52</v>
      </c>
      <c r="S3" s="26">
        <f>利润表!S3</f>
        <v>15575183289.370001</v>
      </c>
      <c r="T3" s="26">
        <f>利润表!T3</f>
        <v>10136316637.43</v>
      </c>
      <c r="U3" s="26">
        <f>利润表!U3</f>
        <v>4133240256.1999998</v>
      </c>
      <c r="V3" s="26">
        <f>利润表!V3</f>
        <v>19907077075.110001</v>
      </c>
      <c r="W3" s="26">
        <f>利润表!W3</f>
        <v>14618769623.620001</v>
      </c>
      <c r="X3" s="26">
        <f>利润表!X3</f>
        <v>9381540032.2600002</v>
      </c>
      <c r="Y3" s="26">
        <f>利润表!Y3</f>
        <v>3883863244.5599999</v>
      </c>
      <c r="Z3" s="26">
        <f>利润表!Z3</f>
        <v>17743250879.580002</v>
      </c>
      <c r="AA3" s="26">
        <f>利润表!AA3</f>
        <v>13454135360.23</v>
      </c>
      <c r="AB3" s="26">
        <f>利润表!AB3</f>
        <v>7196076462.4799995</v>
      </c>
      <c r="AC3" s="26">
        <f>利润表!AC3</f>
        <v>3198850932.6599998</v>
      </c>
      <c r="AD3" s="26">
        <f>利润表!AD3</f>
        <v>14502379031.75</v>
      </c>
      <c r="AE3" s="26">
        <f>利润表!AE3</f>
        <v>11431577726.110001</v>
      </c>
      <c r="AF3" s="26">
        <f>利润表!AF3</f>
        <v>7366026241.6199999</v>
      </c>
      <c r="AG3" s="26">
        <f>利润表!AG3</f>
        <v>3228286800.9099998</v>
      </c>
      <c r="AH3" s="26">
        <f>利润表!AH3</f>
        <v>13259978831.02</v>
      </c>
      <c r="AI3" s="26">
        <f>利润表!AI3</f>
        <v>9744452405.0200005</v>
      </c>
      <c r="AJ3" s="26">
        <f>利润表!AJ3</f>
        <v>6310896504.9499998</v>
      </c>
      <c r="AK3" s="26">
        <f>利润表!AK3</f>
        <v>2739090225.46</v>
      </c>
      <c r="AL3" s="26">
        <f>利润表!AL3</f>
        <v>10986235317.82</v>
      </c>
      <c r="AM3" s="26">
        <f>利润表!AM3</f>
        <v>8066224111.6300001</v>
      </c>
      <c r="AN3" s="26">
        <f>利润表!AN3</f>
        <v>5180700037.8599997</v>
      </c>
      <c r="AO3" s="26">
        <f>利润表!AO3</f>
        <v>2344474929.9000001</v>
      </c>
      <c r="AP3" s="26">
        <f>利润表!AP3</f>
        <v>10447383090.459999</v>
      </c>
      <c r="AQ3" s="26">
        <f>利润表!AQ3</f>
        <v>7918918582.4499998</v>
      </c>
      <c r="AR3" s="26">
        <f>利润表!AR3</f>
        <v>5191719881.5</v>
      </c>
      <c r="AS3" s="26">
        <f>利润表!AS3</f>
        <v>2316491412.3400002</v>
      </c>
      <c r="AT3" s="26">
        <f>利润表!AT3</f>
        <v>9186192504.1200008</v>
      </c>
      <c r="AU3" s="26">
        <f>利润表!AU3</f>
        <v>6667310641.75</v>
      </c>
      <c r="AV3" s="26">
        <f>利润表!AV3</f>
        <v>4210749706.7199998</v>
      </c>
      <c r="AW3" s="26">
        <f>利润表!AW3</f>
        <v>1893486265.3399999</v>
      </c>
      <c r="AX3" s="26">
        <f>利润表!AX3</f>
        <v>7320231691.2600002</v>
      </c>
      <c r="AY3" s="26">
        <f>利润表!AY3</f>
        <v>5267808344.0600004</v>
      </c>
      <c r="AZ3" s="26">
        <f>利润表!AZ3</f>
        <v>3436760967.7199998</v>
      </c>
      <c r="BA3" s="26">
        <f>利润表!BA3</f>
        <v>1565250469.4200001</v>
      </c>
      <c r="BB3" s="26">
        <f>利润表!BB3</f>
        <v>6862759168.2600002</v>
      </c>
      <c r="BC3" s="26">
        <f>利润表!BC3</f>
        <v>5083625856.7600002</v>
      </c>
      <c r="BD3" s="26">
        <f>利润表!BD3</f>
        <v>3372574348.5999999</v>
      </c>
      <c r="BE3" s="26">
        <f>利润表!BE3</f>
        <v>1538316693.9000001</v>
      </c>
      <c r="BF3" s="26">
        <f>利润表!BF3</f>
        <v>6590388687.0100002</v>
      </c>
      <c r="BG3" s="26">
        <f>利润表!BG3</f>
        <v>4823804231.5500002</v>
      </c>
      <c r="BH3" s="26">
        <f>利润表!BH3</f>
        <v>3315008125.4699998</v>
      </c>
      <c r="BI3" s="26">
        <f>利润表!BI3</f>
        <v>1605545778.1400001</v>
      </c>
      <c r="BJ3" s="26">
        <f>利润表!BJ3</f>
        <v>5552422445.6400003</v>
      </c>
      <c r="BK3" s="26">
        <f>利润表!BK3</f>
        <v>4090488924.1599998</v>
      </c>
      <c r="BL3" s="26">
        <f>利润表!BL3</f>
        <v>2677769870.98</v>
      </c>
      <c r="BM3" s="26">
        <f>利润表!BM3</f>
        <v>1258205557.53</v>
      </c>
      <c r="BN3" s="26">
        <f>利润表!BN3</f>
        <v>4475659918.7700005</v>
      </c>
      <c r="BO3" s="26">
        <f>利润表!BO3</f>
        <v>3426653697.6500001</v>
      </c>
      <c r="BP3" s="26">
        <f>利润表!BP3</f>
        <v>2289833659.5</v>
      </c>
      <c r="BQ3" s="26">
        <f>利润表!BQ3</f>
        <v>1068391795.14</v>
      </c>
      <c r="BR3" s="26">
        <f>利润表!BR3</f>
        <v>3857977486.4000001</v>
      </c>
      <c r="BS3" s="26">
        <f>利润表!BS3</f>
        <v>1895795757.6400001</v>
      </c>
      <c r="BT3" s="26">
        <f>利润表!BT3</f>
        <v>3636493097.6999998</v>
      </c>
      <c r="BU3" s="26">
        <f>利润表!BU3</f>
        <v>1765141891.22</v>
      </c>
      <c r="BV3" s="26">
        <f>利润表!BV3</f>
        <v>3510059294.4499998</v>
      </c>
      <c r="BW3" s="26">
        <f>利润表!BW3</f>
        <v>1642695043.8199999</v>
      </c>
      <c r="BX3" s="26">
        <f>利润表!BX3</f>
        <v>444399064.31</v>
      </c>
      <c r="BY3" s="26">
        <f>利润表!BY3</f>
        <v>213570809.87</v>
      </c>
      <c r="BZ3" s="26">
        <f>利润表!BZ3</f>
        <v>918221399.26999998</v>
      </c>
      <c r="CA3" s="26">
        <f>利润表!CA3</f>
        <v>393349759.06999999</v>
      </c>
      <c r="CB3" s="26">
        <f>利润表!CB3</f>
        <v>1350938321.28</v>
      </c>
      <c r="CC3" s="26">
        <f>利润表!CC3</f>
        <v>953254408.08000004</v>
      </c>
      <c r="CD3" s="26">
        <f>利润表!CD3</f>
        <v>1925366523.1800001</v>
      </c>
      <c r="CE3" s="26">
        <f>利润表!CE3</f>
        <v>1099700000</v>
      </c>
      <c r="CF3" s="26">
        <f>利润表!CF3</f>
        <v>1434362000</v>
      </c>
      <c r="CG3" s="26">
        <f>利润表!CG3</f>
        <v>765920060.38</v>
      </c>
      <c r="CH3" s="26">
        <f>利润表!CH3</f>
        <v>587340000</v>
      </c>
      <c r="CI3" s="26">
        <f>利润表!CI3</f>
        <v>778590000</v>
      </c>
      <c r="CJ3" s="26">
        <f>利润表!CJ3</f>
        <v>635150000</v>
      </c>
      <c r="CK3" s="26">
        <f>利润表!CK3</f>
        <v>544300000</v>
      </c>
    </row>
    <row r="4" spans="1:90" s="63" customFormat="1">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1.104394053754336</v>
      </c>
      <c r="F5" s="28">
        <f t="shared" ref="F5:BQ5" si="2">(F2/(1+F4))/F3</f>
        <v>0.94882764732574143</v>
      </c>
      <c r="G5" s="28">
        <f t="shared" si="2"/>
        <v>0.9487168434771871</v>
      </c>
      <c r="H5" s="28">
        <f t="shared" si="2"/>
        <v>0.94387790812108585</v>
      </c>
      <c r="I5" s="28">
        <f t="shared" si="2"/>
        <v>1.1714288955969978</v>
      </c>
      <c r="J5" s="28">
        <f t="shared" si="2"/>
        <v>0.97933742687185021</v>
      </c>
      <c r="K5" s="28">
        <f t="shared" si="2"/>
        <v>0.9653683427961679</v>
      </c>
      <c r="L5" s="28">
        <f t="shared" si="2"/>
        <v>0.96005576854950414</v>
      </c>
      <c r="M5" s="28">
        <f t="shared" si="2"/>
        <v>1.1004819929551972</v>
      </c>
      <c r="N5" s="28">
        <f t="shared" si="2"/>
        <v>0.97976395054373189</v>
      </c>
      <c r="O5" s="28">
        <f t="shared" si="2"/>
        <v>0.97297722044415358</v>
      </c>
      <c r="P5" s="28">
        <f t="shared" si="2"/>
        <v>0.95001066006388424</v>
      </c>
      <c r="Q5" s="28">
        <f t="shared" si="2"/>
        <v>1.0751576796370887</v>
      </c>
      <c r="R5" s="28">
        <f t="shared" si="2"/>
        <v>1.0316358627305988</v>
      </c>
      <c r="S5" s="28">
        <f t="shared" si="2"/>
        <v>1.0658596269879539</v>
      </c>
      <c r="T5" s="28">
        <f t="shared" si="2"/>
        <v>1.0247426134203041</v>
      </c>
      <c r="U5" s="28">
        <f t="shared" si="2"/>
        <v>1.1897212288450152</v>
      </c>
      <c r="V5" s="28">
        <f t="shared" si="2"/>
        <v>1.0460084763777417</v>
      </c>
      <c r="W5" s="28">
        <f t="shared" si="2"/>
        <v>1.0496468019525989</v>
      </c>
      <c r="X5" s="28">
        <f t="shared" si="2"/>
        <v>1.0458569861705469</v>
      </c>
      <c r="Y5" s="28">
        <f t="shared" si="2"/>
        <v>1.1961814645966662</v>
      </c>
      <c r="Z5" s="28">
        <f t="shared" si="2"/>
        <v>1.1422899962588176</v>
      </c>
      <c r="AA5" s="28">
        <f t="shared" si="2"/>
        <v>1.0873572950120483</v>
      </c>
      <c r="AB5" s="28">
        <f t="shared" si="2"/>
        <v>1.1070304232264405</v>
      </c>
      <c r="AC5" s="28">
        <f t="shared" si="2"/>
        <v>1.0768932288141937</v>
      </c>
      <c r="AD5" s="28">
        <f t="shared" si="2"/>
        <v>1.0882791193052817</v>
      </c>
      <c r="AE5" s="28">
        <f t="shared" si="2"/>
        <v>1.0341434917924393</v>
      </c>
      <c r="AF5" s="28">
        <f t="shared" si="2"/>
        <v>1.0243649612918462</v>
      </c>
      <c r="AG5" s="28">
        <f t="shared" si="2"/>
        <v>0.99101276396854532</v>
      </c>
      <c r="AH5" s="28">
        <f t="shared" si="2"/>
        <v>1.0425201642471771</v>
      </c>
      <c r="AI5" s="28">
        <f t="shared" si="2"/>
        <v>1.029150149019016</v>
      </c>
      <c r="AJ5" s="28">
        <f t="shared" si="2"/>
        <v>1.002845672460204</v>
      </c>
      <c r="AK5" s="28">
        <f t="shared" si="2"/>
        <v>1.0280793399706993</v>
      </c>
      <c r="AL5" s="28">
        <f t="shared" si="2"/>
        <v>1.0756298572906637</v>
      </c>
      <c r="AM5" s="28">
        <f t="shared" si="2"/>
        <v>1.0575652051044186</v>
      </c>
      <c r="AN5" s="28">
        <f t="shared" si="2"/>
        <v>1.0158120431343531</v>
      </c>
      <c r="AO5" s="28">
        <f t="shared" si="2"/>
        <v>0.9805796921655886</v>
      </c>
      <c r="AP5" s="28">
        <f t="shared" si="2"/>
        <v>0.94088639186052059</v>
      </c>
      <c r="AQ5" s="28">
        <f t="shared" si="2"/>
        <v>0.92643112320904997</v>
      </c>
      <c r="AR5" s="28">
        <f t="shared" si="2"/>
        <v>0.93576779231498308</v>
      </c>
      <c r="AS5" s="28">
        <f t="shared" si="2"/>
        <v>0.89983987927822029</v>
      </c>
      <c r="AT5" s="28">
        <f t="shared" si="2"/>
        <v>1.0296746424962178</v>
      </c>
      <c r="AU5" s="28">
        <f t="shared" si="2"/>
        <v>0.97482677799460959</v>
      </c>
      <c r="AV5" s="28">
        <f t="shared" si="2"/>
        <v>0.95991902804823681</v>
      </c>
      <c r="AW5" s="28">
        <f t="shared" si="2"/>
        <v>0.89045224171255233</v>
      </c>
      <c r="AX5" s="28">
        <f t="shared" si="2"/>
        <v>1.0362898748144669</v>
      </c>
      <c r="AY5" s="28">
        <f t="shared" si="2"/>
        <v>0.99100482341444596</v>
      </c>
      <c r="AZ5" s="28">
        <f t="shared" si="2"/>
        <v>0.98514955602234244</v>
      </c>
      <c r="BA5" s="28">
        <f t="shared" si="2"/>
        <v>0.90040195525958555</v>
      </c>
      <c r="BB5" s="28">
        <f t="shared" si="2"/>
        <v>0.94104692165620552</v>
      </c>
      <c r="BC5" s="28">
        <f t="shared" si="2"/>
        <v>0.89329734814299566</v>
      </c>
      <c r="BD5" s="28">
        <f t="shared" si="2"/>
        <v>0.91582445846898697</v>
      </c>
      <c r="BE5" s="28">
        <f t="shared" si="2"/>
        <v>0.88287842682343953</v>
      </c>
      <c r="BF5" s="28">
        <f t="shared" si="2"/>
        <v>0.99097655031536824</v>
      </c>
      <c r="BG5" s="28">
        <f t="shared" si="2"/>
        <v>0.95107398791266695</v>
      </c>
      <c r="BH5" s="28">
        <f t="shared" si="2"/>
        <v>0.8860292404422544</v>
      </c>
      <c r="BI5" s="28">
        <f t="shared" si="2"/>
        <v>0.86809972173697947</v>
      </c>
      <c r="BJ5" s="28">
        <f t="shared" si="2"/>
        <v>1.0807905329548406</v>
      </c>
      <c r="BK5" s="28">
        <f t="shared" si="2"/>
        <v>1.0347581015682057</v>
      </c>
      <c r="BL5" s="28">
        <f t="shared" si="2"/>
        <v>0.96417567636905577</v>
      </c>
      <c r="BM5" s="28">
        <f t="shared" si="2"/>
        <v>0.85331972725282412</v>
      </c>
      <c r="BN5" s="28">
        <f t="shared" si="2"/>
        <v>1.107688833956199</v>
      </c>
      <c r="BO5" s="28">
        <f t="shared" si="2"/>
        <v>0.62349023317235708</v>
      </c>
      <c r="BP5" s="28">
        <f t="shared" si="2"/>
        <v>1.7612566787259301</v>
      </c>
      <c r="BQ5" s="28">
        <f t="shared" si="2"/>
        <v>1.7436865375444324</v>
      </c>
      <c r="BR5" s="28">
        <f t="shared" ref="BR5:CL5" si="3">(BR2/(1+BR4))/BR3</f>
        <v>0.94115999422281293</v>
      </c>
      <c r="BS5" s="28">
        <f t="shared" si="3"/>
        <v>0.89400194190998539</v>
      </c>
      <c r="BT5" s="28">
        <f t="shared" si="3"/>
        <v>0.92773525829952397</v>
      </c>
      <c r="BU5" s="28">
        <f t="shared" si="3"/>
        <v>0.76225681627415853</v>
      </c>
      <c r="BV5" s="28">
        <f t="shared" si="3"/>
        <v>7.9899462084946138E-2</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f t="shared" si="3"/>
        <v>0</v>
      </c>
      <c r="CL5" s="28" t="e">
        <f t="shared" si="3"/>
        <v>#DIV/0!</v>
      </c>
    </row>
    <row r="6" spans="1:90" s="26" customFormat="1">
      <c r="A6" s="17" t="s">
        <v>488</v>
      </c>
      <c r="E6" s="26">
        <f>现金流量表!E8</f>
        <v>5306180639.9099998</v>
      </c>
      <c r="F6" s="26">
        <f>现金流量表!F8</f>
        <v>17203678491.950001</v>
      </c>
      <c r="G6" s="26">
        <f>现金流量表!G8</f>
        <v>12855392471.65</v>
      </c>
      <c r="H6" s="26">
        <f>现金流量表!H8</f>
        <v>8491554890.1300001</v>
      </c>
      <c r="I6" s="26">
        <f>现金流量表!I8</f>
        <v>4663129326.8100004</v>
      </c>
      <c r="J6" s="26">
        <f>现金流量表!J8</f>
        <v>16730042411.68</v>
      </c>
      <c r="K6" s="26">
        <f>现金流量表!K8</f>
        <v>11744213838.540001</v>
      </c>
      <c r="L6" s="26">
        <f>现金流量表!L8</f>
        <v>7486141286.8800001</v>
      </c>
      <c r="M6" s="26">
        <f>现金流量表!M8</f>
        <v>3756004039.3699999</v>
      </c>
      <c r="N6" s="26">
        <f>现金流量表!N8</f>
        <v>17029793769.049999</v>
      </c>
      <c r="O6" s="26">
        <f>现金流量表!O8</f>
        <v>12354665132.200001</v>
      </c>
      <c r="P6" s="26">
        <f>现金流量表!P8</f>
        <v>8503676192.8000002</v>
      </c>
      <c r="Q6" s="26">
        <f>现金流量表!Q8</f>
        <v>4264344591.1999998</v>
      </c>
      <c r="R6" s="26">
        <f>现金流量表!R8</f>
        <v>19202429859.580002</v>
      </c>
      <c r="S6" s="26">
        <f>现金流量表!S8</f>
        <v>14705895759.719999</v>
      </c>
      <c r="T6" s="26">
        <f>现金流量表!T8</f>
        <v>9289192319.0900002</v>
      </c>
      <c r="U6" s="26">
        <f>现金流量表!U8</f>
        <v>4840725271.75</v>
      </c>
      <c r="V6" s="26">
        <f>现金流量表!V8</f>
        <v>18615671437.509998</v>
      </c>
      <c r="W6" s="26">
        <f>现金流量表!W8</f>
        <v>13762574738.610001</v>
      </c>
      <c r="X6" s="26">
        <f>现金流量表!X8</f>
        <v>8770327332.8199997</v>
      </c>
      <c r="Y6" s="26">
        <f>现金流量表!Y8</f>
        <v>4671083077.4399996</v>
      </c>
      <c r="Z6" s="26">
        <f>现金流量表!Z8</f>
        <v>17046100647.559999</v>
      </c>
      <c r="AA6" s="26">
        <f>现金流量表!AA8</f>
        <v>12624415386.879999</v>
      </c>
      <c r="AB6" s="26">
        <f>现金流量表!AB8</f>
        <v>6625329657.4300003</v>
      </c>
      <c r="AC6" s="26">
        <f>现金流量表!AC8</f>
        <v>3574963099.9299998</v>
      </c>
      <c r="AD6" s="26">
        <f>现金流量表!AD8</f>
        <v>14548598306.969999</v>
      </c>
      <c r="AE6" s="26">
        <f>现金流量表!AE8</f>
        <v>10564596354.42</v>
      </c>
      <c r="AF6" s="26">
        <f>现金流量表!AF8</f>
        <v>6891803403.6800003</v>
      </c>
      <c r="AG6" s="26">
        <f>现金流量表!AG8</f>
        <v>3396718299.8600001</v>
      </c>
      <c r="AH6" s="26">
        <f>现金流量表!AH8</f>
        <v>12207379737.690001</v>
      </c>
      <c r="AI6" s="26">
        <f>现金流量表!AI8</f>
        <v>8299033371.4099998</v>
      </c>
      <c r="AJ6" s="26">
        <f>现金流量表!AJ8</f>
        <v>5173682553.9399996</v>
      </c>
      <c r="AK6" s="26">
        <f>现金流量表!AK8</f>
        <v>2701144427.3400002</v>
      </c>
      <c r="AL6" s="26">
        <f>现金流量表!AL8</f>
        <v>9888646141.4500008</v>
      </c>
      <c r="AM6" s="26">
        <f>现金流量表!AM8</f>
        <v>6984735961.5500002</v>
      </c>
      <c r="AN6" s="26">
        <f>现金流量表!AN8</f>
        <v>4374429893.7399998</v>
      </c>
      <c r="AO6" s="26">
        <f>现金流量表!AO8</f>
        <v>1958747407.95</v>
      </c>
      <c r="AP6" s="26">
        <f>现金流量表!AP8</f>
        <v>9297697606.5499992</v>
      </c>
      <c r="AQ6" s="26">
        <f>现金流量表!AQ8</f>
        <v>7006740701.7600002</v>
      </c>
      <c r="AR6" s="26">
        <f>现金流量表!AR8</f>
        <v>4795436914.6300001</v>
      </c>
      <c r="AS6" s="26">
        <f>现金流量表!AS8</f>
        <v>2343337224.8600001</v>
      </c>
      <c r="AT6" s="26">
        <f>现金流量表!AT8</f>
        <v>8439301660.3699999</v>
      </c>
      <c r="AU6" s="26">
        <f>现金流量表!AU8</f>
        <v>5645438824.8199997</v>
      </c>
      <c r="AV6" s="26">
        <f>现金流量表!AV8</f>
        <v>3653248410.1300001</v>
      </c>
      <c r="AW6" s="26">
        <f>现金流量表!AW8</f>
        <v>1655223903.1700001</v>
      </c>
      <c r="AX6" s="26">
        <f>现金流量表!AX8</f>
        <v>6716988667.6199999</v>
      </c>
      <c r="AY6" s="26">
        <f>现金流量表!AY8</f>
        <v>4366408879.6999998</v>
      </c>
      <c r="AZ6" s="26">
        <f>现金流量表!AZ8</f>
        <v>2990345555.2199998</v>
      </c>
      <c r="BA6" s="26">
        <f>现金流量表!BA8</f>
        <v>1340659418.1700001</v>
      </c>
      <c r="BB6" s="26">
        <f>现金流量表!BB8</f>
        <v>6028097285.9399996</v>
      </c>
      <c r="BC6" s="26">
        <f>现金流量表!BC8</f>
        <v>4407120300.3299999</v>
      </c>
      <c r="BD6" s="26">
        <f>现金流量表!BD8</f>
        <v>3144336036.7399998</v>
      </c>
      <c r="BE6" s="26">
        <f>现金流量表!BE8</f>
        <v>1522658299.3800001</v>
      </c>
      <c r="BF6" s="26">
        <f>现金流量表!BF8</f>
        <v>5614016180.96</v>
      </c>
      <c r="BG6" s="26">
        <f>现金流量表!BG8</f>
        <v>3872793846.8000002</v>
      </c>
      <c r="BH6" s="26">
        <f>现金流量表!BH8</f>
        <v>2530998557.7199998</v>
      </c>
      <c r="BI6" s="26">
        <f>现金流量表!BI8</f>
        <v>1154563908.27</v>
      </c>
      <c r="BJ6" s="26">
        <f>现金流量表!BJ8</f>
        <v>4870597418.2600002</v>
      </c>
      <c r="BK6" s="26">
        <f>现金流量表!BK8</f>
        <v>3317551949.3499999</v>
      </c>
      <c r="BL6" s="26">
        <f>现金流量表!BL8</f>
        <v>2135613025.21</v>
      </c>
      <c r="BM6" s="26">
        <f>现金流量表!BM8</f>
        <v>910503910.89999998</v>
      </c>
      <c r="BN6" s="26">
        <f>现金流量表!BN8</f>
        <v>3729495973.8099999</v>
      </c>
      <c r="BO6" s="26">
        <f>现金流量表!BO8</f>
        <v>1589793099.0599999</v>
      </c>
      <c r="BP6" s="26">
        <f>现金流量表!BP8</f>
        <v>2894800732.7600002</v>
      </c>
      <c r="BQ6" s="26">
        <f>现金流量表!BQ8</f>
        <v>1542140385.1500001</v>
      </c>
      <c r="BR6" s="26">
        <f>现金流量表!BR8</f>
        <v>2478344257.5999999</v>
      </c>
      <c r="BS6" s="26">
        <f>现金流量表!BS8</f>
        <v>1075836196.97</v>
      </c>
      <c r="BT6" s="26">
        <f>现金流量表!BT8</f>
        <v>2539752355.5</v>
      </c>
      <c r="BU6" s="26">
        <f>现金流量表!BU8</f>
        <v>991001146.80999994</v>
      </c>
      <c r="BV6" s="26">
        <f>现金流量表!BV8</f>
        <v>374003501.58999997</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192260802.75999999</v>
      </c>
      <c r="F7" s="26">
        <f>现金流量表!F9</f>
        <v>970977152.42999995</v>
      </c>
      <c r="G7" s="26">
        <f>现金流量表!G9</f>
        <v>536436162.22000003</v>
      </c>
      <c r="H7" s="26">
        <f>现金流量表!H9</f>
        <v>568091793.37</v>
      </c>
      <c r="I7" s="26">
        <f>现金流量表!I9</f>
        <v>173803555.53</v>
      </c>
      <c r="J7" s="26">
        <f>现金流量表!J9</f>
        <v>964087653.13999999</v>
      </c>
      <c r="K7" s="26">
        <f>现金流量表!K9</f>
        <v>532972780.01999998</v>
      </c>
      <c r="L7" s="26">
        <f>现金流量表!L9</f>
        <v>552990103.37</v>
      </c>
      <c r="M7" s="26">
        <f>现金流量表!M9</f>
        <v>167790267.44999999</v>
      </c>
      <c r="N7" s="26">
        <f>现金流量表!N9</f>
        <v>1394786106.9300001</v>
      </c>
      <c r="O7" s="26">
        <f>现金流量表!O9</f>
        <v>847381449.77999997</v>
      </c>
      <c r="P7" s="26">
        <f>现金流量表!P9</f>
        <v>639311893.54999995</v>
      </c>
      <c r="Q7" s="26">
        <f>现金流量表!Q9</f>
        <v>390301208.66000003</v>
      </c>
      <c r="R7" s="26">
        <f>现金流量表!R9</f>
        <v>1616167806.3199999</v>
      </c>
      <c r="S7" s="26">
        <f>现金流量表!S9</f>
        <v>1032540176.22</v>
      </c>
      <c r="T7" s="26">
        <f>现金流量表!T9</f>
        <v>684322849.79999995</v>
      </c>
      <c r="U7" s="26">
        <f>现金流量表!U9</f>
        <v>317229935.70999998</v>
      </c>
      <c r="V7" s="26">
        <f>现金流量表!V9</f>
        <v>1621795627.21</v>
      </c>
      <c r="W7" s="26">
        <f>现金流量表!W9</f>
        <v>1131306384.22</v>
      </c>
      <c r="X7" s="26">
        <f>现金流量表!X9</f>
        <v>746372273.10000002</v>
      </c>
      <c r="Y7" s="26">
        <f>现金流量表!Y9</f>
        <v>364630420.81999999</v>
      </c>
      <c r="Z7" s="26">
        <f>现金流量表!Z9</f>
        <v>1500145832.7</v>
      </c>
      <c r="AA7" s="26">
        <f>现金流量表!AA9</f>
        <v>771151702.04999995</v>
      </c>
      <c r="AB7" s="26">
        <f>现金流量表!AB9</f>
        <v>333306321.48000002</v>
      </c>
      <c r="AC7" s="26">
        <f>现金流量表!AC9</f>
        <v>160353071.19</v>
      </c>
      <c r="AD7" s="26">
        <f>现金流量表!AD9</f>
        <v>870580080.11000001</v>
      </c>
      <c r="AE7" s="26">
        <f>现金流量表!AE9</f>
        <v>507042096.05000001</v>
      </c>
      <c r="AF7" s="26">
        <f>现金流量表!AF9</f>
        <v>343949636.23000002</v>
      </c>
      <c r="AG7" s="26">
        <f>现金流量表!AG9</f>
        <v>168430709.55000001</v>
      </c>
      <c r="AH7" s="26">
        <f>现金流量表!AH9</f>
        <v>757202675.89999998</v>
      </c>
      <c r="AI7" s="26">
        <f>现金流量表!AI9</f>
        <v>497495754.70999998</v>
      </c>
      <c r="AJ7" s="26">
        <f>现金流量表!AJ9</f>
        <v>314897446.24000001</v>
      </c>
      <c r="AK7" s="26">
        <f>现金流量表!AK9</f>
        <v>154438711.40000001</v>
      </c>
      <c r="AL7" s="26">
        <f>现金流量表!AL9</f>
        <v>685728443.04999995</v>
      </c>
      <c r="AM7" s="26">
        <f>现金流量表!AM9</f>
        <v>522690685.70999998</v>
      </c>
      <c r="AN7" s="26">
        <f>现金流量表!AN9</f>
        <v>279554711.61000001</v>
      </c>
      <c r="AO7" s="26">
        <f>现金流量表!AO9</f>
        <v>128319132.93000001</v>
      </c>
      <c r="AP7" s="26">
        <f>现金流量表!AP9</f>
        <v>681026271.62</v>
      </c>
      <c r="AQ7" s="26">
        <f>现金流量表!AQ9</f>
        <v>461699732.83999997</v>
      </c>
      <c r="AR7" s="26">
        <f>现金流量表!AR9</f>
        <v>369494424.77999997</v>
      </c>
      <c r="AS7" s="26">
        <f>现金流量表!AS9</f>
        <v>159193632.97</v>
      </c>
      <c r="AT7" s="26">
        <f>现金流量表!AT9</f>
        <v>537693276.05999994</v>
      </c>
      <c r="AU7" s="26">
        <f>现金流量表!AU9</f>
        <v>410989697.44999999</v>
      </c>
      <c r="AV7" s="26">
        <f>现金流量表!AV9</f>
        <v>264784676.43000001</v>
      </c>
      <c r="AW7" s="26">
        <f>现金流量表!AW9</f>
        <v>144720683.88</v>
      </c>
      <c r="AX7" s="26">
        <f>现金流量表!AX9</f>
        <v>529256769.47000003</v>
      </c>
      <c r="AY7" s="26">
        <f>现金流量表!AY9</f>
        <v>263415258.22999999</v>
      </c>
      <c r="AZ7" s="26">
        <f>现金流量表!AZ9</f>
        <v>290183651.72000003</v>
      </c>
      <c r="BA7" s="26">
        <f>现金流量表!BA9</f>
        <v>99344713.790000007</v>
      </c>
      <c r="BB7" s="26">
        <f>现金流量表!BB9</f>
        <v>611561770.66999996</v>
      </c>
      <c r="BC7" s="26">
        <f>现金流量表!BC9</f>
        <v>295360541.63999999</v>
      </c>
      <c r="BD7" s="26">
        <f>现金流量表!BD9</f>
        <v>317561457.06</v>
      </c>
      <c r="BE7" s="26">
        <f>现金流量表!BE9</f>
        <v>100022790.27</v>
      </c>
      <c r="BF7" s="26">
        <f>现金流量表!BF9</f>
        <v>532847423.85000002</v>
      </c>
      <c r="BG7" s="26">
        <f>现金流量表!BG9</f>
        <v>288258370.33999997</v>
      </c>
      <c r="BH7" s="26">
        <f>现金流量表!BH9</f>
        <v>199118978.84</v>
      </c>
      <c r="BI7" s="26">
        <f>现金流量表!BI9</f>
        <v>130604069.75</v>
      </c>
      <c r="BJ7" s="26">
        <f>现金流量表!BJ9</f>
        <v>688578280.36000001</v>
      </c>
      <c r="BK7" s="26">
        <f>现金流量表!BK9</f>
        <v>380356361.70999998</v>
      </c>
      <c r="BL7" s="26">
        <f>现金流量表!BL9</f>
        <v>236739696.03</v>
      </c>
      <c r="BM7" s="26">
        <f>现金流量表!BM9</f>
        <v>137738571.97</v>
      </c>
      <c r="BN7" s="26">
        <f>现金流量表!BN9</f>
        <v>436844762.80000001</v>
      </c>
      <c r="BO7" s="26">
        <f>现金流量表!BO9</f>
        <v>245613691.21000001</v>
      </c>
      <c r="BP7" s="26">
        <f>现金流量表!BP9</f>
        <v>263161682.46000001</v>
      </c>
      <c r="BQ7" s="26">
        <f>现金流量表!BQ9</f>
        <v>109853486.31999999</v>
      </c>
      <c r="BR7" s="26">
        <f>现金流量表!BR9</f>
        <v>250005190.52000001</v>
      </c>
      <c r="BS7" s="26">
        <f>现金流量表!BS9</f>
        <v>92185724.790000007</v>
      </c>
      <c r="BT7" s="26">
        <f>现金流量表!BT9</f>
        <v>212387043.30000001</v>
      </c>
      <c r="BU7" s="26">
        <f>现金流量表!BU9</f>
        <v>65516535.5</v>
      </c>
      <c r="BV7" s="26">
        <f>现金流量表!BV9</f>
        <v>45048845.920000002</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6" t="s">
        <v>490</v>
      </c>
      <c r="E8" s="58">
        <f>利润表!E6</f>
        <v>3170883561.7199998</v>
      </c>
      <c r="F8" s="58">
        <f>利润表!F6</f>
        <v>15226925132.92</v>
      </c>
      <c r="G8" s="58">
        <f>利润表!G6</f>
        <v>11628814912.92</v>
      </c>
      <c r="H8" s="58">
        <f>利润表!H6</f>
        <v>7633692655.8699999</v>
      </c>
      <c r="I8" s="58">
        <f>利润表!I6</f>
        <v>2976584444.52</v>
      </c>
      <c r="J8" s="58">
        <f>利润表!J6</f>
        <v>14780967899.440001</v>
      </c>
      <c r="K8" s="58">
        <f>利润表!K6</f>
        <v>11180763428.889999</v>
      </c>
      <c r="L8" s="58">
        <f>利润表!L6</f>
        <v>7291362019.0100002</v>
      </c>
      <c r="M8" s="58">
        <f>利润表!M6</f>
        <v>2979672630.1999998</v>
      </c>
      <c r="N8" s="58">
        <f>利润表!N6</f>
        <v>15117878402.59</v>
      </c>
      <c r="O8" s="58">
        <f>利润表!O6</f>
        <v>11642318913.57</v>
      </c>
      <c r="P8" s="58">
        <f>利润表!P6</f>
        <v>7801959717</v>
      </c>
      <c r="Q8" s="58">
        <f>利润表!Q6</f>
        <v>3312008819.9899998</v>
      </c>
      <c r="R8" s="58">
        <f>利润表!R6</f>
        <v>16242127953.23</v>
      </c>
      <c r="S8" s="58">
        <f>利润表!S6</f>
        <v>12274014787.58</v>
      </c>
      <c r="T8" s="58">
        <f>利润表!T6</f>
        <v>8038090291.4700003</v>
      </c>
      <c r="U8" s="58">
        <f>利润表!U6</f>
        <v>3269606314.1599998</v>
      </c>
      <c r="V8" s="58">
        <f>利润表!V6</f>
        <v>15670770649.25</v>
      </c>
      <c r="W8" s="58">
        <f>利润表!W6</f>
        <v>11611711540.879999</v>
      </c>
      <c r="X8" s="58">
        <f>利润表!X6</f>
        <v>7542876267.8199997</v>
      </c>
      <c r="Y8" s="58">
        <f>利润表!Y6</f>
        <v>3154730635.73</v>
      </c>
      <c r="Z8" s="58">
        <f>利润表!Z6</f>
        <v>14295199209.41</v>
      </c>
      <c r="AA8" s="58">
        <f>利润表!AA6</f>
        <v>10906926142.75</v>
      </c>
      <c r="AB8" s="58">
        <f>利润表!AB6</f>
        <v>5793795568.4099998</v>
      </c>
      <c r="AC8" s="58">
        <f>利润表!AC6</f>
        <v>2541452950.0500002</v>
      </c>
      <c r="AD8" s="58">
        <f>利润表!AD6</f>
        <v>11654694217.540001</v>
      </c>
      <c r="AE8" s="58">
        <f>利润表!AE6</f>
        <v>9194752912.6000004</v>
      </c>
      <c r="AF8" s="58">
        <f>利润表!AF6</f>
        <v>5952172825.3299999</v>
      </c>
      <c r="AG8" s="58">
        <f>利润表!AG6</f>
        <v>2595919278.0100002</v>
      </c>
      <c r="AH8" s="58">
        <f>利润表!AH6</f>
        <v>10700275731.110001</v>
      </c>
      <c r="AI8" s="58">
        <f>利润表!AI6</f>
        <v>7867784014.79</v>
      </c>
      <c r="AJ8" s="58">
        <f>利润表!AJ6</f>
        <v>5088515339.8000002</v>
      </c>
      <c r="AK8" s="58">
        <f>利润表!AK6</f>
        <v>2199896810.4400001</v>
      </c>
      <c r="AL8" s="58">
        <f>利润表!AL6</f>
        <v>8888158950.1800003</v>
      </c>
      <c r="AM8" s="58">
        <f>利润表!AM6</f>
        <v>6534738603.1199999</v>
      </c>
      <c r="AN8" s="58">
        <f>利润表!AN6</f>
        <v>4183817454.4899998</v>
      </c>
      <c r="AO8" s="58">
        <f>利润表!AO6</f>
        <v>1873897756.1900001</v>
      </c>
      <c r="AP8" s="58">
        <f>利润表!AP6</f>
        <v>8489100178.8299999</v>
      </c>
      <c r="AQ8" s="58">
        <f>利润表!AQ6</f>
        <v>6394198410.4899998</v>
      </c>
      <c r="AR8" s="58">
        <f>利润表!AR6</f>
        <v>4175419382.9099998</v>
      </c>
      <c r="AS8" s="58">
        <f>利润表!AS6</f>
        <v>1861863686.0699999</v>
      </c>
      <c r="AT8" s="58">
        <f>利润表!AT6</f>
        <v>7277254140.21</v>
      </c>
      <c r="AU8" s="58">
        <f>利润表!AU6</f>
        <v>5289137929.5200005</v>
      </c>
      <c r="AV8" s="58">
        <f>利润表!AV6</f>
        <v>3333026643.5900002</v>
      </c>
      <c r="AW8" s="58">
        <f>利润表!AW6</f>
        <v>1538991169.55</v>
      </c>
      <c r="AX8" s="58">
        <f>利润表!AX6</f>
        <v>5756865497.54</v>
      </c>
      <c r="AY8" s="58">
        <f>利润表!AY6</f>
        <v>4211090083.77</v>
      </c>
      <c r="AZ8" s="58">
        <f>利润表!AZ6</f>
        <v>2765887880.8899999</v>
      </c>
      <c r="BA8" s="58">
        <f>利润表!BA6</f>
        <v>1249190096.8199999</v>
      </c>
      <c r="BB8" s="58">
        <f>利润表!BB6</f>
        <v>5403366370.7799997</v>
      </c>
      <c r="BC8" s="58">
        <f>利润表!BC6</f>
        <v>3924222586.1799998</v>
      </c>
      <c r="BD8" s="58">
        <f>利润表!BD6</f>
        <v>2567321061.1799998</v>
      </c>
      <c r="BE8" s="58">
        <f>利润表!BE6</f>
        <v>1175375812.9400001</v>
      </c>
      <c r="BF8" s="58">
        <f>利润表!BF6</f>
        <v>4942282576.8999996</v>
      </c>
      <c r="BG8" s="58">
        <f>利润表!BG6</f>
        <v>3660508261.8899999</v>
      </c>
      <c r="BH8" s="58">
        <f>利润表!BH6</f>
        <v>2517586186.9499998</v>
      </c>
      <c r="BI8" s="58">
        <f>利润表!BI6</f>
        <v>1226508689.25</v>
      </c>
      <c r="BJ8" s="58">
        <f>利润表!BJ6</f>
        <v>4011958308.4299998</v>
      </c>
      <c r="BK8" s="58">
        <f>利润表!BK6</f>
        <v>2944267467</v>
      </c>
      <c r="BL8" s="58">
        <f>利润表!BL6</f>
        <v>1952850787.5</v>
      </c>
      <c r="BM8" s="58">
        <f>利润表!BM6</f>
        <v>915105404.87</v>
      </c>
      <c r="BN8" s="58">
        <f>利润表!BN6</f>
        <v>2881983316.8499999</v>
      </c>
      <c r="BO8" s="58">
        <f>利润表!BO6</f>
        <v>2314903460.3000002</v>
      </c>
      <c r="BP8" s="58">
        <f>利润表!BP6</f>
        <v>1596717736.3499999</v>
      </c>
      <c r="BQ8" s="58">
        <f>利润表!BQ6</f>
        <v>773737089.95000005</v>
      </c>
      <c r="BR8" s="58">
        <f>利润表!BR6</f>
        <v>2554268178.5100002</v>
      </c>
      <c r="BS8" s="58">
        <f>利润表!BS6</f>
        <v>1304874733.9300001</v>
      </c>
      <c r="BT8" s="58">
        <f>利润表!BT6</f>
        <v>2483197627.2600002</v>
      </c>
      <c r="BU8" s="58">
        <f>利润表!BU6</f>
        <v>1254158982.9400001</v>
      </c>
      <c r="BV8" s="58">
        <f>利润表!BV6</f>
        <v>2461372469.0999999</v>
      </c>
      <c r="BW8" s="58">
        <f>利润表!BW6</f>
        <v>1156607381.01</v>
      </c>
      <c r="BX8" s="58">
        <f>利润表!BX6</f>
        <v>405519122.69999999</v>
      </c>
      <c r="BY8" s="58">
        <f>利润表!BY6</f>
        <v>157687789.38</v>
      </c>
      <c r="BZ8" s="58">
        <f>利润表!BZ6</f>
        <v>738657178.74000001</v>
      </c>
      <c r="CA8" s="58">
        <f>利润表!CA6</f>
        <v>0</v>
      </c>
      <c r="CB8" s="58">
        <f>利润表!CB6</f>
        <v>1121670089.03</v>
      </c>
      <c r="CC8" s="58">
        <f>利润表!CC6</f>
        <v>0</v>
      </c>
      <c r="CD8" s="58">
        <f>利润表!CD6</f>
        <v>1522442725.4100001</v>
      </c>
      <c r="CE8" s="58">
        <f>利润表!CE6</f>
        <v>0</v>
      </c>
      <c r="CF8" s="58">
        <f>利润表!CF6</f>
        <v>0</v>
      </c>
      <c r="CG8" s="58">
        <f>利润表!CG6</f>
        <v>0</v>
      </c>
      <c r="CH8" s="58">
        <f>利润表!CH6</f>
        <v>482620000</v>
      </c>
      <c r="CI8" s="58">
        <f>利润表!CI6</f>
        <v>622550000</v>
      </c>
      <c r="CJ8" s="58">
        <f>利润表!CJ6</f>
        <v>511020000</v>
      </c>
      <c r="CK8" s="58">
        <f>利润表!CK6</f>
        <v>438350000</v>
      </c>
      <c r="CL8" s="58">
        <f>利润表!CL6</f>
        <v>0</v>
      </c>
    </row>
    <row r="9" spans="1:90" s="58" customFormat="1">
      <c r="A9" s="146" t="s">
        <v>491</v>
      </c>
      <c r="E9" s="58">
        <f>利润表!E7</f>
        <v>24680489.940000001</v>
      </c>
      <c r="F9" s="58">
        <f>利润表!F7</f>
        <v>118281818.69</v>
      </c>
      <c r="G9" s="58">
        <f>利润表!G7</f>
        <v>85319248.390000001</v>
      </c>
      <c r="H9" s="58">
        <f>利润表!H7</f>
        <v>65982482.200000003</v>
      </c>
      <c r="I9" s="58">
        <f>利润表!I7</f>
        <v>29384721.870000001</v>
      </c>
      <c r="J9" s="58">
        <f>利润表!J7</f>
        <v>148289534.94999999</v>
      </c>
      <c r="K9" s="58">
        <f>利润表!K7</f>
        <v>103667800.89</v>
      </c>
      <c r="L9" s="58">
        <f>利润表!L7</f>
        <v>82012392.040000007</v>
      </c>
      <c r="M9" s="58">
        <f>利润表!M7</f>
        <v>42992139.280000001</v>
      </c>
      <c r="N9" s="58">
        <f>利润表!N7</f>
        <v>151298695.34999999</v>
      </c>
      <c r="O9" s="58">
        <f>利润表!O7</f>
        <v>121435065.36</v>
      </c>
      <c r="P9" s="58">
        <f>利润表!P7</f>
        <v>77594340.980000004</v>
      </c>
      <c r="Q9" s="58">
        <f>利润表!Q7</f>
        <v>37283240.600000001</v>
      </c>
      <c r="R9" s="58">
        <f>利润表!R7</f>
        <v>154535099.59</v>
      </c>
      <c r="S9" s="58">
        <f>利润表!S7</f>
        <v>129833994.84999999</v>
      </c>
      <c r="T9" s="58">
        <f>利润表!T7</f>
        <v>84670343.25</v>
      </c>
      <c r="U9" s="58">
        <f>利润表!U7</f>
        <v>40893605.850000001</v>
      </c>
      <c r="V9" s="58">
        <f>利润表!V7</f>
        <v>137698423</v>
      </c>
      <c r="W9" s="58">
        <f>利润表!W7</f>
        <v>108324837.53</v>
      </c>
      <c r="X9" s="58">
        <f>利润表!X7</f>
        <v>71322030.209999993</v>
      </c>
      <c r="Y9" s="58">
        <f>利润表!Y7</f>
        <v>30607092.649999999</v>
      </c>
      <c r="Z9" s="58">
        <f>利润表!Z7</f>
        <v>151094119.47</v>
      </c>
      <c r="AA9" s="58">
        <f>利润表!AA7</f>
        <v>108281857.06999999</v>
      </c>
      <c r="AB9" s="58">
        <f>利润表!AB7</f>
        <v>66375802.159999996</v>
      </c>
      <c r="AC9" s="58">
        <f>利润表!AC7</f>
        <v>24932592.219999999</v>
      </c>
      <c r="AD9" s="58">
        <f>利润表!AD7</f>
        <v>94762721.609999999</v>
      </c>
      <c r="AE9" s="58">
        <f>利润表!AE7</f>
        <v>81594878.359999999</v>
      </c>
      <c r="AF9" s="58">
        <f>利润表!AF7</f>
        <v>50935124.369999997</v>
      </c>
      <c r="AG9" s="58">
        <f>利润表!AG7</f>
        <v>14073529.74</v>
      </c>
      <c r="AH9" s="58">
        <f>利润表!AH7</f>
        <v>47049591.960000001</v>
      </c>
      <c r="AI9" s="58">
        <f>利润表!AI7</f>
        <v>36252827.310000002</v>
      </c>
      <c r="AJ9" s="58">
        <f>利润表!AJ7</f>
        <v>23807994.210000001</v>
      </c>
      <c r="AK9" s="58">
        <f>利润表!AK7</f>
        <v>12045757.27</v>
      </c>
      <c r="AL9" s="58">
        <f>利润表!AL7</f>
        <v>36433124.130000003</v>
      </c>
      <c r="AM9" s="58">
        <f>利润表!AM7</f>
        <v>27332568.32</v>
      </c>
      <c r="AN9" s="58">
        <f>利润表!AN7</f>
        <v>18394534.010000002</v>
      </c>
      <c r="AO9" s="58">
        <f>利润表!AO7</f>
        <v>8894401.1799999997</v>
      </c>
      <c r="AP9" s="58">
        <f>利润表!AP7</f>
        <v>30051094.940000001</v>
      </c>
      <c r="AQ9" s="58">
        <f>利润表!AQ7</f>
        <v>21453805.739999998</v>
      </c>
      <c r="AR9" s="58">
        <f>利润表!AR7</f>
        <v>14258088.619999999</v>
      </c>
      <c r="AS9" s="58">
        <f>利润表!AS7</f>
        <v>6704249.0499999998</v>
      </c>
      <c r="AT9" s="58">
        <f>利润表!AT7</f>
        <v>29132541.030000001</v>
      </c>
      <c r="AU9" s="58">
        <f>利润表!AU7</f>
        <v>21674399.34</v>
      </c>
      <c r="AV9" s="58">
        <f>利润表!AV7</f>
        <v>14030629.800000001</v>
      </c>
      <c r="AW9" s="58">
        <f>利润表!AW7</f>
        <v>6026209.2300000004</v>
      </c>
      <c r="AX9" s="58">
        <f>利润表!AX7</f>
        <v>23752289.66</v>
      </c>
      <c r="AY9" s="58">
        <f>利润表!AY7</f>
        <v>19284640.84</v>
      </c>
      <c r="AZ9" s="58">
        <f>利润表!AZ7</f>
        <v>11539457.869999999</v>
      </c>
      <c r="BA9" s="58">
        <f>利润表!BA7</f>
        <v>5355209.1900000004</v>
      </c>
      <c r="BB9" s="58">
        <f>利润表!BB7</f>
        <v>18167645.329999998</v>
      </c>
      <c r="BC9" s="58">
        <f>利润表!BC7</f>
        <v>13000135.689999999</v>
      </c>
      <c r="BD9" s="58">
        <f>利润表!BD7</f>
        <v>8146628.9400000004</v>
      </c>
      <c r="BE9" s="58">
        <f>利润表!BE7</f>
        <v>3962995.23</v>
      </c>
      <c r="BF9" s="58">
        <f>利润表!BF7</f>
        <v>16086266.32</v>
      </c>
      <c r="BG9" s="58">
        <f>利润表!BG7</f>
        <v>11113213.24</v>
      </c>
      <c r="BH9" s="58">
        <f>利润表!BH7</f>
        <v>7490047.04</v>
      </c>
      <c r="BI9" s="58">
        <f>利润表!BI7</f>
        <v>3860914.82</v>
      </c>
      <c r="BJ9" s="58">
        <f>利润表!BJ7</f>
        <v>13609027.49</v>
      </c>
      <c r="BK9" s="58">
        <f>利润表!BK7</f>
        <v>14003668.35</v>
      </c>
      <c r="BL9" s="58">
        <f>利润表!BL7</f>
        <v>6332369.0800000001</v>
      </c>
      <c r="BM9" s="58">
        <f>利润表!BM7</f>
        <v>3138194.45</v>
      </c>
      <c r="BN9" s="58">
        <f>利润表!BN7</f>
        <v>13058660.060000001</v>
      </c>
      <c r="BO9" s="58">
        <f>利润表!BO7</f>
        <v>9502722.4000000004</v>
      </c>
      <c r="BP9" s="58">
        <f>利润表!BP7</f>
        <v>7358392.9500000002</v>
      </c>
      <c r="BQ9" s="58">
        <f>利润表!BQ7</f>
        <v>3574226.91</v>
      </c>
      <c r="BR9" s="58">
        <f>利润表!BR7</f>
        <v>8993988.4600000009</v>
      </c>
      <c r="BS9" s="58">
        <f>利润表!BS7</f>
        <v>4245879.2</v>
      </c>
      <c r="BT9" s="58">
        <f>利润表!BT7</f>
        <v>8228819.0300000003</v>
      </c>
      <c r="BU9" s="58">
        <f>利润表!BU7</f>
        <v>4186741.08</v>
      </c>
      <c r="BV9" s="58">
        <f>利润表!BV7</f>
        <v>7988472.2599999998</v>
      </c>
      <c r="BW9" s="58">
        <f>利润表!BW7</f>
        <v>3979167.01</v>
      </c>
      <c r="BX9" s="58">
        <f>利润表!BX7</f>
        <v>4178453.65</v>
      </c>
      <c r="BY9" s="58">
        <f>利润表!BY7</f>
        <v>706418.24</v>
      </c>
      <c r="BZ9" s="58">
        <f>利润表!BZ7</f>
        <v>9634697.4700000007</v>
      </c>
      <c r="CA9" s="58">
        <f>利润表!CA7</f>
        <v>0</v>
      </c>
      <c r="CB9" s="58">
        <f>利润表!CB7</f>
        <v>2962011.87</v>
      </c>
      <c r="CC9" s="58">
        <f>利润表!CC7</f>
        <v>0</v>
      </c>
      <c r="CD9" s="58">
        <f>利润表!CD7</f>
        <v>5920842.5199999996</v>
      </c>
      <c r="CE9" s="58">
        <f>利润表!CE7</f>
        <v>0</v>
      </c>
      <c r="CF9" s="58">
        <f>利润表!CF7</f>
        <v>0</v>
      </c>
      <c r="CG9" s="58">
        <f>利润表!CG7</f>
        <v>0</v>
      </c>
      <c r="CH9" s="58">
        <f>利润表!CH7</f>
        <v>45960000</v>
      </c>
      <c r="CI9" s="58">
        <f>利润表!CI7</f>
        <v>71370000</v>
      </c>
      <c r="CJ9" s="58">
        <f>利润表!CJ7</f>
        <v>52680000</v>
      </c>
      <c r="CK9" s="58">
        <f>利润表!CK7</f>
        <v>34650000</v>
      </c>
    </row>
    <row r="10" spans="1:90" s="58" customFormat="1">
      <c r="A10" s="146" t="s">
        <v>492</v>
      </c>
      <c r="E10" s="58">
        <f>利润表!E8</f>
        <v>172332071.94999999</v>
      </c>
      <c r="F10" s="58">
        <f>利润表!F8</f>
        <v>706517294.04999995</v>
      </c>
      <c r="G10" s="58">
        <f>利润表!G8</f>
        <v>529202614.25</v>
      </c>
      <c r="H10" s="58">
        <f>利润表!H8</f>
        <v>373089927.08999997</v>
      </c>
      <c r="I10" s="58">
        <f>利润表!I8</f>
        <v>213695958.05000001</v>
      </c>
      <c r="J10" s="58">
        <f>利润表!J8</f>
        <v>689775545.35000002</v>
      </c>
      <c r="K10" s="58">
        <f>利润表!K8</f>
        <v>495531408.82999998</v>
      </c>
      <c r="L10" s="58">
        <f>利润表!L8</f>
        <v>347131879.60000002</v>
      </c>
      <c r="M10" s="58">
        <f>利润表!M8</f>
        <v>145371900.63999999</v>
      </c>
      <c r="N10" s="58">
        <f>利润表!N8</f>
        <v>772143600.40999997</v>
      </c>
      <c r="O10" s="58">
        <f>利润表!O8</f>
        <v>616311011.03999996</v>
      </c>
      <c r="P10" s="58">
        <f>利润表!P8</f>
        <v>438084366.19</v>
      </c>
      <c r="Q10" s="58">
        <f>利润表!Q8</f>
        <v>208163069.53999999</v>
      </c>
      <c r="R10" s="58">
        <f>利润表!R8</f>
        <v>983815921.95000005</v>
      </c>
      <c r="S10" s="58">
        <f>利润表!S8</f>
        <v>759160445.75</v>
      </c>
      <c r="T10" s="58">
        <f>利润表!T8</f>
        <v>514231780.66000003</v>
      </c>
      <c r="U10" s="58">
        <f>利润表!U8</f>
        <v>247375429.66999999</v>
      </c>
      <c r="V10" s="58">
        <f>利润表!V8</f>
        <v>938233144.64999998</v>
      </c>
      <c r="W10" s="58">
        <f>利润表!W8</f>
        <v>705962389.58000004</v>
      </c>
      <c r="X10" s="58">
        <f>利润表!X8</f>
        <v>447350690.70999998</v>
      </c>
      <c r="Y10" s="58">
        <f>利润表!Y8</f>
        <v>192717975.55000001</v>
      </c>
      <c r="Z10" s="58">
        <f>利润表!Z8</f>
        <v>858629127.98000002</v>
      </c>
      <c r="AA10" s="58">
        <f>利润表!AA8</f>
        <v>626435048.36000001</v>
      </c>
      <c r="AB10" s="58">
        <f>利润表!AB8</f>
        <v>311434096.91000003</v>
      </c>
      <c r="AC10" s="58">
        <f>利润表!AC8</f>
        <v>174620991.75</v>
      </c>
      <c r="AD10" s="58">
        <f>利润表!AD8</f>
        <v>648436356.85000002</v>
      </c>
      <c r="AE10" s="58">
        <f>利润表!AE8</f>
        <v>507216885.31</v>
      </c>
      <c r="AF10" s="58">
        <f>利润表!AF8</f>
        <v>339288086.79000002</v>
      </c>
      <c r="AG10" s="58">
        <f>利润表!AG8</f>
        <v>199457623.34</v>
      </c>
      <c r="AH10" s="58">
        <f>利润表!AH8</f>
        <v>572442492.40999997</v>
      </c>
      <c r="AI10" s="58">
        <f>利润表!AI8</f>
        <v>433458555.19</v>
      </c>
      <c r="AJ10" s="58">
        <f>利润表!AJ8</f>
        <v>284133934.61000001</v>
      </c>
      <c r="AK10" s="58">
        <f>利润表!AK8</f>
        <v>123275317.18000001</v>
      </c>
      <c r="AL10" s="58">
        <f>利润表!AL8</f>
        <v>520564229.83999997</v>
      </c>
      <c r="AM10" s="58">
        <f>利润表!AM8</f>
        <v>393129860.58999997</v>
      </c>
      <c r="AN10" s="58">
        <f>利润表!AN8</f>
        <v>257251654.05000001</v>
      </c>
      <c r="AO10" s="58">
        <f>利润表!AO8</f>
        <v>127798549.45</v>
      </c>
      <c r="AP10" s="58">
        <f>利润表!AP8</f>
        <v>450800611.77999997</v>
      </c>
      <c r="AQ10" s="58">
        <f>利润表!AQ8</f>
        <v>375411125.95999998</v>
      </c>
      <c r="AR10" s="58">
        <f>利润表!AR8</f>
        <v>213375019.44</v>
      </c>
      <c r="AS10" s="58">
        <f>利润表!AS8</f>
        <v>131402491.89</v>
      </c>
      <c r="AT10" s="58">
        <f>利润表!AT8</f>
        <v>492053156.49000001</v>
      </c>
      <c r="AU10" s="58">
        <f>利润表!AU8</f>
        <v>355914981.87</v>
      </c>
      <c r="AV10" s="58">
        <f>利润表!AV8</f>
        <v>228683868.50999999</v>
      </c>
      <c r="AW10" s="58">
        <f>利润表!AW8</f>
        <v>94632357.790000007</v>
      </c>
      <c r="AX10" s="58">
        <f>利润表!AX8</f>
        <v>360255683.31999999</v>
      </c>
      <c r="AY10" s="58">
        <f>利润表!AY8</f>
        <v>267027956.16</v>
      </c>
      <c r="AZ10" s="58">
        <f>利润表!AZ8</f>
        <v>170509771.09</v>
      </c>
      <c r="BA10" s="58">
        <f>利润表!BA8</f>
        <v>85898121.189999998</v>
      </c>
      <c r="BB10" s="58">
        <f>利润表!BB8</f>
        <v>345423417.47000003</v>
      </c>
      <c r="BC10" s="58">
        <f>利润表!BC8</f>
        <v>253245321.00999999</v>
      </c>
      <c r="BD10" s="58">
        <f>利润表!BD8</f>
        <v>162518431.43000001</v>
      </c>
      <c r="BE10" s="58">
        <f>利润表!BE8</f>
        <v>79442511.939999998</v>
      </c>
      <c r="BF10" s="58">
        <f>利润表!BF8</f>
        <v>321429749.67000002</v>
      </c>
      <c r="BG10" s="58">
        <f>利润表!BG8</f>
        <v>229591779.19</v>
      </c>
      <c r="BH10" s="58">
        <f>利润表!BH8</f>
        <v>133740621.19</v>
      </c>
      <c r="BI10" s="58">
        <f>利润表!BI8</f>
        <v>65436244.530000001</v>
      </c>
      <c r="BJ10" s="58">
        <f>利润表!BJ8</f>
        <v>323599708.75</v>
      </c>
      <c r="BK10" s="58">
        <f>利润表!BK8</f>
        <v>239973112.84999999</v>
      </c>
      <c r="BL10" s="58">
        <f>利润表!BL8</f>
        <v>157358942.06999999</v>
      </c>
      <c r="BM10" s="58">
        <f>利润表!BM8</f>
        <v>82777207.959999993</v>
      </c>
      <c r="BN10" s="58">
        <f>利润表!BN8</f>
        <v>317593510.41000003</v>
      </c>
      <c r="BO10" s="58">
        <f>利润表!BO8</f>
        <v>228508007.62</v>
      </c>
      <c r="BP10" s="58">
        <f>利润表!BP8</f>
        <v>148225737.93000001</v>
      </c>
      <c r="BQ10" s="58">
        <f>利润表!BQ8</f>
        <v>72043847.859999999</v>
      </c>
      <c r="BR10" s="58">
        <f>利润表!BR8</f>
        <v>290137966.11000001</v>
      </c>
      <c r="BS10" s="58">
        <f>利润表!BS8</f>
        <v>134119448.56</v>
      </c>
      <c r="BT10" s="58">
        <f>利润表!BT8</f>
        <v>245249626.66</v>
      </c>
      <c r="BU10" s="58">
        <f>利润表!BU8</f>
        <v>127462441.63</v>
      </c>
      <c r="BV10" s="58">
        <f>利润表!BV8</f>
        <v>214680939.50999999</v>
      </c>
      <c r="BW10" s="58">
        <f>利润表!BW8</f>
        <v>98544459.200000003</v>
      </c>
      <c r="BX10" s="58">
        <f>利润表!BX8</f>
        <v>5778042.5199999996</v>
      </c>
      <c r="BY10" s="58">
        <f>利润表!BY8</f>
        <v>14938744.029999999</v>
      </c>
      <c r="BZ10" s="58">
        <f>利润表!BZ8</f>
        <v>24044238.5</v>
      </c>
      <c r="CA10" s="58">
        <f>利润表!CA8</f>
        <v>0</v>
      </c>
      <c r="CB10" s="58">
        <f>利润表!CB8</f>
        <v>50761337.530000001</v>
      </c>
      <c r="CC10" s="58">
        <f>利润表!CC8</f>
        <v>0</v>
      </c>
      <c r="CD10" s="58">
        <f>利润表!CD8</f>
        <v>26810633.800000001</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6" t="s">
        <v>493</v>
      </c>
      <c r="E11" s="58">
        <f>利润表!E9</f>
        <v>256091440.58000001</v>
      </c>
      <c r="F11" s="58">
        <f>利润表!F9</f>
        <v>1297812456.3199999</v>
      </c>
      <c r="G11" s="58">
        <f>利润表!G9</f>
        <v>897288688.38</v>
      </c>
      <c r="H11" s="58">
        <f>利润表!H9</f>
        <v>651720570.57000005</v>
      </c>
      <c r="I11" s="58">
        <f>利润表!I9</f>
        <v>246324752.13</v>
      </c>
      <c r="J11" s="58">
        <f>利润表!J9</f>
        <v>1348474399.55</v>
      </c>
      <c r="K11" s="58">
        <f>利润表!K9</f>
        <v>953494349.96000004</v>
      </c>
      <c r="L11" s="58">
        <f>利润表!L9</f>
        <v>663893559.29999995</v>
      </c>
      <c r="M11" s="58">
        <f>利润表!M9</f>
        <v>288924674.19999999</v>
      </c>
      <c r="N11" s="58">
        <f>利润表!N9</f>
        <v>1782457942.6800001</v>
      </c>
      <c r="O11" s="58">
        <f>利润表!O9</f>
        <v>1246319073.75</v>
      </c>
      <c r="P11" s="58">
        <f>利润表!P9</f>
        <v>916950550.39999998</v>
      </c>
      <c r="Q11" s="58">
        <f>利润表!Q9</f>
        <v>382675273.56999999</v>
      </c>
      <c r="R11" s="58">
        <f>利润表!R9</f>
        <v>1876778470.8299999</v>
      </c>
      <c r="S11" s="58">
        <f>利润表!S9</f>
        <v>1311561912.96</v>
      </c>
      <c r="T11" s="58">
        <f>利润表!T9</f>
        <v>887189511.44000006</v>
      </c>
      <c r="U11" s="58">
        <f>利润表!U9</f>
        <v>384622815.70999998</v>
      </c>
      <c r="V11" s="58">
        <f>利润表!V9</f>
        <v>1839728726</v>
      </c>
      <c r="W11" s="58">
        <f>利润表!W9</f>
        <v>1166382034.47</v>
      </c>
      <c r="X11" s="58">
        <f>利润表!X9</f>
        <v>776169353.77999997</v>
      </c>
      <c r="Y11" s="58">
        <f>利润表!Y9</f>
        <v>359530187.44999999</v>
      </c>
      <c r="Z11" s="58">
        <f>利润表!Z9</f>
        <v>1482340908.6500001</v>
      </c>
      <c r="AA11" s="58">
        <f>利润表!AA9</f>
        <v>1173732261.54</v>
      </c>
      <c r="AB11" s="58">
        <f>利润表!AB9</f>
        <v>534231845.31</v>
      </c>
      <c r="AC11" s="58">
        <f>利润表!AC9</f>
        <v>235862570.50999999</v>
      </c>
      <c r="AD11" s="58">
        <f>利润表!AD9</f>
        <v>1217841360</v>
      </c>
      <c r="AE11" s="58">
        <f>利润表!AE9</f>
        <v>853202817.29999995</v>
      </c>
      <c r="AF11" s="58">
        <f>利润表!AF9</f>
        <v>521332474.60000002</v>
      </c>
      <c r="AG11" s="58">
        <f>利润表!AG9</f>
        <v>238303364.31</v>
      </c>
      <c r="AH11" s="58">
        <f>利润表!AH9</f>
        <v>1077062088.3699999</v>
      </c>
      <c r="AI11" s="58">
        <f>利润表!AI9</f>
        <v>775436485.40999997</v>
      </c>
      <c r="AJ11" s="58">
        <f>利润表!AJ9</f>
        <v>478880324.41000003</v>
      </c>
      <c r="AK11" s="58">
        <f>利润表!AK9</f>
        <v>217513666.13</v>
      </c>
      <c r="AL11" s="58">
        <f>利润表!AL9</f>
        <v>899709500.05999994</v>
      </c>
      <c r="AM11" s="58">
        <f>利润表!AM9</f>
        <v>554972324.38</v>
      </c>
      <c r="AN11" s="58">
        <f>利润表!AN9</f>
        <v>340190388.22000003</v>
      </c>
      <c r="AO11" s="58">
        <f>利润表!AO9</f>
        <v>163726144.58000001</v>
      </c>
      <c r="AP11" s="58">
        <f>利润表!AP9</f>
        <v>759141352.00999999</v>
      </c>
      <c r="AQ11" s="58">
        <f>利润表!AQ9</f>
        <v>528160805.45999998</v>
      </c>
      <c r="AR11" s="58">
        <f>利润表!AR9</f>
        <v>342386795.98000002</v>
      </c>
      <c r="AS11" s="58">
        <f>利润表!AS9</f>
        <v>144957146.94999999</v>
      </c>
      <c r="AT11" s="58">
        <f>利润表!AT9</f>
        <v>638911611.90999997</v>
      </c>
      <c r="AU11" s="58">
        <f>利润表!AU9</f>
        <v>434563880.16000003</v>
      </c>
      <c r="AV11" s="58">
        <f>利润表!AV9</f>
        <v>280669108.04000002</v>
      </c>
      <c r="AW11" s="58">
        <f>利润表!AW9</f>
        <v>123108354.90000001</v>
      </c>
      <c r="AX11" s="58">
        <f>利润表!AX9</f>
        <v>564132285.63</v>
      </c>
      <c r="AY11" s="58">
        <f>利润表!AY9</f>
        <v>362108855.76999998</v>
      </c>
      <c r="AZ11" s="58">
        <f>利润表!AZ9</f>
        <v>241592698</v>
      </c>
      <c r="BA11" s="58">
        <f>利润表!BA9</f>
        <v>100067356.54000001</v>
      </c>
      <c r="BB11" s="58">
        <f>利润表!BB9</f>
        <v>516323877.29000002</v>
      </c>
      <c r="BC11" s="58">
        <f>利润表!BC9</f>
        <v>363413451.38</v>
      </c>
      <c r="BD11" s="58">
        <f>利润表!BD9</f>
        <v>265771022.94</v>
      </c>
      <c r="BE11" s="58">
        <f>利润表!BE9</f>
        <v>117285447.89</v>
      </c>
      <c r="BF11" s="58">
        <f>利润表!BF9</f>
        <v>584589106.21000004</v>
      </c>
      <c r="BG11" s="58">
        <f>利润表!BG9</f>
        <v>387049001.74000001</v>
      </c>
      <c r="BH11" s="58">
        <f>利润表!BH9</f>
        <v>266947677.38</v>
      </c>
      <c r="BI11" s="58">
        <f>利润表!BI9</f>
        <v>128116416.59</v>
      </c>
      <c r="BJ11" s="58">
        <f>利润表!BJ9</f>
        <v>450852411.87</v>
      </c>
      <c r="BK11" s="58">
        <f>利润表!BK9</f>
        <v>303466718.38999999</v>
      </c>
      <c r="BL11" s="58">
        <f>利润表!BL9</f>
        <v>196504881.38999999</v>
      </c>
      <c r="BM11" s="58">
        <f>利润表!BM9</f>
        <v>100897170.67</v>
      </c>
      <c r="BN11" s="58">
        <f>利润表!BN9</f>
        <v>601321222.13999999</v>
      </c>
      <c r="BO11" s="58">
        <f>利润表!BO9</f>
        <v>362501878.05000001</v>
      </c>
      <c r="BP11" s="58">
        <f>利润表!BP9</f>
        <v>219744265.62</v>
      </c>
      <c r="BQ11" s="58">
        <f>利润表!BQ9</f>
        <v>74400649.650000006</v>
      </c>
      <c r="BR11" s="58">
        <f>利润表!BR9</f>
        <v>438597820</v>
      </c>
      <c r="BS11" s="58">
        <f>利润表!BS9</f>
        <v>164511244.80000001</v>
      </c>
      <c r="BT11" s="58">
        <f>利润表!BT9</f>
        <v>434314834.51999998</v>
      </c>
      <c r="BU11" s="58">
        <f>利润表!BU9</f>
        <v>131075063.06999999</v>
      </c>
      <c r="BV11" s="58">
        <f>利润表!BV9</f>
        <v>377039988.44999999</v>
      </c>
      <c r="BW11" s="58">
        <f>利润表!BW9</f>
        <v>118137266.47</v>
      </c>
      <c r="BX11" s="58">
        <f>利润表!BX9</f>
        <v>67592013.680000007</v>
      </c>
      <c r="BY11" s="58">
        <f>利润表!BY9</f>
        <v>33930334.380000003</v>
      </c>
      <c r="BZ11" s="58">
        <f>利润表!BZ9</f>
        <v>79345908.530000001</v>
      </c>
      <c r="CA11" s="58">
        <f>利润表!CA9</f>
        <v>0</v>
      </c>
      <c r="CB11" s="58">
        <f>利润表!CB9</f>
        <v>120362071.26000001</v>
      </c>
      <c r="CC11" s="58">
        <f>利润表!CC9</f>
        <v>0</v>
      </c>
      <c r="CD11" s="58">
        <f>利润表!CD9</f>
        <v>168183396.69999999</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6" t="s">
        <v>494</v>
      </c>
      <c r="E12" s="58">
        <f>SUM(E8:E11)</f>
        <v>3623987564.1899996</v>
      </c>
      <c r="F12" s="58">
        <f t="shared" ref="F12:BQ12" si="4">SUM(F8:F11)</f>
        <v>17349536701.98</v>
      </c>
      <c r="G12" s="58">
        <f t="shared" si="4"/>
        <v>13140625463.939999</v>
      </c>
      <c r="H12" s="58">
        <f t="shared" si="4"/>
        <v>8724485635.7299995</v>
      </c>
      <c r="I12" s="58">
        <f t="shared" si="4"/>
        <v>3465989876.5700002</v>
      </c>
      <c r="J12" s="58">
        <f t="shared" si="4"/>
        <v>16967507379.290001</v>
      </c>
      <c r="K12" s="58">
        <f t="shared" si="4"/>
        <v>12733456988.57</v>
      </c>
      <c r="L12" s="58">
        <f t="shared" si="4"/>
        <v>8384399849.9500008</v>
      </c>
      <c r="M12" s="58">
        <f t="shared" si="4"/>
        <v>3456961344.3199997</v>
      </c>
      <c r="N12" s="58">
        <f t="shared" si="4"/>
        <v>17823778641.029999</v>
      </c>
      <c r="O12" s="58">
        <f t="shared" si="4"/>
        <v>13626384063.720001</v>
      </c>
      <c r="P12" s="58">
        <f t="shared" si="4"/>
        <v>9234588974.5699997</v>
      </c>
      <c r="Q12" s="58">
        <f t="shared" si="4"/>
        <v>3940130403.6999998</v>
      </c>
      <c r="R12" s="58">
        <f t="shared" si="4"/>
        <v>19257257445.599998</v>
      </c>
      <c r="S12" s="58">
        <f t="shared" si="4"/>
        <v>14474571141.139999</v>
      </c>
      <c r="T12" s="58">
        <f t="shared" si="4"/>
        <v>9524181926.8200016</v>
      </c>
      <c r="U12" s="58">
        <f t="shared" si="4"/>
        <v>3942498165.3899999</v>
      </c>
      <c r="V12" s="58">
        <f t="shared" si="4"/>
        <v>18586430942.900002</v>
      </c>
      <c r="W12" s="58">
        <f t="shared" si="4"/>
        <v>13592380802.459999</v>
      </c>
      <c r="X12" s="58">
        <f t="shared" si="4"/>
        <v>8837718342.5200005</v>
      </c>
      <c r="Y12" s="58">
        <f t="shared" si="4"/>
        <v>3737585891.3800001</v>
      </c>
      <c r="Z12" s="58">
        <f t="shared" si="4"/>
        <v>16787263365.509998</v>
      </c>
      <c r="AA12" s="58">
        <f t="shared" si="4"/>
        <v>12815375309.720001</v>
      </c>
      <c r="AB12" s="58">
        <f t="shared" si="4"/>
        <v>6705837312.79</v>
      </c>
      <c r="AC12" s="58">
        <f t="shared" si="4"/>
        <v>2976869104.5299997</v>
      </c>
      <c r="AD12" s="58">
        <f t="shared" si="4"/>
        <v>13615734656.000002</v>
      </c>
      <c r="AE12" s="58">
        <f t="shared" si="4"/>
        <v>10636767493.57</v>
      </c>
      <c r="AF12" s="58">
        <f t="shared" si="4"/>
        <v>6863728511.0900002</v>
      </c>
      <c r="AG12" s="58">
        <f t="shared" si="4"/>
        <v>3047753795.4000001</v>
      </c>
      <c r="AH12" s="58">
        <f t="shared" si="4"/>
        <v>12396829903.849998</v>
      </c>
      <c r="AI12" s="58">
        <f t="shared" si="4"/>
        <v>9112931882.7000008</v>
      </c>
      <c r="AJ12" s="58">
        <f t="shared" si="4"/>
        <v>5875337593.0299997</v>
      </c>
      <c r="AK12" s="58">
        <f t="shared" si="4"/>
        <v>2552731551.02</v>
      </c>
      <c r="AL12" s="58">
        <f t="shared" si="4"/>
        <v>10344865804.209999</v>
      </c>
      <c r="AM12" s="58">
        <f t="shared" si="4"/>
        <v>7510173356.4099998</v>
      </c>
      <c r="AN12" s="58">
        <f t="shared" si="4"/>
        <v>4799654030.7700005</v>
      </c>
      <c r="AO12" s="58">
        <f t="shared" si="4"/>
        <v>2174316851.4000001</v>
      </c>
      <c r="AP12" s="58">
        <f t="shared" si="4"/>
        <v>9729093237.5599995</v>
      </c>
      <c r="AQ12" s="58">
        <f t="shared" si="4"/>
        <v>7319224147.6499996</v>
      </c>
      <c r="AR12" s="58">
        <f t="shared" si="4"/>
        <v>4745439286.9499989</v>
      </c>
      <c r="AS12" s="58">
        <f t="shared" si="4"/>
        <v>2144927573.96</v>
      </c>
      <c r="AT12" s="58">
        <f t="shared" si="4"/>
        <v>8437351449.6399994</v>
      </c>
      <c r="AU12" s="58">
        <f t="shared" si="4"/>
        <v>6101291190.8900003</v>
      </c>
      <c r="AV12" s="58">
        <f t="shared" si="4"/>
        <v>3856410249.9400005</v>
      </c>
      <c r="AW12" s="58">
        <f t="shared" si="4"/>
        <v>1762758091.47</v>
      </c>
      <c r="AX12" s="58">
        <f t="shared" si="4"/>
        <v>6705005756.1499996</v>
      </c>
      <c r="AY12" s="58">
        <f t="shared" si="4"/>
        <v>4859511536.5400009</v>
      </c>
      <c r="AZ12" s="58">
        <f t="shared" si="4"/>
        <v>3189529807.8499999</v>
      </c>
      <c r="BA12" s="58">
        <f t="shared" si="4"/>
        <v>1440510783.74</v>
      </c>
      <c r="BB12" s="58">
        <f t="shared" si="4"/>
        <v>6283281310.8699999</v>
      </c>
      <c r="BC12" s="58">
        <f t="shared" si="4"/>
        <v>4553881494.2600002</v>
      </c>
      <c r="BD12" s="58">
        <f t="shared" si="4"/>
        <v>3003757144.4899998</v>
      </c>
      <c r="BE12" s="58">
        <f t="shared" si="4"/>
        <v>1376066768.0000002</v>
      </c>
      <c r="BF12" s="58">
        <f t="shared" si="4"/>
        <v>5864387699.0999994</v>
      </c>
      <c r="BG12" s="58">
        <f t="shared" si="4"/>
        <v>4288262256.0599995</v>
      </c>
      <c r="BH12" s="58">
        <f t="shared" si="4"/>
        <v>2925764532.5599999</v>
      </c>
      <c r="BI12" s="58">
        <f t="shared" si="4"/>
        <v>1423922265.1899998</v>
      </c>
      <c r="BJ12" s="58">
        <f t="shared" si="4"/>
        <v>4800019456.54</v>
      </c>
      <c r="BK12" s="58">
        <f t="shared" si="4"/>
        <v>3501710966.5899997</v>
      </c>
      <c r="BL12" s="58">
        <f t="shared" si="4"/>
        <v>2313046980.04</v>
      </c>
      <c r="BM12" s="58">
        <f t="shared" si="4"/>
        <v>1101917977.95</v>
      </c>
      <c r="BN12" s="58">
        <f t="shared" si="4"/>
        <v>3813956709.4599996</v>
      </c>
      <c r="BO12" s="58">
        <f t="shared" si="4"/>
        <v>2915416068.3700004</v>
      </c>
      <c r="BP12" s="58">
        <f t="shared" si="4"/>
        <v>1972046132.8499999</v>
      </c>
      <c r="BQ12" s="58">
        <f t="shared" si="4"/>
        <v>923755814.37</v>
      </c>
      <c r="BR12" s="58">
        <f t="shared" ref="BR12:CL12" si="5">SUM(BR8:BR11)</f>
        <v>3291997953.0800004</v>
      </c>
      <c r="BS12" s="58">
        <f t="shared" si="5"/>
        <v>1607751306.49</v>
      </c>
      <c r="BT12" s="58">
        <f t="shared" si="5"/>
        <v>3170990907.4700003</v>
      </c>
      <c r="BU12" s="58">
        <f t="shared" si="5"/>
        <v>1516883228.72</v>
      </c>
      <c r="BV12" s="58">
        <f t="shared" si="5"/>
        <v>3061081869.3199997</v>
      </c>
      <c r="BW12" s="58">
        <f t="shared" si="5"/>
        <v>1377268273.6900001</v>
      </c>
      <c r="BX12" s="58">
        <f t="shared" si="5"/>
        <v>483067632.54999995</v>
      </c>
      <c r="BY12" s="58">
        <f t="shared" si="5"/>
        <v>207263286.03</v>
      </c>
      <c r="BZ12" s="58">
        <f t="shared" si="5"/>
        <v>851682023.24000001</v>
      </c>
      <c r="CA12" s="58">
        <f t="shared" si="5"/>
        <v>0</v>
      </c>
      <c r="CB12" s="58">
        <f t="shared" si="5"/>
        <v>1295755509.6899998</v>
      </c>
      <c r="CC12" s="58">
        <f t="shared" si="5"/>
        <v>0</v>
      </c>
      <c r="CD12" s="58">
        <f t="shared" si="5"/>
        <v>1723357598.4300001</v>
      </c>
      <c r="CE12" s="58">
        <f t="shared" si="5"/>
        <v>0</v>
      </c>
      <c r="CF12" s="58">
        <f t="shared" si="5"/>
        <v>0</v>
      </c>
      <c r="CG12" s="58">
        <f t="shared" si="5"/>
        <v>0</v>
      </c>
      <c r="CH12" s="58">
        <f t="shared" si="5"/>
        <v>528580000</v>
      </c>
      <c r="CI12" s="58">
        <f t="shared" si="5"/>
        <v>693920000</v>
      </c>
      <c r="CJ12" s="58">
        <f t="shared" si="5"/>
        <v>563700000</v>
      </c>
      <c r="CK12" s="58">
        <f t="shared" si="5"/>
        <v>473000000</v>
      </c>
      <c r="CL12" s="58">
        <f t="shared" si="5"/>
        <v>0</v>
      </c>
    </row>
    <row r="13" spans="1:90" s="28" customFormat="1">
      <c r="A13" s="20" t="s">
        <v>495</v>
      </c>
      <c r="E13" s="28">
        <f>(E6/(1+E4)+E7)/E12</f>
        <v>1.3044906603990634</v>
      </c>
      <c r="F13" s="28">
        <f t="shared" ref="F13:BQ13" si="6">(F6/(1+F4)+F7)/F12</f>
        <v>0.90348094780591381</v>
      </c>
      <c r="G13" s="28">
        <f t="shared" si="6"/>
        <v>0.87697127711902101</v>
      </c>
      <c r="H13" s="28">
        <f t="shared" si="6"/>
        <v>0.896996263442014</v>
      </c>
      <c r="I13" s="28">
        <f t="shared" si="6"/>
        <v>1.2000566432269337</v>
      </c>
      <c r="J13" s="28">
        <f t="shared" si="6"/>
        <v>0.89955871893206329</v>
      </c>
      <c r="K13" s="28">
        <f t="shared" si="6"/>
        <v>0.83015652348756774</v>
      </c>
      <c r="L13" s="28">
        <f t="shared" si="6"/>
        <v>0.82908754163473564</v>
      </c>
      <c r="M13" s="28">
        <f t="shared" si="6"/>
        <v>0.97717324369557845</v>
      </c>
      <c r="N13" s="28">
        <f t="shared" si="6"/>
        <v>0.89488125486474279</v>
      </c>
      <c r="O13" s="28">
        <f t="shared" si="6"/>
        <v>0.83712041613335397</v>
      </c>
      <c r="P13" s="28">
        <f t="shared" si="6"/>
        <v>0.85628187950873824</v>
      </c>
      <c r="Q13" s="28">
        <f t="shared" si="6"/>
        <v>1.0240879773188425</v>
      </c>
      <c r="R13" s="28">
        <f t="shared" si="6"/>
        <v>0.93619255340824714</v>
      </c>
      <c r="S13" s="28">
        <f t="shared" si="6"/>
        <v>0.9396949808437024</v>
      </c>
      <c r="T13" s="28">
        <f t="shared" si="6"/>
        <v>0.90546395802481394</v>
      </c>
      <c r="U13" s="28">
        <f t="shared" si="6"/>
        <v>1.129893224035551</v>
      </c>
      <c r="V13" s="28">
        <f t="shared" si="6"/>
        <v>0.94330245379237432</v>
      </c>
      <c r="W13" s="28">
        <f t="shared" si="6"/>
        <v>0.94863372087550113</v>
      </c>
      <c r="X13" s="28">
        <f t="shared" si="6"/>
        <v>0.93263648161447033</v>
      </c>
      <c r="Y13" s="28">
        <f t="shared" si="6"/>
        <v>1.1657281587923487</v>
      </c>
      <c r="Z13" s="28">
        <f t="shared" si="6"/>
        <v>0.95724134872998912</v>
      </c>
      <c r="AA13" s="28">
        <f t="shared" si="6"/>
        <v>0.90213903564308129</v>
      </c>
      <c r="AB13" s="28">
        <f t="shared" si="6"/>
        <v>0.89414355921284372</v>
      </c>
      <c r="AC13" s="28">
        <f t="shared" si="6"/>
        <v>1.0802883752364127</v>
      </c>
      <c r="AD13" s="28">
        <f t="shared" si="6"/>
        <v>0.97719879418430589</v>
      </c>
      <c r="AE13" s="28">
        <f t="shared" si="6"/>
        <v>0.89657046988262701</v>
      </c>
      <c r="AF13" s="28">
        <f t="shared" si="6"/>
        <v>0.90830805526652469</v>
      </c>
      <c r="AG13" s="28">
        <f t="shared" si="6"/>
        <v>1.0078270588176712</v>
      </c>
      <c r="AH13" s="28">
        <f t="shared" si="6"/>
        <v>0.90271953863673415</v>
      </c>
      <c r="AI13" s="28">
        <f t="shared" si="6"/>
        <v>0.83295768783866475</v>
      </c>
      <c r="AJ13" s="28">
        <f t="shared" si="6"/>
        <v>0.80622573120952445</v>
      </c>
      <c r="AK13" s="28">
        <f t="shared" si="6"/>
        <v>0.96489157315964524</v>
      </c>
      <c r="AL13" s="28">
        <f t="shared" si="6"/>
        <v>0.8832944694423156</v>
      </c>
      <c r="AM13" s="28">
        <f t="shared" si="6"/>
        <v>0.86450074769114782</v>
      </c>
      <c r="AN13" s="28">
        <f t="shared" si="6"/>
        <v>0.837223611297226</v>
      </c>
      <c r="AO13" s="28">
        <f t="shared" si="6"/>
        <v>0.8289786355136689</v>
      </c>
      <c r="AP13" s="28">
        <f t="shared" si="6"/>
        <v>0.88680169384954644</v>
      </c>
      <c r="AQ13" s="28">
        <f t="shared" si="6"/>
        <v>0.88129108621062979</v>
      </c>
      <c r="AR13" s="28">
        <f t="shared" si="6"/>
        <v>0.94156898533414335</v>
      </c>
      <c r="AS13" s="28">
        <f t="shared" si="6"/>
        <v>1.0079808699174708</v>
      </c>
      <c r="AT13" s="28">
        <f t="shared" si="6"/>
        <v>0.91862614287417033</v>
      </c>
      <c r="AU13" s="28">
        <f t="shared" si="6"/>
        <v>0.85820376742602922</v>
      </c>
      <c r="AV13" s="28">
        <f t="shared" si="6"/>
        <v>0.87833477132142501</v>
      </c>
      <c r="AW13" s="28">
        <f t="shared" si="6"/>
        <v>0.88466022433074387</v>
      </c>
      <c r="AX13" s="28">
        <f t="shared" si="6"/>
        <v>0.93516291450600442</v>
      </c>
      <c r="AY13" s="28">
        <f t="shared" si="6"/>
        <v>0.82217906669025631</v>
      </c>
      <c r="AZ13" s="28">
        <f t="shared" si="6"/>
        <v>0.89230536319580345</v>
      </c>
      <c r="BA13" s="28">
        <f t="shared" si="6"/>
        <v>0.86442078630589347</v>
      </c>
      <c r="BB13" s="28">
        <f t="shared" si="6"/>
        <v>0.91732032802853314</v>
      </c>
      <c r="BC13" s="28">
        <f t="shared" si="6"/>
        <v>0.892014874392692</v>
      </c>
      <c r="BD13" s="28">
        <f t="shared" si="6"/>
        <v>1.0004231402797352</v>
      </c>
      <c r="BE13" s="28">
        <f t="shared" si="6"/>
        <v>1.018439055980048</v>
      </c>
      <c r="BF13" s="28">
        <f t="shared" si="6"/>
        <v>0.9090722042199062</v>
      </c>
      <c r="BG13" s="28">
        <f t="shared" si="6"/>
        <v>0.83911346051542068</v>
      </c>
      <c r="BH13" s="28">
        <f t="shared" si="6"/>
        <v>0.80743531582252115</v>
      </c>
      <c r="BI13" s="28">
        <f t="shared" si="6"/>
        <v>0.78474145413129515</v>
      </c>
      <c r="BJ13" s="28">
        <f t="shared" si="6"/>
        <v>1.0107213315647046</v>
      </c>
      <c r="BK13" s="28">
        <f t="shared" si="6"/>
        <v>0.91837129877843071</v>
      </c>
      <c r="BL13" s="28">
        <f t="shared" si="6"/>
        <v>0.89148642106335674</v>
      </c>
      <c r="BM13" s="28">
        <f t="shared" si="6"/>
        <v>0.83122978402505232</v>
      </c>
      <c r="BN13" s="28">
        <f t="shared" si="6"/>
        <v>0.9503118245230352</v>
      </c>
      <c r="BO13" s="28">
        <f t="shared" si="6"/>
        <v>0.55031980827049631</v>
      </c>
      <c r="BP13" s="28">
        <f t="shared" si="6"/>
        <v>1.3880762206017037</v>
      </c>
      <c r="BQ13" s="28">
        <f t="shared" si="6"/>
        <v>1.5457788404290056</v>
      </c>
      <c r="BR13" s="28">
        <f t="shared" ref="BR13:CK13" si="7">(BR6/(1+BR4)+BR7)/BR12</f>
        <v>0.71939538829844574</v>
      </c>
      <c r="BS13" s="28">
        <f t="shared" si="7"/>
        <v>0.6292663783101512</v>
      </c>
      <c r="BT13" s="28">
        <f t="shared" si="7"/>
        <v>0.75153654545662085</v>
      </c>
      <c r="BU13" s="28">
        <f t="shared" si="7"/>
        <v>0.60157963738451781</v>
      </c>
      <c r="BV13" s="28">
        <f t="shared" si="7"/>
        <v>0.11914413725599032</v>
      </c>
      <c r="BW13" s="28">
        <f t="shared" si="7"/>
        <v>0</v>
      </c>
      <c r="BX13" s="28">
        <f t="shared" si="7"/>
        <v>0</v>
      </c>
      <c r="BY13" s="28">
        <f t="shared" si="7"/>
        <v>0</v>
      </c>
      <c r="BZ13" s="28">
        <f t="shared" si="7"/>
        <v>0</v>
      </c>
      <c r="CA13" s="28" t="e">
        <f t="shared" si="7"/>
        <v>#DIV/0!</v>
      </c>
      <c r="CB13" s="28">
        <f t="shared" si="7"/>
        <v>0</v>
      </c>
      <c r="CC13" s="28" t="e">
        <f t="shared" si="7"/>
        <v>#DIV/0!</v>
      </c>
      <c r="CD13" s="28">
        <f t="shared" si="7"/>
        <v>0</v>
      </c>
      <c r="CE13" s="28" t="e">
        <f t="shared" si="7"/>
        <v>#DIV/0!</v>
      </c>
      <c r="CF13" s="28" t="e">
        <f t="shared" si="7"/>
        <v>#DIV/0!</v>
      </c>
      <c r="CG13" s="28" t="e">
        <f t="shared" si="7"/>
        <v>#DIV/0!</v>
      </c>
      <c r="CH13" s="28">
        <f t="shared" si="7"/>
        <v>0</v>
      </c>
      <c r="CI13" s="28">
        <f t="shared" si="7"/>
        <v>0</v>
      </c>
      <c r="CJ13" s="28">
        <f t="shared" si="7"/>
        <v>0</v>
      </c>
      <c r="CK13" s="28">
        <f t="shared" si="7"/>
        <v>0</v>
      </c>
    </row>
    <row r="14" spans="1:90" s="26" customFormat="1">
      <c r="A14" s="20" t="s">
        <v>496</v>
      </c>
      <c r="E14" s="26">
        <f>现金流量表!E13</f>
        <v>-1182456308.27</v>
      </c>
      <c r="F14" s="26">
        <f>现金流量表!F13</f>
        <v>1930118454.01</v>
      </c>
      <c r="G14" s="26">
        <f>现金流量表!G13</f>
        <v>1405689604.1400001</v>
      </c>
      <c r="H14" s="26">
        <f>现金流量表!H13</f>
        <v>436621687.81999999</v>
      </c>
      <c r="I14" s="26">
        <f>现金流量表!I13</f>
        <v>-277228251.38999999</v>
      </c>
      <c r="J14" s="26">
        <f>现金流量表!J13</f>
        <v>1999573702.98</v>
      </c>
      <c r="K14" s="26">
        <f>现金流量表!K13</f>
        <v>1929645382.1800001</v>
      </c>
      <c r="L14" s="26">
        <f>现金流量表!L13</f>
        <v>1316392351.1300001</v>
      </c>
      <c r="M14" s="26">
        <f>现金流量表!M13</f>
        <v>319139035.18000001</v>
      </c>
      <c r="N14" s="26">
        <f>现金流量表!N13</f>
        <v>1338774524.46</v>
      </c>
      <c r="O14" s="26">
        <f>现金流量表!O13</f>
        <v>1508101907.8</v>
      </c>
      <c r="P14" s="26">
        <f>现金流量表!P13</f>
        <v>563731554.65999997</v>
      </c>
      <c r="Q14" s="26">
        <f>现金流量表!Q13</f>
        <v>-139849646.09999999</v>
      </c>
      <c r="R14" s="26">
        <f>现金流量表!R13</f>
        <v>2011963265.6500001</v>
      </c>
      <c r="S14" s="26">
        <f>现金流量表!S13</f>
        <v>1767169251.03</v>
      </c>
      <c r="T14" s="26">
        <f>现金流量表!T13</f>
        <v>972053307.75999999</v>
      </c>
      <c r="U14" s="26">
        <f>现金流量表!U13</f>
        <v>-47720877.789999999</v>
      </c>
      <c r="V14" s="26">
        <f>现金流量表!V13</f>
        <v>1758892889.23</v>
      </c>
      <c r="W14" s="26">
        <f>现金流量表!W13</f>
        <v>1503864105.3</v>
      </c>
      <c r="X14" s="26">
        <f>现金流量表!X13</f>
        <v>928841205.42999995</v>
      </c>
      <c r="Y14" s="26">
        <f>现金流量表!Y13</f>
        <v>-633039859.49000001</v>
      </c>
      <c r="Z14" s="26">
        <f>现金流量表!Z13</f>
        <v>3120058762.9099998</v>
      </c>
      <c r="AA14" s="26">
        <f>现金流量表!AA13</f>
        <v>2266334969.25</v>
      </c>
      <c r="AB14" s="26">
        <f>现金流量表!AB13</f>
        <v>1506595920.0599999</v>
      </c>
      <c r="AC14" s="26">
        <f>现金流量表!AC13</f>
        <v>-125661126.05</v>
      </c>
      <c r="AD14" s="26">
        <f>现金流量表!AD13</f>
        <v>1542378253.03</v>
      </c>
      <c r="AE14" s="26">
        <f>现金流量表!AE13</f>
        <v>1434505205.8599999</v>
      </c>
      <c r="AF14" s="26">
        <f>现金流量表!AF13</f>
        <v>884143463.00999999</v>
      </c>
      <c r="AG14" s="26">
        <f>现金流量表!AG13</f>
        <v>-223539526.56</v>
      </c>
      <c r="AH14" s="26">
        <f>现金流量表!AH13</f>
        <v>1787464327.6600001</v>
      </c>
      <c r="AI14" s="26">
        <f>现金流量表!AI13</f>
        <v>1718131912.98</v>
      </c>
      <c r="AJ14" s="26">
        <f>现金流量表!AJ13</f>
        <v>1122202879.6700001</v>
      </c>
      <c r="AK14" s="26">
        <f>现金流量表!AK13</f>
        <v>30469639.280000001</v>
      </c>
      <c r="AL14" s="26">
        <f>现金流量表!AL13</f>
        <v>2028598332.1700001</v>
      </c>
      <c r="AM14" s="26">
        <f>现金流量表!AM13</f>
        <v>1616122875.99</v>
      </c>
      <c r="AN14" s="26">
        <f>现金流量表!AN13</f>
        <v>943480103.27999997</v>
      </c>
      <c r="AO14" s="26">
        <f>现金流量表!AO13</f>
        <v>378297459.14999998</v>
      </c>
      <c r="AP14" s="26">
        <f>现金流量表!AP13</f>
        <v>516497097.97000003</v>
      </c>
      <c r="AQ14" s="26">
        <f>现金流量表!AQ13</f>
        <v>381218783.56</v>
      </c>
      <c r="AR14" s="26">
        <f>现金流量表!AR13</f>
        <v>4084610.3</v>
      </c>
      <c r="AS14" s="26">
        <f>现金流量表!AS13</f>
        <v>-286208499.70999998</v>
      </c>
      <c r="AT14" s="26">
        <f>现金流量表!AT13</f>
        <v>1057878881.39</v>
      </c>
      <c r="AU14" s="26">
        <f>现金流量表!AU13</f>
        <v>769860088.14999998</v>
      </c>
      <c r="AV14" s="26">
        <f>现金流量表!AV13</f>
        <v>295608189.13</v>
      </c>
      <c r="AW14" s="26">
        <f>现金流量表!AW13</f>
        <v>-30549097.199999999</v>
      </c>
      <c r="AX14" s="26">
        <f>现金流量表!AX13</f>
        <v>846957120.55999994</v>
      </c>
      <c r="AY14" s="26">
        <f>现金流量表!AY13</f>
        <v>485240091.43000001</v>
      </c>
      <c r="AZ14" s="26">
        <f>现金流量表!AZ13</f>
        <v>199309444.03</v>
      </c>
      <c r="BA14" s="26">
        <f>现金流量表!BA13</f>
        <v>-80113359.060000002</v>
      </c>
      <c r="BB14" s="26">
        <f>现金流量表!BB13</f>
        <v>243530780.69999999</v>
      </c>
      <c r="BC14" s="26">
        <f>现金流量表!BC13</f>
        <v>-165370697.12</v>
      </c>
      <c r="BD14" s="26">
        <f>现金流量表!BD13</f>
        <v>-157379247.44</v>
      </c>
      <c r="BE14" s="26">
        <f>现金流量表!BE13</f>
        <v>-233545765.58000001</v>
      </c>
      <c r="BF14" s="26">
        <f>现金流量表!BF13</f>
        <v>604667760.59000003</v>
      </c>
      <c r="BG14" s="26">
        <f>现金流量表!BG13</f>
        <v>337453098.12</v>
      </c>
      <c r="BH14" s="26">
        <f>现金流量表!BH13</f>
        <v>76753462.159999996</v>
      </c>
      <c r="BI14" s="26">
        <f>现金流量表!BI13</f>
        <v>56748815.079999998</v>
      </c>
      <c r="BJ14" s="26">
        <f>现金流量表!BJ13</f>
        <v>292170476.75999999</v>
      </c>
      <c r="BK14" s="26">
        <f>现金流量表!BK13</f>
        <v>456723497.52999997</v>
      </c>
      <c r="BL14" s="26">
        <f>现金流量表!BL13</f>
        <v>156973179.36000001</v>
      </c>
      <c r="BM14" s="26">
        <f>现金流量表!BM13</f>
        <v>-5871214.5800000001</v>
      </c>
      <c r="BN14" s="26">
        <f>现金流量表!BN13</f>
        <v>690591617.23000002</v>
      </c>
      <c r="BO14" s="26">
        <f>现金流量表!BO13</f>
        <v>318591291.69999999</v>
      </c>
      <c r="BP14" s="26">
        <f>现金流量表!BP13</f>
        <v>887186030.29999995</v>
      </c>
      <c r="BQ14" s="26">
        <f>现金流量表!BQ13</f>
        <v>200224002.99000001</v>
      </c>
      <c r="BR14" s="26">
        <f>现金流量表!BR13</f>
        <v>678152932.48000002</v>
      </c>
      <c r="BS14" s="26">
        <f>现金流量表!BS13</f>
        <v>131692296.48</v>
      </c>
      <c r="BT14" s="26">
        <f>现金流量表!BT13</f>
        <v>247433107.97999999</v>
      </c>
      <c r="BU14" s="26">
        <f>现金流量表!BU13</f>
        <v>43070537.390000001</v>
      </c>
      <c r="BV14" s="26">
        <f>现金流量表!BV13</f>
        <v>-154941375.38999999</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-0.12720773598004173</v>
      </c>
      <c r="F16" s="28">
        <f t="shared" ref="F16:BQ16" si="8">F14/F15</f>
        <v>0.28514921210243344</v>
      </c>
      <c r="G16" s="28">
        <f t="shared" si="8"/>
        <v>0.28946557711302773</v>
      </c>
      <c r="H16" s="28">
        <f t="shared" si="8"/>
        <v>0.12211113943768247</v>
      </c>
      <c r="I16" s="28">
        <f t="shared" si="8"/>
        <v>-4.2765464119870533E-2</v>
      </c>
      <c r="J16" s="28">
        <f t="shared" si="8"/>
        <v>0.4108079314483537</v>
      </c>
      <c r="K16" s="28">
        <f t="shared" si="8"/>
        <v>0.51313352383991662</v>
      </c>
      <c r="L16" s="28">
        <f t="shared" si="8"/>
        <v>0.45815084972093567</v>
      </c>
      <c r="M16" s="28">
        <f t="shared" si="8"/>
        <v>5.4848732232897254E-2</v>
      </c>
      <c r="N16" s="28">
        <f t="shared" si="8"/>
        <v>0.30825539894357645</v>
      </c>
      <c r="O16" s="28">
        <f t="shared" si="8"/>
        <v>0.48039055668835851</v>
      </c>
      <c r="P16" s="28">
        <f t="shared" si="8"/>
        <v>0.26119555353305607</v>
      </c>
      <c r="Q16" s="28">
        <f t="shared" si="8"/>
        <v>-2.51682736488496E-2</v>
      </c>
      <c r="R16" s="28">
        <f t="shared" si="8"/>
        <v>0.44448093510459191</v>
      </c>
      <c r="S16" s="28">
        <f t="shared" si="8"/>
        <v>0.45219425850034817</v>
      </c>
      <c r="T16" s="28">
        <f t="shared" si="8"/>
        <v>0.3807852017015097</v>
      </c>
      <c r="U16" s="28">
        <f t="shared" si="8"/>
        <v>-6.1829212642067746E-3</v>
      </c>
      <c r="V16" s="28">
        <f t="shared" si="8"/>
        <v>0.25412093948757647</v>
      </c>
      <c r="W16" s="28">
        <f t="shared" si="8"/>
        <v>0.26422113523807478</v>
      </c>
      <c r="X16" s="28">
        <f t="shared" si="8"/>
        <v>0.25749562277567578</v>
      </c>
      <c r="Y16" s="28">
        <f t="shared" si="8"/>
        <v>-6.4921839758293798E-2</v>
      </c>
      <c r="Z16" s="28">
        <f t="shared" si="8"/>
        <v>0.4080218151158671</v>
      </c>
      <c r="AA16" s="28">
        <f t="shared" si="8"/>
        <v>0.45859744430070226</v>
      </c>
      <c r="AB16" s="28">
        <f t="shared" si="8"/>
        <v>0.4923801893783189</v>
      </c>
      <c r="AC16" s="28">
        <f t="shared" si="8"/>
        <v>-2.0790958984081686E-2</v>
      </c>
      <c r="AD16" s="28">
        <f t="shared" si="8"/>
        <v>0.3194204988360127</v>
      </c>
      <c r="AE16" s="28">
        <f t="shared" si="8"/>
        <v>0.42794558682868261</v>
      </c>
      <c r="AF16" s="28">
        <f t="shared" si="8"/>
        <v>0.41267734109743714</v>
      </c>
      <c r="AG16" s="28">
        <f t="shared" si="8"/>
        <v>-5.0541702668379422E-2</v>
      </c>
      <c r="AH16" s="28">
        <f t="shared" si="8"/>
        <v>0.5164325995430874</v>
      </c>
      <c r="AI16" s="28">
        <f t="shared" si="8"/>
        <v>0.74928065934381372</v>
      </c>
      <c r="AJ16" s="28">
        <f t="shared" si="8"/>
        <v>0.71464725356188785</v>
      </c>
      <c r="AK16" s="28">
        <f t="shared" si="8"/>
        <v>9.0413226157945639E-3</v>
      </c>
      <c r="AL16" s="28">
        <f t="shared" si="8"/>
        <v>0.86884934328677699</v>
      </c>
      <c r="AM16" s="28">
        <f t="shared" si="8"/>
        <v>1.01566486155294</v>
      </c>
      <c r="AN16" s="28">
        <f t="shared" si="8"/>
        <v>0.74826147611847826</v>
      </c>
      <c r="AO16" s="28">
        <f t="shared" si="8"/>
        <v>0.22167933617176527</v>
      </c>
      <c r="AP16" s="28">
        <f t="shared" si="8"/>
        <v>0.33585517017990513</v>
      </c>
      <c r="AQ16" s="28">
        <f t="shared" si="8"/>
        <v>0.30456454555858631</v>
      </c>
      <c r="AR16" s="28">
        <f t="shared" si="8"/>
        <v>4.0684472177830852E-3</v>
      </c>
      <c r="AS16" s="28">
        <f t="shared" si="8"/>
        <v>-0.2032165028451903</v>
      </c>
      <c r="AT16" s="28">
        <f t="shared" si="8"/>
        <v>0.81443195192463647</v>
      </c>
      <c r="AU16" s="28">
        <f t="shared" si="8"/>
        <v>0.68692355427501317</v>
      </c>
      <c r="AV16" s="28">
        <f t="shared" si="8"/>
        <v>0.39822178106408712</v>
      </c>
      <c r="AW16" s="28">
        <f t="shared" si="8"/>
        <v>-2.681421566765263E-2</v>
      </c>
      <c r="AX16" s="28">
        <f t="shared" si="8"/>
        <v>0.84632015698478213</v>
      </c>
      <c r="AY16" s="28">
        <f t="shared" si="8"/>
        <v>0.60422795147547481</v>
      </c>
      <c r="AZ16" s="28">
        <f t="shared" si="8"/>
        <v>0.36538469029492265</v>
      </c>
      <c r="BA16" s="28">
        <f t="shared" si="8"/>
        <v>-0.10282609143677759</v>
      </c>
      <c r="BB16" s="28">
        <f t="shared" si="8"/>
        <v>0.31836308930465729</v>
      </c>
      <c r="BC16" s="28">
        <f t="shared" si="8"/>
        <v>-0.28193381609689672</v>
      </c>
      <c r="BD16" s="28">
        <f t="shared" si="8"/>
        <v>-0.38274127633410759</v>
      </c>
      <c r="BE16" s="28">
        <f t="shared" si="8"/>
        <v>-0.28877659092435021</v>
      </c>
      <c r="BF16" s="28">
        <f t="shared" si="8"/>
        <v>0.90591629403229723</v>
      </c>
      <c r="BG16" s="28">
        <f t="shared" si="8"/>
        <v>0.6386793852340239</v>
      </c>
      <c r="BH16" s="28">
        <f t="shared" si="8"/>
        <v>0.20169638763293757</v>
      </c>
      <c r="BI16" s="28">
        <f t="shared" si="8"/>
        <v>8.319427297985113E-2</v>
      </c>
      <c r="BJ16" s="28">
        <f t="shared" si="8"/>
        <v>0.54862718343276695</v>
      </c>
      <c r="BK16" s="28">
        <f t="shared" si="8"/>
        <v>1.1992448744268234</v>
      </c>
      <c r="BL16" s="28">
        <f t="shared" si="8"/>
        <v>0.54823242929696792</v>
      </c>
      <c r="BM16" s="28">
        <f t="shared" si="8"/>
        <v>-9.850267092452767E-3</v>
      </c>
      <c r="BN16" s="28">
        <f t="shared" si="8"/>
        <v>1.4027439907615735</v>
      </c>
      <c r="BO16" s="28">
        <f t="shared" si="8"/>
        <v>0.87900326821304064</v>
      </c>
      <c r="BP16" s="28">
        <f t="shared" si="8"/>
        <v>3.5862835556665726</v>
      </c>
      <c r="BQ16" s="28">
        <f t="shared" si="8"/>
        <v>0.25633690498703948</v>
      </c>
      <c r="BR16" s="28">
        <f t="shared" ref="BR16:CL16" si="9">BR14/BR15</f>
        <v>0.19163789750748306</v>
      </c>
      <c r="BS16" s="28">
        <f t="shared" si="9"/>
        <v>0.28662418991916733</v>
      </c>
      <c r="BT16" s="28">
        <f t="shared" si="9"/>
        <v>0.90421540698100622</v>
      </c>
      <c r="BU16" s="28">
        <f t="shared" si="9"/>
        <v>5.7238883978590241E-2</v>
      </c>
      <c r="BV16" s="28">
        <f t="shared" si="9"/>
        <v>-0.3658133746277919</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499</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-0.11805484012755031</v>
      </c>
      <c r="F18" s="28">
        <f t="shared" ref="F18:BQ18" si="10">F14/F17</f>
        <v>0.2656746159099983</v>
      </c>
      <c r="G18" s="28">
        <f t="shared" si="10"/>
        <v>0.27085572458903034</v>
      </c>
      <c r="H18" s="28">
        <f t="shared" si="10"/>
        <v>0.11676863686201253</v>
      </c>
      <c r="I18" s="28">
        <f t="shared" si="10"/>
        <v>-3.9117253095325488E-2</v>
      </c>
      <c r="J18" s="28">
        <f t="shared" si="10"/>
        <v>0.37751913023371636</v>
      </c>
      <c r="K18" s="28">
        <f t="shared" si="10"/>
        <v>0.47922157617816546</v>
      </c>
      <c r="L18" s="28">
        <f t="shared" si="10"/>
        <v>0.43758998007632932</v>
      </c>
      <c r="M18" s="28">
        <f t="shared" si="10"/>
        <v>4.9777299691980366E-2</v>
      </c>
      <c r="N18" s="28">
        <f t="shared" si="10"/>
        <v>0.2802477598436659</v>
      </c>
      <c r="O18" s="28">
        <f t="shared" si="10"/>
        <v>0.44081032597795339</v>
      </c>
      <c r="P18" s="28">
        <f t="shared" si="10"/>
        <v>0.24617923461649757</v>
      </c>
      <c r="Q18" s="28">
        <f t="shared" si="10"/>
        <v>-2.3059653942234182E-2</v>
      </c>
      <c r="R18" s="28">
        <f t="shared" si="10"/>
        <v>0.41109153046186236</v>
      </c>
      <c r="S18" s="28">
        <f t="shared" si="10"/>
        <v>0.42455052681515487</v>
      </c>
      <c r="T18" s="28">
        <f t="shared" si="10"/>
        <v>0.35534126970981755</v>
      </c>
      <c r="U18" s="28">
        <f t="shared" si="10"/>
        <v>-5.7301217347232591E-3</v>
      </c>
      <c r="V18" s="28">
        <f t="shared" si="10"/>
        <v>0.23734549019019732</v>
      </c>
      <c r="W18" s="28">
        <f t="shared" si="10"/>
        <v>0.24898475526582026</v>
      </c>
      <c r="X18" s="28">
        <f t="shared" si="10"/>
        <v>0.24531692870989369</v>
      </c>
      <c r="Y18" s="28">
        <f t="shared" si="10"/>
        <v>-6.1175175904483479E-2</v>
      </c>
      <c r="Z18" s="28">
        <f t="shared" si="10"/>
        <v>0.38454650029518389</v>
      </c>
      <c r="AA18" s="28">
        <f t="shared" si="10"/>
        <v>0.43239410867954881</v>
      </c>
      <c r="AB18" s="28">
        <f t="shared" si="10"/>
        <v>0.47575503956037751</v>
      </c>
      <c r="AC18" s="28">
        <f t="shared" si="10"/>
        <v>-1.9626516096395416E-2</v>
      </c>
      <c r="AD18" s="28">
        <f t="shared" si="10"/>
        <v>0.30839753425072836</v>
      </c>
      <c r="AE18" s="28">
        <f t="shared" si="10"/>
        <v>0.41093912953065503</v>
      </c>
      <c r="AF18" s="28">
        <f t="shared" si="10"/>
        <v>0.4090437052493095</v>
      </c>
      <c r="AG18" s="28">
        <f t="shared" si="10"/>
        <v>-4.8972337475400793E-2</v>
      </c>
      <c r="AH18" s="28">
        <f t="shared" si="10"/>
        <v>0.50596682147186434</v>
      </c>
      <c r="AI18" s="28">
        <f t="shared" si="10"/>
        <v>0.73324704618781922</v>
      </c>
      <c r="AJ18" s="28">
        <f t="shared" si="10"/>
        <v>0.71111674366553279</v>
      </c>
      <c r="AK18" s="28">
        <f t="shared" si="10"/>
        <v>8.7893145485298495E-3</v>
      </c>
      <c r="AL18" s="28">
        <f t="shared" si="10"/>
        <v>0.85138348302260791</v>
      </c>
      <c r="AM18" s="28">
        <f t="shared" si="10"/>
        <v>0.99766790147023743</v>
      </c>
      <c r="AN18" s="28">
        <f t="shared" si="10"/>
        <v>0.74331899445001293</v>
      </c>
      <c r="AO18" s="28">
        <f t="shared" si="10"/>
        <v>0.20675382924288074</v>
      </c>
      <c r="AP18" s="28">
        <f t="shared" si="10"/>
        <v>0.32198833748778827</v>
      </c>
      <c r="AQ18" s="28">
        <f t="shared" si="10"/>
        <v>0.29141897024158075</v>
      </c>
      <c r="AR18" s="28">
        <f t="shared" si="10"/>
        <v>4.0214427112282925E-3</v>
      </c>
      <c r="AS18" s="28">
        <f t="shared" si="10"/>
        <v>-0.19433160638890928</v>
      </c>
      <c r="AT18" s="28">
        <f t="shared" si="10"/>
        <v>0.79728852978726972</v>
      </c>
      <c r="AU18" s="28">
        <f t="shared" si="10"/>
        <v>0.67220677607063284</v>
      </c>
      <c r="AV18" s="28">
        <f t="shared" si="10"/>
        <v>0.39667944316720072</v>
      </c>
      <c r="AW18" s="28">
        <f t="shared" si="10"/>
        <v>-2.5978506286721319E-2</v>
      </c>
      <c r="AX18" s="28">
        <f t="shared" si="10"/>
        <v>0.83051953232541365</v>
      </c>
      <c r="AY18" s="28">
        <f t="shared" si="10"/>
        <v>0.59145376071254896</v>
      </c>
      <c r="AZ18" s="28">
        <f t="shared" si="10"/>
        <v>0.36405368727141063</v>
      </c>
      <c r="BA18" s="28">
        <f t="shared" si="10"/>
        <v>-0.10098566915767922</v>
      </c>
      <c r="BB18" s="28">
        <f t="shared" si="10"/>
        <v>0.31644735744703828</v>
      </c>
      <c r="BC18" s="28">
        <f t="shared" si="10"/>
        <v>-0.28041246532460862</v>
      </c>
      <c r="BD18" s="28">
        <f t="shared" si="10"/>
        <v>-0.3791935589398942</v>
      </c>
      <c r="BE18" s="28">
        <f t="shared" si="10"/>
        <v>-0.28277688471584744</v>
      </c>
      <c r="BF18" s="28">
        <f t="shared" si="10"/>
        <v>0.89438485290108205</v>
      </c>
      <c r="BG18" s="28">
        <f t="shared" si="10"/>
        <v>0.62969632152825783</v>
      </c>
      <c r="BH18" s="28">
        <f t="shared" si="10"/>
        <v>0.2007287054568718</v>
      </c>
      <c r="BI18" s="28">
        <f t="shared" si="10"/>
        <v>8.1059451950229608E-2</v>
      </c>
      <c r="BJ18" s="28">
        <f t="shared" si="10"/>
        <v>0.53590064689021499</v>
      </c>
      <c r="BK18" s="28">
        <f t="shared" si="10"/>
        <v>1.1763620336322795</v>
      </c>
      <c r="BL18" s="28">
        <f t="shared" si="10"/>
        <v>0.54523148214364936</v>
      </c>
      <c r="BM18" s="28">
        <f t="shared" si="10"/>
        <v>-9.5443352550973852E-3</v>
      </c>
      <c r="BN18" s="28">
        <f t="shared" si="10"/>
        <v>1.3554462615725167</v>
      </c>
      <c r="BO18" s="28">
        <f t="shared" si="10"/>
        <v>0.85582450468196625</v>
      </c>
      <c r="BP18" s="28">
        <f t="shared" si="10"/>
        <v>3.5157313122068485</v>
      </c>
      <c r="BQ18" s="28">
        <f t="shared" si="10"/>
        <v>0.24593619719924054</v>
      </c>
      <c r="BR18" s="28">
        <f t="shared" ref="BR18:CK18" si="11">BR14/BR17</f>
        <v>0.19098111529222253</v>
      </c>
      <c r="BS18" s="28">
        <f t="shared" si="11"/>
        <v>0.27518705834903762</v>
      </c>
      <c r="BT18" s="28">
        <f t="shared" si="11"/>
        <v>0.88094683059489398</v>
      </c>
      <c r="BU18" s="28">
        <f t="shared" si="11"/>
        <v>5.6285624294437231E-2</v>
      </c>
      <c r="BV18" s="28">
        <f t="shared" si="11"/>
        <v>-0.36205128915002843</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501</v>
      </c>
      <c r="E19" s="26">
        <f>现金流量表!E48</f>
        <v>0</v>
      </c>
      <c r="F19" s="26">
        <f>现金流量表!F48</f>
        <v>84893677.329999998</v>
      </c>
      <c r="G19" s="26">
        <f>现金流量表!G48</f>
        <v>0</v>
      </c>
      <c r="H19" s="26">
        <f>现金流量表!H48</f>
        <v>-9017574.5099999998</v>
      </c>
      <c r="I19" s="26">
        <f>现金流量表!I48</f>
        <v>0</v>
      </c>
      <c r="J19" s="26">
        <f>现金流量表!J48</f>
        <v>186234579.59</v>
      </c>
      <c r="K19" s="26">
        <f>现金流量表!K48</f>
        <v>0</v>
      </c>
      <c r="L19" s="26">
        <f>现金流量表!L48</f>
        <v>75046732.370000005</v>
      </c>
      <c r="M19" s="26">
        <f>现金流量表!M48</f>
        <v>0</v>
      </c>
      <c r="N19" s="26">
        <f>现金流量表!N48</f>
        <v>243482658.03</v>
      </c>
      <c r="O19" s="26">
        <f>现金流量表!O48</f>
        <v>0</v>
      </c>
      <c r="P19" s="26">
        <f>现金流量表!P48</f>
        <v>14682542.59</v>
      </c>
      <c r="Q19" s="26">
        <f>现金流量表!Q48</f>
        <v>0</v>
      </c>
      <c r="R19" s="26">
        <f>现金流量表!R48</f>
        <v>124041702.59</v>
      </c>
      <c r="S19" s="26">
        <f>现金流量表!S48</f>
        <v>0</v>
      </c>
      <c r="T19" s="26">
        <f>现金流量表!T48</f>
        <v>-57587392.090000004</v>
      </c>
      <c r="U19" s="26">
        <f>现金流量表!U48</f>
        <v>0</v>
      </c>
      <c r="V19" s="26">
        <f>现金流量表!V48</f>
        <v>96208556.939999998</v>
      </c>
      <c r="W19" s="26">
        <f>现金流量表!W48</f>
        <v>0</v>
      </c>
      <c r="X19" s="26">
        <f>现金流量表!X48</f>
        <v>-18826371.219999999</v>
      </c>
      <c r="Y19" s="26">
        <f>现金流量表!Y48</f>
        <v>0</v>
      </c>
      <c r="Z19" s="26">
        <f>现金流量表!Z48</f>
        <v>53030020.170000002</v>
      </c>
      <c r="AA19" s="26">
        <f>现金流量表!AA48</f>
        <v>0</v>
      </c>
      <c r="AB19" s="26">
        <f>现金流量表!AB48</f>
        <v>14104676.15</v>
      </c>
      <c r="AC19" s="26">
        <f>现金流量表!AC48</f>
        <v>0</v>
      </c>
      <c r="AD19" s="26">
        <f>现金流量表!AD48</f>
        <v>93266157.510000005</v>
      </c>
      <c r="AE19" s="26">
        <f>现金流量表!AE48</f>
        <v>0</v>
      </c>
      <c r="AF19" s="26">
        <f>现金流量表!AF48</f>
        <v>-8577014.7400000002</v>
      </c>
      <c r="AG19" s="26">
        <f>现金流量表!AG48</f>
        <v>0</v>
      </c>
      <c r="AH19" s="26">
        <f>现金流量表!AH48</f>
        <v>181911146.94999999</v>
      </c>
      <c r="AI19" s="26">
        <f>现金流量表!AI48</f>
        <v>0</v>
      </c>
      <c r="AJ19" s="26">
        <f>现金流量表!AJ48</f>
        <v>7482781.3399999999</v>
      </c>
      <c r="AK19" s="26">
        <f>现金流量表!AK48</f>
        <v>0</v>
      </c>
      <c r="AL19" s="26">
        <f>现金流量表!AL48</f>
        <v>114686083.62</v>
      </c>
      <c r="AM19" s="26">
        <f>现金流量表!AM48</f>
        <v>0</v>
      </c>
      <c r="AN19" s="26">
        <f>现金流量表!AN48</f>
        <v>-30637066.32</v>
      </c>
      <c r="AO19" s="26">
        <f>现金流量表!AO48</f>
        <v>0</v>
      </c>
      <c r="AP19" s="26">
        <f>现金流量表!AP48</f>
        <v>115301326.72</v>
      </c>
      <c r="AQ19" s="26">
        <f>现金流量表!AQ48</f>
        <v>0</v>
      </c>
      <c r="AR19" s="26">
        <f>现金流量表!AR48</f>
        <v>36916701.020000003</v>
      </c>
      <c r="AS19" s="26">
        <f>现金流量表!AS48</f>
        <v>0</v>
      </c>
      <c r="AT19" s="26">
        <f>现金流量表!AT48</f>
        <v>43408183.109999999</v>
      </c>
      <c r="AU19" s="26">
        <f>现金流量表!AU48</f>
        <v>0</v>
      </c>
      <c r="AV19" s="26">
        <f>现金流量表!AV48</f>
        <v>-24190045.109999999</v>
      </c>
      <c r="AW19" s="26">
        <f>现金流量表!AW48</f>
        <v>0</v>
      </c>
      <c r="AX19" s="26">
        <f>现金流量表!AX48</f>
        <v>47471913.479999997</v>
      </c>
      <c r="AY19" s="26">
        <f>现金流量表!AY48</f>
        <v>-112846.14</v>
      </c>
      <c r="AZ19" s="26">
        <f>现金流量表!AZ48</f>
        <v>-247134.14</v>
      </c>
      <c r="BA19" s="26">
        <f>现金流量表!BA48</f>
        <v>219280.68</v>
      </c>
      <c r="BB19" s="26">
        <f>现金流量表!BB48</f>
        <v>54908546.030000001</v>
      </c>
      <c r="BC19" s="26">
        <f>现金流量表!BC48</f>
        <v>16293594.689999999</v>
      </c>
      <c r="BD19" s="26">
        <f>现金流量表!BD48</f>
        <v>22490615.210000001</v>
      </c>
      <c r="BE19" s="26">
        <f>现金流量表!BE48</f>
        <v>-95090</v>
      </c>
      <c r="BF19" s="26">
        <f>现金流量表!BF48</f>
        <v>-46257251.75</v>
      </c>
      <c r="BG19" s="26">
        <f>现金流量表!BG48</f>
        <v>-100043275.13</v>
      </c>
      <c r="BH19" s="26">
        <f>现金流量表!BH48</f>
        <v>-95843019.280000001</v>
      </c>
      <c r="BI19" s="26">
        <f>现金流量表!BI48</f>
        <v>-7199676.7400000002</v>
      </c>
      <c r="BJ19" s="26">
        <f>现金流量表!BJ48</f>
        <v>-295008216.08999997</v>
      </c>
      <c r="BK19" s="26">
        <f>现金流量表!BK48</f>
        <v>1480417.41</v>
      </c>
      <c r="BL19" s="26">
        <f>现金流量表!BL48</f>
        <v>4500</v>
      </c>
      <c r="BM19" s="26">
        <f>现金流量表!BM48</f>
        <v>0</v>
      </c>
      <c r="BN19" s="26">
        <f>现金流量表!BN48</f>
        <v>111140736.28</v>
      </c>
      <c r="BO19" s="26">
        <f>现金流量表!BO48</f>
        <v>14610852.029999999</v>
      </c>
      <c r="BP19" s="26">
        <f>现金流量表!BP48</f>
        <v>77915642.629999995</v>
      </c>
      <c r="BQ19" s="26">
        <f>现金流量表!BQ48</f>
        <v>376238.13</v>
      </c>
      <c r="BR19" s="26">
        <f>现金流量表!BR48</f>
        <v>78247504.189999998</v>
      </c>
      <c r="BS19" s="26">
        <f>现金流量表!BS48</f>
        <v>1139178.3799999999</v>
      </c>
      <c r="BT19" s="26">
        <f>现金流量表!BT48</f>
        <v>101429188.83</v>
      </c>
      <c r="BU19" s="26">
        <f>现金流量表!BU48</f>
        <v>-48896.84</v>
      </c>
      <c r="BV19" s="26">
        <f>现金流量表!BV48</f>
        <v>-976817.08</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0</v>
      </c>
      <c r="F20" s="26">
        <f>现金流量表!F49</f>
        <v>216291451.30000001</v>
      </c>
      <c r="G20" s="26">
        <f>现金流量表!G49</f>
        <v>0</v>
      </c>
      <c r="H20" s="26">
        <f>现金流量表!H49</f>
        <v>108325102.36</v>
      </c>
      <c r="I20" s="26">
        <f>现金流量表!I49</f>
        <v>0</v>
      </c>
      <c r="J20" s="26">
        <f>现金流量表!J49</f>
        <v>203128375.74000001</v>
      </c>
      <c r="K20" s="26">
        <f>现金流量表!K49</f>
        <v>0</v>
      </c>
      <c r="L20" s="26">
        <f>现金流量表!L49</f>
        <v>96679162.939999998</v>
      </c>
      <c r="M20" s="26">
        <f>现金流量表!M49</f>
        <v>0</v>
      </c>
      <c r="N20" s="26">
        <f>现金流量表!N49</f>
        <v>222847806.49000001</v>
      </c>
      <c r="O20" s="26">
        <f>现金流量表!O49</f>
        <v>0</v>
      </c>
      <c r="P20" s="26">
        <f>现金流量表!P49</f>
        <v>119450542.08</v>
      </c>
      <c r="Q20" s="26">
        <f>现金流量表!Q49</f>
        <v>0</v>
      </c>
      <c r="R20" s="26">
        <f>现金流量表!R49</f>
        <v>206709237.77000001</v>
      </c>
      <c r="S20" s="26">
        <f>现金流量表!S49</f>
        <v>0</v>
      </c>
      <c r="T20" s="26">
        <f>现金流量表!T49</f>
        <v>100964149.67</v>
      </c>
      <c r="U20" s="26">
        <f>现金流量表!U49</f>
        <v>0</v>
      </c>
      <c r="V20" s="26">
        <f>现金流量表!V49</f>
        <v>190840526.88</v>
      </c>
      <c r="W20" s="26">
        <f>现金流量表!W49</f>
        <v>0</v>
      </c>
      <c r="X20" s="26">
        <f>现金流量表!X49</f>
        <v>94240872.510000005</v>
      </c>
      <c r="Y20" s="26">
        <f>现金流量表!Y49</f>
        <v>0</v>
      </c>
      <c r="Z20" s="26">
        <f>现金流量表!Z49</f>
        <v>211656428.75</v>
      </c>
      <c r="AA20" s="26">
        <f>现金流量表!AA49</f>
        <v>0</v>
      </c>
      <c r="AB20" s="26">
        <f>现金流量表!AB49</f>
        <v>75401710.290000007</v>
      </c>
      <c r="AC20" s="26">
        <f>现金流量表!AC49</f>
        <v>0</v>
      </c>
      <c r="AD20" s="26">
        <f>现金流量表!AD49</f>
        <v>179708807.44</v>
      </c>
      <c r="AE20" s="26">
        <f>现金流量表!AE49</f>
        <v>0</v>
      </c>
      <c r="AF20" s="26">
        <f>现金流量表!AF49</f>
        <v>93353490.260000005</v>
      </c>
      <c r="AG20" s="26">
        <f>现金流量表!AG49</f>
        <v>0</v>
      </c>
      <c r="AH20" s="26">
        <f>现金流量表!AH49</f>
        <v>183797295.69</v>
      </c>
      <c r="AI20" s="26">
        <f>现金流量表!AI49</f>
        <v>0</v>
      </c>
      <c r="AJ20" s="26">
        <f>现金流量表!AJ49</f>
        <v>96421944.840000004</v>
      </c>
      <c r="AK20" s="26">
        <f>现金流量表!AK49</f>
        <v>0</v>
      </c>
      <c r="AL20" s="26">
        <f>现金流量表!AL49</f>
        <v>173832101</v>
      </c>
      <c r="AM20" s="26">
        <f>现金流量表!AM49</f>
        <v>0</v>
      </c>
      <c r="AN20" s="26">
        <f>现金流量表!AN49</f>
        <v>74238264.670000002</v>
      </c>
      <c r="AO20" s="26">
        <f>现金流量表!AO49</f>
        <v>0</v>
      </c>
      <c r="AP20" s="26">
        <f>现金流量表!AP49</f>
        <v>149697083.86000001</v>
      </c>
      <c r="AQ20" s="26">
        <f>现金流量表!AQ49</f>
        <v>0</v>
      </c>
      <c r="AR20" s="26">
        <f>现金流量表!AR49</f>
        <v>76707133.730000004</v>
      </c>
      <c r="AS20" s="26">
        <f>现金流量表!AS49</f>
        <v>0</v>
      </c>
      <c r="AT20" s="26">
        <f>现金流量表!AT49</f>
        <v>149095466.41</v>
      </c>
      <c r="AU20" s="26">
        <f>现金流量表!AU49</f>
        <v>0</v>
      </c>
      <c r="AV20" s="26">
        <f>现金流量表!AV49</f>
        <v>70480885.659999996</v>
      </c>
      <c r="AW20" s="26">
        <f>现金流量表!AW49</f>
        <v>0</v>
      </c>
      <c r="AX20" s="26">
        <f>现金流量表!AX49</f>
        <v>135970339.59</v>
      </c>
      <c r="AY20" s="26">
        <f>现金流量表!AY49</f>
        <v>99638377.700000003</v>
      </c>
      <c r="AZ20" s="26">
        <f>现金流量表!AZ49</f>
        <v>66467900.159999996</v>
      </c>
      <c r="BA20" s="26">
        <f>现金流量表!BA49</f>
        <v>32543624.02</v>
      </c>
      <c r="BB20" s="26">
        <f>现金流量表!BB49</f>
        <v>127237559.11</v>
      </c>
      <c r="BC20" s="26">
        <f>现金流量表!BC49</f>
        <v>102527567.28</v>
      </c>
      <c r="BD20" s="26">
        <f>现金流量表!BD49</f>
        <v>60330594.689999998</v>
      </c>
      <c r="BE20" s="26">
        <f>现金流量表!BE49</f>
        <v>32978661.32</v>
      </c>
      <c r="BF20" s="26">
        <f>现金流量表!BF49</f>
        <v>126409348.19</v>
      </c>
      <c r="BG20" s="26">
        <f>现金流量表!BG49</f>
        <v>100643777.94</v>
      </c>
      <c r="BH20" s="26">
        <f>现金流量表!BH49</f>
        <v>67804503.920000002</v>
      </c>
      <c r="BI20" s="26">
        <f>现金流量表!BI49</f>
        <v>33559333.810000002</v>
      </c>
      <c r="BJ20" s="26">
        <f>现金流量表!BJ49</f>
        <v>109899974.7</v>
      </c>
      <c r="BK20" s="26">
        <f>现金流量表!BK49</f>
        <v>84496337.579999998</v>
      </c>
      <c r="BL20" s="26">
        <f>现金流量表!BL49</f>
        <v>52892178.280000001</v>
      </c>
      <c r="BM20" s="26">
        <f>现金流量表!BM49</f>
        <v>31403755.149999999</v>
      </c>
      <c r="BN20" s="26">
        <f>现金流量表!BN49</f>
        <v>107782040.09</v>
      </c>
      <c r="BO20" s="26">
        <f>现金流量表!BO49</f>
        <v>44246118.780000001</v>
      </c>
      <c r="BP20" s="26">
        <f>现金流量表!BP49</f>
        <v>88222126.709999993</v>
      </c>
      <c r="BQ20" s="26">
        <f>现金流量表!BQ49</f>
        <v>41275585.07</v>
      </c>
      <c r="BR20" s="26">
        <f>现金流量表!BR49</f>
        <v>95503651.379999995</v>
      </c>
      <c r="BS20" s="26">
        <f>现金流量表!BS49</f>
        <v>40994058.859999999</v>
      </c>
      <c r="BT20" s="26">
        <f>现金流量表!BT49</f>
        <v>89520764.239999995</v>
      </c>
      <c r="BU20" s="26">
        <f>现金流量表!BU49</f>
        <v>41116374.049999997</v>
      </c>
      <c r="BV20" s="26">
        <f>现金流量表!BV49</f>
        <v>26243609.890000001</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0</v>
      </c>
      <c r="F21" s="26">
        <f>现金流量表!F50</f>
        <v>12100977.699999999</v>
      </c>
      <c r="G21" s="26">
        <f>现金流量表!G50</f>
        <v>0</v>
      </c>
      <c r="H21" s="26">
        <f>现金流量表!H50</f>
        <v>5621280.7300000004</v>
      </c>
      <c r="I21" s="26">
        <f>现金流量表!I50</f>
        <v>0</v>
      </c>
      <c r="J21" s="26">
        <f>现金流量表!J50</f>
        <v>11766445.74</v>
      </c>
      <c r="K21" s="26">
        <f>现金流量表!K50</f>
        <v>0</v>
      </c>
      <c r="L21" s="26">
        <f>现金流量表!L50</f>
        <v>7042826.4699999997</v>
      </c>
      <c r="M21" s="26">
        <f>现金流量表!M50</f>
        <v>0</v>
      </c>
      <c r="N21" s="26">
        <f>现金流量表!N50</f>
        <v>10836222.99</v>
      </c>
      <c r="O21" s="26">
        <f>现金流量表!O50</f>
        <v>0</v>
      </c>
      <c r="P21" s="26">
        <f>现金流量表!P50</f>
        <v>5389341.1500000004</v>
      </c>
      <c r="Q21" s="26">
        <f>现金流量表!Q50</f>
        <v>0</v>
      </c>
      <c r="R21" s="26">
        <f>现金流量表!R50</f>
        <v>29509235.420000002</v>
      </c>
      <c r="S21" s="26">
        <f>现金流量表!S50</f>
        <v>0</v>
      </c>
      <c r="T21" s="26">
        <f>现金流量表!T50</f>
        <v>5904966.6299999999</v>
      </c>
      <c r="U21" s="26">
        <f>现金流量表!U50</f>
        <v>0</v>
      </c>
      <c r="V21" s="26">
        <f>现金流量表!V50</f>
        <v>18250433.190000001</v>
      </c>
      <c r="W21" s="26">
        <f>现金流量表!W50</f>
        <v>0</v>
      </c>
      <c r="X21" s="26">
        <f>现金流量表!X50</f>
        <v>7194405.1900000004</v>
      </c>
      <c r="Y21" s="26">
        <f>现金流量表!Y50</f>
        <v>0</v>
      </c>
      <c r="Z21" s="26">
        <f>现金流量表!Z50</f>
        <v>11104598.15</v>
      </c>
      <c r="AA21" s="26">
        <f>现金流量表!AA50</f>
        <v>0</v>
      </c>
      <c r="AB21" s="26">
        <f>现金流量表!AB50</f>
        <v>3637111.92</v>
      </c>
      <c r="AC21" s="26">
        <f>现金流量表!AC50</f>
        <v>0</v>
      </c>
      <c r="AD21" s="26">
        <f>现金流量表!AD50</f>
        <v>11362406.59</v>
      </c>
      <c r="AE21" s="26">
        <f>现金流量表!AE50</f>
        <v>0</v>
      </c>
      <c r="AF21" s="26">
        <f>现金流量表!AF50</f>
        <v>5885056.0300000003</v>
      </c>
      <c r="AG21" s="26">
        <f>现金流量表!AG50</f>
        <v>0</v>
      </c>
      <c r="AH21" s="26">
        <f>现金流量表!AH50</f>
        <v>13455764.949999999</v>
      </c>
      <c r="AI21" s="26">
        <f>现金流量表!AI50</f>
        <v>0</v>
      </c>
      <c r="AJ21" s="26">
        <f>现金流量表!AJ50</f>
        <v>7770726.2400000002</v>
      </c>
      <c r="AK21" s="26">
        <f>现金流量表!AK50</f>
        <v>0</v>
      </c>
      <c r="AL21" s="26">
        <f>现金流量表!AL50</f>
        <v>10476796.07</v>
      </c>
      <c r="AM21" s="26">
        <f>现金流量表!AM50</f>
        <v>0</v>
      </c>
      <c r="AN21" s="26">
        <f>现金流量表!AN50</f>
        <v>3985898.22</v>
      </c>
      <c r="AO21" s="26">
        <f>现金流量表!AO50</f>
        <v>0</v>
      </c>
      <c r="AP21" s="26">
        <f>现金流量表!AP50</f>
        <v>8281692.7300000004</v>
      </c>
      <c r="AQ21" s="26">
        <f>现金流量表!AQ50</f>
        <v>0</v>
      </c>
      <c r="AR21" s="26">
        <f>现金流量表!AR50</f>
        <v>4287664.18</v>
      </c>
      <c r="AS21" s="26">
        <f>现金流量表!AS50</f>
        <v>0</v>
      </c>
      <c r="AT21" s="26">
        <f>现金流量表!AT50</f>
        <v>9182599.4299999997</v>
      </c>
      <c r="AU21" s="26">
        <f>现金流量表!AU50</f>
        <v>0</v>
      </c>
      <c r="AV21" s="26">
        <f>现金流量表!AV50</f>
        <v>4229515.78</v>
      </c>
      <c r="AW21" s="26">
        <f>现金流量表!AW50</f>
        <v>0</v>
      </c>
      <c r="AX21" s="26">
        <f>现金流量表!AX50</f>
        <v>7588614.3200000003</v>
      </c>
      <c r="AY21" s="26">
        <f>现金流量表!AY50</f>
        <v>5366158.8</v>
      </c>
      <c r="AZ21" s="26">
        <f>现金流量表!AZ50</f>
        <v>3936162.12</v>
      </c>
      <c r="BA21" s="26">
        <f>现金流量表!BA50</f>
        <v>1714130.86</v>
      </c>
      <c r="BB21" s="26">
        <f>现金流量表!BB50</f>
        <v>8559224.7200000007</v>
      </c>
      <c r="BC21" s="26">
        <f>现金流量表!BC50</f>
        <v>6334941.6399999997</v>
      </c>
      <c r="BD21" s="26">
        <f>现金流量表!BD50</f>
        <v>3852457.77</v>
      </c>
      <c r="BE21" s="26">
        <f>现金流量表!BE50</f>
        <v>1902642.2</v>
      </c>
      <c r="BF21" s="26">
        <f>现金流量表!BF50</f>
        <v>10406698.82</v>
      </c>
      <c r="BG21" s="26">
        <f>现金流量表!BG50</f>
        <v>6792565.9699999997</v>
      </c>
      <c r="BH21" s="26">
        <f>现金流量表!BH50</f>
        <v>4751764.13</v>
      </c>
      <c r="BI21" s="26">
        <f>现金流量表!BI50</f>
        <v>2335835.9500000002</v>
      </c>
      <c r="BJ21" s="26">
        <f>现金流量表!BJ50</f>
        <v>8782625.9000000004</v>
      </c>
      <c r="BK21" s="26">
        <f>现金流量表!BK50</f>
        <v>7089526.9800000004</v>
      </c>
      <c r="BL21" s="26">
        <f>现金流量表!BL50</f>
        <v>1620462.95</v>
      </c>
      <c r="BM21" s="26">
        <f>现金流量表!BM50</f>
        <v>1763517.7</v>
      </c>
      <c r="BN21" s="26">
        <f>现金流量表!BN50</f>
        <v>2443610.4700000002</v>
      </c>
      <c r="BO21" s="26">
        <f>现金流量表!BO50</f>
        <v>1123455.74</v>
      </c>
      <c r="BP21" s="26">
        <f>现金流量表!BP50</f>
        <v>1595400.12</v>
      </c>
      <c r="BQ21" s="26">
        <f>现金流量表!BQ50</f>
        <v>600708.37</v>
      </c>
      <c r="BR21" s="26">
        <f>现金流量表!BR50</f>
        <v>11702335.1</v>
      </c>
      <c r="BS21" s="26">
        <f>现金流量表!BS50</f>
        <v>-80152.47</v>
      </c>
      <c r="BT21" s="26">
        <f>现金流量表!BT50</f>
        <v>5482118.0300000003</v>
      </c>
      <c r="BU21" s="26">
        <f>现金流量表!BU50</f>
        <v>2729291.5</v>
      </c>
      <c r="BV21" s="26">
        <f>现金流量表!BV50</f>
        <v>2377808.85</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0</v>
      </c>
      <c r="F22" s="26">
        <f>现金流量表!F51</f>
        <v>3834444.51</v>
      </c>
      <c r="G22" s="26">
        <f>现金流量表!G51</f>
        <v>0</v>
      </c>
      <c r="H22" s="26">
        <f>现金流量表!H51</f>
        <v>1032693.37</v>
      </c>
      <c r="I22" s="26">
        <f>现金流量表!I51</f>
        <v>0</v>
      </c>
      <c r="J22" s="26">
        <f>现金流量表!J51</f>
        <v>3574635.55</v>
      </c>
      <c r="K22" s="26">
        <f>现金流量表!K51</f>
        <v>0</v>
      </c>
      <c r="L22" s="26">
        <f>现金流量表!L51</f>
        <v>1371001.43</v>
      </c>
      <c r="M22" s="26">
        <f>现金流量表!M51</f>
        <v>0</v>
      </c>
      <c r="N22" s="26">
        <f>现金流量表!N51</f>
        <v>2948250.25</v>
      </c>
      <c r="O22" s="26">
        <f>现金流量表!O51</f>
        <v>0</v>
      </c>
      <c r="P22" s="26">
        <f>现金流量表!P51</f>
        <v>2774819.35</v>
      </c>
      <c r="Q22" s="26">
        <f>现金流量表!Q51</f>
        <v>0</v>
      </c>
      <c r="R22" s="26">
        <f>现金流量表!R51</f>
        <v>3947946.12</v>
      </c>
      <c r="S22" s="26">
        <f>现金流量表!S51</f>
        <v>0</v>
      </c>
      <c r="T22" s="26">
        <f>现金流量表!T51</f>
        <v>1449728.46</v>
      </c>
      <c r="U22" s="26">
        <f>现金流量表!U51</f>
        <v>0</v>
      </c>
      <c r="V22" s="26">
        <f>现金流量表!V51</f>
        <v>3549047</v>
      </c>
      <c r="W22" s="26">
        <f>现金流量表!W51</f>
        <v>0</v>
      </c>
      <c r="X22" s="26">
        <f>现金流量表!X51</f>
        <v>1015878.84</v>
      </c>
      <c r="Y22" s="26">
        <f>现金流量表!Y51</f>
        <v>0</v>
      </c>
      <c r="Z22" s="26">
        <f>现金流量表!Z51</f>
        <v>3261544.59</v>
      </c>
      <c r="AA22" s="26">
        <f>现金流量表!AA51</f>
        <v>0</v>
      </c>
      <c r="AB22" s="26">
        <f>现金流量表!AB51</f>
        <v>1055298.78</v>
      </c>
      <c r="AC22" s="26">
        <f>现金流量表!AC51</f>
        <v>0</v>
      </c>
      <c r="AD22" s="26">
        <f>现金流量表!AD51</f>
        <v>2420528.16</v>
      </c>
      <c r="AE22" s="26">
        <f>现金流量表!AE51</f>
        <v>0</v>
      </c>
      <c r="AF22" s="26">
        <f>现金流量表!AF51</f>
        <v>1236152.3999999999</v>
      </c>
      <c r="AG22" s="26">
        <f>现金流量表!AG51</f>
        <v>0</v>
      </c>
      <c r="AH22" s="26">
        <f>现金流量表!AH51</f>
        <v>2160991.79</v>
      </c>
      <c r="AI22" s="26">
        <f>现金流量表!AI51</f>
        <v>0</v>
      </c>
      <c r="AJ22" s="26">
        <f>现金流量表!AJ51</f>
        <v>1515130.74</v>
      </c>
      <c r="AK22" s="26">
        <f>现金流量表!AK51</f>
        <v>0</v>
      </c>
      <c r="AL22" s="26">
        <f>现金流量表!AL51</f>
        <v>3888307.08</v>
      </c>
      <c r="AM22" s="26">
        <f>现金流量表!AM51</f>
        <v>0</v>
      </c>
      <c r="AN22" s="26">
        <f>现金流量表!AN51</f>
        <v>2222649.63</v>
      </c>
      <c r="AO22" s="26">
        <f>现金流量表!AO51</f>
        <v>0</v>
      </c>
      <c r="AP22" s="26">
        <f>现金流量表!AP51</f>
        <v>3255932.87</v>
      </c>
      <c r="AQ22" s="26">
        <f>现金流量表!AQ51</f>
        <v>0</v>
      </c>
      <c r="AR22" s="26">
        <f>现金流量表!AR51</f>
        <v>521360.08</v>
      </c>
      <c r="AS22" s="26">
        <f>现金流量表!AS51</f>
        <v>0</v>
      </c>
      <c r="AT22" s="26">
        <f>现金流量表!AT51</f>
        <v>549249.48</v>
      </c>
      <c r="AU22" s="26">
        <f>现金流量表!AU51</f>
        <v>0</v>
      </c>
      <c r="AV22" s="26">
        <f>现金流量表!AV51</f>
        <v>320435.40000000002</v>
      </c>
      <c r="AW22" s="26">
        <f>现金流量表!AW51</f>
        <v>0</v>
      </c>
      <c r="AX22" s="26">
        <f>现金流量表!AX51</f>
        <v>472638.68</v>
      </c>
      <c r="AY22" s="26">
        <f>现金流量表!AY51</f>
        <v>0</v>
      </c>
      <c r="AZ22" s="26">
        <f>现金流量表!AZ51</f>
        <v>217166.64</v>
      </c>
      <c r="BA22" s="26">
        <f>现金流量表!BA51</f>
        <v>108583.32</v>
      </c>
      <c r="BB22" s="26">
        <f>现金流量表!BB51</f>
        <v>3725414.18</v>
      </c>
      <c r="BC22" s="26">
        <f>现金流量表!BC51</f>
        <v>1042249.97</v>
      </c>
      <c r="BD22" s="26">
        <f>现金流量表!BD51</f>
        <v>1864638.85</v>
      </c>
      <c r="BE22" s="26">
        <f>现金流量表!BE51</f>
        <v>214083.35</v>
      </c>
      <c r="BF22" s="26">
        <f>现金流量表!BF51</f>
        <v>805724.4</v>
      </c>
      <c r="BG22" s="26">
        <f>现金流量表!BG51</f>
        <v>650441.05000000005</v>
      </c>
      <c r="BH22" s="26">
        <f>现金流量表!BH51</f>
        <v>150594.06</v>
      </c>
      <c r="BI22" s="26">
        <f>现金流量表!BI51</f>
        <v>75297.03</v>
      </c>
      <c r="BJ22" s="26">
        <f>现金流量表!BJ51</f>
        <v>815521.44</v>
      </c>
      <c r="BK22" s="26">
        <f>现金流量表!BK51</f>
        <v>270000</v>
      </c>
      <c r="BL22" s="26">
        <f>现金流量表!BL51</f>
        <v>0</v>
      </c>
      <c r="BM22" s="26">
        <f>现金流量表!BM51</f>
        <v>0</v>
      </c>
      <c r="BN22" s="26">
        <f>现金流量表!BN51</f>
        <v>11111469.439999999</v>
      </c>
      <c r="BO22" s="26">
        <f>现金流量表!BO51</f>
        <v>6254422.8600000003</v>
      </c>
      <c r="BP22" s="26">
        <f>现金流量表!BP51</f>
        <v>16627329</v>
      </c>
      <c r="BQ22" s="26">
        <f>现金流量表!BQ51</f>
        <v>715497.66</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0</v>
      </c>
      <c r="F23" s="26">
        <f>现金流量表!F54</f>
        <v>2634605.08</v>
      </c>
      <c r="G23" s="26">
        <f>现金流量表!G54</f>
        <v>0</v>
      </c>
      <c r="H23" s="26">
        <f>现金流量表!H54</f>
        <v>177407.02</v>
      </c>
      <c r="I23" s="26">
        <f>现金流量表!I54</f>
        <v>0</v>
      </c>
      <c r="J23" s="26">
        <f>现金流量表!J54</f>
        <v>-2583506.83</v>
      </c>
      <c r="K23" s="26">
        <f>现金流量表!K54</f>
        <v>0</v>
      </c>
      <c r="L23" s="26">
        <f>现金流量表!L54</f>
        <v>-1475420.23</v>
      </c>
      <c r="M23" s="26">
        <f>现金流量表!M54</f>
        <v>0</v>
      </c>
      <c r="N23" s="26">
        <f>现金流量表!N54</f>
        <v>-7584455.8499999996</v>
      </c>
      <c r="O23" s="26">
        <f>现金流量表!O54</f>
        <v>0</v>
      </c>
      <c r="P23" s="26">
        <f>现金流量表!P54</f>
        <v>494174.06</v>
      </c>
      <c r="Q23" s="26">
        <f>现金流量表!Q54</f>
        <v>0</v>
      </c>
      <c r="R23" s="26">
        <f>现金流量表!R54</f>
        <v>-43590900.140000001</v>
      </c>
      <c r="S23" s="26">
        <f>现金流量表!S54</f>
        <v>0</v>
      </c>
      <c r="T23" s="26">
        <f>现金流量表!T54</f>
        <v>-635067.56999999995</v>
      </c>
      <c r="U23" s="26">
        <f>现金流量表!U54</f>
        <v>0</v>
      </c>
      <c r="V23" s="26">
        <f>现金流量表!V54</f>
        <v>-11109.1</v>
      </c>
      <c r="W23" s="26">
        <f>现金流量表!W54</f>
        <v>0</v>
      </c>
      <c r="X23" s="26">
        <f>现金流量表!X54</f>
        <v>-2781848.42</v>
      </c>
      <c r="Y23" s="26">
        <f>现金流量表!Y54</f>
        <v>0</v>
      </c>
      <c r="Z23" s="26">
        <f>现金流量表!Z54</f>
        <v>-15580237.02</v>
      </c>
      <c r="AA23" s="26">
        <f>现金流量表!AA54</f>
        <v>0</v>
      </c>
      <c r="AB23" s="26">
        <f>现金流量表!AB54</f>
        <v>-5509407.6799999997</v>
      </c>
      <c r="AC23" s="26">
        <f>现金流量表!AC54</f>
        <v>0</v>
      </c>
      <c r="AD23" s="26">
        <f>现金流量表!AD54</f>
        <v>-1028767.17</v>
      </c>
      <c r="AE23" s="26">
        <f>现金流量表!AE54</f>
        <v>0</v>
      </c>
      <c r="AF23" s="26">
        <f>现金流量表!AF54</f>
        <v>2470634.19</v>
      </c>
      <c r="AG23" s="26">
        <f>现金流量表!AG54</f>
        <v>0</v>
      </c>
      <c r="AH23" s="26">
        <f>现金流量表!AH54</f>
        <v>-16473816.779999999</v>
      </c>
      <c r="AI23" s="26">
        <f>现金流量表!AI54</f>
        <v>0</v>
      </c>
      <c r="AJ23" s="26">
        <f>现金流量表!AJ54</f>
        <v>297735.53999999998</v>
      </c>
      <c r="AK23" s="26">
        <f>现金流量表!AK54</f>
        <v>0</v>
      </c>
      <c r="AL23" s="26">
        <f>现金流量表!AL54</f>
        <v>-15148984.42</v>
      </c>
      <c r="AM23" s="26">
        <f>现金流量表!AM54</f>
        <v>0</v>
      </c>
      <c r="AN23" s="26">
        <f>现金流量表!AN54</f>
        <v>818666.38</v>
      </c>
      <c r="AO23" s="26">
        <f>现金流量表!AO54</f>
        <v>0</v>
      </c>
      <c r="AP23" s="26">
        <f>现金流量表!AP54</f>
        <v>2982227.09</v>
      </c>
      <c r="AQ23" s="26">
        <f>现金流量表!AQ54</f>
        <v>0</v>
      </c>
      <c r="AR23" s="26">
        <f>现金流量表!AR54</f>
        <v>3814238.88</v>
      </c>
      <c r="AS23" s="26">
        <f>现金流量表!AS54</f>
        <v>0</v>
      </c>
      <c r="AT23" s="26">
        <f>现金流量表!AT54</f>
        <v>-877676.99</v>
      </c>
      <c r="AU23" s="26">
        <f>现金流量表!AU54</f>
        <v>0</v>
      </c>
      <c r="AV23" s="26">
        <f>现金流量表!AV54</f>
        <v>737015.48</v>
      </c>
      <c r="AW23" s="26">
        <f>现金流量表!AW54</f>
        <v>0</v>
      </c>
      <c r="AX23" s="26">
        <f>现金流量表!AX54</f>
        <v>-4208975.4400000004</v>
      </c>
      <c r="AY23" s="26">
        <f>现金流量表!AY54</f>
        <v>-4371197.1399999997</v>
      </c>
      <c r="AZ23" s="26">
        <f>现金流量表!AZ54</f>
        <v>-3444912.78</v>
      </c>
      <c r="BA23" s="26">
        <f>现金流量表!BA54</f>
        <v>-825342.77</v>
      </c>
      <c r="BB23" s="26">
        <f>现金流量表!BB54</f>
        <v>-3771127.98</v>
      </c>
      <c r="BC23" s="26">
        <f>现金流量表!BC54</f>
        <v>-3964748.61</v>
      </c>
      <c r="BD23" s="26">
        <f>现金流量表!BD54</f>
        <v>-34907.67</v>
      </c>
      <c r="BE23" s="26">
        <f>现金流量表!BE54</f>
        <v>20651.740000000002</v>
      </c>
      <c r="BF23" s="26">
        <f>现金流量表!BF54</f>
        <v>-1203819.48</v>
      </c>
      <c r="BG23" s="26">
        <f>现金流量表!BG54</f>
        <v>-1449535.52</v>
      </c>
      <c r="BH23" s="26">
        <f>现金流量表!BH54</f>
        <v>-1646497.44</v>
      </c>
      <c r="BI23" s="26">
        <f>现金流量表!BI54</f>
        <v>-1167774.18</v>
      </c>
      <c r="BJ23" s="26">
        <f>现金流量表!BJ54</f>
        <v>109793000.17</v>
      </c>
      <c r="BK23" s="26">
        <f>现金流量表!BK54</f>
        <v>17882960.59</v>
      </c>
      <c r="BL23" s="26">
        <f>现金流量表!BL54</f>
        <v>876509.65</v>
      </c>
      <c r="BM23" s="26">
        <f>现金流量表!BM54</f>
        <v>-611768.49</v>
      </c>
      <c r="BN23" s="26">
        <f>现金流量表!BN54</f>
        <v>4354770.18</v>
      </c>
      <c r="BO23" s="26">
        <f>现金流量表!BO54</f>
        <v>486335.56</v>
      </c>
      <c r="BP23" s="26">
        <f>现金流量表!BP54</f>
        <v>403950.03</v>
      </c>
      <c r="BQ23" s="26">
        <f>现金流量表!BQ54</f>
        <v>62125.15</v>
      </c>
      <c r="BR23" s="26">
        <f>现金流量表!BR54</f>
        <v>1766643.97</v>
      </c>
      <c r="BS23" s="26">
        <f>现金流量表!BS54</f>
        <v>-26839.89</v>
      </c>
      <c r="BT23" s="26">
        <f>现金流量表!BT54</f>
        <v>2926130.13</v>
      </c>
      <c r="BU23" s="26">
        <f>现金流量表!BU54</f>
        <v>497243.51</v>
      </c>
      <c r="BV23" s="26">
        <f>现金流量表!BV54</f>
        <v>-4723976.24</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-785626.86</v>
      </c>
      <c r="Y24" s="26">
        <f>现金流量表!Y55</f>
        <v>0</v>
      </c>
      <c r="Z24" s="26">
        <f>现金流量表!Z55</f>
        <v>0</v>
      </c>
      <c r="AA24" s="26">
        <f>现金流量表!AA55</f>
        <v>0</v>
      </c>
      <c r="AB24" s="26">
        <f>现金流量表!AB55</f>
        <v>43481.42</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126562.73</v>
      </c>
      <c r="AK24" s="26">
        <f>现金流量表!AK55</f>
        <v>0</v>
      </c>
      <c r="AL24" s="26">
        <f>现金流量表!AL55</f>
        <v>4696280.87</v>
      </c>
      <c r="AM24" s="26">
        <f>现金流量表!AM55</f>
        <v>0</v>
      </c>
      <c r="AN24" s="26">
        <f>现金流量表!AN55</f>
        <v>544578.19999999995</v>
      </c>
      <c r="AO24" s="26">
        <f>现金流量表!AO55</f>
        <v>0</v>
      </c>
      <c r="AP24" s="26">
        <f>现金流量表!AP55</f>
        <v>45788.21</v>
      </c>
      <c r="AQ24" s="26">
        <f>现金流量表!AQ55</f>
        <v>0</v>
      </c>
      <c r="AR24" s="26">
        <f>现金流量表!AR55</f>
        <v>159435.85999999999</v>
      </c>
      <c r="AS24" s="26">
        <f>现金流量表!AS55</f>
        <v>0</v>
      </c>
      <c r="AT24" s="26">
        <f>现金流量表!AT55</f>
        <v>1332829.3400000001</v>
      </c>
      <c r="AU24" s="26">
        <f>现金流量表!AU55</f>
        <v>0</v>
      </c>
      <c r="AV24" s="26">
        <f>现金流量表!AV55</f>
        <v>815529.13</v>
      </c>
      <c r="AW24" s="26">
        <f>现金流量表!AW55</f>
        <v>0</v>
      </c>
      <c r="AX24" s="26">
        <f>现金流量表!AX55</f>
        <v>1794685</v>
      </c>
      <c r="AY24" s="26">
        <f>现金流量表!AY55</f>
        <v>1115687</v>
      </c>
      <c r="AZ24" s="26">
        <f>现金流量表!AZ55</f>
        <v>0</v>
      </c>
      <c r="BA24" s="26">
        <f>现金流量表!BA55</f>
        <v>2650</v>
      </c>
      <c r="BB24" s="26">
        <f>现金流量表!BB55</f>
        <v>72072.160000000003</v>
      </c>
      <c r="BC24" s="26">
        <f>现金流量表!BC55</f>
        <v>147194.41</v>
      </c>
      <c r="BD24" s="26">
        <f>现金流量表!BD55</f>
        <v>47824.41</v>
      </c>
      <c r="BE24" s="26">
        <f>现金流量表!BE55</f>
        <v>142236.41</v>
      </c>
      <c r="BF24" s="26">
        <f>现金流量表!BF55</f>
        <v>1465303.32</v>
      </c>
      <c r="BG24" s="26">
        <f>现金流量表!BG55</f>
        <v>4084502.1</v>
      </c>
      <c r="BH24" s="26">
        <f>现金流量表!BH55</f>
        <v>2197201.34</v>
      </c>
      <c r="BI24" s="26">
        <f>现金流量表!BI55</f>
        <v>1952404.56</v>
      </c>
      <c r="BJ24" s="26">
        <f>现金流量表!BJ55</f>
        <v>927280.99</v>
      </c>
      <c r="BK24" s="26">
        <f>现金流量表!BK55</f>
        <v>859864.72</v>
      </c>
      <c r="BL24" s="26">
        <f>现金流量表!BL55</f>
        <v>648703.48</v>
      </c>
      <c r="BM24" s="26">
        <f>现金流量表!BM55</f>
        <v>8525</v>
      </c>
      <c r="BN24" s="26">
        <f>现金流量表!BN55</f>
        <v>550805.42000000004</v>
      </c>
      <c r="BO24" s="26">
        <f>现金流量表!BO55</f>
        <v>38757.050000000003</v>
      </c>
      <c r="BP24" s="26">
        <f>现金流量表!BP55</f>
        <v>253471</v>
      </c>
      <c r="BQ24" s="26">
        <f>现金流量表!BQ55</f>
        <v>568103.55000000005</v>
      </c>
      <c r="BR24" s="26">
        <f>现金流量表!BR55</f>
        <v>198046.58</v>
      </c>
      <c r="BS24" s="26">
        <f>现金流量表!BS55</f>
        <v>20412.77</v>
      </c>
      <c r="BT24" s="26">
        <f>现金流量表!BT55</f>
        <v>20588.57</v>
      </c>
      <c r="BU24" s="26">
        <f>现金流量表!BU55</f>
        <v>11000</v>
      </c>
      <c r="BV24" s="26">
        <f>现金流量表!BV55</f>
        <v>443143.48</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0</v>
      </c>
      <c r="F25" s="28">
        <f t="shared" ref="F25:BQ25" si="12">SUM(F19:F24)</f>
        <v>319755155.91999996</v>
      </c>
      <c r="G25" s="28">
        <f t="shared" si="12"/>
        <v>0</v>
      </c>
      <c r="H25" s="28">
        <f t="shared" si="12"/>
        <v>106138908.97</v>
      </c>
      <c r="I25" s="28">
        <f t="shared" si="12"/>
        <v>0</v>
      </c>
      <c r="J25" s="28">
        <f t="shared" si="12"/>
        <v>402120529.79000008</v>
      </c>
      <c r="K25" s="28">
        <f t="shared" si="12"/>
        <v>0</v>
      </c>
      <c r="L25" s="28">
        <f t="shared" si="12"/>
        <v>178664302.98000002</v>
      </c>
      <c r="M25" s="28">
        <f t="shared" si="12"/>
        <v>0</v>
      </c>
      <c r="N25" s="28">
        <f t="shared" si="12"/>
        <v>472530481.90999997</v>
      </c>
      <c r="O25" s="28">
        <f t="shared" si="12"/>
        <v>0</v>
      </c>
      <c r="P25" s="28">
        <f t="shared" si="12"/>
        <v>142791419.22999999</v>
      </c>
      <c r="Q25" s="28">
        <f t="shared" si="12"/>
        <v>0</v>
      </c>
      <c r="R25" s="28">
        <f t="shared" si="12"/>
        <v>320617221.76000005</v>
      </c>
      <c r="S25" s="28">
        <f t="shared" si="12"/>
        <v>0</v>
      </c>
      <c r="T25" s="28">
        <f t="shared" si="12"/>
        <v>50096385.100000001</v>
      </c>
      <c r="U25" s="28">
        <f t="shared" si="12"/>
        <v>0</v>
      </c>
      <c r="V25" s="28">
        <f t="shared" si="12"/>
        <v>308837454.90999997</v>
      </c>
      <c r="W25" s="28">
        <f t="shared" si="12"/>
        <v>0</v>
      </c>
      <c r="X25" s="28">
        <f t="shared" si="12"/>
        <v>80057310.040000007</v>
      </c>
      <c r="Y25" s="28">
        <f t="shared" si="12"/>
        <v>0</v>
      </c>
      <c r="Z25" s="28">
        <f t="shared" si="12"/>
        <v>263472354.63999996</v>
      </c>
      <c r="AA25" s="28">
        <f t="shared" si="12"/>
        <v>0</v>
      </c>
      <c r="AB25" s="28">
        <f t="shared" si="12"/>
        <v>88732870.88000001</v>
      </c>
      <c r="AC25" s="28">
        <f t="shared" si="12"/>
        <v>0</v>
      </c>
      <c r="AD25" s="28">
        <f t="shared" si="12"/>
        <v>285729132.52999997</v>
      </c>
      <c r="AE25" s="28">
        <f t="shared" si="12"/>
        <v>0</v>
      </c>
      <c r="AF25" s="28">
        <f t="shared" si="12"/>
        <v>94368318.140000015</v>
      </c>
      <c r="AG25" s="28">
        <f t="shared" si="12"/>
        <v>0</v>
      </c>
      <c r="AH25" s="28">
        <f t="shared" si="12"/>
        <v>364851382.60000002</v>
      </c>
      <c r="AI25" s="28">
        <f t="shared" si="12"/>
        <v>0</v>
      </c>
      <c r="AJ25" s="28">
        <f t="shared" si="12"/>
        <v>113614881.43000001</v>
      </c>
      <c r="AK25" s="28">
        <f t="shared" si="12"/>
        <v>0</v>
      </c>
      <c r="AL25" s="28">
        <f t="shared" si="12"/>
        <v>292430584.21999997</v>
      </c>
      <c r="AM25" s="28">
        <f t="shared" si="12"/>
        <v>0</v>
      </c>
      <c r="AN25" s="28">
        <f t="shared" si="12"/>
        <v>51172990.780000009</v>
      </c>
      <c r="AO25" s="28">
        <f t="shared" si="12"/>
        <v>0</v>
      </c>
      <c r="AP25" s="28">
        <f t="shared" si="12"/>
        <v>279564051.47999996</v>
      </c>
      <c r="AQ25" s="28">
        <f t="shared" si="12"/>
        <v>0</v>
      </c>
      <c r="AR25" s="28">
        <f t="shared" si="12"/>
        <v>122406533.75</v>
      </c>
      <c r="AS25" s="28">
        <f t="shared" si="12"/>
        <v>0</v>
      </c>
      <c r="AT25" s="28">
        <f t="shared" si="12"/>
        <v>202690650.77999997</v>
      </c>
      <c r="AU25" s="28">
        <f t="shared" si="12"/>
        <v>0</v>
      </c>
      <c r="AV25" s="28">
        <f t="shared" si="12"/>
        <v>52393336.339999996</v>
      </c>
      <c r="AW25" s="28">
        <f t="shared" si="12"/>
        <v>0</v>
      </c>
      <c r="AX25" s="28">
        <f t="shared" si="12"/>
        <v>189089215.63</v>
      </c>
      <c r="AY25" s="28">
        <f t="shared" si="12"/>
        <v>101636180.22</v>
      </c>
      <c r="AZ25" s="28">
        <f t="shared" si="12"/>
        <v>66929182</v>
      </c>
      <c r="BA25" s="28">
        <f t="shared" si="12"/>
        <v>33762926.109999999</v>
      </c>
      <c r="BB25" s="28">
        <f t="shared" si="12"/>
        <v>190731688.22</v>
      </c>
      <c r="BC25" s="28">
        <f t="shared" si="12"/>
        <v>122380799.38</v>
      </c>
      <c r="BD25" s="28">
        <f t="shared" si="12"/>
        <v>88551223.25999999</v>
      </c>
      <c r="BE25" s="28">
        <f t="shared" si="12"/>
        <v>35163185.020000003</v>
      </c>
      <c r="BF25" s="28">
        <f t="shared" si="12"/>
        <v>91626003.499999985</v>
      </c>
      <c r="BG25" s="28">
        <f t="shared" si="12"/>
        <v>10678476.410000002</v>
      </c>
      <c r="BH25" s="28">
        <f t="shared" si="12"/>
        <v>-22585453.270000003</v>
      </c>
      <c r="BI25" s="28">
        <f t="shared" si="12"/>
        <v>29555420.43</v>
      </c>
      <c r="BJ25" s="28">
        <f t="shared" si="12"/>
        <v>-64789812.889999978</v>
      </c>
      <c r="BK25" s="28">
        <f t="shared" si="12"/>
        <v>112079107.28</v>
      </c>
      <c r="BL25" s="28">
        <f t="shared" si="12"/>
        <v>56042354.359999999</v>
      </c>
      <c r="BM25" s="28">
        <f t="shared" si="12"/>
        <v>32564029.359999999</v>
      </c>
      <c r="BN25" s="28">
        <f t="shared" si="12"/>
        <v>237383431.88</v>
      </c>
      <c r="BO25" s="28">
        <f t="shared" si="12"/>
        <v>66759942.020000003</v>
      </c>
      <c r="BP25" s="28">
        <f t="shared" si="12"/>
        <v>185017919.48999998</v>
      </c>
      <c r="BQ25" s="28">
        <f t="shared" si="12"/>
        <v>43598257.929999992</v>
      </c>
      <c r="BR25" s="28">
        <f t="shared" ref="BR25:CK25" si="13">SUM(BR19:BR24)</f>
        <v>187418181.22</v>
      </c>
      <c r="BS25" s="28">
        <f t="shared" si="13"/>
        <v>42046657.650000006</v>
      </c>
      <c r="BT25" s="28">
        <f t="shared" si="13"/>
        <v>199378789.79999998</v>
      </c>
      <c r="BU25" s="28">
        <f t="shared" si="13"/>
        <v>44305012.219999991</v>
      </c>
      <c r="BV25" s="28">
        <f t="shared" si="13"/>
        <v>23363768.900000002</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-1182456308.27</v>
      </c>
      <c r="F26" s="28">
        <f t="shared" ref="F26:BQ26" si="14">F14-F25</f>
        <v>1610363298.0900002</v>
      </c>
      <c r="G26" s="28">
        <f t="shared" si="14"/>
        <v>1405689604.1400001</v>
      </c>
      <c r="H26" s="28">
        <f t="shared" si="14"/>
        <v>330482778.85000002</v>
      </c>
      <c r="I26" s="28">
        <f t="shared" si="14"/>
        <v>-277228251.38999999</v>
      </c>
      <c r="J26" s="28">
        <f t="shared" si="14"/>
        <v>1597453173.1900001</v>
      </c>
      <c r="K26" s="28">
        <f t="shared" si="14"/>
        <v>1929645382.1800001</v>
      </c>
      <c r="L26" s="28">
        <f t="shared" si="14"/>
        <v>1137728048.1500001</v>
      </c>
      <c r="M26" s="28">
        <f t="shared" si="14"/>
        <v>319139035.18000001</v>
      </c>
      <c r="N26" s="28">
        <f t="shared" si="14"/>
        <v>866244042.55000007</v>
      </c>
      <c r="O26" s="28">
        <f t="shared" si="14"/>
        <v>1508101907.8</v>
      </c>
      <c r="P26" s="28">
        <f t="shared" si="14"/>
        <v>420940135.42999995</v>
      </c>
      <c r="Q26" s="28">
        <f t="shared" si="14"/>
        <v>-139849646.09999999</v>
      </c>
      <c r="R26" s="28">
        <f t="shared" si="14"/>
        <v>1691346043.8900001</v>
      </c>
      <c r="S26" s="28">
        <f t="shared" si="14"/>
        <v>1767169251.03</v>
      </c>
      <c r="T26" s="28">
        <f t="shared" si="14"/>
        <v>921956922.65999997</v>
      </c>
      <c r="U26" s="28">
        <f t="shared" si="14"/>
        <v>-47720877.789999999</v>
      </c>
      <c r="V26" s="28">
        <f t="shared" si="14"/>
        <v>1450055434.3200002</v>
      </c>
      <c r="W26" s="28">
        <f t="shared" si="14"/>
        <v>1503864105.3</v>
      </c>
      <c r="X26" s="28">
        <f t="shared" si="14"/>
        <v>848783895.38999999</v>
      </c>
      <c r="Y26" s="28">
        <f t="shared" si="14"/>
        <v>-633039859.49000001</v>
      </c>
      <c r="Z26" s="28">
        <f t="shared" si="14"/>
        <v>2856586408.27</v>
      </c>
      <c r="AA26" s="28">
        <f t="shared" si="14"/>
        <v>2266334969.25</v>
      </c>
      <c r="AB26" s="28">
        <f t="shared" si="14"/>
        <v>1417863049.1799998</v>
      </c>
      <c r="AC26" s="28">
        <f t="shared" si="14"/>
        <v>-125661126.05</v>
      </c>
      <c r="AD26" s="28">
        <f t="shared" si="14"/>
        <v>1256649120.5</v>
      </c>
      <c r="AE26" s="28">
        <f t="shared" si="14"/>
        <v>1434505205.8599999</v>
      </c>
      <c r="AF26" s="28">
        <f t="shared" si="14"/>
        <v>789775144.87</v>
      </c>
      <c r="AG26" s="28">
        <f t="shared" si="14"/>
        <v>-223539526.56</v>
      </c>
      <c r="AH26" s="28">
        <f t="shared" si="14"/>
        <v>1422612945.0599999</v>
      </c>
      <c r="AI26" s="28">
        <f t="shared" si="14"/>
        <v>1718131912.98</v>
      </c>
      <c r="AJ26" s="28">
        <f t="shared" si="14"/>
        <v>1008587998.24</v>
      </c>
      <c r="AK26" s="28">
        <f t="shared" si="14"/>
        <v>30469639.280000001</v>
      </c>
      <c r="AL26" s="28">
        <f t="shared" si="14"/>
        <v>1736167747.95</v>
      </c>
      <c r="AM26" s="28">
        <f t="shared" si="14"/>
        <v>1616122875.99</v>
      </c>
      <c r="AN26" s="28">
        <f t="shared" si="14"/>
        <v>892307112.5</v>
      </c>
      <c r="AO26" s="28">
        <f t="shared" si="14"/>
        <v>378297459.14999998</v>
      </c>
      <c r="AP26" s="28">
        <f t="shared" si="14"/>
        <v>236933046.49000007</v>
      </c>
      <c r="AQ26" s="28">
        <f t="shared" si="14"/>
        <v>381218783.56</v>
      </c>
      <c r="AR26" s="28">
        <f t="shared" si="14"/>
        <v>-118321923.45</v>
      </c>
      <c r="AS26" s="28">
        <f t="shared" si="14"/>
        <v>-286208499.70999998</v>
      </c>
      <c r="AT26" s="28">
        <f t="shared" si="14"/>
        <v>855188230.61000001</v>
      </c>
      <c r="AU26" s="28">
        <f t="shared" si="14"/>
        <v>769860088.14999998</v>
      </c>
      <c r="AV26" s="28">
        <f t="shared" si="14"/>
        <v>243214852.78999999</v>
      </c>
      <c r="AW26" s="28">
        <f t="shared" si="14"/>
        <v>-30549097.199999999</v>
      </c>
      <c r="AX26" s="28">
        <f t="shared" si="14"/>
        <v>657867904.92999995</v>
      </c>
      <c r="AY26" s="28">
        <f t="shared" si="14"/>
        <v>383603911.21000004</v>
      </c>
      <c r="AZ26" s="28">
        <f t="shared" si="14"/>
        <v>132380262.03</v>
      </c>
      <c r="BA26" s="28">
        <f t="shared" si="14"/>
        <v>-113876285.17</v>
      </c>
      <c r="BB26" s="28">
        <f t="shared" si="14"/>
        <v>52799092.479999989</v>
      </c>
      <c r="BC26" s="28">
        <f t="shared" si="14"/>
        <v>-287751496.5</v>
      </c>
      <c r="BD26" s="28">
        <f t="shared" si="14"/>
        <v>-245930470.69999999</v>
      </c>
      <c r="BE26" s="28">
        <f t="shared" si="14"/>
        <v>-268708950.60000002</v>
      </c>
      <c r="BF26" s="28">
        <f t="shared" si="14"/>
        <v>513041757.09000003</v>
      </c>
      <c r="BG26" s="28">
        <f t="shared" si="14"/>
        <v>326774621.70999998</v>
      </c>
      <c r="BH26" s="28">
        <f t="shared" si="14"/>
        <v>99338915.430000007</v>
      </c>
      <c r="BI26" s="28">
        <f t="shared" si="14"/>
        <v>27193394.649999999</v>
      </c>
      <c r="BJ26" s="28">
        <f t="shared" si="14"/>
        <v>356960289.64999998</v>
      </c>
      <c r="BK26" s="28">
        <f t="shared" si="14"/>
        <v>344644390.25</v>
      </c>
      <c r="BL26" s="28">
        <f t="shared" si="14"/>
        <v>100930825.00000001</v>
      </c>
      <c r="BM26" s="28">
        <f t="shared" si="14"/>
        <v>-38435243.939999998</v>
      </c>
      <c r="BN26" s="28">
        <f t="shared" si="14"/>
        <v>453208185.35000002</v>
      </c>
      <c r="BO26" s="28">
        <f t="shared" si="14"/>
        <v>251831349.67999998</v>
      </c>
      <c r="BP26" s="28">
        <f t="shared" si="14"/>
        <v>702168110.80999994</v>
      </c>
      <c r="BQ26" s="28">
        <f t="shared" si="14"/>
        <v>156625745.06</v>
      </c>
      <c r="BR26" s="28">
        <f t="shared" ref="BR26:CK26" si="15">BR14-BR25</f>
        <v>490734751.25999999</v>
      </c>
      <c r="BS26" s="28">
        <f t="shared" si="15"/>
        <v>89645638.829999998</v>
      </c>
      <c r="BT26" s="28">
        <f t="shared" si="15"/>
        <v>48054318.180000007</v>
      </c>
      <c r="BU26" s="28">
        <f t="shared" si="15"/>
        <v>-1234474.8299999908</v>
      </c>
      <c r="BV26" s="28">
        <f t="shared" si="15"/>
        <v>-178305144.28999999</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509</v>
      </c>
      <c r="E27" s="26">
        <f>E26-E24</f>
        <v>-1182456308.27</v>
      </c>
      <c r="F27" s="26">
        <f t="shared" ref="F27:BQ27" si="16">F26-F24</f>
        <v>1610363298.0900002</v>
      </c>
      <c r="G27" s="26">
        <f t="shared" si="16"/>
        <v>1405689604.1400001</v>
      </c>
      <c r="H27" s="26">
        <f t="shared" si="16"/>
        <v>330482778.85000002</v>
      </c>
      <c r="I27" s="26">
        <f t="shared" si="16"/>
        <v>-277228251.38999999</v>
      </c>
      <c r="J27" s="26">
        <f t="shared" si="16"/>
        <v>1597453173.1900001</v>
      </c>
      <c r="K27" s="26">
        <f t="shared" si="16"/>
        <v>1929645382.1800001</v>
      </c>
      <c r="L27" s="26">
        <f t="shared" si="16"/>
        <v>1137728048.1500001</v>
      </c>
      <c r="M27" s="26">
        <f t="shared" si="16"/>
        <v>319139035.18000001</v>
      </c>
      <c r="N27" s="26">
        <f t="shared" si="16"/>
        <v>866244042.55000007</v>
      </c>
      <c r="O27" s="26">
        <f t="shared" si="16"/>
        <v>1508101907.8</v>
      </c>
      <c r="P27" s="26">
        <f t="shared" si="16"/>
        <v>420940135.42999995</v>
      </c>
      <c r="Q27" s="26">
        <f t="shared" si="16"/>
        <v>-139849646.09999999</v>
      </c>
      <c r="R27" s="26">
        <f t="shared" si="16"/>
        <v>1691346043.8900001</v>
      </c>
      <c r="S27" s="26">
        <f t="shared" si="16"/>
        <v>1767169251.03</v>
      </c>
      <c r="T27" s="26">
        <f t="shared" si="16"/>
        <v>921956922.65999997</v>
      </c>
      <c r="U27" s="26">
        <f t="shared" si="16"/>
        <v>-47720877.789999999</v>
      </c>
      <c r="V27" s="26">
        <f t="shared" si="16"/>
        <v>1450055434.3200002</v>
      </c>
      <c r="W27" s="26">
        <f t="shared" si="16"/>
        <v>1503864105.3</v>
      </c>
      <c r="X27" s="26">
        <f t="shared" si="16"/>
        <v>849569522.25</v>
      </c>
      <c r="Y27" s="26">
        <f t="shared" si="16"/>
        <v>-633039859.49000001</v>
      </c>
      <c r="Z27" s="26">
        <f t="shared" si="16"/>
        <v>2856586408.27</v>
      </c>
      <c r="AA27" s="26">
        <f t="shared" si="16"/>
        <v>2266334969.25</v>
      </c>
      <c r="AB27" s="26">
        <f t="shared" si="16"/>
        <v>1417819567.7599998</v>
      </c>
      <c r="AC27" s="26">
        <f t="shared" si="16"/>
        <v>-125661126.05</v>
      </c>
      <c r="AD27" s="26">
        <f t="shared" si="16"/>
        <v>1256649120.5</v>
      </c>
      <c r="AE27" s="26">
        <f t="shared" si="16"/>
        <v>1434505205.8599999</v>
      </c>
      <c r="AF27" s="26">
        <f t="shared" si="16"/>
        <v>789775144.87</v>
      </c>
      <c r="AG27" s="26">
        <f t="shared" si="16"/>
        <v>-223539526.56</v>
      </c>
      <c r="AH27" s="26">
        <f t="shared" si="16"/>
        <v>1422612945.0599999</v>
      </c>
      <c r="AI27" s="26">
        <f t="shared" si="16"/>
        <v>1718131912.98</v>
      </c>
      <c r="AJ27" s="26">
        <f t="shared" si="16"/>
        <v>1008461435.51</v>
      </c>
      <c r="AK27" s="26">
        <f t="shared" si="16"/>
        <v>30469639.280000001</v>
      </c>
      <c r="AL27" s="26">
        <f t="shared" si="16"/>
        <v>1731471467.0800002</v>
      </c>
      <c r="AM27" s="26">
        <f t="shared" si="16"/>
        <v>1616122875.99</v>
      </c>
      <c r="AN27" s="26">
        <f t="shared" si="16"/>
        <v>891762534.29999995</v>
      </c>
      <c r="AO27" s="26">
        <f t="shared" si="16"/>
        <v>378297459.14999998</v>
      </c>
      <c r="AP27" s="26">
        <f t="shared" si="16"/>
        <v>236887258.28000006</v>
      </c>
      <c r="AQ27" s="26">
        <f t="shared" si="16"/>
        <v>381218783.56</v>
      </c>
      <c r="AR27" s="26">
        <f t="shared" si="16"/>
        <v>-118481359.31</v>
      </c>
      <c r="AS27" s="26">
        <f t="shared" si="16"/>
        <v>-286208499.70999998</v>
      </c>
      <c r="AT27" s="26">
        <f t="shared" si="16"/>
        <v>853855401.26999998</v>
      </c>
      <c r="AU27" s="26">
        <f t="shared" si="16"/>
        <v>769860088.14999998</v>
      </c>
      <c r="AV27" s="26">
        <f t="shared" si="16"/>
        <v>242399323.66</v>
      </c>
      <c r="AW27" s="26">
        <f t="shared" si="16"/>
        <v>-30549097.199999999</v>
      </c>
      <c r="AX27" s="26">
        <f t="shared" si="16"/>
        <v>656073219.92999995</v>
      </c>
      <c r="AY27" s="26">
        <f t="shared" si="16"/>
        <v>382488224.21000004</v>
      </c>
      <c r="AZ27" s="26">
        <f t="shared" si="16"/>
        <v>132380262.03</v>
      </c>
      <c r="BA27" s="26">
        <f t="shared" si="16"/>
        <v>-113878935.17</v>
      </c>
      <c r="BB27" s="26">
        <f t="shared" si="16"/>
        <v>52727020.319999993</v>
      </c>
      <c r="BC27" s="26">
        <f t="shared" si="16"/>
        <v>-287898690.91000003</v>
      </c>
      <c r="BD27" s="26">
        <f t="shared" si="16"/>
        <v>-245978295.10999998</v>
      </c>
      <c r="BE27" s="26">
        <f t="shared" si="16"/>
        <v>-268851187.01000005</v>
      </c>
      <c r="BF27" s="26">
        <f t="shared" si="16"/>
        <v>511576453.77000004</v>
      </c>
      <c r="BG27" s="26">
        <f t="shared" si="16"/>
        <v>322690119.60999995</v>
      </c>
      <c r="BH27" s="26">
        <f t="shared" si="16"/>
        <v>97141714.090000004</v>
      </c>
      <c r="BI27" s="26">
        <f t="shared" si="16"/>
        <v>25240990.09</v>
      </c>
      <c r="BJ27" s="26">
        <f t="shared" si="16"/>
        <v>356033008.65999997</v>
      </c>
      <c r="BK27" s="26">
        <f t="shared" si="16"/>
        <v>343784525.52999997</v>
      </c>
      <c r="BL27" s="26">
        <f t="shared" si="16"/>
        <v>100282121.52000001</v>
      </c>
      <c r="BM27" s="26">
        <f t="shared" si="16"/>
        <v>-38443768.939999998</v>
      </c>
      <c r="BN27" s="26">
        <f t="shared" si="16"/>
        <v>452657379.93000001</v>
      </c>
      <c r="BO27" s="26">
        <f t="shared" si="16"/>
        <v>251792592.62999997</v>
      </c>
      <c r="BP27" s="26">
        <f t="shared" si="16"/>
        <v>701914639.80999994</v>
      </c>
      <c r="BQ27" s="26">
        <f t="shared" si="16"/>
        <v>156057641.50999999</v>
      </c>
      <c r="BR27" s="26">
        <f t="shared" ref="BR27:CL27" si="17">BR26-BR24</f>
        <v>490536704.68000001</v>
      </c>
      <c r="BS27" s="26">
        <f t="shared" si="17"/>
        <v>89625226.060000002</v>
      </c>
      <c r="BT27" s="26">
        <f t="shared" si="17"/>
        <v>48033729.610000007</v>
      </c>
      <c r="BU27" s="26">
        <f t="shared" si="17"/>
        <v>-1245474.8299999908</v>
      </c>
      <c r="BV27" s="26">
        <f t="shared" si="17"/>
        <v>-178748287.76999998</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510</v>
      </c>
      <c r="E28" s="63">
        <f>(E27-I27)/I27</f>
        <v>3.2652806932239407</v>
      </c>
      <c r="F28" s="63">
        <f t="shared" ref="F28:BQ28" si="18">(F27-J27)/J27</f>
        <v>8.0816922315284506E-3</v>
      </c>
      <c r="G28" s="63">
        <f t="shared" si="18"/>
        <v>-0.27152956853039262</v>
      </c>
      <c r="H28" s="63">
        <f t="shared" si="18"/>
        <v>-0.7095239241158019</v>
      </c>
      <c r="I28" s="63">
        <f t="shared" si="18"/>
        <v>-1.8686754700302906</v>
      </c>
      <c r="J28" s="63">
        <f t="shared" si="18"/>
        <v>0.84411446973708248</v>
      </c>
      <c r="K28" s="63">
        <f t="shared" si="18"/>
        <v>0.27951922360136949</v>
      </c>
      <c r="L28" s="63">
        <f t="shared" si="18"/>
        <v>1.7028262510244716</v>
      </c>
      <c r="M28" s="63">
        <f t="shared" si="18"/>
        <v>-3.2820153220251873</v>
      </c>
      <c r="N28" s="63">
        <f t="shared" si="18"/>
        <v>-0.4878374856054366</v>
      </c>
      <c r="O28" s="63">
        <f t="shared" si="18"/>
        <v>-0.14660018732161723</v>
      </c>
      <c r="P28" s="63">
        <f t="shared" si="18"/>
        <v>-0.54342754516608305</v>
      </c>
      <c r="Q28" s="63">
        <f t="shared" si="18"/>
        <v>1.9305757265283532</v>
      </c>
      <c r="R28" s="63">
        <f t="shared" si="18"/>
        <v>0.16640095534220217</v>
      </c>
      <c r="S28" s="63">
        <f t="shared" si="18"/>
        <v>0.17508573068673269</v>
      </c>
      <c r="T28" s="63">
        <f t="shared" si="18"/>
        <v>8.5204799035503501E-2</v>
      </c>
      <c r="U28" s="63">
        <f t="shared" si="18"/>
        <v>-0.92461631432111457</v>
      </c>
      <c r="V28" s="63">
        <f t="shared" si="18"/>
        <v>-0.49238173572415062</v>
      </c>
      <c r="W28" s="63">
        <f t="shared" si="18"/>
        <v>-0.33643343737590792</v>
      </c>
      <c r="X28" s="63">
        <f t="shared" si="18"/>
        <v>-0.40079151002815744</v>
      </c>
      <c r="Y28" s="63">
        <f t="shared" si="18"/>
        <v>4.0376745727880579</v>
      </c>
      <c r="Z28" s="63">
        <f t="shared" si="18"/>
        <v>1.2731774221378609</v>
      </c>
      <c r="AA28" s="63">
        <f t="shared" si="18"/>
        <v>0.57987225141599263</v>
      </c>
      <c r="AB28" s="63">
        <f t="shared" si="18"/>
        <v>0.79521928104407269</v>
      </c>
      <c r="AC28" s="63">
        <f t="shared" si="18"/>
        <v>-0.43785724169782819</v>
      </c>
      <c r="AD28" s="63">
        <f t="shared" si="18"/>
        <v>-0.11666126414518201</v>
      </c>
      <c r="AE28" s="63">
        <f t="shared" si="18"/>
        <v>-0.16507853964953487</v>
      </c>
      <c r="AF28" s="63">
        <f t="shared" si="18"/>
        <v>-0.21685141636517391</v>
      </c>
      <c r="AG28" s="63">
        <f t="shared" si="18"/>
        <v>-8.3364677706154975</v>
      </c>
      <c r="AH28" s="63">
        <f t="shared" si="18"/>
        <v>-0.1783792155355973</v>
      </c>
      <c r="AI28" s="63">
        <f t="shared" si="18"/>
        <v>6.3119604644858204E-2</v>
      </c>
      <c r="AJ28" s="63">
        <f t="shared" si="18"/>
        <v>0.13086320261436446</v>
      </c>
      <c r="AK28" s="63">
        <f t="shared" si="18"/>
        <v>-0.9194558711854357</v>
      </c>
      <c r="AL28" s="63">
        <f t="shared" si="18"/>
        <v>6.3092638230183153</v>
      </c>
      <c r="AM28" s="63">
        <f t="shared" si="18"/>
        <v>3.2393579374496864</v>
      </c>
      <c r="AN28" s="63">
        <f t="shared" si="18"/>
        <v>-8.5266062061860044</v>
      </c>
      <c r="AO28" s="63">
        <f t="shared" si="18"/>
        <v>-2.3217548029960984</v>
      </c>
      <c r="AP28" s="63">
        <f t="shared" si="18"/>
        <v>-0.7225674769666377</v>
      </c>
      <c r="AQ28" s="63">
        <f t="shared" si="18"/>
        <v>-0.50482069478873526</v>
      </c>
      <c r="AR28" s="63">
        <f t="shared" si="18"/>
        <v>-1.4887858494035537</v>
      </c>
      <c r="AS28" s="63">
        <f t="shared" si="18"/>
        <v>8.3688038581382358</v>
      </c>
      <c r="AT28" s="63">
        <f t="shared" si="18"/>
        <v>0.30146357956982683</v>
      </c>
      <c r="AU28" s="63">
        <f t="shared" si="18"/>
        <v>1.0127680786515367</v>
      </c>
      <c r="AV28" s="63">
        <f t="shared" si="18"/>
        <v>0.83108357653097475</v>
      </c>
      <c r="AW28" s="63">
        <f t="shared" si="18"/>
        <v>-0.73174057911240653</v>
      </c>
      <c r="AX28" s="63">
        <f t="shared" si="18"/>
        <v>11.442827528434096</v>
      </c>
      <c r="AY28" s="63">
        <f t="shared" si="18"/>
        <v>-2.3285514532942759</v>
      </c>
      <c r="AZ28" s="63">
        <f t="shared" si="18"/>
        <v>-1.5381786306421887</v>
      </c>
      <c r="BA28" s="63">
        <f t="shared" si="18"/>
        <v>-0.57642390782613795</v>
      </c>
      <c r="BB28" s="63">
        <f t="shared" si="18"/>
        <v>-0.89693227682502841</v>
      </c>
      <c r="BC28" s="63">
        <f t="shared" si="18"/>
        <v>-1.8921831609159632</v>
      </c>
      <c r="BD28" s="63">
        <f t="shared" si="18"/>
        <v>-3.5321593036963055</v>
      </c>
      <c r="BE28" s="63">
        <f t="shared" si="18"/>
        <v>-11.651372471974218</v>
      </c>
      <c r="BF28" s="63">
        <f t="shared" si="18"/>
        <v>0.43687928177058166</v>
      </c>
      <c r="BG28" s="63">
        <f t="shared" si="18"/>
        <v>-6.1359381686768903E-2</v>
      </c>
      <c r="BH28" s="63">
        <f t="shared" si="18"/>
        <v>-3.1315725898097321E-2</v>
      </c>
      <c r="BI28" s="63">
        <f t="shared" si="18"/>
        <v>-1.6565690822196479</v>
      </c>
      <c r="BJ28" s="63">
        <f t="shared" si="18"/>
        <v>-0.21346028045525792</v>
      </c>
      <c r="BK28" s="63">
        <f t="shared" si="18"/>
        <v>0.36534805070766635</v>
      </c>
      <c r="BL28" s="63">
        <f t="shared" si="18"/>
        <v>-0.85713060273661601</v>
      </c>
      <c r="BM28" s="63">
        <f t="shared" si="18"/>
        <v>-1.2463433931720451</v>
      </c>
      <c r="BN28" s="63">
        <f t="shared" si="18"/>
        <v>-7.7220163931892627E-2</v>
      </c>
      <c r="BO28" s="63">
        <f t="shared" si="18"/>
        <v>1.8093942263692178</v>
      </c>
      <c r="BP28" s="63">
        <f t="shared" si="18"/>
        <v>13.612953137494248</v>
      </c>
      <c r="BQ28" s="63">
        <f t="shared" si="18"/>
        <v>-126.2997152178508</v>
      </c>
      <c r="BR28" s="63">
        <f t="shared" ref="BR28:CK28" si="19">(BR27-BV27)/BV27</f>
        <v>-3.744287572204251</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c r="A31" s="111" t="s">
        <v>570</v>
      </c>
      <c r="B31" s="112"/>
      <c r="C31" s="112"/>
      <c r="D31" s="112"/>
      <c r="E31" s="112">
        <f>POWER(E27/U27,1/5)-1</f>
        <v>0.90027010364939852</v>
      </c>
      <c r="F31" s="112"/>
      <c r="G31" s="112"/>
      <c r="H31" s="112"/>
      <c r="I31" s="112">
        <f>POWER(E27/Y27,1/6)-1</f>
        <v>0.10975133046940622</v>
      </c>
      <c r="M31" s="112">
        <f>POWER(E27/AC27,1/7)-1</f>
        <v>0.37747412857713636</v>
      </c>
      <c r="Q31" s="115" t="s">
        <v>603</v>
      </c>
      <c r="R31" s="115"/>
      <c r="S31" s="115"/>
      <c r="T31" s="115"/>
      <c r="U31" s="115">
        <f>POWER(E14/U14,1/5)-1</f>
        <v>0.90027010364939852</v>
      </c>
      <c r="V31" s="115"/>
      <c r="W31" s="115"/>
      <c r="X31" s="115"/>
      <c r="Y31" s="115">
        <f>POWER(E14/Y14,1/6)-1</f>
        <v>0.10975133046940622</v>
      </c>
      <c r="Z31" s="115"/>
      <c r="AA31" s="115"/>
      <c r="AB31" s="115"/>
      <c r="AC31" s="115">
        <f>POWER(E14/AC14,1/7)-1</f>
        <v>0.37747412857713636</v>
      </c>
    </row>
    <row r="32" spans="1:90" s="66" customFormat="1">
      <c r="A32" s="46" t="s">
        <v>512</v>
      </c>
      <c r="E32" s="66">
        <v>0.17</v>
      </c>
    </row>
    <row r="39" spans="1:13" ht="40.5">
      <c r="A39" s="67" t="s">
        <v>513</v>
      </c>
    </row>
    <row r="41" spans="1:13" ht="111" customHeight="1">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workbookViewId="0">
      <selection activeCell="D1" sqref="D1"/>
    </sheetView>
  </sheetViews>
  <sheetFormatPr defaultRowHeight="13.5"/>
  <cols>
    <col min="1" max="1" width="43.5" style="17" bestFit="1" customWidth="1"/>
    <col min="2" max="2" width="23.875" style="26" bestFit="1" customWidth="1"/>
    <col min="3" max="3" width="38" bestFit="1" customWidth="1"/>
    <col min="4" max="4" width="22.625" bestFit="1" customWidth="1"/>
    <col min="5" max="11" width="20.5" bestFit="1" customWidth="1"/>
    <col min="12" max="12" width="40.25" bestFit="1" customWidth="1"/>
    <col min="13" max="19" width="20.5" bestFit="1" customWidth="1"/>
    <col min="20" max="74" width="9.5" bestFit="1" customWidth="1"/>
  </cols>
  <sheetData>
    <row r="1" spans="1:10" ht="16.149999999999999" customHeight="1">
      <c r="A1" s="68" t="s">
        <v>514</v>
      </c>
      <c r="B1" s="69">
        <f>自由现金流分析表!E1</f>
        <v>43100</v>
      </c>
      <c r="C1" t="s">
        <v>750</v>
      </c>
      <c r="D1" s="274">
        <v>0.08</v>
      </c>
      <c r="E1" s="262" t="s">
        <v>751</v>
      </c>
      <c r="F1" s="63">
        <f>平均资本成本表!E13</f>
        <v>8.0000000000000016E-2</v>
      </c>
    </row>
    <row r="2" spans="1:10">
      <c r="A2" s="70" t="s">
        <v>515</v>
      </c>
      <c r="B2" s="71">
        <f>(自由现金流分析表!E27+自由现金流分析表!I27+自由现金流分析表!M27)/3</f>
        <v>-380181841.49333328</v>
      </c>
      <c r="C2" t="s">
        <v>548</v>
      </c>
      <c r="D2" s="63"/>
      <c r="E2" s="63"/>
      <c r="F2" s="56"/>
    </row>
    <row r="3" spans="1:10" s="63" customFormat="1">
      <c r="A3" s="72" t="s">
        <v>516</v>
      </c>
      <c r="B3" s="98">
        <v>0.15</v>
      </c>
      <c r="D3" s="190"/>
      <c r="E3" s="190"/>
      <c r="F3" s="260"/>
    </row>
    <row r="4" spans="1:10" s="63" customFormat="1">
      <c r="A4" s="72" t="s">
        <v>517</v>
      </c>
      <c r="B4" s="98">
        <f>(平均资本成本表!E13)/1</f>
        <v>8.0000000000000016E-2</v>
      </c>
      <c r="D4" s="190"/>
      <c r="E4" s="190"/>
      <c r="F4" s="261"/>
    </row>
    <row r="5" spans="1:10">
      <c r="A5" s="70" t="s">
        <v>518</v>
      </c>
      <c r="B5" s="71">
        <f>B2*(1+B3)/(B4-B3)</f>
        <v>6245844538.8190489</v>
      </c>
      <c r="D5" s="63"/>
      <c r="E5" s="63"/>
    </row>
    <row r="6" spans="1:10">
      <c r="A6" s="70" t="s">
        <v>519</v>
      </c>
      <c r="B6" s="71">
        <f>资产资本表!E17</f>
        <v>41206139837.209999</v>
      </c>
      <c r="D6" s="190"/>
      <c r="E6" s="190"/>
      <c r="F6" s="190"/>
      <c r="G6" s="190"/>
    </row>
    <row r="7" spans="1:10">
      <c r="A7" s="70" t="s">
        <v>520</v>
      </c>
      <c r="B7" s="71">
        <f>资产资本表!E19</f>
        <v>862854004.09000003</v>
      </c>
      <c r="D7" s="190"/>
      <c r="E7" s="190"/>
      <c r="F7" s="190"/>
      <c r="G7" s="190"/>
    </row>
    <row r="8" spans="1:10">
      <c r="A8" s="70" t="s">
        <v>521</v>
      </c>
      <c r="B8" s="197">
        <f>资产资本表!E89</f>
        <v>0</v>
      </c>
      <c r="C8" s="272" t="s">
        <v>748</v>
      </c>
      <c r="D8" s="273">
        <f>B2/B4</f>
        <v>-4752273018.6666651</v>
      </c>
      <c r="E8" s="63"/>
      <c r="F8" s="190"/>
      <c r="G8" s="190"/>
    </row>
    <row r="9" spans="1:10">
      <c r="A9" s="70" t="s">
        <v>522</v>
      </c>
      <c r="B9" s="197">
        <f>B5+B6+B7-B8</f>
        <v>48314838380.119041</v>
      </c>
      <c r="C9" s="272" t="s">
        <v>749</v>
      </c>
      <c r="D9" s="273">
        <f>(D8+资产资本结构分析表!$E$2+资产资本结构分析表!$E$3)/B55</f>
        <v>9.6137272940916993</v>
      </c>
      <c r="E9" s="190"/>
      <c r="F9" s="190"/>
      <c r="G9" s="190"/>
    </row>
    <row r="10" spans="1:10">
      <c r="A10" s="70" t="s">
        <v>523</v>
      </c>
      <c r="B10" s="73">
        <f>资产资本表!E103/资产资本表!E107</f>
        <v>2.4513232560008737E-2</v>
      </c>
      <c r="D10" s="190"/>
      <c r="E10" s="190"/>
      <c r="F10" s="190"/>
      <c r="G10" s="190"/>
    </row>
    <row r="11" spans="1:10">
      <c r="A11" s="70" t="s">
        <v>549</v>
      </c>
      <c r="B11" s="197">
        <f>B9*(1-B10)</f>
        <v>47130485510.807953</v>
      </c>
      <c r="C11" s="269" t="s">
        <v>745</v>
      </c>
      <c r="D11" s="270">
        <f>资产资本结构分析表!E2</f>
        <v>41206139837.209999</v>
      </c>
      <c r="E11" s="63"/>
      <c r="F11" s="190"/>
      <c r="G11" s="190"/>
    </row>
    <row r="12" spans="1:10">
      <c r="A12" s="70" t="s">
        <v>524</v>
      </c>
      <c r="B12" s="268">
        <f>B55</f>
        <v>3881608005</v>
      </c>
      <c r="C12" s="269" t="s">
        <v>746</v>
      </c>
      <c r="D12" s="271">
        <f>D11/B55</f>
        <v>10.615739606918396</v>
      </c>
      <c r="E12" s="190"/>
      <c r="F12" s="190"/>
      <c r="G12" s="190"/>
    </row>
    <row r="13" spans="1:10" ht="14.25" thickBot="1">
      <c r="A13" s="74" t="s">
        <v>525</v>
      </c>
      <c r="B13" s="75">
        <f>B11/B12</f>
        <v>12.142000287019696</v>
      </c>
      <c r="D13" s="190"/>
      <c r="E13" s="190"/>
    </row>
    <row r="14" spans="1:10" s="16" customFormat="1" ht="53.25" customHeight="1">
      <c r="A14" s="279" t="s">
        <v>738</v>
      </c>
      <c r="B14" s="278"/>
      <c r="C14" s="278"/>
      <c r="D14" s="278"/>
      <c r="E14" s="278"/>
      <c r="F14" s="278"/>
      <c r="G14" s="278"/>
      <c r="H14" s="278"/>
      <c r="I14" s="278"/>
    </row>
    <row r="16" spans="1:10" ht="14.45">
      <c r="A16" s="88"/>
      <c r="B16" s="76"/>
      <c r="C16" s="77"/>
      <c r="D16" s="77"/>
      <c r="E16" s="77"/>
      <c r="F16" s="77"/>
      <c r="G16" s="77"/>
      <c r="H16" s="77"/>
      <c r="I16" s="78"/>
      <c r="J16" s="77"/>
    </row>
    <row r="17" spans="1:10" s="63" customFormat="1">
      <c r="A17" s="90"/>
      <c r="B17" s="90"/>
      <c r="C17" s="90" t="s">
        <v>541</v>
      </c>
      <c r="D17" s="90">
        <v>0.15</v>
      </c>
      <c r="E17" s="90"/>
      <c r="F17" s="90"/>
      <c r="G17" s="90"/>
      <c r="H17" s="90" t="s">
        <v>542</v>
      </c>
      <c r="I17" s="90">
        <v>0.04</v>
      </c>
      <c r="J17" s="78"/>
    </row>
    <row r="18" spans="1:10" s="2" customFormat="1">
      <c r="A18" s="300" t="s">
        <v>526</v>
      </c>
      <c r="B18" s="300"/>
      <c r="C18" s="65" t="s">
        <v>540</v>
      </c>
      <c r="D18" s="97">
        <v>1</v>
      </c>
      <c r="E18" s="97">
        <v>2</v>
      </c>
      <c r="F18" s="97">
        <v>3</v>
      </c>
      <c r="G18" s="97">
        <v>4</v>
      </c>
      <c r="H18" s="97">
        <v>5</v>
      </c>
      <c r="I18" s="96">
        <v>6</v>
      </c>
      <c r="J18" s="80"/>
    </row>
    <row r="19" spans="1:10" s="26" customFormat="1">
      <c r="A19" s="99" t="s">
        <v>527</v>
      </c>
      <c r="B19" s="94"/>
      <c r="C19" s="89">
        <f>B2</f>
        <v>-380181841.49333328</v>
      </c>
      <c r="D19" s="89">
        <f>C19*(1+$D$17)</f>
        <v>-437209117.71733326</v>
      </c>
      <c r="E19" s="89">
        <f>D19*(1+$D$17)</f>
        <v>-502790485.37493318</v>
      </c>
      <c r="F19" s="89">
        <f>E19*(1+$D$17)</f>
        <v>-578209058.18117309</v>
      </c>
      <c r="G19" s="89">
        <f>F19*(1+$D$17)</f>
        <v>-664940416.90834904</v>
      </c>
      <c r="H19" s="89">
        <f>G19*(1+$D$17)</f>
        <v>-764681479.4446013</v>
      </c>
      <c r="I19" s="89">
        <f>H19*(1+I17)</f>
        <v>-795268738.62238538</v>
      </c>
      <c r="J19" s="76"/>
    </row>
    <row r="20" spans="1:10" s="26" customFormat="1">
      <c r="A20" s="99" t="s">
        <v>528</v>
      </c>
      <c r="B20" s="95">
        <f>B4</f>
        <v>8.0000000000000016E-2</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301" t="s">
        <v>529</v>
      </c>
      <c r="B21" s="301"/>
      <c r="C21" s="89"/>
      <c r="D21" s="89">
        <f>D19/D20</f>
        <v>-404823257.14567894</v>
      </c>
      <c r="E21" s="89">
        <f>E19/E20</f>
        <v>-431061801.59030616</v>
      </c>
      <c r="F21" s="89">
        <f>F19/F20</f>
        <v>-459000992.43412226</v>
      </c>
      <c r="G21" s="89">
        <f>G19/G20</f>
        <v>-488751056.75855607</v>
      </c>
      <c r="H21" s="89">
        <f>H19/H20</f>
        <v>-520429365.99290681</v>
      </c>
      <c r="I21" s="89">
        <f>I19/((B20-I17)*I20)</f>
        <v>-12528855107.236641</v>
      </c>
      <c r="J21" s="76"/>
    </row>
    <row r="22" spans="1:10" s="26" customFormat="1">
      <c r="A22" s="301" t="s">
        <v>547</v>
      </c>
      <c r="B22" s="301"/>
      <c r="C22" s="89"/>
      <c r="D22" s="297">
        <f>SUM(D21:H21)</f>
        <v>-2304066473.9215703</v>
      </c>
      <c r="E22" s="298"/>
      <c r="F22" s="298"/>
      <c r="G22" s="298"/>
      <c r="H22" s="299"/>
      <c r="I22" s="89">
        <f>I21</f>
        <v>-12528855107.236641</v>
      </c>
      <c r="J22" s="76"/>
    </row>
    <row r="23" spans="1:10">
      <c r="A23" s="92" t="s">
        <v>530</v>
      </c>
      <c r="B23" s="76">
        <f>D22+I22</f>
        <v>-14832921581.158211</v>
      </c>
      <c r="C23" s="77"/>
      <c r="D23" s="77"/>
      <c r="E23" s="77"/>
      <c r="F23" s="77"/>
      <c r="G23" s="77"/>
      <c r="H23" s="77"/>
      <c r="I23" s="79"/>
      <c r="J23" s="77"/>
    </row>
    <row r="24" spans="1:10">
      <c r="A24" s="92" t="s">
        <v>531</v>
      </c>
      <c r="B24" s="76">
        <f>B23</f>
        <v>-14832921581.158211</v>
      </c>
      <c r="C24" s="77"/>
      <c r="D24" s="77"/>
      <c r="E24" s="77"/>
      <c r="F24" s="77"/>
      <c r="G24" s="77"/>
      <c r="H24" s="77"/>
      <c r="I24" s="79"/>
      <c r="J24" s="77"/>
    </row>
    <row r="25" spans="1:10">
      <c r="A25" s="70" t="s">
        <v>532</v>
      </c>
      <c r="B25" s="71">
        <f>资产资本表!E17</f>
        <v>41206139837.209999</v>
      </c>
      <c r="C25" s="77"/>
      <c r="D25" s="77"/>
      <c r="E25" s="77"/>
      <c r="F25" s="77"/>
      <c r="G25" s="77"/>
      <c r="H25" s="77"/>
      <c r="I25" s="79"/>
      <c r="J25" s="77"/>
    </row>
    <row r="26" spans="1:10">
      <c r="A26" s="70" t="s">
        <v>533</v>
      </c>
      <c r="B26" s="71">
        <f>资产资本表!E19</f>
        <v>862854004.09000003</v>
      </c>
      <c r="C26" s="77"/>
      <c r="D26" s="77"/>
      <c r="E26" s="77"/>
      <c r="F26" s="77"/>
      <c r="G26" s="77"/>
      <c r="H26" s="77"/>
      <c r="I26" s="79"/>
      <c r="J26" s="77"/>
    </row>
    <row r="27" spans="1:10">
      <c r="A27" s="70" t="s">
        <v>534</v>
      </c>
      <c r="B27" s="71">
        <f>资产资本表!E89</f>
        <v>0</v>
      </c>
      <c r="C27" s="77"/>
      <c r="D27" s="77"/>
      <c r="E27" s="77"/>
      <c r="F27" s="77"/>
      <c r="G27" s="77"/>
      <c r="H27" s="77"/>
      <c r="I27" s="79"/>
      <c r="J27" s="77"/>
    </row>
    <row r="28" spans="1:10" s="2" customFormat="1">
      <c r="A28" s="82" t="s">
        <v>535</v>
      </c>
      <c r="B28" s="83">
        <f>B24+B25+B26-B27</f>
        <v>27236072260.141788</v>
      </c>
      <c r="C28" s="80"/>
      <c r="D28" s="80"/>
      <c r="E28" s="80"/>
      <c r="F28" s="80"/>
      <c r="G28" s="80"/>
      <c r="H28" s="80"/>
      <c r="I28" s="81"/>
      <c r="J28" s="80"/>
    </row>
    <row r="29" spans="1:10">
      <c r="A29" s="70" t="s">
        <v>536</v>
      </c>
      <c r="B29" s="78">
        <f>资产资本表!E103/资产资本表!E107</f>
        <v>2.4513232560008737E-2</v>
      </c>
      <c r="C29" s="302" t="s">
        <v>543</v>
      </c>
      <c r="D29" s="302"/>
      <c r="E29" s="302"/>
      <c r="F29" s="77"/>
      <c r="G29" s="77"/>
      <c r="H29" s="77"/>
      <c r="I29" s="79"/>
      <c r="J29" s="77"/>
    </row>
    <row r="30" spans="1:10" s="2" customFormat="1">
      <c r="A30" s="82" t="s">
        <v>537</v>
      </c>
      <c r="B30" s="83">
        <f>B28*(1-B29)</f>
        <v>26568428086.807732</v>
      </c>
      <c r="C30" s="91">
        <v>0.4</v>
      </c>
      <c r="D30" s="91">
        <v>0.3</v>
      </c>
      <c r="E30" s="91">
        <v>0.2</v>
      </c>
      <c r="F30" s="80"/>
      <c r="G30" s="80"/>
      <c r="H30" s="80"/>
      <c r="I30" s="81"/>
      <c r="J30" s="80"/>
    </row>
    <row r="31" spans="1:10">
      <c r="A31" s="70" t="s">
        <v>747</v>
      </c>
      <c r="B31" s="101">
        <f>B55</f>
        <v>3881608005</v>
      </c>
      <c r="C31" s="215">
        <f>$B$32*(1-C30)</f>
        <v>4.1068178011665655</v>
      </c>
      <c r="D31" s="215">
        <f>$B$32*(1-D30)</f>
        <v>4.7912874346943264</v>
      </c>
      <c r="E31" s="215">
        <f>$B$32*(1-E30)</f>
        <v>5.4757570682220873</v>
      </c>
      <c r="F31" s="77"/>
      <c r="G31" s="77"/>
      <c r="H31" s="77"/>
      <c r="I31" s="79"/>
      <c r="J31" s="77"/>
    </row>
    <row r="32" spans="1:10" s="2" customFormat="1" ht="14.25" thickBot="1">
      <c r="A32" s="84" t="s">
        <v>538</v>
      </c>
      <c r="B32" s="85">
        <f>B30/B31</f>
        <v>6.8446963352776091</v>
      </c>
      <c r="C32" s="86"/>
      <c r="D32" s="86"/>
      <c r="E32" s="86"/>
      <c r="F32" s="86"/>
      <c r="G32" s="86"/>
      <c r="H32" s="86"/>
      <c r="I32" s="87"/>
      <c r="J32" s="80"/>
    </row>
    <row r="33" spans="1:19" ht="63" customHeight="1">
      <c r="A33" s="303" t="s">
        <v>739</v>
      </c>
      <c r="B33" s="304"/>
      <c r="C33" s="304"/>
      <c r="D33" s="304"/>
      <c r="E33" s="304"/>
      <c r="F33" s="304"/>
      <c r="G33" s="304"/>
      <c r="H33" s="304"/>
      <c r="I33" s="304"/>
    </row>
    <row r="37" spans="1:19" s="63" customFormat="1">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c r="A39" s="99" t="s">
        <v>527</v>
      </c>
      <c r="B39" s="94"/>
      <c r="C39" s="89">
        <f>B2</f>
        <v>-380181841.49333328</v>
      </c>
      <c r="D39" s="89">
        <f>$C$39*(1+$D$37)^D38</f>
        <v>-437209117.71733326</v>
      </c>
      <c r="E39" s="89">
        <f>$C$39*(1+$D$37)^E38</f>
        <v>-502790485.37493318</v>
      </c>
      <c r="F39" s="89">
        <f>$C$39*(1+$D$37)^F38</f>
        <v>-578209058.18117309</v>
      </c>
      <c r="G39" s="89">
        <f>$C$39*(1+$D$37)^G38</f>
        <v>-664940416.90834904</v>
      </c>
      <c r="H39" s="89">
        <f>$C$39*(1+$D$37)^H38</f>
        <v>-764681479.44460142</v>
      </c>
      <c r="I39" s="89">
        <f>H39*(1+$I$37)</f>
        <v>-833502812.59461558</v>
      </c>
      <c r="J39" s="89">
        <f t="shared" ref="J39:N39" si="1">I39*(1+$I$37)</f>
        <v>-908518065.72813106</v>
      </c>
      <c r="K39" s="89">
        <f t="shared" si="1"/>
        <v>-990284691.64366293</v>
      </c>
      <c r="L39" s="89">
        <f t="shared" si="1"/>
        <v>-1079410313.8915927</v>
      </c>
      <c r="M39" s="89">
        <f t="shared" si="1"/>
        <v>-1176557242.1418362</v>
      </c>
      <c r="N39" s="89">
        <f t="shared" si="1"/>
        <v>-1282447393.9346015</v>
      </c>
      <c r="O39" s="89">
        <f t="shared" ref="O39" si="2">N39*(1+$I$37)</f>
        <v>-1397867659.3887157</v>
      </c>
      <c r="P39" s="89">
        <f t="shared" ref="P39" si="3">O39*(1+$I$37)</f>
        <v>-1523675748.7337003</v>
      </c>
      <c r="Q39" s="89">
        <f t="shared" ref="Q39" si="4">P39*(1+$I$37)</f>
        <v>-1660806566.1197333</v>
      </c>
      <c r="R39" s="89">
        <f t="shared" ref="R39" si="5">Q39*(1+$I$37)</f>
        <v>-1810279157.0705094</v>
      </c>
      <c r="S39" s="89">
        <f>R39*(1+S37)</f>
        <v>-1846484740.2119195</v>
      </c>
    </row>
    <row r="40" spans="1:19" s="23" customFormat="1">
      <c r="A40" s="210" t="s">
        <v>528</v>
      </c>
      <c r="B40" s="209">
        <f>B4</f>
        <v>8.0000000000000016E-2</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c r="A41" s="313" t="s">
        <v>529</v>
      </c>
      <c r="B41" s="314"/>
      <c r="C41" s="89"/>
      <c r="D41" s="89">
        <f t="shared" ref="D41:R41" si="7">D39/D40</f>
        <v>-404823257.14567894</v>
      </c>
      <c r="E41" s="89">
        <f t="shared" si="7"/>
        <v>-431061801.59030616</v>
      </c>
      <c r="F41" s="89">
        <f t="shared" si="7"/>
        <v>-459000992.43412226</v>
      </c>
      <c r="G41" s="89">
        <f t="shared" si="7"/>
        <v>-488751056.75855607</v>
      </c>
      <c r="H41" s="89">
        <f t="shared" si="7"/>
        <v>-520429365.99290693</v>
      </c>
      <c r="I41" s="89">
        <f t="shared" si="7"/>
        <v>-525248156.41876715</v>
      </c>
      <c r="J41" s="89">
        <f t="shared" si="7"/>
        <v>-530111565.2744965</v>
      </c>
      <c r="K41" s="89">
        <f t="shared" si="7"/>
        <v>-535020005.69370484</v>
      </c>
      <c r="L41" s="89">
        <f t="shared" si="7"/>
        <v>-539973894.63531327</v>
      </c>
      <c r="M41" s="89">
        <f t="shared" si="7"/>
        <v>-544973652.91897357</v>
      </c>
      <c r="N41" s="89">
        <f t="shared" si="7"/>
        <v>-550019705.26081598</v>
      </c>
      <c r="O41" s="89">
        <f t="shared" si="7"/>
        <v>-555112480.30952716</v>
      </c>
      <c r="P41" s="89">
        <f t="shared" si="7"/>
        <v>-560252410.68276358</v>
      </c>
      <c r="Q41" s="89">
        <f t="shared" si="7"/>
        <v>-565439933.00390017</v>
      </c>
      <c r="R41" s="89">
        <f t="shared" si="7"/>
        <v>-570675487.93912148</v>
      </c>
      <c r="S41" s="89">
        <f>S39/((B40-S37)*S40)</f>
        <v>-8982854902.7454281</v>
      </c>
    </row>
    <row r="42" spans="1:19" s="23" customFormat="1">
      <c r="A42" s="315" t="s">
        <v>547</v>
      </c>
      <c r="B42" s="316"/>
      <c r="C42" s="215"/>
      <c r="D42" s="308">
        <f>SUM(D41:H41)</f>
        <v>-2304066473.9215703</v>
      </c>
      <c r="E42" s="309"/>
      <c r="F42" s="309"/>
      <c r="G42" s="309"/>
      <c r="H42" s="310"/>
      <c r="I42" s="308">
        <f>SUM(I41:R41)</f>
        <v>-5476827292.1373844</v>
      </c>
      <c r="J42" s="309"/>
      <c r="K42" s="309"/>
      <c r="L42" s="309"/>
      <c r="M42" s="309"/>
      <c r="N42" s="309"/>
      <c r="O42" s="309"/>
      <c r="P42" s="309"/>
      <c r="Q42" s="309"/>
      <c r="R42" s="310"/>
      <c r="S42" s="215">
        <f>S41</f>
        <v>-8982854902.7454281</v>
      </c>
    </row>
    <row r="43" spans="1:19">
      <c r="A43" s="206" t="s">
        <v>545</v>
      </c>
      <c r="B43" s="197">
        <f>D42+I42+S42</f>
        <v>-16763748668.804382</v>
      </c>
      <c r="C43" s="198"/>
      <c r="D43" s="198"/>
      <c r="E43" s="198"/>
      <c r="F43" s="198"/>
      <c r="G43" s="198"/>
      <c r="H43" s="198"/>
      <c r="I43" s="198"/>
      <c r="J43" s="198"/>
      <c r="K43" s="198"/>
      <c r="L43" s="198"/>
      <c r="M43" s="198"/>
      <c r="N43" s="198"/>
      <c r="O43" s="198"/>
      <c r="P43" s="198"/>
      <c r="Q43" s="198"/>
      <c r="R43" s="198"/>
      <c r="S43" s="200"/>
    </row>
    <row r="44" spans="1:19">
      <c r="A44" s="206" t="s">
        <v>531</v>
      </c>
      <c r="B44" s="197">
        <f>B43</f>
        <v>-16763748668.804382</v>
      </c>
      <c r="C44" s="198"/>
      <c r="D44" s="198"/>
      <c r="E44" s="198"/>
      <c r="F44" s="198"/>
      <c r="G44" s="198"/>
      <c r="H44" s="198"/>
      <c r="I44" s="198"/>
      <c r="J44" s="198"/>
      <c r="K44" s="198"/>
      <c r="L44" s="198"/>
      <c r="M44" s="198"/>
      <c r="N44" s="198"/>
      <c r="O44" s="198"/>
      <c r="P44" s="198"/>
      <c r="Q44" s="198"/>
      <c r="R44" s="198"/>
      <c r="S44" s="200"/>
    </row>
    <row r="45" spans="1:19">
      <c r="A45" s="196" t="s">
        <v>532</v>
      </c>
      <c r="B45" s="197">
        <f>资产资本表!E17</f>
        <v>41206139837.209999</v>
      </c>
      <c r="C45" s="198"/>
      <c r="D45" s="198"/>
      <c r="E45" s="198"/>
      <c r="F45" s="198"/>
      <c r="G45" s="198"/>
      <c r="H45" s="198"/>
      <c r="I45" s="198"/>
      <c r="J45" s="198"/>
      <c r="K45" s="198"/>
      <c r="L45" s="198"/>
      <c r="M45" s="198"/>
      <c r="N45" s="198"/>
      <c r="O45" s="198"/>
      <c r="P45" s="198"/>
      <c r="Q45" s="198"/>
      <c r="R45" s="198"/>
      <c r="S45" s="200"/>
    </row>
    <row r="46" spans="1:19">
      <c r="A46" s="196" t="s">
        <v>533</v>
      </c>
      <c r="B46" s="197">
        <f>资产资本表!E19</f>
        <v>862854004.09000003</v>
      </c>
      <c r="C46" s="198"/>
      <c r="D46" s="198"/>
      <c r="E46" s="198"/>
      <c r="F46" s="198"/>
      <c r="G46" s="198"/>
      <c r="H46" s="198"/>
      <c r="I46" s="198"/>
      <c r="J46" s="198"/>
      <c r="K46" s="198"/>
      <c r="L46" s="198"/>
      <c r="M46" s="198"/>
      <c r="N46" s="198"/>
      <c r="O46" s="198"/>
      <c r="P46" s="198"/>
      <c r="Q46" s="198"/>
      <c r="R46" s="198"/>
      <c r="S46" s="200"/>
    </row>
    <row r="47" spans="1:19">
      <c r="A47" s="196" t="s">
        <v>534</v>
      </c>
      <c r="B47" s="197">
        <f>资产资本表!E89</f>
        <v>0</v>
      </c>
      <c r="C47" s="198"/>
      <c r="D47" s="198"/>
      <c r="E47" s="198"/>
      <c r="F47" s="198"/>
      <c r="G47" s="198"/>
      <c r="H47" s="198"/>
      <c r="I47" s="198"/>
      <c r="J47" s="198"/>
      <c r="K47" s="198"/>
      <c r="L47" s="198"/>
      <c r="M47" s="198"/>
      <c r="N47" s="198"/>
      <c r="O47" s="198"/>
      <c r="P47" s="198"/>
      <c r="Q47" s="198"/>
      <c r="R47" s="198"/>
      <c r="S47" s="200"/>
    </row>
    <row r="48" spans="1:19">
      <c r="A48" s="201" t="s">
        <v>535</v>
      </c>
      <c r="B48" s="197">
        <f>B44+B45+B46-B47</f>
        <v>25305245172.495617</v>
      </c>
      <c r="C48" s="198"/>
      <c r="D48" s="198"/>
      <c r="E48" s="198"/>
      <c r="F48" s="198"/>
      <c r="G48" s="198"/>
      <c r="H48" s="198"/>
      <c r="I48" s="198"/>
      <c r="J48" s="198"/>
      <c r="K48" s="198"/>
      <c r="L48" s="198"/>
      <c r="M48" s="198"/>
      <c r="N48" s="198"/>
      <c r="O48" s="198"/>
      <c r="P48" s="198"/>
      <c r="Q48" s="198"/>
      <c r="R48" s="198"/>
      <c r="S48" s="200"/>
    </row>
    <row r="49" spans="1:74">
      <c r="A49" s="196" t="s">
        <v>536</v>
      </c>
      <c r="B49" s="199">
        <f>资产资本表!E103/资产资本表!E107</f>
        <v>2.4513232560008737E-2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c r="A50" s="201" t="s">
        <v>537</v>
      </c>
      <c r="B50" s="197">
        <f>B48*(1-B49)</f>
        <v>24684931812.594193</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c r="A51" s="196" t="s">
        <v>539</v>
      </c>
      <c r="B51" s="211">
        <f>B55</f>
        <v>3881608005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4.25" thickBot="1">
      <c r="A52" s="202" t="s">
        <v>538</v>
      </c>
      <c r="B52" s="207">
        <f>B50/B51</f>
        <v>6.3594602496689232</v>
      </c>
      <c r="C52" s="208">
        <f>$B$52*(1-C51)</f>
        <v>3.8156761498013538</v>
      </c>
      <c r="D52" s="208">
        <f>$B$52*(1-D51)</f>
        <v>4.4516221747682456</v>
      </c>
      <c r="E52" s="208">
        <f>$B$52*(1-E51)</f>
        <v>5.0875681997351387</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c r="A54" s="195">
        <v>858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c r="A55" s="212" t="s">
        <v>550</v>
      </c>
      <c r="B55" s="100">
        <v>3881608005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4.25" thickBot="1">
      <c r="A56" s="74"/>
      <c r="B56" s="93"/>
    </row>
    <row r="57" spans="1:74" ht="52.9" customHeight="1">
      <c r="A57" s="295" t="s">
        <v>740</v>
      </c>
      <c r="B57" s="296"/>
      <c r="C57" s="296"/>
      <c r="D57" s="296"/>
      <c r="E57" s="296"/>
      <c r="F57" s="296"/>
      <c r="G57" s="296"/>
      <c r="H57" s="296"/>
      <c r="I57" s="296"/>
    </row>
    <row r="60" spans="1:74" s="156" customFormat="1" ht="51" customHeight="1">
      <c r="A60" s="293" t="s">
        <v>608</v>
      </c>
      <c r="B60" s="294"/>
      <c r="C60" s="294"/>
      <c r="D60" s="294"/>
      <c r="E60" s="294"/>
      <c r="F60" s="294"/>
      <c r="G60" s="294"/>
      <c r="H60" s="294"/>
      <c r="I60" s="294"/>
    </row>
    <row r="63" spans="1:74" s="4" customFormat="1">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c r="A64" s="179">
        <f>股权价值增加表!M1</f>
        <v>42369</v>
      </c>
      <c r="B64" s="167">
        <v>42366</v>
      </c>
      <c r="C64" s="166">
        <v>17.39</v>
      </c>
      <c r="D64" s="166">
        <v>3.4</v>
      </c>
      <c r="E64" s="168">
        <f>股权价值增加表!M42/100000000</f>
        <v>64.113368373699984</v>
      </c>
      <c r="F64" s="168">
        <v>0</v>
      </c>
      <c r="G64" s="166">
        <v>16.47</v>
      </c>
      <c r="H64" s="168">
        <f>G64*D64</f>
        <v>55.997999999999998</v>
      </c>
      <c r="I64" s="168">
        <f>C64*D64</f>
        <v>59.125999999999998</v>
      </c>
      <c r="J64" s="168">
        <f>H64/E64</f>
        <v>0.87342158773506273</v>
      </c>
      <c r="K64" s="168">
        <f>I64/E64</f>
        <v>0.92221016458486593</v>
      </c>
      <c r="L64" s="263">
        <v>0</v>
      </c>
    </row>
    <row r="65" spans="1:12" s="26" customFormat="1">
      <c r="A65" s="179">
        <f>股权价值增加表!I1</f>
        <v>42735</v>
      </c>
      <c r="B65" s="167">
        <v>42543</v>
      </c>
      <c r="C65" s="166">
        <v>23.13</v>
      </c>
      <c r="D65" s="166">
        <v>3.64</v>
      </c>
      <c r="E65" s="168">
        <f>股权价值增加表!I42/100000000</f>
        <v>70.871093814899993</v>
      </c>
      <c r="F65" s="168">
        <f>(E65-E64)/E64*100</f>
        <v>10.540275160417407</v>
      </c>
      <c r="G65" s="166">
        <v>23.11</v>
      </c>
      <c r="H65" s="168">
        <f t="shared" ref="H65:H66" si="8">G65*D65</f>
        <v>84.120400000000004</v>
      </c>
      <c r="I65" s="168">
        <f t="shared" ref="I65:I66" si="9">C65*D65</f>
        <v>84.193200000000004</v>
      </c>
      <c r="J65" s="168">
        <f t="shared" ref="J65:J66" si="10">H65/E65</f>
        <v>1.1869493678156617</v>
      </c>
      <c r="K65" s="168">
        <f t="shared" ref="K65:K66" si="11">I65/E65</f>
        <v>1.1879765849232478</v>
      </c>
      <c r="L65" s="263">
        <f>K65/F65</f>
        <v>0.1127083085444045</v>
      </c>
    </row>
    <row r="66" spans="1:12" s="26" customFormat="1">
      <c r="A66" s="179">
        <f>股权价值增加表!E1</f>
        <v>43100</v>
      </c>
      <c r="B66" s="167">
        <v>42872</v>
      </c>
      <c r="C66" s="166">
        <v>16.399999999999999</v>
      </c>
      <c r="D66" s="166">
        <v>9.09</v>
      </c>
      <c r="E66" s="168">
        <f>股权价值增加表!E42/100000000</f>
        <v>100.1616119248</v>
      </c>
      <c r="F66" s="168">
        <f t="shared" ref="F66" si="12">(E66-E65)/E65*100</f>
        <v>41.32928748976348</v>
      </c>
      <c r="G66" s="166">
        <v>15.76</v>
      </c>
      <c r="H66" s="168">
        <f t="shared" si="8"/>
        <v>143.25839999999999</v>
      </c>
      <c r="I66" s="168">
        <f t="shared" si="9"/>
        <v>149.07599999999999</v>
      </c>
      <c r="J66" s="168">
        <f t="shared" si="10"/>
        <v>1.4302725090682096</v>
      </c>
      <c r="K66" s="168">
        <f t="shared" si="11"/>
        <v>1.4883546414161573</v>
      </c>
      <c r="L66" s="263">
        <f t="shared" ref="L66" si="13">K66/F66</f>
        <v>3.6012105018379419E-2</v>
      </c>
    </row>
    <row r="67" spans="1:12" s="26" customFormat="1">
      <c r="A67" s="162"/>
      <c r="B67" s="163"/>
      <c r="C67" s="83"/>
      <c r="D67" s="83"/>
      <c r="E67" s="83"/>
      <c r="F67" s="165"/>
      <c r="G67" s="83"/>
      <c r="H67" s="165"/>
      <c r="I67" s="165"/>
      <c r="J67" s="165"/>
      <c r="K67" s="165"/>
      <c r="L67" s="264"/>
    </row>
    <row r="68" spans="1:12" s="157" customFormat="1" ht="14.25" thickBot="1">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4.25" thickBot="1">
      <c r="A69" s="169" t="s">
        <v>627</v>
      </c>
      <c r="B69" s="170">
        <v>43305</v>
      </c>
      <c r="C69" s="171">
        <v>11.65</v>
      </c>
      <c r="D69" s="171">
        <v>9.09</v>
      </c>
      <c r="E69" s="171">
        <v>4.33</v>
      </c>
      <c r="F69" s="172">
        <f>(E69-E66)/E66*100</f>
        <v>-95.676986505318112</v>
      </c>
      <c r="G69" s="171">
        <v>10.119999999999999</v>
      </c>
      <c r="H69" s="172">
        <f>G69*D69</f>
        <v>91.990799999999993</v>
      </c>
      <c r="I69" s="172">
        <f>C69*D69</f>
        <v>105.8985</v>
      </c>
      <c r="J69" s="172">
        <f>H69/E69</f>
        <v>21.244988452655885</v>
      </c>
      <c r="K69" s="172">
        <f>I69/E69</f>
        <v>24.456928406466513</v>
      </c>
      <c r="L69" s="266">
        <f>K69/F69</f>
        <v>-0.25561976081998672</v>
      </c>
    </row>
    <row r="70" spans="1:12" s="26" customFormat="1" ht="14.25" thickBot="1">
      <c r="A70" s="173" t="s">
        <v>626</v>
      </c>
      <c r="B70" s="174">
        <v>43305</v>
      </c>
      <c r="C70" s="175">
        <v>11.65</v>
      </c>
      <c r="D70" s="175">
        <v>9.09</v>
      </c>
      <c r="E70" s="175">
        <v>3.86</v>
      </c>
      <c r="F70" s="176">
        <f>(E70-E66)/E66*100</f>
        <v>-96.146228154856345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-0.28534499050132273</v>
      </c>
    </row>
    <row r="71" spans="1:12" s="88" customFormat="1" ht="138" customHeight="1">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2019-04-01T05:41:10Z</dcterms:modified>
</cp:coreProperties>
</file>