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activeTab="4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</sheets>
  <functionGroups builtInGroupCount="17"/>
  <calcPr calcId="144525"/>
</workbook>
</file>

<file path=xl/calcChain.xml><?xml version="1.0" encoding="utf-8"?>
<calcChain xmlns="http://schemas.openxmlformats.org/spreadsheetml/2006/main">
  <c r="C59" i="5" l="1"/>
  <c r="D59" i="5"/>
  <c r="E59" i="5"/>
  <c r="F59" i="5"/>
  <c r="G59" i="5"/>
  <c r="H59" i="5"/>
  <c r="I59" i="5"/>
  <c r="J59" i="5"/>
  <c r="K59" i="5"/>
  <c r="L59" i="5"/>
  <c r="B59" i="5"/>
  <c r="C58" i="5"/>
  <c r="D58" i="5"/>
  <c r="E58" i="5"/>
  <c r="F58" i="5"/>
  <c r="G58" i="5"/>
  <c r="H58" i="5"/>
  <c r="I58" i="5"/>
  <c r="J58" i="5"/>
  <c r="K58" i="5"/>
  <c r="L58" i="5"/>
  <c r="B58" i="5"/>
  <c r="C42" i="5"/>
  <c r="D42" i="5"/>
  <c r="E42" i="5"/>
  <c r="F42" i="5"/>
  <c r="G42" i="5"/>
  <c r="H42" i="5"/>
  <c r="I42" i="5"/>
  <c r="J42" i="5"/>
  <c r="K42" i="5"/>
  <c r="L42" i="5"/>
  <c r="B42" i="5"/>
  <c r="C92" i="5"/>
  <c r="D92" i="5"/>
  <c r="E92" i="5"/>
  <c r="F92" i="5"/>
  <c r="G92" i="5"/>
  <c r="H92" i="5"/>
  <c r="I92" i="5"/>
  <c r="J92" i="5"/>
  <c r="K92" i="5"/>
  <c r="L92" i="5"/>
  <c r="B92" i="5"/>
  <c r="C91" i="5"/>
  <c r="D91" i="5"/>
  <c r="E91" i="5"/>
  <c r="F91" i="5"/>
  <c r="G91" i="5"/>
  <c r="H91" i="5"/>
  <c r="I91" i="5"/>
  <c r="J91" i="5"/>
  <c r="K91" i="5"/>
  <c r="L91" i="5"/>
  <c r="B91" i="5"/>
  <c r="C72" i="5"/>
  <c r="D72" i="5"/>
  <c r="E72" i="5"/>
  <c r="F72" i="5"/>
  <c r="G72" i="5"/>
  <c r="H72" i="5"/>
  <c r="I72" i="5"/>
  <c r="J72" i="5"/>
  <c r="K72" i="5"/>
  <c r="L72" i="5"/>
  <c r="B72" i="5"/>
  <c r="C57" i="5"/>
  <c r="D57" i="5"/>
  <c r="E57" i="5"/>
  <c r="F57" i="5"/>
  <c r="G57" i="5"/>
  <c r="H57" i="5"/>
  <c r="I57" i="5"/>
  <c r="J57" i="5"/>
  <c r="K57" i="5"/>
  <c r="L57" i="5"/>
  <c r="B57" i="5"/>
  <c r="C26" i="5"/>
  <c r="D26" i="5"/>
  <c r="E26" i="5"/>
  <c r="F26" i="5"/>
  <c r="G26" i="5"/>
  <c r="H26" i="5"/>
  <c r="I26" i="5"/>
  <c r="J26" i="5"/>
  <c r="K26" i="5"/>
  <c r="L26" i="5"/>
  <c r="B26" i="5"/>
  <c r="C41" i="5"/>
  <c r="D41" i="5"/>
  <c r="E41" i="5"/>
  <c r="F41" i="5"/>
  <c r="G41" i="5"/>
  <c r="H41" i="5"/>
  <c r="I41" i="5"/>
  <c r="J41" i="5"/>
  <c r="K41" i="5"/>
  <c r="L41" i="5"/>
  <c r="B41" i="5"/>
  <c r="C15" i="5"/>
  <c r="D15" i="5"/>
  <c r="E15" i="5"/>
  <c r="F15" i="5"/>
  <c r="G15" i="5"/>
  <c r="H15" i="5"/>
  <c r="I15" i="5"/>
  <c r="J15" i="5"/>
  <c r="K15" i="5"/>
  <c r="L15" i="5"/>
  <c r="B15" i="5"/>
</calcChain>
</file>

<file path=xl/sharedStrings.xml><?xml version="1.0" encoding="utf-8"?>
<sst xmlns="http://schemas.openxmlformats.org/spreadsheetml/2006/main" count="1783" uniqueCount="348">
  <si>
    <t>报告日期</t>
  </si>
  <si>
    <t>营业总收入(万元)</t>
  </si>
  <si>
    <t>营业收入(万元)</t>
  </si>
  <si>
    <t>利息收入(万元)</t>
  </si>
  <si>
    <t>--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</si>
  <si>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</si>
  <si>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</si>
  <si>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</si>
  <si>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</si>
  <si>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</si>
  <si>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</si>
  <si>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</si>
  <si>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</si>
  <si>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</si>
  <si>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</si>
  <si>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</si>
  <si>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</si>
  <si>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</si>
  <si>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</si>
  <si>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</si>
  <si>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</si>
  <si>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</si>
  <si>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</si>
  <si>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</si>
  <si>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财务费用(万元)</t>
  </si>
  <si>
    <t>资产减值损失(万元)</t>
  </si>
  <si>
    <t>公允价值变动收益(万元)</t>
  </si>
  <si>
    <t>投资收益(万元)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</si>
  <si>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</si>
  <si>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</si>
  <si>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</si>
  <si>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</si>
  <si>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</si>
  <si>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</si>
  <si>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</si>
  <si>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</si>
  <si>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</si>
  <si>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</si>
  <si>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</si>
  <si>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</si>
  <si>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</si>
  <si>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</si>
  <si>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</si>
  <si>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</si>
  <si>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</si>
  <si>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</si>
  <si>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稀释每股收益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</si>
  <si>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</si>
  <si>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</si>
  <si>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</si>
  <si>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</si>
  <si>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</si>
  <si>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</si>
  <si>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</si>
  <si>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</si>
  <si>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</si>
  <si>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</si>
  <si>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</si>
  <si>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</si>
  <si>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</si>
  <si>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</si>
  <si>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</si>
  <si>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 xml:space="preserve"> --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</si>
  <si>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</si>
  <si>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</si>
  <si>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</si>
  <si>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</si>
  <si>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</si>
  <si>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</si>
  <si>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</si>
  <si>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</si>
  <si>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</si>
  <si>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</si>
  <si>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</si>
  <si>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</si>
  <si>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</si>
  <si>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</si>
  <si>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</si>
  <si>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</si>
  <si>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</si>
  <si>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</si>
  <si>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</si>
  <si>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</si>
  <si>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</si>
  <si>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</si>
  <si>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</si>
  <si>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</si>
  <si>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</si>
  <si>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</si>
  <si>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</si>
  <si>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</si>
  <si>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</si>
  <si>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</si>
  <si>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</si>
  <si>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</si>
  <si>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</si>
  <si>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</si>
  <si>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</si>
  <si>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</si>
  <si>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</si>
  <si>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</si>
  <si>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</si>
  <si>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</si>
  <si>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</si>
  <si>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</si>
  <si>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</si>
  <si>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</si>
  <si>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</si>
  <si>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</si>
  <si>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</si>
  <si>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</si>
  <si>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</si>
  <si>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</si>
  <si>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</si>
  <si>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</si>
  <si>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</si>
  <si>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</si>
  <si>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</si>
  <si>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</si>
  <si>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</si>
  <si>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</si>
  <si>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</si>
  <si>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</si>
  <si>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</si>
  <si>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</si>
  <si>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</si>
  <si>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</si>
  <si>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</si>
  <si>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</si>
  <si>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</si>
  <si>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</si>
  <si>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</si>
  <si>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</si>
  <si>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</si>
  <si>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</si>
  <si>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</si>
  <si>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</si>
  <si>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长期递延收益(万元)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</si>
  <si>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</si>
  <si>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</si>
  <si>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</si>
  <si>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</si>
  <si>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</si>
  <si>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</si>
  <si>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</si>
  <si>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</si>
  <si>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</si>
  <si>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</si>
  <si>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</si>
  <si>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</si>
  <si>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</si>
  <si>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</si>
  <si>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</si>
  <si>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</si>
  <si>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</si>
  <si>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</si>
  <si>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 xml:space="preserve">		</t>
  </si>
  <si>
    <t xml:space="preserve">  </t>
  </si>
  <si>
    <t xml:space="preserve"> 报告日期</t>
  </si>
  <si>
    <t xml:space="preserve"> </t>
  </si>
  <si>
    <t xml:space="preserve"> 销售商品、提供劳务收到的现金(万元)</t>
  </si>
  <si>
    <t xml:space="preserve"> 客户存款和同业存放款项净增加额(万元)</t>
  </si>
  <si>
    <t xml:space="preserve"> 向中央银行借款净增加额(万元</t>
  </si>
  <si>
    <t xml:space="preserve"> 向其他金融机构拆入资金净增加额(万元)</t>
  </si>
  <si>
    <t xml:space="preserve"> 收到原保险合同保费取得的现金(万元)</t>
  </si>
  <si>
    <t xml:space="preserve"> 收到再保险业务现金净额(万元)</t>
  </si>
  <si>
    <t xml:space="preserve"> 保户储金及投资款净增加额(万元)</t>
  </si>
  <si>
    <t xml:space="preserve"> 处置交易性金融资产净增加额(万元)</t>
  </si>
  <si>
    <t xml:space="preserve"> 收取利息、手续费及佣金的现金(万元)</t>
  </si>
  <si>
    <t xml:space="preserve"> 拆入资金净增加额(万元)</t>
  </si>
  <si>
    <t xml:space="preserve"> 回购业务资金净增加额(万元)</t>
  </si>
  <si>
    <t xml:space="preserve"> 收到的税费返还(万元)</t>
  </si>
  <si>
    <t xml:space="preserve"> 收到的其他与经营活动有关的现金(万元)</t>
  </si>
  <si>
    <t xml:space="preserve"> 经营活动现金流入小计(万元)</t>
  </si>
  <si>
    <t xml:space="preserve"> 购买商品、接受劳务支付的现金(万元)</t>
  </si>
  <si>
    <t xml:space="preserve"> 客户贷款及垫款净增加额(万元)</t>
  </si>
  <si>
    <t xml:space="preserve"> 存放中央银行和同业款项净增加额(万元)</t>
  </si>
  <si>
    <t xml:space="preserve"> 支付原保险合同赔付款项的现金(万元)</t>
  </si>
  <si>
    <t xml:space="preserve"> 支付利息、手续费及佣金的现金(万元)</t>
  </si>
  <si>
    <t xml:space="preserve"> 支付保单红利的现金(万元)</t>
  </si>
  <si>
    <t xml:space="preserve"> 支付给职工以及为职工支付的现金(万元)</t>
  </si>
  <si>
    <t xml:space="preserve"> 支付的各项税费(万元)</t>
  </si>
  <si>
    <t xml:space="preserve"> 支付的其他与经营活动有关的现金(万元)</t>
  </si>
  <si>
    <t xml:space="preserve"> 经营活动现金流出小计(万元)</t>
  </si>
  <si>
    <t xml:space="preserve"> 经营活动产生的现金流量净额(万元)</t>
  </si>
  <si>
    <t xml:space="preserve"> 收回投资所收到的现金(万元)</t>
  </si>
  <si>
    <t xml:space="preserve"> 取得投资收益所收到的现金(万元)</t>
  </si>
  <si>
    <t xml:space="preserve"> 处置固定资产、无形资产和其他长期资产所收回的现金净额(万元)</t>
  </si>
  <si>
    <t xml:space="preserve"> 处置子公司及其他营业单位收到的现金净额(万元)</t>
  </si>
  <si>
    <t xml:space="preserve"> 收到的其他与投资活动有关的现金(万元)</t>
  </si>
  <si>
    <t xml:space="preserve"> 减少质押和定期存款所收到的现金(万元)</t>
  </si>
  <si>
    <t xml:space="preserve"> 投资活动现金流入小计(万元)</t>
  </si>
  <si>
    <t xml:space="preserve"> 购建固定资产、无形资产和其他长期资产所支付的现金(万元)</t>
  </si>
  <si>
    <t xml:space="preserve"> 投资所支付的现金(万元)</t>
  </si>
  <si>
    <t xml:space="preserve"> 质押贷款净增加额(万元)</t>
  </si>
  <si>
    <t xml:space="preserve"> 取得子公司及其他营业单位支付的现金净额(万元)</t>
  </si>
  <si>
    <t xml:space="preserve"> 支付的其他与投资活动有关的现金(万元)</t>
  </si>
  <si>
    <t xml:space="preserve"> 增加质押和定期存款所支付的现金(万元)</t>
  </si>
  <si>
    <t xml:space="preserve"> 投资活动现金流出小计(万元)</t>
  </si>
  <si>
    <t xml:space="preserve"> 投资活动产生的现金流量净额(万元)</t>
  </si>
  <si>
    <t xml:space="preserve"> 吸收投资收到的现金(万元)</t>
  </si>
  <si>
    <t xml:space="preserve"> 其中：子公司吸收少数股东投资收到的现金(万元)</t>
  </si>
  <si>
    <t xml:space="preserve"> 取得借款收到的现金(万元)</t>
  </si>
  <si>
    <t xml:space="preserve"> 发行债券收到的现金(万元)</t>
  </si>
  <si>
    <t xml:space="preserve"> 收到其他与筹资活动有关的现金(万元)</t>
  </si>
  <si>
    <t xml:space="preserve"> 筹资活动现金流入小计(万元)</t>
  </si>
  <si>
    <t xml:space="preserve"> 偿还债务支付的现金(万元)</t>
  </si>
  <si>
    <t xml:space="preserve"> 分配股利、利润或偿付利息所支付的现金(万元)</t>
  </si>
  <si>
    <t xml:space="preserve"> 其中：子公司支付给少数股东的股利、利润(万元)</t>
  </si>
  <si>
    <t xml:space="preserve"> 支付其他与筹资活动有关的现金(万元)</t>
  </si>
  <si>
    <t xml:space="preserve"> 筹资活动现金流出小计(万元)</t>
  </si>
  <si>
    <t xml:space="preserve"> 筹资活动产生的现金流量净额(万元)</t>
  </si>
  <si>
    <t xml:space="preserve"> 汇率变动对现金及现金等价物的影响(万元)</t>
  </si>
  <si>
    <t xml:space="preserve"> 现金及现金等价物净增加额(万元)</t>
  </si>
  <si>
    <t xml:space="preserve"> 加:期初现金及现金等价物余额(万元)</t>
  </si>
  <si>
    <t xml:space="preserve"> 期末现金及现金等价物余额(万元)</t>
  </si>
  <si>
    <t xml:space="preserve"> 净利润(万元)</t>
  </si>
  <si>
    <t xml:space="preserve"> 少数股东损益(万元)</t>
  </si>
  <si>
    <t xml:space="preserve"> 未确认的投资损失(万元)</t>
  </si>
  <si>
    <t xml:space="preserve"> 资产减值准备(万元)</t>
  </si>
  <si>
    <t xml:space="preserve"> 固定资产折旧、油气资产折耗、生产性物资折旧(万元)</t>
  </si>
  <si>
    <t xml:space="preserve"> 无形资产摊销(万元)</t>
  </si>
  <si>
    <t xml:space="preserve"> 长期待摊费用摊销(万元)</t>
  </si>
  <si>
    <t xml:space="preserve"> 待摊费用的减少(万元)</t>
  </si>
  <si>
    <t xml:space="preserve"> 预提费用的增加(万元)</t>
  </si>
  <si>
    <t xml:space="preserve"> 处置固定资产、无形资产和其他长期资产的损失(万元)</t>
  </si>
  <si>
    <t xml:space="preserve"> 固定资产报废损失(万元)</t>
  </si>
  <si>
    <t xml:space="preserve"> 公允价值变动损失(万元)</t>
  </si>
  <si>
    <t xml:space="preserve"> 递延收益增加(减：减少)(万元)</t>
  </si>
  <si>
    <t xml:space="preserve"> 预计负债(万元)</t>
  </si>
  <si>
    <t xml:space="preserve"> 财务费用(万元)</t>
  </si>
  <si>
    <t xml:space="preserve"> 投资损失(万元)</t>
  </si>
  <si>
    <t xml:space="preserve"> 递延所得税资产减少(万元)</t>
  </si>
  <si>
    <t xml:space="preserve"> 递延所得税负债增加(万元)</t>
  </si>
  <si>
    <t xml:space="preserve"> 存货的减少(万元)</t>
  </si>
  <si>
    <t xml:space="preserve"> 经营性应收项目的减少(万元)</t>
  </si>
  <si>
    <t xml:space="preserve"> 经营性应付项目的增加(万元)</t>
  </si>
  <si>
    <t xml:space="preserve"> 已完工尚未结算款的减少(减:增加)(万元)</t>
  </si>
  <si>
    <t xml:space="preserve"> 已结算尚未完工款的增加(减:减少)(万元)</t>
  </si>
  <si>
    <t xml:space="preserve"> 其他(万元)</t>
  </si>
  <si>
    <t xml:space="preserve"> 经营活动产生现金流量净额(万元)</t>
  </si>
  <si>
    <t xml:space="preserve"> 债务转为资本(万元)</t>
  </si>
  <si>
    <t xml:space="preserve"> 一年内到期的可转换公司债券(万元)</t>
  </si>
  <si>
    <t xml:space="preserve"> 融资租入固定资产(万元)</t>
  </si>
  <si>
    <t xml:space="preserve"> 现金的期末余额(万元)</t>
  </si>
  <si>
    <t xml:space="preserve"> 现金的期初余额(万元)</t>
  </si>
  <si>
    <t xml:space="preserve"> 现金等价物的期末余额(万元)</t>
  </si>
  <si>
    <t xml:space="preserve"> 现金等价物的期初余额(万元)</t>
  </si>
  <si>
    <t xml:space="preserve"> 现金及现金等价物的净增加额(万元)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</si>
  <si>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</si>
  <si>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</si>
  <si>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</si>
  <si>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</si>
  <si>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</si>
  <si>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</si>
  <si>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</si>
  <si>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</si>
  <si>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</si>
  <si>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</si>
  <si>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</si>
  <si>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</si>
  <si>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</si>
  <si>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</si>
  <si>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</si>
  <si>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</si>
  <si>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</si>
  <si>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</si>
  <si>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</si>
  <si>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</si>
  <si>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</si>
  <si>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长期股权投资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</si>
  <si>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</si>
  <si>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</si>
  <si>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>营运资本：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</si>
  <si>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</si>
  <si>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</si>
  <si>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</si>
  <si>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</si>
  <si>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</si>
  <si>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</si>
  <si>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</si>
  <si>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</si>
  <si>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</si>
  <si>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</si>
  <si>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</si>
  <si>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</si>
  <si>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</si>
  <si>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</si>
  <si>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</si>
  <si>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预计负债</t>
    <phoneticPr fontId="1" type="noConversion"/>
  </si>
  <si>
    <t xml:space="preserve">  递延收益--流动负债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</si>
  <si>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</si>
  <si>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</si>
  <si>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</si>
  <si>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其他非流动负债</t>
    <phoneticPr fontId="1" type="noConversion"/>
  </si>
  <si>
    <t xml:space="preserve">  营运负债小计</t>
    <phoneticPr fontId="1" type="noConversion"/>
  </si>
  <si>
    <t>营运资本合计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</si>
  <si>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</si>
  <si>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</si>
  <si>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</si>
  <si>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</si>
  <si>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</si>
  <si>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</si>
  <si>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</si>
  <si>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</si>
  <si>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</si>
  <si>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</si>
  <si>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</si>
  <si>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</si>
  <si>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</si>
  <si>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</si>
  <si>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</si>
  <si>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</si>
  <si>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</si>
  <si>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</si>
  <si>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</si>
  <si>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</si>
  <si>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</si>
  <si>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划分为持有待售的负债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</si>
  <si>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</si>
  <si>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</si>
  <si>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</si>
  <si>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</si>
  <si>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</si>
  <si>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</si>
  <si>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</si>
  <si>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</si>
  <si>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</si>
  <si>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其他权益工具</t>
    <phoneticPr fontId="1" type="noConversion"/>
  </si>
  <si>
    <t xml:space="preserve">  其他权益工具：优先股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</si>
  <si>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</si>
  <si>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</si>
  <si>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</si>
  <si>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</si>
  <si>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</si>
  <si>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</si>
  <si>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</si>
  <si>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</si>
  <si>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外币报表折算差额</t>
    <phoneticPr fontId="1" type="noConversion"/>
  </si>
  <si>
    <t xml:space="preserve">  未确认的投资损失</t>
    <phoneticPr fontId="1" type="noConversion"/>
  </si>
  <si>
    <t xml:space="preserve">  股东权益差额（特殊报表科目）</t>
    <phoneticPr fontId="1" type="noConversion"/>
  </si>
  <si>
    <t xml:space="preserve">  股权权益差额（合计平衡项目）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</si>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</sst>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14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N111"/>
  <sheetViews>
    <sheetView topLeftCell="A37" workbookViewId="0">
      <selection activeCell="A107" sqref="A107"/>
    </sheetView>
  </sheetViews>
  <sheetFormatPr defaultRowHeight="13.5"/>
  <cols>
    <col min="1" max="1" width="40.375" bestFit="1" customWidth="1"/>
    <col min="2" max="13" width="11.625" bestFit="1" customWidth="1"/>
    <col min="14" max="14" width="10.5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1.5" bestFit="1" customWidth="1"/>
  </cols>
  <sheetData>
    <row r="1" spans="1:13">
      <c r="A1">
        <v>600309</v>
      </c>
    </row>
    <row r="2" spans="1:13" s="3" customFormat="1">
      <c r="A2" s="3" t="s">
        <v>0</v>
      </c>
      <c r="B2" s="6">
        <v>43100</v>
      </c>
      <c r="C2" s="6">
        <v>42735</v>
      </c>
      <c r="D2" s="6">
        <v>42369</v>
      </c>
      <c r="E2" s="6">
        <v>42004</v>
      </c>
      <c r="F2" s="6">
        <v>41639</v>
      </c>
      <c r="G2" s="6">
        <v>41274</v>
      </c>
      <c r="H2" s="6">
        <v>40908</v>
      </c>
      <c r="I2" s="6">
        <v>40543</v>
      </c>
      <c r="J2" s="6">
        <v>40178</v>
      </c>
      <c r="K2" s="6">
        <v>39813</v>
      </c>
      <c r="L2" s="6">
        <v>39447</v>
      </c>
      <c r="M2" s="6"/>
    </row>
    <row r="3" spans="1:13">
      <c r="A3" t="s">
        <v>47</v>
      </c>
      <c r="B3">
        <v>306297</v>
      </c>
      <c r="C3">
        <v>198680</v>
      </c>
      <c r="D3">
        <v>206636</v>
      </c>
      <c r="E3">
        <v>102467</v>
      </c>
      <c r="F3">
        <v>98892</v>
      </c>
      <c r="G3">
        <v>137261</v>
      </c>
      <c r="H3">
        <v>178886</v>
      </c>
      <c r="I3">
        <v>89792</v>
      </c>
      <c r="J3">
        <v>117743</v>
      </c>
      <c r="K3">
        <v>127160</v>
      </c>
      <c r="L3">
        <v>137012</v>
      </c>
    </row>
    <row r="4" spans="1:13">
      <c r="A4" t="s">
        <v>48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 t="s">
        <v>4</v>
      </c>
      <c r="L4">
        <v>0</v>
      </c>
    </row>
    <row r="5" spans="1:13">
      <c r="A5" t="s">
        <v>49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>
        <v>0</v>
      </c>
    </row>
    <row r="6" spans="1:13">
      <c r="A6" t="s">
        <v>50</v>
      </c>
      <c r="B6" t="s">
        <v>4</v>
      </c>
      <c r="C6" t="s">
        <v>4</v>
      </c>
      <c r="D6" t="s">
        <v>4</v>
      </c>
      <c r="E6">
        <v>756</v>
      </c>
      <c r="F6" t="s">
        <v>4</v>
      </c>
      <c r="G6">
        <v>2790</v>
      </c>
      <c r="H6">
        <v>2524</v>
      </c>
      <c r="I6">
        <v>3961</v>
      </c>
      <c r="J6">
        <v>5720</v>
      </c>
      <c r="K6" t="s">
        <v>4</v>
      </c>
      <c r="L6">
        <v>5933</v>
      </c>
    </row>
    <row r="7" spans="1:13">
      <c r="A7" t="s">
        <v>51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>
        <v>0</v>
      </c>
    </row>
    <row r="8" spans="1:13">
      <c r="A8" t="s">
        <v>52</v>
      </c>
      <c r="B8">
        <v>1130830</v>
      </c>
      <c r="C8">
        <v>360830</v>
      </c>
      <c r="D8">
        <v>122403</v>
      </c>
      <c r="E8">
        <v>234765</v>
      </c>
      <c r="F8">
        <v>330983</v>
      </c>
      <c r="G8">
        <v>352711</v>
      </c>
      <c r="H8">
        <v>257904</v>
      </c>
      <c r="I8">
        <v>152386</v>
      </c>
      <c r="J8">
        <v>76921</v>
      </c>
      <c r="K8">
        <v>94622</v>
      </c>
      <c r="L8">
        <v>107212</v>
      </c>
    </row>
    <row r="9" spans="1:13">
      <c r="A9" t="s">
        <v>53</v>
      </c>
      <c r="B9">
        <v>283279</v>
      </c>
      <c r="C9">
        <v>171487</v>
      </c>
      <c r="D9">
        <v>121388</v>
      </c>
      <c r="E9">
        <v>134158</v>
      </c>
      <c r="F9">
        <v>106255</v>
      </c>
      <c r="G9">
        <v>94836</v>
      </c>
      <c r="H9">
        <v>61068</v>
      </c>
      <c r="I9">
        <v>60821</v>
      </c>
      <c r="J9">
        <v>32332</v>
      </c>
      <c r="K9">
        <v>27303</v>
      </c>
      <c r="L9">
        <v>33600</v>
      </c>
    </row>
    <row r="10" spans="1:13">
      <c r="A10" t="s">
        <v>54</v>
      </c>
      <c r="B10">
        <v>48198</v>
      </c>
      <c r="C10">
        <v>23923</v>
      </c>
      <c r="D10">
        <v>37099</v>
      </c>
      <c r="E10">
        <v>34785</v>
      </c>
      <c r="F10">
        <v>47680</v>
      </c>
      <c r="G10">
        <v>42258</v>
      </c>
      <c r="H10">
        <v>124020</v>
      </c>
      <c r="I10">
        <v>52037</v>
      </c>
      <c r="J10">
        <v>65462</v>
      </c>
      <c r="K10">
        <v>70305</v>
      </c>
      <c r="L10">
        <v>54331</v>
      </c>
    </row>
    <row r="11" spans="1:13">
      <c r="A11" t="s">
        <v>55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 t="s">
        <v>4</v>
      </c>
      <c r="L11">
        <v>0</v>
      </c>
    </row>
    <row r="12" spans="1:13">
      <c r="A12" t="s">
        <v>56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>
        <v>0</v>
      </c>
    </row>
    <row r="13" spans="1:13">
      <c r="A13" t="s">
        <v>57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>
        <v>0</v>
      </c>
    </row>
    <row r="14" spans="1:13">
      <c r="A14" t="s">
        <v>58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>
        <v>0</v>
      </c>
      <c r="K14" t="s">
        <v>4</v>
      </c>
      <c r="L14">
        <v>0</v>
      </c>
    </row>
    <row r="15" spans="1:13">
      <c r="A15" t="s">
        <v>59</v>
      </c>
      <c r="B15" t="s">
        <v>4</v>
      </c>
      <c r="C15" t="s">
        <v>4</v>
      </c>
      <c r="D15" t="s">
        <v>4</v>
      </c>
      <c r="E15" t="s">
        <v>4</v>
      </c>
      <c r="F15" t="s">
        <v>4</v>
      </c>
      <c r="G15" t="s">
        <v>4</v>
      </c>
      <c r="H15" t="s">
        <v>4</v>
      </c>
      <c r="I15" t="s">
        <v>4</v>
      </c>
      <c r="J15">
        <v>0</v>
      </c>
      <c r="K15">
        <v>502</v>
      </c>
      <c r="L15">
        <v>0</v>
      </c>
    </row>
    <row r="16" spans="1:13">
      <c r="A16" t="s">
        <v>60</v>
      </c>
      <c r="B16">
        <v>24632</v>
      </c>
      <c r="C16">
        <v>12606</v>
      </c>
      <c r="D16">
        <v>14215</v>
      </c>
      <c r="E16">
        <v>12846</v>
      </c>
      <c r="F16">
        <v>8623</v>
      </c>
      <c r="G16">
        <v>6929</v>
      </c>
      <c r="H16">
        <v>5605</v>
      </c>
      <c r="I16">
        <v>4236</v>
      </c>
      <c r="J16">
        <v>2358</v>
      </c>
      <c r="K16">
        <v>3531</v>
      </c>
      <c r="L16">
        <v>3055</v>
      </c>
    </row>
    <row r="17" spans="1:12">
      <c r="A17" t="s">
        <v>61</v>
      </c>
      <c r="B17" t="s">
        <v>62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>
        <v>0</v>
      </c>
    </row>
    <row r="18" spans="1:12">
      <c r="A18" t="s">
        <v>63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>
        <v>0</v>
      </c>
    </row>
    <row r="19" spans="1:12">
      <c r="A19" t="s">
        <v>64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>
        <v>0</v>
      </c>
    </row>
    <row r="20" spans="1:12">
      <c r="A20" t="s">
        <v>65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>
        <v>0</v>
      </c>
    </row>
    <row r="21" spans="1:12">
      <c r="A21" t="s">
        <v>66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>
        <v>0</v>
      </c>
    </row>
    <row r="22" spans="1:12">
      <c r="A22" t="s">
        <v>67</v>
      </c>
      <c r="B22">
        <v>699963</v>
      </c>
      <c r="C22">
        <v>433735</v>
      </c>
      <c r="D22">
        <v>419385</v>
      </c>
      <c r="E22">
        <v>300999</v>
      </c>
      <c r="F22">
        <v>226500</v>
      </c>
      <c r="G22">
        <v>199486</v>
      </c>
      <c r="H22">
        <v>133788</v>
      </c>
      <c r="I22">
        <v>116833</v>
      </c>
      <c r="J22">
        <v>75563</v>
      </c>
      <c r="K22">
        <v>60044</v>
      </c>
      <c r="L22">
        <v>65086</v>
      </c>
    </row>
    <row r="23" spans="1:12">
      <c r="A23" t="s">
        <v>68</v>
      </c>
      <c r="B23" t="s">
        <v>4</v>
      </c>
      <c r="C23" t="s">
        <v>4</v>
      </c>
      <c r="D23" t="s">
        <v>4</v>
      </c>
      <c r="E23" t="s">
        <v>4</v>
      </c>
      <c r="F23" t="s">
        <v>4</v>
      </c>
      <c r="G23" t="s">
        <v>4</v>
      </c>
      <c r="H23" t="s">
        <v>4</v>
      </c>
      <c r="I23" t="s">
        <v>4</v>
      </c>
      <c r="J23">
        <v>0</v>
      </c>
      <c r="K23" t="s">
        <v>4</v>
      </c>
      <c r="L23">
        <v>0</v>
      </c>
    </row>
    <row r="24" spans="1:12">
      <c r="A24" t="s">
        <v>69</v>
      </c>
      <c r="B24" t="s">
        <v>4</v>
      </c>
      <c r="C24" t="s">
        <v>4</v>
      </c>
      <c r="D24" t="s">
        <v>4</v>
      </c>
      <c r="E24" t="s">
        <v>4</v>
      </c>
      <c r="F24" t="s">
        <v>4</v>
      </c>
      <c r="G24" t="s">
        <v>4</v>
      </c>
      <c r="H24" t="s">
        <v>4</v>
      </c>
      <c r="I24" t="s">
        <v>4</v>
      </c>
      <c r="J24">
        <v>0</v>
      </c>
      <c r="K24" t="s">
        <v>4</v>
      </c>
      <c r="L24">
        <v>0</v>
      </c>
    </row>
    <row r="25" spans="1:12">
      <c r="A25" t="s">
        <v>70</v>
      </c>
      <c r="B25" t="s">
        <v>4</v>
      </c>
      <c r="C25" t="s">
        <v>4</v>
      </c>
      <c r="D25" t="s">
        <v>4</v>
      </c>
      <c r="E25" t="s">
        <v>4</v>
      </c>
      <c r="F25" t="s">
        <v>4</v>
      </c>
      <c r="G25" t="s">
        <v>4</v>
      </c>
      <c r="H25" t="s">
        <v>4</v>
      </c>
      <c r="I25" t="s">
        <v>4</v>
      </c>
      <c r="J25">
        <v>0</v>
      </c>
      <c r="K25" t="s">
        <v>4</v>
      </c>
      <c r="L25">
        <v>0</v>
      </c>
    </row>
    <row r="26" spans="1:12">
      <c r="A26" t="s">
        <v>71</v>
      </c>
      <c r="B26">
        <v>26822</v>
      </c>
      <c r="C26">
        <v>122318</v>
      </c>
      <c r="D26">
        <v>181531</v>
      </c>
      <c r="E26">
        <v>154877</v>
      </c>
      <c r="F26" t="s">
        <v>4</v>
      </c>
      <c r="G26" t="s">
        <v>4</v>
      </c>
      <c r="H26" t="s">
        <v>4</v>
      </c>
      <c r="I26" t="s">
        <v>4</v>
      </c>
      <c r="J26">
        <v>0</v>
      </c>
      <c r="K26" t="s">
        <v>4</v>
      </c>
      <c r="L26">
        <v>0</v>
      </c>
    </row>
    <row r="27" spans="1:12">
      <c r="A27" t="s">
        <v>72</v>
      </c>
      <c r="B27">
        <v>2520021</v>
      </c>
      <c r="C27">
        <v>1323580</v>
      </c>
      <c r="D27">
        <v>1102659</v>
      </c>
      <c r="E27">
        <v>975653</v>
      </c>
      <c r="F27">
        <v>818933</v>
      </c>
      <c r="G27">
        <v>836272</v>
      </c>
      <c r="H27">
        <v>763795</v>
      </c>
      <c r="I27">
        <v>480067</v>
      </c>
      <c r="J27">
        <v>376099</v>
      </c>
      <c r="K27">
        <v>383467</v>
      </c>
      <c r="L27">
        <v>406228</v>
      </c>
    </row>
    <row r="28" spans="1:12">
      <c r="A28" t="s">
        <v>73</v>
      </c>
      <c r="B28" t="s">
        <v>4</v>
      </c>
      <c r="C28" t="s">
        <v>4</v>
      </c>
      <c r="D28" t="s">
        <v>4</v>
      </c>
      <c r="E28" t="s">
        <v>4</v>
      </c>
      <c r="F28" t="s">
        <v>4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>
        <v>0</v>
      </c>
    </row>
    <row r="29" spans="1:12">
      <c r="A29" t="s">
        <v>74</v>
      </c>
      <c r="B29">
        <v>2000</v>
      </c>
      <c r="C29">
        <v>2000</v>
      </c>
      <c r="D29">
        <v>2000</v>
      </c>
      <c r="E29">
        <v>2000</v>
      </c>
      <c r="F29">
        <v>7626</v>
      </c>
      <c r="G29">
        <v>8074</v>
      </c>
      <c r="H29">
        <v>9815</v>
      </c>
      <c r="I29">
        <v>17355</v>
      </c>
      <c r="J29">
        <v>0</v>
      </c>
      <c r="K29">
        <v>0</v>
      </c>
      <c r="L29">
        <v>0</v>
      </c>
    </row>
    <row r="30" spans="1:12">
      <c r="A30" t="s">
        <v>75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>
        <v>0</v>
      </c>
    </row>
    <row r="31" spans="1:12">
      <c r="A31" t="s">
        <v>76</v>
      </c>
      <c r="B31">
        <v>31879</v>
      </c>
      <c r="C31">
        <v>27685</v>
      </c>
      <c r="D31">
        <v>24786</v>
      </c>
      <c r="E31">
        <v>19441</v>
      </c>
      <c r="F31">
        <v>13280</v>
      </c>
      <c r="G31">
        <v>4978</v>
      </c>
      <c r="H31">
        <v>154</v>
      </c>
      <c r="I31" t="s">
        <v>4</v>
      </c>
      <c r="J31">
        <v>0</v>
      </c>
      <c r="K31" t="s">
        <v>4</v>
      </c>
      <c r="L31">
        <v>0</v>
      </c>
    </row>
    <row r="32" spans="1:12">
      <c r="A32" t="s">
        <v>77</v>
      </c>
      <c r="B32">
        <v>52563</v>
      </c>
      <c r="C32">
        <v>36330</v>
      </c>
      <c r="D32">
        <v>18613</v>
      </c>
      <c r="E32">
        <v>8874</v>
      </c>
      <c r="F32">
        <v>11205</v>
      </c>
      <c r="G32">
        <v>4517</v>
      </c>
      <c r="H32">
        <v>2509</v>
      </c>
      <c r="I32">
        <v>2000</v>
      </c>
      <c r="J32">
        <v>19883</v>
      </c>
      <c r="K32">
        <v>18534</v>
      </c>
      <c r="L32">
        <v>3470</v>
      </c>
    </row>
    <row r="33" spans="1:12">
      <c r="A33" t="s">
        <v>78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>
        <v>0</v>
      </c>
    </row>
    <row r="34" spans="1:12">
      <c r="A34" t="s">
        <v>79</v>
      </c>
      <c r="B34" t="s">
        <v>4</v>
      </c>
      <c r="C34" t="s">
        <v>4</v>
      </c>
      <c r="D34" t="s">
        <v>4</v>
      </c>
      <c r="E34" t="s">
        <v>4</v>
      </c>
      <c r="F34" t="s">
        <v>4</v>
      </c>
      <c r="G34" t="s">
        <v>4</v>
      </c>
      <c r="H34" t="s">
        <v>4</v>
      </c>
      <c r="I34" t="s">
        <v>4</v>
      </c>
      <c r="J34">
        <v>0</v>
      </c>
      <c r="K34" t="s">
        <v>4</v>
      </c>
      <c r="L34">
        <v>0</v>
      </c>
    </row>
    <row r="35" spans="1:12">
      <c r="A35" t="s">
        <v>80</v>
      </c>
      <c r="B35">
        <v>3848295</v>
      </c>
      <c r="C35">
        <v>3636228</v>
      </c>
      <c r="D35">
        <v>2539819</v>
      </c>
      <c r="E35">
        <v>1914364</v>
      </c>
      <c r="F35">
        <v>1214680</v>
      </c>
      <c r="G35">
        <v>1007281</v>
      </c>
      <c r="H35">
        <v>907314</v>
      </c>
      <c r="I35">
        <v>845579</v>
      </c>
      <c r="J35">
        <v>430348</v>
      </c>
      <c r="K35">
        <v>412530</v>
      </c>
      <c r="L35">
        <v>377964</v>
      </c>
    </row>
    <row r="36" spans="1:12">
      <c r="A36" t="s">
        <v>81</v>
      </c>
      <c r="B36">
        <v>1070014</v>
      </c>
      <c r="C36">
        <v>785892</v>
      </c>
      <c r="D36">
        <v>532718</v>
      </c>
      <c r="E36">
        <v>392421</v>
      </c>
      <c r="F36">
        <v>356505</v>
      </c>
      <c r="G36">
        <v>274134</v>
      </c>
      <c r="H36">
        <v>216822</v>
      </c>
      <c r="I36">
        <v>152532</v>
      </c>
      <c r="J36">
        <v>113200</v>
      </c>
      <c r="K36">
        <v>85450</v>
      </c>
      <c r="L36">
        <v>61137</v>
      </c>
    </row>
    <row r="37" spans="1:12">
      <c r="A37" t="s">
        <v>82</v>
      </c>
      <c r="B37">
        <v>2778281</v>
      </c>
      <c r="C37">
        <v>2850337</v>
      </c>
      <c r="D37">
        <v>2007101</v>
      </c>
      <c r="E37">
        <v>1521943</v>
      </c>
      <c r="F37">
        <v>858174</v>
      </c>
      <c r="G37">
        <v>733147</v>
      </c>
      <c r="H37">
        <v>690493</v>
      </c>
      <c r="I37">
        <v>693047</v>
      </c>
      <c r="J37">
        <v>317149</v>
      </c>
      <c r="K37">
        <v>327079</v>
      </c>
      <c r="L37">
        <v>316827</v>
      </c>
    </row>
    <row r="38" spans="1:12">
      <c r="A38" t="s">
        <v>83</v>
      </c>
      <c r="B38">
        <v>17248</v>
      </c>
      <c r="C38">
        <v>3542</v>
      </c>
      <c r="D38">
        <v>2472</v>
      </c>
      <c r="E38">
        <v>2472</v>
      </c>
      <c r="F38" t="s">
        <v>4</v>
      </c>
      <c r="G38" t="s">
        <v>4</v>
      </c>
      <c r="H38" t="s">
        <v>4</v>
      </c>
      <c r="I38" t="s">
        <v>4</v>
      </c>
      <c r="J38">
        <v>0</v>
      </c>
      <c r="K38">
        <v>0</v>
      </c>
      <c r="L38">
        <v>0</v>
      </c>
    </row>
    <row r="39" spans="1:12">
      <c r="A39" t="s">
        <v>84</v>
      </c>
      <c r="B39">
        <v>2761033</v>
      </c>
      <c r="C39">
        <v>2846794</v>
      </c>
      <c r="D39">
        <v>2004629</v>
      </c>
      <c r="E39">
        <v>1519471</v>
      </c>
      <c r="F39">
        <v>858174</v>
      </c>
      <c r="G39">
        <v>733147</v>
      </c>
      <c r="H39">
        <v>690493</v>
      </c>
      <c r="I39">
        <v>693047</v>
      </c>
      <c r="J39">
        <v>317149</v>
      </c>
      <c r="K39">
        <v>327079</v>
      </c>
      <c r="L39">
        <v>316827</v>
      </c>
    </row>
    <row r="40" spans="1:12">
      <c r="A40" t="s">
        <v>85</v>
      </c>
      <c r="B40">
        <v>641993</v>
      </c>
      <c r="C40">
        <v>424459</v>
      </c>
      <c r="D40">
        <v>1240918</v>
      </c>
      <c r="E40">
        <v>1172495</v>
      </c>
      <c r="F40">
        <v>811117</v>
      </c>
      <c r="G40">
        <v>363050</v>
      </c>
      <c r="H40">
        <v>150948</v>
      </c>
      <c r="I40">
        <v>42442</v>
      </c>
      <c r="J40">
        <v>228464</v>
      </c>
      <c r="K40">
        <v>37654</v>
      </c>
      <c r="L40">
        <v>13795</v>
      </c>
    </row>
    <row r="41" spans="1:12">
      <c r="A41" t="s">
        <v>86</v>
      </c>
      <c r="B41">
        <v>88560</v>
      </c>
      <c r="C41">
        <v>45418</v>
      </c>
      <c r="D41">
        <v>28892</v>
      </c>
      <c r="E41">
        <v>165154</v>
      </c>
      <c r="F41">
        <v>155222</v>
      </c>
      <c r="G41">
        <v>7495</v>
      </c>
      <c r="H41">
        <v>9032</v>
      </c>
      <c r="I41">
        <v>4718</v>
      </c>
      <c r="J41">
        <v>6848</v>
      </c>
      <c r="K41">
        <v>2034</v>
      </c>
      <c r="L41">
        <v>1071</v>
      </c>
    </row>
    <row r="42" spans="1:12">
      <c r="A42" t="s">
        <v>87</v>
      </c>
      <c r="B42" t="s">
        <v>4</v>
      </c>
      <c r="C42" t="s">
        <v>4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4</v>
      </c>
      <c r="J42">
        <v>0</v>
      </c>
      <c r="K42" t="s">
        <v>4</v>
      </c>
      <c r="L42">
        <v>0</v>
      </c>
    </row>
    <row r="43" spans="1:12">
      <c r="A43" t="s">
        <v>88</v>
      </c>
      <c r="B43" t="s">
        <v>4</v>
      </c>
      <c r="C43" t="s">
        <v>4</v>
      </c>
      <c r="D43" t="s">
        <v>4</v>
      </c>
      <c r="E43" t="s">
        <v>4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>
        <v>0</v>
      </c>
    </row>
    <row r="44" spans="1:12">
      <c r="A44" t="s">
        <v>89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>
        <v>0</v>
      </c>
    </row>
    <row r="45" spans="1:12">
      <c r="A45" t="s">
        <v>90</v>
      </c>
      <c r="B45" t="s">
        <v>4</v>
      </c>
      <c r="C45" t="s">
        <v>4</v>
      </c>
      <c r="D45" t="s">
        <v>4</v>
      </c>
      <c r="E45" t="s">
        <v>4</v>
      </c>
      <c r="F45" t="s">
        <v>4</v>
      </c>
      <c r="G45" t="s">
        <v>4</v>
      </c>
      <c r="H45" t="s">
        <v>4</v>
      </c>
      <c r="I45" t="s">
        <v>4</v>
      </c>
      <c r="J45">
        <v>0</v>
      </c>
      <c r="K45" t="s">
        <v>4</v>
      </c>
      <c r="L45">
        <v>0</v>
      </c>
    </row>
    <row r="46" spans="1:12">
      <c r="A46" t="s">
        <v>91</v>
      </c>
      <c r="B46">
        <v>252105</v>
      </c>
      <c r="C46">
        <v>261156</v>
      </c>
      <c r="D46">
        <v>225200</v>
      </c>
      <c r="E46">
        <v>161164</v>
      </c>
      <c r="F46">
        <v>143519</v>
      </c>
      <c r="G46">
        <v>120073</v>
      </c>
      <c r="H46">
        <v>80705</v>
      </c>
      <c r="I46">
        <v>22935</v>
      </c>
      <c r="J46">
        <v>13684</v>
      </c>
      <c r="K46">
        <v>14384</v>
      </c>
      <c r="L46">
        <v>13079</v>
      </c>
    </row>
    <row r="47" spans="1:12">
      <c r="A47" t="s">
        <v>92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 t="s">
        <v>4</v>
      </c>
      <c r="J47">
        <v>0</v>
      </c>
      <c r="K47" t="s">
        <v>4</v>
      </c>
      <c r="L47">
        <v>0</v>
      </c>
    </row>
    <row r="48" spans="1:12">
      <c r="A48" t="s">
        <v>93</v>
      </c>
      <c r="B48">
        <v>27752</v>
      </c>
      <c r="C48">
        <v>27752</v>
      </c>
      <c r="D48">
        <v>27752</v>
      </c>
      <c r="E48">
        <v>27752</v>
      </c>
      <c r="F48">
        <v>27752</v>
      </c>
      <c r="G48">
        <v>27752</v>
      </c>
      <c r="H48">
        <v>27752</v>
      </c>
      <c r="I48">
        <v>27752</v>
      </c>
      <c r="J48">
        <v>0</v>
      </c>
      <c r="K48" t="s">
        <v>4</v>
      </c>
      <c r="L48">
        <v>0</v>
      </c>
    </row>
    <row r="49" spans="1:12">
      <c r="A49" t="s">
        <v>94</v>
      </c>
      <c r="B49">
        <v>1547</v>
      </c>
      <c r="C49">
        <v>1756</v>
      </c>
      <c r="D49" t="s">
        <v>4</v>
      </c>
      <c r="E49">
        <v>3336</v>
      </c>
      <c r="F49">
        <v>1372</v>
      </c>
      <c r="G49">
        <v>1525</v>
      </c>
      <c r="H49">
        <v>1096</v>
      </c>
      <c r="I49">
        <v>892</v>
      </c>
      <c r="J49">
        <v>0</v>
      </c>
      <c r="K49" t="s">
        <v>4</v>
      </c>
      <c r="L49">
        <v>0</v>
      </c>
    </row>
    <row r="50" spans="1:12">
      <c r="A50" t="s">
        <v>95</v>
      </c>
      <c r="B50" t="s">
        <v>4</v>
      </c>
      <c r="C50" t="s">
        <v>4</v>
      </c>
      <c r="D50" t="s">
        <v>4</v>
      </c>
      <c r="E50" t="s">
        <v>4</v>
      </c>
      <c r="F50" t="s">
        <v>4</v>
      </c>
      <c r="G50" t="s">
        <v>4</v>
      </c>
      <c r="H50" t="s">
        <v>4</v>
      </c>
      <c r="I50" t="s">
        <v>4</v>
      </c>
      <c r="J50">
        <v>0</v>
      </c>
      <c r="K50" t="s">
        <v>4</v>
      </c>
      <c r="L50">
        <v>0</v>
      </c>
    </row>
    <row r="51" spans="1:12">
      <c r="A51" t="s">
        <v>96</v>
      </c>
      <c r="B51">
        <v>102534</v>
      </c>
      <c r="C51">
        <v>44760</v>
      </c>
      <c r="D51">
        <v>33754</v>
      </c>
      <c r="E51">
        <v>28956</v>
      </c>
      <c r="F51">
        <v>14925</v>
      </c>
      <c r="G51">
        <v>10754</v>
      </c>
      <c r="H51">
        <v>5570</v>
      </c>
      <c r="I51">
        <v>3084</v>
      </c>
      <c r="J51">
        <v>3992</v>
      </c>
      <c r="K51">
        <v>3120</v>
      </c>
      <c r="L51">
        <v>4966</v>
      </c>
    </row>
    <row r="52" spans="1:12">
      <c r="A52" t="s">
        <v>97</v>
      </c>
      <c r="B52">
        <v>100785</v>
      </c>
      <c r="C52">
        <v>34810</v>
      </c>
      <c r="D52">
        <v>71239</v>
      </c>
      <c r="E52">
        <v>74913</v>
      </c>
      <c r="F52">
        <v>251241</v>
      </c>
      <c r="G52">
        <v>136509</v>
      </c>
      <c r="H52" t="s">
        <v>4</v>
      </c>
      <c r="I52" t="s">
        <v>4</v>
      </c>
      <c r="J52">
        <v>0</v>
      </c>
      <c r="K52" t="s">
        <v>4</v>
      </c>
      <c r="L52">
        <v>0</v>
      </c>
    </row>
    <row r="53" spans="1:12">
      <c r="A53" t="s">
        <v>98</v>
      </c>
      <c r="B53">
        <v>4062752</v>
      </c>
      <c r="C53">
        <v>3752922</v>
      </c>
      <c r="D53">
        <v>3677783</v>
      </c>
      <c r="E53">
        <v>3183556</v>
      </c>
      <c r="F53">
        <v>2295435</v>
      </c>
      <c r="G53">
        <v>1417874</v>
      </c>
      <c r="H53">
        <v>978074</v>
      </c>
      <c r="I53">
        <v>814226</v>
      </c>
      <c r="J53">
        <v>590019</v>
      </c>
      <c r="K53">
        <v>402805</v>
      </c>
      <c r="L53">
        <v>353209</v>
      </c>
    </row>
    <row r="54" spans="1:12">
      <c r="A54" t="s">
        <v>99</v>
      </c>
      <c r="B54">
        <v>6582773</v>
      </c>
      <c r="C54">
        <v>5076502</v>
      </c>
      <c r="D54">
        <v>4780442</v>
      </c>
      <c r="E54">
        <v>4159209</v>
      </c>
      <c r="F54">
        <v>3114368</v>
      </c>
      <c r="G54">
        <v>2254146</v>
      </c>
      <c r="H54">
        <v>1741868</v>
      </c>
      <c r="I54">
        <v>1294292</v>
      </c>
      <c r="J54">
        <v>966118</v>
      </c>
      <c r="K54">
        <v>786272</v>
      </c>
      <c r="L54">
        <v>759437</v>
      </c>
    </row>
    <row r="55" spans="1:12">
      <c r="A55" t="s">
        <v>100</v>
      </c>
      <c r="B55">
        <v>1271457</v>
      </c>
      <c r="C55">
        <v>850147</v>
      </c>
      <c r="D55">
        <v>963786</v>
      </c>
      <c r="E55">
        <v>449644</v>
      </c>
      <c r="F55">
        <v>375212</v>
      </c>
      <c r="G55">
        <v>376473</v>
      </c>
      <c r="H55">
        <v>325871</v>
      </c>
      <c r="I55">
        <v>227657</v>
      </c>
      <c r="J55">
        <v>212684</v>
      </c>
      <c r="K55">
        <v>83909</v>
      </c>
      <c r="L55">
        <v>110834</v>
      </c>
    </row>
    <row r="56" spans="1:12">
      <c r="A56" t="s">
        <v>101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>
        <v>0</v>
      </c>
    </row>
    <row r="57" spans="1:12">
      <c r="A57" t="s">
        <v>102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>
        <v>0</v>
      </c>
    </row>
    <row r="58" spans="1:12">
      <c r="A58" t="s">
        <v>103</v>
      </c>
      <c r="B58" t="s">
        <v>4</v>
      </c>
      <c r="C58" t="s">
        <v>4</v>
      </c>
      <c r="D58" t="s">
        <v>4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>
        <v>0</v>
      </c>
      <c r="K58" t="s">
        <v>4</v>
      </c>
      <c r="L58">
        <v>0</v>
      </c>
    </row>
    <row r="59" spans="1:12">
      <c r="A59" t="s">
        <v>104</v>
      </c>
      <c r="B59" t="s">
        <v>4</v>
      </c>
      <c r="C59" t="s">
        <v>4</v>
      </c>
      <c r="D59" t="s">
        <v>4</v>
      </c>
      <c r="E59">
        <v>409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>
        <v>0</v>
      </c>
      <c r="L59">
        <v>0</v>
      </c>
    </row>
    <row r="60" spans="1:12">
      <c r="A60" t="s">
        <v>105</v>
      </c>
      <c r="B60" t="s">
        <v>4</v>
      </c>
      <c r="C60">
        <v>751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 t="s">
        <v>4</v>
      </c>
      <c r="L60">
        <v>0</v>
      </c>
    </row>
    <row r="61" spans="1:12">
      <c r="A61" t="s">
        <v>106</v>
      </c>
      <c r="B61">
        <v>185164</v>
      </c>
      <c r="C61">
        <v>186082</v>
      </c>
      <c r="D61">
        <v>222125</v>
      </c>
      <c r="E61">
        <v>204452</v>
      </c>
      <c r="F61">
        <v>199363</v>
      </c>
      <c r="G61">
        <v>145415</v>
      </c>
      <c r="H61">
        <v>34148</v>
      </c>
      <c r="I61">
        <v>42213</v>
      </c>
      <c r="J61">
        <v>13650</v>
      </c>
      <c r="K61">
        <v>768</v>
      </c>
      <c r="L61">
        <v>4297</v>
      </c>
    </row>
    <row r="62" spans="1:12">
      <c r="A62" t="s">
        <v>107</v>
      </c>
      <c r="B62">
        <v>438821</v>
      </c>
      <c r="C62">
        <v>346715</v>
      </c>
      <c r="D62">
        <v>340046</v>
      </c>
      <c r="E62">
        <v>261513</v>
      </c>
      <c r="F62">
        <v>229894</v>
      </c>
      <c r="G62">
        <v>88127</v>
      </c>
      <c r="H62">
        <v>49419</v>
      </c>
      <c r="I62">
        <v>57696</v>
      </c>
      <c r="J62">
        <v>48295</v>
      </c>
      <c r="K62">
        <v>17937</v>
      </c>
      <c r="L62">
        <v>25262</v>
      </c>
    </row>
    <row r="63" spans="1:12">
      <c r="A63" t="s">
        <v>108</v>
      </c>
      <c r="B63">
        <v>267965</v>
      </c>
      <c r="C63">
        <v>149670</v>
      </c>
      <c r="D63">
        <v>71122</v>
      </c>
      <c r="E63">
        <v>76375</v>
      </c>
      <c r="F63">
        <v>72790</v>
      </c>
      <c r="G63">
        <v>46438</v>
      </c>
      <c r="H63">
        <v>41082</v>
      </c>
      <c r="I63">
        <v>17585</v>
      </c>
      <c r="J63">
        <v>13955</v>
      </c>
      <c r="K63">
        <v>6660</v>
      </c>
      <c r="L63">
        <v>13919</v>
      </c>
    </row>
    <row r="64" spans="1:12">
      <c r="A64" t="s">
        <v>109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>
        <v>0</v>
      </c>
    </row>
    <row r="65" spans="1:12">
      <c r="A65" t="s">
        <v>110</v>
      </c>
      <c r="B65" t="s">
        <v>4</v>
      </c>
      <c r="C65" t="s">
        <v>4</v>
      </c>
      <c r="D65" t="s">
        <v>4</v>
      </c>
      <c r="E65" t="s">
        <v>4</v>
      </c>
      <c r="F65" t="s">
        <v>4</v>
      </c>
      <c r="G65" t="s">
        <v>4</v>
      </c>
      <c r="H65" t="s">
        <v>4</v>
      </c>
      <c r="I65" t="s">
        <v>4</v>
      </c>
      <c r="J65">
        <v>0</v>
      </c>
      <c r="K65" t="s">
        <v>4</v>
      </c>
      <c r="L65">
        <v>0</v>
      </c>
    </row>
    <row r="66" spans="1:12">
      <c r="A66" t="s">
        <v>111</v>
      </c>
      <c r="B66">
        <v>73032</v>
      </c>
      <c r="C66">
        <v>36294</v>
      </c>
      <c r="D66">
        <v>20597</v>
      </c>
      <c r="E66">
        <v>22541</v>
      </c>
      <c r="F66">
        <v>25615</v>
      </c>
      <c r="G66">
        <v>14698</v>
      </c>
      <c r="H66">
        <v>5639</v>
      </c>
      <c r="I66">
        <v>4645</v>
      </c>
      <c r="J66">
        <v>5798</v>
      </c>
      <c r="K66">
        <v>5208</v>
      </c>
      <c r="L66">
        <v>9854</v>
      </c>
    </row>
    <row r="67" spans="1:12">
      <c r="A67" t="s">
        <v>112</v>
      </c>
      <c r="B67">
        <v>224519</v>
      </c>
      <c r="C67">
        <v>55639</v>
      </c>
      <c r="D67">
        <v>23277</v>
      </c>
      <c r="E67">
        <v>27054</v>
      </c>
      <c r="F67">
        <v>-27525</v>
      </c>
      <c r="G67">
        <v>16411</v>
      </c>
      <c r="H67">
        <v>988</v>
      </c>
      <c r="I67">
        <v>-11796</v>
      </c>
      <c r="J67">
        <v>-7051</v>
      </c>
      <c r="K67">
        <v>1985</v>
      </c>
      <c r="L67">
        <v>33387</v>
      </c>
    </row>
    <row r="68" spans="1:12">
      <c r="A68" t="s">
        <v>113</v>
      </c>
      <c r="B68">
        <v>3197</v>
      </c>
      <c r="C68">
        <v>9171</v>
      </c>
      <c r="D68">
        <v>7525</v>
      </c>
      <c r="E68">
        <v>7699</v>
      </c>
      <c r="F68">
        <v>6453</v>
      </c>
      <c r="G68">
        <v>6278</v>
      </c>
      <c r="H68">
        <v>4662</v>
      </c>
      <c r="I68">
        <v>1312</v>
      </c>
      <c r="J68">
        <v>239</v>
      </c>
      <c r="K68">
        <v>409</v>
      </c>
      <c r="L68">
        <v>928</v>
      </c>
    </row>
    <row r="69" spans="1:12">
      <c r="A69" t="s">
        <v>114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t="s">
        <v>4</v>
      </c>
      <c r="H69">
        <v>21530</v>
      </c>
      <c r="I69" t="s">
        <v>4</v>
      </c>
      <c r="J69">
        <v>0</v>
      </c>
      <c r="K69" t="s">
        <v>4</v>
      </c>
      <c r="L69">
        <v>0</v>
      </c>
    </row>
    <row r="70" spans="1:12">
      <c r="A70" t="s">
        <v>115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 t="s">
        <v>4</v>
      </c>
      <c r="L70">
        <v>0</v>
      </c>
    </row>
    <row r="71" spans="1:12">
      <c r="A71" t="s">
        <v>116</v>
      </c>
      <c r="B71" t="s">
        <v>4</v>
      </c>
      <c r="C71" t="s">
        <v>4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 t="s">
        <v>4</v>
      </c>
      <c r="L71">
        <v>0</v>
      </c>
    </row>
    <row r="72" spans="1:12">
      <c r="A72" t="s">
        <v>117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 t="s">
        <v>4</v>
      </c>
      <c r="L72">
        <v>0</v>
      </c>
    </row>
    <row r="73" spans="1:12">
      <c r="A73" t="s">
        <v>118</v>
      </c>
      <c r="B73">
        <v>50803</v>
      </c>
      <c r="C73">
        <v>51158</v>
      </c>
      <c r="D73">
        <v>27570</v>
      </c>
      <c r="E73">
        <v>22513</v>
      </c>
      <c r="F73">
        <v>18358</v>
      </c>
      <c r="G73">
        <v>11041</v>
      </c>
      <c r="H73">
        <v>4787</v>
      </c>
      <c r="I73">
        <v>3430</v>
      </c>
      <c r="J73">
        <v>3607</v>
      </c>
      <c r="K73">
        <v>2257</v>
      </c>
      <c r="L73">
        <v>3353</v>
      </c>
    </row>
    <row r="74" spans="1:12">
      <c r="A74" t="s">
        <v>119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>
        <v>0</v>
      </c>
    </row>
    <row r="75" spans="1:12">
      <c r="A75" t="s">
        <v>120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 t="s">
        <v>4</v>
      </c>
      <c r="L75">
        <v>0</v>
      </c>
    </row>
    <row r="76" spans="1:12">
      <c r="A76" t="s">
        <v>121</v>
      </c>
      <c r="B76" t="s">
        <v>4</v>
      </c>
      <c r="C76" t="s">
        <v>4</v>
      </c>
      <c r="D76" t="s">
        <v>4</v>
      </c>
      <c r="E76" t="s">
        <v>4</v>
      </c>
      <c r="F76" t="s">
        <v>4</v>
      </c>
      <c r="G76" t="s">
        <v>4</v>
      </c>
      <c r="H76" t="s">
        <v>4</v>
      </c>
      <c r="I76" t="s">
        <v>4</v>
      </c>
      <c r="J76">
        <v>0</v>
      </c>
      <c r="K76" t="s">
        <v>4</v>
      </c>
      <c r="L76">
        <v>0</v>
      </c>
    </row>
    <row r="77" spans="1:12">
      <c r="A77" t="s">
        <v>122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>
        <v>0</v>
      </c>
    </row>
    <row r="78" spans="1:12">
      <c r="A78" t="s">
        <v>123</v>
      </c>
      <c r="B78" t="s">
        <v>4</v>
      </c>
      <c r="C78" t="s">
        <v>4</v>
      </c>
      <c r="D78" t="s">
        <v>4</v>
      </c>
      <c r="E78" t="s">
        <v>4</v>
      </c>
      <c r="F78" t="s">
        <v>4</v>
      </c>
      <c r="G78" t="s">
        <v>4</v>
      </c>
      <c r="H78" t="s">
        <v>4</v>
      </c>
      <c r="I78" t="s">
        <v>4</v>
      </c>
      <c r="J78">
        <v>0</v>
      </c>
      <c r="K78" t="s">
        <v>4</v>
      </c>
      <c r="L78">
        <v>0</v>
      </c>
    </row>
    <row r="79" spans="1:12">
      <c r="A79" t="s">
        <v>124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t="s">
        <v>4</v>
      </c>
      <c r="H79" t="s">
        <v>4</v>
      </c>
      <c r="I79" t="s">
        <v>4</v>
      </c>
      <c r="J79">
        <v>0</v>
      </c>
      <c r="K79" t="s">
        <v>4</v>
      </c>
      <c r="L79">
        <v>0</v>
      </c>
    </row>
    <row r="80" spans="1:12">
      <c r="A80" t="s">
        <v>125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 t="s">
        <v>4</v>
      </c>
      <c r="L80">
        <v>0</v>
      </c>
    </row>
    <row r="81" spans="1:12">
      <c r="A81" t="s">
        <v>126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 t="s">
        <v>4</v>
      </c>
      <c r="L81">
        <v>0</v>
      </c>
    </row>
    <row r="82" spans="1:12">
      <c r="A82" t="s">
        <v>127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 t="s">
        <v>4</v>
      </c>
      <c r="L82">
        <v>0</v>
      </c>
    </row>
    <row r="83" spans="1:12">
      <c r="A83" t="s">
        <v>128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>
        <v>0</v>
      </c>
    </row>
    <row r="84" spans="1:12">
      <c r="A84" t="s">
        <v>129</v>
      </c>
      <c r="B84">
        <v>267051</v>
      </c>
      <c r="C84">
        <v>404513</v>
      </c>
      <c r="D84">
        <v>251280</v>
      </c>
      <c r="E84">
        <v>251199</v>
      </c>
      <c r="F84">
        <v>128396</v>
      </c>
      <c r="G84">
        <v>102524</v>
      </c>
      <c r="H84">
        <v>102572</v>
      </c>
      <c r="I84">
        <v>29471</v>
      </c>
      <c r="J84">
        <v>12535</v>
      </c>
      <c r="K84">
        <v>43187</v>
      </c>
      <c r="L84">
        <v>40324</v>
      </c>
    </row>
    <row r="85" spans="1:12">
      <c r="A85" t="s">
        <v>130</v>
      </c>
      <c r="B85" t="s">
        <v>4</v>
      </c>
      <c r="C85">
        <v>170000</v>
      </c>
      <c r="D85" t="s">
        <v>4</v>
      </c>
      <c r="E85" t="s">
        <v>4</v>
      </c>
      <c r="F85">
        <v>15580</v>
      </c>
      <c r="G85">
        <v>15300</v>
      </c>
      <c r="H85">
        <v>85000</v>
      </c>
      <c r="I85" t="s">
        <v>4</v>
      </c>
      <c r="J85">
        <v>16373</v>
      </c>
      <c r="K85">
        <v>36147</v>
      </c>
      <c r="L85">
        <v>13101</v>
      </c>
    </row>
    <row r="86" spans="1:12">
      <c r="A86" t="s">
        <v>131</v>
      </c>
      <c r="B86">
        <v>2782009</v>
      </c>
      <c r="C86">
        <v>2260141</v>
      </c>
      <c r="D86">
        <v>1927327</v>
      </c>
      <c r="E86">
        <v>1323399</v>
      </c>
      <c r="F86">
        <v>1044137</v>
      </c>
      <c r="G86">
        <v>822705</v>
      </c>
      <c r="H86">
        <v>675698</v>
      </c>
      <c r="I86">
        <v>372213</v>
      </c>
      <c r="J86">
        <v>320085</v>
      </c>
      <c r="K86">
        <v>198465</v>
      </c>
      <c r="L86">
        <v>255259</v>
      </c>
    </row>
    <row r="87" spans="1:12">
      <c r="A87" t="s">
        <v>132</v>
      </c>
      <c r="B87">
        <v>632165</v>
      </c>
      <c r="C87">
        <v>933334</v>
      </c>
      <c r="D87">
        <v>1144024</v>
      </c>
      <c r="E87">
        <v>1283752</v>
      </c>
      <c r="F87">
        <v>789084</v>
      </c>
      <c r="G87">
        <v>344246</v>
      </c>
      <c r="H87">
        <v>241422</v>
      </c>
      <c r="I87">
        <v>202294</v>
      </c>
      <c r="J87">
        <v>62066</v>
      </c>
      <c r="K87">
        <v>41249</v>
      </c>
      <c r="L87">
        <v>29949</v>
      </c>
    </row>
    <row r="88" spans="1:12">
      <c r="A88" t="s">
        <v>133</v>
      </c>
      <c r="B88" t="s">
        <v>4</v>
      </c>
      <c r="C88" t="s">
        <v>4</v>
      </c>
      <c r="D88">
        <v>198000</v>
      </c>
      <c r="E88">
        <v>200000</v>
      </c>
      <c r="F88">
        <v>100000</v>
      </c>
      <c r="G88">
        <v>100000</v>
      </c>
      <c r="H88" t="s">
        <v>4</v>
      </c>
      <c r="I88" t="s">
        <v>4</v>
      </c>
      <c r="J88">
        <v>0</v>
      </c>
      <c r="K88" t="s">
        <v>4</v>
      </c>
      <c r="L88">
        <v>0</v>
      </c>
    </row>
    <row r="89" spans="1:12">
      <c r="A89" t="s">
        <v>134</v>
      </c>
      <c r="B89">
        <v>135</v>
      </c>
      <c r="C89">
        <v>271</v>
      </c>
      <c r="D89">
        <v>406</v>
      </c>
      <c r="E89">
        <v>541</v>
      </c>
      <c r="F89">
        <v>676</v>
      </c>
      <c r="G89">
        <v>812</v>
      </c>
      <c r="H89">
        <v>947</v>
      </c>
      <c r="I89">
        <v>1082</v>
      </c>
      <c r="J89">
        <v>1217</v>
      </c>
      <c r="K89">
        <v>1353</v>
      </c>
      <c r="L89">
        <v>28333</v>
      </c>
    </row>
    <row r="90" spans="1:12">
      <c r="A90" t="s">
        <v>135</v>
      </c>
      <c r="B90" t="s">
        <v>4</v>
      </c>
      <c r="C90" t="s">
        <v>4</v>
      </c>
      <c r="D90" t="s">
        <v>4</v>
      </c>
      <c r="E90" t="s">
        <v>4</v>
      </c>
      <c r="F90">
        <v>37</v>
      </c>
      <c r="G90" t="s">
        <v>4</v>
      </c>
      <c r="H90">
        <v>35</v>
      </c>
      <c r="I90" t="s">
        <v>4</v>
      </c>
      <c r="J90">
        <v>0</v>
      </c>
      <c r="K90" t="s">
        <v>4</v>
      </c>
      <c r="L90">
        <v>0</v>
      </c>
    </row>
    <row r="91" spans="1:12">
      <c r="A91" t="s">
        <v>136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t="s">
        <v>4</v>
      </c>
      <c r="H91" t="s">
        <v>4</v>
      </c>
      <c r="I91" t="s">
        <v>4</v>
      </c>
      <c r="J91">
        <v>0</v>
      </c>
      <c r="K91" t="s">
        <v>4</v>
      </c>
      <c r="L91">
        <v>0</v>
      </c>
    </row>
    <row r="92" spans="1:12">
      <c r="A92" t="s">
        <v>137</v>
      </c>
      <c r="B92">
        <v>91561</v>
      </c>
      <c r="C92">
        <v>47543</v>
      </c>
      <c r="D92">
        <v>26291</v>
      </c>
      <c r="E92">
        <v>20617</v>
      </c>
      <c r="F92" t="s">
        <v>4</v>
      </c>
      <c r="G92" t="s">
        <v>4</v>
      </c>
      <c r="H92" t="s">
        <v>4</v>
      </c>
      <c r="I92" t="s">
        <v>4</v>
      </c>
      <c r="J92">
        <v>0</v>
      </c>
      <c r="K92" t="s">
        <v>4</v>
      </c>
      <c r="L92" t="s">
        <v>4</v>
      </c>
    </row>
    <row r="93" spans="1:12">
      <c r="A93" t="s">
        <v>138</v>
      </c>
      <c r="B93">
        <v>1490</v>
      </c>
      <c r="C93">
        <v>1819</v>
      </c>
      <c r="D93">
        <v>2071</v>
      </c>
      <c r="E93">
        <v>1951</v>
      </c>
      <c r="F93">
        <v>1921</v>
      </c>
      <c r="G93">
        <v>1664</v>
      </c>
      <c r="H93">
        <v>1746</v>
      </c>
      <c r="I93">
        <v>2861</v>
      </c>
      <c r="J93">
        <v>237</v>
      </c>
      <c r="K93">
        <v>264</v>
      </c>
      <c r="L93">
        <v>290</v>
      </c>
    </row>
    <row r="94" spans="1:12">
      <c r="A94" t="s">
        <v>139</v>
      </c>
      <c r="B94" t="s">
        <v>4</v>
      </c>
      <c r="C94" t="s">
        <v>4</v>
      </c>
      <c r="D94" t="s">
        <v>4</v>
      </c>
      <c r="E94">
        <v>381</v>
      </c>
      <c r="F94">
        <v>418</v>
      </c>
      <c r="G94">
        <v>439</v>
      </c>
      <c r="H94">
        <v>459</v>
      </c>
      <c r="I94">
        <v>320</v>
      </c>
      <c r="J94">
        <v>0</v>
      </c>
      <c r="K94" t="s">
        <v>4</v>
      </c>
      <c r="L94">
        <v>1759</v>
      </c>
    </row>
    <row r="95" spans="1:12">
      <c r="A95" t="s">
        <v>140</v>
      </c>
      <c r="B95">
        <v>725351</v>
      </c>
      <c r="C95">
        <v>982967</v>
      </c>
      <c r="D95">
        <v>1370791</v>
      </c>
      <c r="E95">
        <v>1507242</v>
      </c>
      <c r="F95">
        <v>892136</v>
      </c>
      <c r="G95">
        <v>447160</v>
      </c>
      <c r="H95">
        <v>244608</v>
      </c>
      <c r="I95">
        <v>206557</v>
      </c>
      <c r="J95">
        <v>63521</v>
      </c>
      <c r="K95">
        <v>42865</v>
      </c>
      <c r="L95">
        <v>60331</v>
      </c>
    </row>
    <row r="96" spans="1:12">
      <c r="A96" t="s">
        <v>141</v>
      </c>
      <c r="B96">
        <v>3507361</v>
      </c>
      <c r="C96">
        <v>3243108</v>
      </c>
      <c r="D96">
        <v>3298118</v>
      </c>
      <c r="E96">
        <v>2830641</v>
      </c>
      <c r="F96">
        <v>1936272</v>
      </c>
      <c r="G96">
        <v>1269865</v>
      </c>
      <c r="H96">
        <v>920306</v>
      </c>
      <c r="I96">
        <v>578770</v>
      </c>
      <c r="J96">
        <v>383606</v>
      </c>
      <c r="K96">
        <v>241331</v>
      </c>
      <c r="L96">
        <v>315589</v>
      </c>
    </row>
    <row r="97" spans="1:14">
      <c r="A97" t="s">
        <v>142</v>
      </c>
      <c r="B97">
        <v>273401</v>
      </c>
      <c r="C97">
        <v>216233</v>
      </c>
      <c r="D97">
        <v>216233</v>
      </c>
      <c r="E97">
        <v>216233</v>
      </c>
      <c r="F97">
        <v>216233</v>
      </c>
      <c r="G97">
        <v>216233</v>
      </c>
      <c r="H97">
        <v>216233</v>
      </c>
      <c r="I97">
        <v>166333</v>
      </c>
      <c r="J97">
        <v>166333</v>
      </c>
      <c r="K97">
        <v>166333</v>
      </c>
      <c r="L97">
        <v>166333</v>
      </c>
    </row>
    <row r="98" spans="1:14">
      <c r="A98" t="s">
        <v>143</v>
      </c>
      <c r="B98">
        <v>239283</v>
      </c>
      <c r="C98">
        <v>4841</v>
      </c>
      <c r="D98">
        <v>4834</v>
      </c>
      <c r="E98">
        <v>4834</v>
      </c>
      <c r="F98">
        <v>3005</v>
      </c>
      <c r="G98">
        <v>3359</v>
      </c>
      <c r="H98">
        <v>4839</v>
      </c>
      <c r="I98">
        <v>10873</v>
      </c>
      <c r="J98">
        <v>4784</v>
      </c>
      <c r="K98">
        <v>4784</v>
      </c>
      <c r="L98">
        <v>3879</v>
      </c>
    </row>
    <row r="99" spans="1:14">
      <c r="A99" t="s">
        <v>144</v>
      </c>
      <c r="B99" t="s">
        <v>4</v>
      </c>
      <c r="C99" t="s">
        <v>4</v>
      </c>
      <c r="D99" t="s">
        <v>4</v>
      </c>
      <c r="E99" t="s">
        <v>4</v>
      </c>
      <c r="F99" t="s">
        <v>4</v>
      </c>
      <c r="G99" t="s">
        <v>4</v>
      </c>
      <c r="H99" t="s">
        <v>4</v>
      </c>
      <c r="I99" t="s">
        <v>4</v>
      </c>
      <c r="J99">
        <v>0</v>
      </c>
      <c r="K99" t="s">
        <v>4</v>
      </c>
      <c r="L99">
        <v>0</v>
      </c>
    </row>
    <row r="100" spans="1:14">
      <c r="A100" t="s">
        <v>145</v>
      </c>
      <c r="B100" t="s">
        <v>4</v>
      </c>
      <c r="C100" t="s">
        <v>4</v>
      </c>
      <c r="D100" t="s">
        <v>4</v>
      </c>
      <c r="E100">
        <v>70</v>
      </c>
      <c r="F100" t="s">
        <v>4</v>
      </c>
      <c r="G100" t="s">
        <v>4</v>
      </c>
      <c r="H100" t="s">
        <v>4</v>
      </c>
      <c r="I100" t="s">
        <v>4</v>
      </c>
      <c r="J100">
        <v>0</v>
      </c>
      <c r="K100" t="s">
        <v>4</v>
      </c>
      <c r="L100" t="s">
        <v>4</v>
      </c>
    </row>
    <row r="101" spans="1:14">
      <c r="A101" t="s">
        <v>146</v>
      </c>
      <c r="B101">
        <v>282317</v>
      </c>
      <c r="C101">
        <v>157931</v>
      </c>
      <c r="D101">
        <v>157931</v>
      </c>
      <c r="E101">
        <v>157931</v>
      </c>
      <c r="F101">
        <v>157931</v>
      </c>
      <c r="G101">
        <v>157931</v>
      </c>
      <c r="H101">
        <v>147799</v>
      </c>
      <c r="I101">
        <v>115025</v>
      </c>
      <c r="J101">
        <v>96371</v>
      </c>
      <c r="K101">
        <v>81842</v>
      </c>
      <c r="L101">
        <v>62163</v>
      </c>
    </row>
    <row r="102" spans="1:14">
      <c r="A102" t="s">
        <v>147</v>
      </c>
      <c r="B102" t="s">
        <v>4</v>
      </c>
      <c r="C102" t="s">
        <v>4</v>
      </c>
      <c r="D102" t="s">
        <v>4</v>
      </c>
      <c r="E102" t="s">
        <v>4</v>
      </c>
      <c r="F102" t="s">
        <v>4</v>
      </c>
      <c r="G102" t="s">
        <v>4</v>
      </c>
      <c r="H102" t="s">
        <v>4</v>
      </c>
      <c r="I102" t="s">
        <v>4</v>
      </c>
      <c r="J102">
        <v>0</v>
      </c>
      <c r="K102" t="s">
        <v>4</v>
      </c>
      <c r="L102">
        <v>0</v>
      </c>
    </row>
    <row r="103" spans="1:14">
      <c r="A103" t="s">
        <v>148</v>
      </c>
      <c r="B103" t="s">
        <v>4</v>
      </c>
      <c r="C103" t="s">
        <v>4</v>
      </c>
      <c r="D103" t="s">
        <v>4</v>
      </c>
      <c r="E103" t="s">
        <v>4</v>
      </c>
      <c r="F103" t="s">
        <v>4</v>
      </c>
      <c r="G103" t="s">
        <v>4</v>
      </c>
      <c r="H103" t="s">
        <v>4</v>
      </c>
      <c r="I103" t="s">
        <v>4</v>
      </c>
      <c r="J103">
        <v>0</v>
      </c>
      <c r="K103" t="s">
        <v>4</v>
      </c>
      <c r="L103">
        <v>0</v>
      </c>
    </row>
    <row r="104" spans="1:14">
      <c r="A104" t="s">
        <v>149</v>
      </c>
      <c r="B104">
        <v>1932001</v>
      </c>
      <c r="C104">
        <v>1102392</v>
      </c>
      <c r="D104">
        <v>777697</v>
      </c>
      <c r="E104">
        <v>681592</v>
      </c>
      <c r="F104">
        <v>591019</v>
      </c>
      <c r="G104">
        <v>453241</v>
      </c>
      <c r="H104">
        <v>358225</v>
      </c>
      <c r="I104">
        <v>322043</v>
      </c>
      <c r="J104">
        <v>237576</v>
      </c>
      <c r="K104">
        <v>228634</v>
      </c>
      <c r="L104">
        <v>159963</v>
      </c>
    </row>
    <row r="105" spans="1:14">
      <c r="A105" t="s">
        <v>150</v>
      </c>
      <c r="B105" t="s">
        <v>4</v>
      </c>
      <c r="C105" t="s">
        <v>4</v>
      </c>
      <c r="D105" t="s">
        <v>4</v>
      </c>
      <c r="E105" t="s">
        <v>4</v>
      </c>
      <c r="F105" t="s">
        <v>4</v>
      </c>
      <c r="G105" t="s">
        <v>4</v>
      </c>
      <c r="H105" t="s">
        <v>4</v>
      </c>
      <c r="I105" t="s">
        <v>4</v>
      </c>
      <c r="J105">
        <v>0</v>
      </c>
      <c r="K105" t="s">
        <v>4</v>
      </c>
      <c r="L105">
        <v>0</v>
      </c>
    </row>
    <row r="106" spans="1:14">
      <c r="A106" t="s">
        <v>151</v>
      </c>
      <c r="B106" t="s">
        <v>4</v>
      </c>
      <c r="C106" t="s">
        <v>4</v>
      </c>
      <c r="D106" t="s">
        <v>4</v>
      </c>
      <c r="E106" t="s">
        <v>4</v>
      </c>
      <c r="F106">
        <v>-397</v>
      </c>
      <c r="G106">
        <v>-326</v>
      </c>
      <c r="H106">
        <v>-349</v>
      </c>
      <c r="I106">
        <v>374</v>
      </c>
      <c r="J106">
        <v>59</v>
      </c>
      <c r="K106">
        <v>153</v>
      </c>
      <c r="L106">
        <v>64</v>
      </c>
    </row>
    <row r="107" spans="1:14">
      <c r="A107" t="s">
        <v>152</v>
      </c>
      <c r="B107">
        <v>2727954</v>
      </c>
      <c r="C107">
        <v>1482159</v>
      </c>
      <c r="D107">
        <v>1157097</v>
      </c>
      <c r="E107">
        <v>1059408</v>
      </c>
      <c r="F107">
        <v>967792</v>
      </c>
      <c r="G107">
        <v>830439</v>
      </c>
      <c r="H107">
        <v>726748</v>
      </c>
      <c r="I107">
        <v>614648</v>
      </c>
      <c r="J107">
        <v>505124</v>
      </c>
      <c r="K107">
        <v>481746</v>
      </c>
      <c r="L107">
        <v>392402</v>
      </c>
    </row>
    <row r="108" spans="1:14">
      <c r="A108" t="s">
        <v>153</v>
      </c>
      <c r="B108">
        <v>347459</v>
      </c>
      <c r="C108">
        <v>351235</v>
      </c>
      <c r="D108">
        <v>325226</v>
      </c>
      <c r="E108">
        <v>269159</v>
      </c>
      <c r="F108">
        <v>210303</v>
      </c>
      <c r="G108">
        <v>153842</v>
      </c>
      <c r="H108">
        <v>94814</v>
      </c>
      <c r="I108">
        <v>100874</v>
      </c>
      <c r="J108">
        <v>77388</v>
      </c>
      <c r="K108">
        <v>63196</v>
      </c>
      <c r="L108">
        <v>51446</v>
      </c>
    </row>
    <row r="109" spans="1:14">
      <c r="A109" t="s">
        <v>154</v>
      </c>
      <c r="B109">
        <v>3075413</v>
      </c>
      <c r="C109">
        <v>1833394</v>
      </c>
      <c r="D109">
        <v>1482323</v>
      </c>
      <c r="E109">
        <v>1328568</v>
      </c>
      <c r="F109">
        <v>1178096</v>
      </c>
      <c r="G109">
        <v>984281</v>
      </c>
      <c r="H109">
        <v>821562</v>
      </c>
      <c r="I109">
        <v>715522</v>
      </c>
      <c r="J109">
        <v>582512</v>
      </c>
      <c r="K109">
        <v>544941</v>
      </c>
      <c r="L109">
        <v>443848</v>
      </c>
    </row>
    <row r="110" spans="1:14">
      <c r="A110" t="s">
        <v>155</v>
      </c>
      <c r="B110">
        <v>6582773</v>
      </c>
      <c r="C110">
        <v>5076502</v>
      </c>
      <c r="D110">
        <v>4780442</v>
      </c>
      <c r="E110">
        <v>4159209</v>
      </c>
      <c r="F110">
        <v>3114368</v>
      </c>
      <c r="G110">
        <v>2254146</v>
      </c>
      <c r="H110">
        <v>1741868</v>
      </c>
      <c r="I110">
        <v>1294292</v>
      </c>
      <c r="J110">
        <v>966118</v>
      </c>
      <c r="K110">
        <v>786272</v>
      </c>
      <c r="L110">
        <v>759437</v>
      </c>
      <c r="N110" t="s">
        <v>156</v>
      </c>
    </row>
    <row r="111" spans="1:14">
      <c r="A111" t="s">
        <v>157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M47"/>
  <sheetViews>
    <sheetView topLeftCell="A16" workbookViewId="0">
      <selection activeCell="A57" sqref="A57"/>
    </sheetView>
  </sheetViews>
  <sheetFormatPr defaultRowHeight="13.5"/>
  <cols>
    <col min="1" max="1" width="38.12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</cols>
  <sheetData>
    <row r="1" spans="1:13">
      <c r="A1">
        <v>600309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1</v>
      </c>
      <c r="B3">
        <v>5312317</v>
      </c>
      <c r="C3">
        <v>3009986</v>
      </c>
      <c r="D3">
        <v>1949238</v>
      </c>
      <c r="E3">
        <v>2208837</v>
      </c>
      <c r="F3">
        <v>2023797</v>
      </c>
      <c r="G3">
        <v>1594213</v>
      </c>
      <c r="H3">
        <v>1366231</v>
      </c>
      <c r="I3">
        <v>942978</v>
      </c>
      <c r="J3">
        <v>649292</v>
      </c>
      <c r="K3">
        <v>770439</v>
      </c>
      <c r="L3">
        <v>780358</v>
      </c>
      <c r="M3">
        <v>494633</v>
      </c>
    </row>
    <row r="4" spans="1:13">
      <c r="A4" t="s">
        <v>2</v>
      </c>
      <c r="B4">
        <v>5312317</v>
      </c>
      <c r="C4">
        <v>3009986</v>
      </c>
      <c r="D4">
        <v>1949238</v>
      </c>
      <c r="E4">
        <v>2208837</v>
      </c>
      <c r="F4">
        <v>2023797</v>
      </c>
      <c r="G4">
        <v>1594213</v>
      </c>
      <c r="H4">
        <v>1366231</v>
      </c>
      <c r="I4">
        <v>942978</v>
      </c>
      <c r="J4">
        <v>649292</v>
      </c>
      <c r="K4">
        <v>770439</v>
      </c>
      <c r="L4">
        <v>780358</v>
      </c>
      <c r="M4">
        <v>494633</v>
      </c>
    </row>
    <row r="5" spans="1:13">
      <c r="A5" t="s">
        <v>3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 t="s">
        <v>4</v>
      </c>
      <c r="K5" t="s">
        <v>4</v>
      </c>
      <c r="L5">
        <v>0</v>
      </c>
      <c r="M5">
        <v>0</v>
      </c>
    </row>
    <row r="6" spans="1:13">
      <c r="A6" t="s">
        <v>5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 t="s">
        <v>4</v>
      </c>
      <c r="K6" t="s">
        <v>4</v>
      </c>
      <c r="L6">
        <v>0</v>
      </c>
      <c r="M6">
        <v>0</v>
      </c>
    </row>
    <row r="7" spans="1:13">
      <c r="A7" t="s">
        <v>6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 t="s">
        <v>4</v>
      </c>
      <c r="K7" t="s">
        <v>4</v>
      </c>
      <c r="L7">
        <v>0</v>
      </c>
      <c r="M7">
        <v>0</v>
      </c>
    </row>
    <row r="8" spans="1:13">
      <c r="A8" t="s">
        <v>7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 t="s">
        <v>4</v>
      </c>
      <c r="K8" t="s">
        <v>4</v>
      </c>
      <c r="L8">
        <v>0</v>
      </c>
      <c r="M8">
        <v>0</v>
      </c>
    </row>
    <row r="9" spans="1:13">
      <c r="A9" t="s">
        <v>8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 t="s">
        <v>4</v>
      </c>
      <c r="K9" t="s">
        <v>4</v>
      </c>
      <c r="L9">
        <v>0</v>
      </c>
      <c r="M9">
        <v>0</v>
      </c>
    </row>
    <row r="10" spans="1:13">
      <c r="A10" t="s">
        <v>9</v>
      </c>
      <c r="B10">
        <v>3719291</v>
      </c>
      <c r="C10">
        <v>2450209</v>
      </c>
      <c r="D10">
        <v>1667729</v>
      </c>
      <c r="E10">
        <v>1794526</v>
      </c>
      <c r="F10">
        <v>1597656</v>
      </c>
      <c r="G10">
        <v>1233523</v>
      </c>
      <c r="H10">
        <v>1093229</v>
      </c>
      <c r="I10">
        <v>794575</v>
      </c>
      <c r="J10">
        <v>538238</v>
      </c>
      <c r="K10">
        <v>605517</v>
      </c>
      <c r="L10">
        <v>558666</v>
      </c>
      <c r="M10">
        <v>366745</v>
      </c>
    </row>
    <row r="11" spans="1:13">
      <c r="A11" t="s">
        <v>10</v>
      </c>
      <c r="B11">
        <v>3203325</v>
      </c>
      <c r="C11">
        <v>2074481</v>
      </c>
      <c r="D11">
        <v>1361997</v>
      </c>
      <c r="E11">
        <v>1526964</v>
      </c>
      <c r="F11">
        <v>1358295</v>
      </c>
      <c r="G11">
        <v>1038187</v>
      </c>
      <c r="H11">
        <v>948866</v>
      </c>
      <c r="I11">
        <v>704151</v>
      </c>
      <c r="J11">
        <v>460677</v>
      </c>
      <c r="K11">
        <v>529420</v>
      </c>
      <c r="L11">
        <v>465170</v>
      </c>
      <c r="M11">
        <v>317771</v>
      </c>
    </row>
    <row r="12" spans="1:13">
      <c r="A12" t="s">
        <v>11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 t="s">
        <v>4</v>
      </c>
      <c r="K12" t="s">
        <v>4</v>
      </c>
      <c r="L12">
        <v>0</v>
      </c>
      <c r="M12">
        <v>0</v>
      </c>
    </row>
    <row r="13" spans="1:13">
      <c r="A13" t="s">
        <v>12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 t="s">
        <v>4</v>
      </c>
      <c r="K13" t="s">
        <v>4</v>
      </c>
      <c r="L13">
        <v>0</v>
      </c>
      <c r="M13">
        <v>0</v>
      </c>
    </row>
    <row r="14" spans="1:13">
      <c r="A14" t="s">
        <v>13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 t="s">
        <v>4</v>
      </c>
      <c r="K14" t="s">
        <v>4</v>
      </c>
      <c r="L14">
        <v>0</v>
      </c>
      <c r="M14">
        <v>0</v>
      </c>
    </row>
    <row r="15" spans="1:13">
      <c r="A15" t="s">
        <v>14</v>
      </c>
      <c r="B15" t="s">
        <v>4</v>
      </c>
      <c r="C15" t="s">
        <v>4</v>
      </c>
      <c r="D15" t="s">
        <v>4</v>
      </c>
      <c r="E15" t="s">
        <v>4</v>
      </c>
      <c r="F15" t="s">
        <v>4</v>
      </c>
      <c r="G15" t="s">
        <v>4</v>
      </c>
      <c r="H15" t="s">
        <v>4</v>
      </c>
      <c r="I15" t="s">
        <v>4</v>
      </c>
      <c r="J15" t="s">
        <v>4</v>
      </c>
      <c r="K15" t="s">
        <v>4</v>
      </c>
      <c r="L15">
        <v>0</v>
      </c>
      <c r="M15">
        <v>0</v>
      </c>
    </row>
    <row r="16" spans="1:13">
      <c r="A16" t="s">
        <v>15</v>
      </c>
      <c r="B16" t="s">
        <v>4</v>
      </c>
      <c r="C16" t="s">
        <v>4</v>
      </c>
      <c r="D16" t="s">
        <v>4</v>
      </c>
      <c r="E16" t="s">
        <v>4</v>
      </c>
      <c r="F16" t="s">
        <v>4</v>
      </c>
      <c r="G16" t="s">
        <v>4</v>
      </c>
      <c r="H16" t="s">
        <v>4</v>
      </c>
      <c r="I16" t="s">
        <v>4</v>
      </c>
      <c r="J16" t="s">
        <v>4</v>
      </c>
      <c r="K16" t="s">
        <v>4</v>
      </c>
      <c r="L16">
        <v>0</v>
      </c>
      <c r="M16">
        <v>0</v>
      </c>
    </row>
    <row r="17" spans="1:13">
      <c r="A17" t="s">
        <v>16</v>
      </c>
      <c r="B17" t="s">
        <v>4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 t="s">
        <v>4</v>
      </c>
      <c r="K17" t="s">
        <v>4</v>
      </c>
      <c r="L17">
        <v>0</v>
      </c>
      <c r="M17">
        <v>0</v>
      </c>
    </row>
    <row r="18" spans="1:13">
      <c r="A18" t="s">
        <v>17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 t="s">
        <v>4</v>
      </c>
      <c r="K18" t="s">
        <v>4</v>
      </c>
      <c r="L18">
        <v>0</v>
      </c>
      <c r="M18">
        <v>0</v>
      </c>
    </row>
    <row r="19" spans="1:13">
      <c r="A19" t="s">
        <v>18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 t="s">
        <v>4</v>
      </c>
      <c r="K19" t="s">
        <v>4</v>
      </c>
      <c r="L19">
        <v>0</v>
      </c>
      <c r="M19">
        <v>0</v>
      </c>
    </row>
    <row r="20" spans="1:13">
      <c r="A20" t="s">
        <v>19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 t="s">
        <v>4</v>
      </c>
      <c r="K20" t="s">
        <v>4</v>
      </c>
      <c r="L20">
        <v>0</v>
      </c>
      <c r="M20">
        <v>0</v>
      </c>
    </row>
    <row r="21" spans="1:13">
      <c r="A21" t="s">
        <v>20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 t="s">
        <v>4</v>
      </c>
      <c r="K21" t="s">
        <v>4</v>
      </c>
      <c r="L21">
        <v>0</v>
      </c>
      <c r="M21">
        <v>0</v>
      </c>
    </row>
    <row r="22" spans="1:13">
      <c r="A22" t="s">
        <v>21</v>
      </c>
      <c r="B22">
        <v>47538</v>
      </c>
      <c r="C22">
        <v>20376</v>
      </c>
      <c r="D22">
        <v>9565</v>
      </c>
      <c r="E22">
        <v>10772</v>
      </c>
      <c r="F22">
        <v>12499</v>
      </c>
      <c r="G22">
        <v>8820</v>
      </c>
      <c r="H22">
        <v>6057</v>
      </c>
      <c r="I22">
        <v>2728</v>
      </c>
      <c r="J22">
        <v>2750</v>
      </c>
      <c r="K22">
        <v>4855</v>
      </c>
      <c r="L22">
        <v>6665</v>
      </c>
      <c r="M22">
        <v>3547</v>
      </c>
    </row>
    <row r="23" spans="1:13">
      <c r="A23" t="s">
        <v>22</v>
      </c>
      <c r="B23">
        <v>141700</v>
      </c>
      <c r="C23">
        <v>116598</v>
      </c>
      <c r="D23">
        <v>84727</v>
      </c>
      <c r="E23">
        <v>70043</v>
      </c>
      <c r="F23">
        <v>59585</v>
      </c>
      <c r="G23">
        <v>48642</v>
      </c>
      <c r="H23">
        <v>38673</v>
      </c>
      <c r="I23">
        <v>27362</v>
      </c>
      <c r="J23">
        <v>23523</v>
      </c>
      <c r="K23">
        <v>20714</v>
      </c>
      <c r="L23">
        <v>22352</v>
      </c>
      <c r="M23">
        <v>12672</v>
      </c>
    </row>
    <row r="24" spans="1:13">
      <c r="A24" t="s">
        <v>23</v>
      </c>
      <c r="B24">
        <v>203457</v>
      </c>
      <c r="C24">
        <v>142328</v>
      </c>
      <c r="D24">
        <v>128152</v>
      </c>
      <c r="E24">
        <v>135889</v>
      </c>
      <c r="F24">
        <v>138819</v>
      </c>
      <c r="G24">
        <v>105420</v>
      </c>
      <c r="H24">
        <v>85173</v>
      </c>
      <c r="I24">
        <v>53573</v>
      </c>
      <c r="J24">
        <v>44967</v>
      </c>
      <c r="K24">
        <v>45419</v>
      </c>
      <c r="L24">
        <v>57119</v>
      </c>
      <c r="M24">
        <v>30472</v>
      </c>
    </row>
    <row r="25" spans="1:13">
      <c r="A25" t="s">
        <v>24</v>
      </c>
      <c r="B25">
        <v>92939</v>
      </c>
      <c r="C25">
        <v>88995</v>
      </c>
      <c r="D25">
        <v>84124</v>
      </c>
      <c r="E25">
        <v>43432</v>
      </c>
      <c r="F25">
        <v>25767</v>
      </c>
      <c r="G25">
        <v>28941</v>
      </c>
      <c r="H25">
        <v>14954</v>
      </c>
      <c r="I25">
        <v>3513</v>
      </c>
      <c r="J25">
        <v>5352</v>
      </c>
      <c r="K25">
        <v>5084</v>
      </c>
      <c r="L25">
        <v>5371</v>
      </c>
      <c r="M25">
        <v>1077</v>
      </c>
    </row>
    <row r="26" spans="1:13">
      <c r="A26" t="s">
        <v>25</v>
      </c>
      <c r="B26">
        <v>30332</v>
      </c>
      <c r="C26">
        <v>7430</v>
      </c>
      <c r="D26">
        <v>-835</v>
      </c>
      <c r="E26">
        <v>7427</v>
      </c>
      <c r="F26">
        <v>2691</v>
      </c>
      <c r="G26">
        <v>3513</v>
      </c>
      <c r="H26">
        <v>-494</v>
      </c>
      <c r="I26">
        <v>3247</v>
      </c>
      <c r="J26">
        <v>970</v>
      </c>
      <c r="K26">
        <v>25</v>
      </c>
      <c r="L26">
        <v>1988</v>
      </c>
      <c r="M26">
        <v>1207</v>
      </c>
    </row>
    <row r="27" spans="1:13">
      <c r="A27" t="s">
        <v>26</v>
      </c>
      <c r="B27" t="s">
        <v>4</v>
      </c>
      <c r="C27" t="s">
        <v>4</v>
      </c>
      <c r="D27">
        <v>-347</v>
      </c>
      <c r="E27">
        <v>347</v>
      </c>
      <c r="F27">
        <v>1602</v>
      </c>
      <c r="G27">
        <v>267</v>
      </c>
      <c r="H27">
        <v>-944</v>
      </c>
      <c r="I27">
        <v>-1478</v>
      </c>
      <c r="J27">
        <v>552</v>
      </c>
      <c r="K27">
        <v>-85</v>
      </c>
      <c r="L27">
        <v>-437</v>
      </c>
      <c r="M27">
        <v>207</v>
      </c>
    </row>
    <row r="28" spans="1:13">
      <c r="A28" t="s">
        <v>27</v>
      </c>
      <c r="B28">
        <v>12556</v>
      </c>
      <c r="C28">
        <v>5275</v>
      </c>
      <c r="D28">
        <v>339</v>
      </c>
      <c r="E28">
        <v>-126</v>
      </c>
      <c r="F28">
        <v>-1652</v>
      </c>
      <c r="G28">
        <v>437</v>
      </c>
      <c r="H28">
        <v>995</v>
      </c>
      <c r="I28">
        <v>20341</v>
      </c>
      <c r="J28">
        <v>2303</v>
      </c>
      <c r="K28">
        <v>491</v>
      </c>
      <c r="L28">
        <v>14826</v>
      </c>
      <c r="M28">
        <v>1425</v>
      </c>
    </row>
    <row r="29" spans="1:13">
      <c r="A29" t="s">
        <v>28</v>
      </c>
      <c r="B29">
        <v>10456</v>
      </c>
      <c r="C29">
        <v>2277</v>
      </c>
      <c r="D29">
        <v>-261</v>
      </c>
      <c r="E29">
        <v>-332</v>
      </c>
      <c r="F29">
        <v>-199</v>
      </c>
      <c r="G29">
        <v>5</v>
      </c>
      <c r="H29">
        <v>-1</v>
      </c>
      <c r="I29">
        <v>2286</v>
      </c>
      <c r="J29">
        <v>1451</v>
      </c>
      <c r="K29">
        <v>1181</v>
      </c>
      <c r="L29">
        <v>0</v>
      </c>
      <c r="M29">
        <v>0</v>
      </c>
    </row>
    <row r="30" spans="1:13">
      <c r="A30" t="s">
        <v>29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 t="s">
        <v>4</v>
      </c>
      <c r="K30" t="s">
        <v>4</v>
      </c>
      <c r="L30">
        <v>0</v>
      </c>
      <c r="M30">
        <v>0</v>
      </c>
    </row>
    <row r="31" spans="1:13">
      <c r="A31" t="s">
        <v>30</v>
      </c>
      <c r="B31" t="s">
        <v>4</v>
      </c>
      <c r="C31" t="s">
        <v>4</v>
      </c>
      <c r="D31" t="s">
        <v>4</v>
      </c>
      <c r="E31" t="s">
        <v>4</v>
      </c>
      <c r="F31" t="s">
        <v>4</v>
      </c>
      <c r="G31" t="s">
        <v>4</v>
      </c>
      <c r="H31" t="s">
        <v>4</v>
      </c>
      <c r="I31" t="s">
        <v>4</v>
      </c>
      <c r="J31" t="s">
        <v>4</v>
      </c>
      <c r="K31" t="s">
        <v>4</v>
      </c>
      <c r="L31">
        <v>0</v>
      </c>
      <c r="M31">
        <v>0</v>
      </c>
    </row>
    <row r="32" spans="1:13">
      <c r="A32" t="s">
        <v>31</v>
      </c>
      <c r="B32" t="s">
        <v>4</v>
      </c>
      <c r="C32" t="s">
        <v>4</v>
      </c>
      <c r="D32" t="s">
        <v>4</v>
      </c>
      <c r="E32" t="s">
        <v>4</v>
      </c>
      <c r="F32" t="s">
        <v>4</v>
      </c>
      <c r="G32" t="s">
        <v>4</v>
      </c>
      <c r="H32" t="s">
        <v>4</v>
      </c>
      <c r="I32" t="s">
        <v>4</v>
      </c>
      <c r="J32" t="s">
        <v>4</v>
      </c>
      <c r="K32" t="s">
        <v>4</v>
      </c>
      <c r="L32">
        <v>0</v>
      </c>
      <c r="M32">
        <v>0</v>
      </c>
    </row>
    <row r="33" spans="1:13">
      <c r="A33" t="s">
        <v>32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 t="s">
        <v>4</v>
      </c>
      <c r="K33" t="s">
        <v>4</v>
      </c>
      <c r="L33">
        <v>0</v>
      </c>
      <c r="M33">
        <v>0</v>
      </c>
    </row>
    <row r="34" spans="1:13">
      <c r="A34" t="s">
        <v>33</v>
      </c>
      <c r="B34" t="s">
        <v>4</v>
      </c>
      <c r="C34" t="s">
        <v>4</v>
      </c>
      <c r="D34" t="s">
        <v>4</v>
      </c>
      <c r="E34" t="s">
        <v>4</v>
      </c>
      <c r="F34" t="s">
        <v>4</v>
      </c>
      <c r="G34" t="s">
        <v>4</v>
      </c>
      <c r="H34" t="s">
        <v>4</v>
      </c>
      <c r="I34" t="s">
        <v>4</v>
      </c>
      <c r="J34" t="s">
        <v>4</v>
      </c>
      <c r="K34" t="s">
        <v>4</v>
      </c>
      <c r="L34">
        <v>0</v>
      </c>
      <c r="M34">
        <v>0</v>
      </c>
    </row>
    <row r="35" spans="1:13">
      <c r="A35" t="s">
        <v>34</v>
      </c>
      <c r="B35">
        <v>1695930</v>
      </c>
      <c r="C35">
        <v>565053</v>
      </c>
      <c r="D35">
        <v>281501</v>
      </c>
      <c r="E35">
        <v>414531</v>
      </c>
      <c r="F35">
        <v>426091</v>
      </c>
      <c r="G35">
        <v>361394</v>
      </c>
      <c r="H35">
        <v>273052</v>
      </c>
      <c r="I35">
        <v>167266</v>
      </c>
      <c r="J35">
        <v>113909</v>
      </c>
      <c r="K35">
        <v>165329</v>
      </c>
      <c r="L35">
        <v>236081</v>
      </c>
      <c r="M35">
        <v>129521</v>
      </c>
    </row>
    <row r="36" spans="1:13">
      <c r="A36" t="s">
        <v>35</v>
      </c>
      <c r="B36">
        <v>1868</v>
      </c>
      <c r="C36">
        <v>8975</v>
      </c>
      <c r="D36">
        <v>30231</v>
      </c>
      <c r="E36">
        <v>26499</v>
      </c>
      <c r="F36">
        <v>19876</v>
      </c>
      <c r="G36">
        <v>12585</v>
      </c>
      <c r="H36">
        <v>10365</v>
      </c>
      <c r="I36">
        <v>26740</v>
      </c>
      <c r="J36">
        <v>32245</v>
      </c>
      <c r="K36">
        <v>38378</v>
      </c>
      <c r="L36">
        <v>12834</v>
      </c>
      <c r="M36">
        <v>1713</v>
      </c>
    </row>
    <row r="37" spans="1:13">
      <c r="A37" t="s">
        <v>36</v>
      </c>
      <c r="B37">
        <v>22825</v>
      </c>
      <c r="C37">
        <v>8720</v>
      </c>
      <c r="D37">
        <v>16288</v>
      </c>
      <c r="E37">
        <v>24178</v>
      </c>
      <c r="F37">
        <v>3399</v>
      </c>
      <c r="G37">
        <v>17387</v>
      </c>
      <c r="H37">
        <v>1922</v>
      </c>
      <c r="I37">
        <v>239</v>
      </c>
      <c r="J37">
        <v>1154</v>
      </c>
      <c r="K37">
        <v>1141</v>
      </c>
      <c r="L37">
        <v>694</v>
      </c>
      <c r="M37">
        <v>107</v>
      </c>
    </row>
    <row r="38" spans="1:13">
      <c r="A38" t="s">
        <v>37</v>
      </c>
      <c r="B38" t="s">
        <v>4</v>
      </c>
      <c r="C38">
        <v>8537</v>
      </c>
      <c r="D38">
        <v>16022</v>
      </c>
      <c r="E38">
        <v>22300</v>
      </c>
      <c r="F38">
        <v>3014</v>
      </c>
      <c r="G38">
        <v>17103</v>
      </c>
      <c r="H38">
        <v>1605</v>
      </c>
      <c r="I38">
        <v>35</v>
      </c>
      <c r="J38">
        <v>1070</v>
      </c>
      <c r="K38">
        <v>1013</v>
      </c>
      <c r="L38">
        <v>573</v>
      </c>
      <c r="M38">
        <v>93</v>
      </c>
    </row>
    <row r="39" spans="1:13">
      <c r="A39" t="s">
        <v>38</v>
      </c>
      <c r="B39">
        <v>1674974</v>
      </c>
      <c r="C39">
        <v>565308</v>
      </c>
      <c r="D39">
        <v>295445</v>
      </c>
      <c r="E39">
        <v>416853</v>
      </c>
      <c r="F39">
        <v>442568</v>
      </c>
      <c r="G39">
        <v>356592</v>
      </c>
      <c r="H39">
        <v>281495</v>
      </c>
      <c r="I39">
        <v>193767</v>
      </c>
      <c r="J39">
        <v>145000</v>
      </c>
      <c r="K39">
        <v>202566</v>
      </c>
      <c r="L39">
        <v>248221</v>
      </c>
      <c r="M39">
        <v>131127</v>
      </c>
    </row>
    <row r="40" spans="1:13">
      <c r="A40" t="s">
        <v>39</v>
      </c>
      <c r="B40">
        <v>344042</v>
      </c>
      <c r="C40">
        <v>110501</v>
      </c>
      <c r="D40">
        <v>67489</v>
      </c>
      <c r="E40">
        <v>95098</v>
      </c>
      <c r="F40">
        <v>65990</v>
      </c>
      <c r="G40">
        <v>54598</v>
      </c>
      <c r="H40">
        <v>41954</v>
      </c>
      <c r="I40">
        <v>21691</v>
      </c>
      <c r="J40">
        <v>17028</v>
      </c>
      <c r="K40">
        <v>26756</v>
      </c>
      <c r="L40">
        <v>78535</v>
      </c>
      <c r="M40">
        <v>35451</v>
      </c>
    </row>
    <row r="41" spans="1:13">
      <c r="A41" t="s">
        <v>40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 t="s">
        <v>4</v>
      </c>
      <c r="K41" t="s">
        <v>4</v>
      </c>
      <c r="L41">
        <v>0</v>
      </c>
      <c r="M41">
        <v>0</v>
      </c>
    </row>
    <row r="42" spans="1:13">
      <c r="A42" t="s">
        <v>41</v>
      </c>
      <c r="B42">
        <v>1330932</v>
      </c>
      <c r="C42">
        <v>454807</v>
      </c>
      <c r="D42">
        <v>227956</v>
      </c>
      <c r="E42">
        <v>321755</v>
      </c>
      <c r="F42">
        <v>376578</v>
      </c>
      <c r="G42">
        <v>301994</v>
      </c>
      <c r="H42">
        <v>239541</v>
      </c>
      <c r="I42">
        <v>172075</v>
      </c>
      <c r="J42">
        <v>127972</v>
      </c>
      <c r="K42">
        <v>175810</v>
      </c>
      <c r="L42">
        <v>169686</v>
      </c>
      <c r="M42">
        <v>95675</v>
      </c>
    </row>
    <row r="43" spans="1:13">
      <c r="A43" t="s">
        <v>42</v>
      </c>
      <c r="B43">
        <v>1113479</v>
      </c>
      <c r="C43">
        <v>367942</v>
      </c>
      <c r="D43">
        <v>160974</v>
      </c>
      <c r="E43">
        <v>241937</v>
      </c>
      <c r="F43">
        <v>289141</v>
      </c>
      <c r="G43">
        <v>234888</v>
      </c>
      <c r="H43">
        <v>185390</v>
      </c>
      <c r="I43">
        <v>153021</v>
      </c>
      <c r="J43">
        <v>106638</v>
      </c>
      <c r="K43">
        <v>150974</v>
      </c>
      <c r="L43">
        <v>148134</v>
      </c>
      <c r="M43">
        <v>86347</v>
      </c>
    </row>
    <row r="44" spans="1:13">
      <c r="A44" t="s">
        <v>43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 t="s">
        <v>4</v>
      </c>
      <c r="K44" t="s">
        <v>4</v>
      </c>
      <c r="L44" t="s">
        <v>4</v>
      </c>
      <c r="M44" t="s">
        <v>4</v>
      </c>
    </row>
    <row r="45" spans="1:13">
      <c r="A45" t="s">
        <v>44</v>
      </c>
      <c r="B45">
        <v>217453</v>
      </c>
      <c r="C45">
        <v>86865</v>
      </c>
      <c r="D45">
        <v>66982</v>
      </c>
      <c r="E45">
        <v>79818</v>
      </c>
      <c r="F45">
        <v>87437</v>
      </c>
      <c r="G45">
        <v>67106</v>
      </c>
      <c r="H45">
        <v>54151</v>
      </c>
      <c r="I45">
        <v>19055</v>
      </c>
      <c r="J45">
        <v>21334</v>
      </c>
      <c r="K45">
        <v>24836</v>
      </c>
      <c r="L45">
        <v>21552</v>
      </c>
      <c r="M45">
        <v>9328</v>
      </c>
    </row>
    <row r="46" spans="1:13">
      <c r="A46" t="s">
        <v>45</v>
      </c>
      <c r="B46">
        <v>4.09</v>
      </c>
      <c r="C46">
        <v>1.7</v>
      </c>
      <c r="D46">
        <v>0.74</v>
      </c>
      <c r="E46">
        <v>1.1200000000000001</v>
      </c>
      <c r="F46">
        <v>1.34</v>
      </c>
      <c r="G46">
        <v>1.0900000000000001</v>
      </c>
      <c r="H46">
        <v>0.86</v>
      </c>
      <c r="I46">
        <v>0.92</v>
      </c>
      <c r="J46">
        <v>0.64</v>
      </c>
      <c r="K46">
        <v>0.91</v>
      </c>
      <c r="L46">
        <v>0.89</v>
      </c>
      <c r="M46">
        <v>0.52</v>
      </c>
    </row>
    <row r="47" spans="1:13">
      <c r="A47" t="s">
        <v>46</v>
      </c>
      <c r="B47" t="s">
        <v>4</v>
      </c>
      <c r="C47" t="s">
        <v>4</v>
      </c>
      <c r="D47" t="s">
        <v>4</v>
      </c>
      <c r="E47" t="s">
        <v>4</v>
      </c>
      <c r="F47">
        <v>1.34</v>
      </c>
      <c r="G47">
        <v>1.0900000000000001</v>
      </c>
      <c r="H47" t="s">
        <v>4</v>
      </c>
      <c r="I47" t="s">
        <v>4</v>
      </c>
      <c r="J47" t="s">
        <v>4</v>
      </c>
      <c r="K47" t="s">
        <v>4</v>
      </c>
      <c r="L47">
        <v>0</v>
      </c>
      <c r="M47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N91"/>
  <sheetViews>
    <sheetView topLeftCell="A10" workbookViewId="0">
      <selection activeCell="A10" sqref="A10"/>
    </sheetView>
  </sheetViews>
  <sheetFormatPr defaultRowHeight="13.5"/>
  <cols>
    <col min="1" max="1" width="62.125" bestFit="1" customWidth="1"/>
    <col min="2" max="13" width="11.625" bestFit="1" customWidth="1"/>
    <col min="14" max="14" width="2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2.5" bestFit="1" customWidth="1"/>
  </cols>
  <sheetData>
    <row r="1" spans="1:14">
      <c r="A1">
        <v>600309</v>
      </c>
    </row>
    <row r="2" spans="1:14">
      <c r="A2" t="s">
        <v>158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  <c r="N2" t="s">
        <v>159</v>
      </c>
    </row>
    <row r="3" spans="1:14">
      <c r="A3" t="s">
        <v>160</v>
      </c>
      <c r="B3">
        <v>6153506</v>
      </c>
      <c r="C3">
        <v>3701264</v>
      </c>
      <c r="D3">
        <v>2598190</v>
      </c>
      <c r="E3">
        <v>2978090</v>
      </c>
      <c r="F3">
        <v>2543471</v>
      </c>
      <c r="G3">
        <v>1868501</v>
      </c>
      <c r="H3">
        <v>1591885</v>
      </c>
      <c r="I3">
        <v>1043742</v>
      </c>
      <c r="J3">
        <v>795997</v>
      </c>
      <c r="K3">
        <v>952718</v>
      </c>
      <c r="L3">
        <v>879186</v>
      </c>
      <c r="M3">
        <v>537795</v>
      </c>
      <c r="N3" t="s">
        <v>159</v>
      </c>
    </row>
    <row r="4" spans="1:14">
      <c r="A4" t="s">
        <v>161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 t="s">
        <v>4</v>
      </c>
      <c r="K4">
        <v>0</v>
      </c>
      <c r="L4">
        <v>0</v>
      </c>
      <c r="M4">
        <v>0</v>
      </c>
      <c r="N4" t="s">
        <v>159</v>
      </c>
    </row>
    <row r="5" spans="1:14">
      <c r="A5" t="s">
        <v>162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 t="s">
        <v>4</v>
      </c>
      <c r="K5">
        <v>0</v>
      </c>
      <c r="L5">
        <v>0</v>
      </c>
      <c r="M5">
        <v>0</v>
      </c>
      <c r="N5" t="s">
        <v>159</v>
      </c>
    </row>
    <row r="6" spans="1:14">
      <c r="A6" t="s">
        <v>163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 t="s">
        <v>4</v>
      </c>
      <c r="K6">
        <v>0</v>
      </c>
      <c r="L6">
        <v>0</v>
      </c>
      <c r="M6">
        <v>0</v>
      </c>
      <c r="N6" t="s">
        <v>159</v>
      </c>
    </row>
    <row r="7" spans="1:14">
      <c r="A7" t="s">
        <v>164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 t="s">
        <v>4</v>
      </c>
      <c r="K7">
        <v>0</v>
      </c>
      <c r="L7">
        <v>0</v>
      </c>
      <c r="M7">
        <v>0</v>
      </c>
      <c r="N7" t="s">
        <v>159</v>
      </c>
    </row>
    <row r="8" spans="1:14">
      <c r="A8" t="s">
        <v>165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 t="s">
        <v>4</v>
      </c>
      <c r="K8">
        <v>0</v>
      </c>
      <c r="L8">
        <v>0</v>
      </c>
      <c r="M8">
        <v>0</v>
      </c>
      <c r="N8" t="s">
        <v>159</v>
      </c>
    </row>
    <row r="9" spans="1:14">
      <c r="A9" t="s">
        <v>166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 t="s">
        <v>4</v>
      </c>
      <c r="K9">
        <v>0</v>
      </c>
      <c r="L9">
        <v>0</v>
      </c>
      <c r="M9">
        <v>0</v>
      </c>
      <c r="N9" t="s">
        <v>159</v>
      </c>
    </row>
    <row r="10" spans="1:14">
      <c r="A10" t="s">
        <v>167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4</v>
      </c>
      <c r="J10" t="s">
        <v>4</v>
      </c>
      <c r="K10">
        <v>0</v>
      </c>
      <c r="L10">
        <v>0</v>
      </c>
      <c r="M10">
        <v>0</v>
      </c>
      <c r="N10" t="s">
        <v>159</v>
      </c>
    </row>
    <row r="11" spans="1:14">
      <c r="A11" t="s">
        <v>168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 t="s">
        <v>4</v>
      </c>
      <c r="K11">
        <v>0</v>
      </c>
      <c r="L11">
        <v>0</v>
      </c>
      <c r="M11">
        <v>0</v>
      </c>
      <c r="N11" t="s">
        <v>159</v>
      </c>
    </row>
    <row r="12" spans="1:14">
      <c r="A12" t="s">
        <v>169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 t="s">
        <v>4</v>
      </c>
      <c r="K12">
        <v>0</v>
      </c>
      <c r="L12">
        <v>0</v>
      </c>
      <c r="M12">
        <v>0</v>
      </c>
      <c r="N12" t="s">
        <v>159</v>
      </c>
    </row>
    <row r="13" spans="1:14">
      <c r="A13" t="s">
        <v>170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 t="s">
        <v>4</v>
      </c>
      <c r="K13">
        <v>0</v>
      </c>
      <c r="L13">
        <v>0</v>
      </c>
      <c r="M13">
        <v>0</v>
      </c>
      <c r="N13" t="s">
        <v>159</v>
      </c>
    </row>
    <row r="14" spans="1:14">
      <c r="A14" t="s">
        <v>171</v>
      </c>
      <c r="B14">
        <v>109395</v>
      </c>
      <c r="C14">
        <v>45636</v>
      </c>
      <c r="D14">
        <v>50968</v>
      </c>
      <c r="E14">
        <v>44098</v>
      </c>
      <c r="F14">
        <v>35068</v>
      </c>
      <c r="G14">
        <v>24971</v>
      </c>
      <c r="H14">
        <v>22938</v>
      </c>
      <c r="I14">
        <v>8672</v>
      </c>
      <c r="J14">
        <v>4527</v>
      </c>
      <c r="K14">
        <v>46166</v>
      </c>
      <c r="L14">
        <v>21621</v>
      </c>
      <c r="M14">
        <v>459</v>
      </c>
      <c r="N14" t="s">
        <v>159</v>
      </c>
    </row>
    <row r="15" spans="1:14">
      <c r="A15" t="s">
        <v>172</v>
      </c>
      <c r="B15">
        <v>84868</v>
      </c>
      <c r="C15">
        <v>18676</v>
      </c>
      <c r="D15">
        <v>39736</v>
      </c>
      <c r="E15">
        <v>35585</v>
      </c>
      <c r="F15">
        <v>21970</v>
      </c>
      <c r="G15">
        <v>33367</v>
      </c>
      <c r="H15">
        <v>14209</v>
      </c>
      <c r="I15">
        <v>13786</v>
      </c>
      <c r="J15">
        <v>15560</v>
      </c>
      <c r="K15">
        <v>18774</v>
      </c>
      <c r="L15">
        <v>10266</v>
      </c>
      <c r="M15">
        <v>5606</v>
      </c>
      <c r="N15" t="s">
        <v>159</v>
      </c>
    </row>
    <row r="16" spans="1:14">
      <c r="A16" t="s">
        <v>173</v>
      </c>
      <c r="B16">
        <v>6347769</v>
      </c>
      <c r="C16">
        <v>3765576</v>
      </c>
      <c r="D16">
        <v>2688894</v>
      </c>
      <c r="E16">
        <v>3057773</v>
      </c>
      <c r="F16">
        <v>2600508</v>
      </c>
      <c r="G16">
        <v>1926839</v>
      </c>
      <c r="H16">
        <v>1629031</v>
      </c>
      <c r="I16">
        <v>1066200</v>
      </c>
      <c r="J16">
        <v>816083</v>
      </c>
      <c r="K16">
        <v>1017658</v>
      </c>
      <c r="L16">
        <v>911072</v>
      </c>
      <c r="M16">
        <v>543859</v>
      </c>
      <c r="N16" t="s">
        <v>159</v>
      </c>
    </row>
    <row r="17" spans="1:14">
      <c r="A17" t="s">
        <v>174</v>
      </c>
      <c r="B17">
        <v>4371449</v>
      </c>
      <c r="C17">
        <v>2463312</v>
      </c>
      <c r="D17">
        <v>1750306</v>
      </c>
      <c r="E17">
        <v>2204195</v>
      </c>
      <c r="F17">
        <v>1786933</v>
      </c>
      <c r="G17">
        <v>1254421</v>
      </c>
      <c r="H17">
        <v>1191514</v>
      </c>
      <c r="I17">
        <v>891898</v>
      </c>
      <c r="J17">
        <v>561896</v>
      </c>
      <c r="K17">
        <v>634757</v>
      </c>
      <c r="L17">
        <v>574274</v>
      </c>
      <c r="M17">
        <v>342785</v>
      </c>
      <c r="N17" t="s">
        <v>159</v>
      </c>
    </row>
    <row r="18" spans="1:14">
      <c r="A18" t="s">
        <v>175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 t="s">
        <v>4</v>
      </c>
      <c r="K18">
        <v>0</v>
      </c>
      <c r="L18">
        <v>0</v>
      </c>
      <c r="M18">
        <v>0</v>
      </c>
      <c r="N18" t="s">
        <v>159</v>
      </c>
    </row>
    <row r="19" spans="1:14">
      <c r="A19" t="s">
        <v>176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 t="s">
        <v>4</v>
      </c>
      <c r="K19">
        <v>0</v>
      </c>
      <c r="L19">
        <v>0</v>
      </c>
      <c r="M19">
        <v>0</v>
      </c>
      <c r="N19" t="s">
        <v>159</v>
      </c>
    </row>
    <row r="20" spans="1:14">
      <c r="A20" t="s">
        <v>177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 t="s">
        <v>4</v>
      </c>
      <c r="K20">
        <v>0</v>
      </c>
      <c r="L20">
        <v>0</v>
      </c>
      <c r="M20">
        <v>0</v>
      </c>
      <c r="N20" t="s">
        <v>159</v>
      </c>
    </row>
    <row r="21" spans="1:14">
      <c r="A21" t="s">
        <v>178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 t="s">
        <v>4</v>
      </c>
      <c r="K21">
        <v>0</v>
      </c>
      <c r="L21">
        <v>0</v>
      </c>
      <c r="M21">
        <v>0</v>
      </c>
      <c r="N21" t="s">
        <v>159</v>
      </c>
    </row>
    <row r="22" spans="1:14">
      <c r="A22" t="s">
        <v>179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 t="s">
        <v>4</v>
      </c>
      <c r="K22">
        <v>0</v>
      </c>
      <c r="L22">
        <v>0</v>
      </c>
      <c r="M22">
        <v>0</v>
      </c>
      <c r="N22" t="s">
        <v>159</v>
      </c>
    </row>
    <row r="23" spans="1:14">
      <c r="A23" t="s">
        <v>180</v>
      </c>
      <c r="B23">
        <v>205557</v>
      </c>
      <c r="C23">
        <v>144375</v>
      </c>
      <c r="D23">
        <v>127894</v>
      </c>
      <c r="E23">
        <v>97728</v>
      </c>
      <c r="F23">
        <v>85667</v>
      </c>
      <c r="G23">
        <v>67431</v>
      </c>
      <c r="H23">
        <v>48528</v>
      </c>
      <c r="I23">
        <v>29244</v>
      </c>
      <c r="J23">
        <v>27207</v>
      </c>
      <c r="K23">
        <v>27900</v>
      </c>
      <c r="L23">
        <v>29049</v>
      </c>
      <c r="M23">
        <v>23185</v>
      </c>
      <c r="N23" t="s">
        <v>159</v>
      </c>
    </row>
    <row r="24" spans="1:14">
      <c r="A24" t="s">
        <v>181</v>
      </c>
      <c r="B24">
        <v>531139</v>
      </c>
      <c r="C24">
        <v>223917</v>
      </c>
      <c r="D24">
        <v>172868</v>
      </c>
      <c r="E24">
        <v>208373</v>
      </c>
      <c r="F24">
        <v>200520</v>
      </c>
      <c r="G24">
        <v>119573</v>
      </c>
      <c r="H24">
        <v>100362</v>
      </c>
      <c r="I24">
        <v>36543</v>
      </c>
      <c r="J24">
        <v>32461</v>
      </c>
      <c r="K24">
        <v>96992</v>
      </c>
      <c r="L24">
        <v>119677</v>
      </c>
      <c r="M24">
        <v>56496</v>
      </c>
      <c r="N24" t="s">
        <v>159</v>
      </c>
    </row>
    <row r="25" spans="1:14">
      <c r="A25" t="s">
        <v>182</v>
      </c>
      <c r="B25">
        <v>218410</v>
      </c>
      <c r="C25">
        <v>199088</v>
      </c>
      <c r="D25">
        <v>177587</v>
      </c>
      <c r="E25">
        <v>145425</v>
      </c>
      <c r="F25">
        <v>140462</v>
      </c>
      <c r="G25">
        <v>104796</v>
      </c>
      <c r="H25">
        <v>87383</v>
      </c>
      <c r="I25">
        <v>67179</v>
      </c>
      <c r="J25">
        <v>49081</v>
      </c>
      <c r="K25">
        <v>57988</v>
      </c>
      <c r="L25">
        <v>59834</v>
      </c>
      <c r="M25">
        <v>28159</v>
      </c>
      <c r="N25" t="s">
        <v>159</v>
      </c>
    </row>
    <row r="26" spans="1:14">
      <c r="A26" t="s">
        <v>183</v>
      </c>
      <c r="B26">
        <v>5326554</v>
      </c>
      <c r="C26">
        <v>3030692</v>
      </c>
      <c r="D26">
        <v>2228655</v>
      </c>
      <c r="E26">
        <v>2655721</v>
      </c>
      <c r="F26">
        <v>2213582</v>
      </c>
      <c r="G26">
        <v>1546221</v>
      </c>
      <c r="H26">
        <v>1427788</v>
      </c>
      <c r="I26">
        <v>1024864</v>
      </c>
      <c r="J26">
        <v>670645</v>
      </c>
      <c r="K26">
        <v>817637</v>
      </c>
      <c r="L26">
        <v>782835</v>
      </c>
      <c r="M26">
        <v>450624</v>
      </c>
      <c r="N26" t="s">
        <v>159</v>
      </c>
    </row>
    <row r="27" spans="1:14">
      <c r="A27" t="s">
        <v>184</v>
      </c>
      <c r="B27">
        <v>1021215</v>
      </c>
      <c r="C27">
        <v>734884</v>
      </c>
      <c r="D27">
        <v>460239</v>
      </c>
      <c r="E27">
        <v>402051</v>
      </c>
      <c r="F27">
        <v>386926</v>
      </c>
      <c r="G27">
        <v>380618</v>
      </c>
      <c r="H27">
        <v>201243</v>
      </c>
      <c r="I27">
        <v>41336</v>
      </c>
      <c r="J27">
        <v>145438</v>
      </c>
      <c r="K27">
        <v>200020</v>
      </c>
      <c r="L27">
        <v>128238</v>
      </c>
      <c r="M27">
        <v>93235</v>
      </c>
      <c r="N27" t="s">
        <v>159</v>
      </c>
    </row>
    <row r="28" spans="1:14">
      <c r="A28" t="s">
        <v>185</v>
      </c>
      <c r="B28" t="s">
        <v>4</v>
      </c>
      <c r="C28" t="s">
        <v>4</v>
      </c>
      <c r="D28" t="s">
        <v>4</v>
      </c>
      <c r="E28">
        <v>9683</v>
      </c>
      <c r="F28">
        <v>2579</v>
      </c>
      <c r="G28" t="s">
        <v>4</v>
      </c>
      <c r="H28">
        <v>935</v>
      </c>
      <c r="I28">
        <v>3292</v>
      </c>
      <c r="J28">
        <v>30401</v>
      </c>
      <c r="K28">
        <v>6741</v>
      </c>
      <c r="L28">
        <v>28559</v>
      </c>
      <c r="M28">
        <v>10446</v>
      </c>
      <c r="N28" t="s">
        <v>159</v>
      </c>
    </row>
    <row r="29" spans="1:14">
      <c r="A29" t="s">
        <v>186</v>
      </c>
      <c r="B29">
        <v>2903</v>
      </c>
      <c r="C29">
        <v>3000</v>
      </c>
      <c r="D29">
        <v>600</v>
      </c>
      <c r="E29">
        <v>300</v>
      </c>
      <c r="F29">
        <v>391</v>
      </c>
      <c r="G29">
        <v>433</v>
      </c>
      <c r="H29">
        <v>995</v>
      </c>
      <c r="I29">
        <v>2981</v>
      </c>
      <c r="J29">
        <v>1704</v>
      </c>
      <c r="K29">
        <v>246</v>
      </c>
      <c r="L29">
        <v>200</v>
      </c>
      <c r="M29">
        <v>40</v>
      </c>
      <c r="N29" t="s">
        <v>159</v>
      </c>
    </row>
    <row r="30" spans="1:14">
      <c r="A30" t="s">
        <v>187</v>
      </c>
      <c r="B30">
        <v>3598</v>
      </c>
      <c r="C30">
        <v>183</v>
      </c>
      <c r="D30">
        <v>6344</v>
      </c>
      <c r="E30">
        <v>63</v>
      </c>
      <c r="F30">
        <v>474</v>
      </c>
      <c r="G30">
        <v>631</v>
      </c>
      <c r="H30">
        <v>782</v>
      </c>
      <c r="I30">
        <v>930</v>
      </c>
      <c r="J30">
        <v>2047</v>
      </c>
      <c r="K30">
        <v>530</v>
      </c>
      <c r="L30">
        <v>1</v>
      </c>
      <c r="M30">
        <v>209</v>
      </c>
      <c r="N30" t="s">
        <v>159</v>
      </c>
    </row>
    <row r="31" spans="1:14">
      <c r="A31" t="s">
        <v>188</v>
      </c>
      <c r="B31" t="s">
        <v>4</v>
      </c>
      <c r="C31" t="s">
        <v>4</v>
      </c>
      <c r="D31" t="s">
        <v>4</v>
      </c>
      <c r="E31" t="s">
        <v>4</v>
      </c>
      <c r="F31" t="s">
        <v>4</v>
      </c>
      <c r="G31" t="s">
        <v>4</v>
      </c>
      <c r="H31" t="s">
        <v>4</v>
      </c>
      <c r="I31" t="s">
        <v>4</v>
      </c>
      <c r="J31" t="s">
        <v>4</v>
      </c>
      <c r="K31">
        <v>0</v>
      </c>
      <c r="L31">
        <v>2059</v>
      </c>
      <c r="M31">
        <v>0</v>
      </c>
      <c r="N31" t="s">
        <v>159</v>
      </c>
    </row>
    <row r="32" spans="1:14">
      <c r="A32" t="s">
        <v>189</v>
      </c>
      <c r="B32">
        <v>49565</v>
      </c>
      <c r="C32">
        <v>19400</v>
      </c>
      <c r="D32">
        <v>488</v>
      </c>
      <c r="E32" t="s">
        <v>4</v>
      </c>
      <c r="F32" t="s">
        <v>4</v>
      </c>
      <c r="G32">
        <v>2167</v>
      </c>
      <c r="H32">
        <v>1192</v>
      </c>
      <c r="I32" t="s">
        <v>4</v>
      </c>
      <c r="J32" t="s">
        <v>4</v>
      </c>
      <c r="K32">
        <v>23453</v>
      </c>
      <c r="L32">
        <v>0</v>
      </c>
      <c r="M32">
        <v>0</v>
      </c>
      <c r="N32" t="s">
        <v>159</v>
      </c>
    </row>
    <row r="33" spans="1:14">
      <c r="A33" t="s">
        <v>190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 t="s">
        <v>4</v>
      </c>
      <c r="K33">
        <v>0</v>
      </c>
      <c r="L33">
        <v>0</v>
      </c>
      <c r="M33">
        <v>0</v>
      </c>
      <c r="N33" t="s">
        <v>159</v>
      </c>
    </row>
    <row r="34" spans="1:14">
      <c r="A34" t="s">
        <v>191</v>
      </c>
      <c r="B34">
        <v>56066</v>
      </c>
      <c r="C34">
        <v>22583</v>
      </c>
      <c r="D34">
        <v>7432</v>
      </c>
      <c r="E34">
        <v>10047</v>
      </c>
      <c r="F34">
        <v>3445</v>
      </c>
      <c r="G34">
        <v>3230</v>
      </c>
      <c r="H34">
        <v>3904</v>
      </c>
      <c r="I34">
        <v>7203</v>
      </c>
      <c r="J34">
        <v>34152</v>
      </c>
      <c r="K34">
        <v>30969</v>
      </c>
      <c r="L34">
        <v>30818</v>
      </c>
      <c r="M34">
        <v>10695</v>
      </c>
      <c r="N34" t="s">
        <v>159</v>
      </c>
    </row>
    <row r="35" spans="1:14">
      <c r="A35" t="s">
        <v>192</v>
      </c>
      <c r="B35">
        <v>595265</v>
      </c>
      <c r="C35">
        <v>411346</v>
      </c>
      <c r="D35">
        <v>516046</v>
      </c>
      <c r="E35">
        <v>905029</v>
      </c>
      <c r="F35">
        <v>677079</v>
      </c>
      <c r="G35">
        <v>393471</v>
      </c>
      <c r="H35">
        <v>290373</v>
      </c>
      <c r="I35">
        <v>129927</v>
      </c>
      <c r="J35">
        <v>175807</v>
      </c>
      <c r="K35">
        <v>101386</v>
      </c>
      <c r="L35">
        <v>52994</v>
      </c>
      <c r="M35">
        <v>46673</v>
      </c>
      <c r="N35" t="s">
        <v>159</v>
      </c>
    </row>
    <row r="36" spans="1:14">
      <c r="A36" t="s">
        <v>193</v>
      </c>
      <c r="B36">
        <v>6580</v>
      </c>
      <c r="C36">
        <v>1500</v>
      </c>
      <c r="D36">
        <v>10000</v>
      </c>
      <c r="E36" t="s">
        <v>4</v>
      </c>
      <c r="F36">
        <v>6887</v>
      </c>
      <c r="G36">
        <v>2003</v>
      </c>
      <c r="H36">
        <v>510</v>
      </c>
      <c r="I36">
        <v>11790</v>
      </c>
      <c r="J36">
        <v>35569</v>
      </c>
      <c r="K36">
        <v>16176</v>
      </c>
      <c r="L36">
        <v>13755</v>
      </c>
      <c r="M36">
        <v>11713</v>
      </c>
      <c r="N36" t="s">
        <v>159</v>
      </c>
    </row>
    <row r="37" spans="1:14">
      <c r="A37" t="s">
        <v>194</v>
      </c>
      <c r="B37" t="s">
        <v>4</v>
      </c>
      <c r="C37" t="s">
        <v>4</v>
      </c>
      <c r="D37" t="s">
        <v>4</v>
      </c>
      <c r="E37" t="s">
        <v>4</v>
      </c>
      <c r="F37" t="s">
        <v>4</v>
      </c>
      <c r="G37" t="s">
        <v>4</v>
      </c>
      <c r="H37" t="s">
        <v>4</v>
      </c>
      <c r="I37" t="s">
        <v>4</v>
      </c>
      <c r="J37" t="s">
        <v>4</v>
      </c>
      <c r="K37">
        <v>0</v>
      </c>
      <c r="L37">
        <v>0</v>
      </c>
      <c r="M37">
        <v>0</v>
      </c>
      <c r="N37" t="s">
        <v>159</v>
      </c>
    </row>
    <row r="38" spans="1:14">
      <c r="A38" t="s">
        <v>195</v>
      </c>
      <c r="B38" t="s">
        <v>4</v>
      </c>
      <c r="C38" t="s">
        <v>4</v>
      </c>
      <c r="D38" t="s">
        <v>4</v>
      </c>
      <c r="E38">
        <v>7298</v>
      </c>
      <c r="F38" t="s">
        <v>4</v>
      </c>
      <c r="G38" t="s">
        <v>4</v>
      </c>
      <c r="H38" t="s">
        <v>4</v>
      </c>
      <c r="I38">
        <v>9755</v>
      </c>
      <c r="J38" t="s">
        <v>4</v>
      </c>
      <c r="K38">
        <v>0</v>
      </c>
      <c r="L38">
        <v>754</v>
      </c>
      <c r="M38">
        <v>0</v>
      </c>
      <c r="N38" t="s">
        <v>159</v>
      </c>
    </row>
    <row r="39" spans="1:14">
      <c r="A39" t="s">
        <v>196</v>
      </c>
      <c r="B39">
        <v>213</v>
      </c>
      <c r="C39">
        <v>6695</v>
      </c>
      <c r="D39">
        <v>3846</v>
      </c>
      <c r="E39">
        <v>303</v>
      </c>
      <c r="F39">
        <v>1127</v>
      </c>
      <c r="G39" t="s">
        <v>4</v>
      </c>
      <c r="H39" t="s">
        <v>4</v>
      </c>
      <c r="I39" t="s">
        <v>4</v>
      </c>
      <c r="J39" t="s">
        <v>4</v>
      </c>
      <c r="K39">
        <v>6000</v>
      </c>
      <c r="L39">
        <v>0</v>
      </c>
      <c r="M39">
        <v>4222</v>
      </c>
      <c r="N39" t="s">
        <v>159</v>
      </c>
    </row>
    <row r="40" spans="1:14">
      <c r="A40" t="s">
        <v>197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t="s">
        <v>4</v>
      </c>
      <c r="H40" t="s">
        <v>4</v>
      </c>
      <c r="I40" t="s">
        <v>4</v>
      </c>
      <c r="J40" t="s">
        <v>4</v>
      </c>
      <c r="K40">
        <v>0</v>
      </c>
      <c r="L40">
        <v>0</v>
      </c>
      <c r="M40">
        <v>0</v>
      </c>
      <c r="N40" t="s">
        <v>159</v>
      </c>
    </row>
    <row r="41" spans="1:14">
      <c r="A41" t="s">
        <v>198</v>
      </c>
      <c r="B41">
        <v>602058</v>
      </c>
      <c r="C41">
        <v>419541</v>
      </c>
      <c r="D41">
        <v>529892</v>
      </c>
      <c r="E41">
        <v>912630</v>
      </c>
      <c r="F41">
        <v>685092</v>
      </c>
      <c r="G41">
        <v>395474</v>
      </c>
      <c r="H41">
        <v>290883</v>
      </c>
      <c r="I41">
        <v>151472</v>
      </c>
      <c r="J41">
        <v>211377</v>
      </c>
      <c r="K41">
        <v>123562</v>
      </c>
      <c r="L41">
        <v>67503</v>
      </c>
      <c r="M41">
        <v>62609</v>
      </c>
      <c r="N41" t="s">
        <v>159</v>
      </c>
    </row>
    <row r="42" spans="1:14">
      <c r="A42" t="s">
        <v>199</v>
      </c>
      <c r="B42">
        <v>-545992</v>
      </c>
      <c r="C42">
        <v>-396958</v>
      </c>
      <c r="D42">
        <v>-522461</v>
      </c>
      <c r="E42">
        <v>-902583</v>
      </c>
      <c r="F42">
        <v>-681647</v>
      </c>
      <c r="G42">
        <v>-392244</v>
      </c>
      <c r="H42">
        <v>-286979</v>
      </c>
      <c r="I42">
        <v>-144270</v>
      </c>
      <c r="J42">
        <v>-177224</v>
      </c>
      <c r="K42">
        <v>-92592</v>
      </c>
      <c r="L42">
        <v>-36684</v>
      </c>
      <c r="M42">
        <v>-51913</v>
      </c>
      <c r="N42" t="s">
        <v>159</v>
      </c>
    </row>
    <row r="43" spans="1:14">
      <c r="A43" t="s">
        <v>200</v>
      </c>
      <c r="B43">
        <v>248730</v>
      </c>
      <c r="C43" t="s">
        <v>4</v>
      </c>
      <c r="D43">
        <v>3038</v>
      </c>
      <c r="E43">
        <v>18913</v>
      </c>
      <c r="F43">
        <v>16000</v>
      </c>
      <c r="G43" t="s">
        <v>4</v>
      </c>
      <c r="H43" t="s">
        <v>4</v>
      </c>
      <c r="I43" t="s">
        <v>4</v>
      </c>
      <c r="J43">
        <v>4900</v>
      </c>
      <c r="K43">
        <v>5508</v>
      </c>
      <c r="L43">
        <v>0</v>
      </c>
      <c r="M43">
        <v>16532</v>
      </c>
      <c r="N43" t="s">
        <v>159</v>
      </c>
    </row>
    <row r="44" spans="1:14">
      <c r="A44" t="s">
        <v>201</v>
      </c>
      <c r="B44">
        <v>2730</v>
      </c>
      <c r="C44" t="s">
        <v>4</v>
      </c>
      <c r="D44">
        <v>3038</v>
      </c>
      <c r="E44">
        <v>18913</v>
      </c>
      <c r="F44">
        <v>16000</v>
      </c>
      <c r="G44" t="s">
        <v>4</v>
      </c>
      <c r="H44" t="s">
        <v>4</v>
      </c>
      <c r="I44" t="s">
        <v>4</v>
      </c>
      <c r="J44">
        <v>4900</v>
      </c>
      <c r="K44">
        <v>5508</v>
      </c>
      <c r="L44">
        <v>0</v>
      </c>
      <c r="M44">
        <v>16532</v>
      </c>
      <c r="N44" t="s">
        <v>159</v>
      </c>
    </row>
    <row r="45" spans="1:14">
      <c r="A45" t="s">
        <v>202</v>
      </c>
      <c r="B45">
        <v>2445354</v>
      </c>
      <c r="C45">
        <v>2063708</v>
      </c>
      <c r="D45">
        <v>2766283</v>
      </c>
      <c r="E45">
        <v>1914578</v>
      </c>
      <c r="F45">
        <v>1315740</v>
      </c>
      <c r="G45">
        <v>946792</v>
      </c>
      <c r="H45">
        <v>738724</v>
      </c>
      <c r="I45">
        <v>437469</v>
      </c>
      <c r="J45">
        <v>265945</v>
      </c>
      <c r="K45">
        <v>151301</v>
      </c>
      <c r="L45">
        <v>183571</v>
      </c>
      <c r="M45">
        <v>110570</v>
      </c>
      <c r="N45" t="s">
        <v>159</v>
      </c>
    </row>
    <row r="46" spans="1:14">
      <c r="A46" t="s">
        <v>203</v>
      </c>
      <c r="B46" t="s">
        <v>4</v>
      </c>
      <c r="C46">
        <v>170000</v>
      </c>
      <c r="D46" t="s">
        <v>4</v>
      </c>
      <c r="E46">
        <v>100000</v>
      </c>
      <c r="F46" t="s">
        <v>4</v>
      </c>
      <c r="G46">
        <v>100000</v>
      </c>
      <c r="H46">
        <v>85000</v>
      </c>
      <c r="I46" t="s">
        <v>4</v>
      </c>
      <c r="J46" t="s">
        <v>4</v>
      </c>
      <c r="K46">
        <v>0</v>
      </c>
      <c r="L46">
        <v>0</v>
      </c>
      <c r="M46">
        <v>0</v>
      </c>
      <c r="N46" t="s">
        <v>159</v>
      </c>
    </row>
    <row r="47" spans="1:14">
      <c r="A47" t="s">
        <v>204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>
        <v>82700</v>
      </c>
      <c r="J47" t="s">
        <v>4</v>
      </c>
      <c r="K47">
        <v>0</v>
      </c>
      <c r="L47">
        <v>0</v>
      </c>
      <c r="M47">
        <v>0</v>
      </c>
      <c r="N47" t="s">
        <v>159</v>
      </c>
    </row>
    <row r="48" spans="1:14">
      <c r="A48" t="s">
        <v>205</v>
      </c>
      <c r="B48">
        <v>2694084</v>
      </c>
      <c r="C48">
        <v>2233708</v>
      </c>
      <c r="D48">
        <v>2769320</v>
      </c>
      <c r="E48">
        <v>2033491</v>
      </c>
      <c r="F48">
        <v>1331740</v>
      </c>
      <c r="G48">
        <v>1046792</v>
      </c>
      <c r="H48">
        <v>823724</v>
      </c>
      <c r="I48">
        <v>520169</v>
      </c>
      <c r="J48">
        <v>270845</v>
      </c>
      <c r="K48">
        <v>156809</v>
      </c>
      <c r="L48">
        <v>183571</v>
      </c>
      <c r="M48">
        <v>127102</v>
      </c>
      <c r="N48" t="s">
        <v>159</v>
      </c>
    </row>
    <row r="49" spans="1:14">
      <c r="A49" t="s">
        <v>206</v>
      </c>
      <c r="B49">
        <v>2328962</v>
      </c>
      <c r="C49">
        <v>2388054</v>
      </c>
      <c r="D49">
        <v>2405565</v>
      </c>
      <c r="E49">
        <v>1243955</v>
      </c>
      <c r="F49">
        <v>820886</v>
      </c>
      <c r="G49">
        <v>877558</v>
      </c>
      <c r="H49">
        <v>515421</v>
      </c>
      <c r="I49">
        <v>286944</v>
      </c>
      <c r="J49">
        <v>146995</v>
      </c>
      <c r="K49">
        <v>175291</v>
      </c>
      <c r="L49">
        <v>128489</v>
      </c>
      <c r="M49">
        <v>139292</v>
      </c>
      <c r="N49" t="s">
        <v>159</v>
      </c>
    </row>
    <row r="50" spans="1:14">
      <c r="A50" t="s">
        <v>207</v>
      </c>
      <c r="B50">
        <v>429806</v>
      </c>
      <c r="C50">
        <v>194891</v>
      </c>
      <c r="D50">
        <v>186631</v>
      </c>
      <c r="E50">
        <v>285146</v>
      </c>
      <c r="F50">
        <v>249112</v>
      </c>
      <c r="G50">
        <v>197965</v>
      </c>
      <c r="H50">
        <v>132339</v>
      </c>
      <c r="I50">
        <v>74542</v>
      </c>
      <c r="J50">
        <v>102104</v>
      </c>
      <c r="K50">
        <v>97921</v>
      </c>
      <c r="L50">
        <v>28852</v>
      </c>
      <c r="M50">
        <v>25320</v>
      </c>
      <c r="N50" t="s">
        <v>159</v>
      </c>
    </row>
    <row r="51" spans="1:14">
      <c r="A51" t="s">
        <v>208</v>
      </c>
      <c r="B51">
        <v>223959</v>
      </c>
      <c r="C51">
        <v>49148</v>
      </c>
      <c r="D51">
        <v>13906</v>
      </c>
      <c r="E51">
        <v>39921</v>
      </c>
      <c r="F51">
        <v>46976</v>
      </c>
      <c r="G51">
        <v>29609</v>
      </c>
      <c r="H51">
        <v>42391</v>
      </c>
      <c r="I51">
        <v>15711</v>
      </c>
      <c r="J51">
        <v>12042</v>
      </c>
      <c r="K51">
        <v>18685</v>
      </c>
      <c r="L51">
        <v>4590</v>
      </c>
      <c r="M51">
        <v>0</v>
      </c>
      <c r="N51" t="s">
        <v>159</v>
      </c>
    </row>
    <row r="52" spans="1:14">
      <c r="A52" t="s">
        <v>209</v>
      </c>
      <c r="B52">
        <v>269</v>
      </c>
      <c r="C52">
        <v>1190</v>
      </c>
      <c r="D52">
        <v>1497</v>
      </c>
      <c r="E52">
        <v>4269</v>
      </c>
      <c r="F52">
        <v>996</v>
      </c>
      <c r="G52">
        <v>503</v>
      </c>
      <c r="H52">
        <v>892</v>
      </c>
      <c r="I52" t="s">
        <v>4</v>
      </c>
      <c r="J52">
        <v>82700</v>
      </c>
      <c r="K52">
        <v>0</v>
      </c>
      <c r="L52">
        <v>3000</v>
      </c>
      <c r="M52">
        <v>200</v>
      </c>
      <c r="N52" t="s">
        <v>159</v>
      </c>
    </row>
    <row r="53" spans="1:14">
      <c r="A53" t="s">
        <v>210</v>
      </c>
      <c r="B53">
        <v>3060077</v>
      </c>
      <c r="C53">
        <v>2584135</v>
      </c>
      <c r="D53">
        <v>2593692</v>
      </c>
      <c r="E53">
        <v>1533369</v>
      </c>
      <c r="F53">
        <v>1070994</v>
      </c>
      <c r="G53">
        <v>1076026</v>
      </c>
      <c r="H53">
        <v>648651</v>
      </c>
      <c r="I53">
        <v>361486</v>
      </c>
      <c r="J53">
        <v>331799</v>
      </c>
      <c r="K53">
        <v>273211</v>
      </c>
      <c r="L53">
        <v>160340</v>
      </c>
      <c r="M53">
        <v>164811</v>
      </c>
      <c r="N53" t="s">
        <v>159</v>
      </c>
    </row>
    <row r="54" spans="1:14">
      <c r="A54" t="s">
        <v>211</v>
      </c>
      <c r="B54">
        <v>-365993</v>
      </c>
      <c r="C54">
        <v>-350427</v>
      </c>
      <c r="D54">
        <v>175628</v>
      </c>
      <c r="E54">
        <v>500121</v>
      </c>
      <c r="F54">
        <v>260746</v>
      </c>
      <c r="G54">
        <v>-29233</v>
      </c>
      <c r="H54">
        <v>175073</v>
      </c>
      <c r="I54">
        <v>158683</v>
      </c>
      <c r="J54">
        <v>-60953</v>
      </c>
      <c r="K54">
        <v>-116403</v>
      </c>
      <c r="L54">
        <v>23230</v>
      </c>
      <c r="M54">
        <v>-37709</v>
      </c>
      <c r="N54" t="s">
        <v>159</v>
      </c>
    </row>
    <row r="55" spans="1:14">
      <c r="A55" t="s">
        <v>212</v>
      </c>
      <c r="B55">
        <v>-884</v>
      </c>
      <c r="C55">
        <v>2556</v>
      </c>
      <c r="D55">
        <v>-6641</v>
      </c>
      <c r="E55">
        <v>981</v>
      </c>
      <c r="F55">
        <v>-4393</v>
      </c>
      <c r="G55">
        <v>537</v>
      </c>
      <c r="H55">
        <v>-1287</v>
      </c>
      <c r="I55">
        <v>-860</v>
      </c>
      <c r="J55">
        <v>222</v>
      </c>
      <c r="K55">
        <v>-877</v>
      </c>
      <c r="L55">
        <v>-605</v>
      </c>
      <c r="M55">
        <v>-91</v>
      </c>
      <c r="N55" t="s">
        <v>159</v>
      </c>
    </row>
    <row r="56" spans="1:14">
      <c r="A56" t="s">
        <v>213</v>
      </c>
      <c r="B56">
        <v>108345</v>
      </c>
      <c r="C56">
        <v>-9944</v>
      </c>
      <c r="D56">
        <v>106766</v>
      </c>
      <c r="E56">
        <v>571</v>
      </c>
      <c r="F56">
        <v>-38368</v>
      </c>
      <c r="G56">
        <v>-40322</v>
      </c>
      <c r="H56">
        <v>88051</v>
      </c>
      <c r="I56">
        <v>54889</v>
      </c>
      <c r="J56">
        <v>-92518</v>
      </c>
      <c r="K56">
        <v>-9852</v>
      </c>
      <c r="L56">
        <v>114179</v>
      </c>
      <c r="M56">
        <v>3521</v>
      </c>
      <c r="N56" t="s">
        <v>159</v>
      </c>
    </row>
    <row r="57" spans="1:14">
      <c r="A57" t="s">
        <v>214</v>
      </c>
      <c r="B57">
        <v>196285</v>
      </c>
      <c r="C57">
        <v>206229</v>
      </c>
      <c r="D57">
        <v>99463</v>
      </c>
      <c r="E57">
        <v>98892</v>
      </c>
      <c r="F57">
        <v>137261</v>
      </c>
      <c r="G57">
        <v>177583</v>
      </c>
      <c r="H57">
        <v>89532</v>
      </c>
      <c r="I57">
        <v>34643</v>
      </c>
      <c r="J57">
        <v>127160</v>
      </c>
      <c r="K57">
        <v>137012</v>
      </c>
      <c r="L57">
        <v>22833</v>
      </c>
      <c r="M57">
        <v>19312</v>
      </c>
      <c r="N57" t="s">
        <v>159</v>
      </c>
    </row>
    <row r="58" spans="1:14">
      <c r="A58" t="s">
        <v>215</v>
      </c>
      <c r="B58">
        <v>304630</v>
      </c>
      <c r="C58">
        <v>196285</v>
      </c>
      <c r="D58">
        <v>206229</v>
      </c>
      <c r="E58">
        <v>99463</v>
      </c>
      <c r="F58">
        <v>98892</v>
      </c>
      <c r="G58">
        <v>137261</v>
      </c>
      <c r="H58">
        <v>177583</v>
      </c>
      <c r="I58">
        <v>89532</v>
      </c>
      <c r="J58">
        <v>34643</v>
      </c>
      <c r="K58">
        <v>127160</v>
      </c>
      <c r="L58">
        <v>137012</v>
      </c>
      <c r="M58">
        <v>22833</v>
      </c>
      <c r="N58" t="s">
        <v>159</v>
      </c>
    </row>
    <row r="59" spans="1:14">
      <c r="A59" t="s">
        <v>216</v>
      </c>
      <c r="B59">
        <v>1330932</v>
      </c>
      <c r="C59">
        <v>454807</v>
      </c>
      <c r="D59">
        <v>227956</v>
      </c>
      <c r="E59">
        <v>321755</v>
      </c>
      <c r="F59">
        <v>376578</v>
      </c>
      <c r="G59">
        <v>301994</v>
      </c>
      <c r="H59">
        <v>239541</v>
      </c>
      <c r="I59">
        <v>172075</v>
      </c>
      <c r="J59">
        <v>127972</v>
      </c>
      <c r="K59">
        <v>175810</v>
      </c>
      <c r="L59">
        <v>148134</v>
      </c>
      <c r="M59">
        <v>95675</v>
      </c>
      <c r="N59" t="s">
        <v>159</v>
      </c>
    </row>
    <row r="60" spans="1:14">
      <c r="A60" t="s">
        <v>217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 t="s">
        <v>4</v>
      </c>
      <c r="K60">
        <v>0</v>
      </c>
      <c r="L60">
        <v>21552</v>
      </c>
      <c r="M60">
        <v>0</v>
      </c>
      <c r="N60" t="s">
        <v>159</v>
      </c>
    </row>
    <row r="61" spans="1:14">
      <c r="A61" t="s">
        <v>218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t="s">
        <v>4</v>
      </c>
      <c r="H61" t="s">
        <v>4</v>
      </c>
      <c r="I61" t="s">
        <v>4</v>
      </c>
      <c r="J61" t="s">
        <v>4</v>
      </c>
      <c r="K61">
        <v>0</v>
      </c>
      <c r="L61">
        <v>0</v>
      </c>
      <c r="M61">
        <v>0</v>
      </c>
      <c r="N61" t="s">
        <v>159</v>
      </c>
    </row>
    <row r="62" spans="1:14">
      <c r="A62" t="s">
        <v>219</v>
      </c>
      <c r="B62">
        <v>30332</v>
      </c>
      <c r="C62">
        <v>7430</v>
      </c>
      <c r="D62">
        <v>-835</v>
      </c>
      <c r="E62">
        <v>7427</v>
      </c>
      <c r="F62">
        <v>2691</v>
      </c>
      <c r="G62">
        <v>3513</v>
      </c>
      <c r="H62">
        <v>-494</v>
      </c>
      <c r="I62">
        <v>3247</v>
      </c>
      <c r="J62">
        <v>970</v>
      </c>
      <c r="K62">
        <v>25</v>
      </c>
      <c r="L62">
        <v>1988</v>
      </c>
      <c r="M62">
        <v>1207</v>
      </c>
      <c r="N62" t="s">
        <v>159</v>
      </c>
    </row>
    <row r="63" spans="1:14">
      <c r="A63" t="s">
        <v>220</v>
      </c>
      <c r="B63">
        <v>303340</v>
      </c>
      <c r="C63">
        <v>262948</v>
      </c>
      <c r="D63">
        <v>147284</v>
      </c>
      <c r="E63">
        <v>93411</v>
      </c>
      <c r="F63">
        <v>84613</v>
      </c>
      <c r="G63">
        <v>73145</v>
      </c>
      <c r="H63">
        <v>66203</v>
      </c>
      <c r="I63">
        <v>31384</v>
      </c>
      <c r="J63">
        <v>28357</v>
      </c>
      <c r="K63">
        <v>25336</v>
      </c>
      <c r="L63">
        <v>23132</v>
      </c>
      <c r="M63">
        <v>20438</v>
      </c>
      <c r="N63" t="s">
        <v>159</v>
      </c>
    </row>
    <row r="64" spans="1:14">
      <c r="A64" t="s">
        <v>221</v>
      </c>
      <c r="B64">
        <v>14446</v>
      </c>
      <c r="C64">
        <v>12948</v>
      </c>
      <c r="D64">
        <v>7318</v>
      </c>
      <c r="E64">
        <v>4453</v>
      </c>
      <c r="F64">
        <v>2105</v>
      </c>
      <c r="G64">
        <v>1186</v>
      </c>
      <c r="H64">
        <v>910</v>
      </c>
      <c r="I64">
        <v>678</v>
      </c>
      <c r="J64">
        <v>571</v>
      </c>
      <c r="K64">
        <v>423</v>
      </c>
      <c r="L64">
        <v>325</v>
      </c>
      <c r="M64">
        <v>8</v>
      </c>
      <c r="N64" t="s">
        <v>159</v>
      </c>
    </row>
    <row r="65" spans="1:14">
      <c r="A65" t="s">
        <v>222</v>
      </c>
      <c r="B65">
        <v>778</v>
      </c>
      <c r="C65">
        <v>351</v>
      </c>
      <c r="D65" t="s">
        <v>4</v>
      </c>
      <c r="E65">
        <v>1013</v>
      </c>
      <c r="F65">
        <v>1002</v>
      </c>
      <c r="G65">
        <v>767</v>
      </c>
      <c r="H65">
        <v>472</v>
      </c>
      <c r="I65" t="s">
        <v>4</v>
      </c>
      <c r="J65" t="s">
        <v>4</v>
      </c>
      <c r="K65">
        <v>0</v>
      </c>
      <c r="L65">
        <v>0</v>
      </c>
      <c r="M65">
        <v>129</v>
      </c>
      <c r="N65" t="s">
        <v>159</v>
      </c>
    </row>
    <row r="66" spans="1:14">
      <c r="A66" t="s">
        <v>223</v>
      </c>
      <c r="B66" t="s">
        <v>4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4</v>
      </c>
      <c r="I66" t="s">
        <v>4</v>
      </c>
      <c r="J66" t="s">
        <v>4</v>
      </c>
      <c r="K66">
        <v>0</v>
      </c>
      <c r="L66">
        <v>0</v>
      </c>
      <c r="M66">
        <v>0</v>
      </c>
      <c r="N66" t="s">
        <v>159</v>
      </c>
    </row>
    <row r="67" spans="1:14">
      <c r="A67" t="s">
        <v>224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t="s">
        <v>4</v>
      </c>
      <c r="H67" t="s">
        <v>4</v>
      </c>
      <c r="I67" t="s">
        <v>4</v>
      </c>
      <c r="J67" t="s">
        <v>4</v>
      </c>
      <c r="K67">
        <v>0</v>
      </c>
      <c r="L67">
        <v>0</v>
      </c>
      <c r="M67">
        <v>0</v>
      </c>
      <c r="N67" t="s">
        <v>159</v>
      </c>
    </row>
    <row r="68" spans="1:14">
      <c r="A68" t="s">
        <v>225</v>
      </c>
      <c r="B68">
        <v>21770</v>
      </c>
      <c r="C68">
        <v>8503</v>
      </c>
      <c r="D68">
        <v>16002</v>
      </c>
      <c r="E68">
        <v>22280</v>
      </c>
      <c r="F68">
        <v>2944</v>
      </c>
      <c r="G68">
        <v>16982</v>
      </c>
      <c r="H68">
        <v>1387</v>
      </c>
      <c r="I68">
        <v>10</v>
      </c>
      <c r="J68">
        <v>504</v>
      </c>
      <c r="K68">
        <v>1003</v>
      </c>
      <c r="L68">
        <v>573</v>
      </c>
      <c r="M68">
        <v>11</v>
      </c>
      <c r="N68" t="s">
        <v>159</v>
      </c>
    </row>
    <row r="69" spans="1:14">
      <c r="A69" t="s">
        <v>226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t="s">
        <v>4</v>
      </c>
      <c r="H69" t="s">
        <v>4</v>
      </c>
      <c r="I69" t="s">
        <v>4</v>
      </c>
      <c r="J69" t="s">
        <v>4</v>
      </c>
      <c r="K69">
        <v>0</v>
      </c>
      <c r="L69">
        <v>0</v>
      </c>
      <c r="M69">
        <v>0</v>
      </c>
      <c r="N69" t="s">
        <v>159</v>
      </c>
    </row>
    <row r="70" spans="1:14">
      <c r="A70" t="s">
        <v>227</v>
      </c>
      <c r="B70" t="s">
        <v>4</v>
      </c>
      <c r="C70" t="s">
        <v>4</v>
      </c>
      <c r="D70">
        <v>347</v>
      </c>
      <c r="E70">
        <v>-347</v>
      </c>
      <c r="F70">
        <v>-1602</v>
      </c>
      <c r="G70">
        <v>-267</v>
      </c>
      <c r="H70">
        <v>944</v>
      </c>
      <c r="I70">
        <v>1478</v>
      </c>
      <c r="J70">
        <v>-552</v>
      </c>
      <c r="K70">
        <v>85</v>
      </c>
      <c r="L70">
        <v>437</v>
      </c>
      <c r="M70">
        <v>-207</v>
      </c>
      <c r="N70" t="s">
        <v>159</v>
      </c>
    </row>
    <row r="71" spans="1:14">
      <c r="A71" t="s">
        <v>228</v>
      </c>
      <c r="B71" t="s">
        <v>4</v>
      </c>
      <c r="C71" t="s">
        <v>4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 t="s">
        <v>4</v>
      </c>
      <c r="K71">
        <v>0</v>
      </c>
      <c r="L71">
        <v>0</v>
      </c>
      <c r="M71">
        <v>0</v>
      </c>
      <c r="N71" t="s">
        <v>159</v>
      </c>
    </row>
    <row r="72" spans="1:14">
      <c r="A72" t="s">
        <v>229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 t="s">
        <v>4</v>
      </c>
      <c r="K72">
        <v>0</v>
      </c>
      <c r="L72">
        <v>0</v>
      </c>
      <c r="M72">
        <v>0</v>
      </c>
      <c r="N72" t="s">
        <v>159</v>
      </c>
    </row>
    <row r="73" spans="1:14">
      <c r="A73" t="s">
        <v>230</v>
      </c>
      <c r="B73">
        <v>83625</v>
      </c>
      <c r="C73">
        <v>97545</v>
      </c>
      <c r="D73">
        <v>69431</v>
      </c>
      <c r="E73">
        <v>59811</v>
      </c>
      <c r="F73">
        <v>20995</v>
      </c>
      <c r="G73">
        <v>27199</v>
      </c>
      <c r="H73">
        <v>14022</v>
      </c>
      <c r="I73">
        <v>1328</v>
      </c>
      <c r="J73">
        <v>5480</v>
      </c>
      <c r="K73">
        <v>2241</v>
      </c>
      <c r="L73">
        <v>5381</v>
      </c>
      <c r="M73">
        <v>4239</v>
      </c>
      <c r="N73" t="s">
        <v>159</v>
      </c>
    </row>
    <row r="74" spans="1:14">
      <c r="A74" t="s">
        <v>231</v>
      </c>
      <c r="B74">
        <v>-12556</v>
      </c>
      <c r="C74">
        <v>-5275</v>
      </c>
      <c r="D74">
        <v>-339</v>
      </c>
      <c r="E74">
        <v>126</v>
      </c>
      <c r="F74">
        <v>1652</v>
      </c>
      <c r="G74">
        <v>-437</v>
      </c>
      <c r="H74">
        <v>-995</v>
      </c>
      <c r="I74">
        <v>-20341</v>
      </c>
      <c r="J74">
        <v>-2303</v>
      </c>
      <c r="K74">
        <v>-491</v>
      </c>
      <c r="L74">
        <v>-14826</v>
      </c>
      <c r="M74">
        <v>-1425</v>
      </c>
      <c r="N74" t="s">
        <v>159</v>
      </c>
    </row>
    <row r="75" spans="1:14">
      <c r="A75" t="s">
        <v>232</v>
      </c>
      <c r="B75">
        <v>-57773</v>
      </c>
      <c r="C75">
        <v>-11444</v>
      </c>
      <c r="D75">
        <v>-4798</v>
      </c>
      <c r="E75">
        <v>-14354</v>
      </c>
      <c r="F75">
        <v>-4109</v>
      </c>
      <c r="G75">
        <v>-4923</v>
      </c>
      <c r="H75">
        <v>-2486</v>
      </c>
      <c r="I75">
        <v>908</v>
      </c>
      <c r="J75">
        <v>-872</v>
      </c>
      <c r="K75">
        <v>1846</v>
      </c>
      <c r="L75">
        <v>2841</v>
      </c>
      <c r="M75">
        <v>-4167</v>
      </c>
      <c r="N75" t="s">
        <v>159</v>
      </c>
    </row>
    <row r="76" spans="1:14">
      <c r="A76" t="s">
        <v>233</v>
      </c>
      <c r="B76">
        <v>-329</v>
      </c>
      <c r="C76">
        <v>-251</v>
      </c>
      <c r="D76">
        <v>120</v>
      </c>
      <c r="E76">
        <v>-290</v>
      </c>
      <c r="F76">
        <v>257</v>
      </c>
      <c r="G76">
        <v>-81</v>
      </c>
      <c r="H76">
        <v>-51</v>
      </c>
      <c r="I76">
        <v>-91</v>
      </c>
      <c r="J76">
        <v>-27</v>
      </c>
      <c r="K76">
        <v>-753</v>
      </c>
      <c r="L76">
        <v>-189</v>
      </c>
      <c r="M76">
        <v>68</v>
      </c>
      <c r="N76" t="s">
        <v>159</v>
      </c>
    </row>
    <row r="77" spans="1:14">
      <c r="A77" t="s">
        <v>234</v>
      </c>
      <c r="B77">
        <v>-266316</v>
      </c>
      <c r="C77">
        <v>-16524</v>
      </c>
      <c r="D77">
        <v>-118836</v>
      </c>
      <c r="E77">
        <v>-74591</v>
      </c>
      <c r="F77">
        <v>-27223</v>
      </c>
      <c r="G77">
        <v>-65698</v>
      </c>
      <c r="H77">
        <v>-16955</v>
      </c>
      <c r="I77">
        <v>-39685</v>
      </c>
      <c r="J77">
        <v>-15623</v>
      </c>
      <c r="K77">
        <v>4859</v>
      </c>
      <c r="L77">
        <v>-16752</v>
      </c>
      <c r="M77">
        <v>5721</v>
      </c>
      <c r="N77" t="s">
        <v>159</v>
      </c>
    </row>
    <row r="78" spans="1:14">
      <c r="A78" t="s">
        <v>235</v>
      </c>
      <c r="B78">
        <v>-937682</v>
      </c>
      <c r="C78">
        <v>-281651</v>
      </c>
      <c r="D78">
        <v>122706</v>
      </c>
      <c r="E78">
        <v>53116</v>
      </c>
      <c r="F78">
        <v>-2168</v>
      </c>
      <c r="G78">
        <v>-146748</v>
      </c>
      <c r="H78">
        <v>-133670</v>
      </c>
      <c r="I78">
        <v>-127535</v>
      </c>
      <c r="J78">
        <v>9615</v>
      </c>
      <c r="K78">
        <v>22755</v>
      </c>
      <c r="L78">
        <v>-91274</v>
      </c>
      <c r="M78">
        <v>-26242</v>
      </c>
      <c r="N78" t="s">
        <v>159</v>
      </c>
    </row>
    <row r="79" spans="1:14">
      <c r="A79" t="s">
        <v>236</v>
      </c>
      <c r="B79">
        <v>510650</v>
      </c>
      <c r="C79">
        <v>205500</v>
      </c>
      <c r="D79">
        <v>-6116</v>
      </c>
      <c r="E79">
        <v>-71758</v>
      </c>
      <c r="F79">
        <v>-70810</v>
      </c>
      <c r="G79">
        <v>172685</v>
      </c>
      <c r="H79">
        <v>33457</v>
      </c>
      <c r="I79">
        <v>17740</v>
      </c>
      <c r="J79">
        <v>-8253</v>
      </c>
      <c r="K79">
        <v>-33117</v>
      </c>
      <c r="L79">
        <v>46916</v>
      </c>
      <c r="M79">
        <v>-2221</v>
      </c>
      <c r="N79" t="s">
        <v>159</v>
      </c>
    </row>
    <row r="80" spans="1:14">
      <c r="A80" t="s">
        <v>237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 t="s">
        <v>4</v>
      </c>
      <c r="K80">
        <v>0</v>
      </c>
      <c r="L80">
        <v>0</v>
      </c>
      <c r="M80">
        <v>0</v>
      </c>
      <c r="N80" t="s">
        <v>159</v>
      </c>
    </row>
    <row r="81" spans="1:14">
      <c r="A81" t="s">
        <v>238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 t="s">
        <v>4</v>
      </c>
      <c r="K81">
        <v>0</v>
      </c>
      <c r="L81">
        <v>0</v>
      </c>
      <c r="M81">
        <v>0</v>
      </c>
      <c r="N81" t="s">
        <v>159</v>
      </c>
    </row>
    <row r="82" spans="1:14">
      <c r="A82" t="s">
        <v>239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>
        <v>1303</v>
      </c>
      <c r="H82">
        <v>-1043</v>
      </c>
      <c r="I82">
        <v>140</v>
      </c>
      <c r="J82">
        <v>-400</v>
      </c>
      <c r="K82">
        <v>0</v>
      </c>
      <c r="L82">
        <v>0</v>
      </c>
      <c r="M82">
        <v>0</v>
      </c>
      <c r="N82" t="s">
        <v>159</v>
      </c>
    </row>
    <row r="83" spans="1:14">
      <c r="A83" t="s">
        <v>240</v>
      </c>
      <c r="B83">
        <v>1021215</v>
      </c>
      <c r="C83">
        <v>734884</v>
      </c>
      <c r="D83">
        <v>460239</v>
      </c>
      <c r="E83">
        <v>402051</v>
      </c>
      <c r="F83">
        <v>386926</v>
      </c>
      <c r="G83">
        <v>380618</v>
      </c>
      <c r="H83">
        <v>201243</v>
      </c>
      <c r="I83">
        <v>41336</v>
      </c>
      <c r="J83">
        <v>145438</v>
      </c>
      <c r="K83">
        <v>200020</v>
      </c>
      <c r="L83">
        <v>128238</v>
      </c>
      <c r="M83">
        <v>93235</v>
      </c>
      <c r="N83" t="s">
        <v>159</v>
      </c>
    </row>
    <row r="84" spans="1:14">
      <c r="A84" t="s">
        <v>241</v>
      </c>
      <c r="B84">
        <v>236108</v>
      </c>
      <c r="C84" t="s">
        <v>4</v>
      </c>
      <c r="D84">
        <v>250749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 t="s">
        <v>4</v>
      </c>
      <c r="K84">
        <v>0</v>
      </c>
      <c r="L84">
        <v>0</v>
      </c>
      <c r="M84">
        <v>0</v>
      </c>
      <c r="N84" t="s">
        <v>159</v>
      </c>
    </row>
    <row r="85" spans="1:14">
      <c r="A85" t="s">
        <v>242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t="s">
        <v>4</v>
      </c>
      <c r="H85" t="s">
        <v>4</v>
      </c>
      <c r="I85" t="s">
        <v>4</v>
      </c>
      <c r="J85" t="s">
        <v>4</v>
      </c>
      <c r="K85">
        <v>0</v>
      </c>
      <c r="L85">
        <v>0</v>
      </c>
      <c r="M85">
        <v>0</v>
      </c>
      <c r="N85" t="s">
        <v>159</v>
      </c>
    </row>
    <row r="86" spans="1:14">
      <c r="A86" t="s">
        <v>243</v>
      </c>
      <c r="B86" t="s">
        <v>4</v>
      </c>
      <c r="C86" t="s">
        <v>4</v>
      </c>
      <c r="D86" t="s">
        <v>4</v>
      </c>
      <c r="E86" t="s">
        <v>4</v>
      </c>
      <c r="F86" t="s">
        <v>4</v>
      </c>
      <c r="G86" t="s">
        <v>4</v>
      </c>
      <c r="H86" t="s">
        <v>4</v>
      </c>
      <c r="I86" t="s">
        <v>4</v>
      </c>
      <c r="J86" t="s">
        <v>4</v>
      </c>
      <c r="K86">
        <v>0</v>
      </c>
      <c r="L86">
        <v>0</v>
      </c>
      <c r="M86">
        <v>0</v>
      </c>
      <c r="N86" t="s">
        <v>159</v>
      </c>
    </row>
    <row r="87" spans="1:14">
      <c r="A87" t="s">
        <v>244</v>
      </c>
      <c r="B87">
        <v>304630</v>
      </c>
      <c r="C87">
        <v>196285</v>
      </c>
      <c r="D87">
        <v>206229</v>
      </c>
      <c r="E87">
        <v>99463</v>
      </c>
      <c r="F87">
        <v>98892</v>
      </c>
      <c r="G87">
        <v>137261</v>
      </c>
      <c r="H87">
        <v>177583</v>
      </c>
      <c r="I87">
        <v>89532</v>
      </c>
      <c r="J87">
        <v>34643</v>
      </c>
      <c r="K87">
        <v>127160</v>
      </c>
      <c r="L87">
        <v>137012</v>
      </c>
      <c r="M87">
        <v>22833</v>
      </c>
      <c r="N87" t="s">
        <v>159</v>
      </c>
    </row>
    <row r="88" spans="1:14">
      <c r="A88" t="s">
        <v>245</v>
      </c>
      <c r="B88">
        <v>196285</v>
      </c>
      <c r="C88">
        <v>206229</v>
      </c>
      <c r="D88">
        <v>99463</v>
      </c>
      <c r="E88">
        <v>98892</v>
      </c>
      <c r="F88">
        <v>137261</v>
      </c>
      <c r="G88">
        <v>177583</v>
      </c>
      <c r="H88">
        <v>89532</v>
      </c>
      <c r="I88">
        <v>34643</v>
      </c>
      <c r="J88">
        <v>127160</v>
      </c>
      <c r="K88">
        <v>137012</v>
      </c>
      <c r="L88">
        <v>22833</v>
      </c>
      <c r="M88">
        <v>19312</v>
      </c>
      <c r="N88" t="s">
        <v>159</v>
      </c>
    </row>
    <row r="89" spans="1:14">
      <c r="A89" t="s">
        <v>246</v>
      </c>
      <c r="B89" t="s">
        <v>4</v>
      </c>
      <c r="C89" t="s">
        <v>4</v>
      </c>
      <c r="D89" t="s">
        <v>4</v>
      </c>
      <c r="E89" t="s">
        <v>4</v>
      </c>
      <c r="F89" t="s">
        <v>4</v>
      </c>
      <c r="G89" t="s">
        <v>4</v>
      </c>
      <c r="H89" t="s">
        <v>4</v>
      </c>
      <c r="I89" t="s">
        <v>4</v>
      </c>
      <c r="J89" t="s">
        <v>4</v>
      </c>
      <c r="K89">
        <v>0</v>
      </c>
      <c r="L89">
        <v>0</v>
      </c>
      <c r="M89">
        <v>0</v>
      </c>
      <c r="N89" t="s">
        <v>159</v>
      </c>
    </row>
    <row r="90" spans="1:14">
      <c r="A90" t="s">
        <v>247</v>
      </c>
      <c r="B90" t="s">
        <v>4</v>
      </c>
      <c r="C90" t="s">
        <v>4</v>
      </c>
      <c r="D90" t="s">
        <v>4</v>
      </c>
      <c r="E90" t="s">
        <v>4</v>
      </c>
      <c r="F90" t="s">
        <v>4</v>
      </c>
      <c r="G90" t="s">
        <v>4</v>
      </c>
      <c r="H90" t="s">
        <v>4</v>
      </c>
      <c r="I90" t="s">
        <v>4</v>
      </c>
      <c r="J90" t="s">
        <v>4</v>
      </c>
      <c r="K90">
        <v>0</v>
      </c>
      <c r="L90">
        <v>0</v>
      </c>
      <c r="M90">
        <v>0</v>
      </c>
      <c r="N90" t="s">
        <v>159</v>
      </c>
    </row>
    <row r="91" spans="1:14">
      <c r="A91" t="s">
        <v>248</v>
      </c>
      <c r="B91">
        <v>108345</v>
      </c>
      <c r="C91">
        <v>-9944</v>
      </c>
      <c r="D91">
        <v>106766</v>
      </c>
      <c r="E91">
        <v>571</v>
      </c>
      <c r="F91">
        <v>-38368</v>
      </c>
      <c r="G91">
        <v>-40322</v>
      </c>
      <c r="H91">
        <v>88051</v>
      </c>
      <c r="I91">
        <v>54889</v>
      </c>
      <c r="J91">
        <v>-92518</v>
      </c>
      <c r="K91">
        <v>-9852</v>
      </c>
      <c r="L91">
        <v>114179</v>
      </c>
      <c r="M91">
        <v>3521</v>
      </c>
      <c r="N91" t="s">
        <v>159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G12" sqref="G12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600309</v>
      </c>
    </row>
    <row r="2" spans="1:13">
      <c r="A2" t="s">
        <v>249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2</v>
      </c>
      <c r="B3">
        <v>5312317</v>
      </c>
      <c r="C3">
        <v>3009986</v>
      </c>
      <c r="D3">
        <v>1949238</v>
      </c>
      <c r="E3">
        <v>2208837</v>
      </c>
      <c r="F3">
        <v>2023797</v>
      </c>
      <c r="G3">
        <v>1594213</v>
      </c>
      <c r="H3">
        <v>1366231</v>
      </c>
      <c r="I3">
        <v>942978</v>
      </c>
      <c r="J3">
        <v>649292</v>
      </c>
      <c r="K3">
        <v>770439</v>
      </c>
      <c r="L3">
        <v>780358</v>
      </c>
      <c r="M3">
        <v>494633</v>
      </c>
    </row>
    <row r="4" spans="1:13">
      <c r="A4" t="s">
        <v>10</v>
      </c>
      <c r="B4">
        <v>3203325</v>
      </c>
      <c r="C4">
        <v>2074481</v>
      </c>
      <c r="D4">
        <v>1361997</v>
      </c>
      <c r="E4">
        <v>1526964</v>
      </c>
      <c r="F4">
        <v>1358295</v>
      </c>
      <c r="G4">
        <v>1038187</v>
      </c>
      <c r="H4">
        <v>948866</v>
      </c>
      <c r="I4">
        <v>704151</v>
      </c>
      <c r="J4">
        <v>460677</v>
      </c>
      <c r="K4">
        <v>529420</v>
      </c>
      <c r="L4">
        <v>465170</v>
      </c>
      <c r="M4">
        <v>317771</v>
      </c>
    </row>
    <row r="5" spans="1:13">
      <c r="A5" t="s">
        <v>34</v>
      </c>
      <c r="B5">
        <v>1695930</v>
      </c>
      <c r="C5">
        <v>565053</v>
      </c>
      <c r="D5">
        <v>281501</v>
      </c>
      <c r="E5">
        <v>414531</v>
      </c>
      <c r="F5">
        <v>426091</v>
      </c>
      <c r="G5">
        <v>361394</v>
      </c>
      <c r="H5">
        <v>273052</v>
      </c>
      <c r="I5">
        <v>167266</v>
      </c>
      <c r="J5">
        <v>113909</v>
      </c>
      <c r="K5">
        <v>165329</v>
      </c>
      <c r="L5">
        <v>236081</v>
      </c>
      <c r="M5">
        <v>129521</v>
      </c>
    </row>
    <row r="6" spans="1:13">
      <c r="A6" t="s">
        <v>38</v>
      </c>
      <c r="B6">
        <v>1674974</v>
      </c>
      <c r="C6">
        <v>565308</v>
      </c>
      <c r="D6">
        <v>295445</v>
      </c>
      <c r="E6">
        <v>416853</v>
      </c>
      <c r="F6">
        <v>442568</v>
      </c>
      <c r="G6">
        <v>356592</v>
      </c>
      <c r="H6">
        <v>281495</v>
      </c>
      <c r="I6">
        <v>193767</v>
      </c>
      <c r="J6">
        <v>145000</v>
      </c>
      <c r="K6">
        <v>202566</v>
      </c>
      <c r="L6">
        <v>248221</v>
      </c>
      <c r="M6">
        <v>131127</v>
      </c>
    </row>
    <row r="7" spans="1:13">
      <c r="A7" t="s">
        <v>39</v>
      </c>
      <c r="B7">
        <v>344042</v>
      </c>
      <c r="C7">
        <v>110501</v>
      </c>
      <c r="D7">
        <v>67489</v>
      </c>
      <c r="E7">
        <v>95098</v>
      </c>
      <c r="F7">
        <v>65990</v>
      </c>
      <c r="G7">
        <v>54598</v>
      </c>
      <c r="H7">
        <v>41954</v>
      </c>
      <c r="I7">
        <v>21691</v>
      </c>
      <c r="J7">
        <v>17028</v>
      </c>
      <c r="K7">
        <v>26756</v>
      </c>
      <c r="L7">
        <v>78535</v>
      </c>
      <c r="M7">
        <v>35451</v>
      </c>
    </row>
    <row r="8" spans="1:13">
      <c r="A8" t="s">
        <v>41</v>
      </c>
      <c r="B8">
        <v>1330932</v>
      </c>
      <c r="C8">
        <v>454807</v>
      </c>
      <c r="D8">
        <v>227956</v>
      </c>
      <c r="E8">
        <v>321755</v>
      </c>
      <c r="F8">
        <v>376578</v>
      </c>
      <c r="G8">
        <v>301994</v>
      </c>
      <c r="H8">
        <v>239541</v>
      </c>
      <c r="I8">
        <v>172075</v>
      </c>
      <c r="J8">
        <v>127972</v>
      </c>
      <c r="K8">
        <v>175810</v>
      </c>
      <c r="L8">
        <v>169686</v>
      </c>
      <c r="M8">
        <v>95675</v>
      </c>
    </row>
    <row r="9" spans="1:13">
      <c r="A9" t="s">
        <v>45</v>
      </c>
      <c r="B9">
        <v>4.09</v>
      </c>
      <c r="C9">
        <v>1.7</v>
      </c>
      <c r="D9">
        <v>0.74</v>
      </c>
      <c r="E9">
        <v>1.1200000000000001</v>
      </c>
      <c r="F9">
        <v>1.34</v>
      </c>
      <c r="G9">
        <v>1.0900000000000001</v>
      </c>
      <c r="H9">
        <v>0.86</v>
      </c>
      <c r="I9">
        <v>0.92</v>
      </c>
      <c r="J9">
        <v>0.64</v>
      </c>
      <c r="K9">
        <v>0.91</v>
      </c>
      <c r="L9">
        <v>0.89</v>
      </c>
      <c r="M9">
        <v>0.52</v>
      </c>
    </row>
    <row r="10" spans="1:13">
      <c r="A10" t="s">
        <v>47</v>
      </c>
      <c r="B10">
        <v>306297</v>
      </c>
      <c r="C10">
        <v>198680</v>
      </c>
      <c r="D10">
        <v>206636</v>
      </c>
      <c r="E10">
        <v>102467</v>
      </c>
      <c r="F10">
        <v>98892</v>
      </c>
      <c r="G10">
        <v>137261</v>
      </c>
      <c r="H10">
        <v>178886</v>
      </c>
      <c r="I10">
        <v>89792</v>
      </c>
      <c r="J10">
        <v>117743</v>
      </c>
      <c r="K10">
        <v>127160</v>
      </c>
      <c r="L10">
        <v>137012</v>
      </c>
      <c r="M10">
        <v>22833</v>
      </c>
    </row>
    <row r="11" spans="1:13">
      <c r="A11" t="s">
        <v>53</v>
      </c>
      <c r="B11">
        <v>283279</v>
      </c>
      <c r="C11">
        <v>171487</v>
      </c>
      <c r="D11">
        <v>121388</v>
      </c>
      <c r="E11">
        <v>134158</v>
      </c>
      <c r="F11">
        <v>106255</v>
      </c>
      <c r="G11">
        <v>94836</v>
      </c>
      <c r="H11">
        <v>61068</v>
      </c>
      <c r="I11">
        <v>60821</v>
      </c>
      <c r="J11">
        <v>32332</v>
      </c>
      <c r="K11">
        <v>27303</v>
      </c>
      <c r="L11">
        <v>33600</v>
      </c>
      <c r="M11">
        <v>29359</v>
      </c>
    </row>
    <row r="12" spans="1:13">
      <c r="A12" t="s">
        <v>67</v>
      </c>
      <c r="B12">
        <v>699963</v>
      </c>
      <c r="C12">
        <v>433735</v>
      </c>
      <c r="D12">
        <v>419385</v>
      </c>
      <c r="E12">
        <v>300999</v>
      </c>
      <c r="F12">
        <v>226500</v>
      </c>
      <c r="G12">
        <v>199486</v>
      </c>
      <c r="H12">
        <v>133788</v>
      </c>
      <c r="I12">
        <v>116833</v>
      </c>
      <c r="J12">
        <v>75563</v>
      </c>
      <c r="K12">
        <v>60044</v>
      </c>
      <c r="L12">
        <v>65086</v>
      </c>
      <c r="M12">
        <v>46377</v>
      </c>
    </row>
    <row r="13" spans="1:13">
      <c r="A13" t="s">
        <v>72</v>
      </c>
      <c r="B13">
        <v>2520021</v>
      </c>
      <c r="C13">
        <v>1323580</v>
      </c>
      <c r="D13">
        <v>1102659</v>
      </c>
      <c r="E13">
        <v>975653</v>
      </c>
      <c r="F13">
        <v>818933</v>
      </c>
      <c r="G13">
        <v>836272</v>
      </c>
      <c r="H13">
        <v>763795</v>
      </c>
      <c r="I13">
        <v>480067</v>
      </c>
      <c r="J13">
        <v>376099</v>
      </c>
      <c r="K13">
        <v>383467</v>
      </c>
      <c r="L13">
        <v>406228</v>
      </c>
      <c r="M13">
        <v>177229</v>
      </c>
    </row>
    <row r="14" spans="1:13">
      <c r="A14" t="s">
        <v>250</v>
      </c>
      <c r="B14">
        <v>2761033</v>
      </c>
      <c r="C14">
        <v>2846794</v>
      </c>
      <c r="D14">
        <v>2004629</v>
      </c>
      <c r="E14">
        <v>1519471</v>
      </c>
      <c r="F14">
        <v>858174</v>
      </c>
      <c r="G14">
        <v>733147</v>
      </c>
      <c r="H14">
        <v>690493</v>
      </c>
      <c r="I14">
        <v>693047</v>
      </c>
      <c r="J14">
        <v>317149</v>
      </c>
      <c r="K14">
        <v>327079</v>
      </c>
      <c r="L14">
        <v>316827</v>
      </c>
      <c r="M14">
        <v>309780</v>
      </c>
    </row>
    <row r="15" spans="1:13">
      <c r="A15" t="s">
        <v>99</v>
      </c>
      <c r="B15">
        <v>6582773</v>
      </c>
      <c r="C15">
        <v>5076502</v>
      </c>
      <c r="D15">
        <v>4780442</v>
      </c>
      <c r="E15">
        <v>4159209</v>
      </c>
      <c r="F15">
        <v>3114368</v>
      </c>
      <c r="G15">
        <v>2254146</v>
      </c>
      <c r="H15">
        <v>1741868</v>
      </c>
      <c r="I15">
        <v>1294292</v>
      </c>
      <c r="J15">
        <v>966118</v>
      </c>
      <c r="K15">
        <v>786272</v>
      </c>
      <c r="L15">
        <v>759437</v>
      </c>
      <c r="M15">
        <v>523964</v>
      </c>
    </row>
    <row r="16" spans="1:13">
      <c r="A16" t="s">
        <v>131</v>
      </c>
      <c r="B16">
        <v>2782009</v>
      </c>
      <c r="C16">
        <v>2260141</v>
      </c>
      <c r="D16">
        <v>1927327</v>
      </c>
      <c r="E16">
        <v>1323399</v>
      </c>
      <c r="F16">
        <v>1044137</v>
      </c>
      <c r="G16">
        <v>822705</v>
      </c>
      <c r="H16">
        <v>675698</v>
      </c>
      <c r="I16">
        <v>372213</v>
      </c>
      <c r="J16">
        <v>320085</v>
      </c>
      <c r="K16">
        <v>198465</v>
      </c>
      <c r="L16">
        <v>255259</v>
      </c>
      <c r="M16">
        <v>148112</v>
      </c>
    </row>
    <row r="17" spans="1:14">
      <c r="A17" t="s">
        <v>140</v>
      </c>
      <c r="B17">
        <v>725351</v>
      </c>
      <c r="C17">
        <v>982967</v>
      </c>
      <c r="D17">
        <v>1370791</v>
      </c>
      <c r="E17">
        <v>1507242</v>
      </c>
      <c r="F17">
        <v>892136</v>
      </c>
      <c r="G17">
        <v>447160</v>
      </c>
      <c r="H17">
        <v>244608</v>
      </c>
      <c r="I17">
        <v>206557</v>
      </c>
      <c r="J17">
        <v>63521</v>
      </c>
      <c r="K17">
        <v>42865</v>
      </c>
      <c r="L17">
        <v>60331</v>
      </c>
      <c r="M17">
        <v>85725</v>
      </c>
    </row>
    <row r="18" spans="1:14">
      <c r="A18" t="s">
        <v>141</v>
      </c>
      <c r="B18">
        <v>3507361</v>
      </c>
      <c r="C18">
        <v>3243108</v>
      </c>
      <c r="D18">
        <v>3298118</v>
      </c>
      <c r="E18">
        <v>2830641</v>
      </c>
      <c r="F18">
        <v>1936272</v>
      </c>
      <c r="G18">
        <v>1269865</v>
      </c>
      <c r="H18">
        <v>920306</v>
      </c>
      <c r="I18">
        <v>578770</v>
      </c>
      <c r="J18">
        <v>383606</v>
      </c>
      <c r="K18">
        <v>241331</v>
      </c>
      <c r="L18">
        <v>315589</v>
      </c>
      <c r="M18">
        <v>233837</v>
      </c>
    </row>
    <row r="19" spans="1:14">
      <c r="A19" t="s">
        <v>154</v>
      </c>
      <c r="B19">
        <v>3075413</v>
      </c>
      <c r="C19">
        <v>1833394</v>
      </c>
      <c r="D19">
        <v>1482323</v>
      </c>
      <c r="E19">
        <v>1328568</v>
      </c>
      <c r="F19">
        <v>1178096</v>
      </c>
      <c r="G19">
        <v>984281</v>
      </c>
      <c r="H19">
        <v>821562</v>
      </c>
      <c r="I19">
        <v>715522</v>
      </c>
      <c r="J19">
        <v>582512</v>
      </c>
      <c r="K19">
        <v>544941</v>
      </c>
      <c r="L19">
        <v>443848</v>
      </c>
      <c r="M19">
        <v>290128</v>
      </c>
    </row>
    <row r="20" spans="1:14">
      <c r="A20" t="s">
        <v>251</v>
      </c>
      <c r="B20">
        <v>196285</v>
      </c>
      <c r="C20">
        <v>206229</v>
      </c>
      <c r="D20">
        <v>99463</v>
      </c>
      <c r="E20">
        <v>98892</v>
      </c>
      <c r="F20">
        <v>137261</v>
      </c>
      <c r="G20">
        <v>177583</v>
      </c>
      <c r="H20">
        <v>89532</v>
      </c>
      <c r="I20">
        <v>34643</v>
      </c>
      <c r="J20">
        <v>127160</v>
      </c>
      <c r="K20">
        <v>137012</v>
      </c>
      <c r="L20">
        <v>22833</v>
      </c>
      <c r="M20">
        <v>19312</v>
      </c>
    </row>
    <row r="21" spans="1:14">
      <c r="A21" t="s">
        <v>252</v>
      </c>
      <c r="B21">
        <v>1021215</v>
      </c>
      <c r="C21">
        <v>734884</v>
      </c>
      <c r="D21">
        <v>460239</v>
      </c>
      <c r="E21">
        <v>402051</v>
      </c>
      <c r="F21">
        <v>386926</v>
      </c>
      <c r="G21">
        <v>380618</v>
      </c>
      <c r="H21">
        <v>201243</v>
      </c>
      <c r="I21">
        <v>41336</v>
      </c>
      <c r="J21">
        <v>145438</v>
      </c>
      <c r="K21">
        <v>200020</v>
      </c>
      <c r="L21">
        <v>128238</v>
      </c>
      <c r="M21">
        <v>93235</v>
      </c>
    </row>
    <row r="22" spans="1:14">
      <c r="A22" t="s">
        <v>253</v>
      </c>
      <c r="B22">
        <v>-545992</v>
      </c>
      <c r="C22">
        <v>-396958</v>
      </c>
      <c r="D22">
        <v>-522461</v>
      </c>
      <c r="E22">
        <v>-902583</v>
      </c>
      <c r="F22">
        <v>-681647</v>
      </c>
      <c r="G22">
        <v>-392244</v>
      </c>
      <c r="H22">
        <v>-286979</v>
      </c>
      <c r="I22">
        <v>-144270</v>
      </c>
      <c r="J22">
        <v>-177224</v>
      </c>
      <c r="K22">
        <v>-92592</v>
      </c>
      <c r="L22">
        <v>-36684</v>
      </c>
      <c r="M22">
        <v>-51913</v>
      </c>
    </row>
    <row r="23" spans="1:14">
      <c r="A23" t="s">
        <v>254</v>
      </c>
      <c r="B23">
        <v>-365993</v>
      </c>
      <c r="C23">
        <v>-350427</v>
      </c>
      <c r="D23">
        <v>175628</v>
      </c>
      <c r="E23">
        <v>500121</v>
      </c>
      <c r="F23">
        <v>260746</v>
      </c>
      <c r="G23">
        <v>-29233</v>
      </c>
      <c r="H23">
        <v>175073</v>
      </c>
      <c r="I23">
        <v>158683</v>
      </c>
      <c r="J23">
        <v>-60953</v>
      </c>
      <c r="K23">
        <v>-116403</v>
      </c>
      <c r="L23">
        <v>23230</v>
      </c>
      <c r="M23">
        <v>-37709</v>
      </c>
    </row>
    <row r="24" spans="1:14">
      <c r="A24" t="s">
        <v>255</v>
      </c>
      <c r="B24">
        <v>108345</v>
      </c>
      <c r="C24">
        <v>-9944</v>
      </c>
      <c r="D24">
        <v>106766</v>
      </c>
      <c r="E24">
        <v>571</v>
      </c>
      <c r="F24">
        <v>-38368</v>
      </c>
      <c r="G24">
        <v>-40322</v>
      </c>
      <c r="H24">
        <v>88051</v>
      </c>
      <c r="I24">
        <v>54889</v>
      </c>
      <c r="J24">
        <v>-92518</v>
      </c>
      <c r="K24">
        <v>-9852</v>
      </c>
      <c r="L24">
        <v>114179</v>
      </c>
      <c r="M24">
        <v>3521</v>
      </c>
    </row>
    <row r="25" spans="1:14">
      <c r="A25" t="s">
        <v>256</v>
      </c>
      <c r="B25">
        <v>304630</v>
      </c>
      <c r="C25">
        <v>196285</v>
      </c>
      <c r="D25">
        <v>206229</v>
      </c>
      <c r="E25">
        <v>99463</v>
      </c>
      <c r="F25">
        <v>98892</v>
      </c>
      <c r="G25">
        <v>137261</v>
      </c>
      <c r="H25">
        <v>177583</v>
      </c>
      <c r="I25">
        <v>89532</v>
      </c>
      <c r="J25">
        <v>34643</v>
      </c>
      <c r="K25">
        <v>127160</v>
      </c>
      <c r="L25">
        <v>137012</v>
      </c>
      <c r="M25">
        <v>22833</v>
      </c>
      <c r="N25" t="s">
        <v>156</v>
      </c>
    </row>
    <row r="26" spans="1:14">
      <c r="A26" t="s">
        <v>156</v>
      </c>
    </row>
    <row r="27" spans="1:14">
      <c r="A27" t="s">
        <v>157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M92"/>
  <sheetViews>
    <sheetView tabSelected="1" workbookViewId="0">
      <selection activeCell="F20" sqref="F20"/>
    </sheetView>
  </sheetViews>
  <sheetFormatPr defaultRowHeight="13.5"/>
  <cols>
    <col min="1" max="1" width="31.875" bestFit="1" customWidth="1"/>
    <col min="2" max="12" width="11.625" bestFit="1" customWidth="1"/>
  </cols>
  <sheetData>
    <row r="1" spans="1:13" s="3" customFormat="1">
      <c r="B1" s="6">
        <v>43100</v>
      </c>
      <c r="C1" s="6">
        <v>42735</v>
      </c>
      <c r="D1" s="6">
        <v>42369</v>
      </c>
      <c r="E1" s="6">
        <v>42004</v>
      </c>
      <c r="F1" s="6">
        <v>41639</v>
      </c>
      <c r="G1" s="6">
        <v>41274</v>
      </c>
      <c r="H1" s="6">
        <v>40908</v>
      </c>
      <c r="I1" s="6">
        <v>40543</v>
      </c>
      <c r="J1" s="6">
        <v>40178</v>
      </c>
      <c r="K1" s="6">
        <v>39813</v>
      </c>
      <c r="L1" s="6">
        <v>39447</v>
      </c>
      <c r="M1" s="6"/>
    </row>
    <row r="2" spans="1:13">
      <c r="A2" s="2" t="s">
        <v>257</v>
      </c>
    </row>
    <row r="3" spans="1:13">
      <c r="A3" t="s">
        <v>258</v>
      </c>
    </row>
    <row r="4" spans="1:13">
      <c r="A4" t="s">
        <v>259</v>
      </c>
      <c r="B4">
        <v>306297</v>
      </c>
      <c r="C4">
        <v>198680</v>
      </c>
      <c r="D4">
        <v>206636</v>
      </c>
      <c r="E4">
        <v>102467</v>
      </c>
      <c r="F4">
        <v>98892</v>
      </c>
      <c r="G4">
        <v>137261</v>
      </c>
      <c r="H4">
        <v>178886</v>
      </c>
      <c r="I4">
        <v>89792</v>
      </c>
      <c r="J4">
        <v>117743</v>
      </c>
      <c r="K4">
        <v>127160</v>
      </c>
      <c r="L4">
        <v>137012</v>
      </c>
    </row>
    <row r="5" spans="1:13">
      <c r="A5" t="s">
        <v>260</v>
      </c>
      <c r="B5" t="s">
        <v>4</v>
      </c>
      <c r="C5" t="s">
        <v>4</v>
      </c>
      <c r="D5" t="s">
        <v>4</v>
      </c>
      <c r="E5">
        <v>756</v>
      </c>
      <c r="F5" t="s">
        <v>4</v>
      </c>
      <c r="G5">
        <v>2790</v>
      </c>
      <c r="H5">
        <v>2524</v>
      </c>
      <c r="I5">
        <v>3961</v>
      </c>
      <c r="J5">
        <v>5720</v>
      </c>
      <c r="K5" t="s">
        <v>4</v>
      </c>
      <c r="L5">
        <v>5933</v>
      </c>
    </row>
    <row r="6" spans="1:13">
      <c r="A6" t="s">
        <v>272</v>
      </c>
    </row>
    <row r="7" spans="1:13">
      <c r="A7" t="s">
        <v>261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>
        <v>0</v>
      </c>
    </row>
    <row r="8" spans="1:13">
      <c r="A8" t="s">
        <v>262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 t="s">
        <v>4</v>
      </c>
      <c r="L8">
        <v>0</v>
      </c>
    </row>
    <row r="9" spans="1:13">
      <c r="A9" t="s">
        <v>263</v>
      </c>
      <c r="B9">
        <v>2000</v>
      </c>
      <c r="C9">
        <v>2000</v>
      </c>
      <c r="D9">
        <v>2000</v>
      </c>
      <c r="E9">
        <v>2000</v>
      </c>
      <c r="F9">
        <v>7626</v>
      </c>
      <c r="G9">
        <v>8074</v>
      </c>
      <c r="H9">
        <v>9815</v>
      </c>
      <c r="I9">
        <v>17355</v>
      </c>
      <c r="J9">
        <v>0</v>
      </c>
      <c r="K9">
        <v>0</v>
      </c>
      <c r="L9">
        <v>0</v>
      </c>
    </row>
    <row r="10" spans="1:13">
      <c r="A10" t="s">
        <v>264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4</v>
      </c>
      <c r="J10">
        <v>0</v>
      </c>
      <c r="K10" t="s">
        <v>4</v>
      </c>
      <c r="L10">
        <v>0</v>
      </c>
    </row>
    <row r="11" spans="1:13">
      <c r="A11" s="4" t="s">
        <v>265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 t="s">
        <v>4</v>
      </c>
      <c r="L11">
        <v>0</v>
      </c>
    </row>
    <row r="12" spans="1:13">
      <c r="A12" t="s">
        <v>266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>
        <v>502</v>
      </c>
      <c r="L12">
        <v>0</v>
      </c>
    </row>
    <row r="13" spans="1:13">
      <c r="A13" t="s">
        <v>267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>
        <v>0</v>
      </c>
    </row>
    <row r="14" spans="1:13">
      <c r="A14" t="s">
        <v>268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>
        <v>0</v>
      </c>
      <c r="K14" t="s">
        <v>4</v>
      </c>
      <c r="L14">
        <v>0</v>
      </c>
    </row>
    <row r="15" spans="1:13" s="7" customFormat="1">
      <c r="A15" s="7" t="s">
        <v>269</v>
      </c>
      <c r="B15" s="7">
        <f>SUM(B4:B14)</f>
        <v>308297</v>
      </c>
      <c r="C15" s="7">
        <f t="shared" ref="C15:L15" si="0">SUM(C4:C14)</f>
        <v>200680</v>
      </c>
      <c r="D15" s="7">
        <f t="shared" si="0"/>
        <v>208636</v>
      </c>
      <c r="E15" s="7">
        <f t="shared" si="0"/>
        <v>105223</v>
      </c>
      <c r="F15" s="7">
        <f t="shared" si="0"/>
        <v>106518</v>
      </c>
      <c r="G15" s="7">
        <f t="shared" si="0"/>
        <v>148125</v>
      </c>
      <c r="H15" s="7">
        <f t="shared" si="0"/>
        <v>191225</v>
      </c>
      <c r="I15" s="7">
        <f t="shared" si="0"/>
        <v>111108</v>
      </c>
      <c r="J15" s="7">
        <f t="shared" si="0"/>
        <v>123463</v>
      </c>
      <c r="K15" s="7">
        <f t="shared" si="0"/>
        <v>127662</v>
      </c>
      <c r="L15" s="7">
        <f t="shared" si="0"/>
        <v>142945</v>
      </c>
    </row>
    <row r="16" spans="1:13" s="7" customFormat="1">
      <c r="A16" s="7" t="s">
        <v>270</v>
      </c>
      <c r="B16" s="7">
        <v>52563</v>
      </c>
      <c r="C16" s="7">
        <v>36330</v>
      </c>
      <c r="D16" s="7">
        <v>18613</v>
      </c>
      <c r="E16" s="7">
        <v>8874</v>
      </c>
      <c r="F16" s="7">
        <v>11205</v>
      </c>
      <c r="G16" s="7">
        <v>4517</v>
      </c>
      <c r="H16" s="7">
        <v>2509</v>
      </c>
      <c r="I16" s="7">
        <v>2000</v>
      </c>
      <c r="J16" s="7">
        <v>19883</v>
      </c>
      <c r="K16" s="7">
        <v>18534</v>
      </c>
      <c r="L16" s="7">
        <v>3470</v>
      </c>
    </row>
    <row r="17" spans="1:12">
      <c r="A17" t="s">
        <v>271</v>
      </c>
    </row>
    <row r="18" spans="1:12">
      <c r="A18" t="s">
        <v>273</v>
      </c>
    </row>
    <row r="19" spans="1:12">
      <c r="A19" t="s">
        <v>274</v>
      </c>
      <c r="B19">
        <v>1130830</v>
      </c>
      <c r="C19">
        <v>360830</v>
      </c>
      <c r="D19">
        <v>122403</v>
      </c>
      <c r="E19">
        <v>234765</v>
      </c>
      <c r="F19">
        <v>330983</v>
      </c>
      <c r="G19">
        <v>352711</v>
      </c>
      <c r="H19">
        <v>257904</v>
      </c>
      <c r="I19">
        <v>152386</v>
      </c>
      <c r="J19">
        <v>76921</v>
      </c>
      <c r="K19">
        <v>94622</v>
      </c>
      <c r="L19">
        <v>107212</v>
      </c>
    </row>
    <row r="20" spans="1:12">
      <c r="A20" t="s">
        <v>275</v>
      </c>
      <c r="B20">
        <v>283279</v>
      </c>
      <c r="C20">
        <v>171487</v>
      </c>
      <c r="D20">
        <v>121388</v>
      </c>
      <c r="E20">
        <v>134158</v>
      </c>
      <c r="F20">
        <v>106255</v>
      </c>
      <c r="G20">
        <v>94836</v>
      </c>
      <c r="H20">
        <v>61068</v>
      </c>
      <c r="I20">
        <v>60821</v>
      </c>
      <c r="J20">
        <v>32332</v>
      </c>
      <c r="K20">
        <v>27303</v>
      </c>
      <c r="L20">
        <v>33600</v>
      </c>
    </row>
    <row r="21" spans="1:12">
      <c r="A21" t="s">
        <v>276</v>
      </c>
      <c r="B21">
        <v>48198</v>
      </c>
      <c r="C21">
        <v>23923</v>
      </c>
      <c r="D21">
        <v>37099</v>
      </c>
      <c r="E21">
        <v>34785</v>
      </c>
      <c r="F21">
        <v>47680</v>
      </c>
      <c r="G21">
        <v>42258</v>
      </c>
      <c r="H21">
        <v>124020</v>
      </c>
      <c r="I21">
        <v>52037</v>
      </c>
      <c r="J21">
        <v>65462</v>
      </c>
      <c r="K21">
        <v>70305</v>
      </c>
      <c r="L21">
        <v>54331</v>
      </c>
    </row>
    <row r="22" spans="1:12">
      <c r="A22" t="s">
        <v>277</v>
      </c>
      <c r="B22">
        <v>24632</v>
      </c>
      <c r="C22">
        <v>12606</v>
      </c>
      <c r="D22">
        <v>14215</v>
      </c>
      <c r="E22">
        <v>12846</v>
      </c>
      <c r="F22">
        <v>8623</v>
      </c>
      <c r="G22">
        <v>6929</v>
      </c>
      <c r="H22">
        <v>5605</v>
      </c>
      <c r="I22">
        <v>4236</v>
      </c>
      <c r="J22">
        <v>2358</v>
      </c>
      <c r="K22">
        <v>3531</v>
      </c>
      <c r="L22">
        <v>3055</v>
      </c>
    </row>
    <row r="23" spans="1:12">
      <c r="A23" t="s">
        <v>278</v>
      </c>
      <c r="B23">
        <v>699963</v>
      </c>
      <c r="C23">
        <v>433735</v>
      </c>
      <c r="D23">
        <v>419385</v>
      </c>
      <c r="E23">
        <v>300999</v>
      </c>
      <c r="F23">
        <v>226500</v>
      </c>
      <c r="G23">
        <v>199486</v>
      </c>
      <c r="H23">
        <v>133788</v>
      </c>
      <c r="I23">
        <v>116833</v>
      </c>
      <c r="J23">
        <v>75563</v>
      </c>
      <c r="K23">
        <v>60044</v>
      </c>
      <c r="L23">
        <v>65086</v>
      </c>
    </row>
    <row r="24" spans="1:12">
      <c r="A24" t="s">
        <v>279</v>
      </c>
      <c r="B24">
        <v>26822</v>
      </c>
      <c r="C24">
        <v>122318</v>
      </c>
      <c r="D24">
        <v>181531</v>
      </c>
      <c r="E24">
        <v>154877</v>
      </c>
      <c r="F24" t="s">
        <v>4</v>
      </c>
      <c r="G24" t="s">
        <v>4</v>
      </c>
      <c r="H24" t="s">
        <v>4</v>
      </c>
      <c r="I24" t="s">
        <v>4</v>
      </c>
      <c r="J24">
        <v>0</v>
      </c>
      <c r="K24" t="s">
        <v>4</v>
      </c>
      <c r="L24">
        <v>0</v>
      </c>
    </row>
    <row r="25" spans="1:12">
      <c r="A25" t="s">
        <v>346</v>
      </c>
      <c r="B25">
        <v>31879</v>
      </c>
      <c r="C25">
        <v>27685</v>
      </c>
      <c r="D25">
        <v>24786</v>
      </c>
      <c r="E25">
        <v>19441</v>
      </c>
      <c r="F25">
        <v>13280</v>
      </c>
      <c r="G25">
        <v>4978</v>
      </c>
      <c r="H25">
        <v>154</v>
      </c>
      <c r="I25" t="s">
        <v>4</v>
      </c>
      <c r="J25">
        <v>0</v>
      </c>
      <c r="K25" t="s">
        <v>4</v>
      </c>
      <c r="L25">
        <v>0</v>
      </c>
    </row>
    <row r="26" spans="1:12" s="13" customFormat="1">
      <c r="A26" s="13" t="s">
        <v>280</v>
      </c>
      <c r="B26" s="13">
        <f>SUM(B19:B25)</f>
        <v>2245603</v>
      </c>
      <c r="C26" s="13">
        <f t="shared" ref="C26:L26" si="1">SUM(C19:C25)</f>
        <v>1152584</v>
      </c>
      <c r="D26" s="13">
        <f t="shared" si="1"/>
        <v>920807</v>
      </c>
      <c r="E26" s="13">
        <f t="shared" si="1"/>
        <v>891871</v>
      </c>
      <c r="F26" s="13">
        <f t="shared" si="1"/>
        <v>733321</v>
      </c>
      <c r="G26" s="13">
        <f t="shared" si="1"/>
        <v>701198</v>
      </c>
      <c r="H26" s="13">
        <f t="shared" si="1"/>
        <v>582539</v>
      </c>
      <c r="I26" s="13">
        <f t="shared" si="1"/>
        <v>386313</v>
      </c>
      <c r="J26" s="13">
        <f t="shared" si="1"/>
        <v>252636</v>
      </c>
      <c r="K26" s="13">
        <f t="shared" si="1"/>
        <v>255805</v>
      </c>
      <c r="L26" s="13">
        <f t="shared" si="1"/>
        <v>263284</v>
      </c>
    </row>
    <row r="27" spans="1:12">
      <c r="A27" t="s">
        <v>281</v>
      </c>
      <c r="B27">
        <v>185164</v>
      </c>
      <c r="C27">
        <v>186082</v>
      </c>
      <c r="D27">
        <v>222125</v>
      </c>
      <c r="E27">
        <v>204452</v>
      </c>
      <c r="F27">
        <v>199363</v>
      </c>
      <c r="G27">
        <v>145415</v>
      </c>
      <c r="H27">
        <v>34148</v>
      </c>
      <c r="I27">
        <v>42213</v>
      </c>
      <c r="J27">
        <v>13650</v>
      </c>
      <c r="K27">
        <v>768</v>
      </c>
      <c r="L27">
        <v>4297</v>
      </c>
    </row>
    <row r="28" spans="1:12">
      <c r="A28" t="s">
        <v>282</v>
      </c>
      <c r="B28">
        <v>438821</v>
      </c>
      <c r="C28">
        <v>346715</v>
      </c>
      <c r="D28">
        <v>340046</v>
      </c>
      <c r="E28">
        <v>261513</v>
      </c>
      <c r="F28">
        <v>229894</v>
      </c>
      <c r="G28">
        <v>88127</v>
      </c>
      <c r="H28">
        <v>49419</v>
      </c>
      <c r="I28">
        <v>57696</v>
      </c>
      <c r="J28">
        <v>48295</v>
      </c>
      <c r="K28">
        <v>17937</v>
      </c>
      <c r="L28">
        <v>25262</v>
      </c>
    </row>
    <row r="29" spans="1:12">
      <c r="A29" t="s">
        <v>283</v>
      </c>
      <c r="B29">
        <v>267965</v>
      </c>
      <c r="C29">
        <v>149670</v>
      </c>
      <c r="D29">
        <v>71122</v>
      </c>
      <c r="E29">
        <v>76375</v>
      </c>
      <c r="F29">
        <v>72790</v>
      </c>
      <c r="G29">
        <v>46438</v>
      </c>
      <c r="H29">
        <v>41082</v>
      </c>
      <c r="I29">
        <v>17585</v>
      </c>
      <c r="J29">
        <v>13955</v>
      </c>
      <c r="K29">
        <v>6660</v>
      </c>
      <c r="L29">
        <v>13919</v>
      </c>
    </row>
    <row r="30" spans="1:12">
      <c r="A30" t="s">
        <v>284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>
        <v>0</v>
      </c>
    </row>
    <row r="31" spans="1:12">
      <c r="A31" t="s">
        <v>285</v>
      </c>
      <c r="B31">
        <v>73032</v>
      </c>
      <c r="C31">
        <v>36294</v>
      </c>
      <c r="D31">
        <v>20597</v>
      </c>
      <c r="E31">
        <v>22541</v>
      </c>
      <c r="F31">
        <v>25615</v>
      </c>
      <c r="G31">
        <v>14698</v>
      </c>
      <c r="H31">
        <v>5639</v>
      </c>
      <c r="I31">
        <v>4645</v>
      </c>
      <c r="J31">
        <v>5798</v>
      </c>
      <c r="K31">
        <v>5208</v>
      </c>
      <c r="L31">
        <v>9854</v>
      </c>
    </row>
    <row r="32" spans="1:12">
      <c r="A32" t="s">
        <v>286</v>
      </c>
      <c r="B32">
        <v>224519</v>
      </c>
      <c r="C32">
        <v>55639</v>
      </c>
      <c r="D32">
        <v>23277</v>
      </c>
      <c r="E32">
        <v>27054</v>
      </c>
      <c r="F32">
        <v>-27525</v>
      </c>
      <c r="G32">
        <v>16411</v>
      </c>
      <c r="H32">
        <v>988</v>
      </c>
      <c r="I32">
        <v>-11796</v>
      </c>
      <c r="J32">
        <v>-7051</v>
      </c>
      <c r="K32">
        <v>1985</v>
      </c>
      <c r="L32">
        <v>33387</v>
      </c>
    </row>
    <row r="33" spans="1:12">
      <c r="A33" t="s">
        <v>287</v>
      </c>
      <c r="B33">
        <v>50803</v>
      </c>
      <c r="C33">
        <v>51158</v>
      </c>
      <c r="D33">
        <v>27570</v>
      </c>
      <c r="E33">
        <v>22513</v>
      </c>
      <c r="F33">
        <v>18358</v>
      </c>
      <c r="G33">
        <v>11041</v>
      </c>
      <c r="H33">
        <v>4787</v>
      </c>
      <c r="I33">
        <v>3430</v>
      </c>
      <c r="J33">
        <v>3607</v>
      </c>
      <c r="K33">
        <v>2257</v>
      </c>
      <c r="L33">
        <v>3353</v>
      </c>
    </row>
    <row r="34" spans="1:12">
      <c r="A34" t="s">
        <v>288</v>
      </c>
    </row>
    <row r="35" spans="1:12">
      <c r="A35" t="s">
        <v>289</v>
      </c>
    </row>
    <row r="36" spans="1:12">
      <c r="A36" t="s">
        <v>290</v>
      </c>
      <c r="B36" t="s">
        <v>4</v>
      </c>
      <c r="C36" t="s">
        <v>4</v>
      </c>
      <c r="D36" t="s">
        <v>4</v>
      </c>
      <c r="E36" t="s">
        <v>4</v>
      </c>
      <c r="F36" t="s">
        <v>4</v>
      </c>
      <c r="G36" t="s">
        <v>4</v>
      </c>
      <c r="H36" t="s">
        <v>4</v>
      </c>
      <c r="I36" t="s">
        <v>4</v>
      </c>
      <c r="J36">
        <v>0</v>
      </c>
      <c r="K36" t="s">
        <v>4</v>
      </c>
      <c r="L36">
        <v>0</v>
      </c>
    </row>
    <row r="37" spans="1:12">
      <c r="A37" t="s">
        <v>291</v>
      </c>
      <c r="B37">
        <v>91561</v>
      </c>
      <c r="C37">
        <v>47543</v>
      </c>
      <c r="D37">
        <v>26291</v>
      </c>
      <c r="E37">
        <v>20617</v>
      </c>
      <c r="F37" t="s">
        <v>4</v>
      </c>
      <c r="G37" t="s">
        <v>4</v>
      </c>
      <c r="H37" t="s">
        <v>4</v>
      </c>
      <c r="I37" t="s">
        <v>4</v>
      </c>
      <c r="J37">
        <v>0</v>
      </c>
      <c r="K37" t="s">
        <v>4</v>
      </c>
      <c r="L37" t="s">
        <v>4</v>
      </c>
    </row>
    <row r="38" spans="1:12">
      <c r="A38" t="s">
        <v>292</v>
      </c>
      <c r="B38" t="s">
        <v>4</v>
      </c>
      <c r="C38" t="s">
        <v>4</v>
      </c>
      <c r="D38" t="s">
        <v>4</v>
      </c>
      <c r="E38" t="s">
        <v>4</v>
      </c>
      <c r="F38">
        <v>37</v>
      </c>
      <c r="G38" t="s">
        <v>4</v>
      </c>
      <c r="H38">
        <v>35</v>
      </c>
      <c r="I38" t="s">
        <v>4</v>
      </c>
      <c r="J38">
        <v>0</v>
      </c>
      <c r="K38" t="s">
        <v>4</v>
      </c>
      <c r="L38">
        <v>0</v>
      </c>
    </row>
    <row r="39" spans="1:12">
      <c r="A39" t="s">
        <v>293</v>
      </c>
      <c r="B39" t="s">
        <v>4</v>
      </c>
      <c r="C39">
        <v>170000</v>
      </c>
      <c r="D39" t="s">
        <v>4</v>
      </c>
      <c r="E39" t="s">
        <v>4</v>
      </c>
      <c r="F39">
        <v>15580</v>
      </c>
      <c r="G39">
        <v>15300</v>
      </c>
      <c r="H39">
        <v>85000</v>
      </c>
      <c r="I39" t="s">
        <v>4</v>
      </c>
      <c r="J39">
        <v>16373</v>
      </c>
      <c r="K39">
        <v>36147</v>
      </c>
      <c r="L39">
        <v>13101</v>
      </c>
    </row>
    <row r="40" spans="1:12">
      <c r="A40" t="s">
        <v>294</v>
      </c>
      <c r="B40" t="s">
        <v>4</v>
      </c>
      <c r="C40" t="s">
        <v>4</v>
      </c>
      <c r="D40" t="s">
        <v>4</v>
      </c>
      <c r="E40">
        <v>381</v>
      </c>
      <c r="F40">
        <v>418</v>
      </c>
      <c r="G40">
        <v>439</v>
      </c>
      <c r="H40">
        <v>459</v>
      </c>
      <c r="I40">
        <v>320</v>
      </c>
      <c r="J40">
        <v>0</v>
      </c>
      <c r="K40" t="s">
        <v>4</v>
      </c>
      <c r="L40">
        <v>1759</v>
      </c>
    </row>
    <row r="41" spans="1:12" s="13" customFormat="1">
      <c r="A41" s="13" t="s">
        <v>295</v>
      </c>
      <c r="B41" s="13">
        <f>SUM(B27:B40)</f>
        <v>1331865</v>
      </c>
      <c r="C41" s="13">
        <f t="shared" ref="C41:L41" si="2">SUM(C27:C40)</f>
        <v>1043101</v>
      </c>
      <c r="D41" s="13">
        <f t="shared" si="2"/>
        <v>731028</v>
      </c>
      <c r="E41" s="13">
        <f t="shared" si="2"/>
        <v>635446</v>
      </c>
      <c r="F41" s="13">
        <f t="shared" si="2"/>
        <v>534530</v>
      </c>
      <c r="G41" s="13">
        <f t="shared" si="2"/>
        <v>337869</v>
      </c>
      <c r="H41" s="13">
        <f t="shared" si="2"/>
        <v>221557</v>
      </c>
      <c r="I41" s="13">
        <f t="shared" si="2"/>
        <v>114093</v>
      </c>
      <c r="J41" s="13">
        <f t="shared" si="2"/>
        <v>94627</v>
      </c>
      <c r="K41" s="13">
        <f t="shared" si="2"/>
        <v>70962</v>
      </c>
      <c r="L41" s="13">
        <f t="shared" si="2"/>
        <v>104932</v>
      </c>
    </row>
    <row r="42" spans="1:12" s="14" customFormat="1">
      <c r="A42" s="14" t="s">
        <v>296</v>
      </c>
      <c r="B42" s="14">
        <f>SUM(B26+B41)</f>
        <v>3577468</v>
      </c>
      <c r="C42" s="14">
        <f t="shared" ref="C42:L42" si="3">SUM(C26+C41)</f>
        <v>2195685</v>
      </c>
      <c r="D42" s="14">
        <f t="shared" si="3"/>
        <v>1651835</v>
      </c>
      <c r="E42" s="14">
        <f t="shared" si="3"/>
        <v>1527317</v>
      </c>
      <c r="F42" s="14">
        <f t="shared" si="3"/>
        <v>1267851</v>
      </c>
      <c r="G42" s="14">
        <f t="shared" si="3"/>
        <v>1039067</v>
      </c>
      <c r="H42" s="14">
        <f t="shared" si="3"/>
        <v>804096</v>
      </c>
      <c r="I42" s="14">
        <f t="shared" si="3"/>
        <v>500406</v>
      </c>
      <c r="J42" s="14">
        <f t="shared" si="3"/>
        <v>347263</v>
      </c>
      <c r="K42" s="14">
        <f t="shared" si="3"/>
        <v>326767</v>
      </c>
      <c r="L42" s="14">
        <f t="shared" si="3"/>
        <v>368216</v>
      </c>
    </row>
    <row r="43" spans="1:12">
      <c r="A43" t="s">
        <v>297</v>
      </c>
    </row>
    <row r="44" spans="1:12">
      <c r="A44" t="s">
        <v>298</v>
      </c>
      <c r="B44">
        <v>2761033</v>
      </c>
      <c r="C44">
        <v>2846794</v>
      </c>
      <c r="D44">
        <v>2004629</v>
      </c>
      <c r="E44">
        <v>1519471</v>
      </c>
      <c r="F44">
        <v>858174</v>
      </c>
      <c r="G44">
        <v>733147</v>
      </c>
      <c r="H44">
        <v>690493</v>
      </c>
      <c r="I44">
        <v>693047</v>
      </c>
      <c r="J44">
        <v>317149</v>
      </c>
      <c r="K44">
        <v>327079</v>
      </c>
      <c r="L44">
        <v>316827</v>
      </c>
    </row>
    <row r="45" spans="1:12">
      <c r="A45" t="s">
        <v>299</v>
      </c>
      <c r="B45">
        <v>641993</v>
      </c>
      <c r="C45">
        <v>424459</v>
      </c>
      <c r="D45">
        <v>1240918</v>
      </c>
      <c r="E45">
        <v>1172495</v>
      </c>
      <c r="F45">
        <v>811117</v>
      </c>
      <c r="G45">
        <v>363050</v>
      </c>
      <c r="H45">
        <v>150948</v>
      </c>
      <c r="I45">
        <v>42442</v>
      </c>
      <c r="J45">
        <v>228464</v>
      </c>
      <c r="K45">
        <v>37654</v>
      </c>
      <c r="L45">
        <v>13795</v>
      </c>
    </row>
    <row r="46" spans="1:12">
      <c r="A46" t="s">
        <v>300</v>
      </c>
      <c r="B46">
        <v>88560</v>
      </c>
      <c r="C46">
        <v>45418</v>
      </c>
      <c r="D46">
        <v>28892</v>
      </c>
      <c r="E46">
        <v>165154</v>
      </c>
      <c r="F46">
        <v>155222</v>
      </c>
      <c r="G46">
        <v>7495</v>
      </c>
      <c r="H46">
        <v>9032</v>
      </c>
      <c r="I46">
        <v>4718</v>
      </c>
      <c r="J46">
        <v>6848</v>
      </c>
      <c r="K46">
        <v>2034</v>
      </c>
      <c r="L46">
        <v>1071</v>
      </c>
    </row>
    <row r="47" spans="1:12">
      <c r="A47" t="s">
        <v>301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 t="s">
        <v>4</v>
      </c>
      <c r="J47">
        <v>0</v>
      </c>
      <c r="K47" t="s">
        <v>4</v>
      </c>
      <c r="L47">
        <v>0</v>
      </c>
    </row>
    <row r="48" spans="1:12">
      <c r="A48" t="s">
        <v>302</v>
      </c>
      <c r="B48" t="s">
        <v>4</v>
      </c>
      <c r="C48" t="s">
        <v>4</v>
      </c>
      <c r="D48" t="s">
        <v>4</v>
      </c>
      <c r="E48" t="s">
        <v>4</v>
      </c>
      <c r="F48" t="s">
        <v>4</v>
      </c>
      <c r="G48" t="s">
        <v>4</v>
      </c>
      <c r="H48" t="s">
        <v>4</v>
      </c>
      <c r="I48" t="s">
        <v>4</v>
      </c>
      <c r="J48">
        <v>0</v>
      </c>
      <c r="K48" t="s">
        <v>4</v>
      </c>
      <c r="L48">
        <v>0</v>
      </c>
    </row>
    <row r="49" spans="1:12">
      <c r="A49" t="s">
        <v>303</v>
      </c>
      <c r="B49" t="s">
        <v>4</v>
      </c>
      <c r="C49" t="s">
        <v>4</v>
      </c>
      <c r="D49" t="s">
        <v>4</v>
      </c>
      <c r="E49" t="s">
        <v>4</v>
      </c>
      <c r="F49" t="s">
        <v>4</v>
      </c>
      <c r="G49" t="s">
        <v>4</v>
      </c>
      <c r="H49" t="s">
        <v>4</v>
      </c>
      <c r="I49" t="s">
        <v>4</v>
      </c>
      <c r="J49">
        <v>0</v>
      </c>
      <c r="K49" t="s">
        <v>4</v>
      </c>
      <c r="L49">
        <v>0</v>
      </c>
    </row>
    <row r="50" spans="1:12">
      <c r="A50" t="s">
        <v>304</v>
      </c>
      <c r="B50">
        <v>252105</v>
      </c>
      <c r="C50">
        <v>261156</v>
      </c>
      <c r="D50">
        <v>225200</v>
      </c>
      <c r="E50">
        <v>161164</v>
      </c>
      <c r="F50">
        <v>143519</v>
      </c>
      <c r="G50">
        <v>120073</v>
      </c>
      <c r="H50">
        <v>80705</v>
      </c>
      <c r="I50">
        <v>22935</v>
      </c>
      <c r="J50">
        <v>13684</v>
      </c>
      <c r="K50">
        <v>14384</v>
      </c>
      <c r="L50">
        <v>13079</v>
      </c>
    </row>
    <row r="51" spans="1:12">
      <c r="A51" t="s">
        <v>305</v>
      </c>
      <c r="B51" t="s">
        <v>4</v>
      </c>
      <c r="C51" t="s">
        <v>4</v>
      </c>
      <c r="D51" t="s">
        <v>4</v>
      </c>
      <c r="E51" t="s">
        <v>4</v>
      </c>
      <c r="F51" t="s">
        <v>4</v>
      </c>
      <c r="G51" t="s">
        <v>4</v>
      </c>
      <c r="H51" t="s">
        <v>4</v>
      </c>
      <c r="I51" t="s">
        <v>4</v>
      </c>
      <c r="J51">
        <v>0</v>
      </c>
      <c r="K51" t="s">
        <v>4</v>
      </c>
      <c r="L51">
        <v>0</v>
      </c>
    </row>
    <row r="52" spans="1:12">
      <c r="A52" t="s">
        <v>306</v>
      </c>
      <c r="B52">
        <v>27752</v>
      </c>
      <c r="C52">
        <v>27752</v>
      </c>
      <c r="D52">
        <v>27752</v>
      </c>
      <c r="E52">
        <v>27752</v>
      </c>
      <c r="F52">
        <v>27752</v>
      </c>
      <c r="G52">
        <v>27752</v>
      </c>
      <c r="H52">
        <v>27752</v>
      </c>
      <c r="I52">
        <v>27752</v>
      </c>
      <c r="J52">
        <v>0</v>
      </c>
      <c r="K52" t="s">
        <v>4</v>
      </c>
      <c r="L52">
        <v>0</v>
      </c>
    </row>
    <row r="53" spans="1:12">
      <c r="A53" t="s">
        <v>307</v>
      </c>
      <c r="B53">
        <v>1547</v>
      </c>
      <c r="C53">
        <v>1756</v>
      </c>
      <c r="D53" t="s">
        <v>4</v>
      </c>
      <c r="E53">
        <v>3336</v>
      </c>
      <c r="F53">
        <v>1372</v>
      </c>
      <c r="G53">
        <v>1525</v>
      </c>
      <c r="H53">
        <v>1096</v>
      </c>
      <c r="I53">
        <v>892</v>
      </c>
      <c r="J53">
        <v>0</v>
      </c>
      <c r="K53" t="s">
        <v>4</v>
      </c>
      <c r="L53">
        <v>0</v>
      </c>
    </row>
    <row r="54" spans="1:12">
      <c r="A54" t="s">
        <v>308</v>
      </c>
      <c r="B54">
        <v>102534</v>
      </c>
      <c r="C54">
        <v>44760</v>
      </c>
      <c r="D54">
        <v>33754</v>
      </c>
      <c r="E54">
        <v>28956</v>
      </c>
      <c r="F54">
        <v>14925</v>
      </c>
      <c r="G54">
        <v>10754</v>
      </c>
      <c r="H54">
        <v>5570</v>
      </c>
      <c r="I54">
        <v>3084</v>
      </c>
      <c r="J54">
        <v>3992</v>
      </c>
      <c r="K54">
        <v>3120</v>
      </c>
      <c r="L54">
        <v>4966</v>
      </c>
    </row>
    <row r="55" spans="1:12">
      <c r="A55" t="s">
        <v>309</v>
      </c>
      <c r="B55">
        <v>1490</v>
      </c>
      <c r="C55">
        <v>1819</v>
      </c>
      <c r="D55">
        <v>2071</v>
      </c>
      <c r="E55">
        <v>1951</v>
      </c>
      <c r="F55">
        <v>1921</v>
      </c>
      <c r="G55">
        <v>1664</v>
      </c>
      <c r="H55">
        <v>1746</v>
      </c>
      <c r="I55">
        <v>2861</v>
      </c>
      <c r="J55">
        <v>237</v>
      </c>
      <c r="K55">
        <v>264</v>
      </c>
      <c r="L55">
        <v>290</v>
      </c>
    </row>
    <row r="56" spans="1:12">
      <c r="A56" t="s">
        <v>310</v>
      </c>
      <c r="B56">
        <v>100785</v>
      </c>
      <c r="C56">
        <v>34810</v>
      </c>
      <c r="D56">
        <v>71239</v>
      </c>
      <c r="E56">
        <v>74913</v>
      </c>
      <c r="F56">
        <v>251241</v>
      </c>
      <c r="G56">
        <v>136509</v>
      </c>
      <c r="H56" t="s">
        <v>4</v>
      </c>
      <c r="I56" t="s">
        <v>4</v>
      </c>
      <c r="J56">
        <v>0</v>
      </c>
      <c r="K56" t="s">
        <v>4</v>
      </c>
      <c r="L56">
        <v>0</v>
      </c>
    </row>
    <row r="57" spans="1:12" s="14" customFormat="1">
      <c r="A57" s="14" t="s">
        <v>311</v>
      </c>
      <c r="B57" s="14">
        <f>SUM(B44:B56)</f>
        <v>3977799</v>
      </c>
      <c r="C57" s="14">
        <f t="shared" ref="C57:L57" si="4">SUM(C44:C56)</f>
        <v>3688724</v>
      </c>
      <c r="D57" s="14">
        <f t="shared" si="4"/>
        <v>3634455</v>
      </c>
      <c r="E57" s="14">
        <f t="shared" si="4"/>
        <v>3155192</v>
      </c>
      <c r="F57" s="14">
        <f t="shared" si="4"/>
        <v>2265243</v>
      </c>
      <c r="G57" s="14">
        <f t="shared" si="4"/>
        <v>1401969</v>
      </c>
      <c r="H57" s="14">
        <f t="shared" si="4"/>
        <v>967342</v>
      </c>
      <c r="I57" s="14">
        <f t="shared" si="4"/>
        <v>797731</v>
      </c>
      <c r="J57" s="14">
        <f t="shared" si="4"/>
        <v>570374</v>
      </c>
      <c r="K57" s="14">
        <f t="shared" si="4"/>
        <v>384535</v>
      </c>
      <c r="L57" s="14">
        <f t="shared" si="4"/>
        <v>350028</v>
      </c>
    </row>
    <row r="58" spans="1:12" s="7" customFormat="1">
      <c r="A58" s="15" t="s">
        <v>312</v>
      </c>
      <c r="B58" s="7">
        <f>SUM(B42+B57)</f>
        <v>7555267</v>
      </c>
      <c r="C58" s="7">
        <f t="shared" ref="C58:L58" si="5">SUM(C42+C57)</f>
        <v>5884409</v>
      </c>
      <c r="D58" s="7">
        <f t="shared" si="5"/>
        <v>5286290</v>
      </c>
      <c r="E58" s="7">
        <f t="shared" si="5"/>
        <v>4682509</v>
      </c>
      <c r="F58" s="7">
        <f t="shared" si="5"/>
        <v>3533094</v>
      </c>
      <c r="G58" s="7">
        <f t="shared" si="5"/>
        <v>2441036</v>
      </c>
      <c r="H58" s="7">
        <f t="shared" si="5"/>
        <v>1771438</v>
      </c>
      <c r="I58" s="7">
        <f t="shared" si="5"/>
        <v>1298137</v>
      </c>
      <c r="J58" s="7">
        <f t="shared" si="5"/>
        <v>917637</v>
      </c>
      <c r="K58" s="7">
        <f t="shared" si="5"/>
        <v>711302</v>
      </c>
      <c r="L58" s="7">
        <f t="shared" si="5"/>
        <v>718244</v>
      </c>
    </row>
    <row r="59" spans="1:12" s="12" customFormat="1">
      <c r="A59" s="11" t="s">
        <v>313</v>
      </c>
      <c r="B59" s="12">
        <f>SUM(B15+B16+B58)</f>
        <v>7916127</v>
      </c>
      <c r="C59" s="12">
        <f t="shared" ref="C59:L59" si="6">SUM(C15+C16+C58)</f>
        <v>6121419</v>
      </c>
      <c r="D59" s="12">
        <f t="shared" si="6"/>
        <v>5513539</v>
      </c>
      <c r="E59" s="12">
        <f t="shared" si="6"/>
        <v>4796606</v>
      </c>
      <c r="F59" s="12">
        <f t="shared" si="6"/>
        <v>3650817</v>
      </c>
      <c r="G59" s="12">
        <f t="shared" si="6"/>
        <v>2593678</v>
      </c>
      <c r="H59" s="12">
        <f t="shared" si="6"/>
        <v>1965172</v>
      </c>
      <c r="I59" s="12">
        <f t="shared" si="6"/>
        <v>1411245</v>
      </c>
      <c r="J59" s="12">
        <f t="shared" si="6"/>
        <v>1060983</v>
      </c>
      <c r="K59" s="12">
        <f t="shared" si="6"/>
        <v>857498</v>
      </c>
      <c r="L59" s="12">
        <f t="shared" si="6"/>
        <v>864659</v>
      </c>
    </row>
    <row r="60" spans="1:12">
      <c r="A60" s="2" t="s">
        <v>314</v>
      </c>
    </row>
    <row r="61" spans="1:12">
      <c r="A61" s="5" t="s">
        <v>315</v>
      </c>
    </row>
    <row r="62" spans="1:12">
      <c r="A62" s="5" t="s">
        <v>316</v>
      </c>
      <c r="B62">
        <v>1271457</v>
      </c>
      <c r="C62">
        <v>850147</v>
      </c>
      <c r="D62">
        <v>963786</v>
      </c>
      <c r="E62">
        <v>449644</v>
      </c>
      <c r="F62">
        <v>375212</v>
      </c>
      <c r="G62">
        <v>376473</v>
      </c>
      <c r="H62">
        <v>325871</v>
      </c>
      <c r="I62">
        <v>227657</v>
      </c>
      <c r="J62">
        <v>212684</v>
      </c>
      <c r="K62">
        <v>83909</v>
      </c>
      <c r="L62">
        <v>110834</v>
      </c>
    </row>
    <row r="63" spans="1:12">
      <c r="A63" s="5" t="s">
        <v>347</v>
      </c>
      <c r="B63">
        <v>3197</v>
      </c>
      <c r="C63">
        <v>9171</v>
      </c>
      <c r="D63">
        <v>7525</v>
      </c>
      <c r="E63">
        <v>7699</v>
      </c>
      <c r="F63">
        <v>6453</v>
      </c>
      <c r="G63">
        <v>6278</v>
      </c>
      <c r="H63">
        <v>4662</v>
      </c>
      <c r="I63">
        <v>1312</v>
      </c>
      <c r="J63">
        <v>239</v>
      </c>
      <c r="K63">
        <v>409</v>
      </c>
      <c r="L63">
        <v>928</v>
      </c>
    </row>
    <row r="64" spans="1:12">
      <c r="A64" s="5" t="s">
        <v>317</v>
      </c>
      <c r="B64" t="s">
        <v>4</v>
      </c>
      <c r="C64" t="s">
        <v>4</v>
      </c>
      <c r="D64" t="s">
        <v>4</v>
      </c>
      <c r="E64">
        <v>409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>
        <v>0</v>
      </c>
      <c r="L64">
        <v>0</v>
      </c>
    </row>
    <row r="65" spans="1:12">
      <c r="A65" s="5" t="s">
        <v>318</v>
      </c>
    </row>
    <row r="66" spans="1:12">
      <c r="A66" s="5" t="s">
        <v>319</v>
      </c>
      <c r="B66">
        <v>267051</v>
      </c>
      <c r="C66">
        <v>404513</v>
      </c>
      <c r="D66">
        <v>251280</v>
      </c>
      <c r="E66">
        <v>251199</v>
      </c>
      <c r="F66">
        <v>128396</v>
      </c>
      <c r="G66">
        <v>102524</v>
      </c>
      <c r="H66">
        <v>102572</v>
      </c>
      <c r="I66">
        <v>29471</v>
      </c>
      <c r="J66">
        <v>12535</v>
      </c>
      <c r="K66">
        <v>43187</v>
      </c>
      <c r="L66">
        <v>40324</v>
      </c>
    </row>
    <row r="67" spans="1:12">
      <c r="A67" s="5" t="s">
        <v>320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t="s">
        <v>4</v>
      </c>
      <c r="H67" t="s">
        <v>4</v>
      </c>
      <c r="I67" t="s">
        <v>4</v>
      </c>
      <c r="J67">
        <v>0</v>
      </c>
      <c r="K67" t="s">
        <v>4</v>
      </c>
      <c r="L67">
        <v>0</v>
      </c>
    </row>
    <row r="68" spans="1:12">
      <c r="A68" s="5" t="s">
        <v>321</v>
      </c>
    </row>
    <row r="69" spans="1:12">
      <c r="A69" s="5" t="s">
        <v>322</v>
      </c>
      <c r="B69">
        <v>632165</v>
      </c>
      <c r="C69">
        <v>933334</v>
      </c>
      <c r="D69">
        <v>1144024</v>
      </c>
      <c r="E69">
        <v>1283752</v>
      </c>
      <c r="F69">
        <v>789084</v>
      </c>
      <c r="G69">
        <v>344246</v>
      </c>
      <c r="H69">
        <v>241422</v>
      </c>
      <c r="I69">
        <v>202294</v>
      </c>
      <c r="J69">
        <v>62066</v>
      </c>
      <c r="K69">
        <v>41249</v>
      </c>
      <c r="L69">
        <v>29949</v>
      </c>
    </row>
    <row r="70" spans="1:12">
      <c r="A70" s="5" t="s">
        <v>323</v>
      </c>
      <c r="B70" t="s">
        <v>4</v>
      </c>
      <c r="C70" t="s">
        <v>4</v>
      </c>
      <c r="D70">
        <v>198000</v>
      </c>
      <c r="E70">
        <v>200000</v>
      </c>
      <c r="F70">
        <v>100000</v>
      </c>
      <c r="G70">
        <v>100000</v>
      </c>
      <c r="H70" t="s">
        <v>4</v>
      </c>
      <c r="I70" t="s">
        <v>4</v>
      </c>
      <c r="J70">
        <v>0</v>
      </c>
      <c r="K70" t="s">
        <v>4</v>
      </c>
      <c r="L70">
        <v>0</v>
      </c>
    </row>
    <row r="71" spans="1:12">
      <c r="A71" s="5" t="s">
        <v>324</v>
      </c>
      <c r="B71">
        <v>135</v>
      </c>
      <c r="C71">
        <v>271</v>
      </c>
      <c r="D71">
        <v>406</v>
      </c>
      <c r="E71">
        <v>541</v>
      </c>
      <c r="F71">
        <v>676</v>
      </c>
      <c r="G71">
        <v>812</v>
      </c>
      <c r="H71">
        <v>947</v>
      </c>
      <c r="I71">
        <v>1082</v>
      </c>
      <c r="J71">
        <v>1217</v>
      </c>
      <c r="K71">
        <v>1353</v>
      </c>
      <c r="L71">
        <v>28333</v>
      </c>
    </row>
    <row r="72" spans="1:12" s="7" customFormat="1">
      <c r="A72" s="8" t="s">
        <v>325</v>
      </c>
      <c r="B72" s="7">
        <f>SUM(B62:B71)</f>
        <v>2174005</v>
      </c>
      <c r="C72" s="7">
        <f t="shared" ref="C72:L72" si="7">SUM(C62:C71)</f>
        <v>2197436</v>
      </c>
      <c r="D72" s="7">
        <f t="shared" si="7"/>
        <v>2565021</v>
      </c>
      <c r="E72" s="7">
        <f t="shared" si="7"/>
        <v>2193244</v>
      </c>
      <c r="F72" s="7">
        <f t="shared" si="7"/>
        <v>1399821</v>
      </c>
      <c r="G72" s="7">
        <f t="shared" si="7"/>
        <v>930333</v>
      </c>
      <c r="H72" s="7">
        <f t="shared" si="7"/>
        <v>675474</v>
      </c>
      <c r="I72" s="7">
        <f t="shared" si="7"/>
        <v>461816</v>
      </c>
      <c r="J72" s="7">
        <f t="shared" si="7"/>
        <v>288741</v>
      </c>
      <c r="K72" s="7">
        <f t="shared" si="7"/>
        <v>170107</v>
      </c>
      <c r="L72" s="7">
        <f t="shared" si="7"/>
        <v>210368</v>
      </c>
    </row>
    <row r="73" spans="1:12">
      <c r="A73" s="5" t="s">
        <v>326</v>
      </c>
    </row>
    <row r="74" spans="1:12">
      <c r="A74" s="5" t="s">
        <v>327</v>
      </c>
      <c r="B74">
        <v>273401</v>
      </c>
      <c r="C74">
        <v>216233</v>
      </c>
      <c r="D74">
        <v>216233</v>
      </c>
      <c r="E74">
        <v>216233</v>
      </c>
      <c r="F74">
        <v>216233</v>
      </c>
      <c r="G74">
        <v>216233</v>
      </c>
      <c r="H74">
        <v>216233</v>
      </c>
      <c r="I74">
        <v>166333</v>
      </c>
      <c r="J74">
        <v>166333</v>
      </c>
      <c r="K74">
        <v>166333</v>
      </c>
      <c r="L74">
        <v>166333</v>
      </c>
    </row>
    <row r="75" spans="1:12">
      <c r="A75" s="5" t="s">
        <v>328</v>
      </c>
    </row>
    <row r="76" spans="1:12">
      <c r="A76" s="5" t="s">
        <v>329</v>
      </c>
    </row>
    <row r="77" spans="1:12">
      <c r="A77" s="5" t="s">
        <v>330</v>
      </c>
      <c r="B77">
        <v>239283</v>
      </c>
      <c r="C77">
        <v>4841</v>
      </c>
      <c r="D77">
        <v>4834</v>
      </c>
      <c r="E77">
        <v>4834</v>
      </c>
      <c r="F77">
        <v>3005</v>
      </c>
      <c r="G77">
        <v>3359</v>
      </c>
      <c r="H77">
        <v>4839</v>
      </c>
      <c r="I77">
        <v>10873</v>
      </c>
      <c r="J77">
        <v>4784</v>
      </c>
      <c r="K77">
        <v>4784</v>
      </c>
      <c r="L77">
        <v>3879</v>
      </c>
    </row>
    <row r="78" spans="1:12">
      <c r="A78" s="5" t="s">
        <v>331</v>
      </c>
      <c r="B78" t="s">
        <v>4</v>
      </c>
      <c r="C78" t="s">
        <v>4</v>
      </c>
      <c r="D78" t="s">
        <v>4</v>
      </c>
      <c r="E78" t="s">
        <v>4</v>
      </c>
      <c r="F78" t="s">
        <v>4</v>
      </c>
      <c r="G78" t="s">
        <v>4</v>
      </c>
      <c r="H78" t="s">
        <v>4</v>
      </c>
      <c r="I78" t="s">
        <v>4</v>
      </c>
      <c r="J78">
        <v>0</v>
      </c>
      <c r="K78" t="s">
        <v>4</v>
      </c>
      <c r="L78">
        <v>0</v>
      </c>
    </row>
    <row r="79" spans="1:12">
      <c r="A79" s="5" t="s">
        <v>332</v>
      </c>
    </row>
    <row r="80" spans="1:12">
      <c r="A80" s="5" t="s">
        <v>333</v>
      </c>
      <c r="B80" t="s">
        <v>4</v>
      </c>
      <c r="C80" t="s">
        <v>4</v>
      </c>
      <c r="D80" t="s">
        <v>4</v>
      </c>
      <c r="E80">
        <v>70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 t="s">
        <v>4</v>
      </c>
      <c r="L80" t="s">
        <v>4</v>
      </c>
    </row>
    <row r="81" spans="1:12">
      <c r="A81" s="5" t="s">
        <v>334</v>
      </c>
      <c r="B81">
        <v>282317</v>
      </c>
      <c r="C81">
        <v>157931</v>
      </c>
      <c r="D81">
        <v>157931</v>
      </c>
      <c r="E81">
        <v>157931</v>
      </c>
      <c r="F81">
        <v>157931</v>
      </c>
      <c r="G81">
        <v>157931</v>
      </c>
      <c r="H81">
        <v>147799</v>
      </c>
      <c r="I81">
        <v>115025</v>
      </c>
      <c r="J81">
        <v>96371</v>
      </c>
      <c r="K81">
        <v>81842</v>
      </c>
      <c r="L81">
        <v>62163</v>
      </c>
    </row>
    <row r="82" spans="1:12">
      <c r="A82" s="5" t="s">
        <v>335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 t="s">
        <v>4</v>
      </c>
      <c r="L82">
        <v>0</v>
      </c>
    </row>
    <row r="83" spans="1:12">
      <c r="A83" s="5" t="s">
        <v>336</v>
      </c>
      <c r="B83">
        <v>1932001</v>
      </c>
      <c r="C83">
        <v>1102392</v>
      </c>
      <c r="D83">
        <v>777697</v>
      </c>
      <c r="E83">
        <v>681592</v>
      </c>
      <c r="F83">
        <v>591019</v>
      </c>
      <c r="G83">
        <v>453241</v>
      </c>
      <c r="H83">
        <v>358225</v>
      </c>
      <c r="I83">
        <v>322043</v>
      </c>
      <c r="J83">
        <v>237576</v>
      </c>
      <c r="K83">
        <v>228634</v>
      </c>
      <c r="L83">
        <v>159963</v>
      </c>
    </row>
    <row r="84" spans="1:12">
      <c r="A84" s="5" t="s">
        <v>337</v>
      </c>
      <c r="B84" t="s">
        <v>4</v>
      </c>
      <c r="C84" t="s">
        <v>4</v>
      </c>
      <c r="D84" t="s">
        <v>4</v>
      </c>
      <c r="E84" t="s">
        <v>4</v>
      </c>
      <c r="F84" t="s">
        <v>4</v>
      </c>
      <c r="G84" t="s">
        <v>4</v>
      </c>
      <c r="H84">
        <v>21530</v>
      </c>
      <c r="I84" t="s">
        <v>4</v>
      </c>
      <c r="J84">
        <v>0</v>
      </c>
      <c r="K84" t="s">
        <v>4</v>
      </c>
      <c r="L84">
        <v>0</v>
      </c>
    </row>
    <row r="85" spans="1:12">
      <c r="A85" s="5" t="s">
        <v>338</v>
      </c>
      <c r="B85" t="s">
        <v>4</v>
      </c>
      <c r="C85" t="s">
        <v>4</v>
      </c>
      <c r="D85" t="s">
        <v>4</v>
      </c>
      <c r="E85" t="s">
        <v>4</v>
      </c>
      <c r="F85">
        <v>-397</v>
      </c>
      <c r="G85">
        <v>-326</v>
      </c>
      <c r="H85">
        <v>-349</v>
      </c>
      <c r="I85">
        <v>374</v>
      </c>
      <c r="J85">
        <v>59</v>
      </c>
      <c r="K85">
        <v>153</v>
      </c>
      <c r="L85">
        <v>64</v>
      </c>
    </row>
    <row r="86" spans="1:12">
      <c r="A86" s="5" t="s">
        <v>339</v>
      </c>
      <c r="B86" t="s">
        <v>4</v>
      </c>
      <c r="C86" t="s">
        <v>4</v>
      </c>
      <c r="D86" t="s">
        <v>4</v>
      </c>
      <c r="E86" t="s">
        <v>4</v>
      </c>
      <c r="F86" t="s">
        <v>4</v>
      </c>
      <c r="G86" t="s">
        <v>4</v>
      </c>
      <c r="H86" t="s">
        <v>4</v>
      </c>
      <c r="I86" t="s">
        <v>4</v>
      </c>
      <c r="J86">
        <v>0</v>
      </c>
      <c r="K86" t="s">
        <v>4</v>
      </c>
      <c r="L86">
        <v>0</v>
      </c>
    </row>
    <row r="87" spans="1:12">
      <c r="A87" s="5" t="s">
        <v>340</v>
      </c>
    </row>
    <row r="88" spans="1:12">
      <c r="A88" s="5" t="s">
        <v>341</v>
      </c>
    </row>
    <row r="89" spans="1:12">
      <c r="A89" s="5" t="s">
        <v>342</v>
      </c>
      <c r="B89">
        <v>2727954</v>
      </c>
      <c r="C89">
        <v>1482159</v>
      </c>
      <c r="D89">
        <v>1157097</v>
      </c>
      <c r="E89">
        <v>1059408</v>
      </c>
      <c r="F89">
        <v>967792</v>
      </c>
      <c r="G89">
        <v>830439</v>
      </c>
      <c r="H89">
        <v>726748</v>
      </c>
      <c r="I89">
        <v>614648</v>
      </c>
      <c r="J89">
        <v>505124</v>
      </c>
      <c r="K89">
        <v>481746</v>
      </c>
      <c r="L89">
        <v>392402</v>
      </c>
    </row>
    <row r="90" spans="1:12">
      <c r="A90" s="5" t="s">
        <v>343</v>
      </c>
      <c r="B90">
        <v>347459</v>
      </c>
      <c r="C90">
        <v>351235</v>
      </c>
      <c r="D90">
        <v>325226</v>
      </c>
      <c r="E90">
        <v>269159</v>
      </c>
      <c r="F90">
        <v>210303</v>
      </c>
      <c r="G90">
        <v>153842</v>
      </c>
      <c r="H90">
        <v>94814</v>
      </c>
      <c r="I90">
        <v>100874</v>
      </c>
      <c r="J90">
        <v>77388</v>
      </c>
      <c r="K90">
        <v>63196</v>
      </c>
      <c r="L90">
        <v>51446</v>
      </c>
    </row>
    <row r="91" spans="1:12" s="7" customFormat="1">
      <c r="A91" s="8" t="s">
        <v>344</v>
      </c>
      <c r="B91" s="7">
        <f>SUM(B74:B90)</f>
        <v>5802415</v>
      </c>
      <c r="C91" s="7">
        <f t="shared" ref="C91:L91" si="8">SUM(C74:C90)</f>
        <v>3314791</v>
      </c>
      <c r="D91" s="7">
        <f t="shared" si="8"/>
        <v>2639018</v>
      </c>
      <c r="E91" s="7">
        <f t="shared" si="8"/>
        <v>2389227</v>
      </c>
      <c r="F91" s="7">
        <f t="shared" si="8"/>
        <v>2145886</v>
      </c>
      <c r="G91" s="7">
        <f t="shared" si="8"/>
        <v>1814719</v>
      </c>
      <c r="H91" s="7">
        <f t="shared" si="8"/>
        <v>1569839</v>
      </c>
      <c r="I91" s="7">
        <f t="shared" si="8"/>
        <v>1330170</v>
      </c>
      <c r="J91" s="7">
        <f t="shared" si="8"/>
        <v>1087635</v>
      </c>
      <c r="K91" s="7">
        <f t="shared" si="8"/>
        <v>1026688</v>
      </c>
      <c r="L91" s="7">
        <f t="shared" si="8"/>
        <v>836250</v>
      </c>
    </row>
    <row r="92" spans="1:12" s="10" customFormat="1">
      <c r="A92" s="9" t="s">
        <v>345</v>
      </c>
      <c r="B92" s="10">
        <f>SUM(B72+B91)</f>
        <v>7976420</v>
      </c>
      <c r="C92" s="10">
        <f t="shared" ref="C92:L92" si="9">SUM(C72+C91)</f>
        <v>5512227</v>
      </c>
      <c r="D92" s="10">
        <f t="shared" si="9"/>
        <v>5204039</v>
      </c>
      <c r="E92" s="10">
        <f t="shared" si="9"/>
        <v>4582471</v>
      </c>
      <c r="F92" s="10">
        <f t="shared" si="9"/>
        <v>3545707</v>
      </c>
      <c r="G92" s="10">
        <f t="shared" si="9"/>
        <v>2745052</v>
      </c>
      <c r="H92" s="10">
        <f t="shared" si="9"/>
        <v>2245313</v>
      </c>
      <c r="I92" s="10">
        <f t="shared" si="9"/>
        <v>1791986</v>
      </c>
      <c r="J92" s="10">
        <f t="shared" si="9"/>
        <v>1376376</v>
      </c>
      <c r="K92" s="10">
        <f t="shared" si="9"/>
        <v>1196795</v>
      </c>
      <c r="L92" s="10">
        <f t="shared" si="9"/>
        <v>1046618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资产负债表</vt:lpstr>
      <vt:lpstr>利润表</vt:lpstr>
      <vt:lpstr>现金流量表</vt:lpstr>
      <vt:lpstr>财务报表摘要</vt:lpstr>
      <vt:lpstr>资产资本表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2018-12-06T09:47:44Z</dcterms:modified>
</cp:coreProperties>
</file>