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tabRatio="898" activeTab="7"/>
  </bookViews>
  <sheets>
    <sheet name="资产负债表" sheetId="1" r:id="rId1"/>
    <sheet name="利润表" sheetId="2" r:id="rId2"/>
    <sheet name="现金流量表" sheetId="3" r:id="rId3"/>
    <sheet name="财务报表摘要" sheetId="4" r:id="rId4"/>
    <sheet name="资产资本表" sheetId="5" r:id="rId5"/>
    <sheet name="股权价值增加表" sheetId="6" r:id="rId6"/>
    <sheet name="投资和筹资活动现金流表" sheetId="7" r:id="rId7"/>
    <sheet name="平均资本成本表" sheetId="8" r:id="rId8"/>
    <sheet name="资产资本结构分析表" sheetId="9" r:id="rId9"/>
    <sheet name="股权价值增加分析表" sheetId="10" r:id="rId10"/>
    <sheet name="股东权益回报率分析表" sheetId="11" r:id="rId11"/>
    <sheet name="自由现金流分析表" sheetId="12" r:id="rId12"/>
    <sheet name="根据DCF测算价值表" sheetId="13" r:id="rId13"/>
  </sheets>
  <functionGroups builtInGroupCount="17"/>
  <calcPr calcId="144525"/>
</workbook>
</file>

<file path=xl/calcChain.xml><?xml version="1.0" encoding="utf-8"?>
<calcChain xmlns="http://schemas.openxmlformats.org/spreadsheetml/2006/main">
  <c r="F9" i="8" l="1"/>
  <c r="G9" i="8"/>
  <c r="H9" i="8"/>
  <c r="I9" i="8"/>
  <c r="J9" i="8"/>
  <c r="K9" i="8"/>
  <c r="L9" i="8"/>
  <c r="M9" i="8"/>
  <c r="M13" i="8" s="1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E9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BT13" i="8"/>
  <c r="BU13" i="8"/>
  <c r="E13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E12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BT11" i="8"/>
  <c r="BU11" i="8"/>
  <c r="BV11" i="8"/>
  <c r="E11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E10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E8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BT7" i="8"/>
  <c r="BU7" i="8"/>
  <c r="BV7" i="8"/>
  <c r="E7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BT6" i="8"/>
  <c r="BU6" i="8"/>
  <c r="E6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BT5" i="8"/>
  <c r="BU5" i="8"/>
  <c r="BV5" i="8"/>
  <c r="F5" i="8"/>
  <c r="G5" i="8"/>
  <c r="H5" i="8"/>
  <c r="I5" i="8"/>
  <c r="J5" i="8"/>
  <c r="K5" i="8"/>
  <c r="L5" i="8"/>
  <c r="M5" i="8"/>
  <c r="E5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BU4" i="8"/>
  <c r="BV4" i="8"/>
  <c r="E4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BT3" i="8"/>
  <c r="BU3" i="8"/>
  <c r="BV3" i="8"/>
  <c r="E3" i="8"/>
  <c r="B3" i="8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E48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F45" i="7"/>
  <c r="G45" i="7"/>
  <c r="H45" i="7"/>
  <c r="I45" i="7"/>
  <c r="E45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E42" i="7"/>
  <c r="BV19" i="7"/>
  <c r="BV23" i="7"/>
  <c r="BV35" i="7" s="1"/>
  <c r="BT22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E35" i="7"/>
  <c r="D35" i="7"/>
  <c r="C35" i="7"/>
  <c r="B35" i="7"/>
  <c r="BU22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E17" i="7"/>
  <c r="BT12" i="7"/>
  <c r="BU12" i="7"/>
  <c r="BV12" i="7"/>
  <c r="F34" i="7"/>
  <c r="G34" i="7"/>
  <c r="H34" i="7"/>
  <c r="I34" i="7"/>
  <c r="E12" i="7" s="1"/>
  <c r="J34" i="7"/>
  <c r="F12" i="7" s="1"/>
  <c r="K34" i="7"/>
  <c r="G12" i="7" s="1"/>
  <c r="L34" i="7"/>
  <c r="H12" i="7" s="1"/>
  <c r="M34" i="7"/>
  <c r="I12" i="7" s="1"/>
  <c r="N34" i="7"/>
  <c r="J12" i="7" s="1"/>
  <c r="O34" i="7"/>
  <c r="K12" i="7" s="1"/>
  <c r="P34" i="7"/>
  <c r="L12" i="7" s="1"/>
  <c r="Q34" i="7"/>
  <c r="M12" i="7" s="1"/>
  <c r="R34" i="7"/>
  <c r="N12" i="7" s="1"/>
  <c r="S34" i="7"/>
  <c r="O12" i="7" s="1"/>
  <c r="T34" i="7"/>
  <c r="P12" i="7" s="1"/>
  <c r="U34" i="7"/>
  <c r="Q12" i="7" s="1"/>
  <c r="V34" i="7"/>
  <c r="R12" i="7" s="1"/>
  <c r="W34" i="7"/>
  <c r="S12" i="7" s="1"/>
  <c r="X34" i="7"/>
  <c r="T12" i="7" s="1"/>
  <c r="Y34" i="7"/>
  <c r="U12" i="7" s="1"/>
  <c r="Z34" i="7"/>
  <c r="V12" i="7" s="1"/>
  <c r="AA34" i="7"/>
  <c r="W12" i="7" s="1"/>
  <c r="AB34" i="7"/>
  <c r="X12" i="7" s="1"/>
  <c r="AC34" i="7"/>
  <c r="Y12" i="7" s="1"/>
  <c r="AD34" i="7"/>
  <c r="Z12" i="7" s="1"/>
  <c r="AE34" i="7"/>
  <c r="AA12" i="7" s="1"/>
  <c r="AF34" i="7"/>
  <c r="AB12" i="7" s="1"/>
  <c r="AG34" i="7"/>
  <c r="AC12" i="7" s="1"/>
  <c r="AH34" i="7"/>
  <c r="AD12" i="7" s="1"/>
  <c r="AI34" i="7"/>
  <c r="AE12" i="7" s="1"/>
  <c r="AJ34" i="7"/>
  <c r="AF12" i="7" s="1"/>
  <c r="AK34" i="7"/>
  <c r="AG12" i="7" s="1"/>
  <c r="AL34" i="7"/>
  <c r="AH12" i="7" s="1"/>
  <c r="AM34" i="7"/>
  <c r="AI12" i="7" s="1"/>
  <c r="AN34" i="7"/>
  <c r="AJ12" i="7" s="1"/>
  <c r="AO34" i="7"/>
  <c r="AK12" i="7" s="1"/>
  <c r="AP34" i="7"/>
  <c r="AL12" i="7" s="1"/>
  <c r="AQ34" i="7"/>
  <c r="AM12" i="7" s="1"/>
  <c r="AR34" i="7"/>
  <c r="AN12" i="7" s="1"/>
  <c r="AS34" i="7"/>
  <c r="AO12" i="7" s="1"/>
  <c r="AT34" i="7"/>
  <c r="AP12" i="7" s="1"/>
  <c r="AU34" i="7"/>
  <c r="AQ12" i="7" s="1"/>
  <c r="AV34" i="7"/>
  <c r="AR12" i="7" s="1"/>
  <c r="AW34" i="7"/>
  <c r="AS12" i="7" s="1"/>
  <c r="AX34" i="7"/>
  <c r="AT12" i="7" s="1"/>
  <c r="AY34" i="7"/>
  <c r="AU12" i="7" s="1"/>
  <c r="AZ34" i="7"/>
  <c r="AV12" i="7" s="1"/>
  <c r="BA34" i="7"/>
  <c r="AW12" i="7" s="1"/>
  <c r="BB34" i="7"/>
  <c r="AX12" i="7" s="1"/>
  <c r="BC34" i="7"/>
  <c r="AY12" i="7" s="1"/>
  <c r="BD34" i="7"/>
  <c r="AZ12" i="7" s="1"/>
  <c r="BE34" i="7"/>
  <c r="BA12" i="7" s="1"/>
  <c r="BF34" i="7"/>
  <c r="BB12" i="7" s="1"/>
  <c r="BG34" i="7"/>
  <c r="BC12" i="7" s="1"/>
  <c r="BH34" i="7"/>
  <c r="BD12" i="7" s="1"/>
  <c r="BI34" i="7"/>
  <c r="BE12" i="7" s="1"/>
  <c r="BJ34" i="7"/>
  <c r="BF12" i="7" s="1"/>
  <c r="BK34" i="7"/>
  <c r="BG12" i="7" s="1"/>
  <c r="BL34" i="7"/>
  <c r="BH12" i="7" s="1"/>
  <c r="BM34" i="7"/>
  <c r="BI12" i="7" s="1"/>
  <c r="BN34" i="7"/>
  <c r="BJ12" i="7" s="1"/>
  <c r="BO34" i="7"/>
  <c r="BM12" i="7" s="1"/>
  <c r="BP34" i="7"/>
  <c r="BN12" i="7" s="1"/>
  <c r="BQ34" i="7"/>
  <c r="BO12" i="7" s="1"/>
  <c r="BR34" i="7"/>
  <c r="BP12" i="7" s="1"/>
  <c r="BS34" i="7"/>
  <c r="BQ12" i="7" s="1"/>
  <c r="BT34" i="7"/>
  <c r="BR12" i="7" s="1"/>
  <c r="BU34" i="7"/>
  <c r="BS12" i="7" s="1"/>
  <c r="E34" i="7"/>
  <c r="BV11" i="7"/>
  <c r="F5" i="7"/>
  <c r="F11" i="7" s="1"/>
  <c r="G5" i="7"/>
  <c r="G11" i="7" s="1"/>
  <c r="H5" i="7"/>
  <c r="H11" i="7" s="1"/>
  <c r="I5" i="7"/>
  <c r="I11" i="7" s="1"/>
  <c r="J5" i="7"/>
  <c r="J11" i="7" s="1"/>
  <c r="K5" i="7"/>
  <c r="K11" i="7" s="1"/>
  <c r="L5" i="7"/>
  <c r="L11" i="7" s="1"/>
  <c r="M5" i="7"/>
  <c r="M11" i="7" s="1"/>
  <c r="N5" i="7"/>
  <c r="N11" i="7" s="1"/>
  <c r="O5" i="7"/>
  <c r="O11" i="7" s="1"/>
  <c r="P5" i="7"/>
  <c r="P11" i="7" s="1"/>
  <c r="Q5" i="7"/>
  <c r="Q11" i="7" s="1"/>
  <c r="R5" i="7"/>
  <c r="R11" i="7" s="1"/>
  <c r="S5" i="7"/>
  <c r="S11" i="7" s="1"/>
  <c r="T5" i="7"/>
  <c r="T11" i="7" s="1"/>
  <c r="U5" i="7"/>
  <c r="U11" i="7" s="1"/>
  <c r="V5" i="7"/>
  <c r="V11" i="7" s="1"/>
  <c r="W5" i="7"/>
  <c r="W11" i="7" s="1"/>
  <c r="X5" i="7"/>
  <c r="X11" i="7" s="1"/>
  <c r="Y5" i="7"/>
  <c r="Y11" i="7" s="1"/>
  <c r="Z5" i="7"/>
  <c r="Z11" i="7" s="1"/>
  <c r="AA5" i="7"/>
  <c r="AA11" i="7" s="1"/>
  <c r="AB5" i="7"/>
  <c r="AB11" i="7" s="1"/>
  <c r="AC5" i="7"/>
  <c r="AC11" i="7" s="1"/>
  <c r="AD5" i="7"/>
  <c r="AD11" i="7" s="1"/>
  <c r="AE5" i="7"/>
  <c r="AE11" i="7" s="1"/>
  <c r="AF5" i="7"/>
  <c r="AF11" i="7" s="1"/>
  <c r="AG5" i="7"/>
  <c r="AG11" i="7" s="1"/>
  <c r="AH5" i="7"/>
  <c r="AH11" i="7" s="1"/>
  <c r="AI5" i="7"/>
  <c r="AI11" i="7" s="1"/>
  <c r="AJ5" i="7"/>
  <c r="AJ11" i="7" s="1"/>
  <c r="AK5" i="7"/>
  <c r="AK11" i="7" s="1"/>
  <c r="AL5" i="7"/>
  <c r="AL11" i="7" s="1"/>
  <c r="AM5" i="7"/>
  <c r="AM11" i="7" s="1"/>
  <c r="AN5" i="7"/>
  <c r="AN11" i="7" s="1"/>
  <c r="AO5" i="7"/>
  <c r="AO11" i="7" s="1"/>
  <c r="AP5" i="7"/>
  <c r="AP11" i="7" s="1"/>
  <c r="AQ5" i="7"/>
  <c r="AQ11" i="7" s="1"/>
  <c r="AR5" i="7"/>
  <c r="AR11" i="7" s="1"/>
  <c r="AS5" i="7"/>
  <c r="AS11" i="7" s="1"/>
  <c r="AT5" i="7"/>
  <c r="AT11" i="7" s="1"/>
  <c r="AU5" i="7"/>
  <c r="AU11" i="7" s="1"/>
  <c r="AV5" i="7"/>
  <c r="AV11" i="7" s="1"/>
  <c r="AW5" i="7"/>
  <c r="AW11" i="7" s="1"/>
  <c r="AX5" i="7"/>
  <c r="AX11" i="7" s="1"/>
  <c r="AY5" i="7"/>
  <c r="AY11" i="7" s="1"/>
  <c r="AZ5" i="7"/>
  <c r="AZ11" i="7" s="1"/>
  <c r="BA5" i="7"/>
  <c r="BA11" i="7" s="1"/>
  <c r="BB5" i="7"/>
  <c r="BB11" i="7" s="1"/>
  <c r="BC5" i="7"/>
  <c r="BC11" i="7" s="1"/>
  <c r="BD5" i="7"/>
  <c r="BD11" i="7" s="1"/>
  <c r="BE5" i="7"/>
  <c r="BE11" i="7" s="1"/>
  <c r="BF5" i="7"/>
  <c r="BF11" i="7" s="1"/>
  <c r="BG5" i="7"/>
  <c r="BG11" i="7" s="1"/>
  <c r="BH5" i="7"/>
  <c r="BH11" i="7" s="1"/>
  <c r="BI5" i="7"/>
  <c r="BI11" i="7" s="1"/>
  <c r="BJ5" i="7"/>
  <c r="BJ11" i="7" s="1"/>
  <c r="BK5" i="7"/>
  <c r="BK11" i="7" s="1"/>
  <c r="BL5" i="7"/>
  <c r="BL11" i="7" s="1"/>
  <c r="BM5" i="7"/>
  <c r="BM11" i="7" s="1"/>
  <c r="BN5" i="7"/>
  <c r="BN11" i="7" s="1"/>
  <c r="BO5" i="7"/>
  <c r="BO11" i="7" s="1"/>
  <c r="BP5" i="7"/>
  <c r="BP11" i="7" s="1"/>
  <c r="BQ5" i="7"/>
  <c r="BQ11" i="7" s="1"/>
  <c r="BR5" i="7"/>
  <c r="BR11" i="7" s="1"/>
  <c r="BS5" i="7"/>
  <c r="BS11" i="7" s="1"/>
  <c r="BT5" i="7"/>
  <c r="BT11" i="7" s="1"/>
  <c r="BT13" i="7" s="1"/>
  <c r="BU5" i="7"/>
  <c r="BU11" i="7" s="1"/>
  <c r="BU13" i="7" s="1"/>
  <c r="E5" i="7"/>
  <c r="E11" i="7" s="1"/>
  <c r="BS22" i="7" l="1"/>
  <c r="BQ19" i="7"/>
  <c r="BI19" i="7"/>
  <c r="BA19" i="7"/>
  <c r="BP19" i="7"/>
  <c r="BP21" i="7" s="1"/>
  <c r="BH19" i="7"/>
  <c r="BH21" i="7" s="1"/>
  <c r="AZ19" i="7"/>
  <c r="AZ21" i="7" s="1"/>
  <c r="BO19" i="7"/>
  <c r="BO21" i="7" s="1"/>
  <c r="BG19" i="7"/>
  <c r="BG21" i="7" s="1"/>
  <c r="AY19" i="7"/>
  <c r="AY21" i="7" s="1"/>
  <c r="BN19" i="7"/>
  <c r="BN21" i="7" s="1"/>
  <c r="BF19" i="7"/>
  <c r="BF21" i="7" s="1"/>
  <c r="AX19" i="7"/>
  <c r="AX21" i="7" s="1"/>
  <c r="BU19" i="7"/>
  <c r="BU21" i="7" s="1"/>
  <c r="BM19" i="7"/>
  <c r="BM21" i="7" s="1"/>
  <c r="BE19" i="7"/>
  <c r="BE21" i="7" s="1"/>
  <c r="AW19" i="7"/>
  <c r="AW21" i="7" s="1"/>
  <c r="BT19" i="7"/>
  <c r="BT21" i="7" s="1"/>
  <c r="BL19" i="7"/>
  <c r="BL21" i="7" s="1"/>
  <c r="BD19" i="7"/>
  <c r="BD21" i="7" s="1"/>
  <c r="AV19" i="7"/>
  <c r="AV21" i="7" s="1"/>
  <c r="BS19" i="7"/>
  <c r="BS21" i="7" s="1"/>
  <c r="BK19" i="7"/>
  <c r="BK21" i="7" s="1"/>
  <c r="BC19" i="7"/>
  <c r="BC21" i="7" s="1"/>
  <c r="AU19" i="7"/>
  <c r="AU21" i="7" s="1"/>
  <c r="BR19" i="7"/>
  <c r="BJ19" i="7"/>
  <c r="BJ21" i="7" s="1"/>
  <c r="BB19" i="7"/>
  <c r="BB21" i="7" s="1"/>
  <c r="AT19" i="7"/>
  <c r="AT21" i="7" s="1"/>
  <c r="X19" i="7"/>
  <c r="X21" i="7" s="1"/>
  <c r="P19" i="7"/>
  <c r="H19" i="7"/>
  <c r="H21" i="7" s="1"/>
  <c r="AS19" i="7"/>
  <c r="AS21" i="7" s="1"/>
  <c r="AK19" i="7"/>
  <c r="AK21" i="7" s="1"/>
  <c r="W19" i="7"/>
  <c r="O19" i="7"/>
  <c r="G19" i="7"/>
  <c r="G21" i="7" s="1"/>
  <c r="AR19" i="7"/>
  <c r="AR21" i="7" s="1"/>
  <c r="AJ19" i="7"/>
  <c r="AJ21" i="7" s="1"/>
  <c r="V19" i="7"/>
  <c r="V21" i="7" s="1"/>
  <c r="N19" i="7"/>
  <c r="N21" i="7" s="1"/>
  <c r="F19" i="7"/>
  <c r="F21" i="7" s="1"/>
  <c r="AQ19" i="7"/>
  <c r="AQ21" i="7" s="1"/>
  <c r="AI19" i="7"/>
  <c r="AI21" i="7" s="1"/>
  <c r="AC19" i="7"/>
  <c r="U19" i="7"/>
  <c r="U21" i="7" s="1"/>
  <c r="M19" i="7"/>
  <c r="M21" i="7" s="1"/>
  <c r="AP19" i="7"/>
  <c r="AP21" i="7" s="1"/>
  <c r="AH19" i="7"/>
  <c r="AH21" i="7" s="1"/>
  <c r="AB19" i="7"/>
  <c r="T19" i="7"/>
  <c r="T21" i="7" s="1"/>
  <c r="L19" i="7"/>
  <c r="AO19" i="7"/>
  <c r="AO21" i="7" s="1"/>
  <c r="AG19" i="7"/>
  <c r="AA19" i="7"/>
  <c r="AA21" i="7" s="1"/>
  <c r="S19" i="7"/>
  <c r="S21" i="7" s="1"/>
  <c r="K19" i="7"/>
  <c r="AN19" i="7"/>
  <c r="AN21" i="7" s="1"/>
  <c r="AF19" i="7"/>
  <c r="AF21" i="7" s="1"/>
  <c r="Z19" i="7"/>
  <c r="Z21" i="7" s="1"/>
  <c r="R19" i="7"/>
  <c r="J19" i="7"/>
  <c r="J21" i="7" s="1"/>
  <c r="AM19" i="7"/>
  <c r="AE19" i="7"/>
  <c r="AE21" i="7" s="1"/>
  <c r="Y19" i="7"/>
  <c r="Y21" i="7" s="1"/>
  <c r="Q19" i="7"/>
  <c r="Q21" i="7" s="1"/>
  <c r="I19" i="7"/>
  <c r="I21" i="7" s="1"/>
  <c r="AL19" i="7"/>
  <c r="AL21" i="7" s="1"/>
  <c r="AD19" i="7"/>
  <c r="AD21" i="7" s="1"/>
  <c r="BQ21" i="7"/>
  <c r="BI21" i="7"/>
  <c r="BA21" i="7"/>
  <c r="K21" i="7"/>
  <c r="W21" i="7"/>
  <c r="O21" i="7"/>
  <c r="BT23" i="7"/>
  <c r="BQ22" i="7"/>
  <c r="BR22" i="7"/>
  <c r="E19" i="7"/>
  <c r="E21" i="7" s="1"/>
  <c r="BB13" i="7"/>
  <c r="BQ13" i="7"/>
  <c r="BI13" i="7"/>
  <c r="BA13" i="7"/>
  <c r="AS13" i="7"/>
  <c r="BJ13" i="7"/>
  <c r="AR13" i="7"/>
  <c r="BR13" i="7"/>
  <c r="BO13" i="7"/>
  <c r="AT13" i="7"/>
  <c r="BP13" i="7"/>
  <c r="AY13" i="7"/>
  <c r="BN13" i="7"/>
  <c r="BF13" i="7"/>
  <c r="AX13" i="7"/>
  <c r="AP13" i="7"/>
  <c r="BL12" i="7"/>
  <c r="BL13" i="7" s="1"/>
  <c r="BH13" i="7"/>
  <c r="AQ13" i="7"/>
  <c r="BM13" i="7"/>
  <c r="BE13" i="7"/>
  <c r="AW13" i="7"/>
  <c r="BK12" i="7"/>
  <c r="BK13" i="7" s="1"/>
  <c r="BG13" i="7"/>
  <c r="BD13" i="7"/>
  <c r="AV13" i="7"/>
  <c r="AZ13" i="7"/>
  <c r="BS13" i="7"/>
  <c r="BC13" i="7"/>
  <c r="AU13" i="7"/>
  <c r="U13" i="7"/>
  <c r="AB13" i="7"/>
  <c r="T13" i="7"/>
  <c r="AC13" i="7"/>
  <c r="AK13" i="7"/>
  <c r="E13" i="7"/>
  <c r="M13" i="7"/>
  <c r="AJ13" i="7"/>
  <c r="Q13" i="7"/>
  <c r="I13" i="7"/>
  <c r="AO13" i="7"/>
  <c r="AF13" i="7"/>
  <c r="X13" i="7"/>
  <c r="P13" i="7"/>
  <c r="H13" i="7"/>
  <c r="AN13" i="7"/>
  <c r="AM13" i="7"/>
  <c r="AE13" i="7"/>
  <c r="W13" i="7"/>
  <c r="O13" i="7"/>
  <c r="G13" i="7"/>
  <c r="AG13" i="7"/>
  <c r="AL13" i="7"/>
  <c r="AD13" i="7"/>
  <c r="V13" i="7"/>
  <c r="N13" i="7"/>
  <c r="F13" i="7"/>
  <c r="L13" i="7"/>
  <c r="Y13" i="7"/>
  <c r="AI13" i="7"/>
  <c r="AA13" i="7"/>
  <c r="S13" i="7"/>
  <c r="K13" i="7"/>
  <c r="AH13" i="7"/>
  <c r="Z13" i="7"/>
  <c r="R13" i="7"/>
  <c r="J13" i="7"/>
  <c r="F67" i="6"/>
  <c r="G67" i="6"/>
  <c r="H67" i="6"/>
  <c r="I67" i="6"/>
  <c r="J67" i="6"/>
  <c r="K67" i="6"/>
  <c r="L67" i="6"/>
  <c r="L24" i="6" s="1"/>
  <c r="L27" i="6" s="1"/>
  <c r="M67" i="6"/>
  <c r="M24" i="6" s="1"/>
  <c r="M27" i="6" s="1"/>
  <c r="N67" i="6"/>
  <c r="O67" i="6"/>
  <c r="P67" i="6"/>
  <c r="P24" i="6" s="1"/>
  <c r="P27" i="6" s="1"/>
  <c r="Q67" i="6"/>
  <c r="R67" i="6"/>
  <c r="S67" i="6"/>
  <c r="T67" i="6"/>
  <c r="T24" i="6" s="1"/>
  <c r="T27" i="6" s="1"/>
  <c r="U67" i="6"/>
  <c r="U24" i="6" s="1"/>
  <c r="U27" i="6" s="1"/>
  <c r="V67" i="6"/>
  <c r="W67" i="6"/>
  <c r="X67" i="6"/>
  <c r="X24" i="6" s="1"/>
  <c r="X27" i="6" s="1"/>
  <c r="Y67" i="6"/>
  <c r="Z67" i="6"/>
  <c r="AA67" i="6"/>
  <c r="AB67" i="6"/>
  <c r="AB24" i="6" s="1"/>
  <c r="AB27" i="6" s="1"/>
  <c r="AC67" i="6"/>
  <c r="AC24" i="6" s="1"/>
  <c r="AC27" i="6" s="1"/>
  <c r="AD67" i="6"/>
  <c r="AE67" i="6"/>
  <c r="AF67" i="6"/>
  <c r="AF24" i="6" s="1"/>
  <c r="AF27" i="6" s="1"/>
  <c r="AG67" i="6"/>
  <c r="AH67" i="6"/>
  <c r="AI67" i="6"/>
  <c r="AJ67" i="6"/>
  <c r="AJ24" i="6" s="1"/>
  <c r="AJ27" i="6" s="1"/>
  <c r="AK67" i="6"/>
  <c r="AK24" i="6" s="1"/>
  <c r="AK27" i="6" s="1"/>
  <c r="AL67" i="6"/>
  <c r="AM67" i="6"/>
  <c r="AN67" i="6"/>
  <c r="AO67" i="6"/>
  <c r="AP67" i="6"/>
  <c r="AQ67" i="6"/>
  <c r="AR67" i="6"/>
  <c r="AR24" i="6" s="1"/>
  <c r="AR27" i="6" s="1"/>
  <c r="AS67" i="6"/>
  <c r="AS24" i="6" s="1"/>
  <c r="AS27" i="6" s="1"/>
  <c r="AT67" i="6"/>
  <c r="AU67" i="6"/>
  <c r="AV67" i="6"/>
  <c r="AV24" i="6" s="1"/>
  <c r="AV27" i="6" s="1"/>
  <c r="AW67" i="6"/>
  <c r="AX67" i="6"/>
  <c r="AY67" i="6"/>
  <c r="AZ67" i="6"/>
  <c r="AZ24" i="6" s="1"/>
  <c r="AZ27" i="6" s="1"/>
  <c r="BA67" i="6"/>
  <c r="BA24" i="6" s="1"/>
  <c r="BA27" i="6" s="1"/>
  <c r="BB67" i="6"/>
  <c r="BC67" i="6"/>
  <c r="BD67" i="6"/>
  <c r="BD24" i="6" s="1"/>
  <c r="BD27" i="6" s="1"/>
  <c r="BE67" i="6"/>
  <c r="BF67" i="6"/>
  <c r="BG67" i="6"/>
  <c r="BH67" i="6"/>
  <c r="BH24" i="6" s="1"/>
  <c r="BH27" i="6" s="1"/>
  <c r="BI67" i="6"/>
  <c r="BI24" i="6" s="1"/>
  <c r="BI27" i="6" s="1"/>
  <c r="BJ67" i="6"/>
  <c r="BK67" i="6"/>
  <c r="BL67" i="6"/>
  <c r="BL24" i="6" s="1"/>
  <c r="BL27" i="6" s="1"/>
  <c r="BM67" i="6"/>
  <c r="BN67" i="6"/>
  <c r="BO67" i="6"/>
  <c r="BP67" i="6"/>
  <c r="BP24" i="6" s="1"/>
  <c r="BP27" i="6" s="1"/>
  <c r="BQ67" i="6"/>
  <c r="BQ24" i="6" s="1"/>
  <c r="BQ27" i="6" s="1"/>
  <c r="BR67" i="6"/>
  <c r="BS67" i="6"/>
  <c r="BT67" i="6"/>
  <c r="BU67" i="6"/>
  <c r="BV67" i="6"/>
  <c r="BW67" i="6"/>
  <c r="BX67" i="6"/>
  <c r="BX24" i="6" s="1"/>
  <c r="BX27" i="6" s="1"/>
  <c r="BY67" i="6"/>
  <c r="BY24" i="6" s="1"/>
  <c r="BY27" i="6" s="1"/>
  <c r="BZ67" i="6"/>
  <c r="CA67" i="6"/>
  <c r="CB67" i="6"/>
  <c r="CB24" i="6" s="1"/>
  <c r="CB27" i="6" s="1"/>
  <c r="CC67" i="6"/>
  <c r="CD67" i="6"/>
  <c r="CE67" i="6"/>
  <c r="CF67" i="6"/>
  <c r="CF24" i="6" s="1"/>
  <c r="CF27" i="6" s="1"/>
  <c r="CG67" i="6"/>
  <c r="CG24" i="6" s="1"/>
  <c r="CG27" i="6" s="1"/>
  <c r="CH67" i="6"/>
  <c r="CI67" i="6"/>
  <c r="CJ67" i="6"/>
  <c r="CJ24" i="6" s="1"/>
  <c r="CJ27" i="6" s="1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3" i="6"/>
  <c r="CK42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4" i="6"/>
  <c r="CK29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N24" i="6"/>
  <c r="N27" i="6" s="1"/>
  <c r="O24" i="6"/>
  <c r="O27" i="6" s="1"/>
  <c r="Q24" i="6"/>
  <c r="Q27" i="6" s="1"/>
  <c r="R24" i="6"/>
  <c r="R27" i="6" s="1"/>
  <c r="S24" i="6"/>
  <c r="S27" i="6" s="1"/>
  <c r="V24" i="6"/>
  <c r="V27" i="6" s="1"/>
  <c r="W24" i="6"/>
  <c r="W27" i="6" s="1"/>
  <c r="Y24" i="6"/>
  <c r="Y27" i="6" s="1"/>
  <c r="Z24" i="6"/>
  <c r="Z27" i="6" s="1"/>
  <c r="AA24" i="6"/>
  <c r="AA27" i="6" s="1"/>
  <c r="AD24" i="6"/>
  <c r="AD27" i="6" s="1"/>
  <c r="AE24" i="6"/>
  <c r="AE27" i="6" s="1"/>
  <c r="AG24" i="6"/>
  <c r="AG27" i="6" s="1"/>
  <c r="AH24" i="6"/>
  <c r="AH27" i="6" s="1"/>
  <c r="AI24" i="6"/>
  <c r="AI27" i="6" s="1"/>
  <c r="AL24" i="6"/>
  <c r="AL27" i="6" s="1"/>
  <c r="AM24" i="6"/>
  <c r="AM27" i="6" s="1"/>
  <c r="AN24" i="6"/>
  <c r="AN27" i="6" s="1"/>
  <c r="AO24" i="6"/>
  <c r="AO27" i="6" s="1"/>
  <c r="AP24" i="6"/>
  <c r="AP27" i="6" s="1"/>
  <c r="AQ24" i="6"/>
  <c r="AQ27" i="6" s="1"/>
  <c r="AT24" i="6"/>
  <c r="AT27" i="6" s="1"/>
  <c r="AU24" i="6"/>
  <c r="AU27" i="6" s="1"/>
  <c r="AW24" i="6"/>
  <c r="AW27" i="6" s="1"/>
  <c r="AX24" i="6"/>
  <c r="AX27" i="6" s="1"/>
  <c r="AY24" i="6"/>
  <c r="AY27" i="6" s="1"/>
  <c r="BB24" i="6"/>
  <c r="BB27" i="6" s="1"/>
  <c r="BC24" i="6"/>
  <c r="BC27" i="6" s="1"/>
  <c r="BE24" i="6"/>
  <c r="BE27" i="6" s="1"/>
  <c r="BF24" i="6"/>
  <c r="BF27" i="6" s="1"/>
  <c r="BG24" i="6"/>
  <c r="BG27" i="6" s="1"/>
  <c r="BJ24" i="6"/>
  <c r="BJ27" i="6" s="1"/>
  <c r="BK24" i="6"/>
  <c r="BK27" i="6" s="1"/>
  <c r="BM24" i="6"/>
  <c r="BM27" i="6" s="1"/>
  <c r="BN24" i="6"/>
  <c r="BN27" i="6" s="1"/>
  <c r="BO24" i="6"/>
  <c r="BO27" i="6" s="1"/>
  <c r="BR24" i="6"/>
  <c r="BR27" i="6" s="1"/>
  <c r="BS24" i="6"/>
  <c r="BS27" i="6" s="1"/>
  <c r="BT24" i="6"/>
  <c r="BT27" i="6" s="1"/>
  <c r="BU24" i="6"/>
  <c r="BU27" i="6" s="1"/>
  <c r="BV24" i="6"/>
  <c r="BV27" i="6" s="1"/>
  <c r="BW24" i="6"/>
  <c r="BW27" i="6" s="1"/>
  <c r="BZ24" i="6"/>
  <c r="BZ27" i="6" s="1"/>
  <c r="CA24" i="6"/>
  <c r="CA27" i="6" s="1"/>
  <c r="CC24" i="6"/>
  <c r="CC27" i="6" s="1"/>
  <c r="CD24" i="6"/>
  <c r="CD27" i="6" s="1"/>
  <c r="CE24" i="6"/>
  <c r="CE27" i="6" s="1"/>
  <c r="CH24" i="6"/>
  <c r="CH27" i="6" s="1"/>
  <c r="CI24" i="6"/>
  <c r="CI27" i="6" s="1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K18" i="6"/>
  <c r="CK16" i="6"/>
  <c r="J12" i="6"/>
  <c r="K12" i="6"/>
  <c r="L12" i="6"/>
  <c r="L15" i="6" s="1"/>
  <c r="M12" i="6"/>
  <c r="M15" i="6" s="1"/>
  <c r="N12" i="6"/>
  <c r="N15" i="6" s="1"/>
  <c r="O12" i="6"/>
  <c r="O15" i="6" s="1"/>
  <c r="P12" i="6"/>
  <c r="P15" i="6" s="1"/>
  <c r="Q12" i="6"/>
  <c r="Q15" i="6" s="1"/>
  <c r="R12" i="6"/>
  <c r="R15" i="6" s="1"/>
  <c r="S12" i="6"/>
  <c r="S15" i="6" s="1"/>
  <c r="T12" i="6"/>
  <c r="T15" i="6" s="1"/>
  <c r="U12" i="6"/>
  <c r="U15" i="6" s="1"/>
  <c r="V12" i="6"/>
  <c r="V15" i="6" s="1"/>
  <c r="W12" i="6"/>
  <c r="W15" i="6" s="1"/>
  <c r="X12" i="6"/>
  <c r="X15" i="6" s="1"/>
  <c r="Y12" i="6"/>
  <c r="Y15" i="6" s="1"/>
  <c r="Z12" i="6"/>
  <c r="Z15" i="6" s="1"/>
  <c r="AA12" i="6"/>
  <c r="AA15" i="6" s="1"/>
  <c r="AB12" i="6"/>
  <c r="AB15" i="6" s="1"/>
  <c r="AC12" i="6"/>
  <c r="AC15" i="6" s="1"/>
  <c r="AD12" i="6"/>
  <c r="AD15" i="6" s="1"/>
  <c r="AE12" i="6"/>
  <c r="AE15" i="6" s="1"/>
  <c r="AF12" i="6"/>
  <c r="AF15" i="6" s="1"/>
  <c r="AG12" i="6"/>
  <c r="AG15" i="6" s="1"/>
  <c r="AH12" i="6"/>
  <c r="AH15" i="6" s="1"/>
  <c r="AI12" i="6"/>
  <c r="AI15" i="6" s="1"/>
  <c r="AJ12" i="6"/>
  <c r="AJ15" i="6" s="1"/>
  <c r="AK12" i="6"/>
  <c r="AK15" i="6" s="1"/>
  <c r="AL12" i="6"/>
  <c r="AL15" i="6" s="1"/>
  <c r="AM12" i="6"/>
  <c r="AM15" i="6" s="1"/>
  <c r="AN12" i="6"/>
  <c r="AN15" i="6" s="1"/>
  <c r="AO12" i="6"/>
  <c r="AO15" i="6" s="1"/>
  <c r="AP12" i="6"/>
  <c r="AP15" i="6" s="1"/>
  <c r="AQ12" i="6"/>
  <c r="AQ15" i="6" s="1"/>
  <c r="AR12" i="6"/>
  <c r="AR15" i="6" s="1"/>
  <c r="AS12" i="6"/>
  <c r="AS15" i="6" s="1"/>
  <c r="AT12" i="6"/>
  <c r="AT15" i="6" s="1"/>
  <c r="AU12" i="6"/>
  <c r="AU15" i="6" s="1"/>
  <c r="AV12" i="6"/>
  <c r="AV15" i="6" s="1"/>
  <c r="AW12" i="6"/>
  <c r="AW15" i="6" s="1"/>
  <c r="AX12" i="6"/>
  <c r="AX15" i="6" s="1"/>
  <c r="AY12" i="6"/>
  <c r="AY15" i="6" s="1"/>
  <c r="AZ12" i="6"/>
  <c r="AZ15" i="6" s="1"/>
  <c r="BA12" i="6"/>
  <c r="BA15" i="6" s="1"/>
  <c r="BB12" i="6"/>
  <c r="BB15" i="6" s="1"/>
  <c r="BC12" i="6"/>
  <c r="BC15" i="6" s="1"/>
  <c r="BD12" i="6"/>
  <c r="BD15" i="6" s="1"/>
  <c r="BE12" i="6"/>
  <c r="BE15" i="6" s="1"/>
  <c r="BF12" i="6"/>
  <c r="BF15" i="6" s="1"/>
  <c r="BG12" i="6"/>
  <c r="BG15" i="6" s="1"/>
  <c r="BH12" i="6"/>
  <c r="BH15" i="6" s="1"/>
  <c r="BI12" i="6"/>
  <c r="BI15" i="6" s="1"/>
  <c r="BJ12" i="6"/>
  <c r="BJ15" i="6" s="1"/>
  <c r="BK12" i="6"/>
  <c r="BK15" i="6" s="1"/>
  <c r="BL12" i="6"/>
  <c r="BL15" i="6" s="1"/>
  <c r="BM12" i="6"/>
  <c r="BM15" i="6" s="1"/>
  <c r="BN12" i="6"/>
  <c r="BN15" i="6" s="1"/>
  <c r="BO12" i="6"/>
  <c r="BO15" i="6" s="1"/>
  <c r="BP12" i="6"/>
  <c r="BP15" i="6" s="1"/>
  <c r="BQ12" i="6"/>
  <c r="BQ15" i="6" s="1"/>
  <c r="BR12" i="6"/>
  <c r="BR15" i="6" s="1"/>
  <c r="BS12" i="6"/>
  <c r="BS15" i="6" s="1"/>
  <c r="BT12" i="6"/>
  <c r="BT15" i="6" s="1"/>
  <c r="BU12" i="6"/>
  <c r="BU15" i="6" s="1"/>
  <c r="BV12" i="6"/>
  <c r="BV15" i="6" s="1"/>
  <c r="BW12" i="6"/>
  <c r="BW15" i="6" s="1"/>
  <c r="BX12" i="6"/>
  <c r="BX15" i="6" s="1"/>
  <c r="BY12" i="6"/>
  <c r="BY15" i="6" s="1"/>
  <c r="BZ12" i="6"/>
  <c r="BZ15" i="6" s="1"/>
  <c r="CA12" i="6"/>
  <c r="CA15" i="6" s="1"/>
  <c r="CB12" i="6"/>
  <c r="CB15" i="6" s="1"/>
  <c r="CC12" i="6"/>
  <c r="CC15" i="6" s="1"/>
  <c r="CD12" i="6"/>
  <c r="CD15" i="6" s="1"/>
  <c r="CE12" i="6"/>
  <c r="CE15" i="6" s="1"/>
  <c r="CF12" i="6"/>
  <c r="CF15" i="6" s="1"/>
  <c r="CG12" i="6"/>
  <c r="CG15" i="6" s="1"/>
  <c r="CH12" i="6"/>
  <c r="CH15" i="6" s="1"/>
  <c r="CI12" i="6"/>
  <c r="CI15" i="6" s="1"/>
  <c r="CJ12" i="6"/>
  <c r="CJ15" i="6" s="1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E107" i="5"/>
  <c r="CL107" i="5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CL70" i="5"/>
  <c r="CL69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BU49" i="5"/>
  <c r="BV49" i="5"/>
  <c r="BW49" i="5"/>
  <c r="BX49" i="5"/>
  <c r="BY49" i="5"/>
  <c r="BZ49" i="5"/>
  <c r="CA49" i="5"/>
  <c r="CB49" i="5"/>
  <c r="CC49" i="5"/>
  <c r="CD49" i="5"/>
  <c r="CE49" i="5"/>
  <c r="CF49" i="5"/>
  <c r="CG49" i="5"/>
  <c r="CH49" i="5"/>
  <c r="CI49" i="5"/>
  <c r="CJ49" i="5"/>
  <c r="CK49" i="5"/>
  <c r="E49" i="5"/>
  <c r="AH33" i="5"/>
  <c r="AH50" i="5" s="1"/>
  <c r="AI33" i="5"/>
  <c r="AJ33" i="5"/>
  <c r="AK33" i="5"/>
  <c r="AL33" i="5"/>
  <c r="AM33" i="5"/>
  <c r="AN33" i="5"/>
  <c r="AN50" i="5" s="1"/>
  <c r="AO33" i="5"/>
  <c r="AP33" i="5"/>
  <c r="AP50" i="5" s="1"/>
  <c r="AQ33" i="5"/>
  <c r="AR33" i="5"/>
  <c r="AS33" i="5"/>
  <c r="AT33" i="5"/>
  <c r="AU33" i="5"/>
  <c r="AV33" i="5"/>
  <c r="AV50" i="5" s="1"/>
  <c r="AW33" i="5"/>
  <c r="AX33" i="5"/>
  <c r="AX50" i="5" s="1"/>
  <c r="AY33" i="5"/>
  <c r="AZ33" i="5"/>
  <c r="BA33" i="5"/>
  <c r="BB33" i="5"/>
  <c r="BC33" i="5"/>
  <c r="BD33" i="5"/>
  <c r="BD50" i="5" s="1"/>
  <c r="BE33" i="5"/>
  <c r="BF33" i="5"/>
  <c r="BF50" i="5" s="1"/>
  <c r="BG33" i="5"/>
  <c r="BH33" i="5"/>
  <c r="BI33" i="5"/>
  <c r="BJ33" i="5"/>
  <c r="BK33" i="5"/>
  <c r="BL33" i="5"/>
  <c r="BL50" i="5" s="1"/>
  <c r="BM33" i="5"/>
  <c r="BN33" i="5"/>
  <c r="BN50" i="5" s="1"/>
  <c r="BO33" i="5"/>
  <c r="BP33" i="5"/>
  <c r="BQ33" i="5"/>
  <c r="BR33" i="5"/>
  <c r="BS33" i="5"/>
  <c r="BT33" i="5"/>
  <c r="BT50" i="5" s="1"/>
  <c r="BU33" i="5"/>
  <c r="BV33" i="5"/>
  <c r="BV50" i="5" s="1"/>
  <c r="BW33" i="5"/>
  <c r="BX33" i="5"/>
  <c r="BY33" i="5"/>
  <c r="BZ33" i="5"/>
  <c r="CA33" i="5"/>
  <c r="CB33" i="5"/>
  <c r="CB50" i="5" s="1"/>
  <c r="CC33" i="5"/>
  <c r="CD33" i="5"/>
  <c r="CD50" i="5" s="1"/>
  <c r="CE33" i="5"/>
  <c r="CF33" i="5"/>
  <c r="CG33" i="5"/>
  <c r="CH33" i="5"/>
  <c r="CI33" i="5"/>
  <c r="CJ33" i="5"/>
  <c r="CJ50" i="5" s="1"/>
  <c r="CK33" i="5"/>
  <c r="F33" i="5"/>
  <c r="G33" i="5"/>
  <c r="H33" i="5"/>
  <c r="I33" i="5"/>
  <c r="J33" i="5"/>
  <c r="J50" i="5" s="1"/>
  <c r="K33" i="5"/>
  <c r="L33" i="5"/>
  <c r="M33" i="5"/>
  <c r="N33" i="5"/>
  <c r="O33" i="5"/>
  <c r="P33" i="5"/>
  <c r="Q33" i="5"/>
  <c r="R33" i="5"/>
  <c r="R50" i="5" s="1"/>
  <c r="S33" i="5"/>
  <c r="T33" i="5"/>
  <c r="U33" i="5"/>
  <c r="V33" i="5"/>
  <c r="W33" i="5"/>
  <c r="X33" i="5"/>
  <c r="Y33" i="5"/>
  <c r="Z33" i="5"/>
  <c r="Z50" i="5" s="1"/>
  <c r="AA33" i="5"/>
  <c r="AB33" i="5"/>
  <c r="AC33" i="5"/>
  <c r="AD33" i="5"/>
  <c r="AE33" i="5"/>
  <c r="AF33" i="5"/>
  <c r="AG33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BU23" i="7" l="1"/>
  <c r="BS23" i="7"/>
  <c r="BP23" i="7"/>
  <c r="BR23" i="7"/>
  <c r="BQ23" i="7"/>
  <c r="L21" i="7"/>
  <c r="AB21" i="7"/>
  <c r="P21" i="7"/>
  <c r="BO23" i="7"/>
  <c r="BR21" i="7"/>
  <c r="R21" i="7"/>
  <c r="AC21" i="7"/>
  <c r="AM21" i="7"/>
  <c r="AG21" i="7"/>
  <c r="BO22" i="7"/>
  <c r="BP22" i="7"/>
  <c r="CE50" i="5"/>
  <c r="BW50" i="5"/>
  <c r="BO50" i="5"/>
  <c r="BG50" i="5"/>
  <c r="AY50" i="5"/>
  <c r="AQ50" i="5"/>
  <c r="AI50" i="5"/>
  <c r="AI69" i="5" s="1"/>
  <c r="AI70" i="5" s="1"/>
  <c r="AA50" i="5"/>
  <c r="AA69" i="5" s="1"/>
  <c r="AA70" i="5" s="1"/>
  <c r="S50" i="5"/>
  <c r="K50" i="5"/>
  <c r="AB50" i="5"/>
  <c r="T50" i="5"/>
  <c r="L50" i="5"/>
  <c r="CF50" i="5"/>
  <c r="CF69" i="5" s="1"/>
  <c r="CF70" i="5" s="1"/>
  <c r="BX50" i="5"/>
  <c r="BX69" i="5" s="1"/>
  <c r="BX70" i="5" s="1"/>
  <c r="BP50" i="5"/>
  <c r="BP69" i="5" s="1"/>
  <c r="BP70" i="5" s="1"/>
  <c r="BH50" i="5"/>
  <c r="BH69" i="5" s="1"/>
  <c r="BH70" i="5" s="1"/>
  <c r="AZ50" i="5"/>
  <c r="AZ69" i="5" s="1"/>
  <c r="AZ70" i="5" s="1"/>
  <c r="AR50" i="5"/>
  <c r="AJ50" i="5"/>
  <c r="CK50" i="5"/>
  <c r="CC50" i="5"/>
  <c r="CC69" i="5" s="1"/>
  <c r="CC70" i="5" s="1"/>
  <c r="BU50" i="5"/>
  <c r="BU69" i="5" s="1"/>
  <c r="BU70" i="5" s="1"/>
  <c r="BM50" i="5"/>
  <c r="BM69" i="5" s="1"/>
  <c r="BM70" i="5" s="1"/>
  <c r="BE50" i="5"/>
  <c r="BE69" i="5" s="1"/>
  <c r="BE70" i="5" s="1"/>
  <c r="AW50" i="5"/>
  <c r="AW69" i="5" s="1"/>
  <c r="AW70" i="5" s="1"/>
  <c r="AO50" i="5"/>
  <c r="AO69" i="5" s="1"/>
  <c r="AO70" i="5" s="1"/>
  <c r="S69" i="5"/>
  <c r="S70" i="5" s="1"/>
  <c r="K69" i="5"/>
  <c r="K70" i="5" s="1"/>
  <c r="CI50" i="5"/>
  <c r="CI69" i="5" s="1"/>
  <c r="CI70" i="5" s="1"/>
  <c r="CA50" i="5"/>
  <c r="CA69" i="5" s="1"/>
  <c r="CA70" i="5" s="1"/>
  <c r="BS50" i="5"/>
  <c r="BS69" i="5" s="1"/>
  <c r="BS70" i="5" s="1"/>
  <c r="BK50" i="5"/>
  <c r="BK69" i="5" s="1"/>
  <c r="BK70" i="5" s="1"/>
  <c r="BC50" i="5"/>
  <c r="BC69" i="5" s="1"/>
  <c r="BC70" i="5" s="1"/>
  <c r="AU50" i="5"/>
  <c r="AU69" i="5" s="1"/>
  <c r="AU70" i="5" s="1"/>
  <c r="AM50" i="5"/>
  <c r="AM69" i="5" s="1"/>
  <c r="AM70" i="5" s="1"/>
  <c r="AG50" i="5"/>
  <c r="Y50" i="5"/>
  <c r="Y69" i="5" s="1"/>
  <c r="Y70" i="5" s="1"/>
  <c r="Q50" i="5"/>
  <c r="Q69" i="5" s="1"/>
  <c r="Q70" i="5" s="1"/>
  <c r="I50" i="5"/>
  <c r="I69" i="5" s="1"/>
  <c r="I70" i="5" s="1"/>
  <c r="AF50" i="5"/>
  <c r="AF69" i="5" s="1"/>
  <c r="AF70" i="5" s="1"/>
  <c r="X50" i="5"/>
  <c r="X69" i="5" s="1"/>
  <c r="X70" i="5" s="1"/>
  <c r="P50" i="5"/>
  <c r="P69" i="5" s="1"/>
  <c r="P70" i="5" s="1"/>
  <c r="H50" i="5"/>
  <c r="H69" i="5" s="1"/>
  <c r="H70" i="5" s="1"/>
  <c r="AE50" i="5"/>
  <c r="AE69" i="5" s="1"/>
  <c r="W50" i="5"/>
  <c r="W69" i="5" s="1"/>
  <c r="W70" i="5" s="1"/>
  <c r="O50" i="5"/>
  <c r="O69" i="5" s="1"/>
  <c r="O70" i="5" s="1"/>
  <c r="G50" i="5"/>
  <c r="G69" i="5" s="1"/>
  <c r="G70" i="5" s="1"/>
  <c r="CD31" i="6"/>
  <c r="BV31" i="6"/>
  <c r="BN31" i="6"/>
  <c r="BF31" i="6"/>
  <c r="AX31" i="6"/>
  <c r="AP31" i="6"/>
  <c r="AP38" i="6" s="1"/>
  <c r="AH31" i="6"/>
  <c r="AH38" i="6" s="1"/>
  <c r="Z31" i="6"/>
  <c r="Z38" i="6" s="1"/>
  <c r="R31" i="6"/>
  <c r="CC31" i="6"/>
  <c r="BU31" i="6"/>
  <c r="BM31" i="6"/>
  <c r="BE31" i="6"/>
  <c r="AW31" i="6"/>
  <c r="AW38" i="6" s="1"/>
  <c r="AO31" i="6"/>
  <c r="AO38" i="6" s="1"/>
  <c r="AG31" i="6"/>
  <c r="AG38" i="6" s="1"/>
  <c r="Y31" i="6"/>
  <c r="Q31" i="6"/>
  <c r="CJ31" i="6"/>
  <c r="CB31" i="6"/>
  <c r="BT31" i="6"/>
  <c r="BL31" i="6"/>
  <c r="BL32" i="6" s="1"/>
  <c r="BD31" i="6"/>
  <c r="BD32" i="6" s="1"/>
  <c r="AV31" i="6"/>
  <c r="AV32" i="6" s="1"/>
  <c r="AN31" i="6"/>
  <c r="AF31" i="6"/>
  <c r="X31" i="6"/>
  <c r="P31" i="6"/>
  <c r="CI31" i="6"/>
  <c r="CA31" i="6"/>
  <c r="CA38" i="6" s="1"/>
  <c r="BS31" i="6"/>
  <c r="BS32" i="6" s="1"/>
  <c r="BK31" i="6"/>
  <c r="BK32" i="6" s="1"/>
  <c r="BC31" i="6"/>
  <c r="AU31" i="6"/>
  <c r="AM31" i="6"/>
  <c r="AE31" i="6"/>
  <c r="W31" i="6"/>
  <c r="W32" i="6" s="1"/>
  <c r="O31" i="6"/>
  <c r="O38" i="6" s="1"/>
  <c r="CH31" i="6"/>
  <c r="CH32" i="6" s="1"/>
  <c r="BZ31" i="6"/>
  <c r="BZ32" i="6" s="1"/>
  <c r="BR31" i="6"/>
  <c r="BJ31" i="6"/>
  <c r="BB31" i="6"/>
  <c r="AT31" i="6"/>
  <c r="AL31" i="6"/>
  <c r="AL38" i="6" s="1"/>
  <c r="AD31" i="6"/>
  <c r="AD38" i="6" s="1"/>
  <c r="V31" i="6"/>
  <c r="V32" i="6" s="1"/>
  <c r="N31" i="6"/>
  <c r="N32" i="6" s="1"/>
  <c r="CG31" i="6"/>
  <c r="BY31" i="6"/>
  <c r="BQ31" i="6"/>
  <c r="BI31" i="6"/>
  <c r="BA31" i="6"/>
  <c r="BA38" i="6" s="1"/>
  <c r="AS31" i="6"/>
  <c r="AS38" i="6" s="1"/>
  <c r="AK31" i="6"/>
  <c r="AK32" i="6" s="1"/>
  <c r="AC31" i="6"/>
  <c r="AC38" i="6" s="1"/>
  <c r="U31" i="6"/>
  <c r="M31" i="6"/>
  <c r="CF31" i="6"/>
  <c r="BX31" i="6"/>
  <c r="BP31" i="6"/>
  <c r="BP38" i="6" s="1"/>
  <c r="BH31" i="6"/>
  <c r="BH38" i="6" s="1"/>
  <c r="BH41" i="6" s="1"/>
  <c r="BH16" i="6" s="1"/>
  <c r="BH17" i="6" s="1"/>
  <c r="AZ31" i="6"/>
  <c r="AZ38" i="6" s="1"/>
  <c r="AZ41" i="6" s="1"/>
  <c r="AZ16" i="6" s="1"/>
  <c r="AZ17" i="6" s="1"/>
  <c r="AR31" i="6"/>
  <c r="AR38" i="6" s="1"/>
  <c r="AR42" i="6" s="1"/>
  <c r="AR43" i="6" s="1"/>
  <c r="AJ31" i="6"/>
  <c r="AJ38" i="6" s="1"/>
  <c r="AB31" i="6"/>
  <c r="AB38" i="6" s="1"/>
  <c r="T31" i="6"/>
  <c r="T38" i="6" s="1"/>
  <c r="L31" i="6"/>
  <c r="L38" i="6" s="1"/>
  <c r="CE31" i="6"/>
  <c r="CE32" i="6" s="1"/>
  <c r="BW31" i="6"/>
  <c r="BW38" i="6" s="1"/>
  <c r="BO31" i="6"/>
  <c r="BO38" i="6" s="1"/>
  <c r="BG31" i="6"/>
  <c r="BG38" i="6" s="1"/>
  <c r="AY31" i="6"/>
  <c r="AQ31" i="6"/>
  <c r="AQ38" i="6" s="1"/>
  <c r="AI31" i="6"/>
  <c r="AI38" i="6" s="1"/>
  <c r="AA31" i="6"/>
  <c r="S31" i="6"/>
  <c r="CI32" i="6"/>
  <c r="CI38" i="6"/>
  <c r="BC32" i="6"/>
  <c r="BC38" i="6"/>
  <c r="AU32" i="6"/>
  <c r="AU38" i="6"/>
  <c r="AM32" i="6"/>
  <c r="AM38" i="6"/>
  <c r="AE32" i="6"/>
  <c r="AE38" i="6"/>
  <c r="BR32" i="6"/>
  <c r="BR38" i="6"/>
  <c r="BJ32" i="6"/>
  <c r="BJ38" i="6"/>
  <c r="BB32" i="6"/>
  <c r="BB38" i="6"/>
  <c r="AT32" i="6"/>
  <c r="AT38" i="6"/>
  <c r="AL32" i="6"/>
  <c r="CG32" i="6"/>
  <c r="CG38" i="6"/>
  <c r="BY32" i="6"/>
  <c r="BY38" i="6"/>
  <c r="BQ32" i="6"/>
  <c r="BQ38" i="6"/>
  <c r="BI32" i="6"/>
  <c r="BI38" i="6"/>
  <c r="CF38" i="6"/>
  <c r="CF32" i="6"/>
  <c r="BX38" i="6"/>
  <c r="BX32" i="6"/>
  <c r="AY38" i="6"/>
  <c r="AY32" i="6"/>
  <c r="CD38" i="6"/>
  <c r="CD32" i="6"/>
  <c r="BV38" i="6"/>
  <c r="BV32" i="6"/>
  <c r="CC38" i="6"/>
  <c r="CC32" i="6"/>
  <c r="BU38" i="6"/>
  <c r="BU32" i="6"/>
  <c r="CJ32" i="6"/>
  <c r="CJ38" i="6"/>
  <c r="CB32" i="6"/>
  <c r="CB38" i="6"/>
  <c r="BT32" i="6"/>
  <c r="BT38" i="6"/>
  <c r="AN32" i="6"/>
  <c r="AN38" i="6"/>
  <c r="AF32" i="6"/>
  <c r="AF38" i="6"/>
  <c r="X32" i="6"/>
  <c r="X38" i="6"/>
  <c r="P32" i="6"/>
  <c r="P38" i="6"/>
  <c r="L32" i="6"/>
  <c r="U32" i="6"/>
  <c r="U38" i="6"/>
  <c r="M32" i="6"/>
  <c r="M38" i="6"/>
  <c r="AQ32" i="6"/>
  <c r="BP41" i="6"/>
  <c r="BP16" i="6" s="1"/>
  <c r="BP17" i="6" s="1"/>
  <c r="BP42" i="6"/>
  <c r="BP43" i="6" s="1"/>
  <c r="BP39" i="6"/>
  <c r="BH42" i="6"/>
  <c r="BH43" i="6" s="1"/>
  <c r="AJ41" i="6"/>
  <c r="AJ16" i="6" s="1"/>
  <c r="AJ17" i="6" s="1"/>
  <c r="AJ42" i="6"/>
  <c r="AJ43" i="6" s="1"/>
  <c r="AJ39" i="6"/>
  <c r="AB41" i="6"/>
  <c r="AB16" i="6" s="1"/>
  <c r="AB17" i="6" s="1"/>
  <c r="AB42" i="6"/>
  <c r="AB43" i="6" s="1"/>
  <c r="AB39" i="6"/>
  <c r="T41" i="6"/>
  <c r="T16" i="6" s="1"/>
  <c r="T17" i="6" s="1"/>
  <c r="T42" i="6"/>
  <c r="T43" i="6" s="1"/>
  <c r="T39" i="6"/>
  <c r="L41" i="6"/>
  <c r="L16" i="6" s="1"/>
  <c r="L17" i="6" s="1"/>
  <c r="L42" i="6"/>
  <c r="L43" i="6" s="1"/>
  <c r="L39" i="6"/>
  <c r="BP32" i="6"/>
  <c r="AJ32" i="6"/>
  <c r="AQ41" i="6"/>
  <c r="AQ16" i="6" s="1"/>
  <c r="AQ17" i="6" s="1"/>
  <c r="AQ42" i="6"/>
  <c r="AQ43" i="6" s="1"/>
  <c r="AQ39" i="6"/>
  <c r="AI41" i="6"/>
  <c r="AI16" i="6" s="1"/>
  <c r="AI17" i="6" s="1"/>
  <c r="AI42" i="6"/>
  <c r="AI43" i="6" s="1"/>
  <c r="AI39" i="6"/>
  <c r="AA38" i="6"/>
  <c r="AA32" i="6"/>
  <c r="S38" i="6"/>
  <c r="S32" i="6"/>
  <c r="AI32" i="6"/>
  <c r="BN38" i="6"/>
  <c r="BN32" i="6"/>
  <c r="BF38" i="6"/>
  <c r="BF32" i="6"/>
  <c r="AX38" i="6"/>
  <c r="AX32" i="6"/>
  <c r="R38" i="6"/>
  <c r="R32" i="6"/>
  <c r="AB32" i="6"/>
  <c r="BM38" i="6"/>
  <c r="BM32" i="6"/>
  <c r="BE38" i="6"/>
  <c r="BE32" i="6"/>
  <c r="Y38" i="6"/>
  <c r="Y32" i="6"/>
  <c r="Q38" i="6"/>
  <c r="Q32" i="6"/>
  <c r="T32" i="6"/>
  <c r="BW69" i="5"/>
  <c r="BW70" i="5" s="1"/>
  <c r="BG69" i="5"/>
  <c r="BG70" i="5" s="1"/>
  <c r="AY69" i="5"/>
  <c r="AY70" i="5" s="1"/>
  <c r="AQ69" i="5"/>
  <c r="AQ70" i="5" s="1"/>
  <c r="CE69" i="5"/>
  <c r="CE70" i="5" s="1"/>
  <c r="BO69" i="5"/>
  <c r="BO70" i="5" s="1"/>
  <c r="AR69" i="5"/>
  <c r="AR70" i="5" s="1"/>
  <c r="AJ69" i="5"/>
  <c r="AJ70" i="5" s="1"/>
  <c r="AB69" i="5"/>
  <c r="AB70" i="5" s="1"/>
  <c r="T69" i="5"/>
  <c r="T70" i="5" s="1"/>
  <c r="L69" i="5"/>
  <c r="L70" i="5" s="1"/>
  <c r="CJ69" i="5"/>
  <c r="CJ70" i="5" s="1"/>
  <c r="CB69" i="5"/>
  <c r="CB70" i="5" s="1"/>
  <c r="BT69" i="5"/>
  <c r="BT70" i="5" s="1"/>
  <c r="BL69" i="5"/>
  <c r="BL70" i="5" s="1"/>
  <c r="BD69" i="5"/>
  <c r="BD70" i="5" s="1"/>
  <c r="AV69" i="5"/>
  <c r="AV70" i="5" s="1"/>
  <c r="AN69" i="5"/>
  <c r="AN70" i="5" s="1"/>
  <c r="AG69" i="5"/>
  <c r="AG70" i="5" s="1"/>
  <c r="CK69" i="5"/>
  <c r="CK70" i="5" s="1"/>
  <c r="CD69" i="5"/>
  <c r="CD70" i="5" s="1"/>
  <c r="BV69" i="5"/>
  <c r="BV70" i="5" s="1"/>
  <c r="BN69" i="5"/>
  <c r="BN70" i="5" s="1"/>
  <c r="BF69" i="5"/>
  <c r="BF70" i="5" s="1"/>
  <c r="AX69" i="5"/>
  <c r="AX70" i="5" s="1"/>
  <c r="AP69" i="5"/>
  <c r="AP70" i="5" s="1"/>
  <c r="AH69" i="5"/>
  <c r="AH70" i="5" s="1"/>
  <c r="Z69" i="5"/>
  <c r="Z70" i="5" s="1"/>
  <c r="R69" i="5"/>
  <c r="R70" i="5" s="1"/>
  <c r="J69" i="5"/>
  <c r="J70" i="5" s="1"/>
  <c r="AE70" i="5"/>
  <c r="CG50" i="5"/>
  <c r="CG69" i="5" s="1"/>
  <c r="CG70" i="5" s="1"/>
  <c r="BY50" i="5"/>
  <c r="BY69" i="5" s="1"/>
  <c r="BY70" i="5" s="1"/>
  <c r="BQ50" i="5"/>
  <c r="BQ69" i="5" s="1"/>
  <c r="BQ70" i="5" s="1"/>
  <c r="BI50" i="5"/>
  <c r="BI69" i="5" s="1"/>
  <c r="BI70" i="5" s="1"/>
  <c r="BA50" i="5"/>
  <c r="BA69" i="5" s="1"/>
  <c r="BA70" i="5" s="1"/>
  <c r="AS50" i="5"/>
  <c r="AS69" i="5" s="1"/>
  <c r="AS70" i="5" s="1"/>
  <c r="AK50" i="5"/>
  <c r="AK69" i="5" s="1"/>
  <c r="AK70" i="5" s="1"/>
  <c r="AD50" i="5"/>
  <c r="AD69" i="5" s="1"/>
  <c r="AD70" i="5" s="1"/>
  <c r="V50" i="5"/>
  <c r="V69" i="5" s="1"/>
  <c r="V70" i="5" s="1"/>
  <c r="N50" i="5"/>
  <c r="N69" i="5" s="1"/>
  <c r="N70" i="5" s="1"/>
  <c r="F50" i="5"/>
  <c r="F69" i="5" s="1"/>
  <c r="F70" i="5" s="1"/>
  <c r="AC50" i="5"/>
  <c r="AC69" i="5" s="1"/>
  <c r="AC70" i="5" s="1"/>
  <c r="U50" i="5"/>
  <c r="U69" i="5" s="1"/>
  <c r="U70" i="5" s="1"/>
  <c r="M50" i="5"/>
  <c r="M69" i="5" s="1"/>
  <c r="M70" i="5" s="1"/>
  <c r="CH50" i="5"/>
  <c r="CH69" i="5" s="1"/>
  <c r="CH70" i="5" s="1"/>
  <c r="BZ50" i="5"/>
  <c r="BZ69" i="5" s="1"/>
  <c r="BZ70" i="5" s="1"/>
  <c r="BR50" i="5"/>
  <c r="BR69" i="5" s="1"/>
  <c r="BR70" i="5" s="1"/>
  <c r="BJ50" i="5"/>
  <c r="BJ69" i="5" s="1"/>
  <c r="BJ70" i="5" s="1"/>
  <c r="BB50" i="5"/>
  <c r="BB69" i="5" s="1"/>
  <c r="BB70" i="5" s="1"/>
  <c r="AT50" i="5"/>
  <c r="AT69" i="5" s="1"/>
  <c r="AT70" i="5" s="1"/>
  <c r="AL50" i="5"/>
  <c r="AL69" i="5" s="1"/>
  <c r="AL70" i="5" s="1"/>
  <c r="C45" i="6"/>
  <c r="D45" i="6"/>
  <c r="E45" i="6"/>
  <c r="F45" i="6"/>
  <c r="G45" i="6"/>
  <c r="H45" i="6"/>
  <c r="I45" i="6"/>
  <c r="B45" i="6"/>
  <c r="C46" i="6"/>
  <c r="D46" i="6"/>
  <c r="E46" i="6"/>
  <c r="F46" i="6"/>
  <c r="G46" i="6"/>
  <c r="H46" i="6"/>
  <c r="I46" i="6"/>
  <c r="B46" i="6"/>
  <c r="C40" i="6"/>
  <c r="D40" i="6"/>
  <c r="E40" i="6"/>
  <c r="F40" i="6"/>
  <c r="G40" i="6"/>
  <c r="H40" i="6"/>
  <c r="I40" i="6"/>
  <c r="B40" i="6"/>
  <c r="BK22" i="7" l="1"/>
  <c r="BK23" i="7" s="1"/>
  <c r="BM22" i="7"/>
  <c r="BM23" i="7" s="1"/>
  <c r="BL22" i="7"/>
  <c r="BL23" i="7" s="1"/>
  <c r="BN22" i="7"/>
  <c r="BN23" i="7" s="1"/>
  <c r="BA32" i="6"/>
  <c r="AG32" i="6"/>
  <c r="Z32" i="6"/>
  <c r="AP32" i="6"/>
  <c r="CA32" i="6"/>
  <c r="BH39" i="6"/>
  <c r="AS32" i="6"/>
  <c r="BH32" i="6"/>
  <c r="AW32" i="6"/>
  <c r="BL38" i="6"/>
  <c r="AR41" i="6"/>
  <c r="AR16" i="6" s="1"/>
  <c r="AR17" i="6" s="1"/>
  <c r="BW32" i="6"/>
  <c r="AD32" i="6"/>
  <c r="AZ39" i="6"/>
  <c r="CE38" i="6"/>
  <c r="CE41" i="6" s="1"/>
  <c r="AI47" i="6"/>
  <c r="L47" i="6"/>
  <c r="AO32" i="6"/>
  <c r="AZ32" i="6"/>
  <c r="O32" i="6"/>
  <c r="W38" i="6"/>
  <c r="AZ42" i="6"/>
  <c r="BD38" i="6"/>
  <c r="BD42" i="6" s="1"/>
  <c r="BZ38" i="6"/>
  <c r="BZ39" i="6" s="1"/>
  <c r="AH32" i="6"/>
  <c r="BO32" i="6"/>
  <c r="AC32" i="6"/>
  <c r="AR32" i="6"/>
  <c r="BG32" i="6"/>
  <c r="N38" i="6"/>
  <c r="N41" i="6" s="1"/>
  <c r="CH38" i="6"/>
  <c r="CH39" i="6" s="1"/>
  <c r="AV38" i="6"/>
  <c r="AV41" i="6" s="1"/>
  <c r="V38" i="6"/>
  <c r="V39" i="6" s="1"/>
  <c r="BP47" i="6"/>
  <c r="AK38" i="6"/>
  <c r="AK41" i="6" s="1"/>
  <c r="AR39" i="6"/>
  <c r="BK38" i="6"/>
  <c r="BK41" i="6" s="1"/>
  <c r="BS38" i="6"/>
  <c r="BS42" i="6" s="1"/>
  <c r="AQ47" i="6"/>
  <c r="T47" i="6"/>
  <c r="AB47" i="6"/>
  <c r="AJ47" i="6"/>
  <c r="BH47" i="6"/>
  <c r="AR47" i="6"/>
  <c r="AG42" i="6"/>
  <c r="AG39" i="6"/>
  <c r="AG41" i="6"/>
  <c r="BM42" i="6"/>
  <c r="BM39" i="6"/>
  <c r="BM41" i="6"/>
  <c r="AH41" i="6"/>
  <c r="AH42" i="6"/>
  <c r="AH39" i="6"/>
  <c r="BN41" i="6"/>
  <c r="BN42" i="6"/>
  <c r="BN39" i="6"/>
  <c r="AI36" i="6"/>
  <c r="AI37" i="6" s="1"/>
  <c r="AI28" i="6"/>
  <c r="AI29" i="6" s="1"/>
  <c r="L36" i="6"/>
  <c r="L37" i="6" s="1"/>
  <c r="L28" i="6"/>
  <c r="L29" i="6" s="1"/>
  <c r="L33" i="6" s="1"/>
  <c r="L34" i="6" s="1"/>
  <c r="P42" i="6"/>
  <c r="P39" i="6"/>
  <c r="P41" i="6"/>
  <c r="CB42" i="6"/>
  <c r="CB39" i="6"/>
  <c r="CB41" i="6"/>
  <c r="BI41" i="6"/>
  <c r="BI42" i="6"/>
  <c r="BI39" i="6"/>
  <c r="AT39" i="6"/>
  <c r="AT41" i="6"/>
  <c r="AT42" i="6"/>
  <c r="AE39" i="6"/>
  <c r="AE41" i="6"/>
  <c r="AE42" i="6"/>
  <c r="AJ36" i="6"/>
  <c r="AJ37" i="6" s="1"/>
  <c r="AJ28" i="6"/>
  <c r="AJ29" i="6" s="1"/>
  <c r="U41" i="6"/>
  <c r="U42" i="6"/>
  <c r="U39" i="6"/>
  <c r="BV41" i="6"/>
  <c r="BV42" i="6"/>
  <c r="BV39" i="6"/>
  <c r="BO41" i="6"/>
  <c r="BO42" i="6"/>
  <c r="BO39" i="6"/>
  <c r="CF41" i="6"/>
  <c r="CF42" i="6"/>
  <c r="CF39" i="6"/>
  <c r="AO42" i="6"/>
  <c r="AO39" i="6"/>
  <c r="AO41" i="6"/>
  <c r="AP41" i="6"/>
  <c r="AP42" i="6"/>
  <c r="AP39" i="6"/>
  <c r="BH36" i="6"/>
  <c r="BH37" i="6" s="1"/>
  <c r="BH28" i="6"/>
  <c r="BH29" i="6" s="1"/>
  <c r="BH33" i="6" s="1"/>
  <c r="BH34" i="6" s="1"/>
  <c r="X42" i="6"/>
  <c r="X39" i="6"/>
  <c r="X41" i="6"/>
  <c r="CJ42" i="6"/>
  <c r="CJ39" i="6"/>
  <c r="CJ41" i="6"/>
  <c r="BQ41" i="6"/>
  <c r="BQ42" i="6"/>
  <c r="BQ39" i="6"/>
  <c r="BB39" i="6"/>
  <c r="BB41" i="6"/>
  <c r="BB42" i="6"/>
  <c r="AM39" i="6"/>
  <c r="AM41" i="6"/>
  <c r="AM42" i="6"/>
  <c r="S41" i="6"/>
  <c r="S42" i="6"/>
  <c r="S39" i="6"/>
  <c r="AQ36" i="6"/>
  <c r="AQ37" i="6" s="1"/>
  <c r="AQ28" i="6"/>
  <c r="AQ29" i="6" s="1"/>
  <c r="AQ33" i="6" s="1"/>
  <c r="AQ34" i="6" s="1"/>
  <c r="T36" i="6"/>
  <c r="T37" i="6" s="1"/>
  <c r="T28" i="6"/>
  <c r="T29" i="6" s="1"/>
  <c r="T33" i="6" s="1"/>
  <c r="T34" i="6" s="1"/>
  <c r="AC41" i="6"/>
  <c r="AC42" i="6"/>
  <c r="AC39" i="6"/>
  <c r="CD41" i="6"/>
  <c r="CD42" i="6"/>
  <c r="CD39" i="6"/>
  <c r="BW41" i="6"/>
  <c r="BW42" i="6"/>
  <c r="BW39" i="6"/>
  <c r="Q42" i="6"/>
  <c r="Q39" i="6"/>
  <c r="Q41" i="6"/>
  <c r="AW42" i="6"/>
  <c r="AW39" i="6"/>
  <c r="AW41" i="6"/>
  <c r="R41" i="6"/>
  <c r="R42" i="6"/>
  <c r="R39" i="6"/>
  <c r="AX41" i="6"/>
  <c r="AX42" i="6"/>
  <c r="AX39" i="6"/>
  <c r="AR36" i="6"/>
  <c r="AR37" i="6" s="1"/>
  <c r="AR28" i="6"/>
  <c r="AR29" i="6" s="1"/>
  <c r="AR33" i="6" s="1"/>
  <c r="AR34" i="6" s="1"/>
  <c r="AF42" i="6"/>
  <c r="AF39" i="6"/>
  <c r="AF41" i="6"/>
  <c r="BL42" i="6"/>
  <c r="BL39" i="6"/>
  <c r="BL41" i="6"/>
  <c r="AS41" i="6"/>
  <c r="AS42" i="6"/>
  <c r="AS39" i="6"/>
  <c r="BY41" i="6"/>
  <c r="BY42" i="6"/>
  <c r="BY39" i="6"/>
  <c r="AD39" i="6"/>
  <c r="AD41" i="6"/>
  <c r="AD42" i="6"/>
  <c r="BJ39" i="6"/>
  <c r="BJ41" i="6"/>
  <c r="BJ42" i="6"/>
  <c r="O39" i="6"/>
  <c r="O41" i="6"/>
  <c r="O42" i="6"/>
  <c r="AU39" i="6"/>
  <c r="AU41" i="6"/>
  <c r="AU42" i="6"/>
  <c r="CA39" i="6"/>
  <c r="CA41" i="6"/>
  <c r="CA42" i="6"/>
  <c r="AA41" i="6"/>
  <c r="AA42" i="6"/>
  <c r="AA39" i="6"/>
  <c r="BP36" i="6"/>
  <c r="BP37" i="6" s="1"/>
  <c r="BP28" i="6"/>
  <c r="BP29" i="6" s="1"/>
  <c r="BP33" i="6" s="1"/>
  <c r="BP34" i="6" s="1"/>
  <c r="BU42" i="6"/>
  <c r="BU39" i="6"/>
  <c r="BU41" i="6"/>
  <c r="AY41" i="6"/>
  <c r="AY42" i="6"/>
  <c r="AY39" i="6"/>
  <c r="CE39" i="6"/>
  <c r="Y42" i="6"/>
  <c r="Y39" i="6"/>
  <c r="Y41" i="6"/>
  <c r="BE42" i="6"/>
  <c r="BE39" i="6"/>
  <c r="BE41" i="6"/>
  <c r="Z41" i="6"/>
  <c r="Z42" i="6"/>
  <c r="Z39" i="6"/>
  <c r="BF41" i="6"/>
  <c r="BF42" i="6"/>
  <c r="BF39" i="6"/>
  <c r="AB36" i="6"/>
  <c r="AB37" i="6" s="1"/>
  <c r="AB28" i="6"/>
  <c r="AB29" i="6" s="1"/>
  <c r="AB33" i="6" s="1"/>
  <c r="AB34" i="6" s="1"/>
  <c r="AN42" i="6"/>
  <c r="AN39" i="6"/>
  <c r="AN41" i="6"/>
  <c r="BT42" i="6"/>
  <c r="BT39" i="6"/>
  <c r="BT41" i="6"/>
  <c r="BA41" i="6"/>
  <c r="BA42" i="6"/>
  <c r="BA39" i="6"/>
  <c r="CG41" i="6"/>
  <c r="CG42" i="6"/>
  <c r="CG39" i="6"/>
  <c r="AL39" i="6"/>
  <c r="AL41" i="6"/>
  <c r="AL42" i="6"/>
  <c r="BR39" i="6"/>
  <c r="BR41" i="6"/>
  <c r="BR42" i="6"/>
  <c r="W39" i="6"/>
  <c r="W41" i="6"/>
  <c r="W42" i="6"/>
  <c r="BC39" i="6"/>
  <c r="BC41" i="6"/>
  <c r="BC42" i="6"/>
  <c r="CI39" i="6"/>
  <c r="CI41" i="6"/>
  <c r="CI42" i="6"/>
  <c r="AZ36" i="6"/>
  <c r="AZ37" i="6" s="1"/>
  <c r="AZ28" i="6"/>
  <c r="AZ29" i="6" s="1"/>
  <c r="AZ33" i="6" s="1"/>
  <c r="AZ34" i="6" s="1"/>
  <c r="M41" i="6"/>
  <c r="M42" i="6"/>
  <c r="M39" i="6"/>
  <c r="CC42" i="6"/>
  <c r="CC39" i="6"/>
  <c r="CC41" i="6"/>
  <c r="BG41" i="6"/>
  <c r="BG42" i="6"/>
  <c r="BG39" i="6"/>
  <c r="BX41" i="6"/>
  <c r="BX42" i="6"/>
  <c r="BX39" i="6"/>
  <c r="AZ18" i="6"/>
  <c r="BH18" i="6"/>
  <c r="BP18" i="6"/>
  <c r="AQ18" i="6"/>
  <c r="T18" i="6"/>
  <c r="AI18" i="6"/>
  <c r="AI33" i="6"/>
  <c r="AI34" i="6" s="1"/>
  <c r="AB18" i="6"/>
  <c r="L18" i="6"/>
  <c r="AJ18" i="6"/>
  <c r="AJ33" i="6"/>
  <c r="AJ34" i="6" s="1"/>
  <c r="AR18" i="6"/>
  <c r="C25" i="6"/>
  <c r="D25" i="6"/>
  <c r="E25" i="6"/>
  <c r="F25" i="6"/>
  <c r="G25" i="6"/>
  <c r="H25" i="6"/>
  <c r="I25" i="6"/>
  <c r="B25" i="6"/>
  <c r="C67" i="6"/>
  <c r="C24" i="6" s="1"/>
  <c r="D67" i="6"/>
  <c r="D24" i="6" s="1"/>
  <c r="E67" i="6"/>
  <c r="E24" i="6" s="1"/>
  <c r="F24" i="6"/>
  <c r="F27" i="6" s="1"/>
  <c r="G24" i="6"/>
  <c r="G27" i="6" s="1"/>
  <c r="H24" i="6"/>
  <c r="H27" i="6" s="1"/>
  <c r="I24" i="6"/>
  <c r="I27" i="6" s="1"/>
  <c r="B67" i="6"/>
  <c r="B24" i="6" s="1"/>
  <c r="C23" i="6"/>
  <c r="C35" i="6" s="1"/>
  <c r="D23" i="6"/>
  <c r="D35" i="6" s="1"/>
  <c r="E23" i="6"/>
  <c r="E35" i="6" s="1"/>
  <c r="F23" i="6"/>
  <c r="F35" i="6" s="1"/>
  <c r="G23" i="6"/>
  <c r="G35" i="6" s="1"/>
  <c r="H23" i="6"/>
  <c r="H35" i="6" s="1"/>
  <c r="I23" i="6"/>
  <c r="I35" i="6" s="1"/>
  <c r="B23" i="6"/>
  <c r="B35" i="6" s="1"/>
  <c r="C12" i="6"/>
  <c r="D12" i="6"/>
  <c r="E12" i="6"/>
  <c r="F12" i="6"/>
  <c r="G12" i="6"/>
  <c r="H12" i="6"/>
  <c r="I12" i="6"/>
  <c r="B12" i="6"/>
  <c r="C56" i="6"/>
  <c r="D56" i="6"/>
  <c r="E56" i="6"/>
  <c r="F56" i="6"/>
  <c r="G56" i="6"/>
  <c r="H56" i="6"/>
  <c r="I56" i="6"/>
  <c r="J56" i="6"/>
  <c r="K56" i="6"/>
  <c r="B56" i="6"/>
  <c r="K6" i="6"/>
  <c r="C6" i="6"/>
  <c r="C7" i="6" s="1"/>
  <c r="D6" i="6"/>
  <c r="D7" i="6" s="1"/>
  <c r="E6" i="6"/>
  <c r="E7" i="6" s="1"/>
  <c r="F6" i="6"/>
  <c r="F7" i="6" s="1"/>
  <c r="G6" i="6"/>
  <c r="G7" i="6" s="1"/>
  <c r="H6" i="6"/>
  <c r="H7" i="6" s="1"/>
  <c r="I6" i="6"/>
  <c r="I7" i="6" s="1"/>
  <c r="J6" i="6"/>
  <c r="B6" i="6"/>
  <c r="B7" i="6" s="1"/>
  <c r="C49" i="5"/>
  <c r="D49" i="5"/>
  <c r="B49" i="5"/>
  <c r="C107" i="5"/>
  <c r="D107" i="5"/>
  <c r="C89" i="5"/>
  <c r="D89" i="5"/>
  <c r="E89" i="5"/>
  <c r="E108" i="5" s="1"/>
  <c r="C68" i="5"/>
  <c r="D68" i="5"/>
  <c r="E68" i="5"/>
  <c r="C17" i="5"/>
  <c r="D17" i="5"/>
  <c r="E17" i="5"/>
  <c r="B17" i="5"/>
  <c r="C33" i="5"/>
  <c r="D33" i="5"/>
  <c r="E33" i="5"/>
  <c r="B107" i="5"/>
  <c r="B68" i="5"/>
  <c r="B89" i="5"/>
  <c r="B33" i="5"/>
  <c r="BJ22" i="7" l="1"/>
  <c r="BJ23" i="7" s="1"/>
  <c r="BH22" i="7"/>
  <c r="BH23" i="7" s="1"/>
  <c r="BI22" i="7"/>
  <c r="BI23" i="7" s="1"/>
  <c r="BG22" i="7"/>
  <c r="BG23" i="7" s="1"/>
  <c r="CE42" i="6"/>
  <c r="BK39" i="6"/>
  <c r="BZ41" i="6"/>
  <c r="V42" i="6"/>
  <c r="V41" i="6"/>
  <c r="BS41" i="6"/>
  <c r="N42" i="6"/>
  <c r="N47" i="6" s="1"/>
  <c r="N39" i="6"/>
  <c r="BD41" i="6"/>
  <c r="BD36" i="6" s="1"/>
  <c r="BD37" i="6" s="1"/>
  <c r="CH42" i="6"/>
  <c r="CH43" i="6" s="1"/>
  <c r="BD39" i="6"/>
  <c r="BS39" i="6"/>
  <c r="CH41" i="6"/>
  <c r="CH36" i="6" s="1"/>
  <c r="CH37" i="6" s="1"/>
  <c r="AV42" i="6"/>
  <c r="BZ42" i="6"/>
  <c r="BZ43" i="6" s="1"/>
  <c r="AV39" i="6"/>
  <c r="BK42" i="6"/>
  <c r="BK43" i="6" s="1"/>
  <c r="AZ43" i="6"/>
  <c r="AZ47" i="6"/>
  <c r="AK39" i="6"/>
  <c r="AK42" i="6"/>
  <c r="AK43" i="6" s="1"/>
  <c r="BG36" i="6"/>
  <c r="BG37" i="6" s="1"/>
  <c r="BG28" i="6"/>
  <c r="BG29" i="6" s="1"/>
  <c r="BG16" i="6"/>
  <c r="BG17" i="6" s="1"/>
  <c r="W36" i="6"/>
  <c r="W37" i="6" s="1"/>
  <c r="W28" i="6"/>
  <c r="W29" i="6" s="1"/>
  <c r="W16" i="6"/>
  <c r="W17" i="6" s="1"/>
  <c r="BT43" i="6"/>
  <c r="BT47" i="6"/>
  <c r="BF36" i="6"/>
  <c r="BF37" i="6" s="1"/>
  <c r="BF28" i="6"/>
  <c r="BF29" i="6" s="1"/>
  <c r="BF16" i="6"/>
  <c r="BF17" i="6" s="1"/>
  <c r="BU36" i="6"/>
  <c r="BU37" i="6" s="1"/>
  <c r="BU28" i="6"/>
  <c r="BU29" i="6" s="1"/>
  <c r="BU16" i="6"/>
  <c r="BU17" i="6" s="1"/>
  <c r="CA43" i="6"/>
  <c r="CA47" i="6"/>
  <c r="BY43" i="6"/>
  <c r="BY47" i="6"/>
  <c r="AF36" i="6"/>
  <c r="AF37" i="6" s="1"/>
  <c r="AF28" i="6"/>
  <c r="AF29" i="6" s="1"/>
  <c r="AF16" i="6"/>
  <c r="AF17" i="6" s="1"/>
  <c r="Q43" i="6"/>
  <c r="Q47" i="6"/>
  <c r="AC43" i="6"/>
  <c r="AC47" i="6"/>
  <c r="S36" i="6"/>
  <c r="S37" i="6" s="1"/>
  <c r="S28" i="6"/>
  <c r="S29" i="6" s="1"/>
  <c r="S16" i="6"/>
  <c r="S17" i="6" s="1"/>
  <c r="CJ43" i="6"/>
  <c r="CJ47" i="6"/>
  <c r="CF43" i="6"/>
  <c r="CF47" i="6"/>
  <c r="AE43" i="6"/>
  <c r="AE47" i="6"/>
  <c r="AH43" i="6"/>
  <c r="AH47" i="6"/>
  <c r="CC36" i="6"/>
  <c r="CC37" i="6" s="1"/>
  <c r="CC28" i="6"/>
  <c r="CC29" i="6" s="1"/>
  <c r="CC16" i="6"/>
  <c r="CC17" i="6" s="1"/>
  <c r="CI43" i="6"/>
  <c r="CI47" i="6"/>
  <c r="CG43" i="6"/>
  <c r="CG47" i="6"/>
  <c r="AN36" i="6"/>
  <c r="AN37" i="6" s="1"/>
  <c r="AN28" i="6"/>
  <c r="AN29" i="6" s="1"/>
  <c r="AN16" i="6"/>
  <c r="AN17" i="6" s="1"/>
  <c r="Y43" i="6"/>
  <c r="Y47" i="6"/>
  <c r="CA36" i="6"/>
  <c r="CA37" i="6" s="1"/>
  <c r="CA28" i="6"/>
  <c r="CA29" i="6" s="1"/>
  <c r="CA16" i="6"/>
  <c r="CA17" i="6" s="1"/>
  <c r="BJ43" i="6"/>
  <c r="BJ47" i="6"/>
  <c r="BY36" i="6"/>
  <c r="BY37" i="6" s="1"/>
  <c r="BY28" i="6"/>
  <c r="BY29" i="6" s="1"/>
  <c r="BY16" i="6"/>
  <c r="BY17" i="6" s="1"/>
  <c r="R43" i="6"/>
  <c r="R47" i="6"/>
  <c r="AC36" i="6"/>
  <c r="AC37" i="6" s="1"/>
  <c r="AC28" i="6"/>
  <c r="AC29" i="6" s="1"/>
  <c r="AC16" i="6"/>
  <c r="AC17" i="6" s="1"/>
  <c r="BS43" i="6"/>
  <c r="BS47" i="6"/>
  <c r="BQ43" i="6"/>
  <c r="BQ47" i="6"/>
  <c r="CF36" i="6"/>
  <c r="CF37" i="6" s="1"/>
  <c r="CF28" i="6"/>
  <c r="CF29" i="6" s="1"/>
  <c r="CF16" i="6"/>
  <c r="CF17" i="6" s="1"/>
  <c r="U43" i="6"/>
  <c r="U47" i="6"/>
  <c r="AE36" i="6"/>
  <c r="AE37" i="6" s="1"/>
  <c r="AE28" i="6"/>
  <c r="AE29" i="6" s="1"/>
  <c r="AE16" i="6"/>
  <c r="AE17" i="6" s="1"/>
  <c r="N43" i="6"/>
  <c r="CB43" i="6"/>
  <c r="CB47" i="6"/>
  <c r="AH36" i="6"/>
  <c r="AH37" i="6" s="1"/>
  <c r="AH28" i="6"/>
  <c r="AH29" i="6" s="1"/>
  <c r="AH16" i="6"/>
  <c r="AH17" i="6" s="1"/>
  <c r="CI36" i="6"/>
  <c r="CI37" i="6" s="1"/>
  <c r="CI28" i="6"/>
  <c r="CI29" i="6" s="1"/>
  <c r="CI16" i="6"/>
  <c r="CI17" i="6" s="1"/>
  <c r="BR43" i="6"/>
  <c r="BR47" i="6"/>
  <c r="CG36" i="6"/>
  <c r="CG37" i="6" s="1"/>
  <c r="CG28" i="6"/>
  <c r="CG29" i="6" s="1"/>
  <c r="CG16" i="6"/>
  <c r="CG17" i="6" s="1"/>
  <c r="Z43" i="6"/>
  <c r="Z47" i="6"/>
  <c r="BU43" i="6"/>
  <c r="BU47" i="6"/>
  <c r="BJ36" i="6"/>
  <c r="BJ37" i="6" s="1"/>
  <c r="BJ28" i="6"/>
  <c r="BJ29" i="6" s="1"/>
  <c r="BJ16" i="6"/>
  <c r="BJ17" i="6" s="1"/>
  <c r="AF43" i="6"/>
  <c r="AF47" i="6"/>
  <c r="R36" i="6"/>
  <c r="R37" i="6" s="1"/>
  <c r="R28" i="6"/>
  <c r="R29" i="6" s="1"/>
  <c r="R16" i="6"/>
  <c r="R17" i="6" s="1"/>
  <c r="BW43" i="6"/>
  <c r="BW47" i="6"/>
  <c r="BS36" i="6"/>
  <c r="BS37" i="6" s="1"/>
  <c r="BS28" i="6"/>
  <c r="BS29" i="6" s="1"/>
  <c r="BS16" i="6"/>
  <c r="BS17" i="6" s="1"/>
  <c r="BB43" i="6"/>
  <c r="BB47" i="6"/>
  <c r="BQ36" i="6"/>
  <c r="BQ37" i="6" s="1"/>
  <c r="BQ28" i="6"/>
  <c r="BQ29" i="6" s="1"/>
  <c r="BQ16" i="6"/>
  <c r="BQ17" i="6" s="1"/>
  <c r="AP43" i="6"/>
  <c r="AP47" i="6"/>
  <c r="U36" i="6"/>
  <c r="U37" i="6" s="1"/>
  <c r="U28" i="6"/>
  <c r="U29" i="6" s="1"/>
  <c r="U16" i="6"/>
  <c r="U17" i="6" s="1"/>
  <c r="N36" i="6"/>
  <c r="N37" i="6" s="1"/>
  <c r="N28" i="6"/>
  <c r="N29" i="6" s="1"/>
  <c r="N16" i="6"/>
  <c r="N17" i="6" s="1"/>
  <c r="AV36" i="6"/>
  <c r="AV37" i="6" s="1"/>
  <c r="AV28" i="6"/>
  <c r="AV29" i="6" s="1"/>
  <c r="AV16" i="6"/>
  <c r="AV17" i="6" s="1"/>
  <c r="BM36" i="6"/>
  <c r="BM37" i="6" s="1"/>
  <c r="BM28" i="6"/>
  <c r="BM29" i="6" s="1"/>
  <c r="BM16" i="6"/>
  <c r="BM17" i="6" s="1"/>
  <c r="CC43" i="6"/>
  <c r="CC47" i="6"/>
  <c r="BR36" i="6"/>
  <c r="BR37" i="6" s="1"/>
  <c r="BR28" i="6"/>
  <c r="BR29" i="6" s="1"/>
  <c r="BR16" i="6"/>
  <c r="BR17" i="6" s="1"/>
  <c r="AN43" i="6"/>
  <c r="AN47" i="6"/>
  <c r="Z36" i="6"/>
  <c r="Z37" i="6" s="1"/>
  <c r="Z28" i="6"/>
  <c r="Z29" i="6" s="1"/>
  <c r="Z16" i="6"/>
  <c r="Z17" i="6" s="1"/>
  <c r="CE43" i="6"/>
  <c r="CE47" i="6"/>
  <c r="AU43" i="6"/>
  <c r="AU47" i="6"/>
  <c r="AS43" i="6"/>
  <c r="AS47" i="6"/>
  <c r="AW36" i="6"/>
  <c r="AW37" i="6" s="1"/>
  <c r="AW28" i="6"/>
  <c r="AW29" i="6" s="1"/>
  <c r="AW16" i="6"/>
  <c r="AW17" i="6" s="1"/>
  <c r="BW36" i="6"/>
  <c r="BW37" i="6" s="1"/>
  <c r="BW28" i="6"/>
  <c r="BW29" i="6" s="1"/>
  <c r="BW16" i="6"/>
  <c r="BW17" i="6" s="1"/>
  <c r="BB36" i="6"/>
  <c r="BB37" i="6" s="1"/>
  <c r="BB28" i="6"/>
  <c r="BB29" i="6" s="1"/>
  <c r="BB16" i="6"/>
  <c r="BB17" i="6" s="1"/>
  <c r="BD43" i="6"/>
  <c r="BD47" i="6"/>
  <c r="AP36" i="6"/>
  <c r="AP37" i="6" s="1"/>
  <c r="AP28" i="6"/>
  <c r="AP29" i="6" s="1"/>
  <c r="AP16" i="6"/>
  <c r="AP17" i="6" s="1"/>
  <c r="BO43" i="6"/>
  <c r="BO47" i="6"/>
  <c r="BX43" i="6"/>
  <c r="BX47" i="6"/>
  <c r="BC43" i="6"/>
  <c r="BC47" i="6"/>
  <c r="BA43" i="6"/>
  <c r="BA47" i="6"/>
  <c r="BE36" i="6"/>
  <c r="BE37" i="6" s="1"/>
  <c r="BE28" i="6"/>
  <c r="BE29" i="6" s="1"/>
  <c r="BE16" i="6"/>
  <c r="BE17" i="6" s="1"/>
  <c r="CE36" i="6"/>
  <c r="CE37" i="6" s="1"/>
  <c r="CE28" i="6"/>
  <c r="CE29" i="6" s="1"/>
  <c r="CE16" i="6"/>
  <c r="CE17" i="6" s="1"/>
  <c r="AU36" i="6"/>
  <c r="AU37" i="6" s="1"/>
  <c r="AU28" i="6"/>
  <c r="AU29" i="6" s="1"/>
  <c r="AU16" i="6"/>
  <c r="AU17" i="6" s="1"/>
  <c r="AD43" i="6"/>
  <c r="AD47" i="6"/>
  <c r="AS36" i="6"/>
  <c r="AS37" i="6" s="1"/>
  <c r="AS28" i="6"/>
  <c r="AS29" i="6" s="1"/>
  <c r="AS16" i="6"/>
  <c r="AS17" i="6" s="1"/>
  <c r="AM43" i="6"/>
  <c r="AM47" i="6"/>
  <c r="X36" i="6"/>
  <c r="X37" i="6" s="1"/>
  <c r="X28" i="6"/>
  <c r="X29" i="6" s="1"/>
  <c r="X16" i="6"/>
  <c r="X17" i="6" s="1"/>
  <c r="AO36" i="6"/>
  <c r="AO37" i="6" s="1"/>
  <c r="AO28" i="6"/>
  <c r="AO29" i="6" s="1"/>
  <c r="AO16" i="6"/>
  <c r="AO17" i="6" s="1"/>
  <c r="BO36" i="6"/>
  <c r="BO37" i="6" s="1"/>
  <c r="BO28" i="6"/>
  <c r="BO29" i="6" s="1"/>
  <c r="BO16" i="6"/>
  <c r="BO17" i="6" s="1"/>
  <c r="BZ36" i="6"/>
  <c r="BZ37" i="6" s="1"/>
  <c r="BZ28" i="6"/>
  <c r="BZ29" i="6" s="1"/>
  <c r="BZ16" i="6"/>
  <c r="BZ17" i="6" s="1"/>
  <c r="AV43" i="6"/>
  <c r="AV47" i="6"/>
  <c r="BM43" i="6"/>
  <c r="BM47" i="6"/>
  <c r="BX36" i="6"/>
  <c r="BX37" i="6" s="1"/>
  <c r="BX28" i="6"/>
  <c r="BX29" i="6" s="1"/>
  <c r="BX16" i="6"/>
  <c r="BX17" i="6" s="1"/>
  <c r="M43" i="6"/>
  <c r="M47" i="6"/>
  <c r="BC36" i="6"/>
  <c r="BC37" i="6" s="1"/>
  <c r="BC28" i="6"/>
  <c r="BC29" i="6" s="1"/>
  <c r="BC16" i="6"/>
  <c r="BC17" i="6" s="1"/>
  <c r="AL43" i="6"/>
  <c r="AL47" i="6"/>
  <c r="BA36" i="6"/>
  <c r="BA37" i="6" s="1"/>
  <c r="BA28" i="6"/>
  <c r="BA29" i="6" s="1"/>
  <c r="BA16" i="6"/>
  <c r="BA17" i="6" s="1"/>
  <c r="AD36" i="6"/>
  <c r="AD37" i="6" s="1"/>
  <c r="AD28" i="6"/>
  <c r="AD29" i="6" s="1"/>
  <c r="AD16" i="6"/>
  <c r="AD17" i="6" s="1"/>
  <c r="BL36" i="6"/>
  <c r="BL37" i="6" s="1"/>
  <c r="BL28" i="6"/>
  <c r="BL29" i="6" s="1"/>
  <c r="BL16" i="6"/>
  <c r="BL17" i="6" s="1"/>
  <c r="AW43" i="6"/>
  <c r="AW47" i="6"/>
  <c r="CD43" i="6"/>
  <c r="CD47" i="6"/>
  <c r="AM36" i="6"/>
  <c r="AM37" i="6" s="1"/>
  <c r="AM28" i="6"/>
  <c r="AM29" i="6" s="1"/>
  <c r="AM16" i="6"/>
  <c r="AM17" i="6" s="1"/>
  <c r="V43" i="6"/>
  <c r="V47" i="6"/>
  <c r="AK36" i="6"/>
  <c r="AK37" i="6" s="1"/>
  <c r="AK28" i="6"/>
  <c r="AK29" i="6" s="1"/>
  <c r="AK16" i="6"/>
  <c r="AK17" i="6" s="1"/>
  <c r="BI43" i="6"/>
  <c r="BI47" i="6"/>
  <c r="P36" i="6"/>
  <c r="P37" i="6" s="1"/>
  <c r="P28" i="6"/>
  <c r="P29" i="6" s="1"/>
  <c r="P16" i="6"/>
  <c r="P17" i="6" s="1"/>
  <c r="BN43" i="6"/>
  <c r="BN47" i="6"/>
  <c r="AG36" i="6"/>
  <c r="AG37" i="6" s="1"/>
  <c r="AG28" i="6"/>
  <c r="AG29" i="6" s="1"/>
  <c r="AG16" i="6"/>
  <c r="AG17" i="6" s="1"/>
  <c r="M36" i="6"/>
  <c r="M37" i="6" s="1"/>
  <c r="M28" i="6"/>
  <c r="M29" i="6" s="1"/>
  <c r="M16" i="6"/>
  <c r="M17" i="6" s="1"/>
  <c r="AL36" i="6"/>
  <c r="AL37" i="6" s="1"/>
  <c r="AL28" i="6"/>
  <c r="AL29" i="6" s="1"/>
  <c r="AL16" i="6"/>
  <c r="AL17" i="6" s="1"/>
  <c r="BT36" i="6"/>
  <c r="BT37" i="6" s="1"/>
  <c r="BT28" i="6"/>
  <c r="BT29" i="6" s="1"/>
  <c r="BT16" i="6"/>
  <c r="BT17" i="6" s="1"/>
  <c r="BE43" i="6"/>
  <c r="BE47" i="6"/>
  <c r="AY43" i="6"/>
  <c r="AY47" i="6"/>
  <c r="AA43" i="6"/>
  <c r="AA47" i="6"/>
  <c r="O43" i="6"/>
  <c r="O47" i="6"/>
  <c r="AX43" i="6"/>
  <c r="AX47" i="6"/>
  <c r="Q36" i="6"/>
  <c r="Q37" i="6" s="1"/>
  <c r="Q28" i="6"/>
  <c r="Q29" i="6" s="1"/>
  <c r="Q16" i="6"/>
  <c r="Q17" i="6" s="1"/>
  <c r="CD36" i="6"/>
  <c r="CD37" i="6" s="1"/>
  <c r="CD28" i="6"/>
  <c r="CD29" i="6" s="1"/>
  <c r="CD16" i="6"/>
  <c r="CD17" i="6" s="1"/>
  <c r="V36" i="6"/>
  <c r="V37" i="6" s="1"/>
  <c r="V28" i="6"/>
  <c r="V29" i="6" s="1"/>
  <c r="V16" i="6"/>
  <c r="V17" i="6" s="1"/>
  <c r="CJ36" i="6"/>
  <c r="CJ37" i="6" s="1"/>
  <c r="CJ28" i="6"/>
  <c r="CJ29" i="6" s="1"/>
  <c r="CJ16" i="6"/>
  <c r="CJ17" i="6" s="1"/>
  <c r="X43" i="6"/>
  <c r="X47" i="6"/>
  <c r="AO43" i="6"/>
  <c r="AO47" i="6"/>
  <c r="BV43" i="6"/>
  <c r="BV47" i="6"/>
  <c r="BK36" i="6"/>
  <c r="BK37" i="6" s="1"/>
  <c r="BK28" i="6"/>
  <c r="BK29" i="6" s="1"/>
  <c r="BK16" i="6"/>
  <c r="BK17" i="6" s="1"/>
  <c r="AT43" i="6"/>
  <c r="AT47" i="6"/>
  <c r="BI36" i="6"/>
  <c r="BI37" i="6" s="1"/>
  <c r="BI28" i="6"/>
  <c r="BI29" i="6" s="1"/>
  <c r="BI16" i="6"/>
  <c r="BI17" i="6" s="1"/>
  <c r="BN36" i="6"/>
  <c r="BN37" i="6" s="1"/>
  <c r="BN28" i="6"/>
  <c r="BN29" i="6" s="1"/>
  <c r="BN16" i="6"/>
  <c r="BN17" i="6" s="1"/>
  <c r="BG43" i="6"/>
  <c r="BG47" i="6"/>
  <c r="W43" i="6"/>
  <c r="W47" i="6"/>
  <c r="BF43" i="6"/>
  <c r="BF47" i="6"/>
  <c r="Y36" i="6"/>
  <c r="Y37" i="6" s="1"/>
  <c r="Y28" i="6"/>
  <c r="Y29" i="6" s="1"/>
  <c r="Y16" i="6"/>
  <c r="Y17" i="6" s="1"/>
  <c r="AY36" i="6"/>
  <c r="AY37" i="6" s="1"/>
  <c r="AY28" i="6"/>
  <c r="AY29" i="6" s="1"/>
  <c r="AY16" i="6"/>
  <c r="AY17" i="6" s="1"/>
  <c r="AA36" i="6"/>
  <c r="AA37" i="6" s="1"/>
  <c r="AA28" i="6"/>
  <c r="AA29" i="6" s="1"/>
  <c r="AA16" i="6"/>
  <c r="AA17" i="6" s="1"/>
  <c r="O36" i="6"/>
  <c r="O37" i="6" s="1"/>
  <c r="O28" i="6"/>
  <c r="O29" i="6" s="1"/>
  <c r="O16" i="6"/>
  <c r="O17" i="6" s="1"/>
  <c r="BL43" i="6"/>
  <c r="BL47" i="6"/>
  <c r="AX36" i="6"/>
  <c r="AX37" i="6" s="1"/>
  <c r="AX28" i="6"/>
  <c r="AX29" i="6" s="1"/>
  <c r="AX16" i="6"/>
  <c r="AX17" i="6" s="1"/>
  <c r="S43" i="6"/>
  <c r="S47" i="6"/>
  <c r="BV36" i="6"/>
  <c r="BV37" i="6" s="1"/>
  <c r="BV28" i="6"/>
  <c r="BV29" i="6" s="1"/>
  <c r="BV16" i="6"/>
  <c r="BV17" i="6" s="1"/>
  <c r="AT36" i="6"/>
  <c r="AT37" i="6" s="1"/>
  <c r="AT28" i="6"/>
  <c r="AT29" i="6" s="1"/>
  <c r="AT16" i="6"/>
  <c r="AT17" i="6" s="1"/>
  <c r="CB36" i="6"/>
  <c r="CB37" i="6" s="1"/>
  <c r="CB28" i="6"/>
  <c r="CB29" i="6" s="1"/>
  <c r="CB16" i="6"/>
  <c r="CB17" i="6" s="1"/>
  <c r="P43" i="6"/>
  <c r="P47" i="6"/>
  <c r="AG43" i="6"/>
  <c r="AG47" i="6"/>
  <c r="J24" i="6"/>
  <c r="J27" i="6" s="1"/>
  <c r="J7" i="6"/>
  <c r="J15" i="6"/>
  <c r="K7" i="6"/>
  <c r="K15" i="6"/>
  <c r="B27" i="6"/>
  <c r="D27" i="6"/>
  <c r="K24" i="6"/>
  <c r="K27" i="6" s="1"/>
  <c r="C27" i="6"/>
  <c r="E27" i="6"/>
  <c r="H15" i="6"/>
  <c r="I15" i="6"/>
  <c r="G15" i="6"/>
  <c r="F15" i="6"/>
  <c r="E15" i="6"/>
  <c r="B15" i="6"/>
  <c r="D15" i="6"/>
  <c r="C15" i="6"/>
  <c r="D108" i="5"/>
  <c r="C108" i="5"/>
  <c r="E50" i="5"/>
  <c r="E69" i="5" s="1"/>
  <c r="E70" i="5" s="1"/>
  <c r="C50" i="5"/>
  <c r="C69" i="5" s="1"/>
  <c r="C70" i="5" s="1"/>
  <c r="B108" i="5"/>
  <c r="D50" i="5"/>
  <c r="D69" i="5" s="1"/>
  <c r="D70" i="5" s="1"/>
  <c r="B50" i="5"/>
  <c r="B69" i="5" s="1"/>
  <c r="B70" i="5" s="1"/>
  <c r="BC22" i="7" l="1"/>
  <c r="BC23" i="7" s="1"/>
  <c r="BE22" i="7"/>
  <c r="BE23" i="7" s="1"/>
  <c r="BD22" i="7"/>
  <c r="BD23" i="7" s="1"/>
  <c r="BF22" i="7"/>
  <c r="BF23" i="7" s="1"/>
  <c r="BZ47" i="6"/>
  <c r="BD16" i="6"/>
  <c r="BD17" i="6" s="1"/>
  <c r="CH47" i="6"/>
  <c r="BD28" i="6"/>
  <c r="BD29" i="6" s="1"/>
  <c r="BK47" i="6"/>
  <c r="CH16" i="6"/>
  <c r="CH17" i="6" s="1"/>
  <c r="CH18" i="6" s="1"/>
  <c r="CH28" i="6"/>
  <c r="CH29" i="6" s="1"/>
  <c r="CH33" i="6" s="1"/>
  <c r="CH34" i="6" s="1"/>
  <c r="AK47" i="6"/>
  <c r="J31" i="6"/>
  <c r="J38" i="6" s="1"/>
  <c r="K31" i="6"/>
  <c r="K32" i="6" s="1"/>
  <c r="AA18" i="6"/>
  <c r="AA33" i="6"/>
  <c r="AA34" i="6" s="1"/>
  <c r="AT18" i="6"/>
  <c r="AT33" i="6"/>
  <c r="AT34" i="6" s="1"/>
  <c r="Y18" i="6"/>
  <c r="Y33" i="6"/>
  <c r="Y34" i="6" s="1"/>
  <c r="CD18" i="6"/>
  <c r="CD33" i="6"/>
  <c r="CD34" i="6" s="1"/>
  <c r="BT18" i="6"/>
  <c r="BT33" i="6"/>
  <c r="BT34" i="6" s="1"/>
  <c r="BZ18" i="6"/>
  <c r="BZ33" i="6"/>
  <c r="BZ34" i="6" s="1"/>
  <c r="AS18" i="6"/>
  <c r="AS33" i="6"/>
  <c r="AS34" i="6" s="1"/>
  <c r="CE18" i="6"/>
  <c r="CE33" i="6"/>
  <c r="CE34" i="6" s="1"/>
  <c r="AP33" i="6"/>
  <c r="AP34" i="6" s="1"/>
  <c r="AP18" i="6"/>
  <c r="BW18" i="6"/>
  <c r="BW33" i="6"/>
  <c r="BW34" i="6" s="1"/>
  <c r="AC18" i="6"/>
  <c r="AC33" i="6"/>
  <c r="AC34" i="6" s="1"/>
  <c r="BK18" i="6"/>
  <c r="BK33" i="6"/>
  <c r="BK34" i="6" s="1"/>
  <c r="AG18" i="6"/>
  <c r="AG33" i="6"/>
  <c r="AG34" i="6" s="1"/>
  <c r="BL18" i="6"/>
  <c r="BL33" i="6"/>
  <c r="BL34" i="6" s="1"/>
  <c r="BX18" i="6"/>
  <c r="BX33" i="6"/>
  <c r="BX34" i="6" s="1"/>
  <c r="X18" i="6"/>
  <c r="X33" i="6"/>
  <c r="X34" i="6" s="1"/>
  <c r="BR18" i="6"/>
  <c r="BR33" i="6"/>
  <c r="BR34" i="6" s="1"/>
  <c r="AV18" i="6"/>
  <c r="AV33" i="6"/>
  <c r="AV34" i="6" s="1"/>
  <c r="BS33" i="6"/>
  <c r="BS34" i="6" s="1"/>
  <c r="BS18" i="6"/>
  <c r="AE33" i="6"/>
  <c r="AE34" i="6" s="1"/>
  <c r="AE18" i="6"/>
  <c r="BD18" i="6"/>
  <c r="BD33" i="6"/>
  <c r="BD34" i="6" s="1"/>
  <c r="CJ18" i="6"/>
  <c r="CJ33" i="6"/>
  <c r="CJ34" i="6" s="1"/>
  <c r="AM33" i="6"/>
  <c r="AM34" i="6" s="1"/>
  <c r="AM18" i="6"/>
  <c r="CG18" i="6"/>
  <c r="CG33" i="6"/>
  <c r="CG34" i="6" s="1"/>
  <c r="AH18" i="6"/>
  <c r="AH33" i="6"/>
  <c r="AH34" i="6" s="1"/>
  <c r="CA18" i="6"/>
  <c r="CA33" i="6"/>
  <c r="CA34" i="6" s="1"/>
  <c r="BU18" i="6"/>
  <c r="BU33" i="6"/>
  <c r="BU34" i="6" s="1"/>
  <c r="W33" i="6"/>
  <c r="W34" i="6" s="1"/>
  <c r="W18" i="6"/>
  <c r="BN33" i="6"/>
  <c r="BN34" i="6" s="1"/>
  <c r="BN18" i="6"/>
  <c r="BV18" i="6"/>
  <c r="BV33" i="6"/>
  <c r="BV34" i="6" s="1"/>
  <c r="Q18" i="6"/>
  <c r="Q33" i="6"/>
  <c r="Q34" i="6" s="1"/>
  <c r="AL18" i="6"/>
  <c r="AL33" i="6"/>
  <c r="AL34" i="6" s="1"/>
  <c r="BO33" i="6"/>
  <c r="BO34" i="6" s="1"/>
  <c r="BO18" i="6"/>
  <c r="BE18" i="6"/>
  <c r="BE33" i="6"/>
  <c r="BE34" i="6" s="1"/>
  <c r="AW18" i="6"/>
  <c r="AW33" i="6"/>
  <c r="AW34" i="6" s="1"/>
  <c r="BJ18" i="6"/>
  <c r="BJ33" i="6"/>
  <c r="BJ34" i="6" s="1"/>
  <c r="AF33" i="6"/>
  <c r="AF34" i="6" s="1"/>
  <c r="AF18" i="6"/>
  <c r="AX33" i="6"/>
  <c r="AX34" i="6" s="1"/>
  <c r="AX18" i="6"/>
  <c r="BI18" i="6"/>
  <c r="BI33" i="6"/>
  <c r="BI34" i="6" s="1"/>
  <c r="AD18" i="6"/>
  <c r="AD33" i="6"/>
  <c r="AD34" i="6" s="1"/>
  <c r="BC18" i="6"/>
  <c r="BC33" i="6"/>
  <c r="BC34" i="6" s="1"/>
  <c r="Z18" i="6"/>
  <c r="Z33" i="6"/>
  <c r="Z34" i="6" s="1"/>
  <c r="N18" i="6"/>
  <c r="N33" i="6"/>
  <c r="N34" i="6" s="1"/>
  <c r="BQ18" i="6"/>
  <c r="BQ33" i="6"/>
  <c r="BQ34" i="6" s="1"/>
  <c r="S18" i="6"/>
  <c r="S33" i="6"/>
  <c r="S34" i="6" s="1"/>
  <c r="CB18" i="6"/>
  <c r="CB33" i="6"/>
  <c r="CB34" i="6" s="1"/>
  <c r="AY18" i="6"/>
  <c r="AY33" i="6"/>
  <c r="AY34" i="6" s="1"/>
  <c r="V18" i="6"/>
  <c r="V33" i="6"/>
  <c r="V34" i="6" s="1"/>
  <c r="AK33" i="6"/>
  <c r="AK34" i="6" s="1"/>
  <c r="AK18" i="6"/>
  <c r="AU18" i="6"/>
  <c r="AU33" i="6"/>
  <c r="AU34" i="6" s="1"/>
  <c r="BB18" i="6"/>
  <c r="BB33" i="6"/>
  <c r="BB34" i="6" s="1"/>
  <c r="BY18" i="6"/>
  <c r="BY33" i="6"/>
  <c r="BY34" i="6" s="1"/>
  <c r="BF33" i="6"/>
  <c r="BF34" i="6" s="1"/>
  <c r="BF18" i="6"/>
  <c r="BG18" i="6"/>
  <c r="BG33" i="6"/>
  <c r="BG34" i="6" s="1"/>
  <c r="M18" i="6"/>
  <c r="M33" i="6"/>
  <c r="M34" i="6" s="1"/>
  <c r="P18" i="6"/>
  <c r="P33" i="6"/>
  <c r="P34" i="6" s="1"/>
  <c r="AO18" i="6"/>
  <c r="AO33" i="6"/>
  <c r="AO34" i="6" s="1"/>
  <c r="BM18" i="6"/>
  <c r="BM33" i="6"/>
  <c r="BM34" i="6" s="1"/>
  <c r="R18" i="6"/>
  <c r="R33" i="6"/>
  <c r="R34" i="6" s="1"/>
  <c r="CF18" i="6"/>
  <c r="CF33" i="6"/>
  <c r="CF34" i="6" s="1"/>
  <c r="CC18" i="6"/>
  <c r="CC33" i="6"/>
  <c r="CC34" i="6" s="1"/>
  <c r="O33" i="6"/>
  <c r="O34" i="6" s="1"/>
  <c r="O18" i="6"/>
  <c r="BA18" i="6"/>
  <c r="BA33" i="6"/>
  <c r="BA34" i="6" s="1"/>
  <c r="U18" i="6"/>
  <c r="U33" i="6"/>
  <c r="U34" i="6" s="1"/>
  <c r="CI18" i="6"/>
  <c r="CI33" i="6"/>
  <c r="CI34" i="6" s="1"/>
  <c r="AN33" i="6"/>
  <c r="AN34" i="6" s="1"/>
  <c r="AN18" i="6"/>
  <c r="J32" i="6"/>
  <c r="D31" i="6"/>
  <c r="D38" i="6" s="1"/>
  <c r="C31" i="6"/>
  <c r="C32" i="6" s="1"/>
  <c r="E31" i="6"/>
  <c r="E38" i="6" s="1"/>
  <c r="F31" i="6"/>
  <c r="F38" i="6" s="1"/>
  <c r="B31" i="6"/>
  <c r="B38" i="6" s="1"/>
  <c r="G31" i="6"/>
  <c r="G32" i="6" s="1"/>
  <c r="I31" i="6"/>
  <c r="I32" i="6" s="1"/>
  <c r="H31" i="6"/>
  <c r="BB22" i="7" l="1"/>
  <c r="BB23" i="7" s="1"/>
  <c r="AZ22" i="7"/>
  <c r="AZ23" i="7" s="1"/>
  <c r="BA22" i="7"/>
  <c r="BA23" i="7" s="1"/>
  <c r="AY22" i="7"/>
  <c r="AY23" i="7" s="1"/>
  <c r="K38" i="6"/>
  <c r="K39" i="6" s="1"/>
  <c r="K42" i="6"/>
  <c r="K41" i="6"/>
  <c r="K36" i="6" s="1"/>
  <c r="K37" i="6" s="1"/>
  <c r="J39" i="6"/>
  <c r="J42" i="6"/>
  <c r="J41" i="6"/>
  <c r="D32" i="6"/>
  <c r="F32" i="6"/>
  <c r="B32" i="6"/>
  <c r="G38" i="6"/>
  <c r="G42" i="6" s="1"/>
  <c r="E32" i="6"/>
  <c r="C38" i="6"/>
  <c r="C39" i="6" s="1"/>
  <c r="I38" i="6"/>
  <c r="I39" i="6" s="1"/>
  <c r="B39" i="6"/>
  <c r="B42" i="6"/>
  <c r="B41" i="6"/>
  <c r="D39" i="6"/>
  <c r="D42" i="6"/>
  <c r="D41" i="6"/>
  <c r="F41" i="6"/>
  <c r="F28" i="6" s="1"/>
  <c r="F29" i="6" s="1"/>
  <c r="F39" i="6"/>
  <c r="F42" i="6"/>
  <c r="J36" i="6"/>
  <c r="J37" i="6" s="1"/>
  <c r="E41" i="6"/>
  <c r="E39" i="6"/>
  <c r="E42" i="6"/>
  <c r="H32" i="6"/>
  <c r="H38" i="6"/>
  <c r="AU22" i="7" l="1"/>
  <c r="AU23" i="7" s="1"/>
  <c r="AW22" i="7"/>
  <c r="AW23" i="7" s="1"/>
  <c r="AV22" i="7"/>
  <c r="AV23" i="7" s="1"/>
  <c r="AX22" i="7"/>
  <c r="AX23" i="7" s="1"/>
  <c r="J43" i="6"/>
  <c r="J47" i="6"/>
  <c r="K43" i="6"/>
  <c r="K47" i="6"/>
  <c r="J16" i="6"/>
  <c r="J17" i="6" s="1"/>
  <c r="J28" i="6"/>
  <c r="J29" i="6" s="1"/>
  <c r="K16" i="6"/>
  <c r="K17" i="6" s="1"/>
  <c r="K28" i="6"/>
  <c r="K29" i="6" s="1"/>
  <c r="G41" i="6"/>
  <c r="G28" i="6" s="1"/>
  <c r="G29" i="6" s="1"/>
  <c r="G39" i="6"/>
  <c r="I42" i="6"/>
  <c r="I47" i="6" s="1"/>
  <c r="I41" i="6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7" i="6"/>
  <c r="F36" i="6"/>
  <c r="F37" i="6" s="1"/>
  <c r="F16" i="6"/>
  <c r="F17" i="6" s="1"/>
  <c r="B43" i="6"/>
  <c r="B47" i="6"/>
  <c r="G43" i="6"/>
  <c r="G47" i="6"/>
  <c r="D36" i="6"/>
  <c r="D37" i="6" s="1"/>
  <c r="D28" i="6"/>
  <c r="D29" i="6" s="1"/>
  <c r="D16" i="6"/>
  <c r="D17" i="6" s="1"/>
  <c r="F43" i="6"/>
  <c r="F47" i="6"/>
  <c r="E36" i="6"/>
  <c r="E37" i="6" s="1"/>
  <c r="E28" i="6"/>
  <c r="E29" i="6" s="1"/>
  <c r="E16" i="6"/>
  <c r="E17" i="6" s="1"/>
  <c r="D43" i="6"/>
  <c r="D47" i="6"/>
  <c r="G36" i="6"/>
  <c r="G37" i="6" s="1"/>
  <c r="H39" i="6"/>
  <c r="H42" i="6"/>
  <c r="H41" i="6"/>
  <c r="H28" i="6" s="1"/>
  <c r="H29" i="6" s="1"/>
  <c r="AT22" i="7" l="1"/>
  <c r="AT23" i="7" s="1"/>
  <c r="AR22" i="7"/>
  <c r="AR23" i="7" s="1"/>
  <c r="AS22" i="7"/>
  <c r="AS23" i="7" s="1"/>
  <c r="AQ22" i="7"/>
  <c r="AQ23" i="7" s="1"/>
  <c r="I36" i="6"/>
  <c r="I37" i="6" s="1"/>
  <c r="I28" i="6"/>
  <c r="I29" i="6" s="1"/>
  <c r="K18" i="6"/>
  <c r="K33" i="6"/>
  <c r="K34" i="6" s="1"/>
  <c r="J18" i="6"/>
  <c r="J33" i="6"/>
  <c r="J34" i="6" s="1"/>
  <c r="I43" i="6"/>
  <c r="G16" i="6"/>
  <c r="G17" i="6" s="1"/>
  <c r="G33" i="6" s="1"/>
  <c r="G34" i="6" s="1"/>
  <c r="C16" i="6"/>
  <c r="C17" i="6" s="1"/>
  <c r="C18" i="6" s="1"/>
  <c r="C28" i="6"/>
  <c r="C29" i="6" s="1"/>
  <c r="C47" i="6"/>
  <c r="I16" i="6"/>
  <c r="I17" i="6" s="1"/>
  <c r="I18" i="6" s="1"/>
  <c r="D18" i="6"/>
  <c r="D33" i="6"/>
  <c r="D34" i="6" s="1"/>
  <c r="F18" i="6"/>
  <c r="F33" i="6"/>
  <c r="F34" i="6" s="1"/>
  <c r="B33" i="6"/>
  <c r="B34" i="6" s="1"/>
  <c r="B18" i="6"/>
  <c r="H36" i="6"/>
  <c r="H37" i="6" s="1"/>
  <c r="H16" i="6"/>
  <c r="H17" i="6" s="1"/>
  <c r="H43" i="6"/>
  <c r="H47" i="6"/>
  <c r="E33" i="6"/>
  <c r="E34" i="6" s="1"/>
  <c r="E18" i="6"/>
  <c r="AM22" i="7" l="1"/>
  <c r="AM23" i="7" s="1"/>
  <c r="AO22" i="7"/>
  <c r="AO23" i="7" s="1"/>
  <c r="AN22" i="7"/>
  <c r="AN23" i="7" s="1"/>
  <c r="AP22" i="7"/>
  <c r="AP23" i="7" s="1"/>
  <c r="G18" i="6"/>
  <c r="C33" i="6"/>
  <c r="C34" i="6" s="1"/>
  <c r="I33" i="6"/>
  <c r="I34" i="6" s="1"/>
  <c r="H18" i="6"/>
  <c r="H33" i="6"/>
  <c r="H34" i="6" s="1"/>
  <c r="AJ108" i="5"/>
  <c r="W108" i="5"/>
  <c r="AW108" i="5"/>
  <c r="L108" i="5"/>
  <c r="AY108" i="5"/>
  <c r="BM108" i="5"/>
  <c r="BS108" i="5"/>
  <c r="F108" i="5"/>
  <c r="BF108" i="5"/>
  <c r="BC108" i="5"/>
  <c r="M108" i="5"/>
  <c r="AK108" i="5"/>
  <c r="BH108" i="5"/>
  <c r="AH108" i="5"/>
  <c r="V108" i="5"/>
  <c r="CJ108" i="5"/>
  <c r="AA108" i="5"/>
  <c r="BE108" i="5"/>
  <c r="T108" i="5"/>
  <c r="AT108" i="5"/>
  <c r="AE108" i="5"/>
  <c r="CK108" i="5"/>
  <c r="S108" i="5"/>
  <c r="AV108" i="5"/>
  <c r="AX108" i="5"/>
  <c r="BO108" i="5"/>
  <c r="AQ108" i="5"/>
  <c r="CI108" i="5"/>
  <c r="BA108" i="5"/>
  <c r="I108" i="5"/>
  <c r="H108" i="5"/>
  <c r="BT108" i="5"/>
  <c r="BG108" i="5"/>
  <c r="BP108" i="5"/>
  <c r="CA108" i="5"/>
  <c r="BJ108" i="5"/>
  <c r="AU108" i="5"/>
  <c r="CG108" i="5"/>
  <c r="BZ108" i="5"/>
  <c r="AO108" i="5"/>
  <c r="O108" i="5"/>
  <c r="X108" i="5"/>
  <c r="BL108" i="5"/>
  <c r="BX108" i="5"/>
  <c r="AI108" i="5"/>
  <c r="R108" i="5"/>
  <c r="BY108" i="5"/>
  <c r="J108" i="5"/>
  <c r="CH108" i="5"/>
  <c r="BD108" i="5"/>
  <c r="AB108" i="5"/>
  <c r="Y108" i="5"/>
  <c r="Z108" i="5"/>
  <c r="CF108" i="5"/>
  <c r="BB108" i="5"/>
  <c r="BI108" i="5"/>
  <c r="CB108" i="5"/>
  <c r="AL108" i="5"/>
  <c r="K108" i="5"/>
  <c r="BW108" i="5"/>
  <c r="CE108" i="5"/>
  <c r="BV108" i="5"/>
  <c r="AS108" i="5"/>
  <c r="CC108" i="5"/>
  <c r="BU108" i="5"/>
  <c r="G108" i="5"/>
  <c r="AD108" i="5"/>
  <c r="P108" i="5"/>
  <c r="U108" i="5"/>
  <c r="AC108" i="5"/>
  <c r="BK108" i="5"/>
  <c r="BQ108" i="5"/>
  <c r="AZ108" i="5"/>
  <c r="AG108" i="5"/>
  <c r="AF108" i="5"/>
  <c r="Q108" i="5"/>
  <c r="AM108" i="5"/>
  <c r="BN108" i="5"/>
  <c r="N108" i="5"/>
  <c r="AP108" i="5"/>
  <c r="CD108" i="5"/>
  <c r="AR108" i="5"/>
  <c r="BR108" i="5"/>
  <c r="AN108" i="5"/>
  <c r="AL22" i="7" l="1"/>
  <c r="AL23" i="7" s="1"/>
  <c r="AJ22" i="7"/>
  <c r="AJ23" i="7" s="1"/>
  <c r="AK22" i="7"/>
  <c r="AK23" i="7" s="1"/>
  <c r="AI22" i="7"/>
  <c r="AI23" i="7" s="1"/>
  <c r="AE22" i="7" l="1"/>
  <c r="AE23" i="7" s="1"/>
  <c r="AG22" i="7"/>
  <c r="AG23" i="7" s="1"/>
  <c r="AF22" i="7"/>
  <c r="AF23" i="7" s="1"/>
  <c r="AH22" i="7"/>
  <c r="AH23" i="7" s="1"/>
  <c r="AD22" i="7" l="1"/>
  <c r="AD23" i="7" s="1"/>
  <c r="AB22" i="7"/>
  <c r="AB23" i="7" s="1"/>
  <c r="AC22" i="7"/>
  <c r="AC23" i="7" s="1"/>
  <c r="AA22" i="7"/>
  <c r="AA23" i="7" s="1"/>
  <c r="W22" i="7" l="1"/>
  <c r="W23" i="7" s="1"/>
  <c r="Y22" i="7"/>
  <c r="Y23" i="7" s="1"/>
  <c r="X22" i="7"/>
  <c r="X23" i="7" s="1"/>
  <c r="Z22" i="7"/>
  <c r="Z23" i="7" s="1"/>
  <c r="V22" i="7" l="1"/>
  <c r="V23" i="7" s="1"/>
  <c r="T22" i="7"/>
  <c r="T23" i="7" s="1"/>
  <c r="U22" i="7"/>
  <c r="U23" i="7" s="1"/>
  <c r="S22" i="7"/>
  <c r="S23" i="7" s="1"/>
  <c r="O22" i="7" l="1"/>
  <c r="O23" i="7" s="1"/>
  <c r="Q22" i="7"/>
  <c r="Q23" i="7" s="1"/>
  <c r="P22" i="7"/>
  <c r="P23" i="7" s="1"/>
  <c r="R22" i="7"/>
  <c r="R23" i="7" s="1"/>
  <c r="N22" i="7" l="1"/>
  <c r="N23" i="7" s="1"/>
  <c r="L22" i="7"/>
  <c r="L23" i="7" s="1"/>
  <c r="M22" i="7"/>
  <c r="M23" i="7" s="1"/>
  <c r="K22" i="7"/>
  <c r="K23" i="7" s="1"/>
  <c r="G22" i="7" l="1"/>
  <c r="G23" i="7" s="1"/>
  <c r="H22" i="7"/>
  <c r="H23" i="7" s="1"/>
  <c r="I22" i="7"/>
  <c r="I23" i="7" s="1"/>
  <c r="J22" i="7"/>
  <c r="J23" i="7" s="1"/>
  <c r="F22" i="7" l="1"/>
  <c r="F23" i="7" s="1"/>
  <c r="E22" i="7"/>
  <c r="E23" i="7" l="1"/>
</calcChain>
</file>

<file path=xl/sharedStrings.xml><?xml version="1.0" encoding="utf-8"?>
<sst xmlns="http://schemas.openxmlformats.org/spreadsheetml/2006/main" count="665" uniqueCount="413">
  <si>
    <t>营业收入(万元)</t>
  </si>
  <si>
    <t>营业成本(万元)</t>
  </si>
  <si>
    <t>营业利润(万元)</t>
  </si>
  <si>
    <t>利润总额(万元)</t>
  </si>
  <si>
    <t>所得税费用(万元)</t>
  </si>
  <si>
    <t>净利润(万元)</t>
  </si>
  <si>
    <t>基本每股收益</t>
  </si>
  <si>
    <t>货币资金(万元)</t>
  </si>
  <si>
    <t>应收账款(万元)</t>
  </si>
  <si>
    <t>存货(万元)</t>
  </si>
  <si>
    <t>流动资产合计(万元)</t>
  </si>
  <si>
    <t>资产总计(万元)</t>
  </si>
  <si>
    <t>流动负债合计(万元)</t>
  </si>
  <si>
    <t>非流动负债合计(万元)</t>
  </si>
  <si>
    <t>负债合计(万元)</t>
  </si>
  <si>
    <t>所有者权益(或股东权益)合计(万元)</t>
  </si>
  <si>
    <t xml:space="preserve">		</t>
  </si>
  <si>
    <t xml:space="preserve">  </t>
  </si>
  <si>
    <t>报告期</t>
  </si>
  <si>
    <t>固定资产净额(万元)</t>
  </si>
  <si>
    <t>期初现金及现金等价物余额(万元)</t>
  </si>
  <si>
    <t>经营活动产生的现金流量净额(万元)</t>
  </si>
  <si>
    <t>投资活动产生的现金流量净额(万元)</t>
  </si>
  <si>
    <t>筹资活动产生的现金流量净额(万元)</t>
  </si>
  <si>
    <t>现金及现金等价物净增加额(万元)</t>
  </si>
  <si>
    <t>期末现金及现金等价物余额(万元)</t>
  </si>
  <si>
    <t>资产结构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</si>
  <si>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</si>
  <si>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</si>
  <si>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</si>
  <si>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</si>
  <si>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</si>
  <si>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</si>
  <si>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</si>
  <si>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</si>
  <si>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</si>
  <si>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</si>
  <si>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</si>
  <si>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</si>
  <si>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</si>
  <si>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</si>
  <si>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</si>
  <si>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</si>
  <si>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</si>
  <si>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</si>
  <si>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</si>
  <si>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</si>
  <si>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</si>
  <si>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</si>
  <si>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</si>
  <si>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</si>
  <si>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</si>
  <si>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</si>
  <si>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</si>
  <si>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</si>
  <si>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</si>
  <si>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</si>
  <si>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</si>
  <si>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</si>
  <si>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</si>
  <si>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</si>
  <si>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</si>
  <si>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</si>
  <si>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</si>
  <si>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</si>
  <si>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</si>
  <si>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</si>
  <si>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</si>
  <si>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</si>
  <si>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</si>
  <si>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</si>
  <si>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</si>
  <si>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</si>
  <si>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</si>
  <si>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</si>
  <si>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</si>
  <si>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</si>
  <si>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</si>
  <si>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</si>
  <si>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</si>
  <si>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</si>
  <si>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</si>
  <si>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</si>
  <si>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</si>
  <si>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</si>
  <si>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</si>
  <si>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</si>
  <si>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</si>
  <si>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</si>
  <si>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</si>
  <si>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</si>
  <si>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</si>
  <si>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</si>
  <si>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</si>
  <si>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</si>
  <si>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</si>
  <si>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</si>
  <si>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</si>
  <si>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</si>
  <si>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</si>
  <si>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</si>
  <si>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</si>
  <si>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</si>
  <si>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</si>
  <si>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</si>
  <si>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</si>
  <si>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</si>
  <si>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</si>
  <si>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</si>
  <si>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</si>
  <si>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</si>
  <si>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</si>
  <si>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 xml:space="preserve">  (1) 营业收入</t>
    <phoneticPr fontId="1" type="noConversion"/>
  </si>
  <si>
    <t xml:space="preserve">  (2) 减：营业成本</t>
    <phoneticPr fontId="1" type="noConversion"/>
  </si>
  <si>
    <t xml:space="preserve">  (3) 毛利额=1-2</t>
    <phoneticPr fontId="1" type="noConversion"/>
  </si>
  <si>
    <t xml:space="preserve">  (4) 减：（营业）税金及附加</t>
    <phoneticPr fontId="1" type="noConversion"/>
  </si>
  <si>
    <t xml:space="preserve">  (6) 管理费用</t>
    <phoneticPr fontId="1" type="noConversion"/>
  </si>
  <si>
    <t xml:space="preserve">  (7) 资产减值损失</t>
    <phoneticPr fontId="1" type="noConversion"/>
  </si>
  <si>
    <t xml:space="preserve">  (8) 财务费用中其他（与经营活动有关的财务手续费）</t>
    <phoneticPr fontId="1" type="noConversion"/>
  </si>
  <si>
    <t xml:space="preserve">  (9) 加：营业外收入</t>
    <phoneticPr fontId="1" type="noConversion"/>
  </si>
  <si>
    <t xml:space="preserve">  (10) 减：营业外支出</t>
    <phoneticPr fontId="1" type="noConversion"/>
  </si>
  <si>
    <t xml:space="preserve">  (11) 息税前经营利润=3-（4+5+6+7+8）+9-10</t>
    <phoneticPr fontId="1" type="noConversion"/>
  </si>
  <si>
    <t xml:space="preserve">  (12) 经营利润所得税=11*实际所得税税率</t>
    <phoneticPr fontId="1" type="noConversion"/>
  </si>
  <si>
    <t xml:space="preserve">     毛利率</t>
    <phoneticPr fontId="1" type="noConversion"/>
  </si>
  <si>
    <t>股权投资活动收益</t>
    <phoneticPr fontId="1" type="noConversion"/>
  </si>
  <si>
    <t xml:space="preserve">  (14) 对联营企业和合营企业的股权投资收益</t>
    <phoneticPr fontId="1" type="noConversion"/>
  </si>
  <si>
    <t>金融资产收益</t>
    <phoneticPr fontId="1" type="noConversion"/>
  </si>
  <si>
    <t xml:space="preserve">  (20) 息税前金融资产收益=15+16+17+18+19</t>
    <phoneticPr fontId="1" type="noConversion"/>
  </si>
  <si>
    <t xml:space="preserve">  (21) 金融资产收益所得税=（20-19）*实际所得税税率</t>
    <phoneticPr fontId="1" type="noConversion"/>
  </si>
  <si>
    <t xml:space="preserve">  (13) 息前税后经营利润=11-12</t>
    <phoneticPr fontId="1" type="noConversion"/>
  </si>
  <si>
    <t xml:space="preserve">      息前税后经营利润率=13/1*100%</t>
    <phoneticPr fontId="1" type="noConversion"/>
  </si>
  <si>
    <t xml:space="preserve">  (22) 息前税后金融资产收益=20-21</t>
    <phoneticPr fontId="1" type="noConversion"/>
  </si>
  <si>
    <t>总资产收益</t>
    <phoneticPr fontId="1" type="noConversion"/>
  </si>
  <si>
    <t xml:space="preserve">  (23) 息税前利润=11+14+20</t>
    <phoneticPr fontId="1" type="noConversion"/>
  </si>
  <si>
    <t xml:space="preserve">      息税前利润率=23/1*100%</t>
    <phoneticPr fontId="1" type="noConversion"/>
  </si>
  <si>
    <t xml:space="preserve">      息前税后利润率=24/1*100%</t>
    <phoneticPr fontId="1" type="noConversion"/>
  </si>
  <si>
    <t xml:space="preserve">  (24) 息前税后利润=13+14+22</t>
    <phoneticPr fontId="1" type="noConversion"/>
  </si>
  <si>
    <t xml:space="preserve">  (25) 真实财务费用=利润表中财务费用+16</t>
    <phoneticPr fontId="1" type="noConversion"/>
  </si>
  <si>
    <t xml:space="preserve">  (26) 减：利息支出税收抵扣=25*实际所得税税率</t>
    <phoneticPr fontId="1" type="noConversion"/>
  </si>
  <si>
    <t xml:space="preserve">  (27) 税后财务费用=25-26</t>
    <phoneticPr fontId="1" type="noConversion"/>
  </si>
  <si>
    <t xml:space="preserve">  (28) （息后）税前利润=（23-25）或 （24-27）</t>
    <phoneticPr fontId="1" type="noConversion"/>
  </si>
  <si>
    <t xml:space="preserve">       （息后）税前利润率=28/1*100%</t>
    <phoneticPr fontId="1" type="noConversion"/>
  </si>
  <si>
    <t xml:space="preserve">  (29) 减：所得税费用</t>
    <phoneticPr fontId="1" type="noConversion"/>
  </si>
  <si>
    <t xml:space="preserve">       实际所得税税率=29/28</t>
    <phoneticPr fontId="1" type="noConversion"/>
  </si>
  <si>
    <t xml:space="preserve">  (30) 净利润=28-29</t>
    <phoneticPr fontId="1" type="noConversion"/>
  </si>
  <si>
    <t xml:space="preserve">       净利润率=30/1*100%</t>
    <phoneticPr fontId="1" type="noConversion"/>
  </si>
  <si>
    <t>股权价值损益</t>
    <phoneticPr fontId="1" type="noConversion"/>
  </si>
  <si>
    <t xml:space="preserve">  (31) 减：股权资本成本=所有者权益*股权资本成本率</t>
    <phoneticPr fontId="1" type="noConversion"/>
  </si>
  <si>
    <t xml:space="preserve">      假设股权资本成本率为8%</t>
    <phoneticPr fontId="1" type="noConversion"/>
  </si>
  <si>
    <t xml:space="preserve">  (32) 股权价值增加=30-31</t>
    <phoneticPr fontId="1" type="noConversion"/>
  </si>
  <si>
    <t xml:space="preserve">  (5) 销售费用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</si>
  <si>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</si>
  <si>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</si>
  <si>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</si>
  <si>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</si>
  <si>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</si>
  <si>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</si>
  <si>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</si>
  <si>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</si>
  <si>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</si>
  <si>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 xml:space="preserve">  (15) 公允价值变动净收益</t>
    <phoneticPr fontId="1" type="noConversion"/>
  </si>
  <si>
    <t xml:space="preserve">  (18) 财务费用中的汇兑净收益</t>
    <phoneticPr fontId="1" type="noConversion"/>
  </si>
  <si>
    <t xml:space="preserve">  (16) 财务费用中的利息收入 </t>
    <phoneticPr fontId="1" type="noConversion"/>
  </si>
  <si>
    <t xml:space="preserve">  (17) 短期投资净收益=投资收益-股权投资收益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</si>
  <si>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</si>
  <si>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</si>
  <si>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</si>
  <si>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</si>
  <si>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</si>
  <si>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</si>
  <si>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</si>
  <si>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</si>
  <si>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</si>
  <si>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</si>
  <si>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</si>
  <si>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</si>
  <si>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</si>
  <si>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</si>
  <si>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</si>
  <si>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</si>
  <si>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</si>
  <si>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</si>
  <si>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</si>
  <si>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</si>
  <si>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</si>
  <si>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</si>
  <si>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</si>
  <si>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</si>
  <si>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</si>
  <si>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</si>
  <si>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</si>
  <si>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</si>
  <si>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</si>
  <si>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</si>
  <si>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</si>
  <si>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</si>
  <si>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</si>
  <si>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</si>
  <si>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</si>
  <si>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</si>
  <si>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</si>
  <si>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</si>
  <si>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</si>
  <si>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</si>
  <si>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</si>
  <si>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</si>
  <si>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</si>
  <si>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</si>
  <si>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</si>
  <si>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</si>
  <si>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</si>
  <si>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</si>
  <si>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</si>
  <si>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</si>
  <si>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</si>
  <si>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</si>
  <si>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</si>
  <si>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</si>
  <si>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</si>
  <si>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</si>
  <si>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</si>
  <si>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</si>
  <si>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</si>
  <si>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</si>
  <si>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</si>
  <si>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</si>
  <si>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</si>
  <si>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</si>
  <si>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</si>
  <si>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</si>
  <si>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</si>
  <si>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</si>
  <si>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</si>
  <si>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</si>
  <si>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</si>
  <si>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</si>
  <si>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</si>
  <si>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</si>
  <si>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</si>
  <si>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</si>
  <si>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</si>
  <si>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</si>
  <si>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</si>
  <si>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</si>
  <si>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</si>
  <si>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</si>
  <si>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</si>
  <si>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</si>
  <si>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</si>
  <si>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</si>
  <si>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</si>
  <si>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</si>
  <si>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</si>
  <si>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</si>
  <si>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</si>
  <si>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</si>
  <si>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</si>
  <si>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</si>
  <si>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</si>
  <si>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</si>
  <si>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</si>
  <si>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</si>
  <si>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</si>
  <si>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</si>
  <si>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</si>
  <si>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</si>
  <si>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</si>
  <si>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</si>
  <si>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</si>
  <si>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</si>
  <si>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</si>
  <si>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</si>
  <si>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</si>
  <si>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</si>
  <si>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</si>
  <si>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</si>
  <si>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</si>
  <si>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</si>
  <si>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</si>
  <si>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</si>
  <si>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</si>
  <si>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</si>
  <si>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</si>
  <si>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</si>
  <si>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</si>
  <si>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</si>
  <si>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</si>
  <si>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</si>
  <si>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</si>
  <si>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</si>
  <si>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</si>
  <si>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</si>
  <si>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</si>
  <si>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</si>
  <si>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</si>
  <si>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</si>
  <si>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</si>
  <si>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</si>
  <si>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</si>
  <si>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</si>
  <si>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</si>
  <si>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</si>
  <si>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</si>
  <si>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</si>
  <si>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</si>
  <si>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</si>
  <si>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</si>
  <si>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</si>
  <si>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</si>
  <si>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</si>
  <si>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</si>
  <si>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</si>
  <si>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</si>
  <si>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</si>
  <si>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</si>
  <si>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</si>
  <si>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</si>
  <si>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</si>
  <si>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</si>
  <si>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</si>
  <si>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</si>
  <si>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</si>
  <si>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</si>
  <si>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</si>
  <si>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</si>
  <si>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</si>
  <si>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</si>
  <si>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</si>
  <si>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</si>
  <si>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</si>
  <si>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</si>
  <si>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</si>
  <si>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</si>
  <si>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</si>
  <si>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</si>
  <si>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</si>
  <si>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</si>
  <si>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</si>
  <si>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</si>
  <si>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</si>
  <si>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</si>
  <si>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</si>
  <si>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</si>
  <si>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</si>
  <si>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</si>
  <si>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</si>
  <si>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</si>
  <si>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</si>
  <si>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</si>
  <si>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</si>
  <si>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</si>
  <si>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</si>
  <si>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</si>
  <si>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</si>
  <si>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</si>
  <si>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</si>
  <si>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</si>
  <si>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 xml:space="preserve">  外币报表折算差额</t>
    <phoneticPr fontId="1" type="noConversion"/>
  </si>
  <si>
    <t xml:space="preserve">  (19) 其他综合收益</t>
    <phoneticPr fontId="1" type="noConversion"/>
  </si>
  <si>
    <t>自我构建长期资产</t>
    <phoneticPr fontId="1" type="noConversion"/>
  </si>
  <si>
    <t>兼收并购长期资产</t>
    <phoneticPr fontId="1" type="noConversion"/>
  </si>
  <si>
    <t>现金自给率分析</t>
    <phoneticPr fontId="1" type="noConversion"/>
  </si>
  <si>
    <t>(3)长期资产净投资额=2-1</t>
    <phoneticPr fontId="1" type="noConversion"/>
  </si>
  <si>
    <t>(9)长期资产新投资额=3-4-5-6-7-8</t>
    <phoneticPr fontId="1" type="noConversion"/>
  </si>
  <si>
    <t>(10)期初长期资产净值</t>
    <phoneticPr fontId="1" type="noConversion"/>
  </si>
  <si>
    <t>(11)长期资产扩张性资本支出比例=9/10*100%</t>
    <phoneticPr fontId="1" type="noConversion"/>
  </si>
  <si>
    <t>(14)净合并额=13-12</t>
    <phoneticPr fontId="1" type="noConversion"/>
  </si>
  <si>
    <t>(15)战略投资综合现金需求=3+14</t>
    <phoneticPr fontId="1" type="noConversion"/>
  </si>
  <si>
    <t>(16)经营活动产生的现金流量净额</t>
    <phoneticPr fontId="1" type="noConversion"/>
  </si>
  <si>
    <t>(17)现金自给率=16/15*100%</t>
    <phoneticPr fontId="1" type="noConversion"/>
  </si>
  <si>
    <t>(18)期初金融资产金额</t>
    <phoneticPr fontId="1" type="noConversion"/>
  </si>
  <si>
    <t>(19)筹资需求=16+18-15</t>
    <phoneticPr fontId="1" type="noConversion"/>
  </si>
  <si>
    <t>(20)筹资活动产生的现金流量净额</t>
    <phoneticPr fontId="1" type="noConversion"/>
  </si>
  <si>
    <t>(2)购建固定资产、无形资产和其他长期资产支付的现金</t>
    <phoneticPr fontId="1" type="noConversion"/>
  </si>
  <si>
    <t>(4)固定资产折旧、油气资产折耗、生产性生物资产折旧</t>
    <phoneticPr fontId="1" type="noConversion"/>
  </si>
  <si>
    <t>(5)无形资产摊销</t>
    <phoneticPr fontId="1" type="noConversion"/>
  </si>
  <si>
    <t>(6)长期待摊费用摊销</t>
    <phoneticPr fontId="1" type="noConversion"/>
  </si>
  <si>
    <t>(7)处置固定资产、无形资产和其他长期资产的损失</t>
    <phoneticPr fontId="1" type="noConversion"/>
  </si>
  <si>
    <t>(8)固定资产报废损失</t>
    <phoneticPr fontId="1" type="noConversion"/>
  </si>
  <si>
    <t>非流动资产合计</t>
    <phoneticPr fontId="1" type="noConversion"/>
  </si>
  <si>
    <t>商誉</t>
    <phoneticPr fontId="1" type="noConversion"/>
  </si>
  <si>
    <t>可供出售金融资产</t>
    <phoneticPr fontId="1" type="noConversion"/>
  </si>
  <si>
    <t>(12)处置子公司及其他营业单位收到的现金净额</t>
    <phoneticPr fontId="1" type="noConversion"/>
  </si>
  <si>
    <t>(13)取得子公司及其他营业单位支付的现金净额</t>
    <phoneticPr fontId="1" type="noConversion"/>
  </si>
  <si>
    <t>长期资产</t>
    <phoneticPr fontId="1" type="noConversion"/>
  </si>
  <si>
    <t>金融资产：</t>
    <phoneticPr fontId="1" type="noConversion"/>
  </si>
  <si>
    <t>金融资产</t>
    <phoneticPr fontId="1" type="noConversion"/>
  </si>
  <si>
    <t>筹资来源</t>
    <phoneticPr fontId="1" type="noConversion"/>
  </si>
  <si>
    <t>股东之间的筹资活动</t>
    <phoneticPr fontId="1" type="noConversion"/>
  </si>
  <si>
    <t>(1)处置固定资产、无形资产和其他长期资产收回的现金净额</t>
    <phoneticPr fontId="1" type="noConversion"/>
  </si>
  <si>
    <t>债权人之间的筹资活动</t>
    <phoneticPr fontId="1" type="noConversion"/>
  </si>
  <si>
    <t>(3)股东筹资净额=1-2</t>
    <phoneticPr fontId="1" type="noConversion"/>
  </si>
  <si>
    <t>(5)财务费用中利息支出</t>
    <phoneticPr fontId="1" type="noConversion"/>
  </si>
  <si>
    <t>(8)债务筹资净额=4-5-6-7</t>
    <phoneticPr fontId="1" type="noConversion"/>
  </si>
  <si>
    <t>(1)吸收投资收到的现金</t>
    <phoneticPr fontId="1" type="noConversion"/>
  </si>
  <si>
    <t>分配股利、利润或偿付利息所支付的现金</t>
    <phoneticPr fontId="1" type="noConversion"/>
  </si>
  <si>
    <t>(4)取得借款收到的现金</t>
    <phoneticPr fontId="1" type="noConversion"/>
  </si>
  <si>
    <t>(6)应付利息</t>
    <phoneticPr fontId="1" type="noConversion"/>
  </si>
  <si>
    <t>(7)偿还债务支付的现金</t>
    <phoneticPr fontId="1" type="noConversion"/>
  </si>
  <si>
    <t>(2)分配股利、利润所支付的现金（公告中查找)</t>
    <phoneticPr fontId="1" type="noConversion"/>
  </si>
  <si>
    <t>平均资本成本计算</t>
    <phoneticPr fontId="1" type="noConversion"/>
  </si>
  <si>
    <t>(1)利息支出</t>
    <phoneticPr fontId="1" type="noConversion"/>
  </si>
  <si>
    <t>(2)有息债务</t>
    <phoneticPr fontId="1" type="noConversion"/>
  </si>
  <si>
    <t>(4)税后债务资金成本=3*（100%-企业实际所得税税率)</t>
    <phoneticPr fontId="1" type="noConversion"/>
  </si>
  <si>
    <t>(5)股东权益</t>
    <phoneticPr fontId="1" type="noConversion"/>
  </si>
  <si>
    <t>(7)资本总额</t>
    <phoneticPr fontId="1" type="noConversion"/>
  </si>
  <si>
    <t>(8)债务资金比例=2/7</t>
    <phoneticPr fontId="1" type="noConversion"/>
  </si>
  <si>
    <t>(9)股权资金比例=5/7</t>
    <phoneticPr fontId="1" type="noConversion"/>
  </si>
  <si>
    <t>(10)加权平均资金成本(WACC)</t>
    <phoneticPr fontId="1" type="noConversion"/>
  </si>
  <si>
    <r>
      <t>(3)税前债务资本成本=1/期初期末平均2=</t>
    </r>
    <r>
      <rPr>
        <b/>
        <sz val="11"/>
        <color theme="1"/>
        <rFont val="宋体"/>
        <family val="3"/>
        <charset val="134"/>
        <scheme val="minor"/>
      </rPr>
      <t>(1)/平均有息债务余额</t>
    </r>
    <phoneticPr fontId="1" type="noConversion"/>
  </si>
  <si>
    <t>企业实际所得税税率</t>
    <phoneticPr fontId="1" type="noConversion"/>
  </si>
  <si>
    <t>(6)股权资金成本，假设为8%</t>
    <phoneticPr fontId="1" type="noConversion"/>
  </si>
  <si>
    <t>股权资金成本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</si>
</sst>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);[Red]\(#,##0\)"/>
    <numFmt numFmtId="177" formatCode="#,##0_ "/>
    <numFmt numFmtId="178" formatCode="0.00_ "/>
    <numFmt numFmtId="179" formatCode="#,##0.00_ "/>
    <numFmt numFmtId="180" formatCode="#,##0.0000_ "/>
  </numFmts>
  <fonts count="2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7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8" fontId="0" fillId="0" borderId="0" xfId="0" applyNumberFormat="1">
      <alignment vertical="center"/>
    </xf>
    <xf numFmtId="178" fontId="5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9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0" fontId="6" fillId="0" borderId="0" xfId="0" applyNumberFormat="1" applyFont="1">
      <alignment vertical="center"/>
    </xf>
    <xf numFmtId="178" fontId="0" fillId="0" borderId="0" xfId="0" applyNumberFormat="1" applyFill="1">
      <alignment vertical="center"/>
    </xf>
    <xf numFmtId="179" fontId="0" fillId="5" borderId="0" xfId="0" applyNumberFormat="1" applyFill="1">
      <alignment vertical="center"/>
    </xf>
    <xf numFmtId="179" fontId="0" fillId="0" borderId="0" xfId="0" applyNumberFormat="1" applyFill="1">
      <alignment vertical="center"/>
    </xf>
    <xf numFmtId="179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179" fontId="0" fillId="7" borderId="0" xfId="0" applyNumberFormat="1" applyFill="1">
      <alignment vertical="center"/>
    </xf>
    <xf numFmtId="179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79" fontId="3" fillId="3" borderId="0" xfId="2" applyNumberFormat="1" applyBorder="1">
      <alignment vertical="center"/>
    </xf>
    <xf numFmtId="179" fontId="2" fillId="2" borderId="0" xfId="1" applyNumberFormat="1">
      <alignment vertical="center"/>
    </xf>
    <xf numFmtId="179" fontId="3" fillId="3" borderId="0" xfId="2" applyNumberFormat="1">
      <alignment vertical="center"/>
    </xf>
    <xf numFmtId="179" fontId="2" fillId="2" borderId="0" xfId="1" applyNumberFormat="1" applyBorder="1">
      <alignment vertical="center"/>
    </xf>
    <xf numFmtId="0" fontId="5" fillId="39" borderId="0" xfId="0" applyFont="1" applyFill="1">
      <alignment vertical="center"/>
    </xf>
    <xf numFmtId="49" fontId="5" fillId="39" borderId="0" xfId="0" applyNumberFormat="1" applyFont="1" applyFill="1">
      <alignment vertical="center"/>
    </xf>
    <xf numFmtId="49" fontId="0" fillId="40" borderId="0" xfId="0" applyNumberFormat="1" applyFill="1">
      <alignment vertical="center"/>
    </xf>
    <xf numFmtId="0" fontId="0" fillId="40" borderId="0" xfId="0" applyFill="1">
      <alignment vertical="center"/>
    </xf>
    <xf numFmtId="4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9" fontId="0" fillId="40" borderId="0" xfId="0" applyNumberFormat="1" applyFill="1">
      <alignment vertical="center"/>
    </xf>
    <xf numFmtId="179" fontId="5" fillId="39" borderId="0" xfId="0" applyNumberFormat="1" applyFont="1" applyFill="1">
      <alignment vertical="center"/>
    </xf>
    <xf numFmtId="179" fontId="2" fillId="2" borderId="11" xfId="1" applyNumberFormat="1" applyBorder="1">
      <alignment vertical="center"/>
    </xf>
    <xf numFmtId="179" fontId="2" fillId="2" borderId="12" xfId="1" applyNumberFormat="1" applyBorder="1">
      <alignment vertical="center"/>
    </xf>
    <xf numFmtId="179" fontId="2" fillId="2" borderId="13" xfId="1" applyNumberFormat="1" applyBorder="1">
      <alignment vertical="center"/>
    </xf>
    <xf numFmtId="179" fontId="2" fillId="2" borderId="14" xfId="1" applyNumberFormat="1" applyBorder="1">
      <alignment vertical="center"/>
    </xf>
    <xf numFmtId="179" fontId="2" fillId="2" borderId="1" xfId="1" applyNumberFormat="1" applyBorder="1">
      <alignment vertical="center"/>
    </xf>
    <xf numFmtId="179" fontId="5" fillId="42" borderId="0" xfId="0" applyNumberFormat="1" applyFont="1" applyFill="1">
      <alignment vertical="center"/>
    </xf>
    <xf numFmtId="0" fontId="0" fillId="42" borderId="0" xfId="0" applyFill="1">
      <alignment vertical="center"/>
    </xf>
    <xf numFmtId="179" fontId="8" fillId="39" borderId="0" xfId="0" applyNumberFormat="1" applyFont="1" applyFill="1">
      <alignment vertical="center"/>
    </xf>
    <xf numFmtId="49" fontId="2" fillId="5" borderId="12" xfId="1" applyNumberFormat="1" applyFill="1" applyBorder="1">
      <alignment vertical="center"/>
    </xf>
    <xf numFmtId="0" fontId="2" fillId="5" borderId="13" xfId="1" applyFill="1" applyBorder="1">
      <alignment vertical="center"/>
    </xf>
    <xf numFmtId="179" fontId="26" fillId="6" borderId="0" xfId="0" applyNumberFormat="1" applyFont="1" applyFill="1">
      <alignment vertical="center"/>
    </xf>
    <xf numFmtId="0" fontId="5" fillId="41" borderId="0" xfId="0" applyFont="1" applyFill="1">
      <alignment vertical="center"/>
    </xf>
    <xf numFmtId="179" fontId="2" fillId="41" borderId="11" xfId="1" applyNumberFormat="1" applyFill="1" applyBorder="1">
      <alignment vertical="center"/>
    </xf>
    <xf numFmtId="179" fontId="2" fillId="41" borderId="0" xfId="1" applyNumberFormat="1" applyFill="1" applyBorder="1">
      <alignment vertical="center"/>
    </xf>
    <xf numFmtId="49" fontId="25" fillId="41" borderId="0" xfId="1" applyNumberFormat="1" applyFont="1" applyFill="1" applyBorder="1">
      <alignment vertical="center"/>
    </xf>
    <xf numFmtId="49" fontId="26" fillId="2" borderId="1" xfId="1" applyNumberFormat="1" applyFont="1" applyBorder="1">
      <alignment vertical="center"/>
    </xf>
    <xf numFmtId="0" fontId="26" fillId="0" borderId="0" xfId="0" applyFont="1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9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表1" displayName="表1" ref="A51:CK56" headerRowCount="0" totalsRowShown="0" headerRowDxfId="95" tableBorderDxfId="94" headerRowCellStyle="好" dataCellStyle="好">
  <tableColumns count="89">
    <tableColumn id="1" name="列1" headerRowDxfId="93" dataDxfId="92" headerRowCellStyle="好" dataCellStyle="好"/>
    <tableColumn id="2" name="列2" headerRowDxfId="91" headerRowCellStyle="好" dataCellStyle="好"/>
    <tableColumn id="3" name="列3" headerRowDxfId="90" headerRowCellStyle="好" dataCellStyle="好"/>
    <tableColumn id="4" name="列4" headerRowDxfId="89" headerRowCellStyle="好" dataCellStyle="好"/>
    <tableColumn id="5" name="列5" headerRowDxfId="88" headerRowCellStyle="好" dataCellStyle="好"/>
    <tableColumn id="6" name="列6" headerRowDxfId="87" headerRowCellStyle="好" dataCellStyle="好"/>
    <tableColumn id="7" name="列7" headerRowDxfId="86" headerRowCellStyle="好" dataCellStyle="好"/>
    <tableColumn id="8" name="列8" headerRowDxfId="85" headerRowCellStyle="好" dataCellStyle="好"/>
    <tableColumn id="9" name="列9" headerRowDxfId="84" headerRowCellStyle="好" dataCellStyle="好"/>
    <tableColumn id="10" name="列10" headerRowDxfId="83" headerRowCellStyle="好" dataCellStyle="好"/>
    <tableColumn id="11" name="列11" headerRowDxfId="82" headerRowCellStyle="好" dataCellStyle="好"/>
    <tableColumn id="12" name="列12" headerRowDxfId="81" headerRowCellStyle="好" dataCellStyle="好"/>
    <tableColumn id="13" name="列13" headerRowDxfId="80" headerRowCellStyle="好" dataCellStyle="好"/>
    <tableColumn id="14" name="列14" headerRowDxfId="79" headerRowCellStyle="好" dataCellStyle="好"/>
    <tableColumn id="15" name="列15" headerRowDxfId="78" headerRowCellStyle="好" dataCellStyle="好"/>
    <tableColumn id="16" name="列16" headerRowDxfId="77" headerRowCellStyle="好" dataCellStyle="好"/>
    <tableColumn id="17" name="列17" headerRowDxfId="76" headerRowCellStyle="好" dataCellStyle="好"/>
    <tableColumn id="18" name="列18" headerRowDxfId="75" headerRowCellStyle="好" dataCellStyle="好"/>
    <tableColumn id="19" name="列19" headerRowDxfId="74" headerRowCellStyle="好" dataCellStyle="好"/>
    <tableColumn id="20" name="列20" headerRowDxfId="73" headerRowCellStyle="好" dataCellStyle="好"/>
    <tableColumn id="21" name="列21" headerRowDxfId="72" headerRowCellStyle="好" dataCellStyle="好"/>
    <tableColumn id="22" name="列22" headerRowDxfId="71" headerRowCellStyle="好" dataCellStyle="好"/>
    <tableColumn id="23" name="列23" headerRowDxfId="70" headerRowCellStyle="好" dataCellStyle="好"/>
    <tableColumn id="24" name="列24" headerRowDxfId="69" headerRowCellStyle="好" dataCellStyle="好"/>
    <tableColumn id="25" name="列25" headerRowDxfId="68" headerRowCellStyle="好" dataCellStyle="好"/>
    <tableColumn id="26" name="列26" headerRowDxfId="67" headerRowCellStyle="好" dataCellStyle="好"/>
    <tableColumn id="27" name="列27" headerRowDxfId="66" headerRowCellStyle="好" dataCellStyle="好"/>
    <tableColumn id="28" name="列28" headerRowDxfId="65" headerRowCellStyle="好" dataCellStyle="好"/>
    <tableColumn id="29" name="列29" headerRowDxfId="64" headerRowCellStyle="好" dataCellStyle="好"/>
    <tableColumn id="30" name="列30" headerRowDxfId="63" headerRowCellStyle="好" dataCellStyle="好"/>
    <tableColumn id="31" name="列31" headerRowDxfId="62" headerRowCellStyle="好" dataCellStyle="好"/>
    <tableColumn id="32" name="列32" headerRowDxfId="61" headerRowCellStyle="好" dataCellStyle="好"/>
    <tableColumn id="33" name="列33" headerRowDxfId="60" headerRowCellStyle="好" dataCellStyle="好"/>
    <tableColumn id="34" name="列34" headerRowDxfId="59" headerRowCellStyle="好" dataCellStyle="好"/>
    <tableColumn id="35" name="列35" headerRowDxfId="58" headerRowCellStyle="好" dataCellStyle="好"/>
    <tableColumn id="36" name="列36" headerRowDxfId="57" headerRowCellStyle="好" dataCellStyle="好"/>
    <tableColumn id="37" name="列37" headerRowDxfId="56" headerRowCellStyle="好" dataCellStyle="好"/>
    <tableColumn id="38" name="列38" headerRowDxfId="55" headerRowCellStyle="好" dataCellStyle="好"/>
    <tableColumn id="39" name="列39" headerRowDxfId="54" headerRowCellStyle="好" dataCellStyle="好"/>
    <tableColumn id="40" name="列40" headerRowDxfId="53" headerRowCellStyle="好" dataCellStyle="好"/>
    <tableColumn id="41" name="列41" headerRowDxfId="52" headerRowCellStyle="好" dataCellStyle="好"/>
    <tableColumn id="42" name="列42" headerRowDxfId="51" headerRowCellStyle="好" dataCellStyle="好"/>
    <tableColumn id="43" name="列43" headerRowDxfId="50" headerRowCellStyle="好" dataCellStyle="好"/>
    <tableColumn id="44" name="列44" headerRowDxfId="49" headerRowCellStyle="好" dataCellStyle="好"/>
    <tableColumn id="45" name="列45" headerRowDxfId="48" headerRowCellStyle="好" dataCellStyle="好"/>
    <tableColumn id="46" name="列46" headerRowDxfId="47" headerRowCellStyle="好" dataCellStyle="好"/>
    <tableColumn id="47" name="列47" headerRowDxfId="46" headerRowCellStyle="好" dataCellStyle="好"/>
    <tableColumn id="48" name="列48" headerRowDxfId="45" headerRowCellStyle="好" dataCellStyle="好"/>
    <tableColumn id="49" name="列49" headerRowDxfId="44" headerRowCellStyle="好" dataCellStyle="好"/>
    <tableColumn id="50" name="列50" headerRowDxfId="43" headerRowCellStyle="好" dataCellStyle="好"/>
    <tableColumn id="51" name="列51" headerRowDxfId="42" headerRowCellStyle="好" dataCellStyle="好"/>
    <tableColumn id="52" name="列52" headerRowDxfId="41" headerRowCellStyle="好" dataCellStyle="好"/>
    <tableColumn id="53" name="列53" headerRowDxfId="40" headerRowCellStyle="好" dataCellStyle="好"/>
    <tableColumn id="54" name="列54" headerRowDxfId="39" headerRowCellStyle="好" dataCellStyle="好"/>
    <tableColumn id="55" name="列55" headerRowDxfId="38" headerRowCellStyle="好" dataCellStyle="好"/>
    <tableColumn id="56" name="列56" headerRowDxfId="37" headerRowCellStyle="好" dataCellStyle="好"/>
    <tableColumn id="57" name="列57" headerRowDxfId="36" headerRowCellStyle="好" dataCellStyle="好"/>
    <tableColumn id="58" name="列58" headerRowDxfId="35" headerRowCellStyle="好" dataCellStyle="好"/>
    <tableColumn id="59" name="列59" headerRowDxfId="34" headerRowCellStyle="好" dataCellStyle="好"/>
    <tableColumn id="60" name="列60" headerRowDxfId="33" headerRowCellStyle="好" dataCellStyle="好"/>
    <tableColumn id="61" name="列61" headerRowDxfId="32" headerRowCellStyle="好" dataCellStyle="好"/>
    <tableColumn id="62" name="列62" headerRowDxfId="31" headerRowCellStyle="好" dataCellStyle="好"/>
    <tableColumn id="63" name="列63" headerRowDxfId="30" headerRowCellStyle="好" dataCellStyle="好"/>
    <tableColumn id="64" name="列64" headerRowDxfId="29" headerRowCellStyle="好" dataCellStyle="好"/>
    <tableColumn id="65" name="列65" headerRowDxfId="28" headerRowCellStyle="好" dataCellStyle="好"/>
    <tableColumn id="66" name="列66" headerRowDxfId="27" headerRowCellStyle="好" dataCellStyle="好"/>
    <tableColumn id="67" name="列67" headerRowDxfId="26" headerRowCellStyle="好" dataCellStyle="好"/>
    <tableColumn id="68" name="列68" headerRowDxfId="25" headerRowCellStyle="好" dataCellStyle="好"/>
    <tableColumn id="69" name="列69" headerRowDxfId="24" headerRowCellStyle="好" dataCellStyle="好"/>
    <tableColumn id="70" name="列70" headerRowDxfId="23" headerRowCellStyle="好" dataCellStyle="好"/>
    <tableColumn id="71" name="列71" headerRowDxfId="22" headerRowCellStyle="好" dataCellStyle="好"/>
    <tableColumn id="72" name="列72" headerRowDxfId="21" headerRowCellStyle="好" dataCellStyle="好"/>
    <tableColumn id="73" name="列73" headerRowDxfId="20" headerRowCellStyle="好" dataCellStyle="好"/>
    <tableColumn id="74" name="列74" headerRowDxfId="19" headerRowCellStyle="好" dataCellStyle="好"/>
    <tableColumn id="75" name="列75" headerRowDxfId="18" headerRowCellStyle="好" dataCellStyle="好"/>
    <tableColumn id="76" name="列76" headerRowDxfId="17" headerRowCellStyle="好" dataCellStyle="好"/>
    <tableColumn id="77" name="列77" headerRowDxfId="16" headerRowCellStyle="好" dataCellStyle="好"/>
    <tableColumn id="78" name="列78" headerRowDxfId="15" headerRowCellStyle="好" dataCellStyle="好"/>
    <tableColumn id="79" name="列79" headerRowDxfId="14" headerRowCellStyle="好" dataCellStyle="好"/>
    <tableColumn id="80" name="列80" headerRowDxfId="13" headerRowCellStyle="好" dataCellStyle="好"/>
    <tableColumn id="81" name="列81" headerRowDxfId="12" headerRowCellStyle="好" dataCellStyle="好"/>
    <tableColumn id="82" name="列82" headerRowDxfId="11" headerRowCellStyle="好" dataCellStyle="好"/>
    <tableColumn id="83" name="列83" headerRowDxfId="10" headerRowCellStyle="好" dataCellStyle="好"/>
    <tableColumn id="84" name="列84" headerRowDxfId="9" headerRowCellStyle="好" dataCellStyle="好"/>
    <tableColumn id="85" name="列85" headerRowDxfId="8" headerRowCellStyle="好" dataCellStyle="好"/>
    <tableColumn id="86" name="列86" headerRowDxfId="7" headerRowCellStyle="好" dataCellStyle="好"/>
    <tableColumn id="87" name="列87" headerRowDxfId="6" headerRowCellStyle="好" dataCellStyle="好"/>
    <tableColumn id="88" name="列88" headerRowDxfId="5" headerRowCellStyle="好" dataCellStyle="好"/>
    <tableColumn id="89" name="列89" headerRowDxfId="4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3" dataDxfId="2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  <tableColumn id="12" name="列12" dataCellStyle="好"/>
    <tableColumn id="13" name="列13" dataCellStyle="好"/>
    <tableColumn id="14" name="列14" dataCellStyle="好"/>
    <tableColumn id="15" name="列15" dataCellStyle="好"/>
    <tableColumn id="16" name="列16" dataCellStyle="好"/>
    <tableColumn id="17" name="列17" dataCellStyle="好"/>
    <tableColumn id="18" name="列18" dataCellStyle="好"/>
    <tableColumn id="19" name="列19" dataCellStyle="好"/>
    <tableColumn id="20" name="列20" dataCellStyle="好"/>
    <tableColumn id="21" name="列21" dataCellStyle="好"/>
    <tableColumn id="22" name="列22" dataCellStyle="好"/>
    <tableColumn id="23" name="列23" dataCellStyle="好"/>
    <tableColumn id="24" name="列24" dataCellStyle="好"/>
    <tableColumn id="25" name="列25" dataCellStyle="好"/>
    <tableColumn id="26" name="列26" dataCellStyle="好"/>
    <tableColumn id="27" name="列27" dataCellStyle="好"/>
    <tableColumn id="28" name="列28" dataCellStyle="好"/>
    <tableColumn id="29" name="列29" dataCellStyle="好"/>
    <tableColumn id="30" name="列30" dataCellStyle="好"/>
    <tableColumn id="31" name="列31" dataCellStyle="好"/>
    <tableColumn id="32" name="列32" dataCellStyle="好"/>
    <tableColumn id="33" name="列33" dataCellStyle="好"/>
    <tableColumn id="34" name="列34" dataCellStyle="好"/>
    <tableColumn id="35" name="列35" dataCellStyle="好"/>
    <tableColumn id="36" name="列36" dataCellStyle="好"/>
    <tableColumn id="37" name="列37" dataCellStyle="好"/>
    <tableColumn id="38" name="列38" dataCellStyle="好"/>
    <tableColumn id="39" name="列39" dataCellStyle="好"/>
    <tableColumn id="40" name="列40" dataCellStyle="好"/>
    <tableColumn id="41" name="列41" dataCellStyle="好"/>
    <tableColumn id="42" name="列42" dataCellStyle="好"/>
    <tableColumn id="43" name="列43" dataCellStyle="好"/>
    <tableColumn id="44" name="列44" dataCellStyle="好"/>
    <tableColumn id="45" name="列45" dataCellStyle="好"/>
    <tableColumn id="46" name="列46" dataCellStyle="好"/>
    <tableColumn id="47" name="列47" dataCellStyle="好"/>
    <tableColumn id="48" name="列48" dataCellStyle="好"/>
    <tableColumn id="49" name="列49" dataCellStyle="好"/>
    <tableColumn id="50" name="列50" dataCellStyle="好"/>
    <tableColumn id="51" name="列51" dataCellStyle="好"/>
    <tableColumn id="52" name="列52" dataCellStyle="好"/>
    <tableColumn id="53" name="列53" dataCellStyle="好"/>
    <tableColumn id="54" name="列54" dataCellStyle="好"/>
    <tableColumn id="55" name="列55" dataCellStyle="好"/>
    <tableColumn id="56" name="列56" dataCellStyle="好"/>
    <tableColumn id="57" name="列57" dataCellStyle="好"/>
    <tableColumn id="58" name="列58" dataCellStyle="好"/>
    <tableColumn id="59" name="列59" dataCellStyle="好"/>
    <tableColumn id="60" name="列60" dataCellStyle="好"/>
    <tableColumn id="61" name="列61" dataCellStyle="好"/>
    <tableColumn id="62" name="列62" dataCellStyle="好"/>
    <tableColumn id="63" name="列63" dataCellStyle="好"/>
    <tableColumn id="64" name="列64" dataCellStyle="好"/>
    <tableColumn id="65" name="列65" dataCellStyle="好"/>
    <tableColumn id="66" name="列66" dataCellStyle="好"/>
    <tableColumn id="67" name="列67" dataCellStyle="好"/>
    <tableColumn id="68" name="列68" dataCellStyle="好"/>
    <tableColumn id="69" name="列69" dataCellStyle="好"/>
    <tableColumn id="70" name="列70" dataCellStyle="好"/>
    <tableColumn id="71" name="列71" dataCellStyle="好"/>
    <tableColumn id="72" name="列72" dataCellStyle="好"/>
    <tableColumn id="73" name="列73" dataCellStyle="好"/>
    <tableColumn id="74" name="列74" dataCellStyle="好"/>
    <tableColumn id="75" name="列75" dataCellStyle="好"/>
    <tableColumn id="76" name="列76" dataCellStyle="好"/>
    <tableColumn id="77" name="列77" dataCellStyle="好"/>
    <tableColumn id="78" name="列78" dataCellStyle="好"/>
    <tableColumn id="79" name="列79" dataCellStyle="好"/>
    <tableColumn id="80" name="列80" dataCellStyle="好"/>
    <tableColumn id="81" name="列81" dataCellStyle="好"/>
    <tableColumn id="82" name="列82" dataCellStyle="好"/>
    <tableColumn id="83" name="列83" dataCellStyle="好"/>
    <tableColumn id="84" name="列84" dataCellStyle="好"/>
    <tableColumn id="85" name="列85" dataCellStyle="好"/>
    <tableColumn id="86" name="列86" dataCellStyle="好"/>
    <tableColumn id="87" name="列87" dataCellStyle="好"/>
    <tableColumn id="88" name="列88" dataCellStyle="好"/>
    <tableColumn id="89" name="列89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CL85"/>
  <sheetViews>
    <sheetView topLeftCell="A52" workbookViewId="0">
      <selection activeCell="A84" sqref="A84"/>
    </sheetView>
  </sheetViews>
  <sheetFormatPr defaultRowHeight="13.5"/>
  <cols>
    <col min="1" max="1" width="34" style="48" bestFit="1" customWidth="1"/>
    <col min="2" max="4" width="12.75" style="48" hidden="1" customWidth="1"/>
    <col min="5" max="5" width="12.75" style="48" bestFit="1" customWidth="1"/>
    <col min="6" max="8" width="12.75" style="48" hidden="1" customWidth="1"/>
    <col min="9" max="9" width="12.75" style="48" bestFit="1" customWidth="1"/>
    <col min="10" max="12" width="12.75" style="48" hidden="1" customWidth="1"/>
    <col min="13" max="13" width="12.75" style="48" bestFit="1" customWidth="1"/>
    <col min="14" max="16" width="12.75" style="48" hidden="1" customWidth="1"/>
    <col min="17" max="17" width="12.75" style="48" bestFit="1" customWidth="1"/>
    <col min="18" max="20" width="12.75" style="48" hidden="1" customWidth="1"/>
    <col min="21" max="21" width="12.75" style="48" bestFit="1" customWidth="1"/>
    <col min="22" max="24" width="12.75" style="48" hidden="1" customWidth="1"/>
    <col min="25" max="25" width="12.75" style="48" bestFit="1" customWidth="1"/>
    <col min="26" max="28" width="12.75" style="48" hidden="1" customWidth="1"/>
    <col min="29" max="29" width="12.75" style="48" bestFit="1" customWidth="1"/>
    <col min="30" max="32" width="12.75" style="48" hidden="1" customWidth="1"/>
    <col min="33" max="33" width="12.75" style="48" bestFit="1" customWidth="1"/>
    <col min="34" max="36" width="12.75" style="48" hidden="1" customWidth="1"/>
    <col min="37" max="37" width="12.75" style="48" bestFit="1" customWidth="1"/>
    <col min="38" max="40" width="12.75" style="48" hidden="1" customWidth="1"/>
    <col min="41" max="41" width="12.75" style="48" bestFit="1" customWidth="1"/>
    <col min="42" max="44" width="12.75" style="48" hidden="1" customWidth="1"/>
    <col min="45" max="45" width="12.75" style="48" bestFit="1" customWidth="1"/>
    <col min="46" max="48" width="12.75" style="48" hidden="1" customWidth="1"/>
    <col min="49" max="49" width="12.75" style="48" bestFit="1" customWidth="1"/>
    <col min="50" max="52" width="12.75" style="48" hidden="1" customWidth="1"/>
    <col min="53" max="53" width="12.75" style="48" bestFit="1" customWidth="1"/>
    <col min="54" max="56" width="12.75" style="48" hidden="1" customWidth="1"/>
    <col min="57" max="57" width="12.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3.8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2.75" style="48" hidden="1" customWidth="1"/>
    <col min="77" max="77" width="12.75" style="48" bestFit="1" customWidth="1"/>
    <col min="78" max="78" width="12.75" style="48" hidden="1" customWidth="1"/>
    <col min="79" max="79" width="13.875" style="48" bestFit="1" customWidth="1"/>
    <col min="80" max="80" width="12.75" style="48" hidden="1" customWidth="1"/>
    <col min="81" max="81" width="12.75" style="48" bestFit="1" customWidth="1"/>
    <col min="82" max="82" width="12.75" style="48" hidden="1" customWidth="1"/>
    <col min="83" max="83" width="11.625" style="48" bestFit="1" customWidth="1"/>
    <col min="84" max="84" width="12.75" style="48" hidden="1" customWidth="1"/>
    <col min="85" max="85" width="12.75" style="48" bestFit="1" customWidth="1"/>
    <col min="86" max="86" width="10.5" style="48" hidden="1" customWidth="1"/>
    <col min="87" max="89" width="10.5" style="48" bestFit="1" customWidth="1"/>
    <col min="90" max="90" width="9.5" style="48" hidden="1" customWidth="1"/>
    <col min="91" max="16384" width="9" style="48"/>
  </cols>
  <sheetData>
    <row r="1" spans="1:90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48" t="s">
        <v>171</v>
      </c>
      <c r="B2" s="48" t="s">
        <v>172</v>
      </c>
      <c r="C2" s="48" t="s">
        <v>172</v>
      </c>
      <c r="D2" s="48" t="s">
        <v>172</v>
      </c>
      <c r="E2" s="48" t="s">
        <v>172</v>
      </c>
      <c r="F2" s="48" t="s">
        <v>172</v>
      </c>
      <c r="G2" s="48" t="s">
        <v>172</v>
      </c>
      <c r="H2" s="48" t="s">
        <v>172</v>
      </c>
      <c r="I2" s="48" t="s">
        <v>172</v>
      </c>
      <c r="J2" s="48" t="s">
        <v>172</v>
      </c>
      <c r="K2" s="48" t="s">
        <v>172</v>
      </c>
      <c r="L2" s="48" t="s">
        <v>172</v>
      </c>
      <c r="M2" s="48" t="s">
        <v>172</v>
      </c>
      <c r="N2" s="48" t="s">
        <v>172</v>
      </c>
      <c r="O2" s="48" t="s">
        <v>172</v>
      </c>
      <c r="P2" s="48" t="s">
        <v>172</v>
      </c>
      <c r="Q2" s="48" t="s">
        <v>172</v>
      </c>
      <c r="R2" s="48" t="s">
        <v>172</v>
      </c>
      <c r="S2" s="48" t="s">
        <v>172</v>
      </c>
      <c r="T2" s="48" t="s">
        <v>172</v>
      </c>
      <c r="U2" s="48" t="s">
        <v>172</v>
      </c>
      <c r="V2" s="48" t="s">
        <v>172</v>
      </c>
      <c r="W2" s="48" t="s">
        <v>172</v>
      </c>
      <c r="X2" s="48" t="s">
        <v>172</v>
      </c>
      <c r="Y2" s="48" t="s">
        <v>172</v>
      </c>
      <c r="Z2" s="48" t="s">
        <v>172</v>
      </c>
      <c r="AA2" s="48" t="s">
        <v>172</v>
      </c>
      <c r="AB2" s="48" t="s">
        <v>172</v>
      </c>
      <c r="AC2" s="48" t="s">
        <v>172</v>
      </c>
      <c r="AD2" s="48" t="s">
        <v>172</v>
      </c>
      <c r="AE2" s="48" t="s">
        <v>172</v>
      </c>
      <c r="AF2" s="48" t="s">
        <v>172</v>
      </c>
      <c r="AG2" s="48" t="s">
        <v>172</v>
      </c>
      <c r="AH2" s="48" t="s">
        <v>172</v>
      </c>
      <c r="AI2" s="48" t="s">
        <v>172</v>
      </c>
      <c r="AJ2" s="48" t="s">
        <v>172</v>
      </c>
      <c r="AK2" s="48" t="s">
        <v>172</v>
      </c>
      <c r="AL2" s="48" t="s">
        <v>172</v>
      </c>
      <c r="AM2" s="48" t="s">
        <v>172</v>
      </c>
      <c r="AN2" s="48" t="s">
        <v>172</v>
      </c>
      <c r="AO2" s="48" t="s">
        <v>172</v>
      </c>
      <c r="AP2" s="48" t="s">
        <v>172</v>
      </c>
      <c r="AQ2" s="48" t="s">
        <v>172</v>
      </c>
      <c r="AR2" s="48" t="s">
        <v>172</v>
      </c>
      <c r="AS2" s="48" t="s">
        <v>172</v>
      </c>
      <c r="AT2" s="48" t="s">
        <v>172</v>
      </c>
      <c r="AU2" s="48" t="s">
        <v>172</v>
      </c>
      <c r="AV2" s="48" t="s">
        <v>172</v>
      </c>
      <c r="AW2" s="48" t="s">
        <v>172</v>
      </c>
      <c r="AX2" s="48" t="s">
        <v>172</v>
      </c>
      <c r="AY2" s="48" t="s">
        <v>172</v>
      </c>
      <c r="AZ2" s="48" t="s">
        <v>172</v>
      </c>
      <c r="BA2" s="48" t="s">
        <v>172</v>
      </c>
      <c r="BB2" s="48" t="s">
        <v>172</v>
      </c>
      <c r="BC2" s="48" t="s">
        <v>172</v>
      </c>
      <c r="BD2" s="48" t="s">
        <v>172</v>
      </c>
      <c r="BE2" s="48" t="s">
        <v>172</v>
      </c>
      <c r="BF2" s="48" t="s">
        <v>172</v>
      </c>
      <c r="BG2" s="48" t="s">
        <v>172</v>
      </c>
      <c r="BH2" s="48" t="s">
        <v>172</v>
      </c>
      <c r="BI2" s="48" t="s">
        <v>172</v>
      </c>
      <c r="BJ2" s="48" t="s">
        <v>172</v>
      </c>
      <c r="BK2" s="48" t="s">
        <v>172</v>
      </c>
      <c r="BL2" s="48" t="s">
        <v>172</v>
      </c>
      <c r="BM2" s="48" t="s">
        <v>172</v>
      </c>
      <c r="BN2" s="48" t="s">
        <v>172</v>
      </c>
      <c r="BO2" s="48" t="s">
        <v>172</v>
      </c>
      <c r="BP2" s="48" t="s">
        <v>172</v>
      </c>
      <c r="BQ2" s="48" t="s">
        <v>172</v>
      </c>
      <c r="BR2" s="48" t="s">
        <v>172</v>
      </c>
      <c r="BS2" s="48" t="s">
        <v>172</v>
      </c>
      <c r="BT2" s="48" t="s">
        <v>172</v>
      </c>
      <c r="BU2" s="48" t="s">
        <v>172</v>
      </c>
      <c r="BV2" s="48" t="s">
        <v>172</v>
      </c>
      <c r="BW2" s="48" t="s">
        <v>172</v>
      </c>
      <c r="BX2" s="48" t="s">
        <v>172</v>
      </c>
      <c r="BY2" s="48" t="s">
        <v>172</v>
      </c>
      <c r="BZ2" s="48" t="s">
        <v>172</v>
      </c>
      <c r="CA2" s="48" t="s">
        <v>172</v>
      </c>
      <c r="CB2" s="48" t="s">
        <v>172</v>
      </c>
      <c r="CC2" s="48" t="s">
        <v>172</v>
      </c>
      <c r="CD2" s="48" t="s">
        <v>172</v>
      </c>
      <c r="CE2" s="48" t="s">
        <v>172</v>
      </c>
      <c r="CF2" s="48" t="s">
        <v>172</v>
      </c>
      <c r="CG2" s="48" t="s">
        <v>172</v>
      </c>
      <c r="CH2" s="48" t="s">
        <v>172</v>
      </c>
      <c r="CI2" s="48" t="s">
        <v>172</v>
      </c>
      <c r="CJ2" s="48" t="s">
        <v>172</v>
      </c>
      <c r="CK2" s="48" t="s">
        <v>172</v>
      </c>
    </row>
    <row r="3" spans="1:90">
      <c r="A3" s="48" t="s">
        <v>173</v>
      </c>
    </row>
    <row r="4" spans="1:90">
      <c r="A4" s="48" t="s">
        <v>174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s="48" t="s">
        <v>175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s="48" t="s">
        <v>176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s="48" t="s">
        <v>177</v>
      </c>
      <c r="B7" s="48">
        <v>999330052.45000005</v>
      </c>
      <c r="C7" s="48">
        <v>617426679.89999998</v>
      </c>
      <c r="D7" s="48">
        <v>538148304.73000002</v>
      </c>
      <c r="E7" s="48">
        <v>629180072.21000004</v>
      </c>
      <c r="F7" s="48">
        <v>392337645.05000001</v>
      </c>
      <c r="G7" s="48">
        <v>169709872.37</v>
      </c>
      <c r="H7" s="48">
        <v>297398903.86000001</v>
      </c>
      <c r="I7" s="48">
        <v>405885111.82999998</v>
      </c>
      <c r="J7" s="48">
        <v>431113762.32999998</v>
      </c>
      <c r="K7" s="48">
        <v>374495984.56</v>
      </c>
      <c r="L7" s="48">
        <v>270566456.16000003</v>
      </c>
      <c r="M7" s="48">
        <v>356774841.43000001</v>
      </c>
      <c r="N7" s="48">
        <v>340703582.11000001</v>
      </c>
      <c r="O7" s="48">
        <v>366120131.79000002</v>
      </c>
      <c r="P7" s="48">
        <v>306071212.92000002</v>
      </c>
      <c r="Q7" s="48">
        <v>301519953.83999997</v>
      </c>
      <c r="R7" s="48">
        <v>266124738.78999999</v>
      </c>
      <c r="S7" s="48">
        <v>278178302.57999998</v>
      </c>
      <c r="T7" s="48">
        <v>204321402.80000001</v>
      </c>
      <c r="U7" s="48">
        <v>241660925.06</v>
      </c>
      <c r="V7" s="48">
        <v>256703932.46000001</v>
      </c>
      <c r="W7" s="48">
        <v>233766283.90000001</v>
      </c>
      <c r="X7" s="48">
        <v>137598123.81999999</v>
      </c>
      <c r="Y7" s="48">
        <v>215694856.55000001</v>
      </c>
      <c r="Z7" s="48">
        <v>102641962.67</v>
      </c>
      <c r="AA7" s="48">
        <v>92157292.200000003</v>
      </c>
      <c r="AB7" s="48">
        <v>90756680.909999996</v>
      </c>
      <c r="AC7" s="48">
        <v>300008218.35000002</v>
      </c>
      <c r="AD7" s="48">
        <v>221702226.31999999</v>
      </c>
      <c r="AE7" s="48">
        <v>243657087.36000001</v>
      </c>
      <c r="AF7" s="48">
        <v>197263796.71000001</v>
      </c>
      <c r="AG7" s="48">
        <v>233002350.72999999</v>
      </c>
      <c r="AH7" s="48">
        <v>232126490.11000001</v>
      </c>
      <c r="AI7" s="48">
        <v>202554975.72</v>
      </c>
      <c r="AJ7" s="48">
        <v>123857901.7</v>
      </c>
      <c r="AK7" s="48">
        <v>181162671.28999999</v>
      </c>
      <c r="AL7" s="48">
        <v>152982832.88999999</v>
      </c>
      <c r="AM7" s="48">
        <v>112286217.8</v>
      </c>
      <c r="AN7" s="48">
        <v>109727349.47</v>
      </c>
      <c r="AO7" s="48">
        <v>112936778.81</v>
      </c>
      <c r="AP7" s="48">
        <v>80748931.519999996</v>
      </c>
      <c r="AQ7" s="48">
        <v>127187704.95</v>
      </c>
      <c r="AR7" s="48">
        <v>90936703.329999998</v>
      </c>
      <c r="AS7" s="48">
        <v>163423318.18000001</v>
      </c>
      <c r="AT7" s="48">
        <v>86933597.849999994</v>
      </c>
      <c r="AU7" s="48">
        <v>64783707.990000002</v>
      </c>
      <c r="AV7" s="48">
        <v>41352784.490000002</v>
      </c>
      <c r="AW7" s="48">
        <v>39907646.520000003</v>
      </c>
      <c r="AX7" s="48">
        <v>57770988.659999996</v>
      </c>
      <c r="AY7" s="48">
        <v>42241789.609999999</v>
      </c>
      <c r="AZ7" s="48">
        <v>43949085.93</v>
      </c>
      <c r="BA7" s="48">
        <v>33139409.379999999</v>
      </c>
      <c r="BB7" s="48">
        <v>35383205.460000001</v>
      </c>
      <c r="BC7" s="48">
        <v>38261673.049999997</v>
      </c>
      <c r="BD7" s="48">
        <v>29178363.079999998</v>
      </c>
      <c r="BE7" s="48">
        <v>32748858.93</v>
      </c>
      <c r="BF7" s="48">
        <v>40687837.009999998</v>
      </c>
      <c r="BG7" s="48">
        <v>59733936.909999996</v>
      </c>
      <c r="BH7" s="48">
        <v>32654958.190000001</v>
      </c>
      <c r="BI7" s="48">
        <v>41077371.539999999</v>
      </c>
      <c r="BJ7" s="48">
        <v>16353610.560000001</v>
      </c>
      <c r="BK7" s="48">
        <v>27811931.77</v>
      </c>
      <c r="BL7" s="48">
        <v>32367383.41</v>
      </c>
      <c r="BM7" s="48">
        <v>35133435.439999998</v>
      </c>
      <c r="BN7" s="48">
        <v>30747150</v>
      </c>
      <c r="BO7" s="48">
        <v>29491650</v>
      </c>
      <c r="BP7" s="48">
        <v>20788825</v>
      </c>
      <c r="BQ7" s="48">
        <v>5251400</v>
      </c>
      <c r="BR7" s="48">
        <v>250868284.90000001</v>
      </c>
      <c r="BS7" s="48">
        <v>233149840</v>
      </c>
      <c r="BT7" s="48">
        <v>362788700</v>
      </c>
      <c r="BU7" s="48">
        <v>306100000</v>
      </c>
      <c r="BV7" s="48">
        <v>622274500</v>
      </c>
      <c r="BW7" s="48">
        <v>520000000</v>
      </c>
      <c r="BX7" s="48">
        <v>799602400</v>
      </c>
      <c r="BY7" s="48">
        <v>674035046.12</v>
      </c>
      <c r="BZ7" s="48">
        <v>0</v>
      </c>
      <c r="CA7" s="48">
        <v>166424386.41</v>
      </c>
      <c r="CB7" s="48">
        <v>0</v>
      </c>
      <c r="CC7" s="48">
        <v>156692751.08000001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s="48" t="s">
        <v>178</v>
      </c>
      <c r="B8" s="48">
        <v>2439213882.9000001</v>
      </c>
      <c r="C8" s="48">
        <v>2766932487.77</v>
      </c>
      <c r="D8" s="48">
        <v>2477546459.5300002</v>
      </c>
      <c r="E8" s="48">
        <v>2501182017.3299999</v>
      </c>
      <c r="F8" s="48">
        <v>2501616296.4899998</v>
      </c>
      <c r="G8" s="48">
        <v>2227411696.2199998</v>
      </c>
      <c r="H8" s="48">
        <v>2082766775.4400001</v>
      </c>
      <c r="I8" s="48">
        <v>2052056991.1400001</v>
      </c>
      <c r="J8" s="48">
        <v>2379134891.1500001</v>
      </c>
      <c r="K8" s="48">
        <v>2269935022.8000002</v>
      </c>
      <c r="L8" s="48">
        <v>1982130084.79</v>
      </c>
      <c r="M8" s="48">
        <v>1972703801.95</v>
      </c>
      <c r="N8" s="48">
        <v>2133396737.5999999</v>
      </c>
      <c r="O8" s="48">
        <v>2237186006.0700002</v>
      </c>
      <c r="P8" s="48">
        <v>2132621695.5</v>
      </c>
      <c r="Q8" s="48">
        <v>2229729298.4000001</v>
      </c>
      <c r="R8" s="48">
        <v>2348996112.0500002</v>
      </c>
      <c r="S8" s="48">
        <v>2229527131.6500001</v>
      </c>
      <c r="T8" s="48">
        <v>1969879043.8800001</v>
      </c>
      <c r="U8" s="48">
        <v>1880312967.71</v>
      </c>
      <c r="V8" s="48">
        <v>1948752445.76</v>
      </c>
      <c r="W8" s="48">
        <v>1913600274.24</v>
      </c>
      <c r="X8" s="48">
        <v>1881983587.29</v>
      </c>
      <c r="Y8" s="48">
        <v>2024831933.49</v>
      </c>
      <c r="Z8" s="48">
        <v>2274268608.6599998</v>
      </c>
      <c r="AA8" s="48">
        <v>1552099860.1099999</v>
      </c>
      <c r="AB8" s="48">
        <v>1411959382.1099999</v>
      </c>
      <c r="AC8" s="48">
        <v>1951962630.25</v>
      </c>
      <c r="AD8" s="48">
        <v>1631296887.99</v>
      </c>
      <c r="AE8" s="48">
        <v>1510731260.6800001</v>
      </c>
      <c r="AF8" s="48">
        <v>1341422321.75</v>
      </c>
      <c r="AG8" s="48">
        <v>1138816149.8800001</v>
      </c>
      <c r="AH8" s="48">
        <v>1366227881.24</v>
      </c>
      <c r="AI8" s="48">
        <v>1237628831.5999999</v>
      </c>
      <c r="AJ8" s="48">
        <v>1189174425.48</v>
      </c>
      <c r="AK8" s="48">
        <v>998917972.98000002</v>
      </c>
      <c r="AL8" s="48">
        <v>1261750567.03</v>
      </c>
      <c r="AM8" s="48">
        <v>1095690741.1099999</v>
      </c>
      <c r="AN8" s="48">
        <v>962835551.85000002</v>
      </c>
      <c r="AO8" s="48">
        <v>789621018.61000001</v>
      </c>
      <c r="AP8" s="48">
        <v>931726293.77999997</v>
      </c>
      <c r="AQ8" s="48">
        <v>846788206.38</v>
      </c>
      <c r="AR8" s="48">
        <v>814525500.52999997</v>
      </c>
      <c r="AS8" s="48">
        <v>724370215.98000002</v>
      </c>
      <c r="AT8" s="48">
        <v>875520548.90999997</v>
      </c>
      <c r="AU8" s="48">
        <v>817293044.75999999</v>
      </c>
      <c r="AV8" s="48">
        <v>776703440.70000005</v>
      </c>
      <c r="AW8" s="48">
        <v>600197562.42999995</v>
      </c>
      <c r="AX8" s="48">
        <v>701552666.80999994</v>
      </c>
      <c r="AY8" s="48">
        <v>726702503</v>
      </c>
      <c r="AZ8" s="48">
        <v>705456499.42999995</v>
      </c>
      <c r="BA8" s="48">
        <v>588412837.14999998</v>
      </c>
      <c r="BB8" s="48">
        <v>660218477.51999998</v>
      </c>
      <c r="BC8" s="48">
        <v>610414011.33000004</v>
      </c>
      <c r="BD8" s="48">
        <v>577964593.39999998</v>
      </c>
      <c r="BE8" s="48">
        <v>508935486.94999999</v>
      </c>
      <c r="BF8" s="48">
        <v>678554636.63999999</v>
      </c>
      <c r="BG8" s="48">
        <v>718226759.57000005</v>
      </c>
      <c r="BH8" s="48">
        <v>610689765.03999996</v>
      </c>
      <c r="BI8" s="48">
        <v>524902144.35000002</v>
      </c>
      <c r="BJ8" s="48">
        <v>657063861.41999996</v>
      </c>
      <c r="BK8" s="48">
        <v>878523203.46000004</v>
      </c>
      <c r="BL8" s="48">
        <v>816615329.22000003</v>
      </c>
      <c r="BM8" s="48">
        <v>739868488.25999999</v>
      </c>
      <c r="BN8" s="48">
        <v>1005775084.78</v>
      </c>
      <c r="BO8" s="48">
        <v>1031254781.88</v>
      </c>
      <c r="BP8" s="48">
        <v>926155500.78999996</v>
      </c>
      <c r="BQ8" s="48">
        <v>873450069.86000001</v>
      </c>
      <c r="BR8" s="48">
        <v>718028231.88999999</v>
      </c>
      <c r="BS8" s="48">
        <v>635151687.95000005</v>
      </c>
      <c r="BT8" s="48">
        <v>1109312358.1800001</v>
      </c>
      <c r="BU8" s="48">
        <v>1062712385.49</v>
      </c>
      <c r="BV8" s="48">
        <v>703028056.88</v>
      </c>
      <c r="BW8" s="48">
        <v>633386357.37</v>
      </c>
      <c r="BX8" s="48">
        <v>185640560.49000001</v>
      </c>
      <c r="BY8" s="48">
        <v>320171554.04000002</v>
      </c>
      <c r="BZ8" s="48">
        <v>0</v>
      </c>
      <c r="CA8" s="48">
        <v>572983344.25</v>
      </c>
      <c r="CB8" s="48">
        <v>0</v>
      </c>
      <c r="CC8" s="48">
        <v>219995063.03999999</v>
      </c>
      <c r="CD8" s="48">
        <v>0</v>
      </c>
      <c r="CE8" s="48">
        <v>0</v>
      </c>
      <c r="CF8" s="48">
        <v>0</v>
      </c>
      <c r="CG8" s="48">
        <v>61611684.850000001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s="48" t="s">
        <v>179</v>
      </c>
      <c r="B9" s="48">
        <v>1793415036.24</v>
      </c>
      <c r="C9" s="48">
        <v>2120943048.6900001</v>
      </c>
      <c r="D9" s="48">
        <v>3037865571.3400002</v>
      </c>
      <c r="E9" s="48">
        <v>1892050067.02</v>
      </c>
      <c r="F9" s="48">
        <v>1996106693.3599999</v>
      </c>
      <c r="G9" s="48">
        <v>2319779563.5500002</v>
      </c>
      <c r="H9" s="48">
        <v>2800478216.4899998</v>
      </c>
      <c r="I9" s="48">
        <v>2681155560.1100001</v>
      </c>
      <c r="J9" s="48">
        <v>2024921117.9200001</v>
      </c>
      <c r="K9" s="48">
        <v>2372894271.79</v>
      </c>
      <c r="L9" s="48">
        <v>2901366748.52</v>
      </c>
      <c r="M9" s="48">
        <v>2670624168.71</v>
      </c>
      <c r="N9" s="48">
        <v>1962974980.9000001</v>
      </c>
      <c r="O9" s="48">
        <v>2541814926.5100002</v>
      </c>
      <c r="P9" s="48">
        <v>2365144009.8099999</v>
      </c>
      <c r="Q9" s="48">
        <v>2027935831.23</v>
      </c>
      <c r="R9" s="48">
        <v>2048123146.7</v>
      </c>
      <c r="S9" s="48">
        <v>1793178370.3199999</v>
      </c>
      <c r="T9" s="48">
        <v>2143747612.4000001</v>
      </c>
      <c r="U9" s="48">
        <v>2072837037.9100001</v>
      </c>
      <c r="V9" s="48">
        <v>1870259927.3199999</v>
      </c>
      <c r="W9" s="48">
        <v>1695755251.96</v>
      </c>
      <c r="X9" s="48">
        <v>1991706304.8699999</v>
      </c>
      <c r="Y9" s="48">
        <v>1731820230.4300001</v>
      </c>
      <c r="Z9" s="48">
        <v>1485876694.74</v>
      </c>
      <c r="AA9" s="48">
        <v>1024475391.77</v>
      </c>
      <c r="AB9" s="48">
        <v>971550281.75</v>
      </c>
      <c r="AC9" s="48">
        <v>842265933.82000005</v>
      </c>
      <c r="AD9" s="48">
        <v>983586524.36000001</v>
      </c>
      <c r="AE9" s="48">
        <v>745353266.11000001</v>
      </c>
      <c r="AF9" s="48">
        <v>799297971.17999995</v>
      </c>
      <c r="AG9" s="48">
        <v>504201226.05000001</v>
      </c>
      <c r="AH9" s="48">
        <v>558897106.95000005</v>
      </c>
      <c r="AI9" s="48">
        <v>506694466.04000002</v>
      </c>
      <c r="AJ9" s="48">
        <v>487395442.13</v>
      </c>
      <c r="AK9" s="48">
        <v>332214189.42000002</v>
      </c>
      <c r="AL9" s="48">
        <v>355624932.06999999</v>
      </c>
      <c r="AM9" s="48">
        <v>390046833.05000001</v>
      </c>
      <c r="AN9" s="48">
        <v>306182815.25</v>
      </c>
      <c r="AO9" s="48">
        <v>255338925.27000001</v>
      </c>
      <c r="AP9" s="48">
        <v>292294187.26999998</v>
      </c>
      <c r="AQ9" s="48">
        <v>343573017.37</v>
      </c>
      <c r="AR9" s="48">
        <v>228757483.25</v>
      </c>
      <c r="AS9" s="48">
        <v>240242463.63999999</v>
      </c>
      <c r="AT9" s="48">
        <v>182099010.66999999</v>
      </c>
      <c r="AU9" s="48">
        <v>169662778.06</v>
      </c>
      <c r="AV9" s="48">
        <v>149930119.38</v>
      </c>
      <c r="AW9" s="48">
        <v>161408152.86000001</v>
      </c>
      <c r="AX9" s="48">
        <v>138265050.05000001</v>
      </c>
      <c r="AY9" s="48">
        <v>119237954.93000001</v>
      </c>
      <c r="AZ9" s="48">
        <v>68516638.129999995</v>
      </c>
      <c r="BA9" s="48">
        <v>75535758.530000001</v>
      </c>
      <c r="BB9" s="48">
        <v>89070845.420000002</v>
      </c>
      <c r="BC9" s="48">
        <v>120370087.94</v>
      </c>
      <c r="BD9" s="48">
        <v>79213747.069999993</v>
      </c>
      <c r="BE9" s="48">
        <v>62375323.619999997</v>
      </c>
      <c r="BF9" s="48">
        <v>74758546.689999998</v>
      </c>
      <c r="BG9" s="48">
        <v>89605206.760000005</v>
      </c>
      <c r="BH9" s="48">
        <v>106777465.52</v>
      </c>
      <c r="BI9" s="48">
        <v>91558550.790000007</v>
      </c>
      <c r="BJ9" s="48">
        <v>92889532.739999995</v>
      </c>
      <c r="BK9" s="48">
        <v>68771399.620000005</v>
      </c>
      <c r="BL9" s="48">
        <v>77038202.540000007</v>
      </c>
      <c r="BM9" s="48">
        <v>62643250.350000001</v>
      </c>
      <c r="BN9" s="48">
        <v>100170232.95</v>
      </c>
      <c r="BO9" s="48">
        <v>84639166.689999998</v>
      </c>
      <c r="BP9" s="48">
        <v>62284323.619999997</v>
      </c>
      <c r="BQ9" s="48">
        <v>27597253.780000001</v>
      </c>
      <c r="BR9" s="48">
        <v>63832000.93</v>
      </c>
      <c r="BS9" s="48">
        <v>47392690.469999999</v>
      </c>
      <c r="BT9" s="48">
        <v>38836057.850000001</v>
      </c>
      <c r="BU9" s="48">
        <v>48352060.759999998</v>
      </c>
      <c r="BV9" s="48">
        <v>47264373.369999997</v>
      </c>
      <c r="BW9" s="48">
        <v>77668926.040000007</v>
      </c>
      <c r="BX9" s="48">
        <v>12999499.289999999</v>
      </c>
      <c r="BY9" s="48">
        <v>6524830.46</v>
      </c>
      <c r="BZ9" s="48">
        <v>0</v>
      </c>
      <c r="CA9" s="48">
        <v>70848424.930000007</v>
      </c>
      <c r="CB9" s="48">
        <v>0</v>
      </c>
      <c r="CC9" s="48">
        <v>96469955.659999996</v>
      </c>
      <c r="CD9" s="48">
        <v>0</v>
      </c>
      <c r="CE9" s="48">
        <v>0</v>
      </c>
      <c r="CF9" s="48">
        <v>0</v>
      </c>
      <c r="CG9" s="48">
        <v>29150102.609999999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48" t="s">
        <v>180</v>
      </c>
      <c r="B10" s="48">
        <v>38925036.57</v>
      </c>
      <c r="C10" s="48">
        <v>32424323.710000001</v>
      </c>
      <c r="D10" s="48">
        <v>54414888.890000001</v>
      </c>
      <c r="E10" s="48">
        <v>51818297.909999996</v>
      </c>
      <c r="F10" s="48">
        <v>42104645.130000003</v>
      </c>
      <c r="G10" s="48">
        <v>57085627.100000001</v>
      </c>
      <c r="H10" s="48">
        <v>83910730.569999993</v>
      </c>
      <c r="I10" s="48">
        <v>58604649.450000003</v>
      </c>
      <c r="J10" s="48">
        <v>51979423.060000002</v>
      </c>
      <c r="K10" s="48">
        <v>62170536.100000001</v>
      </c>
      <c r="L10" s="48">
        <v>10496944.439999999</v>
      </c>
      <c r="M10" s="48">
        <v>94359651.400000006</v>
      </c>
      <c r="N10" s="48">
        <v>76520119.430000007</v>
      </c>
      <c r="O10" s="48">
        <v>74800977.769999996</v>
      </c>
      <c r="P10" s="48">
        <v>11971666.67</v>
      </c>
      <c r="Q10" s="48">
        <v>82644100</v>
      </c>
      <c r="R10" s="48">
        <v>87651544.430000007</v>
      </c>
      <c r="S10" s="48">
        <v>70678238.879999995</v>
      </c>
      <c r="T10" s="48">
        <v>114492394.91</v>
      </c>
      <c r="U10" s="48">
        <v>74076561.590000004</v>
      </c>
      <c r="V10" s="48">
        <v>56206048.590000004</v>
      </c>
      <c r="W10" s="48">
        <v>48820937.490000002</v>
      </c>
      <c r="X10" s="48">
        <v>37553784.700000003</v>
      </c>
      <c r="Y10" s="48">
        <v>21873159.699999999</v>
      </c>
      <c r="Z10" s="48">
        <v>32152847.23</v>
      </c>
      <c r="AA10" s="48">
        <v>32152847.23</v>
      </c>
      <c r="AB10" s="48">
        <v>12354728.18</v>
      </c>
      <c r="AC10" s="48">
        <v>16562916.68</v>
      </c>
      <c r="AD10" s="48">
        <v>5778402.7800000003</v>
      </c>
      <c r="AE10" s="48">
        <v>1717708.33</v>
      </c>
      <c r="AF10" s="48">
        <v>0</v>
      </c>
      <c r="AG10" s="48">
        <v>21852611.109999999</v>
      </c>
      <c r="AH10" s="48">
        <v>1413437.5</v>
      </c>
      <c r="AI10" s="48">
        <v>1413437.5</v>
      </c>
      <c r="AJ10" s="48">
        <v>0</v>
      </c>
      <c r="AK10" s="48">
        <v>6289687.5</v>
      </c>
      <c r="AL10" s="48">
        <v>0</v>
      </c>
      <c r="AM10" s="48">
        <v>1873650</v>
      </c>
      <c r="AN10" s="48">
        <v>0</v>
      </c>
      <c r="AO10" s="48">
        <v>9861297.9499999993</v>
      </c>
      <c r="AP10" s="48">
        <v>0</v>
      </c>
      <c r="AQ10" s="48">
        <v>14343487.5</v>
      </c>
      <c r="AR10" s="48">
        <v>0</v>
      </c>
      <c r="AS10" s="48">
        <v>2870662.5</v>
      </c>
      <c r="AT10" s="48">
        <v>0</v>
      </c>
      <c r="AU10" s="48">
        <v>0</v>
      </c>
      <c r="AV10" s="48">
        <v>0</v>
      </c>
      <c r="AW10" s="48">
        <v>2329637.5</v>
      </c>
      <c r="AX10" s="48">
        <v>1521250</v>
      </c>
      <c r="AY10" s="48">
        <v>1521250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s="48" t="s">
        <v>181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s="48" t="s">
        <v>182</v>
      </c>
      <c r="B12" s="48">
        <v>0</v>
      </c>
      <c r="C12" s="48">
        <v>193881550.58000001</v>
      </c>
      <c r="D12" s="48">
        <v>190755514.16999999</v>
      </c>
      <c r="E12" s="48">
        <v>170326603.5</v>
      </c>
      <c r="F12" s="48">
        <v>213428653.28999999</v>
      </c>
      <c r="G12" s="48">
        <v>184634777.75</v>
      </c>
      <c r="H12" s="48">
        <v>189259398.66999999</v>
      </c>
      <c r="I12" s="48">
        <v>207081623.74000001</v>
      </c>
      <c r="J12" s="48">
        <v>223303082.28999999</v>
      </c>
      <c r="K12" s="48">
        <v>226417351.21000001</v>
      </c>
      <c r="L12" s="48">
        <v>370605874.33999997</v>
      </c>
      <c r="M12" s="48">
        <v>239168143.71000001</v>
      </c>
      <c r="N12" s="48">
        <v>219013625.18000001</v>
      </c>
      <c r="O12" s="48">
        <v>274312852.31</v>
      </c>
      <c r="P12" s="48">
        <v>275496984.31</v>
      </c>
      <c r="Q12" s="48">
        <v>180484545.44</v>
      </c>
      <c r="R12" s="48">
        <v>241509672.53</v>
      </c>
      <c r="S12" s="48">
        <v>216380798.13999999</v>
      </c>
      <c r="T12" s="48">
        <v>292379296.67000002</v>
      </c>
      <c r="U12" s="48">
        <v>277929649.75999999</v>
      </c>
      <c r="V12" s="48">
        <v>233800281.13999999</v>
      </c>
      <c r="W12" s="48">
        <v>204237895.65000001</v>
      </c>
      <c r="X12" s="48">
        <v>213875637.88</v>
      </c>
      <c r="Y12" s="48">
        <v>176000346.38999999</v>
      </c>
      <c r="Z12" s="48">
        <v>316075586.79000002</v>
      </c>
      <c r="AA12" s="48">
        <v>187935477.86000001</v>
      </c>
      <c r="AB12" s="48">
        <v>161977001.87</v>
      </c>
      <c r="AC12" s="48">
        <v>245456014.97999999</v>
      </c>
      <c r="AD12" s="48">
        <v>222073928.77000001</v>
      </c>
      <c r="AE12" s="48">
        <v>202920618.11000001</v>
      </c>
      <c r="AF12" s="48">
        <v>185326945.22999999</v>
      </c>
      <c r="AG12" s="48">
        <v>184540951.65000001</v>
      </c>
      <c r="AH12" s="48">
        <v>157496271.34999999</v>
      </c>
      <c r="AI12" s="48">
        <v>150683263.09999999</v>
      </c>
      <c r="AJ12" s="48">
        <v>143196190.34999999</v>
      </c>
      <c r="AK12" s="48">
        <v>139601399.88</v>
      </c>
      <c r="AL12" s="48">
        <v>169329731.94</v>
      </c>
      <c r="AM12" s="48">
        <v>255501918.28999999</v>
      </c>
      <c r="AN12" s="48">
        <v>127664271.23999999</v>
      </c>
      <c r="AO12" s="48">
        <v>361543659.20999998</v>
      </c>
      <c r="AP12" s="48">
        <v>138880816.87</v>
      </c>
      <c r="AQ12" s="48">
        <v>125475167.89</v>
      </c>
      <c r="AR12" s="48">
        <v>158451091.94</v>
      </c>
      <c r="AS12" s="48">
        <v>87370218.060000002</v>
      </c>
      <c r="AT12" s="48">
        <v>131484040.39</v>
      </c>
      <c r="AU12" s="48">
        <v>125394987.87</v>
      </c>
      <c r="AV12" s="48">
        <v>118161651.11</v>
      </c>
      <c r="AW12" s="48">
        <v>92560794.060000002</v>
      </c>
      <c r="AX12" s="48">
        <v>105051007.64</v>
      </c>
      <c r="AY12" s="48">
        <v>101501804.38</v>
      </c>
      <c r="AZ12" s="48">
        <v>104329116.59</v>
      </c>
      <c r="BA12" s="48">
        <v>143267735.56</v>
      </c>
      <c r="BB12" s="48">
        <v>202141140.66999999</v>
      </c>
      <c r="BC12" s="48">
        <v>190836774.22</v>
      </c>
      <c r="BD12" s="48">
        <v>206539866.66</v>
      </c>
      <c r="BE12" s="48">
        <v>249334539.46000001</v>
      </c>
      <c r="BF12" s="48">
        <v>252937978.75</v>
      </c>
      <c r="BG12" s="48">
        <v>234318324.90000001</v>
      </c>
      <c r="BH12" s="48">
        <v>227715058.62</v>
      </c>
      <c r="BI12" s="48">
        <v>158781274.68000001</v>
      </c>
      <c r="BJ12" s="48">
        <v>190359255.49000001</v>
      </c>
      <c r="BK12" s="48">
        <v>149354984.41999999</v>
      </c>
      <c r="BL12" s="48">
        <v>165260591.75999999</v>
      </c>
      <c r="BM12" s="48">
        <v>173040779.27000001</v>
      </c>
      <c r="BN12" s="48">
        <v>170250200.99000001</v>
      </c>
      <c r="BO12" s="48">
        <v>183893487.61000001</v>
      </c>
      <c r="BP12" s="48">
        <v>187871107.15000001</v>
      </c>
      <c r="BQ12" s="48">
        <v>261079399.84</v>
      </c>
      <c r="BR12" s="48">
        <v>99053745.269999996</v>
      </c>
      <c r="BS12" s="48">
        <v>168674404.06999999</v>
      </c>
      <c r="BT12" s="48">
        <v>188495588.21000001</v>
      </c>
      <c r="BU12" s="48">
        <v>190120243.22999999</v>
      </c>
      <c r="BV12" s="48">
        <v>153782047.81</v>
      </c>
      <c r="BW12" s="48">
        <v>170045860.84999999</v>
      </c>
      <c r="BX12" s="48">
        <v>611214537.74000001</v>
      </c>
      <c r="BY12" s="48">
        <v>596988030.34000003</v>
      </c>
      <c r="BZ12" s="48">
        <v>0</v>
      </c>
      <c r="CA12" s="48">
        <v>456623376.16000003</v>
      </c>
      <c r="CB12" s="48">
        <v>0</v>
      </c>
      <c r="CC12" s="48">
        <v>112268499.27</v>
      </c>
      <c r="CD12" s="48">
        <v>0</v>
      </c>
      <c r="CE12" s="48">
        <v>0</v>
      </c>
      <c r="CF12" s="48">
        <v>0</v>
      </c>
      <c r="CG12" s="48">
        <v>106156888.91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s="48" t="s">
        <v>183</v>
      </c>
      <c r="B13" s="48">
        <v>0</v>
      </c>
      <c r="C13" s="48"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0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>
      <c r="A14" s="48" t="s">
        <v>184</v>
      </c>
      <c r="B14" s="48">
        <v>8857181572.0200005</v>
      </c>
      <c r="C14" s="48">
        <v>8696787118.8400002</v>
      </c>
      <c r="D14" s="48">
        <v>9041070237.4500008</v>
      </c>
      <c r="E14" s="48">
        <v>8745743424.1499996</v>
      </c>
      <c r="F14" s="48">
        <v>8296680230.1000004</v>
      </c>
      <c r="G14" s="48">
        <v>7664760178.1700001</v>
      </c>
      <c r="H14" s="48">
        <v>8672761743.2700005</v>
      </c>
      <c r="I14" s="48">
        <v>7387990721.1000004</v>
      </c>
      <c r="J14" s="48">
        <v>7278727447.9200001</v>
      </c>
      <c r="K14" s="48">
        <v>6885703443</v>
      </c>
      <c r="L14" s="48">
        <v>7327082307.5900002</v>
      </c>
      <c r="M14" s="48">
        <v>6872324895.7600002</v>
      </c>
      <c r="N14" s="48">
        <v>6874962940.8699999</v>
      </c>
      <c r="O14" s="48">
        <v>7040236812.9499998</v>
      </c>
      <c r="P14" s="48">
        <v>7706885747.3000002</v>
      </c>
      <c r="Q14" s="48">
        <v>7661129727.5200005</v>
      </c>
      <c r="R14" s="48">
        <v>7194945811.21</v>
      </c>
      <c r="S14" s="48">
        <v>6926487559.9099998</v>
      </c>
      <c r="T14" s="48">
        <v>7157035493.3599997</v>
      </c>
      <c r="U14" s="48">
        <v>6386461718.9399996</v>
      </c>
      <c r="V14" s="48">
        <v>5942754126.9499998</v>
      </c>
      <c r="W14" s="48">
        <v>5245807583.0299997</v>
      </c>
      <c r="X14" s="48">
        <v>5819605785.3800001</v>
      </c>
      <c r="Y14" s="48">
        <v>4903554715.0500002</v>
      </c>
      <c r="Z14" s="48">
        <v>4531132030.2200003</v>
      </c>
      <c r="AA14" s="48">
        <v>3194786538.1500001</v>
      </c>
      <c r="AB14" s="48">
        <v>3495557999.0599999</v>
      </c>
      <c r="AC14" s="48">
        <v>4261207842.1100001</v>
      </c>
      <c r="AD14" s="48">
        <v>2644257818.6700001</v>
      </c>
      <c r="AE14" s="48">
        <v>2799677885.4200001</v>
      </c>
      <c r="AF14" s="48">
        <v>2836933574.79</v>
      </c>
      <c r="AG14" s="48">
        <v>2530295008.9200001</v>
      </c>
      <c r="AH14" s="48">
        <v>2136438716.9200001</v>
      </c>
      <c r="AI14" s="48">
        <v>2037735523.03</v>
      </c>
      <c r="AJ14" s="48">
        <v>2252049637.4499998</v>
      </c>
      <c r="AK14" s="48">
        <v>2105104591.23</v>
      </c>
      <c r="AL14" s="48">
        <v>1944766656.6700001</v>
      </c>
      <c r="AM14" s="48">
        <v>1665142709.6300001</v>
      </c>
      <c r="AN14" s="48">
        <v>1741604571.3900001</v>
      </c>
      <c r="AO14" s="48">
        <v>1842545657.25</v>
      </c>
      <c r="AP14" s="48">
        <v>1988232581.6199999</v>
      </c>
      <c r="AQ14" s="48">
        <v>1941527214.22</v>
      </c>
      <c r="AR14" s="48">
        <v>1903981244.9200001</v>
      </c>
      <c r="AS14" s="48">
        <v>1790572925.4400001</v>
      </c>
      <c r="AT14" s="48">
        <v>1759187337.8399999</v>
      </c>
      <c r="AU14" s="48">
        <v>1670307873.9100001</v>
      </c>
      <c r="AV14" s="48">
        <v>1515552791.3499999</v>
      </c>
      <c r="AW14" s="48">
        <v>1469411962.8099999</v>
      </c>
      <c r="AX14" s="48">
        <v>1105495887.1700001</v>
      </c>
      <c r="AY14" s="48">
        <v>1071616878.51</v>
      </c>
      <c r="AZ14" s="48">
        <v>1146969612.8099999</v>
      </c>
      <c r="BA14" s="48">
        <v>1228323362.1800001</v>
      </c>
      <c r="BB14" s="48">
        <v>1389820368.1800001</v>
      </c>
      <c r="BC14" s="48">
        <v>1302903022.8599999</v>
      </c>
      <c r="BD14" s="48">
        <v>1334639132.1400001</v>
      </c>
      <c r="BE14" s="48">
        <v>1266126157.55</v>
      </c>
      <c r="BF14" s="48">
        <v>1500312429.4400001</v>
      </c>
      <c r="BG14" s="48">
        <v>1414725530.3199999</v>
      </c>
      <c r="BH14" s="48">
        <v>1290044614.3699999</v>
      </c>
      <c r="BI14" s="48">
        <v>1470715094.71</v>
      </c>
      <c r="BJ14" s="48">
        <v>1379674825.9100001</v>
      </c>
      <c r="BK14" s="48">
        <v>1181608092.5</v>
      </c>
      <c r="BL14" s="48">
        <v>1171543036.9300001</v>
      </c>
      <c r="BM14" s="48">
        <v>1221307883.28</v>
      </c>
      <c r="BN14" s="48">
        <v>845476497.46000004</v>
      </c>
      <c r="BO14" s="48">
        <v>665530802.33000004</v>
      </c>
      <c r="BP14" s="48">
        <v>731157026.74000001</v>
      </c>
      <c r="BQ14" s="48">
        <v>677058191.63999999</v>
      </c>
      <c r="BR14" s="48">
        <v>652492571.75999999</v>
      </c>
      <c r="BS14" s="48">
        <v>715680046.63999999</v>
      </c>
      <c r="BT14" s="48">
        <v>683628432.84000003</v>
      </c>
      <c r="BU14" s="48">
        <v>658612706.40999997</v>
      </c>
      <c r="BV14" s="48">
        <v>466251646.36000001</v>
      </c>
      <c r="BW14" s="48">
        <v>443531927.44999999</v>
      </c>
      <c r="BX14" s="48">
        <v>232114283.25</v>
      </c>
      <c r="BY14" s="48">
        <v>241865462.28</v>
      </c>
      <c r="BZ14" s="48">
        <v>0</v>
      </c>
      <c r="CA14" s="48">
        <v>561677028.63999999</v>
      </c>
      <c r="CB14" s="48">
        <v>0</v>
      </c>
      <c r="CC14" s="48">
        <v>484681438.68000001</v>
      </c>
      <c r="CD14" s="48">
        <v>0</v>
      </c>
      <c r="CE14" s="48">
        <v>321446000</v>
      </c>
      <c r="CF14" s="48">
        <v>0</v>
      </c>
      <c r="CG14" s="48">
        <v>234817623.47</v>
      </c>
      <c r="CH14" s="48">
        <v>0</v>
      </c>
      <c r="CI14" s="48">
        <v>0</v>
      </c>
      <c r="CJ14" s="48">
        <v>0</v>
      </c>
      <c r="CK14" s="48">
        <v>0</v>
      </c>
      <c r="CL14" s="48">
        <v>0</v>
      </c>
    </row>
    <row r="15" spans="1:90">
      <c r="A15" s="48" t="s">
        <v>185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  <c r="CL15" s="48">
        <v>0</v>
      </c>
    </row>
    <row r="16" spans="1:90">
      <c r="A16" s="48" t="s">
        <v>186</v>
      </c>
      <c r="B16" s="48">
        <v>29925985.800000001</v>
      </c>
      <c r="C16" s="48">
        <v>25393985.800000001</v>
      </c>
      <c r="D16" s="48">
        <v>34284110.030000001</v>
      </c>
      <c r="E16" s="48">
        <v>28554340</v>
      </c>
      <c r="F16" s="48">
        <v>18719541.399999999</v>
      </c>
      <c r="G16" s="48">
        <v>22778181.399999999</v>
      </c>
      <c r="H16" s="48">
        <v>17819541.399999999</v>
      </c>
      <c r="I16" s="48">
        <v>17819541.399999999</v>
      </c>
      <c r="J16" s="48">
        <v>23818698</v>
      </c>
      <c r="K16" s="48">
        <v>23818698</v>
      </c>
      <c r="L16" s="48">
        <v>19546710.199999999</v>
      </c>
      <c r="M16" s="48">
        <v>23818698</v>
      </c>
      <c r="N16" s="48">
        <v>13818799</v>
      </c>
      <c r="O16" s="48">
        <v>13818799</v>
      </c>
      <c r="P16" s="48">
        <v>13818799</v>
      </c>
      <c r="Q16" s="48">
        <v>13818799</v>
      </c>
      <c r="R16" s="48">
        <v>12432319.199999999</v>
      </c>
      <c r="S16" s="48">
        <v>12432319.199999999</v>
      </c>
      <c r="T16" s="48">
        <v>12432319.199999999</v>
      </c>
      <c r="U16" s="48">
        <v>12432319.199999999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2190</v>
      </c>
      <c r="BH16" s="48">
        <v>2190</v>
      </c>
      <c r="BI16" s="48">
        <v>2190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598100</v>
      </c>
      <c r="BW16" s="48">
        <v>598100</v>
      </c>
      <c r="BX16" s="48">
        <v>598100</v>
      </c>
      <c r="BY16" s="48">
        <v>598100</v>
      </c>
      <c r="BZ16" s="48">
        <v>0</v>
      </c>
      <c r="CA16" s="48">
        <v>435000</v>
      </c>
      <c r="CB16" s="48">
        <v>0</v>
      </c>
      <c r="CC16" s="48">
        <v>1204500</v>
      </c>
      <c r="CD16" s="48">
        <v>0</v>
      </c>
      <c r="CE16" s="48">
        <v>1933000</v>
      </c>
      <c r="CF16" s="48">
        <v>0</v>
      </c>
      <c r="CG16" s="48">
        <v>0</v>
      </c>
      <c r="CH16" s="48">
        <v>0</v>
      </c>
      <c r="CI16" s="48">
        <v>0</v>
      </c>
      <c r="CJ16" s="48">
        <v>0</v>
      </c>
      <c r="CK16" s="48">
        <v>0</v>
      </c>
      <c r="CL16" s="48">
        <v>0</v>
      </c>
    </row>
    <row r="17" spans="1:90">
      <c r="A17" s="48" t="s">
        <v>187</v>
      </c>
      <c r="B17" s="48">
        <v>0</v>
      </c>
      <c r="C17" s="48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3266798.29</v>
      </c>
      <c r="AX17" s="48">
        <v>8271751.25</v>
      </c>
      <c r="AY17" s="48">
        <v>9827966.4199999999</v>
      </c>
      <c r="AZ17" s="48">
        <v>10170093.039999999</v>
      </c>
      <c r="BA17" s="48">
        <v>5376556.71</v>
      </c>
      <c r="BB17" s="48">
        <v>10858549.359999999</v>
      </c>
      <c r="BC17" s="48">
        <v>8813118.9800000004</v>
      </c>
      <c r="BD17" s="48">
        <v>6509869.1799999997</v>
      </c>
      <c r="BE17" s="48">
        <v>3957648.21</v>
      </c>
      <c r="BF17" s="48">
        <v>5751084.0700000003</v>
      </c>
      <c r="BG17" s="48">
        <v>5101524.1900000004</v>
      </c>
      <c r="BH17" s="48">
        <v>3522773.43</v>
      </c>
      <c r="BI17" s="48">
        <v>2183430</v>
      </c>
      <c r="BJ17" s="48">
        <v>3700538.39</v>
      </c>
      <c r="BK17" s="48">
        <v>3268409.82</v>
      </c>
      <c r="BL17" s="48">
        <v>2423452.09</v>
      </c>
      <c r="BM17" s="48">
        <v>2487875.6800000002</v>
      </c>
      <c r="BN17" s="48">
        <v>18192053.809999999</v>
      </c>
      <c r="BO17" s="48">
        <v>3998924.97</v>
      </c>
      <c r="BP17" s="48">
        <v>3518971.55</v>
      </c>
      <c r="BQ17" s="48">
        <v>1374962.52</v>
      </c>
      <c r="BR17" s="48">
        <v>6585095.9299999997</v>
      </c>
      <c r="BS17" s="48">
        <v>2633044.96</v>
      </c>
      <c r="BT17" s="48">
        <v>20474267.510000002</v>
      </c>
      <c r="BU17" s="48">
        <v>16911270.969999999</v>
      </c>
      <c r="BV17" s="48">
        <v>15642609.859999999</v>
      </c>
      <c r="BW17" s="48">
        <v>17033894.98</v>
      </c>
      <c r="BX17" s="48">
        <v>29188418.5</v>
      </c>
      <c r="BY17" s="48">
        <v>28186318.239999998</v>
      </c>
      <c r="BZ17" s="48">
        <v>0</v>
      </c>
      <c r="CA17" s="48">
        <v>26171044.289999999</v>
      </c>
      <c r="CB17" s="48">
        <v>0</v>
      </c>
      <c r="CC17" s="48">
        <v>30468786.559999999</v>
      </c>
      <c r="CD17" s="48">
        <v>0</v>
      </c>
      <c r="CE17" s="48">
        <v>0</v>
      </c>
      <c r="CF17" s="48">
        <v>0</v>
      </c>
      <c r="CG17" s="48">
        <v>26637583.620000001</v>
      </c>
      <c r="CH17" s="48">
        <v>0</v>
      </c>
      <c r="CI17" s="48">
        <v>0</v>
      </c>
      <c r="CJ17" s="48">
        <v>0</v>
      </c>
      <c r="CK17" s="48">
        <v>0</v>
      </c>
      <c r="CL17" s="48">
        <v>0</v>
      </c>
    </row>
    <row r="18" spans="1:90">
      <c r="A18" s="48" t="s">
        <v>188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1642664.68</v>
      </c>
      <c r="BV18" s="48">
        <v>0</v>
      </c>
      <c r="BW18" s="48">
        <v>0</v>
      </c>
      <c r="BX18" s="48">
        <v>446231.17</v>
      </c>
      <c r="BY18" s="48">
        <v>449270.29</v>
      </c>
      <c r="BZ18" s="48">
        <v>0</v>
      </c>
      <c r="CA18" s="48">
        <v>0</v>
      </c>
      <c r="CB18" s="48">
        <v>0</v>
      </c>
      <c r="CC18" s="48">
        <v>1443796.51</v>
      </c>
      <c r="CD18" s="48">
        <v>0</v>
      </c>
      <c r="CE18" s="48">
        <v>0</v>
      </c>
      <c r="CF18" s="48">
        <v>0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  <c r="CL18" s="48">
        <v>0</v>
      </c>
    </row>
    <row r="19" spans="1:90">
      <c r="A19" s="48" t="s">
        <v>189</v>
      </c>
      <c r="B19" s="48">
        <v>98704150.209999993</v>
      </c>
      <c r="C19" s="48">
        <v>167939002.78999999</v>
      </c>
      <c r="D19" s="48">
        <v>67636677.420000002</v>
      </c>
      <c r="E19" s="48">
        <v>71389645.209999993</v>
      </c>
      <c r="F19" s="48">
        <v>1239402.8</v>
      </c>
      <c r="G19" s="48">
        <v>31893182.07</v>
      </c>
      <c r="H19" s="48">
        <v>1133901.99</v>
      </c>
      <c r="I19" s="48">
        <v>47986884.82</v>
      </c>
      <c r="J19" s="48">
        <v>340934.84</v>
      </c>
      <c r="K19" s="48">
        <v>456212.87</v>
      </c>
      <c r="L19" s="48">
        <v>8418955.9800000004</v>
      </c>
      <c r="M19" s="48">
        <v>121673704.20999999</v>
      </c>
      <c r="N19" s="48">
        <v>200818.97</v>
      </c>
      <c r="O19" s="48">
        <v>32871800.91</v>
      </c>
      <c r="P19" s="48">
        <v>40130658.43</v>
      </c>
      <c r="Q19" s="48">
        <v>35863204.270000003</v>
      </c>
      <c r="R19" s="48">
        <v>50044136.869999997</v>
      </c>
      <c r="S19" s="48">
        <v>48522069.799999997</v>
      </c>
      <c r="T19" s="48">
        <v>49918932.880000003</v>
      </c>
      <c r="U19" s="48">
        <v>46898955.509999998</v>
      </c>
      <c r="V19" s="48">
        <v>262622.44</v>
      </c>
      <c r="W19" s="48">
        <v>266380.34999999998</v>
      </c>
      <c r="X19" s="48">
        <v>272238.5</v>
      </c>
      <c r="Y19" s="48">
        <v>2918225.61</v>
      </c>
      <c r="Z19" s="48">
        <v>543520.62</v>
      </c>
      <c r="AA19" s="48">
        <v>0</v>
      </c>
      <c r="AB19" s="48">
        <v>0</v>
      </c>
      <c r="AC19" s="48">
        <v>807711476.01999998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4000000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  <c r="CL19" s="48">
        <v>0</v>
      </c>
    </row>
    <row r="20" spans="1:90">
      <c r="A20" s="48" t="s">
        <v>190</v>
      </c>
      <c r="B20" s="48">
        <v>27924645225.669998</v>
      </c>
      <c r="C20" s="48">
        <v>28056198022.700001</v>
      </c>
      <c r="D20" s="48">
        <v>28593942343.790001</v>
      </c>
      <c r="E20" s="48">
        <v>28504160963.02</v>
      </c>
      <c r="F20" s="48">
        <v>27363453449.630001</v>
      </c>
      <c r="G20" s="48">
        <v>26575128707.68</v>
      </c>
      <c r="H20" s="48">
        <v>27838254029.740002</v>
      </c>
      <c r="I20" s="48">
        <v>26797696381.259998</v>
      </c>
      <c r="J20" s="48">
        <v>26130338468.860001</v>
      </c>
      <c r="K20" s="48">
        <v>25919656864.189999</v>
      </c>
      <c r="L20" s="48">
        <v>25715028975.540001</v>
      </c>
      <c r="M20" s="48">
        <v>25158703136.919998</v>
      </c>
      <c r="N20" s="48">
        <v>24452428510.939999</v>
      </c>
      <c r="O20" s="48">
        <v>25235289583.02</v>
      </c>
      <c r="P20" s="48">
        <v>24762685841.799999</v>
      </c>
      <c r="Q20" s="48">
        <v>24651133111.43</v>
      </c>
      <c r="R20" s="48">
        <v>24148565268.25</v>
      </c>
      <c r="S20" s="48">
        <v>23697183760.919998</v>
      </c>
      <c r="T20" s="48">
        <v>23124694121.529999</v>
      </c>
      <c r="U20" s="48">
        <v>22226955740.209999</v>
      </c>
      <c r="V20" s="48">
        <v>21437557473.810001</v>
      </c>
      <c r="W20" s="48">
        <v>20598242546.799999</v>
      </c>
      <c r="X20" s="48">
        <v>19818215518.259998</v>
      </c>
      <c r="Y20" s="48">
        <v>20932631320.900002</v>
      </c>
      <c r="Z20" s="48">
        <v>18437683704.029999</v>
      </c>
      <c r="AA20" s="48">
        <v>15675049021.25</v>
      </c>
      <c r="AB20" s="48">
        <v>14158794568.75</v>
      </c>
      <c r="AC20" s="48">
        <v>17002618706.57</v>
      </c>
      <c r="AD20" s="48">
        <v>13678635143.17</v>
      </c>
      <c r="AE20" s="48">
        <v>13052672252.27</v>
      </c>
      <c r="AF20" s="48">
        <v>12131282500.879999</v>
      </c>
      <c r="AG20" s="48">
        <v>11648928929.309999</v>
      </c>
      <c r="AH20" s="48">
        <v>11526459599.68</v>
      </c>
      <c r="AI20" s="48">
        <v>10880702132.700001</v>
      </c>
      <c r="AJ20" s="48">
        <v>10085971548.370001</v>
      </c>
      <c r="AK20" s="48">
        <v>9678337717.9099998</v>
      </c>
      <c r="AL20" s="48">
        <v>9362321585.6900005</v>
      </c>
      <c r="AM20" s="48">
        <v>8629788654.1900005</v>
      </c>
      <c r="AN20" s="48">
        <v>7960659056.8199997</v>
      </c>
      <c r="AO20" s="48">
        <v>7568594763.6000004</v>
      </c>
      <c r="AP20" s="48">
        <v>7637164266.8699999</v>
      </c>
      <c r="AQ20" s="48">
        <v>7475910668.8800001</v>
      </c>
      <c r="AR20" s="48">
        <v>6953956026.4700003</v>
      </c>
      <c r="AS20" s="48">
        <v>7116021333.8000002</v>
      </c>
      <c r="AT20" s="48">
        <v>6721968589.8999996</v>
      </c>
      <c r="AU20" s="48">
        <v>6417470956.6400003</v>
      </c>
      <c r="AV20" s="48">
        <v>6097186903.1800003</v>
      </c>
      <c r="AW20" s="48">
        <v>5927901693.1899996</v>
      </c>
      <c r="AX20" s="48">
        <v>5716599713.71</v>
      </c>
      <c r="AY20" s="48">
        <v>5424729313.9899998</v>
      </c>
      <c r="AZ20" s="48">
        <v>5098284628.7600002</v>
      </c>
      <c r="BA20" s="48">
        <v>5178424496.0600004</v>
      </c>
      <c r="BB20" s="48">
        <v>5083389566.21</v>
      </c>
      <c r="BC20" s="48">
        <v>5240293126.8800001</v>
      </c>
      <c r="BD20" s="48">
        <v>5490209998.5600004</v>
      </c>
      <c r="BE20" s="48">
        <v>5551373104.4300003</v>
      </c>
      <c r="BF20" s="48">
        <v>5841664620.4700003</v>
      </c>
      <c r="BG20" s="48">
        <v>6071942202.2299995</v>
      </c>
      <c r="BH20" s="48">
        <v>5884402044.9399996</v>
      </c>
      <c r="BI20" s="48">
        <v>5895212159.1300001</v>
      </c>
      <c r="BJ20" s="48">
        <v>5784126855.5100002</v>
      </c>
      <c r="BK20" s="48">
        <v>6090874312.6300001</v>
      </c>
      <c r="BL20" s="48">
        <v>6099314099.6499996</v>
      </c>
      <c r="BM20" s="48">
        <v>6063465874.3599997</v>
      </c>
      <c r="BN20" s="48">
        <v>5806302488.3000002</v>
      </c>
      <c r="BO20" s="48">
        <v>5990603294.4099998</v>
      </c>
      <c r="BP20" s="48">
        <v>5655708582.9200001</v>
      </c>
      <c r="BQ20" s="48">
        <v>5427056220.6300001</v>
      </c>
      <c r="BR20" s="48">
        <v>5192234940.4700003</v>
      </c>
      <c r="BS20" s="48">
        <v>5078012651.8699999</v>
      </c>
      <c r="BT20" s="48">
        <v>5043072864.2299995</v>
      </c>
      <c r="BU20" s="48">
        <v>4926773495.25</v>
      </c>
      <c r="BV20" s="48">
        <v>3849984671.5700002</v>
      </c>
      <c r="BW20" s="48">
        <v>3883682797.2399998</v>
      </c>
      <c r="BX20" s="48">
        <v>1887442378.96</v>
      </c>
      <c r="BY20" s="48">
        <v>2037743263.4300001</v>
      </c>
      <c r="BZ20" s="48">
        <v>1757942713.51</v>
      </c>
      <c r="CA20" s="48">
        <v>1895573236.2</v>
      </c>
      <c r="CB20" s="48">
        <v>1549320339.25</v>
      </c>
      <c r="CC20" s="48">
        <v>1163099319.1600001</v>
      </c>
      <c r="CD20" s="48">
        <v>817473107.88</v>
      </c>
      <c r="CE20" s="48">
        <v>770880000</v>
      </c>
      <c r="CF20" s="48">
        <v>852602164.57000005</v>
      </c>
      <c r="CG20" s="48">
        <v>550850110.60000002</v>
      </c>
      <c r="CH20" s="48">
        <v>501640000</v>
      </c>
      <c r="CI20" s="48">
        <v>305330000</v>
      </c>
      <c r="CJ20" s="48">
        <v>212030000</v>
      </c>
      <c r="CK20" s="48">
        <v>219390000</v>
      </c>
      <c r="CL20" s="48">
        <v>0</v>
      </c>
    </row>
    <row r="21" spans="1:90">
      <c r="A21" s="48" t="s">
        <v>191</v>
      </c>
    </row>
    <row r="22" spans="1:90">
      <c r="A22" s="48" t="s">
        <v>192</v>
      </c>
      <c r="B22" s="48">
        <v>0</v>
      </c>
      <c r="C22" s="48">
        <v>0</v>
      </c>
      <c r="D22" s="48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s="48" t="s">
        <v>193</v>
      </c>
      <c r="B23" s="48">
        <v>0</v>
      </c>
      <c r="C23" s="48">
        <v>240846134.41</v>
      </c>
      <c r="D23" s="48">
        <v>258747900.66</v>
      </c>
      <c r="E23" s="48">
        <v>145028659.81</v>
      </c>
      <c r="F23" s="48">
        <v>214556404.59999999</v>
      </c>
      <c r="G23" s="48">
        <v>224867969.15000001</v>
      </c>
      <c r="H23" s="48">
        <v>227990593.31999999</v>
      </c>
      <c r="I23" s="48">
        <v>216262235.72</v>
      </c>
      <c r="J23" s="48">
        <v>179744050.41999999</v>
      </c>
      <c r="K23" s="48">
        <v>163359987.24000001</v>
      </c>
      <c r="L23" s="48">
        <v>170696052.94</v>
      </c>
      <c r="M23" s="48">
        <v>199435345.44999999</v>
      </c>
      <c r="N23" s="48">
        <v>184867883.74000001</v>
      </c>
      <c r="O23" s="48">
        <v>220158829.84999999</v>
      </c>
      <c r="P23" s="48">
        <v>214541829.56</v>
      </c>
      <c r="Q23" s="48">
        <v>167717019.53</v>
      </c>
      <c r="R23" s="48">
        <v>136762711.59</v>
      </c>
      <c r="S23" s="48">
        <v>103461428.31999999</v>
      </c>
      <c r="T23" s="48">
        <v>103285440.2</v>
      </c>
      <c r="U23" s="48">
        <v>106949232.08</v>
      </c>
      <c r="V23" s="48">
        <v>149836031.44</v>
      </c>
      <c r="W23" s="48">
        <v>79054447.530000001</v>
      </c>
      <c r="X23" s="48">
        <v>65016367.689999998</v>
      </c>
      <c r="Y23" s="48">
        <v>61709668.460000001</v>
      </c>
      <c r="Z23" s="48">
        <v>63119688.979999997</v>
      </c>
      <c r="AA23" s="48">
        <v>66475571.619999997</v>
      </c>
      <c r="AB23" s="48">
        <v>72296074.890000001</v>
      </c>
      <c r="AC23" s="48">
        <v>63129086.82</v>
      </c>
      <c r="AD23" s="48">
        <v>62769322.100000001</v>
      </c>
      <c r="AE23" s="48">
        <v>55800660.539999999</v>
      </c>
      <c r="AF23" s="48">
        <v>55995971.5</v>
      </c>
      <c r="AG23" s="48">
        <v>56200040.049999997</v>
      </c>
      <c r="AH23" s="48">
        <v>57714935.25</v>
      </c>
      <c r="AI23" s="48">
        <v>55863884.369999997</v>
      </c>
      <c r="AJ23" s="48">
        <v>65953365.060000002</v>
      </c>
      <c r="AK23" s="48">
        <v>67378568.049999997</v>
      </c>
      <c r="AL23" s="48">
        <v>56909205.579999998</v>
      </c>
      <c r="AM23" s="48">
        <v>59952446.479999997</v>
      </c>
      <c r="AN23" s="48">
        <v>45998651.140000001</v>
      </c>
      <c r="AO23" s="48">
        <v>34454057.039999999</v>
      </c>
      <c r="AP23" s="48">
        <v>43722185</v>
      </c>
      <c r="AQ23" s="48">
        <v>45498411.799999997</v>
      </c>
      <c r="AR23" s="48">
        <v>67684724.040000007</v>
      </c>
      <c r="AS23" s="48">
        <v>69064699.900000006</v>
      </c>
      <c r="AT23" s="48">
        <v>72206746.420000002</v>
      </c>
      <c r="AU23" s="48">
        <v>53135688.640000001</v>
      </c>
      <c r="AV23" s="48">
        <v>16071139.970000001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48">
        <v>0</v>
      </c>
      <c r="CB23" s="48">
        <v>0</v>
      </c>
      <c r="CC23" s="48">
        <v>0</v>
      </c>
      <c r="CD23" s="48">
        <v>0</v>
      </c>
      <c r="CE23" s="48">
        <v>0</v>
      </c>
      <c r="CF23" s="48">
        <v>0</v>
      </c>
      <c r="CG23" s="48">
        <v>0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s="48" t="s">
        <v>194</v>
      </c>
      <c r="B24" s="48">
        <v>0</v>
      </c>
      <c r="C24" s="48">
        <v>0</v>
      </c>
      <c r="D24" s="48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0</v>
      </c>
      <c r="BJ24" s="48">
        <v>2190</v>
      </c>
      <c r="BK24" s="48">
        <v>3800</v>
      </c>
      <c r="BL24" s="48">
        <v>3800</v>
      </c>
      <c r="BM24" s="48">
        <v>3800</v>
      </c>
      <c r="BN24" s="48">
        <v>66420</v>
      </c>
      <c r="BO24" s="48">
        <v>74420</v>
      </c>
      <c r="BP24" s="48">
        <v>81923.509999999995</v>
      </c>
      <c r="BQ24" s="48">
        <v>73923.509999999995</v>
      </c>
      <c r="BR24" s="48">
        <v>109923.51</v>
      </c>
      <c r="BS24" s="48">
        <v>109923.51</v>
      </c>
      <c r="BT24" s="48">
        <v>145923.51</v>
      </c>
      <c r="BU24" s="48">
        <v>764303.51</v>
      </c>
      <c r="BV24" s="48">
        <v>50700</v>
      </c>
      <c r="BW24" s="48">
        <v>50700</v>
      </c>
      <c r="BX24" s="48">
        <v>50700</v>
      </c>
      <c r="BY24" s="48">
        <v>50700</v>
      </c>
      <c r="BZ24" s="48">
        <v>0</v>
      </c>
      <c r="CA24" s="48">
        <v>0</v>
      </c>
      <c r="CB24" s="48">
        <v>0</v>
      </c>
      <c r="CC24" s="48">
        <v>1686650</v>
      </c>
      <c r="CD24" s="48">
        <v>0</v>
      </c>
      <c r="CE24" s="48">
        <v>0</v>
      </c>
      <c r="CF24" s="48">
        <v>0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s="48" t="s">
        <v>195</v>
      </c>
      <c r="B25" s="48">
        <v>8080316.4699999997</v>
      </c>
      <c r="C25" s="48">
        <v>10221816.470000001</v>
      </c>
      <c r="D25" s="48">
        <v>7830174.8300000001</v>
      </c>
      <c r="E25" s="48">
        <v>7365174.8300000001</v>
      </c>
      <c r="F25" s="48">
        <v>5468015.1600000001</v>
      </c>
      <c r="G25" s="48">
        <v>1409375.16</v>
      </c>
      <c r="H25" s="48">
        <v>6368015.1600000001</v>
      </c>
      <c r="I25" s="48">
        <v>6368015.1600000001</v>
      </c>
      <c r="J25" s="48">
        <v>3327070.78</v>
      </c>
      <c r="K25" s="48">
        <v>3327070.78</v>
      </c>
      <c r="L25" s="48">
        <v>3327070.78</v>
      </c>
      <c r="M25" s="48">
        <v>3327070.78</v>
      </c>
      <c r="N25" s="48">
        <v>19579469.18</v>
      </c>
      <c r="O25" s="48">
        <v>19579469.18</v>
      </c>
      <c r="P25" s="48">
        <v>19579469.18</v>
      </c>
      <c r="Q25" s="48">
        <v>19579469.18</v>
      </c>
      <c r="R25" s="48">
        <v>26194173.559999999</v>
      </c>
      <c r="S25" s="48">
        <v>26194173.559999999</v>
      </c>
      <c r="T25" s="48">
        <v>26194173.559999999</v>
      </c>
      <c r="U25" s="48">
        <v>26194173.559999999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0</v>
      </c>
      <c r="AF25" s="48">
        <v>0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48">
        <v>0</v>
      </c>
      <c r="CB25" s="48">
        <v>0</v>
      </c>
      <c r="CC25" s="48">
        <v>0</v>
      </c>
      <c r="CD25" s="48">
        <v>0</v>
      </c>
      <c r="CE25" s="48">
        <v>0</v>
      </c>
      <c r="CF25" s="48">
        <v>0</v>
      </c>
      <c r="CG25" s="48">
        <v>0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s="48" t="s">
        <v>196</v>
      </c>
      <c r="B26" s="48">
        <v>2400713100.29</v>
      </c>
      <c r="C26" s="48">
        <v>2377189410.6700001</v>
      </c>
      <c r="D26" s="48">
        <v>2367597031.4200001</v>
      </c>
      <c r="E26" s="48">
        <v>2311426671.52</v>
      </c>
      <c r="F26" s="48">
        <v>2288392081.96</v>
      </c>
      <c r="G26" s="48">
        <v>2282294862.8299999</v>
      </c>
      <c r="H26" s="48">
        <v>2233837352.3000002</v>
      </c>
      <c r="I26" s="48">
        <v>2191890210.3699999</v>
      </c>
      <c r="J26" s="48">
        <v>2339667829.71</v>
      </c>
      <c r="K26" s="48">
        <v>2262713452.75</v>
      </c>
      <c r="L26" s="48">
        <v>2256566693.2199998</v>
      </c>
      <c r="M26" s="48">
        <v>2210366076.8400002</v>
      </c>
      <c r="N26" s="48">
        <v>2410160947.1300001</v>
      </c>
      <c r="O26" s="48">
        <v>2358693657.8200002</v>
      </c>
      <c r="P26" s="48">
        <v>2345319156.2399998</v>
      </c>
      <c r="Q26" s="48">
        <v>2276230457.6100001</v>
      </c>
      <c r="R26" s="48">
        <v>2340355938.4899998</v>
      </c>
      <c r="S26" s="48">
        <v>2393221199.1799998</v>
      </c>
      <c r="T26" s="48">
        <v>2360283094.4400001</v>
      </c>
      <c r="U26" s="48">
        <v>2270117870.8699999</v>
      </c>
      <c r="V26" s="48">
        <v>2407282707.1599998</v>
      </c>
      <c r="W26" s="48">
        <v>2317123984.9099998</v>
      </c>
      <c r="X26" s="48">
        <v>2219510210.8800001</v>
      </c>
      <c r="Y26" s="48">
        <v>2131732422.54</v>
      </c>
      <c r="Z26" s="48">
        <v>2172226876.9899998</v>
      </c>
      <c r="AA26" s="48">
        <v>2265233734.5900002</v>
      </c>
      <c r="AB26" s="48">
        <v>2217267087.8000002</v>
      </c>
      <c r="AC26" s="48">
        <v>1440011599.8</v>
      </c>
      <c r="AD26" s="48">
        <v>1563697761.6800001</v>
      </c>
      <c r="AE26" s="48">
        <v>1487527187.5799999</v>
      </c>
      <c r="AF26" s="48">
        <v>1418386862.03</v>
      </c>
      <c r="AG26" s="48">
        <v>1323237419.21</v>
      </c>
      <c r="AH26" s="48">
        <v>1298667691.48</v>
      </c>
      <c r="AI26" s="48">
        <v>1264185034.75</v>
      </c>
      <c r="AJ26" s="48">
        <v>1200507834.5899999</v>
      </c>
      <c r="AK26" s="48">
        <v>1131494722.24</v>
      </c>
      <c r="AL26" s="48">
        <v>1203115308.2</v>
      </c>
      <c r="AM26" s="48">
        <v>1178086908.5599999</v>
      </c>
      <c r="AN26" s="48">
        <v>1158521795.1300001</v>
      </c>
      <c r="AO26" s="48">
        <v>1110507140.27</v>
      </c>
      <c r="AP26" s="48">
        <v>1151794723.22</v>
      </c>
      <c r="AQ26" s="48">
        <v>1243417369.5899999</v>
      </c>
      <c r="AR26" s="48">
        <v>1239677615.51</v>
      </c>
      <c r="AS26" s="48">
        <v>1191708150.5699999</v>
      </c>
      <c r="AT26" s="48">
        <v>1326322379.23</v>
      </c>
      <c r="AU26" s="48">
        <v>1140914441.04</v>
      </c>
      <c r="AV26" s="48">
        <v>968365556.10000002</v>
      </c>
      <c r="AW26" s="48">
        <v>989852631.50999999</v>
      </c>
      <c r="AX26" s="48">
        <v>869365668.23000002</v>
      </c>
      <c r="AY26" s="48">
        <v>952496973.75</v>
      </c>
      <c r="AZ26" s="48">
        <v>1021096417.39</v>
      </c>
      <c r="BA26" s="48">
        <v>1045294186.1900001</v>
      </c>
      <c r="BB26" s="48">
        <v>1154952135.8499999</v>
      </c>
      <c r="BC26" s="48">
        <v>1208095296.1300001</v>
      </c>
      <c r="BD26" s="48">
        <v>1269096586.26</v>
      </c>
      <c r="BE26" s="48">
        <v>1257565314.01</v>
      </c>
      <c r="BF26" s="48">
        <v>1385433957.53</v>
      </c>
      <c r="BG26" s="48">
        <v>1280619853.51</v>
      </c>
      <c r="BH26" s="48">
        <v>1260093686.24</v>
      </c>
      <c r="BI26" s="48">
        <v>1251585737.74</v>
      </c>
      <c r="BJ26" s="48">
        <v>1378706639.8199999</v>
      </c>
      <c r="BK26" s="48">
        <v>1312739401.5799999</v>
      </c>
      <c r="BL26" s="48">
        <v>1305432200.0799999</v>
      </c>
      <c r="BM26" s="48">
        <v>1287626615.3</v>
      </c>
      <c r="BN26" s="48">
        <v>1223139270.1400001</v>
      </c>
      <c r="BO26" s="48">
        <v>1231288866.79</v>
      </c>
      <c r="BP26" s="48">
        <v>1218420163.3599999</v>
      </c>
      <c r="BQ26" s="48">
        <v>1152056969.23</v>
      </c>
      <c r="BR26" s="48">
        <v>1239193499.74</v>
      </c>
      <c r="BS26" s="48">
        <v>906850693.00999999</v>
      </c>
      <c r="BT26" s="48">
        <v>1016309854.13</v>
      </c>
      <c r="BU26" s="48">
        <v>932094536.98000002</v>
      </c>
      <c r="BV26" s="48">
        <v>293417662.94999999</v>
      </c>
      <c r="BW26" s="48">
        <v>304068928.55000001</v>
      </c>
      <c r="BX26" s="48">
        <v>174963752.03</v>
      </c>
      <c r="BY26" s="48">
        <v>0</v>
      </c>
      <c r="BZ26" s="48">
        <v>226652181.53999999</v>
      </c>
      <c r="CA26" s="48">
        <v>227281865.81999999</v>
      </c>
      <c r="CB26" s="48">
        <v>347484905.30000001</v>
      </c>
      <c r="CC26" s="48">
        <v>0</v>
      </c>
      <c r="CD26" s="48">
        <v>330539122.72000003</v>
      </c>
      <c r="CE26" s="48">
        <v>235301000</v>
      </c>
      <c r="CF26" s="48">
        <v>173344753.63999999</v>
      </c>
      <c r="CG26" s="48">
        <v>115070535.19</v>
      </c>
      <c r="CH26" s="48">
        <v>0</v>
      </c>
      <c r="CI26" s="48">
        <v>66170000</v>
      </c>
      <c r="CJ26" s="48">
        <v>0</v>
      </c>
      <c r="CK26" s="48">
        <v>0</v>
      </c>
      <c r="CL26" s="48">
        <v>0</v>
      </c>
    </row>
    <row r="27" spans="1:90">
      <c r="A27" s="48" t="s">
        <v>197</v>
      </c>
      <c r="B27" s="48">
        <v>57202427.549999997</v>
      </c>
      <c r="C27" s="48">
        <v>57815085.149999999</v>
      </c>
      <c r="D27" s="48">
        <v>58427742.75</v>
      </c>
      <c r="E27" s="48">
        <v>59040400.350000001</v>
      </c>
      <c r="F27" s="48">
        <v>59653057.950000003</v>
      </c>
      <c r="G27" s="48">
        <v>60265715.549999997</v>
      </c>
      <c r="H27" s="48">
        <v>60878373.149999999</v>
      </c>
      <c r="I27" s="48">
        <v>61491030.75</v>
      </c>
      <c r="J27" s="48">
        <v>62103688.350000001</v>
      </c>
      <c r="K27" s="48">
        <v>62716318.950000003</v>
      </c>
      <c r="L27" s="48">
        <v>63363090.600000001</v>
      </c>
      <c r="M27" s="48">
        <v>63941661.149999999</v>
      </c>
      <c r="N27" s="48">
        <v>64609943.090000004</v>
      </c>
      <c r="O27" s="48">
        <v>65176275.090000004</v>
      </c>
      <c r="P27" s="48">
        <v>67999491.650000006</v>
      </c>
      <c r="Q27" s="48">
        <v>66509852.630000003</v>
      </c>
      <c r="R27" s="48">
        <v>67179650.329999998</v>
      </c>
      <c r="S27" s="48">
        <v>67851420.930000007</v>
      </c>
      <c r="T27" s="48">
        <v>68523206.549999997</v>
      </c>
      <c r="U27" s="48">
        <v>69203320.269999996</v>
      </c>
      <c r="V27" s="48">
        <v>70155584.379999995</v>
      </c>
      <c r="W27" s="48">
        <v>70746959.290000007</v>
      </c>
      <c r="X27" s="48">
        <v>71338334.200000003</v>
      </c>
      <c r="Y27" s="48">
        <v>71929709.109999999</v>
      </c>
      <c r="Z27" s="48">
        <v>72611306.319999993</v>
      </c>
      <c r="AA27" s="48">
        <v>73292903.530000001</v>
      </c>
      <c r="AB27" s="48">
        <v>73974500.739999995</v>
      </c>
      <c r="AC27" s="48">
        <v>74671873.359999999</v>
      </c>
      <c r="AD27" s="48">
        <v>75378095.290000007</v>
      </c>
      <c r="AE27" s="48">
        <v>76084317.219999999</v>
      </c>
      <c r="AF27" s="48">
        <v>76790539.150000006</v>
      </c>
      <c r="AG27" s="48">
        <v>77496761.079999998</v>
      </c>
      <c r="AH27" s="48">
        <v>77485297.780000001</v>
      </c>
      <c r="AI27" s="48">
        <v>78481910.930000007</v>
      </c>
      <c r="AJ27" s="48">
        <v>79391512.299999997</v>
      </c>
      <c r="AK27" s="48">
        <v>80347014.790000007</v>
      </c>
      <c r="AL27" s="48">
        <v>82624673.769999996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s="48" t="s">
        <v>198</v>
      </c>
      <c r="B28" s="48">
        <v>1539915721.5799999</v>
      </c>
      <c r="C28" s="48">
        <v>1493538760.76</v>
      </c>
      <c r="D28" s="48">
        <v>1517538915.6800001</v>
      </c>
      <c r="E28" s="48">
        <v>1556978833.7</v>
      </c>
      <c r="F28" s="48">
        <v>1593456836.79</v>
      </c>
      <c r="G28" s="48">
        <v>1598033914.01</v>
      </c>
      <c r="H28" s="48">
        <v>1649034932.6900001</v>
      </c>
      <c r="I28" s="48">
        <v>1621991860.8699999</v>
      </c>
      <c r="J28" s="48">
        <v>1553127343.0899999</v>
      </c>
      <c r="K28" s="48">
        <v>1462837359.55</v>
      </c>
      <c r="L28" s="48">
        <v>1486209823.1199999</v>
      </c>
      <c r="M28" s="48">
        <v>1521035167.47</v>
      </c>
      <c r="N28" s="48">
        <v>1544918696.03</v>
      </c>
      <c r="O28" s="48">
        <v>1425317035.03</v>
      </c>
      <c r="P28" s="48">
        <v>1569748959.5899999</v>
      </c>
      <c r="Q28" s="48">
        <v>1641901631.98</v>
      </c>
      <c r="R28" s="48">
        <v>1511426623.9100001</v>
      </c>
      <c r="S28" s="48">
        <v>1529017510.9100001</v>
      </c>
      <c r="T28" s="48">
        <v>1540025646.5699999</v>
      </c>
      <c r="U28" s="48">
        <v>1566074154.1099999</v>
      </c>
      <c r="V28" s="48">
        <v>1549382370.24</v>
      </c>
      <c r="W28" s="48">
        <v>1497161919.8</v>
      </c>
      <c r="X28" s="48">
        <v>1652565835.9300001</v>
      </c>
      <c r="Y28" s="48">
        <v>1661877092.25</v>
      </c>
      <c r="Z28" s="48">
        <v>1828271779.6300001</v>
      </c>
      <c r="AA28" s="48">
        <v>1186431227.6300001</v>
      </c>
      <c r="AB28" s="48">
        <v>1219342834.78</v>
      </c>
      <c r="AC28" s="48">
        <v>1862977643.77</v>
      </c>
      <c r="AD28" s="48">
        <v>1347747479.29</v>
      </c>
      <c r="AE28" s="48">
        <v>1453694520.6500001</v>
      </c>
      <c r="AF28" s="48">
        <v>1454220182.3299999</v>
      </c>
      <c r="AG28" s="48">
        <v>1473349520.3699999</v>
      </c>
      <c r="AH28" s="48">
        <v>1405648372.9200001</v>
      </c>
      <c r="AI28" s="48">
        <v>1486631258.72</v>
      </c>
      <c r="AJ28" s="48">
        <v>1542517480.3099999</v>
      </c>
      <c r="AK28" s="48">
        <v>1508837339.8599999</v>
      </c>
      <c r="AL28" s="48">
        <v>1553754145.3900001</v>
      </c>
      <c r="AM28" s="48">
        <v>1370123019.8800001</v>
      </c>
      <c r="AN28" s="48">
        <v>1327735620.28</v>
      </c>
      <c r="AO28" s="48">
        <v>1350524692.3</v>
      </c>
      <c r="AP28" s="48">
        <v>1236073520.22</v>
      </c>
      <c r="AQ28" s="48">
        <v>1190807706.8499999</v>
      </c>
      <c r="AR28" s="48">
        <v>1148227427.8599999</v>
      </c>
      <c r="AS28" s="48">
        <v>1217601361.01</v>
      </c>
      <c r="AT28" s="48">
        <v>1215903497.0599999</v>
      </c>
      <c r="AU28" s="48">
        <v>1253895583.5899999</v>
      </c>
      <c r="AV28" s="48">
        <v>1082151946.3</v>
      </c>
      <c r="AW28" s="48">
        <v>1159777509.1900001</v>
      </c>
      <c r="AX28" s="48">
        <v>1078699455.7</v>
      </c>
      <c r="AY28" s="48">
        <v>1091207759.4000001</v>
      </c>
      <c r="AZ28" s="48">
        <v>1107213334.47</v>
      </c>
      <c r="BA28" s="48">
        <v>1135600112.3900001</v>
      </c>
      <c r="BB28" s="48">
        <v>1017337911.29</v>
      </c>
      <c r="BC28" s="48">
        <v>1063808742.02</v>
      </c>
      <c r="BD28" s="48">
        <v>1029440439.05</v>
      </c>
      <c r="BE28" s="48">
        <v>1031665043.39</v>
      </c>
      <c r="BF28" s="48">
        <v>896191580.02999997</v>
      </c>
      <c r="BG28" s="48">
        <v>857067268.90999997</v>
      </c>
      <c r="BH28" s="48">
        <v>946558153.67999995</v>
      </c>
      <c r="BI28" s="48">
        <v>961572974.53999996</v>
      </c>
      <c r="BJ28" s="48">
        <v>784209913.70000005</v>
      </c>
      <c r="BK28" s="48">
        <v>776117162.10000002</v>
      </c>
      <c r="BL28" s="48">
        <v>786602185.23000002</v>
      </c>
      <c r="BM28" s="48">
        <v>810257491.19000006</v>
      </c>
      <c r="BN28" s="48">
        <v>701542847.19000006</v>
      </c>
      <c r="BO28" s="48">
        <v>722929123.01999998</v>
      </c>
      <c r="BP28" s="48">
        <v>686886455.90999997</v>
      </c>
      <c r="BQ28" s="48">
        <v>686892285.38</v>
      </c>
      <c r="BR28" s="48">
        <v>729302406.55999994</v>
      </c>
      <c r="BS28" s="48">
        <v>736711131.88</v>
      </c>
      <c r="BT28" s="48">
        <v>772263675.87</v>
      </c>
      <c r="BU28" s="48">
        <v>799893332.64999998</v>
      </c>
      <c r="BV28" s="48">
        <v>719897556.69000006</v>
      </c>
      <c r="BW28" s="48">
        <v>663825239.13</v>
      </c>
      <c r="BX28" s="48">
        <v>247902009.53999999</v>
      </c>
      <c r="BY28" s="48">
        <v>258284275.15000001</v>
      </c>
      <c r="BZ28" s="48">
        <v>280317753.69</v>
      </c>
      <c r="CA28" s="48">
        <v>291914454.87</v>
      </c>
      <c r="CB28" s="48">
        <v>300124322.94</v>
      </c>
      <c r="CC28" s="48">
        <v>351535439.48000002</v>
      </c>
      <c r="CD28" s="48">
        <v>322121519.99000001</v>
      </c>
      <c r="CE28" s="48">
        <v>310211000</v>
      </c>
      <c r="CF28" s="48">
        <v>293699924.44999999</v>
      </c>
      <c r="CG28" s="48">
        <v>297352570.06999999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s="48" t="s">
        <v>199</v>
      </c>
      <c r="B29" s="48">
        <v>255028125.78</v>
      </c>
      <c r="C29" s="48">
        <v>282842697.69999999</v>
      </c>
      <c r="D29" s="48">
        <v>250433048.77000001</v>
      </c>
      <c r="E29" s="48">
        <v>219596614.91999999</v>
      </c>
      <c r="F29" s="48">
        <v>187519817.13</v>
      </c>
      <c r="G29" s="48">
        <v>180005301.02000001</v>
      </c>
      <c r="H29" s="48">
        <v>150588612.36000001</v>
      </c>
      <c r="I29" s="48">
        <v>204316421.75</v>
      </c>
      <c r="J29" s="48">
        <v>294404699.12</v>
      </c>
      <c r="K29" s="48">
        <v>393432489.30000001</v>
      </c>
      <c r="L29" s="48">
        <v>317680649.69</v>
      </c>
      <c r="M29" s="48">
        <v>249126188.41</v>
      </c>
      <c r="N29" s="48">
        <v>229275493.81999999</v>
      </c>
      <c r="O29" s="48">
        <v>432550223.10000002</v>
      </c>
      <c r="P29" s="48">
        <v>368382711.47000003</v>
      </c>
      <c r="Q29" s="48">
        <v>338406849.99000001</v>
      </c>
      <c r="R29" s="48">
        <v>510261692.25999999</v>
      </c>
      <c r="S29" s="48">
        <v>299193016.25999999</v>
      </c>
      <c r="T29" s="48">
        <v>362512552.56999999</v>
      </c>
      <c r="U29" s="48">
        <v>338591484.85000002</v>
      </c>
      <c r="V29" s="48">
        <v>336935799.75</v>
      </c>
      <c r="W29" s="48">
        <v>384351781.38</v>
      </c>
      <c r="X29" s="48">
        <v>261974023.75999999</v>
      </c>
      <c r="Y29" s="48">
        <v>371459033.30000001</v>
      </c>
      <c r="Z29" s="48">
        <v>157464016.69</v>
      </c>
      <c r="AA29" s="48">
        <v>149628461.09999999</v>
      </c>
      <c r="AB29" s="48">
        <v>119744174.68000001</v>
      </c>
      <c r="AC29" s="48">
        <v>96463819.280000001</v>
      </c>
      <c r="AD29" s="48">
        <v>118271623.94</v>
      </c>
      <c r="AE29" s="48">
        <v>125201776.86</v>
      </c>
      <c r="AF29" s="48">
        <v>142430200.88</v>
      </c>
      <c r="AG29" s="48">
        <v>126206510.34999999</v>
      </c>
      <c r="AH29" s="48">
        <v>221472314.21000001</v>
      </c>
      <c r="AI29" s="48">
        <v>147486223.09999999</v>
      </c>
      <c r="AJ29" s="48">
        <v>107719065.03</v>
      </c>
      <c r="AK29" s="48">
        <v>118928402.94</v>
      </c>
      <c r="AL29" s="48">
        <v>121794740.31</v>
      </c>
      <c r="AM29" s="48">
        <v>84367757.310000002</v>
      </c>
      <c r="AN29" s="48">
        <v>116823993.33</v>
      </c>
      <c r="AO29" s="48">
        <v>90505083.659999996</v>
      </c>
      <c r="AP29" s="48">
        <v>124082506.65000001</v>
      </c>
      <c r="AQ29" s="48">
        <v>132050094.53</v>
      </c>
      <c r="AR29" s="48">
        <v>179457842.68000001</v>
      </c>
      <c r="AS29" s="48">
        <v>95499666.030000001</v>
      </c>
      <c r="AT29" s="48">
        <v>110579641.02</v>
      </c>
      <c r="AU29" s="48">
        <v>58712549.390000001</v>
      </c>
      <c r="AV29" s="48">
        <v>229356746.72999999</v>
      </c>
      <c r="AW29" s="48">
        <v>175750234.56999999</v>
      </c>
      <c r="AX29" s="48">
        <v>202221136.06999999</v>
      </c>
      <c r="AY29" s="48">
        <v>177727557.09999999</v>
      </c>
      <c r="AZ29" s="48">
        <v>162909254.5</v>
      </c>
      <c r="BA29" s="48">
        <v>128239074.05</v>
      </c>
      <c r="BB29" s="48">
        <v>141040249.38</v>
      </c>
      <c r="BC29" s="48">
        <v>127518385.53</v>
      </c>
      <c r="BD29" s="48">
        <v>104061264.39</v>
      </c>
      <c r="BE29" s="48">
        <v>99972589.859999999</v>
      </c>
      <c r="BF29" s="48">
        <v>92740817.569999993</v>
      </c>
      <c r="BG29" s="48">
        <v>142710455.46000001</v>
      </c>
      <c r="BH29" s="48">
        <v>140078247.72999999</v>
      </c>
      <c r="BI29" s="48">
        <v>137009776.94999999</v>
      </c>
      <c r="BJ29" s="48">
        <v>225473290.21000001</v>
      </c>
      <c r="BK29" s="48">
        <v>211901556.71000001</v>
      </c>
      <c r="BL29" s="48">
        <v>151163904.06</v>
      </c>
      <c r="BM29" s="48">
        <v>135337447.19999999</v>
      </c>
      <c r="BN29" s="48">
        <v>86239947.370000005</v>
      </c>
      <c r="BO29" s="48">
        <v>99780992.230000004</v>
      </c>
      <c r="BP29" s="48">
        <v>112336411.34999999</v>
      </c>
      <c r="BQ29" s="48">
        <v>130779812.3</v>
      </c>
      <c r="BR29" s="48">
        <v>181888727.41</v>
      </c>
      <c r="BS29" s="48">
        <v>117061775.62</v>
      </c>
      <c r="BT29" s="48">
        <v>238215309.41</v>
      </c>
      <c r="BU29" s="48">
        <v>178850829.75</v>
      </c>
      <c r="BV29" s="48">
        <v>124877461.87</v>
      </c>
      <c r="BW29" s="48">
        <v>204799798.27000001</v>
      </c>
      <c r="BX29" s="48">
        <v>99054088.640000001</v>
      </c>
      <c r="BY29" s="48">
        <v>99253057.989999995</v>
      </c>
      <c r="BZ29" s="48">
        <v>105157139.23999999</v>
      </c>
      <c r="CA29" s="48">
        <v>100213654.70999999</v>
      </c>
      <c r="CB29" s="48">
        <v>70726365.120000005</v>
      </c>
      <c r="CC29" s="48">
        <v>89263083.810000002</v>
      </c>
      <c r="CD29" s="48">
        <v>0</v>
      </c>
      <c r="CE29" s="48">
        <v>96948000</v>
      </c>
      <c r="CF29" s="48">
        <v>97171473.030000001</v>
      </c>
      <c r="CG29" s="48">
        <v>69608770.909999996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>
      <c r="A30" s="48" t="s">
        <v>200</v>
      </c>
      <c r="B30" s="48">
        <v>0</v>
      </c>
      <c r="C30" s="48">
        <v>0</v>
      </c>
      <c r="D30" s="48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  <c r="CL30" s="48">
        <v>0</v>
      </c>
    </row>
    <row r="31" spans="1:90">
      <c r="A31" s="48" t="s">
        <v>201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4693849.82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179596.24</v>
      </c>
      <c r="W31" s="48">
        <v>157282.06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-19055.87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-155790.98000000001</v>
      </c>
      <c r="BS31" s="48">
        <v>-7682.9</v>
      </c>
      <c r="BT31" s="48">
        <v>1397696.43</v>
      </c>
      <c r="BU31" s="48">
        <v>872811.88</v>
      </c>
      <c r="BV31" s="48">
        <v>951614.34</v>
      </c>
      <c r="BW31" s="48">
        <v>0</v>
      </c>
      <c r="BX31" s="48">
        <v>-282206.99</v>
      </c>
      <c r="BY31" s="48">
        <v>72850.240000000005</v>
      </c>
      <c r="BZ31" s="48">
        <v>187404.51</v>
      </c>
      <c r="CA31" s="48">
        <v>-78504.75</v>
      </c>
      <c r="CB31" s="48">
        <v>242347.25</v>
      </c>
      <c r="CC31" s="48">
        <v>115772.51</v>
      </c>
      <c r="CD31" s="48">
        <v>0</v>
      </c>
      <c r="CE31" s="48">
        <v>73000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  <c r="CL31" s="48">
        <v>0</v>
      </c>
    </row>
    <row r="32" spans="1:90">
      <c r="A32" s="48" t="s">
        <v>202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48">
        <v>0</v>
      </c>
      <c r="CB32" s="48">
        <v>0</v>
      </c>
      <c r="CC32" s="48">
        <v>0</v>
      </c>
      <c r="CD32" s="48">
        <v>0</v>
      </c>
      <c r="CE32" s="48">
        <v>0</v>
      </c>
      <c r="CF32" s="48">
        <v>0</v>
      </c>
      <c r="CG32" s="48">
        <v>0</v>
      </c>
      <c r="CH32" s="48">
        <v>0</v>
      </c>
      <c r="CI32" s="48">
        <v>0</v>
      </c>
      <c r="CJ32" s="48">
        <v>0</v>
      </c>
      <c r="CK32" s="48">
        <v>0</v>
      </c>
      <c r="CL32" s="48">
        <v>0</v>
      </c>
    </row>
    <row r="33" spans="1:90">
      <c r="A33" s="48" t="s">
        <v>203</v>
      </c>
      <c r="B33" s="48">
        <v>0</v>
      </c>
      <c r="C33" s="48">
        <v>0</v>
      </c>
      <c r="D33" s="48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48">
        <v>0</v>
      </c>
      <c r="CB33" s="48">
        <v>0</v>
      </c>
      <c r="CC33" s="48">
        <v>0</v>
      </c>
      <c r="CD33" s="48">
        <v>0</v>
      </c>
      <c r="CE33" s="48">
        <v>0</v>
      </c>
      <c r="CF33" s="48">
        <v>0</v>
      </c>
      <c r="CG33" s="48">
        <v>0</v>
      </c>
      <c r="CH33" s="48">
        <v>0</v>
      </c>
      <c r="CI33" s="48">
        <v>0</v>
      </c>
      <c r="CJ33" s="48">
        <v>0</v>
      </c>
      <c r="CK33" s="48">
        <v>0</v>
      </c>
      <c r="CL33" s="48">
        <v>0</v>
      </c>
    </row>
    <row r="34" spans="1:90">
      <c r="A34" s="48" t="s">
        <v>204</v>
      </c>
      <c r="B34" s="48">
        <v>0</v>
      </c>
      <c r="C34" s="48">
        <v>0</v>
      </c>
      <c r="D34" s="48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48">
        <v>0</v>
      </c>
      <c r="CB34" s="48">
        <v>0</v>
      </c>
      <c r="CC34" s="48">
        <v>0</v>
      </c>
      <c r="CD34" s="48">
        <v>0</v>
      </c>
      <c r="CE34" s="48">
        <v>0</v>
      </c>
      <c r="CF34" s="48">
        <v>0</v>
      </c>
      <c r="CG34" s="48">
        <v>0</v>
      </c>
      <c r="CH34" s="48">
        <v>0</v>
      </c>
      <c r="CI34" s="48">
        <v>0</v>
      </c>
      <c r="CJ34" s="48">
        <v>0</v>
      </c>
      <c r="CK34" s="48">
        <v>0</v>
      </c>
      <c r="CL34" s="48">
        <v>0</v>
      </c>
    </row>
    <row r="35" spans="1:90">
      <c r="A35" s="48" t="s">
        <v>205</v>
      </c>
      <c r="B35" s="48">
        <v>384972241.42000002</v>
      </c>
      <c r="C35" s="48">
        <v>387476798.29000002</v>
      </c>
      <c r="D35" s="48">
        <v>390718917.75</v>
      </c>
      <c r="E35" s="48">
        <v>393831918.13</v>
      </c>
      <c r="F35" s="48">
        <v>394154643.39999998</v>
      </c>
      <c r="G35" s="48">
        <v>397194103.83999997</v>
      </c>
      <c r="H35" s="48">
        <v>398469959.94</v>
      </c>
      <c r="I35" s="48">
        <v>401501865.01999998</v>
      </c>
      <c r="J35" s="48">
        <v>405498312.36000001</v>
      </c>
      <c r="K35" s="48">
        <v>414117324.30000001</v>
      </c>
      <c r="L35" s="48">
        <v>202447508.09999999</v>
      </c>
      <c r="M35" s="48">
        <v>204155756.61000001</v>
      </c>
      <c r="N35" s="48">
        <v>205694495.71000001</v>
      </c>
      <c r="O35" s="48">
        <v>268250656.80000001</v>
      </c>
      <c r="P35" s="48">
        <v>360306496.13</v>
      </c>
      <c r="Q35" s="48">
        <v>362470636.56999999</v>
      </c>
      <c r="R35" s="48">
        <v>261421428.44</v>
      </c>
      <c r="S35" s="48">
        <v>374059451.63</v>
      </c>
      <c r="T35" s="48">
        <v>267466567.25</v>
      </c>
      <c r="U35" s="48">
        <v>269863546.00999999</v>
      </c>
      <c r="V35" s="48">
        <v>247480093.28</v>
      </c>
      <c r="W35" s="48">
        <v>248682819.62</v>
      </c>
      <c r="X35" s="48">
        <v>246827498.16</v>
      </c>
      <c r="Y35" s="48">
        <v>255995361.00999999</v>
      </c>
      <c r="Z35" s="48">
        <v>247791372.86000001</v>
      </c>
      <c r="AA35" s="48">
        <v>196006011.58000001</v>
      </c>
      <c r="AB35" s="48">
        <v>197824567.53999999</v>
      </c>
      <c r="AC35" s="48">
        <v>256303475.49000001</v>
      </c>
      <c r="AD35" s="48">
        <v>302687875.52999997</v>
      </c>
      <c r="AE35" s="48">
        <v>309603401.69</v>
      </c>
      <c r="AF35" s="48">
        <v>312481030.72000003</v>
      </c>
      <c r="AG35" s="48">
        <v>315432492</v>
      </c>
      <c r="AH35" s="48">
        <v>340102416.92000002</v>
      </c>
      <c r="AI35" s="48">
        <v>346983480.17000002</v>
      </c>
      <c r="AJ35" s="48">
        <v>350935452.31999999</v>
      </c>
      <c r="AK35" s="48">
        <v>354630274.79000002</v>
      </c>
      <c r="AL35" s="48">
        <v>358793179.75999999</v>
      </c>
      <c r="AM35" s="48">
        <v>226183973.84</v>
      </c>
      <c r="AN35" s="48">
        <v>228176922.94999999</v>
      </c>
      <c r="AO35" s="48">
        <v>230169872.06</v>
      </c>
      <c r="AP35" s="48">
        <v>232507169.97999999</v>
      </c>
      <c r="AQ35" s="48">
        <v>234491683.46000001</v>
      </c>
      <c r="AR35" s="48">
        <v>259929027.09</v>
      </c>
      <c r="AS35" s="48">
        <v>265196860.91</v>
      </c>
      <c r="AT35" s="48">
        <v>241149339.74000001</v>
      </c>
      <c r="AU35" s="48">
        <v>243293359.13999999</v>
      </c>
      <c r="AV35" s="48">
        <v>253465917.38999999</v>
      </c>
      <c r="AW35" s="48">
        <v>260827691.86000001</v>
      </c>
      <c r="AX35" s="48">
        <v>249079706.19</v>
      </c>
      <c r="AY35" s="48">
        <v>251169711.52000001</v>
      </c>
      <c r="AZ35" s="48">
        <v>251958609.87</v>
      </c>
      <c r="BA35" s="48">
        <v>253677897.72999999</v>
      </c>
      <c r="BB35" s="48">
        <v>281081786.68000001</v>
      </c>
      <c r="BC35" s="48">
        <v>269681664.13</v>
      </c>
      <c r="BD35" s="48">
        <v>271413857.83999997</v>
      </c>
      <c r="BE35" s="48">
        <v>272038721.18000001</v>
      </c>
      <c r="BF35" s="48">
        <v>243295612.38</v>
      </c>
      <c r="BG35" s="48">
        <v>244861185.56999999</v>
      </c>
      <c r="BH35" s="48">
        <v>264898234.03</v>
      </c>
      <c r="BI35" s="48">
        <v>268069931.06</v>
      </c>
      <c r="BJ35" s="48">
        <v>293195014.95999998</v>
      </c>
      <c r="BK35" s="48">
        <v>189094309.68000001</v>
      </c>
      <c r="BL35" s="48">
        <v>189756941.00999999</v>
      </c>
      <c r="BM35" s="48">
        <v>191336578.24000001</v>
      </c>
      <c r="BN35" s="48">
        <v>42376683.780000001</v>
      </c>
      <c r="BO35" s="48">
        <v>42380772.740000002</v>
      </c>
      <c r="BP35" s="48">
        <v>42931195.939999998</v>
      </c>
      <c r="BQ35" s="48">
        <v>28147358.850000001</v>
      </c>
      <c r="BR35" s="48">
        <v>42772035.009999998</v>
      </c>
      <c r="BS35" s="48">
        <v>34874342.969999999</v>
      </c>
      <c r="BT35" s="48">
        <v>61310339.060000002</v>
      </c>
      <c r="BU35" s="48">
        <v>51608907.68</v>
      </c>
      <c r="BV35" s="48">
        <v>51506616.920000002</v>
      </c>
      <c r="BW35" s="48">
        <v>48457275.630000003</v>
      </c>
      <c r="BX35" s="48">
        <v>42059995.490000002</v>
      </c>
      <c r="BY35" s="48">
        <v>41958457.960000001</v>
      </c>
      <c r="BZ35" s="48">
        <v>0</v>
      </c>
      <c r="CA35" s="48">
        <v>49528541.299999997</v>
      </c>
      <c r="CB35" s="48">
        <v>0</v>
      </c>
      <c r="CC35" s="48">
        <v>49332881.299999997</v>
      </c>
      <c r="CD35" s="48">
        <v>19681108.73</v>
      </c>
      <c r="CE35" s="48">
        <v>0</v>
      </c>
      <c r="CF35" s="48">
        <v>0</v>
      </c>
      <c r="CG35" s="48">
        <v>2740561.26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s="48" t="s">
        <v>206</v>
      </c>
      <c r="B36" s="48">
        <v>0</v>
      </c>
      <c r="C36" s="48">
        <v>0</v>
      </c>
      <c r="D36" s="48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0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0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48">
        <v>0</v>
      </c>
      <c r="CB36" s="48">
        <v>0</v>
      </c>
      <c r="CC36" s="48">
        <v>0</v>
      </c>
      <c r="CD36" s="48">
        <v>0</v>
      </c>
      <c r="CE36" s="48">
        <v>0</v>
      </c>
      <c r="CF36" s="48">
        <v>0</v>
      </c>
      <c r="CG36" s="48">
        <v>0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s="48" t="s">
        <v>207</v>
      </c>
      <c r="B37" s="48">
        <v>12482506.73</v>
      </c>
      <c r="C37" s="48">
        <v>12482506.73</v>
      </c>
      <c r="D37" s="48">
        <v>12482506.73</v>
      </c>
      <c r="E37" s="48">
        <v>12482506.73</v>
      </c>
      <c r="F37" s="48">
        <v>12482506.73</v>
      </c>
      <c r="G37" s="48">
        <v>12482506.73</v>
      </c>
      <c r="H37" s="48">
        <v>12482506.73</v>
      </c>
      <c r="I37" s="48">
        <v>12482506.73</v>
      </c>
      <c r="J37" s="48">
        <v>32734042.199999999</v>
      </c>
      <c r="K37" s="48">
        <v>32734042.199999999</v>
      </c>
      <c r="L37" s="48">
        <v>32734042.199999999</v>
      </c>
      <c r="M37" s="48">
        <v>32734042.199999999</v>
      </c>
      <c r="N37" s="48">
        <v>12482506.73</v>
      </c>
      <c r="O37" s="48">
        <v>12482506.73</v>
      </c>
      <c r="P37" s="48">
        <v>12482506.73</v>
      </c>
      <c r="Q37" s="48">
        <v>12482506.73</v>
      </c>
      <c r="R37" s="48">
        <v>12482506.73</v>
      </c>
      <c r="S37" s="48">
        <v>12482506.73</v>
      </c>
      <c r="T37" s="48">
        <v>12482506.73</v>
      </c>
      <c r="U37" s="48">
        <v>12482506.73</v>
      </c>
      <c r="V37" s="48">
        <v>12482506.73</v>
      </c>
      <c r="W37" s="48">
        <v>12482506.73</v>
      </c>
      <c r="X37" s="48">
        <v>12482506.73</v>
      </c>
      <c r="Y37" s="48">
        <v>12482506.73</v>
      </c>
      <c r="Z37" s="48">
        <v>12482506.74</v>
      </c>
      <c r="AA37" s="48">
        <v>12482506.73</v>
      </c>
      <c r="AB37" s="48">
        <v>12482506.74</v>
      </c>
      <c r="AC37" s="48">
        <v>12482506.74</v>
      </c>
      <c r="AD37" s="48">
        <v>12482506.720000001</v>
      </c>
      <c r="AE37" s="48">
        <v>12482506.73</v>
      </c>
      <c r="AF37" s="48">
        <v>12482506.73</v>
      </c>
      <c r="AG37" s="48">
        <v>16109673.57</v>
      </c>
      <c r="AH37" s="48">
        <v>77068187.049999997</v>
      </c>
      <c r="AI37" s="48">
        <v>77068187.049999997</v>
      </c>
      <c r="AJ37" s="48">
        <v>77068187.049999997</v>
      </c>
      <c r="AK37" s="48">
        <v>77068187.049999997</v>
      </c>
      <c r="AL37" s="48">
        <v>62141595.939999998</v>
      </c>
      <c r="AM37" s="48">
        <v>3627166.84</v>
      </c>
      <c r="AN37" s="48">
        <v>3627166.84</v>
      </c>
      <c r="AO37" s="48">
        <v>3627166.84</v>
      </c>
      <c r="AP37" s="48">
        <v>3627166.84</v>
      </c>
      <c r="AQ37" s="48">
        <v>3627166.84</v>
      </c>
      <c r="AR37" s="48">
        <v>3627166.84</v>
      </c>
      <c r="AS37" s="48">
        <v>3627166.84</v>
      </c>
      <c r="AT37" s="48">
        <v>3415582.14</v>
      </c>
      <c r="AU37" s="48">
        <v>3415582.14</v>
      </c>
      <c r="AV37" s="48">
        <v>3415582.14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0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48">
        <v>0</v>
      </c>
      <c r="CB37" s="48">
        <v>0</v>
      </c>
      <c r="CC37" s="48">
        <v>0</v>
      </c>
      <c r="CD37" s="48">
        <v>0</v>
      </c>
      <c r="CE37" s="48">
        <v>0</v>
      </c>
      <c r="CF37" s="48">
        <v>0</v>
      </c>
      <c r="CG37" s="48">
        <v>0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s="48" t="s">
        <v>208</v>
      </c>
      <c r="B38" s="48">
        <v>25289369.57</v>
      </c>
      <c r="C38" s="48">
        <v>25743421.280000001</v>
      </c>
      <c r="D38" s="48">
        <v>25369716.66</v>
      </c>
      <c r="E38" s="48">
        <v>25994490.379999999</v>
      </c>
      <c r="F38" s="48">
        <v>23582192.710000001</v>
      </c>
      <c r="G38" s="48">
        <v>23345054.850000001</v>
      </c>
      <c r="H38" s="48">
        <v>23785941.870000001</v>
      </c>
      <c r="I38" s="48">
        <v>24377748.219999999</v>
      </c>
      <c r="J38" s="48">
        <v>25076717.300000001</v>
      </c>
      <c r="K38" s="48">
        <v>26581382.34</v>
      </c>
      <c r="L38" s="48">
        <v>27388053.219999999</v>
      </c>
      <c r="M38" s="48">
        <v>27952383.77</v>
      </c>
      <c r="N38" s="48">
        <v>21456507.359999999</v>
      </c>
      <c r="O38" s="48">
        <v>31769859.960000001</v>
      </c>
      <c r="P38" s="48">
        <v>32743780.82</v>
      </c>
      <c r="Q38" s="48">
        <v>34404825.380000003</v>
      </c>
      <c r="R38" s="48">
        <v>48109373.799999997</v>
      </c>
      <c r="S38" s="48">
        <v>36909353.009999998</v>
      </c>
      <c r="T38" s="48">
        <v>46376380.18</v>
      </c>
      <c r="U38" s="48">
        <v>37594458.509999998</v>
      </c>
      <c r="V38" s="48">
        <v>37045763.189999998</v>
      </c>
      <c r="W38" s="48">
        <v>37600354.240000002</v>
      </c>
      <c r="X38" s="48">
        <v>38226975.100000001</v>
      </c>
      <c r="Y38" s="48">
        <v>38872579.880000003</v>
      </c>
      <c r="Z38" s="48">
        <v>39738539.969999999</v>
      </c>
      <c r="AA38" s="48">
        <v>38122290</v>
      </c>
      <c r="AB38" s="48">
        <v>38649939.390000001</v>
      </c>
      <c r="AC38" s="48">
        <v>42672927.439999998</v>
      </c>
      <c r="AD38" s="48">
        <v>40780879.579999998</v>
      </c>
      <c r="AE38" s="48">
        <v>41373067.460000001</v>
      </c>
      <c r="AF38" s="48">
        <v>41868589.350000001</v>
      </c>
      <c r="AG38" s="48">
        <v>42609219.859999999</v>
      </c>
      <c r="AH38" s="48">
        <v>25487718.670000002</v>
      </c>
      <c r="AI38" s="48">
        <v>25948705.260000002</v>
      </c>
      <c r="AJ38" s="48">
        <v>7652788.6799999997</v>
      </c>
      <c r="AK38" s="48">
        <v>8242770.6200000001</v>
      </c>
      <c r="AL38" s="48">
        <v>28879759.010000002</v>
      </c>
      <c r="AM38" s="48">
        <v>25711427.050000001</v>
      </c>
      <c r="AN38" s="48">
        <v>26582410.25</v>
      </c>
      <c r="AO38" s="48">
        <v>27934076.68</v>
      </c>
      <c r="AP38" s="48">
        <v>14039274.92</v>
      </c>
      <c r="AQ38" s="48">
        <v>14279528.720000001</v>
      </c>
      <c r="AR38" s="48">
        <v>14554096.33</v>
      </c>
      <c r="AS38" s="48">
        <v>10711006.800000001</v>
      </c>
      <c r="AT38" s="48">
        <v>10848319.17</v>
      </c>
      <c r="AU38" s="48">
        <v>10985631.539999999</v>
      </c>
      <c r="AV38" s="48">
        <v>11122943.91</v>
      </c>
      <c r="AW38" s="48">
        <v>11260256.279999999</v>
      </c>
      <c r="AX38" s="48">
        <v>11397568.65</v>
      </c>
      <c r="AY38" s="48">
        <v>11218861.32</v>
      </c>
      <c r="AZ38" s="48">
        <v>11327444.640000001</v>
      </c>
      <c r="BA38" s="48">
        <v>11436027.960000001</v>
      </c>
      <c r="BB38" s="48">
        <v>14789222.439999999</v>
      </c>
      <c r="BC38" s="48">
        <v>14864813.65</v>
      </c>
      <c r="BD38" s="48">
        <v>15089085.34</v>
      </c>
      <c r="BE38" s="48">
        <v>15161442.140000001</v>
      </c>
      <c r="BF38" s="48">
        <v>16106281.08</v>
      </c>
      <c r="BG38" s="48">
        <v>15649341.43</v>
      </c>
      <c r="BH38" s="48">
        <v>15873221.779999999</v>
      </c>
      <c r="BI38" s="48">
        <v>15757102.130000001</v>
      </c>
      <c r="BJ38" s="48">
        <v>16020982.16</v>
      </c>
      <c r="BK38" s="48">
        <v>16204863.289999999</v>
      </c>
      <c r="BL38" s="48">
        <v>16388743.1</v>
      </c>
      <c r="BM38" s="48">
        <v>16572623.57</v>
      </c>
      <c r="BN38" s="48">
        <v>67465567.480000004</v>
      </c>
      <c r="BO38" s="48">
        <v>55315725.409999996</v>
      </c>
      <c r="BP38" s="48">
        <v>55516952.159999996</v>
      </c>
      <c r="BQ38" s="48">
        <v>8073214.7800000003</v>
      </c>
      <c r="BR38" s="48">
        <v>21023684.329999998</v>
      </c>
      <c r="BS38" s="48">
        <v>23871227.510000002</v>
      </c>
      <c r="BT38" s="48">
        <v>15157796.93</v>
      </c>
      <c r="BU38" s="48">
        <v>16810618.91</v>
      </c>
      <c r="BV38" s="48">
        <v>16919883.969999999</v>
      </c>
      <c r="BW38" s="48">
        <v>17908615.07</v>
      </c>
      <c r="BX38" s="48">
        <v>10309594.16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s="48" t="s">
        <v>209</v>
      </c>
      <c r="B39" s="48">
        <v>280516439.10000002</v>
      </c>
      <c r="C39" s="48">
        <v>287457618.22000003</v>
      </c>
      <c r="D39" s="48">
        <v>276803432.69999999</v>
      </c>
      <c r="E39" s="48">
        <v>284468499.72000003</v>
      </c>
      <c r="F39" s="48">
        <v>189659562.69</v>
      </c>
      <c r="G39" s="48">
        <v>166876968.88999999</v>
      </c>
      <c r="H39" s="48">
        <v>194442775.68000001</v>
      </c>
      <c r="I39" s="48">
        <v>202660912.94</v>
      </c>
      <c r="J39" s="48">
        <v>200586287.63</v>
      </c>
      <c r="K39" s="48">
        <v>201696388.78999999</v>
      </c>
      <c r="L39" s="48">
        <v>173155868.44</v>
      </c>
      <c r="M39" s="48">
        <v>181957265.94</v>
      </c>
      <c r="N39" s="48">
        <v>212138740.53</v>
      </c>
      <c r="O39" s="48">
        <v>221385820.53</v>
      </c>
      <c r="P39" s="48">
        <v>219691594.66999999</v>
      </c>
      <c r="Q39" s="48">
        <v>198258338.47999999</v>
      </c>
      <c r="R39" s="48">
        <v>203294555.49000001</v>
      </c>
      <c r="S39" s="48">
        <v>197928564.84999999</v>
      </c>
      <c r="T39" s="48">
        <v>206340650.06999999</v>
      </c>
      <c r="U39" s="48">
        <v>196433264.06999999</v>
      </c>
      <c r="V39" s="48">
        <v>189613719.19</v>
      </c>
      <c r="W39" s="48">
        <v>173843976.78999999</v>
      </c>
      <c r="X39" s="48">
        <v>200605367.56999999</v>
      </c>
      <c r="Y39" s="48">
        <v>204986935.97</v>
      </c>
      <c r="Z39" s="48">
        <v>186747691.91999999</v>
      </c>
      <c r="AA39" s="48">
        <v>123870193.34</v>
      </c>
      <c r="AB39" s="48">
        <v>118560500.20999999</v>
      </c>
      <c r="AC39" s="48">
        <v>180798828.83000001</v>
      </c>
      <c r="AD39" s="48">
        <v>114476487.09999999</v>
      </c>
      <c r="AE39" s="48">
        <v>115384373.29000001</v>
      </c>
      <c r="AF39" s="48">
        <v>107030597.65000001</v>
      </c>
      <c r="AG39" s="48">
        <v>108077747.11</v>
      </c>
      <c r="AH39" s="48">
        <v>89673628.579999998</v>
      </c>
      <c r="AI39" s="48">
        <v>86303207.370000005</v>
      </c>
      <c r="AJ39" s="48">
        <v>82441513.650000006</v>
      </c>
      <c r="AK39" s="48">
        <v>86363466.200000003</v>
      </c>
      <c r="AL39" s="48">
        <v>70024279.890000001</v>
      </c>
      <c r="AM39" s="48">
        <v>62687829.549999997</v>
      </c>
      <c r="AN39" s="48">
        <v>63167136.82</v>
      </c>
      <c r="AO39" s="48">
        <v>60682944.390000001</v>
      </c>
      <c r="AP39" s="48">
        <v>64441466.950000003</v>
      </c>
      <c r="AQ39" s="48">
        <v>64019407.909999996</v>
      </c>
      <c r="AR39" s="48">
        <v>57911493.5</v>
      </c>
      <c r="AS39" s="48">
        <v>56677875.560000002</v>
      </c>
      <c r="AT39" s="48">
        <v>28966830.420000002</v>
      </c>
      <c r="AU39" s="48">
        <v>30150836.600000001</v>
      </c>
      <c r="AV39" s="48">
        <v>31459892.359999999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48">
        <v>0</v>
      </c>
      <c r="CB39" s="48">
        <v>0</v>
      </c>
      <c r="CC39" s="48">
        <v>0</v>
      </c>
      <c r="CD39" s="48">
        <v>0</v>
      </c>
      <c r="CE39" s="48">
        <v>0</v>
      </c>
      <c r="CF39" s="48">
        <v>0</v>
      </c>
      <c r="CG39" s="48">
        <v>0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s="48" t="s">
        <v>210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0</v>
      </c>
      <c r="AL40" s="48">
        <v>0</v>
      </c>
      <c r="AM40" s="48">
        <v>8684612.9299999997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134492721.5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610209.04</v>
      </c>
      <c r="BP40" s="48">
        <v>1110824.5900000001</v>
      </c>
      <c r="BQ40" s="48">
        <v>1876288.43</v>
      </c>
      <c r="BR40" s="48">
        <v>0</v>
      </c>
      <c r="BS40" s="48">
        <v>0</v>
      </c>
      <c r="BT40" s="48">
        <v>0</v>
      </c>
      <c r="BU40" s="48">
        <v>101005.71</v>
      </c>
      <c r="BV40" s="48">
        <v>0</v>
      </c>
      <c r="BW40" s="48">
        <v>470783.19</v>
      </c>
      <c r="BX40" s="48">
        <v>0</v>
      </c>
      <c r="BY40" s="48">
        <v>11777010.560000001</v>
      </c>
      <c r="BZ40" s="48">
        <v>0</v>
      </c>
      <c r="CA40" s="48">
        <v>18491731.039999999</v>
      </c>
      <c r="CB40" s="48">
        <v>0</v>
      </c>
      <c r="CC40" s="48">
        <v>20209139.52</v>
      </c>
      <c r="CD40" s="48">
        <v>21809664.98</v>
      </c>
      <c r="CE40" s="48">
        <v>0</v>
      </c>
      <c r="CF40" s="48">
        <v>0</v>
      </c>
      <c r="CG40" s="48">
        <v>18643.12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s="48" t="s">
        <v>211</v>
      </c>
      <c r="B41" s="48">
        <v>5213161338.5</v>
      </c>
      <c r="C41" s="48">
        <v>5175614249.6800003</v>
      </c>
      <c r="D41" s="48">
        <v>5165949387.9499998</v>
      </c>
      <c r="E41" s="48">
        <v>5016213770.0900002</v>
      </c>
      <c r="F41" s="48">
        <v>4968925119.1199999</v>
      </c>
      <c r="G41" s="48">
        <v>4946775772.0299997</v>
      </c>
      <c r="H41" s="48">
        <v>4957879063.1999998</v>
      </c>
      <c r="I41" s="48">
        <v>4943342807.5299997</v>
      </c>
      <c r="J41" s="48">
        <v>5096270040.96</v>
      </c>
      <c r="K41" s="48">
        <v>5028209666.0200005</v>
      </c>
      <c r="L41" s="48">
        <v>4733568852.3100004</v>
      </c>
      <c r="M41" s="48">
        <v>4694030958.6199999</v>
      </c>
      <c r="N41" s="48">
        <v>4905184683.3199997</v>
      </c>
      <c r="O41" s="48">
        <v>5055364334.0900002</v>
      </c>
      <c r="P41" s="48">
        <v>5210795996.04</v>
      </c>
      <c r="Q41" s="48">
        <v>5117961588.0799999</v>
      </c>
      <c r="R41" s="48">
        <v>5117488654.6000004</v>
      </c>
      <c r="S41" s="48">
        <v>5040318625.3800001</v>
      </c>
      <c r="T41" s="48">
        <v>4993490218.1199999</v>
      </c>
      <c r="U41" s="48">
        <v>4893504011.0600004</v>
      </c>
      <c r="V41" s="48">
        <v>5000394171.6000004</v>
      </c>
      <c r="W41" s="48">
        <v>4821206032.3500004</v>
      </c>
      <c r="X41" s="48">
        <v>4768547120.0200005</v>
      </c>
      <c r="Y41" s="48">
        <v>4811045309.25</v>
      </c>
      <c r="Z41" s="48">
        <v>4780453780.1000004</v>
      </c>
      <c r="AA41" s="48">
        <v>4111542900.1199999</v>
      </c>
      <c r="AB41" s="48">
        <v>4070142186.77</v>
      </c>
      <c r="AC41" s="48">
        <v>4029511761.5300002</v>
      </c>
      <c r="AD41" s="48">
        <v>3638292031.23</v>
      </c>
      <c r="AE41" s="48">
        <v>3677151812.02</v>
      </c>
      <c r="AF41" s="48">
        <v>3621686480.3400002</v>
      </c>
      <c r="AG41" s="48">
        <v>3538719383.5999999</v>
      </c>
      <c r="AH41" s="48">
        <v>3593320562.8600001</v>
      </c>
      <c r="AI41" s="48">
        <v>3568951891.7199998</v>
      </c>
      <c r="AJ41" s="48">
        <v>3514187198.9899998</v>
      </c>
      <c r="AK41" s="48">
        <v>3433290746.54</v>
      </c>
      <c r="AL41" s="48">
        <v>3538036887.8499999</v>
      </c>
      <c r="AM41" s="48">
        <v>3019425142.4400001</v>
      </c>
      <c r="AN41" s="48">
        <v>2970633696.7399998</v>
      </c>
      <c r="AO41" s="48">
        <v>2908405033.2399998</v>
      </c>
      <c r="AP41" s="48">
        <v>2870288013.7800002</v>
      </c>
      <c r="AQ41" s="48">
        <v>2928191369.6999998</v>
      </c>
      <c r="AR41" s="48">
        <v>2971069393.8499999</v>
      </c>
      <c r="AS41" s="48">
        <v>2910086787.6199999</v>
      </c>
      <c r="AT41" s="48">
        <v>3009392335.1999998</v>
      </c>
      <c r="AU41" s="48">
        <v>2928996393.5799999</v>
      </c>
      <c r="AV41" s="48">
        <v>2595409724.9000001</v>
      </c>
      <c r="AW41" s="48">
        <v>2597468323.4099998</v>
      </c>
      <c r="AX41" s="48">
        <v>2410763534.8400002</v>
      </c>
      <c r="AY41" s="48">
        <v>2483820863.0900002</v>
      </c>
      <c r="AZ41" s="48">
        <v>2554486005</v>
      </c>
      <c r="BA41" s="48">
        <v>2574247298.3200002</v>
      </c>
      <c r="BB41" s="48">
        <v>2609201305.6399999</v>
      </c>
      <c r="BC41" s="48">
        <v>2683968901.46</v>
      </c>
      <c r="BD41" s="48">
        <v>2689101232.8800001</v>
      </c>
      <c r="BE41" s="48">
        <v>2676403110.5799999</v>
      </c>
      <c r="BF41" s="48">
        <v>2633768248.5900002</v>
      </c>
      <c r="BG41" s="48">
        <v>2540908104.8800001</v>
      </c>
      <c r="BH41" s="48">
        <v>2627501543.46</v>
      </c>
      <c r="BI41" s="48">
        <v>2633995522.4200001</v>
      </c>
      <c r="BJ41" s="48">
        <v>2697608030.8499999</v>
      </c>
      <c r="BK41" s="48">
        <v>2506061093.3600001</v>
      </c>
      <c r="BL41" s="48">
        <v>2449347773.48</v>
      </c>
      <c r="BM41" s="48">
        <v>2441134555.5</v>
      </c>
      <c r="BN41" s="48">
        <v>2120830735.96</v>
      </c>
      <c r="BO41" s="48">
        <v>2152380109.23</v>
      </c>
      <c r="BP41" s="48">
        <v>2117283926.8199999</v>
      </c>
      <c r="BQ41" s="48">
        <v>2007899852.48</v>
      </c>
      <c r="BR41" s="48">
        <v>2214134485.5799999</v>
      </c>
      <c r="BS41" s="48">
        <v>1814339827.5999999</v>
      </c>
      <c r="BT41" s="48">
        <v>2086744304.6300001</v>
      </c>
      <c r="BU41" s="48">
        <v>1960182316.27</v>
      </c>
      <c r="BV41" s="48">
        <v>1207621496.74</v>
      </c>
      <c r="BW41" s="48">
        <v>1240321581.52</v>
      </c>
      <c r="BX41" s="48">
        <v>574057932.87</v>
      </c>
      <c r="BY41" s="48">
        <v>588541562.14999998</v>
      </c>
      <c r="BZ41" s="48">
        <v>677037774.94000006</v>
      </c>
      <c r="CA41" s="48">
        <v>687351742.99000001</v>
      </c>
      <c r="CB41" s="48">
        <v>787223472.25</v>
      </c>
      <c r="CC41" s="48">
        <v>751275240.24000001</v>
      </c>
      <c r="CD41" s="48">
        <v>790420550.49000001</v>
      </c>
      <c r="CE41" s="48">
        <v>674985000</v>
      </c>
      <c r="CF41" s="48">
        <v>569657728.32000005</v>
      </c>
      <c r="CG41" s="48">
        <v>484791080.55000001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>
      <c r="A42" s="48" t="s">
        <v>212</v>
      </c>
      <c r="B42" s="48">
        <v>33137806564.169998</v>
      </c>
      <c r="C42" s="48">
        <v>33231812272.380001</v>
      </c>
      <c r="D42" s="48">
        <v>33759891731.740002</v>
      </c>
      <c r="E42" s="48">
        <v>33520374733.110001</v>
      </c>
      <c r="F42" s="48">
        <v>32332378568.75</v>
      </c>
      <c r="G42" s="48">
        <v>31521904479.709999</v>
      </c>
      <c r="H42" s="48">
        <v>32796133092.939999</v>
      </c>
      <c r="I42" s="48">
        <v>31741039188.790001</v>
      </c>
      <c r="J42" s="48">
        <v>31226608509.82</v>
      </c>
      <c r="K42" s="48">
        <v>30947866530.209999</v>
      </c>
      <c r="L42" s="48">
        <v>30448597827.849998</v>
      </c>
      <c r="M42" s="48">
        <v>29852734095.540001</v>
      </c>
      <c r="N42" s="48">
        <v>29357613194.259998</v>
      </c>
      <c r="O42" s="48">
        <v>30290653917.110001</v>
      </c>
      <c r="P42" s="48">
        <v>29973481837.84</v>
      </c>
      <c r="Q42" s="48">
        <v>29769094699.509998</v>
      </c>
      <c r="R42" s="48">
        <v>29266053922.849998</v>
      </c>
      <c r="S42" s="48">
        <v>28737502386.299999</v>
      </c>
      <c r="T42" s="48">
        <v>28118184339.650002</v>
      </c>
      <c r="U42" s="48">
        <v>27120459751.27</v>
      </c>
      <c r="V42" s="48">
        <v>26437951645.41</v>
      </c>
      <c r="W42" s="48">
        <v>25419448579.150002</v>
      </c>
      <c r="X42" s="48">
        <v>24586762638.279999</v>
      </c>
      <c r="Y42" s="48">
        <v>25743676630.150002</v>
      </c>
      <c r="Z42" s="48">
        <v>23218137484.130001</v>
      </c>
      <c r="AA42" s="48">
        <v>19786591921.369999</v>
      </c>
      <c r="AB42" s="48">
        <v>18228936755.52</v>
      </c>
      <c r="AC42" s="48">
        <v>21032130468.099998</v>
      </c>
      <c r="AD42" s="48">
        <v>17316927174.400002</v>
      </c>
      <c r="AE42" s="48">
        <v>16729824064.290001</v>
      </c>
      <c r="AF42" s="48">
        <v>15752968981.219999</v>
      </c>
      <c r="AG42" s="48">
        <v>15187648312.91</v>
      </c>
      <c r="AH42" s="48">
        <v>15119780162.540001</v>
      </c>
      <c r="AI42" s="48">
        <v>14449654024.42</v>
      </c>
      <c r="AJ42" s="48">
        <v>13600158747.360001</v>
      </c>
      <c r="AK42" s="48">
        <v>13111628464.450001</v>
      </c>
      <c r="AL42" s="48">
        <v>12900358473.540001</v>
      </c>
      <c r="AM42" s="48">
        <v>11649213796.629999</v>
      </c>
      <c r="AN42" s="48">
        <v>10931292753.559999</v>
      </c>
      <c r="AO42" s="48">
        <v>10476999796.84</v>
      </c>
      <c r="AP42" s="48">
        <v>10507452280.65</v>
      </c>
      <c r="AQ42" s="48">
        <v>10404102038.58</v>
      </c>
      <c r="AR42" s="48">
        <v>9925025420.3199997</v>
      </c>
      <c r="AS42" s="48">
        <v>10026108121.42</v>
      </c>
      <c r="AT42" s="48">
        <v>9731360925.1000004</v>
      </c>
      <c r="AU42" s="48">
        <v>9346467350.2199993</v>
      </c>
      <c r="AV42" s="48">
        <v>8692596628.0799999</v>
      </c>
      <c r="AW42" s="48">
        <v>8525370016.6000004</v>
      </c>
      <c r="AX42" s="48">
        <v>8127363248.5500002</v>
      </c>
      <c r="AY42" s="48">
        <v>7908550177.0799999</v>
      </c>
      <c r="AZ42" s="48">
        <v>7652770633.7600002</v>
      </c>
      <c r="BA42" s="48">
        <v>7752671794.3800001</v>
      </c>
      <c r="BB42" s="48">
        <v>7692590871.8500004</v>
      </c>
      <c r="BC42" s="48">
        <v>7924262028.3400002</v>
      </c>
      <c r="BD42" s="48">
        <v>8179311231.4399996</v>
      </c>
      <c r="BE42" s="48">
        <v>8227776215.0100002</v>
      </c>
      <c r="BF42" s="48">
        <v>8475432869.0600004</v>
      </c>
      <c r="BG42" s="48">
        <v>8612850307.1100006</v>
      </c>
      <c r="BH42" s="48">
        <v>8511903588.3999996</v>
      </c>
      <c r="BI42" s="48">
        <v>8529207681.5500002</v>
      </c>
      <c r="BJ42" s="48">
        <v>8481734886.3599997</v>
      </c>
      <c r="BK42" s="48">
        <v>8596935405.9899998</v>
      </c>
      <c r="BL42" s="48">
        <v>8548661873.1300001</v>
      </c>
      <c r="BM42" s="48">
        <v>8504600429.8599997</v>
      </c>
      <c r="BN42" s="48">
        <v>7927133224.2600002</v>
      </c>
      <c r="BO42" s="48">
        <v>8142983403.6400003</v>
      </c>
      <c r="BP42" s="48">
        <v>7772992509.7399998</v>
      </c>
      <c r="BQ42" s="48">
        <v>7434956073.1099997</v>
      </c>
      <c r="BR42" s="48">
        <v>7406369426.0500002</v>
      </c>
      <c r="BS42" s="48">
        <v>6892352479.4700003</v>
      </c>
      <c r="BT42" s="48">
        <v>7129817168.8599997</v>
      </c>
      <c r="BU42" s="48">
        <v>6886955811.5200005</v>
      </c>
      <c r="BV42" s="48">
        <v>5057606168.3100004</v>
      </c>
      <c r="BW42" s="48">
        <v>5124004378.7600002</v>
      </c>
      <c r="BX42" s="48">
        <v>2461500311.8299999</v>
      </c>
      <c r="BY42" s="48">
        <v>2626284825.5799999</v>
      </c>
      <c r="BZ42" s="48">
        <v>2434980488.4499998</v>
      </c>
      <c r="CA42" s="48">
        <v>2582924979.1900001</v>
      </c>
      <c r="CB42" s="48">
        <v>2336543811.5</v>
      </c>
      <c r="CC42" s="48">
        <v>1914374559.4000001</v>
      </c>
      <c r="CD42" s="48">
        <v>1607893658.3699999</v>
      </c>
      <c r="CE42" s="48">
        <v>1445865000</v>
      </c>
      <c r="CF42" s="48">
        <v>1422259892.8900001</v>
      </c>
      <c r="CG42" s="48">
        <v>1035641191.15</v>
      </c>
      <c r="CH42" s="48">
        <v>756550000</v>
      </c>
      <c r="CI42" s="48">
        <v>540650000</v>
      </c>
      <c r="CJ42" s="48">
        <v>287000000</v>
      </c>
      <c r="CK42" s="48">
        <v>291120000</v>
      </c>
      <c r="CL42" s="48">
        <v>0</v>
      </c>
    </row>
    <row r="43" spans="1:90">
      <c r="A43" s="48" t="s">
        <v>213</v>
      </c>
    </row>
    <row r="44" spans="1:90">
      <c r="A44" s="48" t="s">
        <v>214</v>
      </c>
      <c r="B44" s="48">
        <v>39000000</v>
      </c>
      <c r="C44" s="48">
        <v>39000000</v>
      </c>
      <c r="D44" s="48">
        <v>39000000</v>
      </c>
      <c r="E44" s="48">
        <v>34500000</v>
      </c>
      <c r="F44" s="48">
        <v>34500000</v>
      </c>
      <c r="G44" s="48">
        <v>29500000</v>
      </c>
      <c r="H44" s="48">
        <v>29500000</v>
      </c>
      <c r="I44" s="48">
        <v>29500000</v>
      </c>
      <c r="J44" s="48">
        <v>39000000</v>
      </c>
      <c r="K44" s="48">
        <v>39000000</v>
      </c>
      <c r="L44" s="48">
        <v>43500000</v>
      </c>
      <c r="M44" s="48">
        <v>49917220</v>
      </c>
      <c r="N44" s="48">
        <v>51947150.439999998</v>
      </c>
      <c r="O44" s="48">
        <v>51758412.549999997</v>
      </c>
      <c r="P44" s="48">
        <v>166270000</v>
      </c>
      <c r="Q44" s="48">
        <v>162948000</v>
      </c>
      <c r="R44" s="48">
        <v>192516000</v>
      </c>
      <c r="S44" s="48">
        <v>188500000</v>
      </c>
      <c r="T44" s="48">
        <v>200650000</v>
      </c>
      <c r="U44" s="48">
        <v>190528397.47999999</v>
      </c>
      <c r="V44" s="48">
        <v>331500000</v>
      </c>
      <c r="W44" s="48">
        <v>321500000</v>
      </c>
      <c r="X44" s="48">
        <v>321500000</v>
      </c>
      <c r="Y44" s="48">
        <v>433381900</v>
      </c>
      <c r="Z44" s="48">
        <v>369910000</v>
      </c>
      <c r="AA44" s="48">
        <v>260400000</v>
      </c>
      <c r="AB44" s="48">
        <v>258340000</v>
      </c>
      <c r="AC44" s="48">
        <v>274645000</v>
      </c>
      <c r="AD44" s="48">
        <v>246500000</v>
      </c>
      <c r="AE44" s="48">
        <v>316500000</v>
      </c>
      <c r="AF44" s="48">
        <v>226500000</v>
      </c>
      <c r="AG44" s="48">
        <v>231084536</v>
      </c>
      <c r="AH44" s="48">
        <v>304500000</v>
      </c>
      <c r="AI44" s="48">
        <v>378500000</v>
      </c>
      <c r="AJ44" s="48">
        <v>408500000</v>
      </c>
      <c r="AK44" s="48">
        <v>440500000</v>
      </c>
      <c r="AL44" s="48">
        <v>610000000</v>
      </c>
      <c r="AM44" s="48">
        <v>276500000</v>
      </c>
      <c r="AN44" s="48">
        <v>331500000</v>
      </c>
      <c r="AO44" s="48">
        <v>350500000</v>
      </c>
      <c r="AP44" s="48">
        <v>323500000</v>
      </c>
      <c r="AQ44" s="48">
        <v>394555709</v>
      </c>
      <c r="AR44" s="48">
        <v>365500000</v>
      </c>
      <c r="AS44" s="48">
        <v>368715528</v>
      </c>
      <c r="AT44" s="48">
        <v>330500000</v>
      </c>
      <c r="AU44" s="48">
        <v>354000000</v>
      </c>
      <c r="AV44" s="48">
        <v>364475880</v>
      </c>
      <c r="AW44" s="48">
        <v>358275880</v>
      </c>
      <c r="AX44" s="48">
        <v>350000000</v>
      </c>
      <c r="AY44" s="48">
        <v>396000000</v>
      </c>
      <c r="AZ44" s="48">
        <v>505300000</v>
      </c>
      <c r="BA44" s="48">
        <v>540500000</v>
      </c>
      <c r="BB44" s="48">
        <v>547300000</v>
      </c>
      <c r="BC44" s="48">
        <v>588300000</v>
      </c>
      <c r="BD44" s="48">
        <v>675037000</v>
      </c>
      <c r="BE44" s="48">
        <v>633537000</v>
      </c>
      <c r="BF44" s="48">
        <v>616290000</v>
      </c>
      <c r="BG44" s="48">
        <v>719730000</v>
      </c>
      <c r="BH44" s="48">
        <v>765960000</v>
      </c>
      <c r="BI44" s="48">
        <v>781494800</v>
      </c>
      <c r="BJ44" s="48">
        <v>853264800</v>
      </c>
      <c r="BK44" s="48">
        <v>1298364800</v>
      </c>
      <c r="BL44" s="48">
        <v>1431067000</v>
      </c>
      <c r="BM44" s="48">
        <v>1337907000</v>
      </c>
      <c r="BN44" s="48">
        <v>1214207000</v>
      </c>
      <c r="BO44" s="48">
        <v>1176757000</v>
      </c>
      <c r="BP44" s="48">
        <v>1145757000</v>
      </c>
      <c r="BQ44" s="48">
        <v>1058617000</v>
      </c>
      <c r="BR44" s="48">
        <v>1018292000</v>
      </c>
      <c r="BS44" s="48">
        <v>867456630</v>
      </c>
      <c r="BT44" s="48">
        <v>891011400</v>
      </c>
      <c r="BU44" s="48">
        <v>834217990</v>
      </c>
      <c r="BV44" s="48">
        <v>727020320</v>
      </c>
      <c r="BW44" s="48">
        <v>709078840</v>
      </c>
      <c r="BX44" s="48">
        <v>602506560</v>
      </c>
      <c r="BY44" s="48">
        <v>634557000</v>
      </c>
      <c r="BZ44" s="48">
        <v>0</v>
      </c>
      <c r="CA44" s="48">
        <v>529874106</v>
      </c>
      <c r="CB44" s="48">
        <v>0</v>
      </c>
      <c r="CC44" s="48">
        <v>321795360</v>
      </c>
      <c r="CD44" s="48">
        <v>0</v>
      </c>
      <c r="CE44" s="48">
        <v>184694000</v>
      </c>
      <c r="CF44" s="48">
        <v>0</v>
      </c>
      <c r="CG44" s="48">
        <v>234825329.94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s="48" t="s">
        <v>215</v>
      </c>
      <c r="B45" s="48">
        <v>0</v>
      </c>
      <c r="C45" s="48">
        <v>0</v>
      </c>
      <c r="D45" s="48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6281727</v>
      </c>
      <c r="AA45" s="48">
        <v>0</v>
      </c>
      <c r="AB45" s="48">
        <v>0</v>
      </c>
      <c r="AC45" s="48">
        <v>4466223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0</v>
      </c>
      <c r="AJ45" s="48">
        <v>0</v>
      </c>
      <c r="AK45" s="48">
        <v>0</v>
      </c>
      <c r="AL45" s="48">
        <v>0</v>
      </c>
      <c r="AM45" s="48">
        <v>0</v>
      </c>
      <c r="AN45" s="48">
        <v>0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>
      <c r="A46" s="48" t="s">
        <v>216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2330807.15</v>
      </c>
      <c r="AX46" s="48">
        <v>-2895194.54</v>
      </c>
      <c r="AY46" s="48">
        <v>-4451409.71</v>
      </c>
      <c r="AZ46" s="48">
        <v>-4603439.92</v>
      </c>
      <c r="BA46" s="48">
        <v>-1145419.52</v>
      </c>
      <c r="BB46" s="48">
        <v>-6900901.1500000004</v>
      </c>
      <c r="BC46" s="48">
        <v>-4855470.7699999996</v>
      </c>
      <c r="BD46" s="48">
        <v>-2552220.9700000002</v>
      </c>
      <c r="BE46" s="48">
        <v>-1319288.74</v>
      </c>
      <c r="BF46" s="48">
        <v>-3567654.07</v>
      </c>
      <c r="BG46" s="48">
        <v>-3032196.37</v>
      </c>
      <c r="BH46" s="48">
        <v>-1339343.43</v>
      </c>
      <c r="BI46" s="48">
        <v>304445.68</v>
      </c>
      <c r="BJ46" s="48">
        <v>-1212662.71</v>
      </c>
      <c r="BK46" s="48">
        <v>-780534.11</v>
      </c>
      <c r="BL46" s="48">
        <v>122616.9</v>
      </c>
      <c r="BM46" s="48">
        <v>221604.63</v>
      </c>
      <c r="BN46" s="48">
        <v>82360768.730000004</v>
      </c>
      <c r="BO46" s="48">
        <v>1258082.44</v>
      </c>
      <c r="BP46" s="48">
        <v>10771448.060000001</v>
      </c>
      <c r="BQ46" s="48">
        <v>1659798.94</v>
      </c>
      <c r="BR46" s="48">
        <v>0</v>
      </c>
      <c r="BS46" s="48">
        <v>-6407716.7599999998</v>
      </c>
      <c r="BT46" s="48">
        <v>3252954.96</v>
      </c>
      <c r="BU46" s="48">
        <v>4469070.16</v>
      </c>
      <c r="BV46" s="48">
        <v>0</v>
      </c>
      <c r="BW46" s="48">
        <v>15723433.779999999</v>
      </c>
      <c r="BX46" s="48">
        <v>128323300.19</v>
      </c>
      <c r="BY46" s="48">
        <v>250941844.80000001</v>
      </c>
      <c r="BZ46" s="48">
        <v>0</v>
      </c>
      <c r="CA46" s="48">
        <v>464910503.25999999</v>
      </c>
      <c r="CB46" s="48">
        <v>0</v>
      </c>
      <c r="CC46" s="48">
        <v>138885416.56999999</v>
      </c>
      <c r="CD46" s="48">
        <v>0</v>
      </c>
      <c r="CE46" s="48">
        <v>0</v>
      </c>
      <c r="CF46" s="48">
        <v>0</v>
      </c>
      <c r="CG46" s="48">
        <v>24031185.399999999</v>
      </c>
      <c r="CH46" s="48">
        <v>0</v>
      </c>
      <c r="CI46" s="48">
        <v>0</v>
      </c>
      <c r="CJ46" s="48">
        <v>0</v>
      </c>
      <c r="CK46" s="48">
        <v>0</v>
      </c>
      <c r="CL46" s="48">
        <v>0</v>
      </c>
    </row>
    <row r="47" spans="1:90">
      <c r="A47" s="48" t="s">
        <v>217</v>
      </c>
      <c r="B47" s="48">
        <v>0</v>
      </c>
      <c r="C47" s="48">
        <v>2517378070.8899999</v>
      </c>
      <c r="D47" s="48">
        <v>1804642810.1800001</v>
      </c>
      <c r="E47" s="48">
        <v>2249319523.23</v>
      </c>
      <c r="F47" s="48">
        <v>1838095854.8499999</v>
      </c>
      <c r="G47" s="48">
        <v>1482783604.7</v>
      </c>
      <c r="H47" s="48">
        <v>1825105436.01</v>
      </c>
      <c r="I47" s="48">
        <v>1792884979.6900001</v>
      </c>
      <c r="J47" s="48">
        <v>1914212950.1600001</v>
      </c>
      <c r="K47" s="48">
        <v>1814264019.0699999</v>
      </c>
      <c r="L47" s="48">
        <v>1588467452.97</v>
      </c>
      <c r="M47" s="48">
        <v>1611808884.4100001</v>
      </c>
      <c r="N47" s="48">
        <v>1797951811.9300001</v>
      </c>
      <c r="O47" s="48">
        <v>1869387867.8499999</v>
      </c>
      <c r="P47" s="48">
        <v>1749316342</v>
      </c>
      <c r="Q47" s="48">
        <v>2024844816.1600001</v>
      </c>
      <c r="R47" s="48">
        <v>2063838599.74</v>
      </c>
      <c r="S47" s="48">
        <v>1909828679.5899999</v>
      </c>
      <c r="T47" s="48">
        <v>1776899285.0799999</v>
      </c>
      <c r="U47" s="48">
        <v>2130323705</v>
      </c>
      <c r="V47" s="48">
        <v>1980032549.6900001</v>
      </c>
      <c r="W47" s="48">
        <v>1748690804.72</v>
      </c>
      <c r="X47" s="48">
        <v>1573904907.9000001</v>
      </c>
      <c r="Y47" s="48">
        <v>1987324728.52</v>
      </c>
      <c r="Z47" s="48">
        <v>2137108028.0999999</v>
      </c>
      <c r="AA47" s="48">
        <v>1439114751.1300001</v>
      </c>
      <c r="AB47" s="48">
        <v>1229328347.0699999</v>
      </c>
      <c r="AC47" s="48">
        <v>2231200865.73</v>
      </c>
      <c r="AD47" s="48">
        <v>1791464407.74</v>
      </c>
      <c r="AE47" s="48">
        <v>1858035096.0999999</v>
      </c>
      <c r="AF47" s="48">
        <v>1750291802.03</v>
      </c>
      <c r="AG47" s="48">
        <v>1845507394.9000001</v>
      </c>
      <c r="AH47" s="48">
        <v>1821264618.5999999</v>
      </c>
      <c r="AI47" s="48">
        <v>1749083756.3299999</v>
      </c>
      <c r="AJ47" s="48">
        <v>1349096499.8199999</v>
      </c>
      <c r="AK47" s="48">
        <v>1425621794.23</v>
      </c>
      <c r="AL47" s="48">
        <v>1430009173.51</v>
      </c>
      <c r="AM47" s="48">
        <v>1420491728.3499999</v>
      </c>
      <c r="AN47" s="48">
        <v>1210386619.75</v>
      </c>
      <c r="AO47" s="48">
        <v>1268639641.8900001</v>
      </c>
      <c r="AP47" s="48">
        <v>1200947866.1800001</v>
      </c>
      <c r="AQ47" s="48">
        <v>1172051332.6500001</v>
      </c>
      <c r="AR47" s="48">
        <v>837359441.94000006</v>
      </c>
      <c r="AS47" s="48">
        <v>1016380092.88</v>
      </c>
      <c r="AT47" s="48">
        <v>640815935.80999994</v>
      </c>
      <c r="AU47" s="48">
        <v>579568763.19000006</v>
      </c>
      <c r="AV47" s="48">
        <v>612795961.75</v>
      </c>
      <c r="AW47" s="48">
        <v>518133720.68000001</v>
      </c>
      <c r="AX47" s="48">
        <v>333771881.81999999</v>
      </c>
      <c r="AY47" s="48">
        <v>340941196.70999998</v>
      </c>
      <c r="AZ47" s="48">
        <v>227781328.88</v>
      </c>
      <c r="BA47" s="48">
        <v>336038430.44</v>
      </c>
      <c r="BB47" s="48">
        <v>283144642.33999997</v>
      </c>
      <c r="BC47" s="48">
        <v>272731787.57999998</v>
      </c>
      <c r="BD47" s="48">
        <v>240911059.49000001</v>
      </c>
      <c r="BE47" s="48">
        <v>340172525.63999999</v>
      </c>
      <c r="BF47" s="48">
        <v>300336087.74000001</v>
      </c>
      <c r="BG47" s="48">
        <v>409767393.89999998</v>
      </c>
      <c r="BH47" s="48">
        <v>297836346.06999999</v>
      </c>
      <c r="BI47" s="48">
        <v>336282248.62</v>
      </c>
      <c r="BJ47" s="48">
        <v>361435958.88999999</v>
      </c>
      <c r="BK47" s="48">
        <v>302427088.17000002</v>
      </c>
      <c r="BL47" s="48">
        <v>370566245.02999997</v>
      </c>
      <c r="BM47" s="48">
        <v>359059202.19</v>
      </c>
      <c r="BN47" s="48">
        <v>579972808.02999997</v>
      </c>
      <c r="BO47" s="48">
        <v>916443559.75</v>
      </c>
      <c r="BP47" s="48">
        <v>963579867.5</v>
      </c>
      <c r="BQ47" s="48">
        <v>917129148.96000004</v>
      </c>
      <c r="BR47" s="48">
        <v>928090632.48000002</v>
      </c>
      <c r="BS47" s="48">
        <v>975659674.52999997</v>
      </c>
      <c r="BT47" s="48">
        <v>1130775527.8800001</v>
      </c>
      <c r="BU47" s="48">
        <v>1123317364.0899999</v>
      </c>
      <c r="BV47" s="48">
        <v>1016321120.66</v>
      </c>
      <c r="BW47" s="48">
        <v>988049808.90999997</v>
      </c>
      <c r="BX47" s="48">
        <v>287479493.19999999</v>
      </c>
      <c r="BY47" s="48">
        <v>250663482.97</v>
      </c>
      <c r="BZ47" s="48">
        <v>0</v>
      </c>
      <c r="CA47" s="48">
        <v>368577235.04000002</v>
      </c>
      <c r="CB47" s="48">
        <v>0</v>
      </c>
      <c r="CC47" s="48">
        <v>188486835.84</v>
      </c>
      <c r="CD47" s="48">
        <v>0</v>
      </c>
      <c r="CE47" s="48">
        <v>110650000</v>
      </c>
      <c r="CF47" s="48">
        <v>0</v>
      </c>
      <c r="CG47" s="48">
        <v>127204764.61</v>
      </c>
      <c r="CH47" s="48">
        <v>0</v>
      </c>
      <c r="CI47" s="48">
        <v>0</v>
      </c>
      <c r="CJ47" s="48">
        <v>0</v>
      </c>
      <c r="CK47" s="48">
        <v>0</v>
      </c>
      <c r="CL47" s="48">
        <v>0</v>
      </c>
    </row>
    <row r="48" spans="1:90">
      <c r="A48" s="48" t="s">
        <v>218</v>
      </c>
      <c r="B48" s="48">
        <v>0</v>
      </c>
      <c r="C48" s="48">
        <v>15778362163.91</v>
      </c>
      <c r="D48" s="48">
        <v>16957902466.709999</v>
      </c>
      <c r="E48" s="48">
        <v>16408535921.82</v>
      </c>
      <c r="F48" s="48">
        <v>16410670524.530001</v>
      </c>
      <c r="G48" s="48">
        <v>15957654552.629999</v>
      </c>
      <c r="H48" s="48">
        <v>16944113335.02</v>
      </c>
      <c r="I48" s="48">
        <v>16125819117.059999</v>
      </c>
      <c r="J48" s="48">
        <v>16157375933.27</v>
      </c>
      <c r="K48" s="48">
        <v>15881193828.59</v>
      </c>
      <c r="L48" s="48">
        <v>15954418323.16</v>
      </c>
      <c r="M48" s="48">
        <v>15480921327.58</v>
      </c>
      <c r="N48" s="48">
        <v>15181206568.58</v>
      </c>
      <c r="O48" s="48">
        <v>14914630862.5</v>
      </c>
      <c r="P48" s="48">
        <v>15286937362.440001</v>
      </c>
      <c r="Q48" s="48">
        <v>14817460454.35</v>
      </c>
      <c r="R48" s="48">
        <v>14567865612.950001</v>
      </c>
      <c r="S48" s="48">
        <v>13806204900.01</v>
      </c>
      <c r="T48" s="48">
        <v>13846164852.83</v>
      </c>
      <c r="U48" s="48">
        <v>12763964328.549999</v>
      </c>
      <c r="V48" s="48">
        <v>12533966581.6</v>
      </c>
      <c r="W48" s="48">
        <v>11890329954.6</v>
      </c>
      <c r="X48" s="48">
        <v>11566390596.379999</v>
      </c>
      <c r="Y48" s="48">
        <v>10801315553.99</v>
      </c>
      <c r="Z48" s="48">
        <v>9779086699.5499992</v>
      </c>
      <c r="AA48" s="48">
        <v>8373867175.9099998</v>
      </c>
      <c r="AB48" s="48">
        <v>7404987766.3199997</v>
      </c>
      <c r="AC48" s="48">
        <v>7272013724.7399998</v>
      </c>
      <c r="AD48" s="48">
        <v>6328106052.8100004</v>
      </c>
      <c r="AE48" s="48">
        <v>5763650926.1499996</v>
      </c>
      <c r="AF48" s="48">
        <v>5079613349.2799997</v>
      </c>
      <c r="AG48" s="48">
        <v>4663632721.5200005</v>
      </c>
      <c r="AH48" s="48">
        <v>4627383245.1700001</v>
      </c>
      <c r="AI48" s="48">
        <v>3979577919.3400002</v>
      </c>
      <c r="AJ48" s="48">
        <v>3694142541.21</v>
      </c>
      <c r="AK48" s="48">
        <v>3312780065.9499998</v>
      </c>
      <c r="AL48" s="48">
        <v>3172131086.1700001</v>
      </c>
      <c r="AM48" s="48">
        <v>2506864572.0599999</v>
      </c>
      <c r="AN48" s="48">
        <v>2151774970.27</v>
      </c>
      <c r="AO48" s="48">
        <v>1936043794.1500001</v>
      </c>
      <c r="AP48" s="48">
        <v>2210239250.9400001</v>
      </c>
      <c r="AQ48" s="48">
        <v>2089371802.8900001</v>
      </c>
      <c r="AR48" s="48">
        <v>2145180858.95</v>
      </c>
      <c r="AS48" s="48">
        <v>2186370342.2199998</v>
      </c>
      <c r="AT48" s="48">
        <v>2249558149.0500002</v>
      </c>
      <c r="AU48" s="48">
        <v>2021106657.9400001</v>
      </c>
      <c r="AV48" s="48">
        <v>1676742272.6700001</v>
      </c>
      <c r="AW48" s="48">
        <v>1687022635.99</v>
      </c>
      <c r="AX48" s="48">
        <v>1629284176.0699999</v>
      </c>
      <c r="AY48" s="48">
        <v>1427654963.1600001</v>
      </c>
      <c r="AZ48" s="48">
        <v>1300915597.1199999</v>
      </c>
      <c r="BA48" s="48">
        <v>1275787545.3800001</v>
      </c>
      <c r="BB48" s="48">
        <v>1408011652.5999999</v>
      </c>
      <c r="BC48" s="48">
        <v>1435548564.8399999</v>
      </c>
      <c r="BD48" s="48">
        <v>1517910431.55</v>
      </c>
      <c r="BE48" s="48">
        <v>1593889772.71</v>
      </c>
      <c r="BF48" s="48">
        <v>2099738356.3499999</v>
      </c>
      <c r="BG48" s="48">
        <v>1928630629.3900001</v>
      </c>
      <c r="BH48" s="48">
        <v>1936171299.5799999</v>
      </c>
      <c r="BI48" s="48">
        <v>2080245004.1400001</v>
      </c>
      <c r="BJ48" s="48">
        <v>2089242023.96</v>
      </c>
      <c r="BK48" s="48">
        <v>1801159740.5999999</v>
      </c>
      <c r="BL48" s="48">
        <v>1612936235.47</v>
      </c>
      <c r="BM48" s="48">
        <v>1722456521.73</v>
      </c>
      <c r="BN48" s="48">
        <v>1469774017.5599999</v>
      </c>
      <c r="BO48" s="48">
        <v>1204019783.6900001</v>
      </c>
      <c r="BP48" s="48">
        <v>1057353065.67</v>
      </c>
      <c r="BQ48" s="48">
        <v>988322704.76999998</v>
      </c>
      <c r="BR48" s="48">
        <v>819093721.94000006</v>
      </c>
      <c r="BS48" s="48">
        <v>844645517.49000001</v>
      </c>
      <c r="BT48" s="48">
        <v>795767780.92999995</v>
      </c>
      <c r="BU48" s="48">
        <v>741838770.83000004</v>
      </c>
      <c r="BV48" s="48">
        <v>645848526.59000003</v>
      </c>
      <c r="BW48" s="48">
        <v>687264214.17999995</v>
      </c>
      <c r="BX48" s="48">
        <v>0</v>
      </c>
      <c r="BY48" s="48">
        <v>0</v>
      </c>
      <c r="BZ48" s="48">
        <v>0</v>
      </c>
      <c r="CA48" s="48">
        <v>2999752.95</v>
      </c>
      <c r="CB48" s="48">
        <v>0</v>
      </c>
      <c r="CC48" s="48">
        <v>11363414.5</v>
      </c>
      <c r="CD48" s="48">
        <v>0</v>
      </c>
      <c r="CE48" s="48">
        <v>0</v>
      </c>
      <c r="CF48" s="48">
        <v>0</v>
      </c>
      <c r="CG48" s="48">
        <v>13848498.68</v>
      </c>
      <c r="CH48" s="48">
        <v>0</v>
      </c>
      <c r="CI48" s="48">
        <v>0</v>
      </c>
      <c r="CJ48" s="48">
        <v>0</v>
      </c>
      <c r="CK48" s="48">
        <v>0</v>
      </c>
      <c r="CL48" s="48">
        <v>0</v>
      </c>
    </row>
    <row r="49" spans="1:90">
      <c r="A49" s="48" t="s">
        <v>219</v>
      </c>
      <c r="B49" s="48">
        <v>0</v>
      </c>
      <c r="C49" s="48">
        <v>0</v>
      </c>
      <c r="D49" s="48">
        <v>0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48">
        <v>0</v>
      </c>
      <c r="AF49" s="48">
        <v>0</v>
      </c>
      <c r="AG49" s="48">
        <v>0</v>
      </c>
      <c r="AH49" s="48">
        <v>0</v>
      </c>
      <c r="AI49" s="48">
        <v>0</v>
      </c>
      <c r="AJ49" s="48">
        <v>0</v>
      </c>
      <c r="AK49" s="48">
        <v>0</v>
      </c>
      <c r="AL49" s="48">
        <v>0</v>
      </c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>
        <v>0</v>
      </c>
      <c r="AW49" s="48">
        <v>0</v>
      </c>
      <c r="AX49" s="48">
        <v>0</v>
      </c>
      <c r="AY49" s="48">
        <v>0</v>
      </c>
      <c r="AZ49" s="48">
        <v>0</v>
      </c>
      <c r="BA49" s="48">
        <v>0</v>
      </c>
      <c r="BB49" s="48">
        <v>0</v>
      </c>
      <c r="BC49" s="48">
        <v>0</v>
      </c>
      <c r="BD49" s="48">
        <v>0</v>
      </c>
      <c r="BE49" s="48">
        <v>0</v>
      </c>
      <c r="BF49" s="48">
        <v>0</v>
      </c>
      <c r="BG49" s="48">
        <v>0</v>
      </c>
      <c r="BH49" s="48">
        <v>0</v>
      </c>
      <c r="BI49" s="48">
        <v>0</v>
      </c>
      <c r="BJ49" s="48">
        <v>0</v>
      </c>
      <c r="BK49" s="48">
        <v>0</v>
      </c>
      <c r="BL49" s="48">
        <v>0</v>
      </c>
      <c r="BM49" s="48">
        <v>0</v>
      </c>
      <c r="BN49" s="48">
        <v>0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0</v>
      </c>
      <c r="BU49" s="48">
        <v>0</v>
      </c>
      <c r="BV49" s="48">
        <v>0</v>
      </c>
      <c r="BW49" s="48">
        <v>0</v>
      </c>
      <c r="BX49" s="48">
        <v>0</v>
      </c>
      <c r="BY49" s="48">
        <v>0</v>
      </c>
      <c r="BZ49" s="48">
        <v>0</v>
      </c>
      <c r="CA49" s="48">
        <v>0</v>
      </c>
      <c r="CB49" s="48">
        <v>0</v>
      </c>
      <c r="CC49" s="48">
        <v>0</v>
      </c>
      <c r="CD49" s="48">
        <v>0</v>
      </c>
      <c r="CE49" s="48">
        <v>0</v>
      </c>
      <c r="CF49" s="48">
        <v>0</v>
      </c>
      <c r="CG49" s="48">
        <v>0</v>
      </c>
      <c r="CH49" s="48">
        <v>0</v>
      </c>
      <c r="CI49" s="48">
        <v>0</v>
      </c>
      <c r="CJ49" s="48">
        <v>0</v>
      </c>
      <c r="CK49" s="48">
        <v>0</v>
      </c>
      <c r="CL49" s="48">
        <v>0</v>
      </c>
    </row>
    <row r="50" spans="1:90">
      <c r="A50" s="48" t="s">
        <v>220</v>
      </c>
      <c r="B50" s="48">
        <v>418486811.93000001</v>
      </c>
      <c r="C50" s="48">
        <v>436243146.44999999</v>
      </c>
      <c r="D50" s="48">
        <v>485996079.95999998</v>
      </c>
      <c r="E50" s="48">
        <v>545036990.58000004</v>
      </c>
      <c r="F50" s="48">
        <v>444797266.66000003</v>
      </c>
      <c r="G50" s="48">
        <v>477054452.92000002</v>
      </c>
      <c r="H50" s="48">
        <v>513929695.92000002</v>
      </c>
      <c r="I50" s="48">
        <v>550439860.23000002</v>
      </c>
      <c r="J50" s="48">
        <v>427913324.94999999</v>
      </c>
      <c r="K50" s="48">
        <v>461772599.87</v>
      </c>
      <c r="L50" s="48">
        <v>493046166.38999999</v>
      </c>
      <c r="M50" s="48">
        <v>531330287.31</v>
      </c>
      <c r="N50" s="48">
        <v>411182067.94</v>
      </c>
      <c r="O50" s="48">
        <v>462903688.63</v>
      </c>
      <c r="P50" s="48">
        <v>390731950.42000002</v>
      </c>
      <c r="Q50" s="48">
        <v>599557598.23000002</v>
      </c>
      <c r="R50" s="48">
        <v>469686996.18000001</v>
      </c>
      <c r="S50" s="48">
        <v>437731202.48000002</v>
      </c>
      <c r="T50" s="48">
        <v>460192708.93000001</v>
      </c>
      <c r="U50" s="48">
        <v>556810174.33000004</v>
      </c>
      <c r="V50" s="48">
        <v>338355613.24000001</v>
      </c>
      <c r="W50" s="48">
        <v>298877258.32999998</v>
      </c>
      <c r="X50" s="48">
        <v>378312990.02999997</v>
      </c>
      <c r="Y50" s="48">
        <v>443360546.51999998</v>
      </c>
      <c r="Z50" s="48">
        <v>470360737.07999998</v>
      </c>
      <c r="AA50" s="48">
        <v>257750108.96000001</v>
      </c>
      <c r="AB50" s="48">
        <v>275940040.68000001</v>
      </c>
      <c r="AC50" s="48">
        <v>775641196.73000002</v>
      </c>
      <c r="AD50" s="48">
        <v>248173238.69999999</v>
      </c>
      <c r="AE50" s="48">
        <v>225848783.86000001</v>
      </c>
      <c r="AF50" s="48">
        <v>224426213.90000001</v>
      </c>
      <c r="AG50" s="48">
        <v>249756012.86000001</v>
      </c>
      <c r="AH50" s="48">
        <v>189532965.56</v>
      </c>
      <c r="AI50" s="48">
        <v>160801635.58000001</v>
      </c>
      <c r="AJ50" s="48">
        <v>155668429.27000001</v>
      </c>
      <c r="AK50" s="48">
        <v>202063672.66</v>
      </c>
      <c r="AL50" s="48">
        <v>128695298.02</v>
      </c>
      <c r="AM50" s="48">
        <v>127070624.19</v>
      </c>
      <c r="AN50" s="48">
        <v>162089847.08000001</v>
      </c>
      <c r="AO50" s="48">
        <v>182809192.11000001</v>
      </c>
      <c r="AP50" s="48">
        <v>123343504.34</v>
      </c>
      <c r="AQ50" s="48">
        <v>116792452.18000001</v>
      </c>
      <c r="AR50" s="48">
        <v>129481551.75</v>
      </c>
      <c r="AS50" s="48">
        <v>209565774.99000001</v>
      </c>
      <c r="AT50" s="48">
        <v>162755887.24000001</v>
      </c>
      <c r="AU50" s="48">
        <v>158527674.59</v>
      </c>
      <c r="AV50" s="48">
        <v>152255767.65000001</v>
      </c>
      <c r="AW50" s="48">
        <v>117807446.38</v>
      </c>
      <c r="AX50" s="48">
        <v>60253388.350000001</v>
      </c>
      <c r="AY50" s="48">
        <v>69963389.340000004</v>
      </c>
      <c r="AZ50" s="48">
        <v>72262493.040000007</v>
      </c>
      <c r="BA50" s="48">
        <v>104526590.81</v>
      </c>
      <c r="BB50" s="48">
        <v>72819402.129999995</v>
      </c>
      <c r="BC50" s="48">
        <v>112145348.55</v>
      </c>
      <c r="BD50" s="48">
        <v>200068013.81</v>
      </c>
      <c r="BE50" s="48">
        <v>201011437.16999999</v>
      </c>
      <c r="BF50" s="48">
        <v>198888096.13</v>
      </c>
      <c r="BG50" s="48">
        <v>206719189.43000001</v>
      </c>
      <c r="BH50" s="48">
        <v>200991093.94999999</v>
      </c>
      <c r="BI50" s="48">
        <v>196267263.24000001</v>
      </c>
      <c r="BJ50" s="48">
        <v>157395222.31</v>
      </c>
      <c r="BK50" s="48">
        <v>180968794.38</v>
      </c>
      <c r="BL50" s="48">
        <v>294991557.00999999</v>
      </c>
      <c r="BM50" s="48">
        <v>260959583.02000001</v>
      </c>
      <c r="BN50" s="48">
        <v>60260432.420000002</v>
      </c>
      <c r="BO50" s="48">
        <v>127193977.16</v>
      </c>
      <c r="BP50" s="48">
        <v>97583032.030000001</v>
      </c>
      <c r="BQ50" s="48">
        <v>82936536.969999999</v>
      </c>
      <c r="BR50" s="48">
        <v>84317316.650000006</v>
      </c>
      <c r="BS50" s="48">
        <v>70958903.140000001</v>
      </c>
      <c r="BT50" s="48">
        <v>55559896.020000003</v>
      </c>
      <c r="BU50" s="48">
        <v>65770182.789999999</v>
      </c>
      <c r="BV50" s="48">
        <v>8195899.0499999998</v>
      </c>
      <c r="BW50" s="48">
        <v>47583337.82</v>
      </c>
      <c r="BX50" s="48">
        <v>7670917.5099999998</v>
      </c>
      <c r="BY50" s="48">
        <v>5985135.2800000003</v>
      </c>
      <c r="BZ50" s="48">
        <v>0</v>
      </c>
      <c r="CA50" s="48">
        <v>5554018.4000000004</v>
      </c>
      <c r="CB50" s="48">
        <v>0</v>
      </c>
      <c r="CC50" s="48">
        <v>6881629.6500000004</v>
      </c>
      <c r="CD50" s="48">
        <v>0</v>
      </c>
      <c r="CE50" s="48">
        <v>0</v>
      </c>
      <c r="CF50" s="48">
        <v>0</v>
      </c>
      <c r="CG50" s="48">
        <v>1117734.48</v>
      </c>
      <c r="CH50" s="48">
        <v>0</v>
      </c>
      <c r="CI50" s="48">
        <v>0</v>
      </c>
      <c r="CJ50" s="48">
        <v>0</v>
      </c>
      <c r="CK50" s="48">
        <v>0</v>
      </c>
      <c r="CL50" s="48">
        <v>0</v>
      </c>
    </row>
    <row r="51" spans="1:90">
      <c r="A51" s="48" t="s">
        <v>221</v>
      </c>
      <c r="B51" s="48">
        <v>107388343.98999999</v>
      </c>
      <c r="C51" s="48">
        <v>113207462.09</v>
      </c>
      <c r="D51" s="48">
        <v>195652623.19999999</v>
      </c>
      <c r="E51" s="48">
        <v>336623394.32999998</v>
      </c>
      <c r="F51" s="48">
        <v>79316551.599999994</v>
      </c>
      <c r="G51" s="48">
        <v>110660073.06</v>
      </c>
      <c r="H51" s="48">
        <v>154993929.96000001</v>
      </c>
      <c r="I51" s="48">
        <v>296210081.89999998</v>
      </c>
      <c r="J51" s="48">
        <v>36306086.460000001</v>
      </c>
      <c r="K51" s="48">
        <v>94528421.620000005</v>
      </c>
      <c r="L51" s="48">
        <v>142799275.27000001</v>
      </c>
      <c r="M51" s="48">
        <v>224788062.59999999</v>
      </c>
      <c r="N51" s="48">
        <v>53874449.009999998</v>
      </c>
      <c r="O51" s="48">
        <v>115702934.2</v>
      </c>
      <c r="P51" s="48">
        <v>114843963.97</v>
      </c>
      <c r="Q51" s="48">
        <v>137718368.78999999</v>
      </c>
      <c r="R51" s="48">
        <v>100779882.16</v>
      </c>
      <c r="S51" s="48">
        <v>108709483.94</v>
      </c>
      <c r="T51" s="48">
        <v>136717320.87</v>
      </c>
      <c r="U51" s="48">
        <v>127377369.83</v>
      </c>
      <c r="V51" s="48">
        <v>77313093.420000002</v>
      </c>
      <c r="W51" s="48">
        <v>44250594.469999999</v>
      </c>
      <c r="X51" s="48">
        <v>55500261.43</v>
      </c>
      <c r="Y51" s="48">
        <v>262708487.84999999</v>
      </c>
      <c r="Z51" s="48">
        <v>89545495.290000007</v>
      </c>
      <c r="AA51" s="48">
        <v>80492404.650000006</v>
      </c>
      <c r="AB51" s="48">
        <v>59428951.189999998</v>
      </c>
      <c r="AC51" s="48">
        <v>78265705.890000001</v>
      </c>
      <c r="AD51" s="48">
        <v>142170288.09</v>
      </c>
      <c r="AE51" s="48">
        <v>101939044.56</v>
      </c>
      <c r="AF51" s="48">
        <v>24485495.399999999</v>
      </c>
      <c r="AG51" s="48">
        <v>102926445.75</v>
      </c>
      <c r="AH51" s="48">
        <v>75808497.260000005</v>
      </c>
      <c r="AI51" s="48">
        <v>111124539.26000001</v>
      </c>
      <c r="AJ51" s="48">
        <v>105465438.59</v>
      </c>
      <c r="AK51" s="48">
        <v>157284409.05000001</v>
      </c>
      <c r="AL51" s="48">
        <v>105654947.47</v>
      </c>
      <c r="AM51" s="48">
        <v>73181119.099999994</v>
      </c>
      <c r="AN51" s="48">
        <v>164159666.28</v>
      </c>
      <c r="AO51" s="48">
        <v>84755557.260000005</v>
      </c>
      <c r="AP51" s="48">
        <v>97428252.430000007</v>
      </c>
      <c r="AQ51" s="48">
        <v>106600223.79000001</v>
      </c>
      <c r="AR51" s="48">
        <v>118867188.42</v>
      </c>
      <c r="AS51" s="48">
        <v>134812189.12</v>
      </c>
      <c r="AT51" s="48">
        <v>89407760.629999995</v>
      </c>
      <c r="AU51" s="48">
        <v>78170345.489999995</v>
      </c>
      <c r="AV51" s="48">
        <v>133966214.01000001</v>
      </c>
      <c r="AW51" s="48">
        <v>59712491.460000001</v>
      </c>
      <c r="AX51" s="48">
        <v>31199998.510000002</v>
      </c>
      <c r="AY51" s="48">
        <v>48963475.030000001</v>
      </c>
      <c r="AZ51" s="48">
        <v>88799677.400000006</v>
      </c>
      <c r="BA51" s="48">
        <v>112709663.7</v>
      </c>
      <c r="BB51" s="48">
        <v>60932894.020000003</v>
      </c>
      <c r="BC51" s="48">
        <v>88297895.010000005</v>
      </c>
      <c r="BD51" s="48">
        <v>84074765.040000007</v>
      </c>
      <c r="BE51" s="48">
        <v>96888661.170000002</v>
      </c>
      <c r="BF51" s="48">
        <v>39355388.740000002</v>
      </c>
      <c r="BG51" s="48">
        <v>23461107.920000002</v>
      </c>
      <c r="BH51" s="48">
        <v>56786857.509999998</v>
      </c>
      <c r="BI51" s="48">
        <v>96520861.920000002</v>
      </c>
      <c r="BJ51" s="48">
        <v>44241544.170000002</v>
      </c>
      <c r="BK51" s="48">
        <v>49165714.659999996</v>
      </c>
      <c r="BL51" s="48">
        <v>51171311.310000002</v>
      </c>
      <c r="BM51" s="48">
        <v>49319384.890000001</v>
      </c>
      <c r="BN51" s="48">
        <v>41234235.630000003</v>
      </c>
      <c r="BO51" s="48">
        <v>76655112.120000005</v>
      </c>
      <c r="BP51" s="48">
        <v>62427605.840000004</v>
      </c>
      <c r="BQ51" s="48">
        <v>49938634.100000001</v>
      </c>
      <c r="BR51" s="48">
        <v>58057951.280000001</v>
      </c>
      <c r="BS51" s="48">
        <v>69377594.540000007</v>
      </c>
      <c r="BT51" s="48">
        <v>66533701.509999998</v>
      </c>
      <c r="BU51" s="48">
        <v>71419477.040000007</v>
      </c>
      <c r="BV51" s="48">
        <v>113590781.09999999</v>
      </c>
      <c r="BW51" s="48">
        <v>166764560.69</v>
      </c>
      <c r="BX51" s="48">
        <v>70981691.609999999</v>
      </c>
      <c r="BY51" s="48">
        <v>69401727.780000001</v>
      </c>
      <c r="BZ51" s="48">
        <v>0</v>
      </c>
      <c r="CA51" s="48">
        <v>-14922586.68</v>
      </c>
      <c r="CB51" s="48">
        <v>0</v>
      </c>
      <c r="CC51" s="48">
        <v>831641.43</v>
      </c>
      <c r="CD51" s="48">
        <v>0</v>
      </c>
      <c r="CE51" s="48">
        <v>-2290000</v>
      </c>
      <c r="CF51" s="48">
        <v>0</v>
      </c>
      <c r="CG51" s="48">
        <v>7971944.8700000001</v>
      </c>
      <c r="CH51" s="48">
        <v>0</v>
      </c>
      <c r="CI51" s="48">
        <v>0</v>
      </c>
      <c r="CJ51" s="48">
        <v>0</v>
      </c>
      <c r="CK51" s="48">
        <v>0</v>
      </c>
      <c r="CL51" s="48">
        <v>0</v>
      </c>
    </row>
    <row r="52" spans="1:90">
      <c r="A52" s="48" t="s">
        <v>222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2219387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0</v>
      </c>
      <c r="AX52" s="48">
        <v>0</v>
      </c>
      <c r="AY52" s="48">
        <v>0</v>
      </c>
      <c r="AZ52" s="48">
        <v>0</v>
      </c>
      <c r="BA52" s="48">
        <v>0</v>
      </c>
      <c r="BB52" s="48">
        <v>0</v>
      </c>
      <c r="BC52" s="48">
        <v>0</v>
      </c>
      <c r="BD52" s="48">
        <v>0</v>
      </c>
      <c r="BE52" s="48">
        <v>0</v>
      </c>
      <c r="BF52" s="48">
        <v>0</v>
      </c>
      <c r="BG52" s="48">
        <v>0</v>
      </c>
      <c r="BH52" s="48">
        <v>0</v>
      </c>
      <c r="BI52" s="48">
        <v>0</v>
      </c>
      <c r="BJ52" s="48">
        <v>0</v>
      </c>
      <c r="BK52" s="48">
        <v>0</v>
      </c>
      <c r="BL52" s="48">
        <v>0</v>
      </c>
      <c r="BM52" s="48">
        <v>0</v>
      </c>
      <c r="BN52" s="48">
        <v>0</v>
      </c>
      <c r="BO52" s="48">
        <v>0</v>
      </c>
      <c r="BP52" s="48">
        <v>0</v>
      </c>
      <c r="BQ52" s="48">
        <v>0</v>
      </c>
      <c r="BR52" s="48">
        <v>0</v>
      </c>
      <c r="BS52" s="48">
        <v>0</v>
      </c>
      <c r="BT52" s="48">
        <v>0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0</v>
      </c>
      <c r="CA52" s="48">
        <v>0</v>
      </c>
      <c r="CB52" s="48">
        <v>0</v>
      </c>
      <c r="CC52" s="48">
        <v>0</v>
      </c>
      <c r="CD52" s="48">
        <v>0</v>
      </c>
      <c r="CE52" s="48">
        <v>0</v>
      </c>
      <c r="CF52" s="48">
        <v>0</v>
      </c>
      <c r="CG52" s="48">
        <v>0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s="48" t="s">
        <v>223</v>
      </c>
      <c r="B53" s="48">
        <v>321055.48</v>
      </c>
      <c r="C53" s="48">
        <v>732312430.88</v>
      </c>
      <c r="D53" s="48">
        <v>187956.68</v>
      </c>
      <c r="E53" s="48">
        <v>870410.19</v>
      </c>
      <c r="F53" s="48">
        <v>113743123.98999999</v>
      </c>
      <c r="G53" s="48">
        <v>764495069.66999996</v>
      </c>
      <c r="H53" s="48">
        <v>1289662.4099999999</v>
      </c>
      <c r="I53" s="48">
        <v>1289662.4099999999</v>
      </c>
      <c r="J53" s="48">
        <v>137726582.41</v>
      </c>
      <c r="K53" s="48">
        <v>787037342.40999997</v>
      </c>
      <c r="L53" s="48">
        <v>1289662.4099999999</v>
      </c>
      <c r="M53" s="48">
        <v>1289662.4099999999</v>
      </c>
      <c r="N53" s="48">
        <v>63204319.649999999</v>
      </c>
      <c r="O53" s="48">
        <v>831611565</v>
      </c>
      <c r="P53" s="48">
        <v>452685</v>
      </c>
      <c r="Q53" s="48">
        <v>692085.14</v>
      </c>
      <c r="R53" s="48">
        <v>52775274.240000002</v>
      </c>
      <c r="S53" s="48">
        <v>1052135840.48</v>
      </c>
      <c r="T53" s="48">
        <v>1176562.24</v>
      </c>
      <c r="U53" s="48">
        <v>2086462.24</v>
      </c>
      <c r="V53" s="48">
        <v>53741976.670000002</v>
      </c>
      <c r="W53" s="48">
        <v>732407882.01999998</v>
      </c>
      <c r="X53" s="48">
        <v>1774387.34</v>
      </c>
      <c r="Y53" s="48">
        <v>1774387.34</v>
      </c>
      <c r="Z53" s="48">
        <v>68820877.079999998</v>
      </c>
      <c r="AA53" s="48">
        <v>714449869.48000002</v>
      </c>
      <c r="AB53" s="48">
        <v>988096.67</v>
      </c>
      <c r="AC53" s="48">
        <v>1059437.08</v>
      </c>
      <c r="AD53" s="48">
        <v>6202112.1500000004</v>
      </c>
      <c r="AE53" s="48">
        <v>263132112.15000001</v>
      </c>
      <c r="AF53" s="48">
        <v>992882.86</v>
      </c>
      <c r="AG53" s="48">
        <v>1176637.77</v>
      </c>
      <c r="AH53" s="48">
        <v>69439313.459999993</v>
      </c>
      <c r="AI53" s="48">
        <v>281325447.45999998</v>
      </c>
      <c r="AJ53" s="48">
        <v>25184072.84</v>
      </c>
      <c r="AK53" s="48">
        <v>25306407.460000001</v>
      </c>
      <c r="AL53" s="48">
        <v>108325652.86</v>
      </c>
      <c r="AM53" s="48">
        <v>420451983.66000003</v>
      </c>
      <c r="AN53" s="48">
        <v>65010950.859999999</v>
      </c>
      <c r="AO53" s="48">
        <v>65010950.859999999</v>
      </c>
      <c r="AP53" s="48">
        <v>84632530.930000007</v>
      </c>
      <c r="AQ53" s="48">
        <v>372318905.47000003</v>
      </c>
      <c r="AR53" s="48">
        <v>43213634.93</v>
      </c>
      <c r="AS53" s="48">
        <v>44288109.770000003</v>
      </c>
      <c r="AT53" s="48">
        <v>54341932.829999998</v>
      </c>
      <c r="AU53" s="48">
        <v>319264432.52999997</v>
      </c>
      <c r="AV53" s="48">
        <v>33902616.829999998</v>
      </c>
      <c r="AW53" s="48">
        <v>33902616.829999998</v>
      </c>
      <c r="AX53" s="48">
        <v>179475468.03</v>
      </c>
      <c r="AY53" s="48">
        <v>299373482.26999998</v>
      </c>
      <c r="AZ53" s="48">
        <v>15082286.01</v>
      </c>
      <c r="BA53" s="48">
        <v>10591636.66</v>
      </c>
      <c r="BB53" s="48">
        <v>27228651.460000001</v>
      </c>
      <c r="BC53" s="48">
        <v>215651038.53999999</v>
      </c>
      <c r="BD53" s="48">
        <v>25537143.440000001</v>
      </c>
      <c r="BE53" s="48">
        <v>19472806.489999998</v>
      </c>
      <c r="BF53" s="48">
        <v>19698608.93</v>
      </c>
      <c r="BG53" s="48">
        <v>232494010.44</v>
      </c>
      <c r="BH53" s="48">
        <v>19179643.98</v>
      </c>
      <c r="BI53" s="48">
        <v>16065471.57</v>
      </c>
      <c r="BJ53" s="48">
        <v>43569214.75</v>
      </c>
      <c r="BK53" s="48">
        <v>246368290.06999999</v>
      </c>
      <c r="BL53" s="48">
        <v>91578714.030000001</v>
      </c>
      <c r="BM53" s="48">
        <v>27851089.530000001</v>
      </c>
      <c r="BN53" s="48">
        <v>39662609.43</v>
      </c>
      <c r="BO53" s="48">
        <v>283532691.08999997</v>
      </c>
      <c r="BP53" s="48">
        <v>82394943.739999995</v>
      </c>
      <c r="BQ53" s="48">
        <v>94133175.359999999</v>
      </c>
      <c r="BR53" s="48">
        <v>262523853.59999999</v>
      </c>
      <c r="BS53" s="48">
        <v>175655544.66</v>
      </c>
      <c r="BT53" s="48">
        <v>172517845.40000001</v>
      </c>
      <c r="BU53" s="48">
        <v>67785291.349999994</v>
      </c>
      <c r="BV53" s="48">
        <v>51135992.259999998</v>
      </c>
      <c r="BW53" s="48">
        <v>13917863.050000001</v>
      </c>
      <c r="BX53" s="48">
        <v>0</v>
      </c>
      <c r="BY53" s="48">
        <v>0</v>
      </c>
      <c r="BZ53" s="48">
        <v>0</v>
      </c>
      <c r="CA53" s="48">
        <v>12394176.439999999</v>
      </c>
      <c r="CB53" s="48">
        <v>0</v>
      </c>
      <c r="CC53" s="48">
        <v>116006110.2</v>
      </c>
      <c r="CD53" s="48">
        <v>0</v>
      </c>
      <c r="CE53" s="48">
        <v>0</v>
      </c>
      <c r="CF53" s="48">
        <v>0</v>
      </c>
      <c r="CG53" s="48">
        <v>0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s="48" t="s">
        <v>224</v>
      </c>
      <c r="B54" s="48">
        <v>0</v>
      </c>
      <c r="C54" s="48">
        <v>853014256.66999996</v>
      </c>
      <c r="D54" s="48">
        <v>804530301.85000002</v>
      </c>
      <c r="E54" s="48">
        <v>955844978.44000006</v>
      </c>
      <c r="F54" s="48">
        <v>817660599.84000003</v>
      </c>
      <c r="G54" s="48">
        <v>802448516.42999995</v>
      </c>
      <c r="H54" s="48">
        <v>766742422.57000005</v>
      </c>
      <c r="I54" s="48">
        <v>782141609.47000003</v>
      </c>
      <c r="J54" s="48">
        <v>754607880.41999996</v>
      </c>
      <c r="K54" s="48">
        <v>772710258.91999996</v>
      </c>
      <c r="L54" s="48">
        <v>753466019.60000002</v>
      </c>
      <c r="M54" s="48">
        <v>795975344.35000002</v>
      </c>
      <c r="N54" s="48">
        <v>847358643.35000002</v>
      </c>
      <c r="O54" s="48">
        <v>2332405847.1999998</v>
      </c>
      <c r="P54" s="48">
        <v>822681466.62</v>
      </c>
      <c r="Q54" s="48">
        <v>929870830.38</v>
      </c>
      <c r="R54" s="48">
        <v>903630734.10000002</v>
      </c>
      <c r="S54" s="48">
        <v>929006311.92999995</v>
      </c>
      <c r="T54" s="48">
        <v>824834836.67999995</v>
      </c>
      <c r="U54" s="48">
        <v>849628877.84000003</v>
      </c>
      <c r="V54" s="48">
        <v>875905723.46000004</v>
      </c>
      <c r="W54" s="48">
        <v>813494332.17999995</v>
      </c>
      <c r="X54" s="48">
        <v>751182474.60000002</v>
      </c>
      <c r="Y54" s="48">
        <v>771204826.52999997</v>
      </c>
      <c r="Z54" s="48">
        <v>793852747.57000005</v>
      </c>
      <c r="AA54" s="48">
        <v>596118097.33000004</v>
      </c>
      <c r="AB54" s="48">
        <v>601357083.32000005</v>
      </c>
      <c r="AC54" s="48">
        <v>780702574.49000001</v>
      </c>
      <c r="AD54" s="48">
        <v>588137932.57000005</v>
      </c>
      <c r="AE54" s="48">
        <v>591021286.47000003</v>
      </c>
      <c r="AF54" s="48">
        <v>579489641.48000002</v>
      </c>
      <c r="AG54" s="48">
        <v>528285240.81999999</v>
      </c>
      <c r="AH54" s="48">
        <v>604103707.72000003</v>
      </c>
      <c r="AI54" s="48">
        <v>620051089.22000003</v>
      </c>
      <c r="AJ54" s="48">
        <v>547940006.40999997</v>
      </c>
      <c r="AK54" s="48">
        <v>490657810.44</v>
      </c>
      <c r="AL54" s="48">
        <v>444320168.89999998</v>
      </c>
      <c r="AM54" s="48">
        <v>361541346.74000001</v>
      </c>
      <c r="AN54" s="48">
        <v>389334642.83999997</v>
      </c>
      <c r="AO54" s="48">
        <v>358418001.56</v>
      </c>
      <c r="AP54" s="48">
        <v>407585272.32999998</v>
      </c>
      <c r="AQ54" s="48">
        <v>313708527.79000002</v>
      </c>
      <c r="AR54" s="48">
        <v>380886988.42000002</v>
      </c>
      <c r="AS54" s="48">
        <v>359363809.19999999</v>
      </c>
      <c r="AT54" s="48">
        <v>597871045.54999995</v>
      </c>
      <c r="AU54" s="48">
        <v>498963688.98000002</v>
      </c>
      <c r="AV54" s="48">
        <v>401270100.81</v>
      </c>
      <c r="AW54" s="48">
        <v>530746000.97000003</v>
      </c>
      <c r="AX54" s="48">
        <v>426427565.57999998</v>
      </c>
      <c r="AY54" s="48">
        <v>391604917.29000002</v>
      </c>
      <c r="AZ54" s="48">
        <v>200117366.09999999</v>
      </c>
      <c r="BA54" s="48">
        <v>390779576.20999998</v>
      </c>
      <c r="BB54" s="48">
        <v>330317534.36000001</v>
      </c>
      <c r="BC54" s="48">
        <v>312638275.82999998</v>
      </c>
      <c r="BD54" s="48">
        <v>274271381.80000001</v>
      </c>
      <c r="BE54" s="48">
        <v>310343370.92000002</v>
      </c>
      <c r="BF54" s="48">
        <v>311869129.42000002</v>
      </c>
      <c r="BG54" s="48">
        <v>266732595.06</v>
      </c>
      <c r="BH54" s="48">
        <v>336158557.70999998</v>
      </c>
      <c r="BI54" s="48">
        <v>298305020.27999997</v>
      </c>
      <c r="BJ54" s="48">
        <v>189886867.25999999</v>
      </c>
      <c r="BK54" s="48">
        <v>234169317.66</v>
      </c>
      <c r="BL54" s="48">
        <v>254372680.49000001</v>
      </c>
      <c r="BM54" s="48">
        <v>479698254.39999998</v>
      </c>
      <c r="BN54" s="48">
        <v>226461271.41</v>
      </c>
      <c r="BO54" s="48">
        <v>252145019.18000001</v>
      </c>
      <c r="BP54" s="48">
        <v>288238198.56</v>
      </c>
      <c r="BQ54" s="48">
        <v>354227910.04000002</v>
      </c>
      <c r="BR54" s="48">
        <v>384705199.56999999</v>
      </c>
      <c r="BS54" s="48">
        <v>261891166.06</v>
      </c>
      <c r="BT54" s="48">
        <v>175076211.15000001</v>
      </c>
      <c r="BU54" s="48">
        <v>312181039.26999998</v>
      </c>
      <c r="BV54" s="48">
        <v>197878542.97</v>
      </c>
      <c r="BW54" s="48">
        <v>362214877.29000002</v>
      </c>
      <c r="BX54" s="48">
        <v>124160656.52</v>
      </c>
      <c r="BY54" s="48">
        <v>159620177.44</v>
      </c>
      <c r="BZ54" s="48">
        <v>0</v>
      </c>
      <c r="CA54" s="48">
        <v>43350158.399999999</v>
      </c>
      <c r="CB54" s="48">
        <v>0</v>
      </c>
      <c r="CC54" s="48">
        <v>39100817.579999998</v>
      </c>
      <c r="CD54" s="48">
        <v>0</v>
      </c>
      <c r="CE54" s="48">
        <v>20292000</v>
      </c>
      <c r="CF54" s="48">
        <v>0</v>
      </c>
      <c r="CG54" s="48">
        <v>39515275.899999999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s="48" t="s">
        <v>225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6613234.6200000001</v>
      </c>
      <c r="AX55" s="48">
        <v>12076942.74</v>
      </c>
      <c r="AY55" s="48">
        <v>8560956.5299999993</v>
      </c>
      <c r="AZ55" s="48">
        <v>160583962.71000001</v>
      </c>
      <c r="BA55" s="48">
        <v>2958729</v>
      </c>
      <c r="BB55" s="48">
        <v>9265338.4299999997</v>
      </c>
      <c r="BC55" s="48">
        <v>8069514.46</v>
      </c>
      <c r="BD55" s="48">
        <v>8933005.0500000007</v>
      </c>
      <c r="BE55" s="48">
        <v>1016335.71</v>
      </c>
      <c r="BF55" s="48">
        <v>18624076.440000001</v>
      </c>
      <c r="BG55" s="48">
        <v>18279875.75</v>
      </c>
      <c r="BH55" s="48">
        <v>21582885.09</v>
      </c>
      <c r="BI55" s="48">
        <v>2030258.48</v>
      </c>
      <c r="BJ55" s="48">
        <v>148678500.22999999</v>
      </c>
      <c r="BK55" s="48">
        <v>117416829.34999999</v>
      </c>
      <c r="BL55" s="48">
        <v>93443655.099999994</v>
      </c>
      <c r="BM55" s="48">
        <v>949470.08</v>
      </c>
      <c r="BN55" s="48">
        <v>110738980.40000001</v>
      </c>
      <c r="BO55" s="48">
        <v>93093852.109999999</v>
      </c>
      <c r="BP55" s="48">
        <v>53621526.609999999</v>
      </c>
      <c r="BQ55" s="48">
        <v>1133172</v>
      </c>
      <c r="BR55" s="48">
        <v>15051764.859999999</v>
      </c>
      <c r="BS55" s="48">
        <v>35557</v>
      </c>
      <c r="BT55" s="48">
        <v>52012470.869999997</v>
      </c>
      <c r="BU55" s="48">
        <v>1781939.17</v>
      </c>
      <c r="BV55" s="48">
        <v>31182989.539999999</v>
      </c>
      <c r="BW55" s="48">
        <v>1446520.97</v>
      </c>
      <c r="BX55" s="48">
        <v>400000</v>
      </c>
      <c r="BY55" s="48">
        <v>0</v>
      </c>
      <c r="BZ55" s="48">
        <v>0</v>
      </c>
      <c r="CA55" s="48">
        <v>690172.45</v>
      </c>
      <c r="CB55" s="48">
        <v>0</v>
      </c>
      <c r="CC55" s="48">
        <v>2863421.04</v>
      </c>
      <c r="CD55" s="48">
        <v>0</v>
      </c>
      <c r="CE55" s="48">
        <v>0</v>
      </c>
      <c r="CF55" s="48">
        <v>0</v>
      </c>
      <c r="CG55" s="48">
        <v>34557065.049999997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s="48" t="s">
        <v>226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s="48" t="s">
        <v>227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s="48" t="s">
        <v>228</v>
      </c>
      <c r="B58" s="48">
        <v>104185</v>
      </c>
      <c r="C58" s="48">
        <v>104185</v>
      </c>
      <c r="D58" s="48">
        <v>104185</v>
      </c>
      <c r="E58" s="48">
        <v>104185</v>
      </c>
      <c r="F58" s="48">
        <v>241589.37</v>
      </c>
      <c r="G58" s="48">
        <v>246038.04</v>
      </c>
      <c r="H58" s="48">
        <v>81140.570000000007</v>
      </c>
      <c r="I58" s="48">
        <v>104185</v>
      </c>
      <c r="J58" s="48">
        <v>9244185</v>
      </c>
      <c r="K58" s="48">
        <v>104185</v>
      </c>
      <c r="L58" s="48">
        <v>104185</v>
      </c>
      <c r="M58" s="48">
        <v>104185</v>
      </c>
      <c r="N58" s="48">
        <v>0</v>
      </c>
      <c r="O58" s="48">
        <v>10840442.460000001</v>
      </c>
      <c r="P58" s="48">
        <v>0</v>
      </c>
      <c r="Q58" s="48">
        <v>11304959.539999999</v>
      </c>
      <c r="R58" s="48">
        <v>1385062269</v>
      </c>
      <c r="S58" s="48">
        <v>1386829062.24</v>
      </c>
      <c r="T58" s="48">
        <v>1385055084</v>
      </c>
      <c r="U58" s="48">
        <v>1373832732.76</v>
      </c>
      <c r="V58" s="48">
        <v>4131456</v>
      </c>
      <c r="W58" s="48">
        <v>4146105.6</v>
      </c>
      <c r="X58" s="48">
        <v>0</v>
      </c>
      <c r="Y58" s="48">
        <v>1295718112</v>
      </c>
      <c r="Z58" s="48">
        <v>1109694023</v>
      </c>
      <c r="AA58" s="48">
        <v>50000000</v>
      </c>
      <c r="AB58" s="48">
        <v>50000000</v>
      </c>
      <c r="AC58" s="48">
        <v>53862451.700000003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5000000</v>
      </c>
      <c r="AJ58" s="48">
        <v>5000000</v>
      </c>
      <c r="AK58" s="48">
        <v>5000000</v>
      </c>
      <c r="AL58" s="48">
        <v>0</v>
      </c>
      <c r="AM58" s="48">
        <v>0</v>
      </c>
      <c r="AN58" s="48">
        <v>0</v>
      </c>
      <c r="AO58" s="48">
        <v>5000000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15000000</v>
      </c>
      <c r="AW58" s="48">
        <v>15000000</v>
      </c>
      <c r="AX58" s="48">
        <v>15000000</v>
      </c>
      <c r="AY58" s="48">
        <v>25000000</v>
      </c>
      <c r="AZ58" s="48">
        <v>30000000</v>
      </c>
      <c r="BA58" s="48">
        <v>30000000</v>
      </c>
      <c r="BB58" s="48">
        <v>10000000</v>
      </c>
      <c r="BC58" s="48">
        <v>31000000</v>
      </c>
      <c r="BD58" s="48">
        <v>6000000</v>
      </c>
      <c r="BE58" s="48">
        <v>6000000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5020000</v>
      </c>
      <c r="BO58" s="48">
        <v>5020000</v>
      </c>
      <c r="BP58" s="48">
        <v>10040000</v>
      </c>
      <c r="BQ58" s="48">
        <v>5020000</v>
      </c>
      <c r="BR58" s="48">
        <v>11420000</v>
      </c>
      <c r="BS58" s="48">
        <v>5020000</v>
      </c>
      <c r="BT58" s="48">
        <v>9940000</v>
      </c>
      <c r="BU58" s="48">
        <v>13140000</v>
      </c>
      <c r="BV58" s="48">
        <v>3458671.93</v>
      </c>
      <c r="BW58" s="48">
        <v>2150000</v>
      </c>
      <c r="BX58" s="48">
        <v>2000000</v>
      </c>
      <c r="BY58" s="48">
        <v>2000000</v>
      </c>
      <c r="BZ58" s="48">
        <v>0</v>
      </c>
      <c r="CA58" s="48">
        <v>0</v>
      </c>
      <c r="CB58" s="48">
        <v>0</v>
      </c>
      <c r="CC58" s="48">
        <v>100000</v>
      </c>
      <c r="CD58" s="48">
        <v>0</v>
      </c>
      <c r="CE58" s="48">
        <v>2100000</v>
      </c>
      <c r="CF58" s="48">
        <v>0</v>
      </c>
      <c r="CG58" s="48">
        <v>0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s="48" t="s">
        <v>229</v>
      </c>
      <c r="B59" s="48">
        <v>85760593.299999997</v>
      </c>
      <c r="C59" s="48">
        <v>84621842.060000002</v>
      </c>
      <c r="D59" s="48">
        <v>83636286.109999999</v>
      </c>
      <c r="E59" s="48">
        <v>80779126.390000001</v>
      </c>
      <c r="F59" s="48">
        <v>92077486.590000004</v>
      </c>
      <c r="G59" s="48">
        <v>92665692.049999997</v>
      </c>
      <c r="H59" s="48">
        <v>90565619.209999993</v>
      </c>
      <c r="I59" s="48">
        <v>90936545.739999995</v>
      </c>
      <c r="J59" s="48">
        <v>108544254.14</v>
      </c>
      <c r="K59" s="48">
        <v>117792982.34</v>
      </c>
      <c r="L59" s="48">
        <v>120432191.44</v>
      </c>
      <c r="M59" s="48">
        <v>119318845.92</v>
      </c>
      <c r="N59" s="48">
        <v>85952523.989999995</v>
      </c>
      <c r="O59" s="48">
        <v>182957290.99000001</v>
      </c>
      <c r="P59" s="48">
        <v>196562640.66</v>
      </c>
      <c r="Q59" s="48">
        <v>193917871.19</v>
      </c>
      <c r="R59" s="48">
        <v>205996328.03999999</v>
      </c>
      <c r="S59" s="48">
        <v>185064515.49000001</v>
      </c>
      <c r="T59" s="48">
        <v>162584375.81</v>
      </c>
      <c r="U59" s="48">
        <v>166392003.33000001</v>
      </c>
      <c r="V59" s="48">
        <v>193326039.83000001</v>
      </c>
      <c r="W59" s="48">
        <v>204768859.34</v>
      </c>
      <c r="X59" s="48">
        <v>256675618.16</v>
      </c>
      <c r="Y59" s="48">
        <v>255485823.87</v>
      </c>
      <c r="Z59" s="48">
        <v>492405127.98000002</v>
      </c>
      <c r="AA59" s="48">
        <v>29130105.079999998</v>
      </c>
      <c r="AB59" s="48">
        <v>28991860.079999998</v>
      </c>
      <c r="AC59" s="48">
        <v>538726877.86000001</v>
      </c>
      <c r="AD59" s="48">
        <v>53979889.469999999</v>
      </c>
      <c r="AE59" s="48">
        <v>52097442.380000003</v>
      </c>
      <c r="AF59" s="48">
        <v>47083836.090000004</v>
      </c>
      <c r="AG59" s="48">
        <v>44013077.140000001</v>
      </c>
      <c r="AH59" s="48">
        <v>47969370.93</v>
      </c>
      <c r="AI59" s="48">
        <v>47529931.579999998</v>
      </c>
      <c r="AJ59" s="48">
        <v>44861630.590000004</v>
      </c>
      <c r="AK59" s="48">
        <v>43239740</v>
      </c>
      <c r="AL59" s="48">
        <v>46926540.119999997</v>
      </c>
      <c r="AM59" s="48">
        <v>43988789.609999999</v>
      </c>
      <c r="AN59" s="48">
        <v>4397448.51</v>
      </c>
      <c r="AO59" s="48">
        <v>10718110.609999999</v>
      </c>
      <c r="AP59" s="48">
        <v>3715634.42</v>
      </c>
      <c r="AQ59" s="48">
        <v>8719104.8000000007</v>
      </c>
      <c r="AR59" s="48">
        <v>4544461</v>
      </c>
      <c r="AS59" s="48">
        <v>7789600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s="48" t="s">
        <v>230</v>
      </c>
      <c r="B60" s="48">
        <v>19853688155.299999</v>
      </c>
      <c r="C60" s="48">
        <v>20631101413.650002</v>
      </c>
      <c r="D60" s="48">
        <v>20459174515.189999</v>
      </c>
      <c r="E60" s="48">
        <v>20716932699.389999</v>
      </c>
      <c r="F60" s="48">
        <v>19919823549.630001</v>
      </c>
      <c r="G60" s="48">
        <v>19798095775.990002</v>
      </c>
      <c r="H60" s="48">
        <v>20410015030.880001</v>
      </c>
      <c r="I60" s="48">
        <v>19748505613.439999</v>
      </c>
      <c r="J60" s="48">
        <v>19675660240.68</v>
      </c>
      <c r="K60" s="48">
        <v>20070900697.82</v>
      </c>
      <c r="L60" s="48">
        <v>19186110008.98</v>
      </c>
      <c r="M60" s="48">
        <v>18933377981.139999</v>
      </c>
      <c r="N60" s="48">
        <v>18583112820.049999</v>
      </c>
      <c r="O60" s="48">
        <v>20856266484.970001</v>
      </c>
      <c r="P60" s="48">
        <v>18837714894.790001</v>
      </c>
      <c r="Q60" s="48">
        <v>18970967004.27</v>
      </c>
      <c r="R60" s="48">
        <v>20043613909.07</v>
      </c>
      <c r="S60" s="48">
        <v>20097610801.169998</v>
      </c>
      <c r="T60" s="48">
        <v>18884916786.419998</v>
      </c>
      <c r="U60" s="48">
        <v>18271596920.610001</v>
      </c>
      <c r="V60" s="48">
        <v>16472680647.299999</v>
      </c>
      <c r="W60" s="48">
        <v>16137616757.610001</v>
      </c>
      <c r="X60" s="48">
        <v>14962920289.67</v>
      </c>
      <c r="Y60" s="48">
        <v>16314457316</v>
      </c>
      <c r="Z60" s="48">
        <v>15346712918.209999</v>
      </c>
      <c r="AA60" s="48">
        <v>11826369327.41</v>
      </c>
      <c r="AB60" s="48">
        <v>9950863591.0599995</v>
      </c>
      <c r="AC60" s="48">
        <v>12055021153.75</v>
      </c>
      <c r="AD60" s="48">
        <v>9441422170.4599991</v>
      </c>
      <c r="AE60" s="48">
        <v>9196274973.7199993</v>
      </c>
      <c r="AF60" s="48">
        <v>7959238877.7299995</v>
      </c>
      <c r="AG60" s="48">
        <v>7683707233.5900002</v>
      </c>
      <c r="AH60" s="48">
        <v>7773818725.79</v>
      </c>
      <c r="AI60" s="48">
        <v>7365446156.1400003</v>
      </c>
      <c r="AJ60" s="48">
        <v>6354976661.4799995</v>
      </c>
      <c r="AK60" s="48">
        <v>6124343372.79</v>
      </c>
      <c r="AL60" s="48">
        <v>6069491038.0500002</v>
      </c>
      <c r="AM60" s="48">
        <v>5241527298.8400002</v>
      </c>
      <c r="AN60" s="48">
        <v>4484227785.5900002</v>
      </c>
      <c r="AO60" s="48">
        <v>4262187248.4400001</v>
      </c>
      <c r="AP60" s="48">
        <v>4452457081.5699997</v>
      </c>
      <c r="AQ60" s="48">
        <v>4577760578.5699997</v>
      </c>
      <c r="AR60" s="48">
        <v>4029206275.4099998</v>
      </c>
      <c r="AS60" s="48">
        <v>4328229496.1800003</v>
      </c>
      <c r="AT60" s="48">
        <v>4126682611.1100001</v>
      </c>
      <c r="AU60" s="48">
        <v>4012371562.7199998</v>
      </c>
      <c r="AV60" s="48">
        <v>3393408813.7199998</v>
      </c>
      <c r="AW60" s="48">
        <v>3330319703.9099998</v>
      </c>
      <c r="AX60" s="48">
        <v>3044507406.9899998</v>
      </c>
      <c r="AY60" s="48">
        <v>3014792969.0700002</v>
      </c>
      <c r="AZ60" s="48">
        <v>2609990503.8600001</v>
      </c>
      <c r="BA60" s="48">
        <v>2809969343.29</v>
      </c>
      <c r="BB60" s="48">
        <v>2751751336.1700001</v>
      </c>
      <c r="BC60" s="48">
        <v>3075392858.5100002</v>
      </c>
      <c r="BD60" s="48">
        <v>3039613964.3200002</v>
      </c>
      <c r="BE60" s="48">
        <v>3229313425.23</v>
      </c>
      <c r="BF60" s="48">
        <v>3618392318.8499999</v>
      </c>
      <c r="BG60" s="48">
        <v>3812831021.8299999</v>
      </c>
      <c r="BH60" s="48">
        <v>3637069425.2399998</v>
      </c>
      <c r="BI60" s="48">
        <v>3812017298.71</v>
      </c>
      <c r="BJ60" s="48">
        <v>3904949965.96</v>
      </c>
      <c r="BK60" s="48">
        <v>4235180494.5300002</v>
      </c>
      <c r="BL60" s="48">
        <v>4204697200.9299998</v>
      </c>
      <c r="BM60" s="48">
        <v>4245476503.7800002</v>
      </c>
      <c r="BN60" s="48">
        <v>3749762028.1399999</v>
      </c>
      <c r="BO60" s="48">
        <v>4136903555.4299998</v>
      </c>
      <c r="BP60" s="48">
        <v>3763385062.6599998</v>
      </c>
      <c r="BQ60" s="48">
        <v>3552781085.8299999</v>
      </c>
      <c r="BR60" s="48">
        <v>3586199264.4899998</v>
      </c>
      <c r="BS60" s="48">
        <v>3277418884.4699998</v>
      </c>
      <c r="BT60" s="48">
        <v>3377434694.8000002</v>
      </c>
      <c r="BU60" s="48">
        <v>3271128522.9099998</v>
      </c>
      <c r="BV60" s="48">
        <v>2849717973.9099998</v>
      </c>
      <c r="BW60" s="48">
        <v>2996757881.0799999</v>
      </c>
      <c r="BX60" s="48">
        <v>1225663644.96</v>
      </c>
      <c r="BY60" s="48">
        <v>1375170843.52</v>
      </c>
      <c r="BZ60" s="48">
        <v>1250996152</v>
      </c>
      <c r="CA60" s="48">
        <v>1412852739.24</v>
      </c>
      <c r="CB60" s="48">
        <v>1130877457.01</v>
      </c>
      <c r="CC60" s="48">
        <v>826354594.00999999</v>
      </c>
      <c r="CD60" s="48">
        <v>518981060.12</v>
      </c>
      <c r="CE60" s="48">
        <v>351641000</v>
      </c>
      <c r="CF60" s="48">
        <v>402854967.94999999</v>
      </c>
      <c r="CG60" s="48">
        <v>487416196.41000003</v>
      </c>
      <c r="CH60" s="48">
        <v>484140000</v>
      </c>
      <c r="CI60" s="48">
        <v>342710000</v>
      </c>
      <c r="CJ60" s="48">
        <v>177920000</v>
      </c>
      <c r="CK60" s="48">
        <v>184440000</v>
      </c>
      <c r="CL60" s="48">
        <v>0</v>
      </c>
    </row>
    <row r="61" spans="1:90">
      <c r="A61" s="48" t="s">
        <v>231</v>
      </c>
    </row>
    <row r="62" spans="1:90">
      <c r="A62" s="48" t="s">
        <v>232</v>
      </c>
      <c r="B62" s="48">
        <v>0</v>
      </c>
      <c r="C62" s="48">
        <v>143000</v>
      </c>
      <c r="D62" s="48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42239624.340000004</v>
      </c>
      <c r="P62" s="48">
        <v>1435909344.8</v>
      </c>
      <c r="Q62" s="48">
        <v>1416282497.4000001</v>
      </c>
      <c r="R62" s="48">
        <v>55674211.799999997</v>
      </c>
      <c r="S62" s="48">
        <v>48366168.219999999</v>
      </c>
      <c r="T62" s="48">
        <v>46679317</v>
      </c>
      <c r="U62" s="48">
        <v>45068319.740000002</v>
      </c>
      <c r="V62" s="48">
        <v>1427719300</v>
      </c>
      <c r="W62" s="48">
        <v>1434737631.5999999</v>
      </c>
      <c r="X62" s="48">
        <v>1461995244.5999999</v>
      </c>
      <c r="Y62" s="48">
        <v>1462792987.5</v>
      </c>
      <c r="Z62" s="48">
        <v>190210977</v>
      </c>
      <c r="AA62" s="48">
        <v>0</v>
      </c>
      <c r="AB62" s="48">
        <v>0</v>
      </c>
      <c r="AC62" s="48">
        <v>1482841204.2</v>
      </c>
      <c r="AD62" s="48">
        <v>50000000</v>
      </c>
      <c r="AE62" s="48">
        <v>50000000</v>
      </c>
      <c r="AF62" s="48">
        <v>50000000</v>
      </c>
      <c r="AG62" s="48">
        <v>50000000</v>
      </c>
      <c r="AH62" s="48">
        <v>50000000</v>
      </c>
      <c r="AI62" s="48">
        <v>50000000</v>
      </c>
      <c r="AJ62" s="48">
        <v>160051234.65000001</v>
      </c>
      <c r="AK62" s="48">
        <v>160053922.36000001</v>
      </c>
      <c r="AL62" s="48">
        <v>5066161.46</v>
      </c>
      <c r="AM62" s="48">
        <v>5068023.79</v>
      </c>
      <c r="AN62" s="48">
        <v>5059065.22</v>
      </c>
      <c r="AO62" s="48">
        <v>5081364.59</v>
      </c>
      <c r="AP62" s="48">
        <v>10111946</v>
      </c>
      <c r="AQ62" s="48">
        <v>10133585.32</v>
      </c>
      <c r="AR62" s="48">
        <v>10172046.130000001</v>
      </c>
      <c r="AS62" s="48">
        <v>10236812.93</v>
      </c>
      <c r="AT62" s="48">
        <v>10256864.68</v>
      </c>
      <c r="AU62" s="48">
        <v>10269543.289999999</v>
      </c>
      <c r="AV62" s="48">
        <v>10309204.76</v>
      </c>
      <c r="AW62" s="48">
        <v>10332375.48</v>
      </c>
      <c r="AX62" s="48">
        <v>10339610.119999999</v>
      </c>
      <c r="AY62" s="48">
        <v>10399623.810000001</v>
      </c>
      <c r="AZ62" s="48">
        <v>25491637.18</v>
      </c>
      <c r="BA62" s="48">
        <v>25528759.670000002</v>
      </c>
      <c r="BB62" s="48">
        <v>45000000</v>
      </c>
      <c r="BC62" s="48">
        <v>34000000</v>
      </c>
      <c r="BD62" s="48">
        <v>64000000</v>
      </c>
      <c r="BE62" s="48">
        <v>64000000</v>
      </c>
      <c r="BF62" s="48">
        <v>39000000</v>
      </c>
      <c r="BG62" s="48">
        <v>39000000</v>
      </c>
      <c r="BH62" s="48">
        <v>59000000</v>
      </c>
      <c r="BI62" s="48">
        <v>59000000</v>
      </c>
      <c r="BJ62" s="48">
        <v>78250000</v>
      </c>
      <c r="BK62" s="48">
        <v>59250000</v>
      </c>
      <c r="BL62" s="48">
        <v>43250000</v>
      </c>
      <c r="BM62" s="48">
        <v>43250000</v>
      </c>
      <c r="BN62" s="48">
        <v>49638110.170000002</v>
      </c>
      <c r="BO62" s="48">
        <v>49638110.170000002</v>
      </c>
      <c r="BP62" s="48">
        <v>18776220.34</v>
      </c>
      <c r="BQ62" s="48">
        <v>3888110.17</v>
      </c>
      <c r="BR62" s="48">
        <v>5508110.1699999999</v>
      </c>
      <c r="BS62" s="48">
        <v>3888110.17</v>
      </c>
      <c r="BT62" s="48">
        <v>11543110.17</v>
      </c>
      <c r="BU62" s="48">
        <v>11543110.17</v>
      </c>
      <c r="BV62" s="48">
        <v>11369970.67</v>
      </c>
      <c r="BW62" s="48">
        <v>13294970.67</v>
      </c>
      <c r="BX62" s="48">
        <v>657800</v>
      </c>
      <c r="BY62" s="48">
        <v>2392800</v>
      </c>
      <c r="BZ62" s="48">
        <v>0</v>
      </c>
      <c r="CA62" s="48">
        <v>3076400</v>
      </c>
      <c r="CB62" s="48">
        <v>0</v>
      </c>
      <c r="CC62" s="48">
        <v>4410000</v>
      </c>
      <c r="CD62" s="48">
        <v>0</v>
      </c>
      <c r="CE62" s="48">
        <v>4410000</v>
      </c>
      <c r="CF62" s="48">
        <v>0</v>
      </c>
      <c r="CG62" s="48">
        <v>45851731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s="48" t="s">
        <v>233</v>
      </c>
      <c r="B63" s="48">
        <v>0</v>
      </c>
      <c r="C63" s="48">
        <v>0</v>
      </c>
      <c r="D63" s="48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</v>
      </c>
      <c r="AG63" s="48">
        <v>0</v>
      </c>
      <c r="AH63" s="48">
        <v>0</v>
      </c>
      <c r="AI63" s="48">
        <v>0</v>
      </c>
      <c r="AJ63" s="48">
        <v>0</v>
      </c>
      <c r="AK63" s="48">
        <v>0</v>
      </c>
      <c r="AL63" s="48">
        <v>0</v>
      </c>
      <c r="AM63" s="48">
        <v>0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  <c r="AS63" s="48">
        <v>0</v>
      </c>
      <c r="AT63" s="48">
        <v>0</v>
      </c>
      <c r="AU63" s="48">
        <v>0</v>
      </c>
      <c r="AV63" s="48">
        <v>0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0</v>
      </c>
      <c r="BS63" s="48">
        <v>0</v>
      </c>
      <c r="BT63" s="48">
        <v>0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s="48" t="s">
        <v>234</v>
      </c>
      <c r="B64" s="48">
        <v>143000</v>
      </c>
      <c r="C64" s="48">
        <v>0</v>
      </c>
      <c r="D64" s="48">
        <v>892406.14</v>
      </c>
      <c r="E64" s="48">
        <v>892406.16</v>
      </c>
      <c r="F64" s="48">
        <v>143000</v>
      </c>
      <c r="G64" s="48">
        <v>143000</v>
      </c>
      <c r="H64" s="48">
        <v>143000</v>
      </c>
      <c r="I64" s="48">
        <v>143000</v>
      </c>
      <c r="J64" s="48">
        <v>143000</v>
      </c>
      <c r="K64" s="48">
        <v>147635.48000000001</v>
      </c>
      <c r="L64" s="48">
        <v>285058.53000000003</v>
      </c>
      <c r="M64" s="48">
        <v>143000</v>
      </c>
      <c r="N64" s="48">
        <v>693236.91</v>
      </c>
      <c r="O64" s="48">
        <v>392545.04</v>
      </c>
      <c r="P64" s="48">
        <v>197889.82</v>
      </c>
      <c r="Q64" s="48">
        <v>143000</v>
      </c>
      <c r="R64" s="48">
        <v>562704.63</v>
      </c>
      <c r="S64" s="48">
        <v>476676.41</v>
      </c>
      <c r="T64" s="48">
        <v>173276.71</v>
      </c>
      <c r="U64" s="48">
        <v>143000</v>
      </c>
      <c r="V64" s="48">
        <v>524388.35</v>
      </c>
      <c r="W64" s="48">
        <v>397282.14</v>
      </c>
      <c r="X64" s="48">
        <v>191314.89</v>
      </c>
      <c r="Y64" s="48">
        <v>143000</v>
      </c>
      <c r="Z64" s="48">
        <v>143000</v>
      </c>
      <c r="AA64" s="48">
        <v>143000</v>
      </c>
      <c r="AB64" s="48">
        <v>143000</v>
      </c>
      <c r="AC64" s="48">
        <v>143000</v>
      </c>
      <c r="AD64" s="48">
        <v>1753920.89</v>
      </c>
      <c r="AE64" s="48">
        <v>1753920.89</v>
      </c>
      <c r="AF64" s="48">
        <v>1753920.89</v>
      </c>
      <c r="AG64" s="48">
        <v>1753920.89</v>
      </c>
      <c r="AH64" s="48">
        <v>1753920.89</v>
      </c>
      <c r="AI64" s="48">
        <v>1753920.89</v>
      </c>
      <c r="AJ64" s="48">
        <v>1753920.89</v>
      </c>
      <c r="AK64" s="48">
        <v>1753920.89</v>
      </c>
      <c r="AL64" s="48">
        <v>1753920.89</v>
      </c>
      <c r="AM64" s="48">
        <v>1753920.89</v>
      </c>
      <c r="AN64" s="48">
        <v>1753920.89</v>
      </c>
      <c r="AO64" s="48">
        <v>1753920.89</v>
      </c>
      <c r="AP64" s="48">
        <v>1753920.89</v>
      </c>
      <c r="AQ64" s="48">
        <v>1753920.89</v>
      </c>
      <c r="AR64" s="48">
        <v>1753920.89</v>
      </c>
      <c r="AS64" s="48">
        <v>1753920.89</v>
      </c>
      <c r="AT64" s="48">
        <v>1753920.89</v>
      </c>
      <c r="AU64" s="48">
        <v>1753920.89</v>
      </c>
      <c r="AV64" s="48">
        <v>1753920.89</v>
      </c>
      <c r="AW64" s="48">
        <v>1753920.89</v>
      </c>
      <c r="AX64" s="48">
        <v>60275051.700000003</v>
      </c>
      <c r="AY64" s="48">
        <v>61994914.93</v>
      </c>
      <c r="AZ64" s="48">
        <v>6569509.0199999996</v>
      </c>
      <c r="BA64" s="48">
        <v>20703600.969999999</v>
      </c>
      <c r="BB64" s="48">
        <v>6843307.2699999996</v>
      </c>
      <c r="BC64" s="48">
        <v>6128372.75</v>
      </c>
      <c r="BD64" s="48">
        <v>5736905.1500000004</v>
      </c>
      <c r="BE64" s="48">
        <v>6569905.1500000004</v>
      </c>
      <c r="BF64" s="48">
        <v>9741007.2699999996</v>
      </c>
      <c r="BG64" s="48">
        <v>9620507.2699999996</v>
      </c>
      <c r="BH64" s="48">
        <v>9980507.2699999996</v>
      </c>
      <c r="BI64" s="48">
        <v>10056710.560000001</v>
      </c>
      <c r="BJ64" s="48">
        <v>9592440.0199999996</v>
      </c>
      <c r="BK64" s="48">
        <v>9591378.0199999996</v>
      </c>
      <c r="BL64" s="48">
        <v>10125118.140000001</v>
      </c>
      <c r="BM64" s="48">
        <v>10092793.359999999</v>
      </c>
      <c r="BN64" s="48">
        <v>2412974.15</v>
      </c>
      <c r="BO64" s="48">
        <v>2413774.15</v>
      </c>
      <c r="BP64" s="48">
        <v>2353908.9500000002</v>
      </c>
      <c r="BQ64" s="48">
        <v>2357708.9500000002</v>
      </c>
      <c r="BR64" s="48">
        <v>10427035</v>
      </c>
      <c r="BS64" s="48">
        <v>11503864.26</v>
      </c>
      <c r="BT64" s="48">
        <v>10037035</v>
      </c>
      <c r="BU64" s="48">
        <v>10037035</v>
      </c>
      <c r="BV64" s="48">
        <v>10037035</v>
      </c>
      <c r="BW64" s="48">
        <v>10037035</v>
      </c>
      <c r="BX64" s="48">
        <v>10037035</v>
      </c>
      <c r="BY64" s="48">
        <v>10037035</v>
      </c>
      <c r="BZ64" s="48">
        <v>0</v>
      </c>
      <c r="CA64" s="48">
        <v>10037035</v>
      </c>
      <c r="CB64" s="48">
        <v>0</v>
      </c>
      <c r="CC64" s="48">
        <v>10037035</v>
      </c>
      <c r="CD64" s="48">
        <v>0</v>
      </c>
      <c r="CE64" s="48">
        <v>0</v>
      </c>
      <c r="CF64" s="48">
        <v>0</v>
      </c>
      <c r="CG64" s="48">
        <v>9683363.3699999992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>
      <c r="A65" s="48" t="s">
        <v>235</v>
      </c>
      <c r="B65" s="48">
        <v>115372320.29000001</v>
      </c>
      <c r="C65" s="48">
        <v>114684317.73999999</v>
      </c>
      <c r="D65" s="48">
        <v>114687144.44</v>
      </c>
      <c r="E65" s="48">
        <v>125422047.83</v>
      </c>
      <c r="F65" s="48">
        <v>116727812.28</v>
      </c>
      <c r="G65" s="48">
        <v>116747281.38</v>
      </c>
      <c r="H65" s="48">
        <v>118835608.81999999</v>
      </c>
      <c r="I65" s="48">
        <v>126508741.19</v>
      </c>
      <c r="J65" s="48">
        <v>129450508.3</v>
      </c>
      <c r="K65" s="48">
        <v>129636625.72</v>
      </c>
      <c r="L65" s="48">
        <v>134895261</v>
      </c>
      <c r="M65" s="48">
        <v>134895261</v>
      </c>
      <c r="N65" s="48">
        <v>58695816.829999998</v>
      </c>
      <c r="O65" s="48">
        <v>88874228.849999994</v>
      </c>
      <c r="P65" s="48">
        <v>93004017.579999998</v>
      </c>
      <c r="Q65" s="48">
        <v>97836603.989999995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48">
        <v>0</v>
      </c>
      <c r="AF65" s="48">
        <v>0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0</v>
      </c>
      <c r="AM65" s="48">
        <v>0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  <c r="AS65" s="48">
        <v>0</v>
      </c>
      <c r="AT65" s="48">
        <v>0</v>
      </c>
      <c r="AU65" s="48">
        <v>0</v>
      </c>
      <c r="AV65" s="48">
        <v>0</v>
      </c>
      <c r="AW65" s="48">
        <v>0</v>
      </c>
      <c r="AX65" s="48">
        <v>0</v>
      </c>
      <c r="AY65" s="48">
        <v>0</v>
      </c>
      <c r="AZ65" s="48">
        <v>0</v>
      </c>
      <c r="BA65" s="48">
        <v>0</v>
      </c>
      <c r="BB65" s="48">
        <v>0</v>
      </c>
      <c r="BC65" s="48">
        <v>0</v>
      </c>
      <c r="BD65" s="48">
        <v>0</v>
      </c>
      <c r="BE65" s="48">
        <v>0</v>
      </c>
      <c r="BF65" s="48">
        <v>0</v>
      </c>
      <c r="BG65" s="48">
        <v>0</v>
      </c>
      <c r="BH65" s="48">
        <v>0</v>
      </c>
      <c r="BI65" s="48">
        <v>0</v>
      </c>
      <c r="BJ65" s="48">
        <v>0</v>
      </c>
      <c r="BK65" s="48">
        <v>0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0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0</v>
      </c>
      <c r="CA65" s="48">
        <v>0</v>
      </c>
      <c r="CB65" s="48">
        <v>0</v>
      </c>
      <c r="CC65" s="48">
        <v>0</v>
      </c>
      <c r="CD65" s="48">
        <v>0</v>
      </c>
      <c r="CE65" s="48">
        <v>0</v>
      </c>
      <c r="CF65" s="48">
        <v>0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  <c r="CL65" s="48">
        <v>0</v>
      </c>
    </row>
    <row r="66" spans="1:90">
      <c r="A66" s="48" t="s">
        <v>236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451133256.63</v>
      </c>
      <c r="O66" s="48">
        <v>368324094.19</v>
      </c>
      <c r="P66" s="48">
        <v>508597141.54000002</v>
      </c>
      <c r="Q66" s="48">
        <v>527514094.19</v>
      </c>
      <c r="R66" s="48">
        <v>533555166.83999997</v>
      </c>
      <c r="S66" s="48">
        <v>528287554.30000001</v>
      </c>
      <c r="T66" s="48">
        <v>546999793.61000001</v>
      </c>
      <c r="U66" s="48">
        <v>478594799.04000002</v>
      </c>
      <c r="V66" s="48">
        <v>490792556.92000002</v>
      </c>
      <c r="W66" s="48">
        <v>491781980.81999999</v>
      </c>
      <c r="X66" s="48">
        <v>336824140.51999998</v>
      </c>
      <c r="Y66" s="48">
        <v>337097926.5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1840934.52</v>
      </c>
      <c r="AU66" s="48">
        <v>1774934.52</v>
      </c>
      <c r="AV66" s="48">
        <v>1374934.52</v>
      </c>
      <c r="AW66" s="48">
        <v>1110772.1599999999</v>
      </c>
      <c r="AX66" s="48">
        <v>329526.07</v>
      </c>
      <c r="AY66" s="48">
        <v>1086477.29</v>
      </c>
      <c r="AZ66" s="48">
        <v>380880.39</v>
      </c>
      <c r="BA66" s="48">
        <v>1160509.9099999999</v>
      </c>
      <c r="BB66" s="48">
        <v>425900</v>
      </c>
      <c r="BC66" s="48">
        <v>1139334.52</v>
      </c>
      <c r="BD66" s="48">
        <v>1139334.52</v>
      </c>
      <c r="BE66" s="48">
        <v>1139334.52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  <c r="CL66" s="48">
        <v>0</v>
      </c>
    </row>
    <row r="67" spans="1:90">
      <c r="A67" s="48" t="s">
        <v>237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48">
        <v>0</v>
      </c>
      <c r="CB67" s="48">
        <v>0</v>
      </c>
      <c r="CC67" s="48">
        <v>0</v>
      </c>
      <c r="CD67" s="48">
        <v>0</v>
      </c>
      <c r="CE67" s="48">
        <v>0</v>
      </c>
      <c r="CF67" s="48">
        <v>0</v>
      </c>
      <c r="CG67" s="48">
        <v>0</v>
      </c>
      <c r="CH67" s="48">
        <v>0</v>
      </c>
      <c r="CI67" s="48">
        <v>0</v>
      </c>
      <c r="CJ67" s="48">
        <v>0</v>
      </c>
      <c r="CK67" s="48">
        <v>0</v>
      </c>
      <c r="CL67" s="48">
        <v>0</v>
      </c>
    </row>
    <row r="68" spans="1:90">
      <c r="A68" s="48" t="s">
        <v>238</v>
      </c>
      <c r="B68" s="48">
        <v>62765220.07</v>
      </c>
      <c r="C68" s="48">
        <v>60880442.770000003</v>
      </c>
      <c r="D68" s="48">
        <v>66757206.229999997</v>
      </c>
      <c r="E68" s="48">
        <v>38462336.270000003</v>
      </c>
      <c r="F68" s="48">
        <v>54196561.490000002</v>
      </c>
      <c r="G68" s="48">
        <v>56909393.329999998</v>
      </c>
      <c r="H68" s="48">
        <v>57824989.609999999</v>
      </c>
      <c r="I68" s="48">
        <v>55027840.439999998</v>
      </c>
      <c r="J68" s="48">
        <v>41021119.869999997</v>
      </c>
      <c r="K68" s="48">
        <v>41599818.229999997</v>
      </c>
      <c r="L68" s="48">
        <v>57463600.049999997</v>
      </c>
      <c r="M68" s="48">
        <v>64383640.159999996</v>
      </c>
      <c r="N68" s="48">
        <v>61101424.75</v>
      </c>
      <c r="O68" s="48">
        <v>78368970.950000003</v>
      </c>
      <c r="P68" s="48">
        <v>92463910.909999996</v>
      </c>
      <c r="Q68" s="48">
        <v>78467210.099999994</v>
      </c>
      <c r="R68" s="48">
        <v>92707825.519999996</v>
      </c>
      <c r="S68" s="48">
        <v>85077428.640000001</v>
      </c>
      <c r="T68" s="48">
        <v>85761514.969999999</v>
      </c>
      <c r="U68" s="48">
        <v>87126358.530000001</v>
      </c>
      <c r="V68" s="48">
        <v>99993098.420000002</v>
      </c>
      <c r="W68" s="48">
        <v>82631973.120000005</v>
      </c>
      <c r="X68" s="48">
        <v>128139916.58</v>
      </c>
      <c r="Y68" s="48">
        <v>128521843.11</v>
      </c>
      <c r="Z68" s="48">
        <v>107383347.84</v>
      </c>
      <c r="AA68" s="48">
        <v>41411694.719999999</v>
      </c>
      <c r="AB68" s="48">
        <v>43050828.079999998</v>
      </c>
      <c r="AC68" s="48">
        <v>72624175.909999996</v>
      </c>
      <c r="AD68" s="48">
        <v>41130884.609999999</v>
      </c>
      <c r="AE68" s="48">
        <v>39575463.509999998</v>
      </c>
      <c r="AF68" s="48">
        <v>39931048.210000001</v>
      </c>
      <c r="AG68" s="48">
        <v>40264134.43</v>
      </c>
      <c r="AH68" s="48">
        <v>42449400.32</v>
      </c>
      <c r="AI68" s="48">
        <v>42653466.369999997</v>
      </c>
      <c r="AJ68" s="48">
        <v>45069702.460000001</v>
      </c>
      <c r="AK68" s="48">
        <v>47336763.479999997</v>
      </c>
      <c r="AL68" s="48">
        <v>14075722.1</v>
      </c>
      <c r="AM68" s="48">
        <v>14836532.33</v>
      </c>
      <c r="AN68" s="48">
        <v>11348083.5</v>
      </c>
      <c r="AO68" s="48">
        <v>10223461.91</v>
      </c>
      <c r="AP68" s="48">
        <v>25097550.68</v>
      </c>
      <c r="AQ68" s="48">
        <v>25005134.829999998</v>
      </c>
      <c r="AR68" s="48">
        <v>27487284.390000001</v>
      </c>
      <c r="AS68" s="48">
        <v>27134956.109999999</v>
      </c>
      <c r="AT68" s="48">
        <v>33429408.100000001</v>
      </c>
      <c r="AU68" s="48">
        <v>26112266.84</v>
      </c>
      <c r="AV68" s="48">
        <v>8949288.2699999996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0</v>
      </c>
      <c r="BK68" s="48">
        <v>0</v>
      </c>
      <c r="BL68" s="48">
        <v>0</v>
      </c>
      <c r="BM68" s="48">
        <v>0</v>
      </c>
      <c r="BN68" s="48">
        <v>0</v>
      </c>
      <c r="BO68" s="48">
        <v>0</v>
      </c>
      <c r="BP68" s="48">
        <v>0</v>
      </c>
      <c r="BQ68" s="48">
        <v>0</v>
      </c>
      <c r="BR68" s="48">
        <v>7808390.7699999996</v>
      </c>
      <c r="BS68" s="48">
        <v>0</v>
      </c>
      <c r="BT68" s="48">
        <v>3339026.36</v>
      </c>
      <c r="BU68" s="48">
        <v>0</v>
      </c>
      <c r="BV68" s="48">
        <v>0</v>
      </c>
      <c r="BW68" s="48">
        <v>0</v>
      </c>
      <c r="BX68" s="48">
        <v>0</v>
      </c>
      <c r="BY68" s="48">
        <v>0</v>
      </c>
      <c r="BZ68" s="48">
        <v>0</v>
      </c>
      <c r="CA68" s="48">
        <v>0</v>
      </c>
      <c r="CB68" s="48">
        <v>0</v>
      </c>
      <c r="CC68" s="48">
        <v>0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  <c r="CL68" s="48">
        <v>0</v>
      </c>
    </row>
    <row r="69" spans="1:90">
      <c r="A69" s="48" t="s">
        <v>239</v>
      </c>
      <c r="B69" s="48">
        <v>201319103.75</v>
      </c>
      <c r="C69" s="48">
        <v>203568642.62</v>
      </c>
      <c r="D69" s="48">
        <v>205818181.49000001</v>
      </c>
      <c r="E69" s="48">
        <v>208067720.34</v>
      </c>
      <c r="F69" s="48">
        <v>210517259.21000001</v>
      </c>
      <c r="G69" s="48">
        <v>214246798.08000001</v>
      </c>
      <c r="H69" s="48">
        <v>216496336.94999999</v>
      </c>
      <c r="I69" s="48">
        <v>218745875.81999999</v>
      </c>
      <c r="J69" s="48">
        <v>224721625.30000001</v>
      </c>
      <c r="K69" s="48">
        <v>230434798.15000001</v>
      </c>
      <c r="L69" s="48">
        <v>232443108.97999999</v>
      </c>
      <c r="M69" s="48">
        <v>232283109</v>
      </c>
      <c r="N69" s="48">
        <v>52750000</v>
      </c>
      <c r="O69" s="48">
        <v>52750000</v>
      </c>
      <c r="P69" s="48">
        <v>54050000</v>
      </c>
      <c r="Q69" s="48">
        <v>54050000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0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8">
        <v>0</v>
      </c>
      <c r="BW69" s="48">
        <v>0</v>
      </c>
      <c r="BX69" s="48">
        <v>0</v>
      </c>
      <c r="BY69" s="48">
        <v>0</v>
      </c>
      <c r="BZ69" s="48">
        <v>0</v>
      </c>
      <c r="CA69" s="48">
        <v>0</v>
      </c>
      <c r="CB69" s="48">
        <v>0</v>
      </c>
      <c r="CC69" s="48">
        <v>0</v>
      </c>
      <c r="CD69" s="48">
        <v>0</v>
      </c>
      <c r="CE69" s="48">
        <v>0</v>
      </c>
      <c r="CF69" s="48">
        <v>0</v>
      </c>
      <c r="CG69" s="48">
        <v>0</v>
      </c>
      <c r="CH69" s="48">
        <v>0</v>
      </c>
      <c r="CI69" s="48">
        <v>0</v>
      </c>
      <c r="CJ69" s="48">
        <v>0</v>
      </c>
      <c r="CK69" s="48">
        <v>0</v>
      </c>
      <c r="CL69" s="48">
        <v>0</v>
      </c>
    </row>
    <row r="70" spans="1:90">
      <c r="A70" s="48" t="s">
        <v>240</v>
      </c>
      <c r="B70" s="48">
        <v>0</v>
      </c>
      <c r="C70" s="48">
        <v>0</v>
      </c>
      <c r="D70" s="48">
        <v>0</v>
      </c>
      <c r="E70" s="48">
        <v>0</v>
      </c>
      <c r="F70" s="48">
        <v>1223071.97</v>
      </c>
      <c r="G70" s="48">
        <v>1223071.97</v>
      </c>
      <c r="H70" s="48">
        <v>1396766.99</v>
      </c>
      <c r="I70" s="48">
        <v>1645900.19</v>
      </c>
      <c r="J70" s="48">
        <v>1280744.1299999999</v>
      </c>
      <c r="K70" s="48">
        <v>1280744.1100000001</v>
      </c>
      <c r="L70" s="48">
        <v>1165704.7</v>
      </c>
      <c r="M70" s="48">
        <v>1165704.6599999999</v>
      </c>
      <c r="N70" s="48">
        <v>124336.65</v>
      </c>
      <c r="O70" s="48">
        <v>9746385</v>
      </c>
      <c r="P70" s="48">
        <v>30760912.850000001</v>
      </c>
      <c r="Q70" s="48">
        <v>11929625</v>
      </c>
      <c r="R70" s="48">
        <v>115465195.89</v>
      </c>
      <c r="S70" s="48">
        <v>128488624.03</v>
      </c>
      <c r="T70" s="48">
        <v>133373494.23</v>
      </c>
      <c r="U70" s="48">
        <v>136726125.74000001</v>
      </c>
      <c r="V70" s="48">
        <v>304428001.45999998</v>
      </c>
      <c r="W70" s="48">
        <v>308638023.68000001</v>
      </c>
      <c r="X70" s="48">
        <v>348748892.81</v>
      </c>
      <c r="Y70" s="48">
        <v>370263167.26999998</v>
      </c>
      <c r="Z70" s="48">
        <v>498699481.50999999</v>
      </c>
      <c r="AA70" s="48">
        <v>5765650</v>
      </c>
      <c r="AB70" s="48">
        <v>5765650</v>
      </c>
      <c r="AC70" s="48">
        <v>43265572.689999998</v>
      </c>
      <c r="AD70" s="48">
        <v>17498983.329999998</v>
      </c>
      <c r="AE70" s="48">
        <v>17498983.329999998</v>
      </c>
      <c r="AF70" s="48">
        <v>17498983.329999998</v>
      </c>
      <c r="AG70" s="48">
        <v>17548983.329999998</v>
      </c>
      <c r="AH70" s="48">
        <v>16346050</v>
      </c>
      <c r="AI70" s="48">
        <v>17466050</v>
      </c>
      <c r="AJ70" s="48">
        <v>18115650</v>
      </c>
      <c r="AK70" s="48">
        <v>10115650</v>
      </c>
      <c r="AL70" s="48">
        <v>12940816.34</v>
      </c>
      <c r="AM70" s="48">
        <v>3500000</v>
      </c>
      <c r="AN70" s="48">
        <v>3700940</v>
      </c>
      <c r="AO70" s="48">
        <v>3010940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1055171.3600000001</v>
      </c>
      <c r="BS70" s="48">
        <v>-30079893.239999998</v>
      </c>
      <c r="BT70" s="48">
        <v>1099891.96</v>
      </c>
      <c r="BU70" s="48">
        <v>1099891.96</v>
      </c>
      <c r="BV70" s="48">
        <v>0</v>
      </c>
      <c r="BW70" s="48">
        <v>0</v>
      </c>
      <c r="BX70" s="48">
        <v>0</v>
      </c>
      <c r="BY70" s="48">
        <v>-4451806.22</v>
      </c>
      <c r="BZ70" s="48">
        <v>0</v>
      </c>
      <c r="CA70" s="48">
        <v>-4175163.53</v>
      </c>
      <c r="CB70" s="48">
        <v>0</v>
      </c>
      <c r="CC70" s="48">
        <v>-4244677.6399999997</v>
      </c>
      <c r="CD70" s="48">
        <v>0</v>
      </c>
      <c r="CE70" s="48">
        <v>0</v>
      </c>
      <c r="CF70" s="48">
        <v>0</v>
      </c>
      <c r="CG70" s="48">
        <v>0</v>
      </c>
      <c r="CH70" s="48">
        <v>0</v>
      </c>
      <c r="CI70" s="48">
        <v>0</v>
      </c>
      <c r="CJ70" s="48">
        <v>0</v>
      </c>
      <c r="CK70" s="48">
        <v>0</v>
      </c>
      <c r="CL70" s="48">
        <v>0</v>
      </c>
    </row>
    <row r="71" spans="1:90">
      <c r="A71" s="48" t="s">
        <v>241</v>
      </c>
      <c r="B71" s="48">
        <v>379599644.11000001</v>
      </c>
      <c r="C71" s="48">
        <v>379276403.13</v>
      </c>
      <c r="D71" s="48">
        <v>388154938.30000001</v>
      </c>
      <c r="E71" s="48">
        <v>372844510.60000002</v>
      </c>
      <c r="F71" s="48">
        <v>382807704.94999999</v>
      </c>
      <c r="G71" s="48">
        <v>389269544.75999999</v>
      </c>
      <c r="H71" s="48">
        <v>394696702.37</v>
      </c>
      <c r="I71" s="48">
        <v>402071357.63999999</v>
      </c>
      <c r="J71" s="48">
        <v>396616997.60000002</v>
      </c>
      <c r="K71" s="48">
        <v>403099621.69</v>
      </c>
      <c r="L71" s="48">
        <v>426252733.25999999</v>
      </c>
      <c r="M71" s="48">
        <v>432870714.81999999</v>
      </c>
      <c r="N71" s="48">
        <v>624498071.76999998</v>
      </c>
      <c r="O71" s="48">
        <v>640695848.37</v>
      </c>
      <c r="P71" s="48">
        <v>2214983217.5</v>
      </c>
      <c r="Q71" s="48">
        <v>2186223030.6799998</v>
      </c>
      <c r="R71" s="48">
        <v>829344884.97000003</v>
      </c>
      <c r="S71" s="48">
        <v>827540481.40999997</v>
      </c>
      <c r="T71" s="48">
        <v>847356746.92999995</v>
      </c>
      <c r="U71" s="48">
        <v>782027953.46000004</v>
      </c>
      <c r="V71" s="48">
        <v>2323457345.1500001</v>
      </c>
      <c r="W71" s="48">
        <v>2318186891.3600001</v>
      </c>
      <c r="X71" s="48">
        <v>2275899509.4000001</v>
      </c>
      <c r="Y71" s="48">
        <v>2298818924.3800001</v>
      </c>
      <c r="Z71" s="48">
        <v>796436806.35000002</v>
      </c>
      <c r="AA71" s="48">
        <v>47320344.719999999</v>
      </c>
      <c r="AB71" s="48">
        <v>48959478.079999998</v>
      </c>
      <c r="AC71" s="48">
        <v>1598873952.8</v>
      </c>
      <c r="AD71" s="48">
        <v>110383788.83</v>
      </c>
      <c r="AE71" s="48">
        <v>108828367.73</v>
      </c>
      <c r="AF71" s="48">
        <v>109183952.43000001</v>
      </c>
      <c r="AG71" s="48">
        <v>109567038.65000001</v>
      </c>
      <c r="AH71" s="48">
        <v>110549371.20999999</v>
      </c>
      <c r="AI71" s="48">
        <v>111873437.26000001</v>
      </c>
      <c r="AJ71" s="48">
        <v>224990508</v>
      </c>
      <c r="AK71" s="48">
        <v>219260256.72999999</v>
      </c>
      <c r="AL71" s="48">
        <v>33836620.789999999</v>
      </c>
      <c r="AM71" s="48">
        <v>25158477.010000002</v>
      </c>
      <c r="AN71" s="48">
        <v>21862009.609999999</v>
      </c>
      <c r="AO71" s="48">
        <v>20069687.390000001</v>
      </c>
      <c r="AP71" s="48">
        <v>36963417.57</v>
      </c>
      <c r="AQ71" s="48">
        <v>36892641.039999999</v>
      </c>
      <c r="AR71" s="48">
        <v>39413251.409999996</v>
      </c>
      <c r="AS71" s="48">
        <v>39125689.93</v>
      </c>
      <c r="AT71" s="48">
        <v>47281128.189999998</v>
      </c>
      <c r="AU71" s="48">
        <v>39910665.539999999</v>
      </c>
      <c r="AV71" s="48">
        <v>22387348.440000001</v>
      </c>
      <c r="AW71" s="48">
        <v>13197068.529999999</v>
      </c>
      <c r="AX71" s="48">
        <v>70944187.890000001</v>
      </c>
      <c r="AY71" s="48">
        <v>73481016.030000001</v>
      </c>
      <c r="AZ71" s="48">
        <v>32442026.59</v>
      </c>
      <c r="BA71" s="48">
        <v>47392870.549999997</v>
      </c>
      <c r="BB71" s="48">
        <v>52269207.270000003</v>
      </c>
      <c r="BC71" s="48">
        <v>41267707.270000003</v>
      </c>
      <c r="BD71" s="48">
        <v>70876239.670000002</v>
      </c>
      <c r="BE71" s="48">
        <v>71709239.670000002</v>
      </c>
      <c r="BF71" s="48">
        <v>48741007.270000003</v>
      </c>
      <c r="BG71" s="48">
        <v>48620507.270000003</v>
      </c>
      <c r="BH71" s="48">
        <v>68980507.269999996</v>
      </c>
      <c r="BI71" s="48">
        <v>69056710.560000002</v>
      </c>
      <c r="BJ71" s="48">
        <v>87842440.019999996</v>
      </c>
      <c r="BK71" s="48">
        <v>68841378.019999996</v>
      </c>
      <c r="BL71" s="48">
        <v>53375118.140000001</v>
      </c>
      <c r="BM71" s="48">
        <v>53342793.359999999</v>
      </c>
      <c r="BN71" s="48">
        <v>52051084.32</v>
      </c>
      <c r="BO71" s="48">
        <v>52051884.32</v>
      </c>
      <c r="BP71" s="48">
        <v>21130129.289999999</v>
      </c>
      <c r="BQ71" s="48">
        <v>6245819.1200000001</v>
      </c>
      <c r="BR71" s="48">
        <v>24798707.300000001</v>
      </c>
      <c r="BS71" s="48">
        <v>15391974.43</v>
      </c>
      <c r="BT71" s="48">
        <v>21699712.260000002</v>
      </c>
      <c r="BU71" s="48">
        <v>17762193.960000001</v>
      </c>
      <c r="BV71" s="48">
        <v>16700834.92</v>
      </c>
      <c r="BW71" s="48">
        <v>18637712.379999999</v>
      </c>
      <c r="BX71" s="48">
        <v>6237527.5800000001</v>
      </c>
      <c r="BY71" s="48">
        <v>7978028.7800000003</v>
      </c>
      <c r="BZ71" s="48">
        <v>9367983.4800000004</v>
      </c>
      <c r="CA71" s="48">
        <v>8938271.4700000007</v>
      </c>
      <c r="CB71" s="48">
        <v>21954491.920000002</v>
      </c>
      <c r="CC71" s="48">
        <v>10202357.359999999</v>
      </c>
      <c r="CD71" s="48">
        <v>12315352.42</v>
      </c>
      <c r="CE71" s="48">
        <v>14486000</v>
      </c>
      <c r="CF71" s="48">
        <v>15176572.18</v>
      </c>
      <c r="CG71" s="48">
        <v>55535094.369999997</v>
      </c>
      <c r="CH71" s="48">
        <v>68620000</v>
      </c>
      <c r="CI71" s="48">
        <v>35070000</v>
      </c>
      <c r="CJ71" s="48">
        <v>16410000</v>
      </c>
      <c r="CK71" s="48">
        <v>31250000</v>
      </c>
      <c r="CL71" s="48">
        <v>0</v>
      </c>
    </row>
    <row r="72" spans="1:90">
      <c r="A72" s="48" t="s">
        <v>242</v>
      </c>
      <c r="B72" s="48">
        <v>20233287799.41</v>
      </c>
      <c r="C72" s="48">
        <v>21010377816.779999</v>
      </c>
      <c r="D72" s="48">
        <v>20847329453.490002</v>
      </c>
      <c r="E72" s="48">
        <v>21089777209.990002</v>
      </c>
      <c r="F72" s="48">
        <v>20302631254.580002</v>
      </c>
      <c r="G72" s="48">
        <v>20187365320.75</v>
      </c>
      <c r="H72" s="48">
        <v>20804711733.25</v>
      </c>
      <c r="I72" s="48">
        <v>20150576971.080002</v>
      </c>
      <c r="J72" s="48">
        <v>20072277238.279999</v>
      </c>
      <c r="K72" s="48">
        <v>20474000319.509998</v>
      </c>
      <c r="L72" s="48">
        <v>19612362742.240002</v>
      </c>
      <c r="M72" s="48">
        <v>19366248695.959999</v>
      </c>
      <c r="N72" s="48">
        <v>19207610891.82</v>
      </c>
      <c r="O72" s="48">
        <v>21496962333.34</v>
      </c>
      <c r="P72" s="48">
        <v>21052698112.290001</v>
      </c>
      <c r="Q72" s="48">
        <v>21157190034.950001</v>
      </c>
      <c r="R72" s="48">
        <v>20872958794.040001</v>
      </c>
      <c r="S72" s="48">
        <v>20925151282.580002</v>
      </c>
      <c r="T72" s="48">
        <v>19732273533.349998</v>
      </c>
      <c r="U72" s="48">
        <v>19053624874.07</v>
      </c>
      <c r="V72" s="48">
        <v>18796137992.450001</v>
      </c>
      <c r="W72" s="48">
        <v>18455803648.970001</v>
      </c>
      <c r="X72" s="48">
        <v>17238819799.07</v>
      </c>
      <c r="Y72" s="48">
        <v>18613276240.380001</v>
      </c>
      <c r="Z72" s="48">
        <v>16143149724.559999</v>
      </c>
      <c r="AA72" s="48">
        <v>11873689672.129999</v>
      </c>
      <c r="AB72" s="48">
        <v>9999823069.1399994</v>
      </c>
      <c r="AC72" s="48">
        <v>13653895106.549999</v>
      </c>
      <c r="AD72" s="48">
        <v>9551805959.2900009</v>
      </c>
      <c r="AE72" s="48">
        <v>9305103341.4500008</v>
      </c>
      <c r="AF72" s="48">
        <v>8068422830.1599998</v>
      </c>
      <c r="AG72" s="48">
        <v>7793274272.2399998</v>
      </c>
      <c r="AH72" s="48">
        <v>7884368097</v>
      </c>
      <c r="AI72" s="48">
        <v>7477319593.3999996</v>
      </c>
      <c r="AJ72" s="48">
        <v>6579967169.4799995</v>
      </c>
      <c r="AK72" s="48">
        <v>6343603629.5200005</v>
      </c>
      <c r="AL72" s="48">
        <v>6103327658.8400002</v>
      </c>
      <c r="AM72" s="48">
        <v>5266685775.8500004</v>
      </c>
      <c r="AN72" s="48">
        <v>4506089795.1999998</v>
      </c>
      <c r="AO72" s="48">
        <v>4282256935.8299999</v>
      </c>
      <c r="AP72" s="48">
        <v>4489420499.1400003</v>
      </c>
      <c r="AQ72" s="48">
        <v>4614653219.6099997</v>
      </c>
      <c r="AR72" s="48">
        <v>4068619526.8200002</v>
      </c>
      <c r="AS72" s="48">
        <v>4367355186.1099997</v>
      </c>
      <c r="AT72" s="48">
        <v>4173963739.3000002</v>
      </c>
      <c r="AU72" s="48">
        <v>4052282228.2600002</v>
      </c>
      <c r="AV72" s="48">
        <v>3415796162.1599998</v>
      </c>
      <c r="AW72" s="48">
        <v>3343516772.4400001</v>
      </c>
      <c r="AX72" s="48">
        <v>3115451594.8800001</v>
      </c>
      <c r="AY72" s="48">
        <v>3088273985.0999999</v>
      </c>
      <c r="AZ72" s="48">
        <v>2642432530.4499998</v>
      </c>
      <c r="BA72" s="48">
        <v>2857362213.8400002</v>
      </c>
      <c r="BB72" s="48">
        <v>2804020543.4400001</v>
      </c>
      <c r="BC72" s="48">
        <v>3116660565.7800002</v>
      </c>
      <c r="BD72" s="48">
        <v>3110490203.9899998</v>
      </c>
      <c r="BE72" s="48">
        <v>3301022664.9000001</v>
      </c>
      <c r="BF72" s="48">
        <v>3667133326.1199999</v>
      </c>
      <c r="BG72" s="48">
        <v>3861451529.0999999</v>
      </c>
      <c r="BH72" s="48">
        <v>3706049932.5100002</v>
      </c>
      <c r="BI72" s="48">
        <v>3881074009.27</v>
      </c>
      <c r="BJ72" s="48">
        <v>3992792405.98</v>
      </c>
      <c r="BK72" s="48">
        <v>4304021872.5500002</v>
      </c>
      <c r="BL72" s="48">
        <v>4258072319.0700002</v>
      </c>
      <c r="BM72" s="48">
        <v>4298819297.1400003</v>
      </c>
      <c r="BN72" s="48">
        <v>3801813112.46</v>
      </c>
      <c r="BO72" s="48">
        <v>4188955439.75</v>
      </c>
      <c r="BP72" s="48">
        <v>3784515191.9499998</v>
      </c>
      <c r="BQ72" s="48">
        <v>3559026904.9499998</v>
      </c>
      <c r="BR72" s="48">
        <v>3610997971.79</v>
      </c>
      <c r="BS72" s="48">
        <v>3292810858.9000001</v>
      </c>
      <c r="BT72" s="48">
        <v>3399134407.0599999</v>
      </c>
      <c r="BU72" s="48">
        <v>3288890716.8699999</v>
      </c>
      <c r="BV72" s="48">
        <v>2866418808.8299999</v>
      </c>
      <c r="BW72" s="48">
        <v>3015395593.46</v>
      </c>
      <c r="BX72" s="48">
        <v>1231901172.54</v>
      </c>
      <c r="BY72" s="48">
        <v>1383148872.3</v>
      </c>
      <c r="BZ72" s="48">
        <v>1260364135.48</v>
      </c>
      <c r="CA72" s="48">
        <v>1421791010.71</v>
      </c>
      <c r="CB72" s="48">
        <v>1152831948.9300001</v>
      </c>
      <c r="CC72" s="48">
        <v>836556951.37</v>
      </c>
      <c r="CD72" s="48">
        <v>531296412.54000002</v>
      </c>
      <c r="CE72" s="48">
        <v>366127000</v>
      </c>
      <c r="CF72" s="48">
        <v>418031540.13</v>
      </c>
      <c r="CG72" s="48">
        <v>542951290.77999997</v>
      </c>
      <c r="CH72" s="48">
        <v>552760000</v>
      </c>
      <c r="CI72" s="48">
        <v>377780000</v>
      </c>
      <c r="CJ72" s="48">
        <v>194330000</v>
      </c>
      <c r="CK72" s="48">
        <v>215690000</v>
      </c>
      <c r="CL72" s="48">
        <v>0</v>
      </c>
    </row>
    <row r="73" spans="1:90">
      <c r="A73" s="48" t="s">
        <v>243</v>
      </c>
    </row>
    <row r="74" spans="1:90">
      <c r="A74" s="48" t="s">
        <v>244</v>
      </c>
      <c r="B74" s="48">
        <v>1022739308</v>
      </c>
      <c r="C74" s="48">
        <v>1022739308</v>
      </c>
      <c r="D74" s="48">
        <v>1022739308</v>
      </c>
      <c r="E74" s="48">
        <v>1022739308</v>
      </c>
      <c r="F74" s="48">
        <v>1022739308</v>
      </c>
      <c r="G74" s="48">
        <v>1022739308</v>
      </c>
      <c r="H74" s="48">
        <v>1022739308</v>
      </c>
      <c r="I74" s="48">
        <v>1022739308</v>
      </c>
      <c r="J74" s="48">
        <v>1022739308</v>
      </c>
      <c r="K74" s="48">
        <v>1022739308</v>
      </c>
      <c r="L74" s="48">
        <v>1022739308</v>
      </c>
      <c r="M74" s="48">
        <v>1022739308</v>
      </c>
      <c r="N74" s="48">
        <v>1022739308</v>
      </c>
      <c r="O74" s="48">
        <v>1022739308</v>
      </c>
      <c r="P74" s="48">
        <v>1022739308</v>
      </c>
      <c r="Q74" s="48">
        <v>1022739308</v>
      </c>
      <c r="R74" s="48">
        <v>1022739308</v>
      </c>
      <c r="S74" s="48">
        <v>1022739308</v>
      </c>
      <c r="T74" s="48">
        <v>1022739308</v>
      </c>
      <c r="U74" s="48">
        <v>1022739308</v>
      </c>
      <c r="V74" s="48">
        <v>1022739308</v>
      </c>
      <c r="W74" s="48">
        <v>1022739308</v>
      </c>
      <c r="X74" s="48">
        <v>1022739308</v>
      </c>
      <c r="Y74" s="48">
        <v>1022739308</v>
      </c>
      <c r="Z74" s="48">
        <v>1022739308</v>
      </c>
      <c r="AA74" s="48">
        <v>1022739308</v>
      </c>
      <c r="AB74" s="48">
        <v>1022739308</v>
      </c>
      <c r="AC74" s="48">
        <v>1022739308</v>
      </c>
      <c r="AD74" s="48">
        <v>1022739308</v>
      </c>
      <c r="AE74" s="48">
        <v>1022739308</v>
      </c>
      <c r="AF74" s="48">
        <v>1022739308</v>
      </c>
      <c r="AG74" s="48">
        <v>1022739308</v>
      </c>
      <c r="AH74" s="48">
        <v>1022739308</v>
      </c>
      <c r="AI74" s="48">
        <v>1022739308</v>
      </c>
      <c r="AJ74" s="48">
        <v>1022739308</v>
      </c>
      <c r="AK74" s="48">
        <v>1022739308</v>
      </c>
      <c r="AL74" s="48">
        <v>1022739308</v>
      </c>
      <c r="AM74" s="48">
        <v>1022739308</v>
      </c>
      <c r="AN74" s="48">
        <v>1022739308</v>
      </c>
      <c r="AO74" s="48">
        <v>1022739308</v>
      </c>
      <c r="AP74" s="48">
        <v>1022739308</v>
      </c>
      <c r="AQ74" s="48">
        <v>852282757</v>
      </c>
      <c r="AR74" s="48">
        <v>852282757</v>
      </c>
      <c r="AS74" s="48">
        <v>852282757</v>
      </c>
      <c r="AT74" s="48">
        <v>852282757</v>
      </c>
      <c r="AU74" s="48">
        <v>852282757</v>
      </c>
      <c r="AV74" s="48">
        <v>852282757</v>
      </c>
      <c r="AW74" s="48">
        <v>852282757</v>
      </c>
      <c r="AX74" s="48">
        <v>852282757</v>
      </c>
      <c r="AY74" s="48">
        <v>852282757</v>
      </c>
      <c r="AZ74" s="48">
        <v>852282757</v>
      </c>
      <c r="BA74" s="48">
        <v>852282757</v>
      </c>
      <c r="BB74" s="48">
        <v>852282757</v>
      </c>
      <c r="BC74" s="48">
        <v>852282757</v>
      </c>
      <c r="BD74" s="48">
        <v>852282757</v>
      </c>
      <c r="BE74" s="48">
        <v>852282757</v>
      </c>
      <c r="BF74" s="48">
        <v>852282757</v>
      </c>
      <c r="BG74" s="48">
        <v>710235631</v>
      </c>
      <c r="BH74" s="48">
        <v>710235631</v>
      </c>
      <c r="BI74" s="48">
        <v>710235631</v>
      </c>
      <c r="BJ74" s="48">
        <v>710235631</v>
      </c>
      <c r="BK74" s="48">
        <v>710235631</v>
      </c>
      <c r="BL74" s="48">
        <v>591863026</v>
      </c>
      <c r="BM74" s="48">
        <v>591863026</v>
      </c>
      <c r="BN74" s="48">
        <v>591863026</v>
      </c>
      <c r="BO74" s="48">
        <v>538057296</v>
      </c>
      <c r="BP74" s="48">
        <v>538057296</v>
      </c>
      <c r="BQ74" s="48">
        <v>538057296</v>
      </c>
      <c r="BR74" s="48">
        <v>448381080</v>
      </c>
      <c r="BS74" s="48">
        <v>448381080</v>
      </c>
      <c r="BT74" s="48">
        <v>448381080</v>
      </c>
      <c r="BU74" s="48">
        <v>448381080</v>
      </c>
      <c r="BV74" s="48">
        <v>328381080</v>
      </c>
      <c r="BW74" s="48">
        <v>328381080</v>
      </c>
      <c r="BX74" s="48">
        <v>328381080</v>
      </c>
      <c r="BY74" s="48">
        <v>328381080</v>
      </c>
      <c r="BZ74" s="48">
        <v>328381080</v>
      </c>
      <c r="CA74" s="48">
        <v>328381080</v>
      </c>
      <c r="CB74" s="48">
        <v>328381080</v>
      </c>
      <c r="CC74" s="48">
        <v>273650900</v>
      </c>
      <c r="CD74" s="48">
        <v>273650900</v>
      </c>
      <c r="CE74" s="48">
        <v>273651000</v>
      </c>
      <c r="CF74" s="48">
        <v>273650900</v>
      </c>
      <c r="CG74" s="48">
        <v>203650900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8" t="s">
        <v>245</v>
      </c>
      <c r="B75" s="48">
        <v>2039257706.1500001</v>
      </c>
      <c r="C75" s="48">
        <v>2039257706.1500001</v>
      </c>
      <c r="D75" s="48">
        <v>2039257706.1500001</v>
      </c>
      <c r="E75" s="48">
        <v>2039257706.1500001</v>
      </c>
      <c r="F75" s="48">
        <v>2040369939.8499999</v>
      </c>
      <c r="G75" s="48">
        <v>2040369939.8499999</v>
      </c>
      <c r="H75" s="48">
        <v>2040369939.8499999</v>
      </c>
      <c r="I75" s="48">
        <v>2040369939.8499999</v>
      </c>
      <c r="J75" s="48">
        <v>2040369939.8499999</v>
      </c>
      <c r="K75" s="48">
        <v>2040369939.8599999</v>
      </c>
      <c r="L75" s="48">
        <v>2044371070.28</v>
      </c>
      <c r="M75" s="48">
        <v>2044371070.28</v>
      </c>
      <c r="N75" s="48">
        <v>2045566883.75</v>
      </c>
      <c r="O75" s="48">
        <v>2044371070.28</v>
      </c>
      <c r="P75" s="48">
        <v>1639996070.28</v>
      </c>
      <c r="Q75" s="48">
        <v>1639996070.28</v>
      </c>
      <c r="R75" s="48">
        <v>1700880260.95</v>
      </c>
      <c r="S75" s="48">
        <v>1652552705.24</v>
      </c>
      <c r="T75" s="48">
        <v>1673759344.55</v>
      </c>
      <c r="U75" s="48">
        <v>1661771296.45</v>
      </c>
      <c r="V75" s="48">
        <v>1688174464.0699999</v>
      </c>
      <c r="W75" s="48">
        <v>1611037795.8099999</v>
      </c>
      <c r="X75" s="48">
        <v>1621549515.03</v>
      </c>
      <c r="Y75" s="48">
        <v>1601618149.1099999</v>
      </c>
      <c r="Z75" s="48">
        <v>1656058738.6700001</v>
      </c>
      <c r="AA75" s="48">
        <v>1477074053.1700001</v>
      </c>
      <c r="AB75" s="48">
        <v>1481439430.6199999</v>
      </c>
      <c r="AC75" s="48">
        <v>2234240676</v>
      </c>
      <c r="AD75" s="48">
        <v>1476301521.28</v>
      </c>
      <c r="AE75" s="48">
        <v>1471105574.99</v>
      </c>
      <c r="AF75" s="48">
        <v>1471231045.75</v>
      </c>
      <c r="AG75" s="48">
        <v>1471393540.9200001</v>
      </c>
      <c r="AH75" s="48">
        <v>1472527705.55</v>
      </c>
      <c r="AI75" s="48">
        <v>1471117696.6500001</v>
      </c>
      <c r="AJ75" s="48">
        <v>1474888519.6099999</v>
      </c>
      <c r="AK75" s="48">
        <v>1475955651.1400001</v>
      </c>
      <c r="AL75" s="48">
        <v>1475482718.0699999</v>
      </c>
      <c r="AM75" s="48">
        <v>1446570162.6400001</v>
      </c>
      <c r="AN75" s="48">
        <v>1436104816.1300001</v>
      </c>
      <c r="AO75" s="48">
        <v>1427446370.5599999</v>
      </c>
      <c r="AP75" s="48">
        <v>1434397466.53</v>
      </c>
      <c r="AQ75" s="48">
        <v>1606186187.6300001</v>
      </c>
      <c r="AR75" s="48">
        <v>1622763647.1600001</v>
      </c>
      <c r="AS75" s="48">
        <v>1625836133.4300001</v>
      </c>
      <c r="AT75" s="48">
        <v>1631986276.4200001</v>
      </c>
      <c r="AU75" s="48">
        <v>1619187502.77</v>
      </c>
      <c r="AV75" s="48">
        <v>1587234934.6600001</v>
      </c>
      <c r="AW75" s="48">
        <v>1585431086.6800001</v>
      </c>
      <c r="AX75" s="48">
        <v>1585589112.8299999</v>
      </c>
      <c r="AY75" s="48">
        <v>1585589112.8299999</v>
      </c>
      <c r="AZ75" s="48">
        <v>1585323490.8299999</v>
      </c>
      <c r="BA75" s="48">
        <v>1585319455.1700001</v>
      </c>
      <c r="BB75" s="48">
        <v>1583577566.8199999</v>
      </c>
      <c r="BC75" s="48">
        <v>1583555869.0799999</v>
      </c>
      <c r="BD75" s="48">
        <v>1583418930.3499999</v>
      </c>
      <c r="BE75" s="48">
        <v>1583418930.3499999</v>
      </c>
      <c r="BF75" s="48">
        <v>1571862177.3699999</v>
      </c>
      <c r="BG75" s="48">
        <v>1712502786.74</v>
      </c>
      <c r="BH75" s="48">
        <v>1711306590.52</v>
      </c>
      <c r="BI75" s="48">
        <v>1711306590.6199999</v>
      </c>
      <c r="BJ75" s="48">
        <v>1695205445.3499999</v>
      </c>
      <c r="BK75" s="48">
        <v>1695161344.1800001</v>
      </c>
      <c r="BL75" s="48">
        <v>1813483605.1800001</v>
      </c>
      <c r="BM75" s="48">
        <v>1810398617.79</v>
      </c>
      <c r="BN75" s="48">
        <v>1804848341.3</v>
      </c>
      <c r="BO75" s="48">
        <v>1858037220.9300001</v>
      </c>
      <c r="BP75" s="48">
        <v>1855704250.52</v>
      </c>
      <c r="BQ75" s="48">
        <v>1855135466.0899999</v>
      </c>
      <c r="BR75" s="48">
        <v>1938468355.0699999</v>
      </c>
      <c r="BS75" s="48">
        <v>1943307076.45</v>
      </c>
      <c r="BT75" s="48">
        <v>1935403531.1800001</v>
      </c>
      <c r="BU75" s="48">
        <v>1934771760.48</v>
      </c>
      <c r="BV75" s="48">
        <v>665586424.62</v>
      </c>
      <c r="BW75" s="48">
        <v>665566716.62</v>
      </c>
      <c r="BX75" s="48">
        <v>665134231.63</v>
      </c>
      <c r="BY75" s="48">
        <v>665053179.01999998</v>
      </c>
      <c r="BZ75" s="48">
        <v>662117383.08000004</v>
      </c>
      <c r="CA75" s="48">
        <v>659592080.08000004</v>
      </c>
      <c r="CB75" s="48">
        <v>641372232.88999999</v>
      </c>
      <c r="CC75" s="48">
        <v>641372232.88999999</v>
      </c>
      <c r="CD75" s="48">
        <v>641372232.88999999</v>
      </c>
      <c r="CE75" s="48">
        <v>641324000</v>
      </c>
      <c r="CF75" s="48">
        <v>638403784.88999999</v>
      </c>
      <c r="CG75" s="48">
        <v>274599680.88999999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8" t="s">
        <v>246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48">
        <v>0</v>
      </c>
      <c r="CB76" s="48">
        <v>0</v>
      </c>
      <c r="CC76" s="48">
        <v>0</v>
      </c>
      <c r="CD76" s="48">
        <v>0</v>
      </c>
      <c r="CE76" s="48">
        <v>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8" t="s">
        <v>247</v>
      </c>
      <c r="B77" s="48">
        <v>379578.15</v>
      </c>
      <c r="C77" s="48">
        <v>379578.33</v>
      </c>
      <c r="D77" s="48">
        <v>173795.25</v>
      </c>
      <c r="E77" s="48">
        <v>66372390.090000004</v>
      </c>
      <c r="F77" s="48">
        <v>113293730.97</v>
      </c>
      <c r="G77" s="48">
        <v>121027404.41</v>
      </c>
      <c r="H77" s="48">
        <v>123267249.14</v>
      </c>
      <c r="I77" s="48">
        <v>114470980.94</v>
      </c>
      <c r="J77" s="48">
        <v>87087424.519999996</v>
      </c>
      <c r="K77" s="48">
        <v>88580627.120000005</v>
      </c>
      <c r="L77" s="48">
        <v>93899299.579999998</v>
      </c>
      <c r="M77" s="48">
        <v>115453768.95999999</v>
      </c>
      <c r="N77" s="48">
        <v>102599232.11</v>
      </c>
      <c r="O77" s="48">
        <v>44633232.530000001</v>
      </c>
      <c r="P77" s="48">
        <v>39963589.479999997</v>
      </c>
      <c r="Q77" s="48">
        <v>23472079.469999999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>
      <c r="A78" s="48" t="s">
        <v>248</v>
      </c>
      <c r="B78" s="48">
        <v>9228506.5899999999</v>
      </c>
      <c r="C78" s="48">
        <v>10686138.02</v>
      </c>
      <c r="D78" s="48">
        <v>10518980.310000001</v>
      </c>
      <c r="E78" s="48">
        <v>9676689.0999999996</v>
      </c>
      <c r="F78" s="48">
        <v>10108157.33</v>
      </c>
      <c r="G78" s="48">
        <v>10313683.810000001</v>
      </c>
      <c r="H78" s="48">
        <v>9975294.5600000005</v>
      </c>
      <c r="I78" s="48">
        <v>9720622.4700000007</v>
      </c>
      <c r="J78" s="48">
        <v>10006355.1</v>
      </c>
      <c r="K78" s="48">
        <v>10447557.050000001</v>
      </c>
      <c r="L78" s="48">
        <v>9803979.8900000006</v>
      </c>
      <c r="M78" s="48">
        <v>9923266.0700000003</v>
      </c>
      <c r="N78" s="48">
        <v>7711188.0499999998</v>
      </c>
      <c r="O78" s="48">
        <v>9181367.3699999992</v>
      </c>
      <c r="P78" s="48">
        <v>8122985.5700000003</v>
      </c>
      <c r="Q78" s="48">
        <v>8122985.5700000003</v>
      </c>
      <c r="R78" s="48">
        <v>0</v>
      </c>
      <c r="S78" s="48">
        <v>7595223.2199999997</v>
      </c>
      <c r="T78" s="48">
        <v>0</v>
      </c>
      <c r="U78" s="48">
        <v>6102812.6600000001</v>
      </c>
      <c r="V78" s="48">
        <v>0</v>
      </c>
      <c r="W78" s="48">
        <v>6460515.2800000003</v>
      </c>
      <c r="X78" s="48">
        <v>5530696.96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48">
        <v>0</v>
      </c>
      <c r="CB78" s="48">
        <v>0</v>
      </c>
      <c r="CC78" s="48">
        <v>0</v>
      </c>
      <c r="CD78" s="48">
        <v>0</v>
      </c>
      <c r="CE78" s="48">
        <v>0</v>
      </c>
      <c r="CF78" s="48">
        <v>0</v>
      </c>
      <c r="CG78" s="48">
        <v>0</v>
      </c>
      <c r="CH78" s="48">
        <v>0</v>
      </c>
      <c r="CI78" s="48">
        <v>0</v>
      </c>
      <c r="CJ78" s="48">
        <v>0</v>
      </c>
      <c r="CK78" s="48">
        <v>0</v>
      </c>
      <c r="CL78" s="48">
        <v>0</v>
      </c>
    </row>
    <row r="79" spans="1:90">
      <c r="A79" s="48" t="s">
        <v>249</v>
      </c>
      <c r="B79" s="48">
        <v>1320646920.6600001</v>
      </c>
      <c r="C79" s="48">
        <v>1320646920.6600001</v>
      </c>
      <c r="D79" s="48">
        <v>1320646920.6600001</v>
      </c>
      <c r="E79" s="48">
        <v>1320646920.6600001</v>
      </c>
      <c r="F79" s="48">
        <v>1320646920.6600001</v>
      </c>
      <c r="G79" s="48">
        <v>1320646920.6600001</v>
      </c>
      <c r="H79" s="48">
        <v>1320646920.6600001</v>
      </c>
      <c r="I79" s="48">
        <v>1320646920.6600001</v>
      </c>
      <c r="J79" s="48">
        <v>1320646920.6600001</v>
      </c>
      <c r="K79" s="48">
        <v>1320646920.6600001</v>
      </c>
      <c r="L79" s="48">
        <v>1320646920.6600001</v>
      </c>
      <c r="M79" s="48">
        <v>1320646920.6600001</v>
      </c>
      <c r="N79" s="48">
        <v>1320646920.6600001</v>
      </c>
      <c r="O79" s="48">
        <v>1320646920.6600001</v>
      </c>
      <c r="P79" s="48">
        <v>1320646920.6600001</v>
      </c>
      <c r="Q79" s="48">
        <v>1320646920.6600001</v>
      </c>
      <c r="R79" s="48">
        <v>1321118748.78</v>
      </c>
      <c r="S79" s="48">
        <v>1321118748.78</v>
      </c>
      <c r="T79" s="48">
        <v>1320646920.6600001</v>
      </c>
      <c r="U79" s="48">
        <v>1320646920.6600001</v>
      </c>
      <c r="V79" s="48">
        <v>1306295323.8699999</v>
      </c>
      <c r="W79" s="48">
        <v>1306295323.8699999</v>
      </c>
      <c r="X79" s="48">
        <v>1306295323.8699999</v>
      </c>
      <c r="Y79" s="48">
        <v>1306295323.8699999</v>
      </c>
      <c r="Z79" s="48">
        <v>1219623867.3599999</v>
      </c>
      <c r="AA79" s="48">
        <v>1219623867.3599999</v>
      </c>
      <c r="AB79" s="48">
        <v>1234599718.03</v>
      </c>
      <c r="AC79" s="48">
        <v>1234599718.03</v>
      </c>
      <c r="AD79" s="48">
        <v>1155823454.77</v>
      </c>
      <c r="AE79" s="48">
        <v>1155823454.77</v>
      </c>
      <c r="AF79" s="48">
        <v>1157766101.1500001</v>
      </c>
      <c r="AG79" s="48">
        <v>1157766101.1500001</v>
      </c>
      <c r="AH79" s="48">
        <v>1003506333.84</v>
      </c>
      <c r="AI79" s="48">
        <v>1003506333.84</v>
      </c>
      <c r="AJ79" s="48">
        <v>1003506333.84</v>
      </c>
      <c r="AK79" s="48">
        <v>1003506333.84</v>
      </c>
      <c r="AL79" s="48">
        <v>870530104.05999994</v>
      </c>
      <c r="AM79" s="48">
        <v>870530104.05999994</v>
      </c>
      <c r="AN79" s="48">
        <v>870313024.05999994</v>
      </c>
      <c r="AO79" s="48">
        <v>870313024.05999994</v>
      </c>
      <c r="AP79" s="48">
        <v>747142301.03999996</v>
      </c>
      <c r="AQ79" s="48">
        <v>747142301.03999996</v>
      </c>
      <c r="AR79" s="48">
        <v>747153162.12</v>
      </c>
      <c r="AS79" s="48">
        <v>747153162.12</v>
      </c>
      <c r="AT79" s="48">
        <v>396808306.86000001</v>
      </c>
      <c r="AU79" s="48">
        <v>826758649.22000003</v>
      </c>
      <c r="AV79" s="48">
        <v>826864618.09000003</v>
      </c>
      <c r="AW79" s="48">
        <v>838333509.35000002</v>
      </c>
      <c r="AX79" s="48">
        <v>748346692.34000003</v>
      </c>
      <c r="AY79" s="48">
        <v>748346692.34000003</v>
      </c>
      <c r="AZ79" s="48">
        <v>748197550.34000003</v>
      </c>
      <c r="BA79" s="48">
        <v>748197550.34000003</v>
      </c>
      <c r="BB79" s="48">
        <v>668527882.49000001</v>
      </c>
      <c r="BC79" s="48">
        <v>668527882.49000001</v>
      </c>
      <c r="BD79" s="48">
        <v>665605093.65999997</v>
      </c>
      <c r="BE79" s="48">
        <v>666815227.25</v>
      </c>
      <c r="BF79" s="48">
        <v>567984565.92999995</v>
      </c>
      <c r="BG79" s="48">
        <v>567984565.92999995</v>
      </c>
      <c r="BH79" s="48">
        <v>567984565.94000006</v>
      </c>
      <c r="BI79" s="48">
        <v>567244885.92999995</v>
      </c>
      <c r="BJ79" s="48">
        <v>419337334.51999998</v>
      </c>
      <c r="BK79" s="48">
        <v>418925284.51999998</v>
      </c>
      <c r="BL79" s="48">
        <v>417678847.70999998</v>
      </c>
      <c r="BM79" s="48">
        <v>417678847.70999998</v>
      </c>
      <c r="BN79" s="48">
        <v>284703861.92000002</v>
      </c>
      <c r="BO79" s="48">
        <v>284703861.92000002</v>
      </c>
      <c r="BP79" s="48">
        <v>284703861.92000002</v>
      </c>
      <c r="BQ79" s="48">
        <v>284703861.92000002</v>
      </c>
      <c r="BR79" s="48">
        <v>176995325.03999999</v>
      </c>
      <c r="BS79" s="48">
        <v>175028150.86000001</v>
      </c>
      <c r="BT79" s="48">
        <v>166077140.02000001</v>
      </c>
      <c r="BU79" s="48">
        <v>163213138.47</v>
      </c>
      <c r="BV79" s="48">
        <v>163539774.94999999</v>
      </c>
      <c r="BW79" s="48">
        <v>143804245.41</v>
      </c>
      <c r="BX79" s="48">
        <v>143505737.25</v>
      </c>
      <c r="BY79" s="48">
        <v>144024016.50999999</v>
      </c>
      <c r="BZ79" s="48">
        <v>132232212.09999999</v>
      </c>
      <c r="CA79" s="48">
        <v>130443089.94</v>
      </c>
      <c r="CB79" s="48">
        <v>137978409.43000001</v>
      </c>
      <c r="CC79" s="48">
        <v>127164283.31</v>
      </c>
      <c r="CD79" s="48">
        <v>69601738.090000004</v>
      </c>
      <c r="CE79" s="48">
        <v>34778000</v>
      </c>
      <c r="CF79" s="48">
        <v>10546287.800000001</v>
      </c>
      <c r="CG79" s="48">
        <v>1136843.69</v>
      </c>
      <c r="CH79" s="48">
        <v>0</v>
      </c>
      <c r="CI79" s="48">
        <v>0</v>
      </c>
      <c r="CJ79" s="48">
        <v>0</v>
      </c>
      <c r="CK79" s="48">
        <v>0</v>
      </c>
      <c r="CL79" s="48">
        <v>0</v>
      </c>
    </row>
    <row r="80" spans="1:90">
      <c r="A80" s="48" t="s">
        <v>250</v>
      </c>
      <c r="B80" s="48">
        <v>0</v>
      </c>
      <c r="C80" s="48">
        <v>0</v>
      </c>
      <c r="D80" s="48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48">
        <v>0</v>
      </c>
      <c r="CB80" s="48">
        <v>0</v>
      </c>
      <c r="CC80" s="48">
        <v>0</v>
      </c>
      <c r="CD80" s="48">
        <v>0</v>
      </c>
      <c r="CE80" s="48">
        <v>0</v>
      </c>
      <c r="CF80" s="48">
        <v>0</v>
      </c>
      <c r="CG80" s="48">
        <v>0</v>
      </c>
      <c r="CH80" s="48">
        <v>0</v>
      </c>
      <c r="CI80" s="48">
        <v>0</v>
      </c>
      <c r="CJ80" s="48">
        <v>0</v>
      </c>
      <c r="CK80" s="48">
        <v>0</v>
      </c>
      <c r="CL80" s="48">
        <v>0</v>
      </c>
    </row>
    <row r="81" spans="1:90">
      <c r="A81" s="48" t="s">
        <v>251</v>
      </c>
      <c r="B81" s="48">
        <v>6268215598.3400002</v>
      </c>
      <c r="C81" s="48">
        <v>5868614909.8299999</v>
      </c>
      <c r="D81" s="48">
        <v>5965940979.4300003</v>
      </c>
      <c r="E81" s="48">
        <v>5577151227.1899996</v>
      </c>
      <c r="F81" s="48">
        <v>5311163331.9200001</v>
      </c>
      <c r="G81" s="48">
        <v>4896807682.0500002</v>
      </c>
      <c r="H81" s="48">
        <v>4945628537.3100004</v>
      </c>
      <c r="I81" s="48">
        <v>4706636692.1599998</v>
      </c>
      <c r="J81" s="48">
        <v>4482064685.4499998</v>
      </c>
      <c r="K81" s="48">
        <v>4081461765.5700002</v>
      </c>
      <c r="L81" s="48">
        <v>3825332919.0599999</v>
      </c>
      <c r="M81" s="48">
        <v>3605977097.1999998</v>
      </c>
      <c r="N81" s="48">
        <v>3472895693.0100002</v>
      </c>
      <c r="O81" s="48">
        <v>2449011020.0900002</v>
      </c>
      <c r="P81" s="48">
        <v>2387834552.3699999</v>
      </c>
      <c r="Q81" s="48">
        <v>2245638061.9099998</v>
      </c>
      <c r="R81" s="48">
        <v>2209874647.98</v>
      </c>
      <c r="S81" s="48">
        <v>1929639224.1600001</v>
      </c>
      <c r="T81" s="48">
        <v>1926794884.0599999</v>
      </c>
      <c r="U81" s="48">
        <v>1755367292.51</v>
      </c>
      <c r="V81" s="48">
        <v>1525522712.6099999</v>
      </c>
      <c r="W81" s="48">
        <v>1187407491.71</v>
      </c>
      <c r="X81" s="48">
        <v>1206017366.04</v>
      </c>
      <c r="Y81" s="48">
        <v>1118011764.1300001</v>
      </c>
      <c r="Z81" s="48">
        <v>1190436982.6500001</v>
      </c>
      <c r="AA81" s="48">
        <v>2458630791.4000001</v>
      </c>
      <c r="AB81" s="48">
        <v>2505863990.2399998</v>
      </c>
      <c r="AC81" s="48">
        <v>892086351.51999998</v>
      </c>
      <c r="AD81" s="48">
        <v>2262280196.29</v>
      </c>
      <c r="AE81" s="48">
        <v>2063057777.46</v>
      </c>
      <c r="AF81" s="48">
        <v>2025245485.3199999</v>
      </c>
      <c r="AG81" s="48">
        <v>1835178732.7</v>
      </c>
      <c r="AH81" s="48">
        <v>1888951064.6700001</v>
      </c>
      <c r="AI81" s="48">
        <v>1712125791.28</v>
      </c>
      <c r="AJ81" s="48">
        <v>1631238047.0899999</v>
      </c>
      <c r="AK81" s="48">
        <v>1461790072.1400001</v>
      </c>
      <c r="AL81" s="48">
        <v>1647612547.3800001</v>
      </c>
      <c r="AM81" s="48">
        <v>1489433745.72</v>
      </c>
      <c r="AN81" s="48">
        <v>1393782064.77</v>
      </c>
      <c r="AO81" s="48">
        <v>1257123188.75</v>
      </c>
      <c r="AP81" s="48">
        <v>1230328682.04</v>
      </c>
      <c r="AQ81" s="48">
        <v>1088674614.52</v>
      </c>
      <c r="AR81" s="48">
        <v>980521327.10000002</v>
      </c>
      <c r="AS81" s="48">
        <v>848115182.62</v>
      </c>
      <c r="AT81" s="48">
        <v>1118613055.72</v>
      </c>
      <c r="AU81" s="48">
        <v>525357157.43000001</v>
      </c>
      <c r="AV81" s="48">
        <v>403461761.73000002</v>
      </c>
      <c r="AW81" s="48">
        <v>371544386</v>
      </c>
      <c r="AX81" s="48">
        <v>363429189.26999998</v>
      </c>
      <c r="AY81" s="48">
        <v>244467864.97999999</v>
      </c>
      <c r="AZ81" s="48">
        <v>254618309.40000001</v>
      </c>
      <c r="BA81" s="48">
        <v>192812684.94999999</v>
      </c>
      <c r="BB81" s="48">
        <v>292526515.91000003</v>
      </c>
      <c r="BC81" s="48">
        <v>281230052.56999999</v>
      </c>
      <c r="BD81" s="48">
        <v>406650004.85000002</v>
      </c>
      <c r="BE81" s="48">
        <v>334116866.01999998</v>
      </c>
      <c r="BF81" s="48">
        <v>445681844.19</v>
      </c>
      <c r="BG81" s="48">
        <v>455559933.64999998</v>
      </c>
      <c r="BH81" s="48">
        <v>344656493.63999999</v>
      </c>
      <c r="BI81" s="48">
        <v>264614110.94</v>
      </c>
      <c r="BJ81" s="48">
        <v>363358290.55000001</v>
      </c>
      <c r="BK81" s="48">
        <v>278089580.66000003</v>
      </c>
      <c r="BL81" s="48">
        <v>133770782.09999999</v>
      </c>
      <c r="BM81" s="48">
        <v>119842474.04000001</v>
      </c>
      <c r="BN81" s="48">
        <v>257284974.88</v>
      </c>
      <c r="BO81" s="48">
        <v>170190260.5</v>
      </c>
      <c r="BP81" s="48">
        <v>105853126.12</v>
      </c>
      <c r="BQ81" s="48">
        <v>36818416.619999997</v>
      </c>
      <c r="BR81" s="48">
        <v>164751884.61000001</v>
      </c>
      <c r="BS81" s="48">
        <v>24363807.969999999</v>
      </c>
      <c r="BT81" s="48">
        <v>241854991.44</v>
      </c>
      <c r="BU81" s="48">
        <v>99358862.480000004</v>
      </c>
      <c r="BV81" s="48">
        <v>189774679.28999999</v>
      </c>
      <c r="BW81" s="48">
        <v>110559227.73</v>
      </c>
      <c r="BX81" s="48">
        <v>92578090.409999996</v>
      </c>
      <c r="BY81" s="48">
        <v>105677677.75</v>
      </c>
      <c r="BZ81" s="48">
        <v>51885677.789999999</v>
      </c>
      <c r="CA81" s="48">
        <v>42717718.460000001</v>
      </c>
      <c r="CB81" s="48">
        <v>75980140.25</v>
      </c>
      <c r="CC81" s="48">
        <v>35630191.829999998</v>
      </c>
      <c r="CD81" s="48">
        <v>91994293.900000006</v>
      </c>
      <c r="CE81" s="48">
        <v>129889000</v>
      </c>
      <c r="CF81" s="48">
        <v>81321459.170000002</v>
      </c>
      <c r="CG81" s="48">
        <v>12975517.09</v>
      </c>
      <c r="CH81" s="48">
        <v>0</v>
      </c>
      <c r="CI81" s="48">
        <v>0</v>
      </c>
      <c r="CJ81" s="48">
        <v>0</v>
      </c>
      <c r="CK81" s="48">
        <v>0</v>
      </c>
      <c r="CL81" s="48">
        <v>0</v>
      </c>
    </row>
    <row r="82" spans="1:90">
      <c r="A82" s="48" t="s">
        <v>252</v>
      </c>
      <c r="B82" s="48">
        <v>10660467617.889999</v>
      </c>
      <c r="C82" s="48">
        <v>10262324560.99</v>
      </c>
      <c r="D82" s="48">
        <v>10359277689.799999</v>
      </c>
      <c r="E82" s="48">
        <v>10035844241.190001</v>
      </c>
      <c r="F82" s="48">
        <v>9818321388.7299995</v>
      </c>
      <c r="G82" s="48">
        <v>9411904938.7800007</v>
      </c>
      <c r="H82" s="48">
        <v>9462627249.5200005</v>
      </c>
      <c r="I82" s="48">
        <v>9214584464.0799999</v>
      </c>
      <c r="J82" s="48">
        <v>8962914633.5799999</v>
      </c>
      <c r="K82" s="48">
        <v>8564246118.2600002</v>
      </c>
      <c r="L82" s="48">
        <v>8316793497.4700003</v>
      </c>
      <c r="M82" s="48">
        <v>8119111431.1700001</v>
      </c>
      <c r="N82" s="48">
        <v>7972159225.5799999</v>
      </c>
      <c r="O82" s="48">
        <v>6890582918.9300003</v>
      </c>
      <c r="P82" s="48">
        <v>6419303426.3599997</v>
      </c>
      <c r="Q82" s="48">
        <v>6260615425.8900003</v>
      </c>
      <c r="R82" s="48">
        <v>6225947085.6499996</v>
      </c>
      <c r="S82" s="48">
        <v>5920010876.6199999</v>
      </c>
      <c r="T82" s="48">
        <v>5932471151.8199997</v>
      </c>
      <c r="U82" s="48">
        <v>5754430707.2799997</v>
      </c>
      <c r="V82" s="48">
        <v>5509307337.1700001</v>
      </c>
      <c r="W82" s="48">
        <v>5128803585.04</v>
      </c>
      <c r="X82" s="48">
        <v>5193939340.8599997</v>
      </c>
      <c r="Y82" s="48">
        <v>5104562436.54</v>
      </c>
      <c r="Z82" s="48">
        <v>5165480694.8100004</v>
      </c>
      <c r="AA82" s="48">
        <v>6178068019.9300003</v>
      </c>
      <c r="AB82" s="48">
        <v>6244642446.8900003</v>
      </c>
      <c r="AC82" s="48">
        <v>5486019637.04</v>
      </c>
      <c r="AD82" s="48">
        <v>5917144480.3400002</v>
      </c>
      <c r="AE82" s="48">
        <v>5712726115.2200003</v>
      </c>
      <c r="AF82" s="48">
        <v>5676981940.2200003</v>
      </c>
      <c r="AG82" s="48">
        <v>5487077682.7700005</v>
      </c>
      <c r="AH82" s="48">
        <v>5387724412.0600004</v>
      </c>
      <c r="AI82" s="48">
        <v>5209489129.7700005</v>
      </c>
      <c r="AJ82" s="48">
        <v>5118843967.54</v>
      </c>
      <c r="AK82" s="48">
        <v>4950057722.3900003</v>
      </c>
      <c r="AL82" s="48">
        <v>5001722265.6700001</v>
      </c>
      <c r="AM82" s="48">
        <v>4816975925.0699997</v>
      </c>
      <c r="AN82" s="48">
        <v>4708998614.4499998</v>
      </c>
      <c r="AO82" s="48">
        <v>4564542108.1999998</v>
      </c>
      <c r="AP82" s="48">
        <v>4422815579.9300003</v>
      </c>
      <c r="AQ82" s="48">
        <v>4280982623.73</v>
      </c>
      <c r="AR82" s="48">
        <v>4190628054.0300002</v>
      </c>
      <c r="AS82" s="48">
        <v>4064286599.1199999</v>
      </c>
      <c r="AT82" s="48">
        <v>3989341897.48</v>
      </c>
      <c r="AU82" s="48">
        <v>3813591525.6199999</v>
      </c>
      <c r="AV82" s="48">
        <v>3659883322.9499998</v>
      </c>
      <c r="AW82" s="48">
        <v>3638341267.0599999</v>
      </c>
      <c r="AX82" s="48">
        <v>3539015570.1799998</v>
      </c>
      <c r="AY82" s="48">
        <v>3421458575.0700002</v>
      </c>
      <c r="AZ82" s="48">
        <v>3431964940.5599999</v>
      </c>
      <c r="BA82" s="48">
        <v>3370999396.0100002</v>
      </c>
      <c r="BB82" s="48">
        <v>3396914722.2199998</v>
      </c>
      <c r="BC82" s="48">
        <v>3385596561.1399999</v>
      </c>
      <c r="BD82" s="48">
        <v>3507956785.8600001</v>
      </c>
      <c r="BE82" s="48">
        <v>3436633780.6199999</v>
      </c>
      <c r="BF82" s="48">
        <v>3437811344.4899998</v>
      </c>
      <c r="BG82" s="48">
        <v>3446282917.3200002</v>
      </c>
      <c r="BH82" s="48">
        <v>3334183281.0999999</v>
      </c>
      <c r="BI82" s="48">
        <v>3253401218.4899998</v>
      </c>
      <c r="BJ82" s="48">
        <v>3188136701.4200001</v>
      </c>
      <c r="BK82" s="48">
        <v>3102411840.3600001</v>
      </c>
      <c r="BL82" s="48">
        <v>2956796260.9899998</v>
      </c>
      <c r="BM82" s="48">
        <v>2939782965.54</v>
      </c>
      <c r="BN82" s="48">
        <v>2938700204.0999999</v>
      </c>
      <c r="BO82" s="48">
        <v>2850988639.3499999</v>
      </c>
      <c r="BP82" s="48">
        <v>2784318534.5599999</v>
      </c>
      <c r="BQ82" s="48">
        <v>2714715040.6300001</v>
      </c>
      <c r="BR82" s="48">
        <v>2728596644.7199998</v>
      </c>
      <c r="BS82" s="48">
        <v>2591080115.2800002</v>
      </c>
      <c r="BT82" s="48">
        <v>2791716742.6399999</v>
      </c>
      <c r="BU82" s="48">
        <v>2645724841.4299998</v>
      </c>
      <c r="BV82" s="48">
        <v>1347281958.8599999</v>
      </c>
      <c r="BW82" s="48">
        <v>1248311269.76</v>
      </c>
      <c r="BX82" s="48">
        <v>1229599139.29</v>
      </c>
      <c r="BY82" s="48">
        <v>1243135953.28</v>
      </c>
      <c r="BZ82" s="48">
        <v>1174616352.97</v>
      </c>
      <c r="CA82" s="48">
        <v>1161133968.48</v>
      </c>
      <c r="CB82" s="48">
        <v>1183711862.5699999</v>
      </c>
      <c r="CC82" s="48">
        <v>1077817608.03</v>
      </c>
      <c r="CD82" s="48">
        <v>1076619164.8800001</v>
      </c>
      <c r="CE82" s="48">
        <v>1079642000</v>
      </c>
      <c r="CF82" s="48">
        <v>1003922431.86</v>
      </c>
      <c r="CG82" s="48">
        <v>492362941.67000002</v>
      </c>
      <c r="CH82" s="48">
        <v>203800000</v>
      </c>
      <c r="CI82" s="48">
        <v>162870000</v>
      </c>
      <c r="CJ82" s="48">
        <v>92660000</v>
      </c>
      <c r="CK82" s="48">
        <v>75420000</v>
      </c>
      <c r="CL82" s="48">
        <v>0</v>
      </c>
    </row>
    <row r="83" spans="1:90">
      <c r="A83" s="48" t="s">
        <v>253</v>
      </c>
      <c r="B83" s="48">
        <v>2244051146.8699999</v>
      </c>
      <c r="C83" s="48">
        <v>1959109894.6099999</v>
      </c>
      <c r="D83" s="48">
        <v>2553284588.4499998</v>
      </c>
      <c r="E83" s="48">
        <v>2394753281.9299998</v>
      </c>
      <c r="F83" s="48">
        <v>2211425925.4400001</v>
      </c>
      <c r="G83" s="48">
        <v>1922634220.1800001</v>
      </c>
      <c r="H83" s="48">
        <v>2528794110.1700001</v>
      </c>
      <c r="I83" s="48">
        <v>2375877753.6300001</v>
      </c>
      <c r="J83" s="48">
        <v>2191416637.96</v>
      </c>
      <c r="K83" s="48">
        <v>1909620092.4400001</v>
      </c>
      <c r="L83" s="48">
        <v>2519441588.1399999</v>
      </c>
      <c r="M83" s="48">
        <v>2367373968.4099998</v>
      </c>
      <c r="N83" s="48">
        <v>2177843076.8600001</v>
      </c>
      <c r="O83" s="48">
        <v>1903108664.8399999</v>
      </c>
      <c r="P83" s="48">
        <v>2501480299.1900001</v>
      </c>
      <c r="Q83" s="48">
        <v>2351289238.6700001</v>
      </c>
      <c r="R83" s="48">
        <v>2167148043.1599998</v>
      </c>
      <c r="S83" s="48">
        <v>1892340227.0999999</v>
      </c>
      <c r="T83" s="48">
        <v>2453439654.48</v>
      </c>
      <c r="U83" s="48">
        <v>2312404169.9200001</v>
      </c>
      <c r="V83" s="48">
        <v>2132506315.79</v>
      </c>
      <c r="W83" s="48">
        <v>1834841345.1400001</v>
      </c>
      <c r="X83" s="48">
        <v>2154003498.3499999</v>
      </c>
      <c r="Y83" s="48">
        <v>2025837953.23</v>
      </c>
      <c r="Z83" s="48">
        <v>1909507064.76</v>
      </c>
      <c r="AA83" s="48">
        <v>1734834229.3099999</v>
      </c>
      <c r="AB83" s="48">
        <v>1984471239.49</v>
      </c>
      <c r="AC83" s="48">
        <v>1892215724.51</v>
      </c>
      <c r="AD83" s="48">
        <v>1847976734.77</v>
      </c>
      <c r="AE83" s="48">
        <v>1711994607.6199999</v>
      </c>
      <c r="AF83" s="48">
        <v>2007564210.8399999</v>
      </c>
      <c r="AG83" s="48">
        <v>1907296357.9000001</v>
      </c>
      <c r="AH83" s="48">
        <v>1847687653.48</v>
      </c>
      <c r="AI83" s="48">
        <v>1762845301.25</v>
      </c>
      <c r="AJ83" s="48">
        <v>1901347610.3399999</v>
      </c>
      <c r="AK83" s="48">
        <v>1817967112.54</v>
      </c>
      <c r="AL83" s="48">
        <v>1795308549.03</v>
      </c>
      <c r="AM83" s="48">
        <v>1565552095.71</v>
      </c>
      <c r="AN83" s="48">
        <v>1716204343.9100001</v>
      </c>
      <c r="AO83" s="48">
        <v>1630200752.8099999</v>
      </c>
      <c r="AP83" s="48">
        <v>1595216201.5799999</v>
      </c>
      <c r="AQ83" s="48">
        <v>1508466195.24</v>
      </c>
      <c r="AR83" s="48">
        <v>1665777839.47</v>
      </c>
      <c r="AS83" s="48">
        <v>1594466336.1900001</v>
      </c>
      <c r="AT83" s="48">
        <v>1568055288.3199999</v>
      </c>
      <c r="AU83" s="48">
        <v>1480593596.3399999</v>
      </c>
      <c r="AV83" s="48">
        <v>1616917142.97</v>
      </c>
      <c r="AW83" s="48">
        <v>1543511977.0999999</v>
      </c>
      <c r="AX83" s="48">
        <v>1472896083.49</v>
      </c>
      <c r="AY83" s="48">
        <v>1398817616.9100001</v>
      </c>
      <c r="AZ83" s="48">
        <v>1578373162.75</v>
      </c>
      <c r="BA83" s="48">
        <v>1524310184.53</v>
      </c>
      <c r="BB83" s="48">
        <v>1491655606.1900001</v>
      </c>
      <c r="BC83" s="48">
        <v>1422004901.4200001</v>
      </c>
      <c r="BD83" s="48">
        <v>1560864241.5899999</v>
      </c>
      <c r="BE83" s="48">
        <v>1490119769.49</v>
      </c>
      <c r="BF83" s="48">
        <v>1370488198.45</v>
      </c>
      <c r="BG83" s="48">
        <v>1305115860.6900001</v>
      </c>
      <c r="BH83" s="48">
        <v>1471670374.79</v>
      </c>
      <c r="BI83" s="48">
        <v>1394732453.79</v>
      </c>
      <c r="BJ83" s="48">
        <v>1300805778.96</v>
      </c>
      <c r="BK83" s="48">
        <v>1190501693.0799999</v>
      </c>
      <c r="BL83" s="48">
        <v>1333793293.0699999</v>
      </c>
      <c r="BM83" s="48">
        <v>1265998167.1800001</v>
      </c>
      <c r="BN83" s="48">
        <v>1186619907.7</v>
      </c>
      <c r="BO83" s="48">
        <v>1103039324.54</v>
      </c>
      <c r="BP83" s="48">
        <v>1204158783.23</v>
      </c>
      <c r="BQ83" s="48">
        <v>1161214127.53</v>
      </c>
      <c r="BR83" s="48">
        <v>1066774809.54</v>
      </c>
      <c r="BS83" s="48">
        <v>1008461505.29</v>
      </c>
      <c r="BT83" s="48">
        <v>938966019.15999997</v>
      </c>
      <c r="BU83" s="48">
        <v>952340253.22000003</v>
      </c>
      <c r="BV83" s="48">
        <v>843905400.62</v>
      </c>
      <c r="BW83" s="48">
        <v>860297515.53999996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-21919.05</v>
      </c>
      <c r="CE83" s="48">
        <v>96000</v>
      </c>
      <c r="CF83" s="48">
        <v>305920.90000000002</v>
      </c>
      <c r="CG83" s="48">
        <v>326958.7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8" t="s">
        <v>254</v>
      </c>
      <c r="B84" s="48">
        <v>12904518764.76</v>
      </c>
      <c r="C84" s="48">
        <v>12221434455.6</v>
      </c>
      <c r="D84" s="48">
        <v>12912562278.25</v>
      </c>
      <c r="E84" s="48">
        <v>12430597523.120001</v>
      </c>
      <c r="F84" s="48">
        <v>12029747314.17</v>
      </c>
      <c r="G84" s="48">
        <v>11334539158.959999</v>
      </c>
      <c r="H84" s="48">
        <v>11991421359.690001</v>
      </c>
      <c r="I84" s="48">
        <v>11590462217.709999</v>
      </c>
      <c r="J84" s="48">
        <v>11154331271.540001</v>
      </c>
      <c r="K84" s="48">
        <v>10473866210.700001</v>
      </c>
      <c r="L84" s="48">
        <v>10836235085.610001</v>
      </c>
      <c r="M84" s="48">
        <v>10486485399.58</v>
      </c>
      <c r="N84" s="48">
        <v>10150002302.440001</v>
      </c>
      <c r="O84" s="48">
        <v>8793691583.7700005</v>
      </c>
      <c r="P84" s="48">
        <v>8920783725.5499992</v>
      </c>
      <c r="Q84" s="48">
        <v>8611904664.5599995</v>
      </c>
      <c r="R84" s="48">
        <v>8393095128.8100004</v>
      </c>
      <c r="S84" s="48">
        <v>7812351103.7200003</v>
      </c>
      <c r="T84" s="48">
        <v>8385910806.3000002</v>
      </c>
      <c r="U84" s="48">
        <v>8066834877.1999998</v>
      </c>
      <c r="V84" s="48">
        <v>7641813652.96</v>
      </c>
      <c r="W84" s="48">
        <v>6963644930.1800003</v>
      </c>
      <c r="X84" s="48">
        <v>7347942839.21</v>
      </c>
      <c r="Y84" s="48">
        <v>7130400389.7700005</v>
      </c>
      <c r="Z84" s="48">
        <v>7074987759.5699997</v>
      </c>
      <c r="AA84" s="48">
        <v>7912902249.2399998</v>
      </c>
      <c r="AB84" s="48">
        <v>8229113686.3800001</v>
      </c>
      <c r="AC84" s="48">
        <v>7378235361.5500002</v>
      </c>
      <c r="AD84" s="48">
        <v>7765121215.1099997</v>
      </c>
      <c r="AE84" s="48">
        <v>7424720722.8400002</v>
      </c>
      <c r="AF84" s="48">
        <v>7684546151.0600004</v>
      </c>
      <c r="AG84" s="48">
        <v>7394374040.6700001</v>
      </c>
      <c r="AH84" s="48">
        <v>7235412065.54</v>
      </c>
      <c r="AI84" s="48">
        <v>6972334431.0200005</v>
      </c>
      <c r="AJ84" s="48">
        <v>7020191577.8800001</v>
      </c>
      <c r="AK84" s="48">
        <v>6768024834.9300003</v>
      </c>
      <c r="AL84" s="48">
        <v>6797030814.6999998</v>
      </c>
      <c r="AM84" s="48">
        <v>6382528020.7799997</v>
      </c>
      <c r="AN84" s="48">
        <v>6425202958.3599997</v>
      </c>
      <c r="AO84" s="48">
        <v>6194742861.0100002</v>
      </c>
      <c r="AP84" s="48">
        <v>6018031781.5100002</v>
      </c>
      <c r="AQ84" s="48">
        <v>5789448818.9700003</v>
      </c>
      <c r="AR84" s="48">
        <v>5856405893.5</v>
      </c>
      <c r="AS84" s="48">
        <v>5658752935.3100004</v>
      </c>
      <c r="AT84" s="48">
        <v>5557397185.8000002</v>
      </c>
      <c r="AU84" s="48">
        <v>5294185121.96</v>
      </c>
      <c r="AV84" s="48">
        <v>5276800465.9200001</v>
      </c>
      <c r="AW84" s="48">
        <v>5181853244.1599998</v>
      </c>
      <c r="AX84" s="48">
        <v>5011911653.6700001</v>
      </c>
      <c r="AY84" s="48">
        <v>4820276191.9799995</v>
      </c>
      <c r="AZ84" s="48">
        <v>5010338103.3100004</v>
      </c>
      <c r="BA84" s="48">
        <v>4895309580.54</v>
      </c>
      <c r="BB84" s="48">
        <v>4888570328.4099998</v>
      </c>
      <c r="BC84" s="48">
        <v>4807601462.5600004</v>
      </c>
      <c r="BD84" s="48">
        <v>5068821027.4499998</v>
      </c>
      <c r="BE84" s="48">
        <v>4926753550.1099997</v>
      </c>
      <c r="BF84" s="48">
        <v>4808299542.9399996</v>
      </c>
      <c r="BG84" s="48">
        <v>4751398778.0100002</v>
      </c>
      <c r="BH84" s="48">
        <v>4805853655.8900003</v>
      </c>
      <c r="BI84" s="48">
        <v>4648133672.2799997</v>
      </c>
      <c r="BJ84" s="48">
        <v>4488942480.3800001</v>
      </c>
      <c r="BK84" s="48">
        <v>4292913533.4400001</v>
      </c>
      <c r="BL84" s="48">
        <v>4290589554.0599999</v>
      </c>
      <c r="BM84" s="48">
        <v>4205781132.7199998</v>
      </c>
      <c r="BN84" s="48">
        <v>4125320111.8000002</v>
      </c>
      <c r="BO84" s="48">
        <v>3954027963.8899999</v>
      </c>
      <c r="BP84" s="48">
        <v>3988477317.79</v>
      </c>
      <c r="BQ84" s="48">
        <v>3875929168.1599998</v>
      </c>
      <c r="BR84" s="48">
        <v>3795371454.2600002</v>
      </c>
      <c r="BS84" s="48">
        <v>3599541620.5700002</v>
      </c>
      <c r="BT84" s="48">
        <v>3730682761.8000002</v>
      </c>
      <c r="BU84" s="48">
        <v>3598065094.6500001</v>
      </c>
      <c r="BV84" s="48">
        <v>2191187359.48</v>
      </c>
      <c r="BW84" s="48">
        <v>2108608785.3</v>
      </c>
      <c r="BX84" s="48">
        <v>1229599139.29</v>
      </c>
      <c r="BY84" s="48">
        <v>1243135953.28</v>
      </c>
      <c r="BZ84" s="48">
        <v>1174616352.97</v>
      </c>
      <c r="CA84" s="48">
        <v>1161133968.48</v>
      </c>
      <c r="CB84" s="48">
        <v>1183711862.5699999</v>
      </c>
      <c r="CC84" s="48">
        <v>1077817608.03</v>
      </c>
      <c r="CD84" s="48">
        <v>1076597245.8299999</v>
      </c>
      <c r="CE84" s="48">
        <v>1079738000</v>
      </c>
      <c r="CF84" s="48">
        <v>1004228352.76</v>
      </c>
      <c r="CG84" s="48">
        <v>492689900.37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8" t="s">
        <v>255</v>
      </c>
      <c r="B85" s="48">
        <v>33137806564.169998</v>
      </c>
      <c r="C85" s="48">
        <v>33231812272.380001</v>
      </c>
      <c r="D85" s="48">
        <v>33759891731.740002</v>
      </c>
      <c r="E85" s="48">
        <v>33520374733.110001</v>
      </c>
      <c r="F85" s="48">
        <v>32332378568.75</v>
      </c>
      <c r="G85" s="48">
        <v>31521904479.709999</v>
      </c>
      <c r="H85" s="48">
        <v>32796133092.939999</v>
      </c>
      <c r="I85" s="48">
        <v>31741039188.790001</v>
      </c>
      <c r="J85" s="48">
        <v>31226608509.82</v>
      </c>
      <c r="K85" s="48">
        <v>30947866530.209999</v>
      </c>
      <c r="L85" s="48">
        <v>30448597827.849998</v>
      </c>
      <c r="M85" s="48">
        <v>29852734095.540001</v>
      </c>
      <c r="N85" s="48">
        <v>29357613194.259998</v>
      </c>
      <c r="O85" s="48">
        <v>30290653917.110001</v>
      </c>
      <c r="P85" s="48">
        <v>29973481837.84</v>
      </c>
      <c r="Q85" s="48">
        <v>29769094699.509998</v>
      </c>
      <c r="R85" s="48">
        <v>29266053922.849998</v>
      </c>
      <c r="S85" s="48">
        <v>28737502386.299999</v>
      </c>
      <c r="T85" s="48">
        <v>28118184339.650002</v>
      </c>
      <c r="U85" s="48">
        <v>27120459751.27</v>
      </c>
      <c r="V85" s="48">
        <v>26437951645.41</v>
      </c>
      <c r="W85" s="48">
        <v>25419448579.150002</v>
      </c>
      <c r="X85" s="48">
        <v>24586762638.279999</v>
      </c>
      <c r="Y85" s="48">
        <v>25743676630.150002</v>
      </c>
      <c r="Z85" s="48">
        <v>23218137484.130001</v>
      </c>
      <c r="AA85" s="48">
        <v>19786591921.369999</v>
      </c>
      <c r="AB85" s="48">
        <v>18228936755.52</v>
      </c>
      <c r="AC85" s="48">
        <v>21032130468.099998</v>
      </c>
      <c r="AD85" s="48">
        <v>17316927174.400002</v>
      </c>
      <c r="AE85" s="48">
        <v>16729824064.290001</v>
      </c>
      <c r="AF85" s="48">
        <v>15752968981.219999</v>
      </c>
      <c r="AG85" s="48">
        <v>15187648312.91</v>
      </c>
      <c r="AH85" s="48">
        <v>15119780162.540001</v>
      </c>
      <c r="AI85" s="48">
        <v>14449654024.42</v>
      </c>
      <c r="AJ85" s="48">
        <v>13600158747.360001</v>
      </c>
      <c r="AK85" s="48">
        <v>13111628464.450001</v>
      </c>
      <c r="AL85" s="48">
        <v>12900358473.540001</v>
      </c>
      <c r="AM85" s="48">
        <v>11649213796.629999</v>
      </c>
      <c r="AN85" s="48">
        <v>10931292753.559999</v>
      </c>
      <c r="AO85" s="48">
        <v>10476999796.84</v>
      </c>
      <c r="AP85" s="48">
        <v>10507452280.65</v>
      </c>
      <c r="AQ85" s="48">
        <v>10404102038.58</v>
      </c>
      <c r="AR85" s="48">
        <v>9925025420.3199997</v>
      </c>
      <c r="AS85" s="48">
        <v>10026108121.42</v>
      </c>
      <c r="AT85" s="48">
        <v>9731360925.1000004</v>
      </c>
      <c r="AU85" s="48">
        <v>9346467350.2199993</v>
      </c>
      <c r="AV85" s="48">
        <v>8692596628.0799999</v>
      </c>
      <c r="AW85" s="48">
        <v>8525370016.6000004</v>
      </c>
      <c r="AX85" s="48">
        <v>8127363248.5500002</v>
      </c>
      <c r="AY85" s="48">
        <v>7908550177.0799999</v>
      </c>
      <c r="AZ85" s="48">
        <v>7652770633.7600002</v>
      </c>
      <c r="BA85" s="48">
        <v>7752671794.3800001</v>
      </c>
      <c r="BB85" s="48">
        <v>7692590871.8500004</v>
      </c>
      <c r="BC85" s="48">
        <v>7924262028.3400002</v>
      </c>
      <c r="BD85" s="48">
        <v>8179311231.4399996</v>
      </c>
      <c r="BE85" s="48">
        <v>8227776215.0100002</v>
      </c>
      <c r="BF85" s="48">
        <v>8475432869.0600004</v>
      </c>
      <c r="BG85" s="48">
        <v>8612850307.1100006</v>
      </c>
      <c r="BH85" s="48">
        <v>8511903588.3999996</v>
      </c>
      <c r="BI85" s="48">
        <v>8529207681.5500002</v>
      </c>
      <c r="BJ85" s="48">
        <v>8481734886.3599997</v>
      </c>
      <c r="BK85" s="48">
        <v>8596935405.9899998</v>
      </c>
      <c r="BL85" s="48">
        <v>8548661873.1300001</v>
      </c>
      <c r="BM85" s="48">
        <v>8504600429.8599997</v>
      </c>
      <c r="BN85" s="48">
        <v>7927133224.2600002</v>
      </c>
      <c r="BO85" s="48">
        <v>8142983403.6400003</v>
      </c>
      <c r="BP85" s="48">
        <v>7772992509.7399998</v>
      </c>
      <c r="BQ85" s="48">
        <v>7434956073.1099997</v>
      </c>
      <c r="BR85" s="48">
        <v>7406369426.0500002</v>
      </c>
      <c r="BS85" s="48">
        <v>6892352479.4700003</v>
      </c>
      <c r="BT85" s="48">
        <v>7129817168.8599997</v>
      </c>
      <c r="BU85" s="48">
        <v>6886955811.5200005</v>
      </c>
      <c r="BV85" s="48">
        <v>5057606168.3100004</v>
      </c>
      <c r="BW85" s="48">
        <v>5124004378.7600002</v>
      </c>
      <c r="BX85" s="48">
        <v>2461500311.8299999</v>
      </c>
      <c r="BY85" s="48">
        <v>2626284825.5799999</v>
      </c>
      <c r="BZ85" s="48">
        <v>2434980488.4499998</v>
      </c>
      <c r="CA85" s="48">
        <v>2582924979.1900001</v>
      </c>
      <c r="CB85" s="48">
        <v>2336543811.5</v>
      </c>
      <c r="CC85" s="48">
        <v>1914374559.4000001</v>
      </c>
      <c r="CD85" s="48">
        <v>1607893658.3699999</v>
      </c>
      <c r="CE85" s="48">
        <v>1445865000</v>
      </c>
      <c r="CF85" s="48">
        <v>1422259892.8900001</v>
      </c>
      <c r="CG85" s="48">
        <v>1035641191.15</v>
      </c>
      <c r="CH85" s="48">
        <v>756550000</v>
      </c>
      <c r="CI85" s="48">
        <v>540650000</v>
      </c>
      <c r="CJ85" s="48">
        <v>287000000</v>
      </c>
      <c r="CK85" s="48">
        <v>291120000</v>
      </c>
      <c r="CL85" s="48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CK31"/>
  <sheetViews>
    <sheetView workbookViewId="0">
      <selection activeCell="A26" sqref="A26"/>
    </sheetView>
  </sheetViews>
  <sheetFormatPr defaultRowHeight="13.5"/>
  <cols>
    <col min="1" max="1" width="37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2" width="13.8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7" width="13.875" style="48" hidden="1" customWidth="1"/>
    <col min="28" max="28" width="12.75" style="48" hidden="1" customWidth="1"/>
    <col min="29" max="29" width="13.875" style="48" bestFit="1" customWidth="1"/>
    <col min="30" max="32" width="13.875" style="48" hidden="1" customWidth="1"/>
    <col min="33" max="33" width="12.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0" width="13.875" style="48" hidden="1" customWidth="1"/>
    <col min="51" max="52" width="12.75" style="48" hidden="1" customWidth="1"/>
    <col min="53" max="53" width="13.875" style="48" bestFit="1" customWidth="1"/>
    <col min="54" max="54" width="13.875" style="48" hidden="1" customWidth="1"/>
    <col min="55" max="56" width="12.75" style="48" hidden="1" customWidth="1"/>
    <col min="57" max="57" width="13.8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2.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3.875" style="48" hidden="1" customWidth="1"/>
    <col min="77" max="77" width="12.75" style="48" bestFit="1" customWidth="1"/>
    <col min="78" max="78" width="12.75" style="48" hidden="1" customWidth="1"/>
    <col min="79" max="79" width="12.75" style="48" bestFit="1" customWidth="1"/>
    <col min="80" max="80" width="12.75" style="48" hidden="1" customWidth="1"/>
    <col min="81" max="81" width="12.75" style="48" bestFit="1" customWidth="1"/>
    <col min="82" max="82" width="11.625" style="48" hidden="1" customWidth="1"/>
    <col min="83" max="83" width="11.625" style="48" bestFit="1" customWidth="1"/>
    <col min="84" max="84" width="12.75" style="48" hidden="1" customWidth="1"/>
    <col min="85" max="85" width="10.5" style="48" hidden="1" customWidth="1"/>
    <col min="86" max="88" width="10.5" style="48" bestFit="1" customWidth="1"/>
    <col min="89" max="89" width="9.5" style="48" hidden="1" customWidth="1"/>
    <col min="90" max="16384" width="9" style="48"/>
  </cols>
  <sheetData>
    <row r="1" spans="1:89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48" t="s">
        <v>171</v>
      </c>
      <c r="B2" s="48" t="s">
        <v>172</v>
      </c>
      <c r="C2" s="48" t="s">
        <v>172</v>
      </c>
      <c r="D2" s="48" t="s">
        <v>172</v>
      </c>
      <c r="E2" s="48" t="s">
        <v>172</v>
      </c>
      <c r="F2" s="48" t="s">
        <v>172</v>
      </c>
      <c r="G2" s="48" t="s">
        <v>172</v>
      </c>
      <c r="H2" s="48" t="s">
        <v>172</v>
      </c>
      <c r="I2" s="48" t="s">
        <v>172</v>
      </c>
      <c r="J2" s="48" t="s">
        <v>172</v>
      </c>
      <c r="K2" s="48" t="s">
        <v>172</v>
      </c>
      <c r="L2" s="48" t="s">
        <v>172</v>
      </c>
      <c r="M2" s="48" t="s">
        <v>172</v>
      </c>
      <c r="N2" s="48" t="s">
        <v>172</v>
      </c>
      <c r="O2" s="48" t="s">
        <v>172</v>
      </c>
      <c r="P2" s="48" t="s">
        <v>172</v>
      </c>
      <c r="Q2" s="48" t="s">
        <v>172</v>
      </c>
      <c r="R2" s="48" t="s">
        <v>172</v>
      </c>
      <c r="S2" s="48" t="s">
        <v>172</v>
      </c>
      <c r="T2" s="48" t="s">
        <v>172</v>
      </c>
      <c r="U2" s="48" t="s">
        <v>172</v>
      </c>
      <c r="V2" s="48" t="s">
        <v>172</v>
      </c>
      <c r="W2" s="48" t="s">
        <v>172</v>
      </c>
      <c r="X2" s="48" t="s">
        <v>172</v>
      </c>
      <c r="Y2" s="48" t="s">
        <v>172</v>
      </c>
      <c r="Z2" s="48" t="s">
        <v>172</v>
      </c>
      <c r="AA2" s="48" t="s">
        <v>172</v>
      </c>
      <c r="AB2" s="48" t="s">
        <v>172</v>
      </c>
      <c r="AC2" s="48" t="s">
        <v>172</v>
      </c>
      <c r="AD2" s="48" t="s">
        <v>172</v>
      </c>
      <c r="AE2" s="48" t="s">
        <v>172</v>
      </c>
      <c r="AF2" s="48" t="s">
        <v>172</v>
      </c>
      <c r="AG2" s="48" t="s">
        <v>172</v>
      </c>
      <c r="AH2" s="48" t="s">
        <v>172</v>
      </c>
      <c r="AI2" s="48" t="s">
        <v>172</v>
      </c>
      <c r="AJ2" s="48" t="s">
        <v>172</v>
      </c>
      <c r="AK2" s="48" t="s">
        <v>172</v>
      </c>
      <c r="AL2" s="48" t="s">
        <v>172</v>
      </c>
      <c r="AM2" s="48" t="s">
        <v>172</v>
      </c>
      <c r="AN2" s="48" t="s">
        <v>172</v>
      </c>
      <c r="AO2" s="48" t="s">
        <v>172</v>
      </c>
      <c r="AP2" s="48" t="s">
        <v>172</v>
      </c>
      <c r="AQ2" s="48" t="s">
        <v>172</v>
      </c>
      <c r="AR2" s="48" t="s">
        <v>172</v>
      </c>
      <c r="AS2" s="48" t="s">
        <v>172</v>
      </c>
      <c r="AT2" s="48" t="s">
        <v>172</v>
      </c>
      <c r="AU2" s="48" t="s">
        <v>172</v>
      </c>
      <c r="AV2" s="48" t="s">
        <v>172</v>
      </c>
      <c r="AW2" s="48" t="s">
        <v>172</v>
      </c>
      <c r="AX2" s="48" t="s">
        <v>172</v>
      </c>
      <c r="AY2" s="48" t="s">
        <v>172</v>
      </c>
      <c r="AZ2" s="48" t="s">
        <v>172</v>
      </c>
      <c r="BA2" s="48" t="s">
        <v>172</v>
      </c>
      <c r="BB2" s="48" t="s">
        <v>172</v>
      </c>
      <c r="BC2" s="48" t="s">
        <v>172</v>
      </c>
      <c r="BD2" s="48" t="s">
        <v>172</v>
      </c>
      <c r="BE2" s="48" t="s">
        <v>172</v>
      </c>
      <c r="BF2" s="48" t="s">
        <v>172</v>
      </c>
      <c r="BG2" s="48" t="s">
        <v>172</v>
      </c>
      <c r="BH2" s="48" t="s">
        <v>172</v>
      </c>
      <c r="BI2" s="48" t="s">
        <v>172</v>
      </c>
      <c r="BJ2" s="48" t="s">
        <v>172</v>
      </c>
      <c r="BK2" s="48" t="s">
        <v>172</v>
      </c>
      <c r="BL2" s="48" t="s">
        <v>172</v>
      </c>
      <c r="BM2" s="48" t="s">
        <v>172</v>
      </c>
      <c r="BN2" s="48" t="s">
        <v>172</v>
      </c>
      <c r="BO2" s="48" t="s">
        <v>172</v>
      </c>
      <c r="BP2" s="48" t="s">
        <v>172</v>
      </c>
      <c r="BQ2" s="48" t="s">
        <v>172</v>
      </c>
      <c r="BR2" s="48" t="s">
        <v>172</v>
      </c>
      <c r="BS2" s="48" t="s">
        <v>172</v>
      </c>
      <c r="BT2" s="48" t="s">
        <v>172</v>
      </c>
      <c r="BU2" s="48" t="s">
        <v>172</v>
      </c>
      <c r="BV2" s="48" t="s">
        <v>172</v>
      </c>
      <c r="BW2" s="48" t="s">
        <v>172</v>
      </c>
      <c r="BX2" s="48" t="s">
        <v>172</v>
      </c>
      <c r="BY2" s="48" t="s">
        <v>172</v>
      </c>
      <c r="BZ2" s="48" t="s">
        <v>172</v>
      </c>
      <c r="CA2" s="48" t="s">
        <v>172</v>
      </c>
      <c r="CB2" s="48" t="s">
        <v>172</v>
      </c>
      <c r="CC2" s="48" t="s">
        <v>172</v>
      </c>
      <c r="CD2" s="48" t="s">
        <v>172</v>
      </c>
      <c r="CE2" s="48" t="s">
        <v>172</v>
      </c>
      <c r="CF2" s="48" t="s">
        <v>172</v>
      </c>
      <c r="CG2" s="48" t="s">
        <v>172</v>
      </c>
      <c r="CH2" s="48" t="s">
        <v>172</v>
      </c>
      <c r="CI2" s="48" t="s">
        <v>172</v>
      </c>
      <c r="CJ2" s="48" t="s">
        <v>172</v>
      </c>
    </row>
    <row r="3" spans="1:89">
      <c r="A3" s="48" t="s">
        <v>256</v>
      </c>
      <c r="B3" s="48">
        <v>15909823128.299999</v>
      </c>
      <c r="C3" s="48">
        <v>10308432863.280001</v>
      </c>
      <c r="D3" s="48">
        <v>3981658165.3600001</v>
      </c>
      <c r="E3" s="48">
        <v>19471146411.049999</v>
      </c>
      <c r="F3" s="48">
        <v>14693527606.42</v>
      </c>
      <c r="G3" s="48">
        <v>9613219456.0699997</v>
      </c>
      <c r="H3" s="48">
        <v>3794547830.4299998</v>
      </c>
      <c r="I3" s="48">
        <v>18938551893.709999</v>
      </c>
      <c r="J3" s="48">
        <v>14218450906.1</v>
      </c>
      <c r="K3" s="48">
        <v>9271315229.1499996</v>
      </c>
      <c r="L3" s="48">
        <v>3775359862.3600001</v>
      </c>
      <c r="M3" s="48">
        <v>19295534666.82</v>
      </c>
      <c r="N3" s="48">
        <v>14753293830.16</v>
      </c>
      <c r="O3" s="48">
        <v>9829497798.7700005</v>
      </c>
      <c r="P3" s="48">
        <v>4151295665.3000002</v>
      </c>
      <c r="Q3" s="48">
        <v>20778933220.52</v>
      </c>
      <c r="R3" s="48">
        <v>15575183289.370001</v>
      </c>
      <c r="S3" s="48">
        <v>10136316637.43</v>
      </c>
      <c r="T3" s="48">
        <v>4133240256.1999998</v>
      </c>
      <c r="U3" s="48">
        <v>19907077075.110001</v>
      </c>
      <c r="V3" s="48">
        <v>14618769623.620001</v>
      </c>
      <c r="W3" s="48">
        <v>9381540032.2600002</v>
      </c>
      <c r="X3" s="48">
        <v>3883863244.5599999</v>
      </c>
      <c r="Y3" s="48">
        <v>17743250879.580002</v>
      </c>
      <c r="Z3" s="48">
        <v>13454135360.23</v>
      </c>
      <c r="AA3" s="48">
        <v>7196076462.4799995</v>
      </c>
      <c r="AB3" s="48">
        <v>3198850932.6599998</v>
      </c>
      <c r="AC3" s="48">
        <v>14502379031.75</v>
      </c>
      <c r="AD3" s="48">
        <v>11431577726.110001</v>
      </c>
      <c r="AE3" s="48">
        <v>7366026241.6199999</v>
      </c>
      <c r="AF3" s="48">
        <v>3228286800.9099998</v>
      </c>
      <c r="AG3" s="48">
        <v>13259978831.02</v>
      </c>
      <c r="AH3" s="48">
        <v>9744452405.0200005</v>
      </c>
      <c r="AI3" s="48">
        <v>6310896504.9499998</v>
      </c>
      <c r="AJ3" s="48">
        <v>2739090225.46</v>
      </c>
      <c r="AK3" s="48">
        <v>10986235317.82</v>
      </c>
      <c r="AL3" s="48">
        <v>8066224111.6300001</v>
      </c>
      <c r="AM3" s="48">
        <v>5180700037.8599997</v>
      </c>
      <c r="AN3" s="48">
        <v>2344474929.9000001</v>
      </c>
      <c r="AO3" s="48">
        <v>10447383090.459999</v>
      </c>
      <c r="AP3" s="48">
        <v>7918918582.4499998</v>
      </c>
      <c r="AQ3" s="48">
        <v>5191719881.5</v>
      </c>
      <c r="AR3" s="48">
        <v>2316491412.3400002</v>
      </c>
      <c r="AS3" s="48">
        <v>9186192504.1200008</v>
      </c>
      <c r="AT3" s="48">
        <v>6667310641.75</v>
      </c>
      <c r="AU3" s="48">
        <v>4210749706.7199998</v>
      </c>
      <c r="AV3" s="48">
        <v>1893486265.3399999</v>
      </c>
      <c r="AW3" s="48">
        <v>7320231691.2600002</v>
      </c>
      <c r="AX3" s="48">
        <v>5267808344.0600004</v>
      </c>
      <c r="AY3" s="48">
        <v>3436760967.7199998</v>
      </c>
      <c r="AZ3" s="48">
        <v>1565250469.4200001</v>
      </c>
      <c r="BA3" s="48">
        <v>6862759168.2600002</v>
      </c>
      <c r="BB3" s="48">
        <v>5083625856.7600002</v>
      </c>
      <c r="BC3" s="48">
        <v>3372574348.5999999</v>
      </c>
      <c r="BD3" s="48">
        <v>1538316693.9000001</v>
      </c>
      <c r="BE3" s="48">
        <v>6590388687.0100002</v>
      </c>
      <c r="BF3" s="48">
        <v>4823804231.5500002</v>
      </c>
      <c r="BG3" s="48">
        <v>3315008125.4699998</v>
      </c>
      <c r="BH3" s="48">
        <v>1605545778.1400001</v>
      </c>
      <c r="BI3" s="48">
        <v>5552422445.6400003</v>
      </c>
      <c r="BJ3" s="48">
        <v>4090488924.1599998</v>
      </c>
      <c r="BK3" s="48">
        <v>2677769870.98</v>
      </c>
      <c r="BL3" s="48">
        <v>1258205557.53</v>
      </c>
      <c r="BM3" s="48">
        <v>4475659918.7700005</v>
      </c>
      <c r="BN3" s="48">
        <v>3426653697.6500001</v>
      </c>
      <c r="BO3" s="48">
        <v>2289833659.5</v>
      </c>
      <c r="BP3" s="48">
        <v>1068391795.14</v>
      </c>
      <c r="BQ3" s="48">
        <v>3857977486.4000001</v>
      </c>
      <c r="BR3" s="48">
        <v>1895795757.6400001</v>
      </c>
      <c r="BS3" s="48">
        <v>3636493097.6999998</v>
      </c>
      <c r="BT3" s="48">
        <v>1765141891.22</v>
      </c>
      <c r="BU3" s="48">
        <v>3510059294.4499998</v>
      </c>
      <c r="BV3" s="48">
        <v>1642695043.8199999</v>
      </c>
      <c r="BW3" s="48">
        <v>444399064.31</v>
      </c>
      <c r="BX3" s="48">
        <v>213570809.87</v>
      </c>
      <c r="BY3" s="48">
        <v>918221399.26999998</v>
      </c>
      <c r="BZ3" s="48">
        <v>393349759.06999999</v>
      </c>
      <c r="CA3" s="48">
        <v>1350938321.28</v>
      </c>
      <c r="CB3" s="48">
        <v>953254408.08000004</v>
      </c>
      <c r="CC3" s="48">
        <v>1925366523.1800001</v>
      </c>
      <c r="CD3" s="48">
        <v>1099700000</v>
      </c>
      <c r="CE3" s="48">
        <v>1434362000</v>
      </c>
      <c r="CF3" s="48">
        <v>765920060.38</v>
      </c>
      <c r="CG3" s="48">
        <v>587340000</v>
      </c>
      <c r="CH3" s="48">
        <v>778590000</v>
      </c>
      <c r="CI3" s="48">
        <v>635150000</v>
      </c>
      <c r="CJ3" s="48">
        <v>544300000</v>
      </c>
      <c r="CK3" s="48">
        <v>0</v>
      </c>
    </row>
    <row r="4" spans="1:89">
      <c r="A4" s="48" t="s">
        <v>257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48" t="s">
        <v>258</v>
      </c>
      <c r="B5" s="48">
        <v>14146089219.6</v>
      </c>
      <c r="C5" s="48">
        <v>9206812522.0900002</v>
      </c>
      <c r="D5" s="48">
        <v>3583107031.3099999</v>
      </c>
      <c r="E5" s="48">
        <v>17215905300.810001</v>
      </c>
      <c r="F5" s="48">
        <v>12939335816.48</v>
      </c>
      <c r="G5" s="48">
        <v>8589286940.5</v>
      </c>
      <c r="H5" s="48">
        <v>3414258723.1199999</v>
      </c>
      <c r="I5" s="48">
        <v>16870242172.34</v>
      </c>
      <c r="J5" s="48">
        <v>12562744109.690001</v>
      </c>
      <c r="K5" s="48">
        <v>8301174377.3400002</v>
      </c>
      <c r="L5" s="48">
        <v>3403322803.0599999</v>
      </c>
      <c r="M5" s="48">
        <v>17749178134.869999</v>
      </c>
      <c r="N5" s="48">
        <v>13459516051.620001</v>
      </c>
      <c r="O5" s="48">
        <v>9111139487.7600002</v>
      </c>
      <c r="P5" s="48">
        <v>3894644025.3000002</v>
      </c>
      <c r="Q5" s="48">
        <v>19153435367.639999</v>
      </c>
      <c r="R5" s="48">
        <v>14263461475.1</v>
      </c>
      <c r="S5" s="48">
        <v>9347286430.6000004</v>
      </c>
      <c r="T5" s="48">
        <v>3881361140.7600002</v>
      </c>
      <c r="U5" s="48">
        <v>18423804681.860001</v>
      </c>
      <c r="V5" s="48">
        <v>13409305831.959999</v>
      </c>
      <c r="W5" s="48">
        <v>8707702784.8899994</v>
      </c>
      <c r="X5" s="48">
        <v>3723017023.8000002</v>
      </c>
      <c r="Y5" s="48">
        <v>16680775137.35</v>
      </c>
      <c r="Z5" s="48">
        <v>12725243384.1</v>
      </c>
      <c r="AA5" s="48">
        <v>6616342870.25</v>
      </c>
      <c r="AB5" s="48">
        <v>2976207917.4200001</v>
      </c>
      <c r="AC5" s="48">
        <v>13569149897.76</v>
      </c>
      <c r="AD5" s="48">
        <v>10524481010.639999</v>
      </c>
      <c r="AE5" s="48">
        <v>6794747507.9399996</v>
      </c>
      <c r="AF5" s="48">
        <v>2999155135.1599998</v>
      </c>
      <c r="AG5" s="48">
        <v>12491140513.1</v>
      </c>
      <c r="AH5" s="48">
        <v>9073192446.7000008</v>
      </c>
      <c r="AI5" s="48">
        <v>5853963369.7600002</v>
      </c>
      <c r="AJ5" s="48">
        <v>2532059426.1900001</v>
      </c>
      <c r="AK5" s="48">
        <v>10373164219.200001</v>
      </c>
      <c r="AL5" s="48">
        <v>7426665798.8000002</v>
      </c>
      <c r="AM5" s="48">
        <v>4738012930.0900002</v>
      </c>
      <c r="AN5" s="48">
        <v>2143012149.72</v>
      </c>
      <c r="AO5" s="48">
        <v>9763368850.9599991</v>
      </c>
      <c r="AP5" s="48">
        <v>7268045157.8800001</v>
      </c>
      <c r="AQ5" s="48">
        <v>4752368020.6800003</v>
      </c>
      <c r="AR5" s="48">
        <v>2115086900.5599999</v>
      </c>
      <c r="AS5" s="48">
        <v>8444064926.8199997</v>
      </c>
      <c r="AT5" s="48">
        <v>6059954400.7600002</v>
      </c>
      <c r="AU5" s="48">
        <v>3835697572.3000002</v>
      </c>
      <c r="AV5" s="48">
        <v>1742601152.9300001</v>
      </c>
      <c r="AW5" s="48">
        <v>6682354911.7700005</v>
      </c>
      <c r="AX5" s="48">
        <v>4846141621.8000002</v>
      </c>
      <c r="AY5" s="48">
        <v>3181468511.8099999</v>
      </c>
      <c r="AZ5" s="48">
        <v>1436983795.1400001</v>
      </c>
      <c r="BA5" s="48">
        <v>6274948197.9700003</v>
      </c>
      <c r="BB5" s="48">
        <v>4553059655.4700003</v>
      </c>
      <c r="BC5" s="48">
        <v>3001685493.8000002</v>
      </c>
      <c r="BD5" s="48">
        <v>1372433277.5999999</v>
      </c>
      <c r="BE5" s="48">
        <v>5851811530.54</v>
      </c>
      <c r="BF5" s="48">
        <v>4281129002.0700002</v>
      </c>
      <c r="BG5" s="48">
        <v>2922823712.9000001</v>
      </c>
      <c r="BH5" s="48">
        <v>1421405385.6199999</v>
      </c>
      <c r="BI5" s="48">
        <v>4808764407.1899996</v>
      </c>
      <c r="BJ5" s="48">
        <v>3516361360.0799999</v>
      </c>
      <c r="BK5" s="48">
        <v>2328974017.0900002</v>
      </c>
      <c r="BL5" s="48">
        <v>1108311179.79</v>
      </c>
      <c r="BM5" s="48">
        <v>3821317541.1500001</v>
      </c>
      <c r="BN5" s="48">
        <v>2923710380.2800002</v>
      </c>
      <c r="BO5" s="48">
        <v>1976900964.5899999</v>
      </c>
      <c r="BP5" s="48">
        <v>932094002.75999999</v>
      </c>
      <c r="BQ5" s="48">
        <v>3297506070.0300002</v>
      </c>
      <c r="BR5" s="48">
        <v>1611520019.8099999</v>
      </c>
      <c r="BS5" s="48">
        <v>3175862035.7600002</v>
      </c>
      <c r="BT5" s="48">
        <v>1517199089.6400001</v>
      </c>
      <c r="BU5" s="48">
        <v>3059893443.0100002</v>
      </c>
      <c r="BV5" s="48">
        <v>1383200729.5599999</v>
      </c>
      <c r="BW5" s="48">
        <v>486954938.42000002</v>
      </c>
      <c r="BX5" s="48">
        <v>224700016.56999999</v>
      </c>
      <c r="BY5" s="48">
        <v>874566359.04999995</v>
      </c>
      <c r="BZ5" s="48">
        <v>0</v>
      </c>
      <c r="CA5" s="48">
        <v>1345686129.46</v>
      </c>
      <c r="CB5" s="48">
        <v>0</v>
      </c>
      <c r="CC5" s="48">
        <v>1747435229.1600001</v>
      </c>
      <c r="CD5" s="48">
        <v>0</v>
      </c>
      <c r="CE5" s="48">
        <v>0</v>
      </c>
      <c r="CF5" s="48">
        <v>0</v>
      </c>
      <c r="CG5" s="48">
        <v>528580000</v>
      </c>
      <c r="CH5" s="48">
        <v>693920000</v>
      </c>
      <c r="CI5" s="48">
        <v>563700000</v>
      </c>
      <c r="CJ5" s="48">
        <v>473000000</v>
      </c>
      <c r="CK5" s="48">
        <v>0</v>
      </c>
    </row>
    <row r="6" spans="1:89">
      <c r="A6" s="48" t="s">
        <v>259</v>
      </c>
      <c r="B6" s="48">
        <v>12769312772.200001</v>
      </c>
      <c r="C6" s="48">
        <v>8246400053.1499996</v>
      </c>
      <c r="D6" s="48">
        <v>3170883561.7199998</v>
      </c>
      <c r="E6" s="48">
        <v>15226925132.92</v>
      </c>
      <c r="F6" s="48">
        <v>11628814912.92</v>
      </c>
      <c r="G6" s="48">
        <v>7633692655.8699999</v>
      </c>
      <c r="H6" s="48">
        <v>2976584444.52</v>
      </c>
      <c r="I6" s="48">
        <v>14780967899.440001</v>
      </c>
      <c r="J6" s="48">
        <v>11180763428.889999</v>
      </c>
      <c r="K6" s="48">
        <v>7291362019.0100002</v>
      </c>
      <c r="L6" s="48">
        <v>2979672630.1999998</v>
      </c>
      <c r="M6" s="48">
        <v>15117878402.59</v>
      </c>
      <c r="N6" s="48">
        <v>11642318913.57</v>
      </c>
      <c r="O6" s="48">
        <v>7801959717</v>
      </c>
      <c r="P6" s="48">
        <v>3312008819.9899998</v>
      </c>
      <c r="Q6" s="48">
        <v>16242127953.23</v>
      </c>
      <c r="R6" s="48">
        <v>12274014787.58</v>
      </c>
      <c r="S6" s="48">
        <v>8038090291.4700003</v>
      </c>
      <c r="T6" s="48">
        <v>3269606314.1599998</v>
      </c>
      <c r="U6" s="48">
        <v>15670770649.25</v>
      </c>
      <c r="V6" s="48">
        <v>11611711540.879999</v>
      </c>
      <c r="W6" s="48">
        <v>7542876267.8199997</v>
      </c>
      <c r="X6" s="48">
        <v>3154730635.73</v>
      </c>
      <c r="Y6" s="48">
        <v>14295199209.41</v>
      </c>
      <c r="Z6" s="48">
        <v>10906926142.75</v>
      </c>
      <c r="AA6" s="48">
        <v>5793795568.4099998</v>
      </c>
      <c r="AB6" s="48">
        <v>2541452950.0500002</v>
      </c>
      <c r="AC6" s="48">
        <v>11654694217.540001</v>
      </c>
      <c r="AD6" s="48">
        <v>9194752912.6000004</v>
      </c>
      <c r="AE6" s="48">
        <v>5952172825.3299999</v>
      </c>
      <c r="AF6" s="48">
        <v>2595919278.0100002</v>
      </c>
      <c r="AG6" s="48">
        <v>10700275731.110001</v>
      </c>
      <c r="AH6" s="48">
        <v>7867784014.79</v>
      </c>
      <c r="AI6" s="48">
        <v>5088515339.8000002</v>
      </c>
      <c r="AJ6" s="48">
        <v>2199896810.4400001</v>
      </c>
      <c r="AK6" s="48">
        <v>8888158950.1800003</v>
      </c>
      <c r="AL6" s="48">
        <v>6534738603.1199999</v>
      </c>
      <c r="AM6" s="48">
        <v>4183817454.4899998</v>
      </c>
      <c r="AN6" s="48">
        <v>1873897756.1900001</v>
      </c>
      <c r="AO6" s="48">
        <v>8489100178.8299999</v>
      </c>
      <c r="AP6" s="48">
        <v>6394198410.4899998</v>
      </c>
      <c r="AQ6" s="48">
        <v>4175419382.9099998</v>
      </c>
      <c r="AR6" s="48">
        <v>1861863686.0699999</v>
      </c>
      <c r="AS6" s="48">
        <v>7277254140.21</v>
      </c>
      <c r="AT6" s="48">
        <v>5289137929.5200005</v>
      </c>
      <c r="AU6" s="48">
        <v>3333026643.5900002</v>
      </c>
      <c r="AV6" s="48">
        <v>1538991169.55</v>
      </c>
      <c r="AW6" s="48">
        <v>5756865497.54</v>
      </c>
      <c r="AX6" s="48">
        <v>4211090083.77</v>
      </c>
      <c r="AY6" s="48">
        <v>2765887880.8899999</v>
      </c>
      <c r="AZ6" s="48">
        <v>1249190096.8199999</v>
      </c>
      <c r="BA6" s="48">
        <v>5403366370.7799997</v>
      </c>
      <c r="BB6" s="48">
        <v>3924222586.1799998</v>
      </c>
      <c r="BC6" s="48">
        <v>2567321061.1799998</v>
      </c>
      <c r="BD6" s="48">
        <v>1175375812.9400001</v>
      </c>
      <c r="BE6" s="48">
        <v>4942282576.8999996</v>
      </c>
      <c r="BF6" s="48">
        <v>3660508261.8899999</v>
      </c>
      <c r="BG6" s="48">
        <v>2517586186.9499998</v>
      </c>
      <c r="BH6" s="48">
        <v>1226508689.25</v>
      </c>
      <c r="BI6" s="48">
        <v>4011958308.4299998</v>
      </c>
      <c r="BJ6" s="48">
        <v>2944267467</v>
      </c>
      <c r="BK6" s="48">
        <v>1952850787.5</v>
      </c>
      <c r="BL6" s="48">
        <v>915105404.87</v>
      </c>
      <c r="BM6" s="48">
        <v>2881983316.8499999</v>
      </c>
      <c r="BN6" s="48">
        <v>2314903460.3000002</v>
      </c>
      <c r="BO6" s="48">
        <v>1596717736.3499999</v>
      </c>
      <c r="BP6" s="48">
        <v>773737089.95000005</v>
      </c>
      <c r="BQ6" s="48">
        <v>2554268178.5100002</v>
      </c>
      <c r="BR6" s="48">
        <v>1304874733.9300001</v>
      </c>
      <c r="BS6" s="48">
        <v>2483197627.2600002</v>
      </c>
      <c r="BT6" s="48">
        <v>1254158982.9400001</v>
      </c>
      <c r="BU6" s="48">
        <v>2461372469.0999999</v>
      </c>
      <c r="BV6" s="48">
        <v>1156607381.01</v>
      </c>
      <c r="BW6" s="48">
        <v>405519122.69999999</v>
      </c>
      <c r="BX6" s="48">
        <v>157687789.38</v>
      </c>
      <c r="BY6" s="48">
        <v>738657178.74000001</v>
      </c>
      <c r="BZ6" s="48">
        <v>0</v>
      </c>
      <c r="CA6" s="48">
        <v>1121670089.03</v>
      </c>
      <c r="CB6" s="48">
        <v>0</v>
      </c>
      <c r="CC6" s="48">
        <v>1522442725.4100001</v>
      </c>
      <c r="CD6" s="48">
        <v>0</v>
      </c>
      <c r="CE6" s="48">
        <v>0</v>
      </c>
      <c r="CF6" s="48">
        <v>0</v>
      </c>
      <c r="CG6" s="48">
        <v>482620000</v>
      </c>
      <c r="CH6" s="48">
        <v>622550000</v>
      </c>
      <c r="CI6" s="48">
        <v>511020000</v>
      </c>
      <c r="CJ6" s="48">
        <v>438350000</v>
      </c>
      <c r="CK6" s="48">
        <v>0</v>
      </c>
    </row>
    <row r="7" spans="1:89">
      <c r="A7" s="48" t="s">
        <v>260</v>
      </c>
      <c r="B7" s="48">
        <v>72077164.099999994</v>
      </c>
      <c r="C7" s="48">
        <v>53440398.829999998</v>
      </c>
      <c r="D7" s="48">
        <v>24680489.940000001</v>
      </c>
      <c r="E7" s="48">
        <v>118281818.69</v>
      </c>
      <c r="F7" s="48">
        <v>85319248.390000001</v>
      </c>
      <c r="G7" s="48">
        <v>65982482.200000003</v>
      </c>
      <c r="H7" s="48">
        <v>29384721.870000001</v>
      </c>
      <c r="I7" s="48">
        <v>148289534.94999999</v>
      </c>
      <c r="J7" s="48">
        <v>103667800.89</v>
      </c>
      <c r="K7" s="48">
        <v>82012392.040000007</v>
      </c>
      <c r="L7" s="48">
        <v>42992139.280000001</v>
      </c>
      <c r="M7" s="48">
        <v>151298695.34999999</v>
      </c>
      <c r="N7" s="48">
        <v>121435065.36</v>
      </c>
      <c r="O7" s="48">
        <v>77594340.980000004</v>
      </c>
      <c r="P7" s="48">
        <v>37283240.600000001</v>
      </c>
      <c r="Q7" s="48">
        <v>154535099.59</v>
      </c>
      <c r="R7" s="48">
        <v>129833994.84999999</v>
      </c>
      <c r="S7" s="48">
        <v>84670343.25</v>
      </c>
      <c r="T7" s="48">
        <v>40893605.850000001</v>
      </c>
      <c r="U7" s="48">
        <v>137698423</v>
      </c>
      <c r="V7" s="48">
        <v>108324837.53</v>
      </c>
      <c r="W7" s="48">
        <v>71322030.209999993</v>
      </c>
      <c r="X7" s="48">
        <v>30607092.649999999</v>
      </c>
      <c r="Y7" s="48">
        <v>151094119.47</v>
      </c>
      <c r="Z7" s="48">
        <v>108281857.06999999</v>
      </c>
      <c r="AA7" s="48">
        <v>66375802.159999996</v>
      </c>
      <c r="AB7" s="48">
        <v>24932592.219999999</v>
      </c>
      <c r="AC7" s="48">
        <v>94762721.609999999</v>
      </c>
      <c r="AD7" s="48">
        <v>81594878.359999999</v>
      </c>
      <c r="AE7" s="48">
        <v>50935124.369999997</v>
      </c>
      <c r="AF7" s="48">
        <v>14073529.74</v>
      </c>
      <c r="AG7" s="48">
        <v>47049591.960000001</v>
      </c>
      <c r="AH7" s="48">
        <v>36252827.310000002</v>
      </c>
      <c r="AI7" s="48">
        <v>23807994.210000001</v>
      </c>
      <c r="AJ7" s="48">
        <v>12045757.27</v>
      </c>
      <c r="AK7" s="48">
        <v>36433124.130000003</v>
      </c>
      <c r="AL7" s="48">
        <v>27332568.32</v>
      </c>
      <c r="AM7" s="48">
        <v>18394534.010000002</v>
      </c>
      <c r="AN7" s="48">
        <v>8894401.1799999997</v>
      </c>
      <c r="AO7" s="48">
        <v>30051094.940000001</v>
      </c>
      <c r="AP7" s="48">
        <v>21453805.739999998</v>
      </c>
      <c r="AQ7" s="48">
        <v>14258088.619999999</v>
      </c>
      <c r="AR7" s="48">
        <v>6704249.0499999998</v>
      </c>
      <c r="AS7" s="48">
        <v>29132541.030000001</v>
      </c>
      <c r="AT7" s="48">
        <v>21674399.34</v>
      </c>
      <c r="AU7" s="48">
        <v>14030629.800000001</v>
      </c>
      <c r="AV7" s="48">
        <v>6026209.2300000004</v>
      </c>
      <c r="AW7" s="48">
        <v>23752289.66</v>
      </c>
      <c r="AX7" s="48">
        <v>19284640.84</v>
      </c>
      <c r="AY7" s="48">
        <v>11539457.869999999</v>
      </c>
      <c r="AZ7" s="48">
        <v>5355209.1900000004</v>
      </c>
      <c r="BA7" s="48">
        <v>18167645.329999998</v>
      </c>
      <c r="BB7" s="48">
        <v>13000135.689999999</v>
      </c>
      <c r="BC7" s="48">
        <v>8146628.9400000004</v>
      </c>
      <c r="BD7" s="48">
        <v>3962995.23</v>
      </c>
      <c r="BE7" s="48">
        <v>16086266.32</v>
      </c>
      <c r="BF7" s="48">
        <v>11113213.24</v>
      </c>
      <c r="BG7" s="48">
        <v>7490047.04</v>
      </c>
      <c r="BH7" s="48">
        <v>3860914.82</v>
      </c>
      <c r="BI7" s="48">
        <v>13609027.49</v>
      </c>
      <c r="BJ7" s="48">
        <v>14003668.35</v>
      </c>
      <c r="BK7" s="48">
        <v>6332369.0800000001</v>
      </c>
      <c r="BL7" s="48">
        <v>3138194.45</v>
      </c>
      <c r="BM7" s="48">
        <v>13058660.060000001</v>
      </c>
      <c r="BN7" s="48">
        <v>9502722.4000000004</v>
      </c>
      <c r="BO7" s="48">
        <v>7358392.9500000002</v>
      </c>
      <c r="BP7" s="48">
        <v>3574226.91</v>
      </c>
      <c r="BQ7" s="48">
        <v>8993988.4600000009</v>
      </c>
      <c r="BR7" s="48">
        <v>4245879.2</v>
      </c>
      <c r="BS7" s="48">
        <v>8228819.0300000003</v>
      </c>
      <c r="BT7" s="48">
        <v>4186741.08</v>
      </c>
      <c r="BU7" s="48">
        <v>7988472.2599999998</v>
      </c>
      <c r="BV7" s="48">
        <v>3979167.01</v>
      </c>
      <c r="BW7" s="48">
        <v>4178453.65</v>
      </c>
      <c r="BX7" s="48">
        <v>706418.24</v>
      </c>
      <c r="BY7" s="48">
        <v>9634697.4700000007</v>
      </c>
      <c r="BZ7" s="48">
        <v>0</v>
      </c>
      <c r="CA7" s="48">
        <v>2962011.87</v>
      </c>
      <c r="CB7" s="48">
        <v>0</v>
      </c>
      <c r="CC7" s="48">
        <v>5920842.5199999996</v>
      </c>
      <c r="CD7" s="48">
        <v>0</v>
      </c>
      <c r="CE7" s="48">
        <v>0</v>
      </c>
      <c r="CF7" s="48">
        <v>0</v>
      </c>
      <c r="CG7" s="48">
        <v>45960000</v>
      </c>
      <c r="CH7" s="48">
        <v>71370000</v>
      </c>
      <c r="CI7" s="48">
        <v>52680000</v>
      </c>
      <c r="CJ7" s="48">
        <v>34650000</v>
      </c>
      <c r="CK7" s="48">
        <v>0</v>
      </c>
    </row>
    <row r="8" spans="1:89">
      <c r="A8" s="48" t="s">
        <v>261</v>
      </c>
      <c r="B8" s="48">
        <v>491311861.5</v>
      </c>
      <c r="C8" s="48">
        <v>339030182.24000001</v>
      </c>
      <c r="D8" s="48">
        <v>172332071.94999999</v>
      </c>
      <c r="E8" s="48">
        <v>706517294.04999995</v>
      </c>
      <c r="F8" s="48">
        <v>529202614.25</v>
      </c>
      <c r="G8" s="48">
        <v>373089927.08999997</v>
      </c>
      <c r="H8" s="48">
        <v>213695958.05000001</v>
      </c>
      <c r="I8" s="48">
        <v>689775545.35000002</v>
      </c>
      <c r="J8" s="48">
        <v>495531408.82999998</v>
      </c>
      <c r="K8" s="48">
        <v>347131879.60000002</v>
      </c>
      <c r="L8" s="48">
        <v>145371900.63999999</v>
      </c>
      <c r="M8" s="48">
        <v>772143600.40999997</v>
      </c>
      <c r="N8" s="48">
        <v>616311011.03999996</v>
      </c>
      <c r="O8" s="48">
        <v>438084366.19</v>
      </c>
      <c r="P8" s="48">
        <v>208163069.53999999</v>
      </c>
      <c r="Q8" s="48">
        <v>983815921.95000005</v>
      </c>
      <c r="R8" s="48">
        <v>759160445.75</v>
      </c>
      <c r="S8" s="48">
        <v>514231780.66000003</v>
      </c>
      <c r="T8" s="48">
        <v>247375429.66999999</v>
      </c>
      <c r="U8" s="48">
        <v>938233144.64999998</v>
      </c>
      <c r="V8" s="48">
        <v>705962389.58000004</v>
      </c>
      <c r="W8" s="48">
        <v>447350690.70999998</v>
      </c>
      <c r="X8" s="48">
        <v>192717975.55000001</v>
      </c>
      <c r="Y8" s="48">
        <v>858629127.98000002</v>
      </c>
      <c r="Z8" s="48">
        <v>626435048.36000001</v>
      </c>
      <c r="AA8" s="48">
        <v>311434096.91000003</v>
      </c>
      <c r="AB8" s="48">
        <v>174620991.75</v>
      </c>
      <c r="AC8" s="48">
        <v>648436356.85000002</v>
      </c>
      <c r="AD8" s="48">
        <v>507216885.31</v>
      </c>
      <c r="AE8" s="48">
        <v>339288086.79000002</v>
      </c>
      <c r="AF8" s="48">
        <v>199457623.34</v>
      </c>
      <c r="AG8" s="48">
        <v>572442492.40999997</v>
      </c>
      <c r="AH8" s="48">
        <v>433458555.19</v>
      </c>
      <c r="AI8" s="48">
        <v>284133934.61000001</v>
      </c>
      <c r="AJ8" s="48">
        <v>123275317.18000001</v>
      </c>
      <c r="AK8" s="48">
        <v>520564229.83999997</v>
      </c>
      <c r="AL8" s="48">
        <v>393129860.58999997</v>
      </c>
      <c r="AM8" s="48">
        <v>257251654.05000001</v>
      </c>
      <c r="AN8" s="48">
        <v>127798549.45</v>
      </c>
      <c r="AO8" s="48">
        <v>450800611.77999997</v>
      </c>
      <c r="AP8" s="48">
        <v>375411125.95999998</v>
      </c>
      <c r="AQ8" s="48">
        <v>213375019.44</v>
      </c>
      <c r="AR8" s="48">
        <v>131402491.89</v>
      </c>
      <c r="AS8" s="48">
        <v>492053156.49000001</v>
      </c>
      <c r="AT8" s="48">
        <v>355914981.87</v>
      </c>
      <c r="AU8" s="48">
        <v>228683868.50999999</v>
      </c>
      <c r="AV8" s="48">
        <v>94632357.790000007</v>
      </c>
      <c r="AW8" s="48">
        <v>360255683.31999999</v>
      </c>
      <c r="AX8" s="48">
        <v>267027956.16</v>
      </c>
      <c r="AY8" s="48">
        <v>170509771.09</v>
      </c>
      <c r="AZ8" s="48">
        <v>85898121.189999998</v>
      </c>
      <c r="BA8" s="48">
        <v>345423417.47000003</v>
      </c>
      <c r="BB8" s="48">
        <v>253245321.00999999</v>
      </c>
      <c r="BC8" s="48">
        <v>162518431.43000001</v>
      </c>
      <c r="BD8" s="48">
        <v>79442511.939999998</v>
      </c>
      <c r="BE8" s="48">
        <v>321429749.67000002</v>
      </c>
      <c r="BF8" s="48">
        <v>229591779.19</v>
      </c>
      <c r="BG8" s="48">
        <v>133740621.19</v>
      </c>
      <c r="BH8" s="48">
        <v>65436244.530000001</v>
      </c>
      <c r="BI8" s="48">
        <v>323599708.75</v>
      </c>
      <c r="BJ8" s="48">
        <v>239973112.84999999</v>
      </c>
      <c r="BK8" s="48">
        <v>157358942.06999999</v>
      </c>
      <c r="BL8" s="48">
        <v>82777207.959999993</v>
      </c>
      <c r="BM8" s="48">
        <v>317593510.41000003</v>
      </c>
      <c r="BN8" s="48">
        <v>228508007.62</v>
      </c>
      <c r="BO8" s="48">
        <v>148225737.93000001</v>
      </c>
      <c r="BP8" s="48">
        <v>72043847.859999999</v>
      </c>
      <c r="BQ8" s="48">
        <v>290137966.11000001</v>
      </c>
      <c r="BR8" s="48">
        <v>134119448.56</v>
      </c>
      <c r="BS8" s="48">
        <v>245249626.66</v>
      </c>
      <c r="BT8" s="48">
        <v>127462441.63</v>
      </c>
      <c r="BU8" s="48">
        <v>214680939.50999999</v>
      </c>
      <c r="BV8" s="48">
        <v>98544459.200000003</v>
      </c>
      <c r="BW8" s="48">
        <v>5778042.5199999996</v>
      </c>
      <c r="BX8" s="48">
        <v>14938744.029999999</v>
      </c>
      <c r="BY8" s="48">
        <v>24044238.5</v>
      </c>
      <c r="BZ8" s="48">
        <v>0</v>
      </c>
      <c r="CA8" s="48">
        <v>50761337.530000001</v>
      </c>
      <c r="CB8" s="48">
        <v>0</v>
      </c>
      <c r="CC8" s="48">
        <v>26810633.800000001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</row>
    <row r="9" spans="1:89">
      <c r="A9" s="48" t="s">
        <v>262</v>
      </c>
      <c r="B9" s="48">
        <v>490305615.76999998</v>
      </c>
      <c r="C9" s="48">
        <v>711397610.64999998</v>
      </c>
      <c r="D9" s="48">
        <v>256091440.58000001</v>
      </c>
      <c r="E9" s="48">
        <v>1297812456.3199999</v>
      </c>
      <c r="F9" s="48">
        <v>897288688.38</v>
      </c>
      <c r="G9" s="48">
        <v>651720570.57000005</v>
      </c>
      <c r="H9" s="48">
        <v>246324752.13</v>
      </c>
      <c r="I9" s="48">
        <v>1348474399.55</v>
      </c>
      <c r="J9" s="48">
        <v>953494349.96000004</v>
      </c>
      <c r="K9" s="48">
        <v>663893559.29999995</v>
      </c>
      <c r="L9" s="48">
        <v>288924674.19999999</v>
      </c>
      <c r="M9" s="48">
        <v>1782457942.6800001</v>
      </c>
      <c r="N9" s="48">
        <v>1246319073.75</v>
      </c>
      <c r="O9" s="48">
        <v>916950550.39999998</v>
      </c>
      <c r="P9" s="48">
        <v>382675273.56999999</v>
      </c>
      <c r="Q9" s="48">
        <v>1876778470.8299999</v>
      </c>
      <c r="R9" s="48">
        <v>1311561912.96</v>
      </c>
      <c r="S9" s="48">
        <v>887189511.44000006</v>
      </c>
      <c r="T9" s="48">
        <v>384622815.70999998</v>
      </c>
      <c r="U9" s="48">
        <v>1839728726</v>
      </c>
      <c r="V9" s="48">
        <v>1166382034.47</v>
      </c>
      <c r="W9" s="48">
        <v>776169353.77999997</v>
      </c>
      <c r="X9" s="48">
        <v>359530187.44999999</v>
      </c>
      <c r="Y9" s="48">
        <v>1482340908.6500001</v>
      </c>
      <c r="Z9" s="48">
        <v>1173732261.54</v>
      </c>
      <c r="AA9" s="48">
        <v>534231845.31</v>
      </c>
      <c r="AB9" s="48">
        <v>235862570.50999999</v>
      </c>
      <c r="AC9" s="48">
        <v>1217841360</v>
      </c>
      <c r="AD9" s="48">
        <v>853202817.29999995</v>
      </c>
      <c r="AE9" s="48">
        <v>521332474.60000002</v>
      </c>
      <c r="AF9" s="48">
        <v>238303364.31</v>
      </c>
      <c r="AG9" s="48">
        <v>1077062088.3699999</v>
      </c>
      <c r="AH9" s="48">
        <v>775436485.40999997</v>
      </c>
      <c r="AI9" s="48">
        <v>478880324.41000003</v>
      </c>
      <c r="AJ9" s="48">
        <v>217513666.13</v>
      </c>
      <c r="AK9" s="48">
        <v>899709500.05999994</v>
      </c>
      <c r="AL9" s="48">
        <v>554972324.38</v>
      </c>
      <c r="AM9" s="48">
        <v>340190388.22000003</v>
      </c>
      <c r="AN9" s="48">
        <v>163726144.58000001</v>
      </c>
      <c r="AO9" s="48">
        <v>759141352.00999999</v>
      </c>
      <c r="AP9" s="48">
        <v>528160805.45999998</v>
      </c>
      <c r="AQ9" s="48">
        <v>342386795.98000002</v>
      </c>
      <c r="AR9" s="48">
        <v>144957146.94999999</v>
      </c>
      <c r="AS9" s="48">
        <v>638911611.90999997</v>
      </c>
      <c r="AT9" s="48">
        <v>434563880.16000003</v>
      </c>
      <c r="AU9" s="48">
        <v>280669108.04000002</v>
      </c>
      <c r="AV9" s="48">
        <v>123108354.90000001</v>
      </c>
      <c r="AW9" s="48">
        <v>564132285.63</v>
      </c>
      <c r="AX9" s="48">
        <v>362108855.76999998</v>
      </c>
      <c r="AY9" s="48">
        <v>241592698</v>
      </c>
      <c r="AZ9" s="48">
        <v>100067356.54000001</v>
      </c>
      <c r="BA9" s="48">
        <v>516323877.29000002</v>
      </c>
      <c r="BB9" s="48">
        <v>363413451.38</v>
      </c>
      <c r="BC9" s="48">
        <v>265771022.94</v>
      </c>
      <c r="BD9" s="48">
        <v>117285447.89</v>
      </c>
      <c r="BE9" s="48">
        <v>584589106.21000004</v>
      </c>
      <c r="BF9" s="48">
        <v>387049001.74000001</v>
      </c>
      <c r="BG9" s="48">
        <v>266947677.38</v>
      </c>
      <c r="BH9" s="48">
        <v>128116416.59</v>
      </c>
      <c r="BI9" s="48">
        <v>450852411.87</v>
      </c>
      <c r="BJ9" s="48">
        <v>303466718.38999999</v>
      </c>
      <c r="BK9" s="48">
        <v>196504881.38999999</v>
      </c>
      <c r="BL9" s="48">
        <v>100897170.67</v>
      </c>
      <c r="BM9" s="48">
        <v>601321222.13999999</v>
      </c>
      <c r="BN9" s="48">
        <v>362501878.05000001</v>
      </c>
      <c r="BO9" s="48">
        <v>219744265.62</v>
      </c>
      <c r="BP9" s="48">
        <v>74400649.650000006</v>
      </c>
      <c r="BQ9" s="48">
        <v>438597820</v>
      </c>
      <c r="BR9" s="48">
        <v>164511244.80000001</v>
      </c>
      <c r="BS9" s="48">
        <v>434314834.51999998</v>
      </c>
      <c r="BT9" s="48">
        <v>131075063.06999999</v>
      </c>
      <c r="BU9" s="48">
        <v>377039988.44999999</v>
      </c>
      <c r="BV9" s="48">
        <v>118137266.47</v>
      </c>
      <c r="BW9" s="48">
        <v>67592013.680000007</v>
      </c>
      <c r="BX9" s="48">
        <v>33930334.380000003</v>
      </c>
      <c r="BY9" s="48">
        <v>79345908.530000001</v>
      </c>
      <c r="BZ9" s="48">
        <v>0</v>
      </c>
      <c r="CA9" s="48">
        <v>120362071.26000001</v>
      </c>
      <c r="CB9" s="48">
        <v>0</v>
      </c>
      <c r="CC9" s="48">
        <v>168183396.69999999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48" t="s">
        <v>263</v>
      </c>
      <c r="B10" s="48">
        <v>-223003401.37</v>
      </c>
      <c r="C10" s="48">
        <v>-139387543.87</v>
      </c>
      <c r="D10" s="48">
        <v>-30022098.690000001</v>
      </c>
      <c r="E10" s="48">
        <v>-218525078.5</v>
      </c>
      <c r="F10" s="48">
        <v>-185063057.88999999</v>
      </c>
      <c r="G10" s="48">
        <v>-126181120.72</v>
      </c>
      <c r="H10" s="48">
        <v>-47618347.409999996</v>
      </c>
      <c r="I10" s="48">
        <v>-283499786.54000002</v>
      </c>
      <c r="J10" s="48">
        <v>-235356508.59</v>
      </c>
      <c r="K10" s="48">
        <v>-158272204.97999999</v>
      </c>
      <c r="L10" s="48">
        <v>-69286065.950000003</v>
      </c>
      <c r="M10" s="48">
        <v>-318083164.19</v>
      </c>
      <c r="N10" s="48">
        <v>-232714382.28</v>
      </c>
      <c r="O10" s="48">
        <v>-138132029.40000001</v>
      </c>
      <c r="P10" s="48">
        <v>-58736729.450000003</v>
      </c>
      <c r="Q10" s="48">
        <v>-227863780.55000001</v>
      </c>
      <c r="R10" s="48">
        <v>-190844994.93000001</v>
      </c>
      <c r="S10" s="48">
        <v>-119308104.13</v>
      </c>
      <c r="T10" s="48">
        <v>-54076508.649999999</v>
      </c>
      <c r="U10" s="48">
        <v>-258834817.97999999</v>
      </c>
      <c r="V10" s="48">
        <v>-194751671.66999999</v>
      </c>
      <c r="W10" s="48">
        <v>-111189186.41</v>
      </c>
      <c r="X10" s="48">
        <v>-13005963.01</v>
      </c>
      <c r="Y10" s="48">
        <v>-159518248.33000001</v>
      </c>
      <c r="Z10" s="48">
        <v>-147003306.55000001</v>
      </c>
      <c r="AA10" s="48">
        <v>-103599118.69</v>
      </c>
      <c r="AB10" s="48">
        <v>-7717898.0800000001</v>
      </c>
      <c r="AC10" s="48">
        <v>-139850915.75</v>
      </c>
      <c r="AD10" s="48">
        <v>-86436407.409999996</v>
      </c>
      <c r="AE10" s="48">
        <v>-60403988.409999996</v>
      </c>
      <c r="AF10" s="48">
        <v>-17185715.280000001</v>
      </c>
      <c r="AG10" s="48">
        <v>-87600537.700000003</v>
      </c>
      <c r="AH10" s="48">
        <v>-52935929.310000002</v>
      </c>
      <c r="AI10" s="48">
        <v>-28857004.609999999</v>
      </c>
      <c r="AJ10" s="48">
        <v>-7999584.46</v>
      </c>
      <c r="AK10" s="48">
        <v>-86387668.629999995</v>
      </c>
      <c r="AL10" s="48">
        <v>-63976100.18</v>
      </c>
      <c r="AM10" s="48">
        <v>-31004034.359999999</v>
      </c>
      <c r="AN10" s="48">
        <v>-10473263.51</v>
      </c>
      <c r="AO10" s="48">
        <v>-81025713.319999993</v>
      </c>
      <c r="AP10" s="48">
        <v>-50001404.32</v>
      </c>
      <c r="AQ10" s="48">
        <v>-29987967.289999999</v>
      </c>
      <c r="AR10" s="48">
        <v>-9773908.9499999993</v>
      </c>
      <c r="AS10" s="48">
        <v>-36694705.93</v>
      </c>
      <c r="AT10" s="48">
        <v>-22649401.350000001</v>
      </c>
      <c r="AU10" s="48">
        <v>-8345207.46</v>
      </c>
      <c r="AV10" s="48">
        <v>-6288958.1900000004</v>
      </c>
      <c r="AW10" s="48">
        <v>-22650844.379999999</v>
      </c>
      <c r="AX10" s="48">
        <v>-13369914.74</v>
      </c>
      <c r="AY10" s="48">
        <v>-8061296.04</v>
      </c>
      <c r="AZ10" s="48">
        <v>-3526988.6</v>
      </c>
      <c r="BA10" s="48">
        <v>-8333112.9000000004</v>
      </c>
      <c r="BB10" s="48">
        <v>-821838.79</v>
      </c>
      <c r="BC10" s="48">
        <v>-2071650.69</v>
      </c>
      <c r="BD10" s="48">
        <v>-3633490.4</v>
      </c>
      <c r="BE10" s="48">
        <v>-12576168.560000001</v>
      </c>
      <c r="BF10" s="48">
        <v>-7133253.9900000002</v>
      </c>
      <c r="BG10" s="48">
        <v>-2940819.66</v>
      </c>
      <c r="BH10" s="48">
        <v>-2516879.5699999998</v>
      </c>
      <c r="BI10" s="48">
        <v>8744950.6500000004</v>
      </c>
      <c r="BJ10" s="48">
        <v>14650393.49</v>
      </c>
      <c r="BK10" s="48">
        <v>15927037.050000001</v>
      </c>
      <c r="BL10" s="48">
        <v>6393201.8399999999</v>
      </c>
      <c r="BM10" s="48">
        <v>7360831.6900000004</v>
      </c>
      <c r="BN10" s="48">
        <v>8294311.9100000001</v>
      </c>
      <c r="BO10" s="48">
        <v>4854831.74</v>
      </c>
      <c r="BP10" s="48">
        <v>8338188.3899999997</v>
      </c>
      <c r="BQ10" s="48">
        <v>5508116.9500000002</v>
      </c>
      <c r="BR10" s="48">
        <v>3768713.32</v>
      </c>
      <c r="BS10" s="48">
        <v>3410802.03</v>
      </c>
      <c r="BT10" s="48">
        <v>-87429.7</v>
      </c>
      <c r="BU10" s="48">
        <v>-6568664.4100000001</v>
      </c>
      <c r="BV10" s="48">
        <v>5932455.8700000001</v>
      </c>
      <c r="BW10" s="48">
        <v>868607.39</v>
      </c>
      <c r="BX10" s="48">
        <v>17436730.539999999</v>
      </c>
      <c r="BY10" s="48">
        <v>22884335.809999999</v>
      </c>
      <c r="BZ10" s="48">
        <v>0</v>
      </c>
      <c r="CA10" s="48">
        <v>49930619.770000003</v>
      </c>
      <c r="CB10" s="48">
        <v>0</v>
      </c>
      <c r="CC10" s="48">
        <v>24077630.73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48" t="s">
        <v>264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>
      <c r="A12" s="48" t="s">
        <v>265</v>
      </c>
      <c r="B12" s="48">
        <v>-10127393.300000001</v>
      </c>
      <c r="C12" s="48">
        <v>-18242348.899999999</v>
      </c>
      <c r="D12" s="48">
        <v>-340582.65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</row>
    <row r="13" spans="1:89">
      <c r="A13" s="48" t="s">
        <v>266</v>
      </c>
      <c r="B13" s="48">
        <v>214208115.78</v>
      </c>
      <c r="C13" s="48">
        <v>142435555.63999999</v>
      </c>
      <c r="D13" s="48">
        <v>56228697.509999998</v>
      </c>
      <c r="E13" s="48">
        <v>335160128.07999998</v>
      </c>
      <c r="F13" s="48">
        <v>236500925.87</v>
      </c>
      <c r="G13" s="48">
        <v>155147077.78</v>
      </c>
      <c r="H13" s="48">
        <v>66598248.350000001</v>
      </c>
      <c r="I13" s="48">
        <v>564831382.39999998</v>
      </c>
      <c r="J13" s="48">
        <v>425547452.24000001</v>
      </c>
      <c r="K13" s="48">
        <v>326237733.10000002</v>
      </c>
      <c r="L13" s="48">
        <v>51533212.600000001</v>
      </c>
      <c r="M13" s="48">
        <v>1151206092.8099999</v>
      </c>
      <c r="N13" s="48">
        <v>1143457684.75</v>
      </c>
      <c r="O13" s="48">
        <v>240115838.13999999</v>
      </c>
      <c r="P13" s="48">
        <v>69799508.150000006</v>
      </c>
      <c r="Q13" s="48">
        <v>316311672.64999998</v>
      </c>
      <c r="R13" s="48">
        <v>273831285.44999999</v>
      </c>
      <c r="S13" s="48">
        <v>182282145.13</v>
      </c>
      <c r="T13" s="48">
        <v>90165233.569999993</v>
      </c>
      <c r="U13" s="48">
        <v>243256941.71000001</v>
      </c>
      <c r="V13" s="48">
        <v>135170590.53999999</v>
      </c>
      <c r="W13" s="48">
        <v>52985679.450000003</v>
      </c>
      <c r="X13" s="48">
        <v>91924218.489999995</v>
      </c>
      <c r="Y13" s="48">
        <v>437060383.77999997</v>
      </c>
      <c r="Z13" s="48">
        <v>381381343.19</v>
      </c>
      <c r="AA13" s="48">
        <v>316779008.56999999</v>
      </c>
      <c r="AB13" s="48">
        <v>230737524.25</v>
      </c>
      <c r="AC13" s="48">
        <v>345448072.76999998</v>
      </c>
      <c r="AD13" s="48">
        <v>266055541.66</v>
      </c>
      <c r="AE13" s="48">
        <v>206154765.75999999</v>
      </c>
      <c r="AF13" s="48">
        <v>95187152.810000002</v>
      </c>
      <c r="AG13" s="48">
        <v>358487050.43000001</v>
      </c>
      <c r="AH13" s="48">
        <v>265225190.31</v>
      </c>
      <c r="AI13" s="48">
        <v>171484647.58000001</v>
      </c>
      <c r="AJ13" s="48">
        <v>80532855.609999999</v>
      </c>
      <c r="AK13" s="48">
        <v>251508369.59</v>
      </c>
      <c r="AL13" s="48">
        <v>201011894.38</v>
      </c>
      <c r="AM13" s="48">
        <v>130525571.23999999</v>
      </c>
      <c r="AN13" s="48">
        <v>48014654.869999997</v>
      </c>
      <c r="AO13" s="48">
        <v>412102974.93000001</v>
      </c>
      <c r="AP13" s="48">
        <v>202198200.09999999</v>
      </c>
      <c r="AQ13" s="48">
        <v>147019454.00999999</v>
      </c>
      <c r="AR13" s="48">
        <v>52705500.049999997</v>
      </c>
      <c r="AS13" s="48">
        <v>251429322.63999999</v>
      </c>
      <c r="AT13" s="48">
        <v>217566698.08000001</v>
      </c>
      <c r="AU13" s="48">
        <v>149175345.75999999</v>
      </c>
      <c r="AV13" s="48">
        <v>28092424.260000002</v>
      </c>
      <c r="AW13" s="48">
        <v>106002085.7</v>
      </c>
      <c r="AX13" s="48">
        <v>78146813.989999995</v>
      </c>
      <c r="AY13" s="48">
        <v>31508275.550000001</v>
      </c>
      <c r="AZ13" s="48">
        <v>6818330.1399999997</v>
      </c>
      <c r="BA13" s="48">
        <v>-52414533.450000003</v>
      </c>
      <c r="BB13" s="48">
        <v>-47415743.689999998</v>
      </c>
      <c r="BC13" s="48">
        <v>-4476487.08</v>
      </c>
      <c r="BD13" s="48">
        <v>13731417.210000001</v>
      </c>
      <c r="BE13" s="48">
        <v>74080792.579999998</v>
      </c>
      <c r="BF13" s="48">
        <v>53634658.140000001</v>
      </c>
      <c r="BG13" s="48">
        <v>44718368.039999999</v>
      </c>
      <c r="BH13" s="48">
        <v>13012623.23</v>
      </c>
      <c r="BI13" s="48">
        <v>129351232.81999999</v>
      </c>
      <c r="BJ13" s="48">
        <v>126231548.87</v>
      </c>
      <c r="BK13" s="48">
        <v>99137772.019999996</v>
      </c>
      <c r="BL13" s="48">
        <v>21058739.870000001</v>
      </c>
      <c r="BM13" s="48">
        <v>80579243.650000006</v>
      </c>
      <c r="BN13" s="48">
        <v>68017088.620000005</v>
      </c>
      <c r="BO13" s="48">
        <v>47536007.049999997</v>
      </c>
      <c r="BP13" s="48">
        <v>23536334.48</v>
      </c>
      <c r="BQ13" s="48">
        <v>47111894.539999999</v>
      </c>
      <c r="BR13" s="48">
        <v>43130624.329999998</v>
      </c>
      <c r="BS13" s="48">
        <v>110636895.03</v>
      </c>
      <c r="BT13" s="48">
        <v>55492097.759999998</v>
      </c>
      <c r="BU13" s="48">
        <v>42252799.109999999</v>
      </c>
      <c r="BV13" s="48">
        <v>-8467811.9100000001</v>
      </c>
      <c r="BW13" s="48">
        <v>44423828.259999998</v>
      </c>
      <c r="BX13" s="48">
        <v>-2405395.41</v>
      </c>
      <c r="BY13" s="48">
        <v>43588942.600000001</v>
      </c>
      <c r="BZ13" s="48">
        <v>2100000</v>
      </c>
      <c r="CA13" s="48">
        <v>5299206.3</v>
      </c>
      <c r="CB13" s="48">
        <v>3033836.53</v>
      </c>
      <c r="CC13" s="48">
        <v>10641347.550000001</v>
      </c>
      <c r="CD13" s="48">
        <v>5790000</v>
      </c>
      <c r="CE13" s="48">
        <v>7729000</v>
      </c>
      <c r="CF13" s="48">
        <v>2092581.44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48" t="s">
        <v>267</v>
      </c>
      <c r="B14" s="48">
        <v>212373726.52000001</v>
      </c>
      <c r="C14" s="48">
        <v>141509882.56</v>
      </c>
      <c r="D14" s="48">
        <v>56228697.509999998</v>
      </c>
      <c r="E14" s="48">
        <v>280139998.44999999</v>
      </c>
      <c r="F14" s="48">
        <v>234266318.96000001</v>
      </c>
      <c r="G14" s="48">
        <v>154141558.41</v>
      </c>
      <c r="H14" s="48">
        <v>66598248.350000001</v>
      </c>
      <c r="I14" s="48">
        <v>275673512.30000001</v>
      </c>
      <c r="J14" s="48">
        <v>212366929.50999999</v>
      </c>
      <c r="K14" s="48">
        <v>135412552.55000001</v>
      </c>
      <c r="L14" s="48">
        <v>51533212.600000001</v>
      </c>
      <c r="M14" s="48">
        <v>216718386.62</v>
      </c>
      <c r="N14" s="48">
        <v>215475533.71000001</v>
      </c>
      <c r="O14" s="48">
        <v>160132633.30000001</v>
      </c>
      <c r="P14" s="48">
        <v>69799508.150000006</v>
      </c>
      <c r="Q14" s="48">
        <v>308344285.94</v>
      </c>
      <c r="R14" s="48">
        <v>267878359.22999999</v>
      </c>
      <c r="S14" s="48">
        <v>181016731.13</v>
      </c>
      <c r="T14" s="48">
        <v>90165233.569999993</v>
      </c>
      <c r="U14" s="48">
        <v>367880015.48000002</v>
      </c>
      <c r="V14" s="48">
        <v>300622194.08999997</v>
      </c>
      <c r="W14" s="48">
        <v>210398153.75999999</v>
      </c>
      <c r="X14" s="48">
        <v>90435164.069999993</v>
      </c>
      <c r="Y14" s="48">
        <v>280633741.67000002</v>
      </c>
      <c r="Z14" s="48">
        <v>228566939.72999999</v>
      </c>
      <c r="AA14" s="48">
        <v>164164241.12</v>
      </c>
      <c r="AB14" s="48">
        <v>78989878.340000004</v>
      </c>
      <c r="AC14" s="48">
        <v>342563567.56999999</v>
      </c>
      <c r="AD14" s="48">
        <v>279997039.87</v>
      </c>
      <c r="AE14" s="48">
        <v>202217265.75999999</v>
      </c>
      <c r="AF14" s="48">
        <v>95149442.810000002</v>
      </c>
      <c r="AG14" s="48">
        <v>366534973.06</v>
      </c>
      <c r="AH14" s="48">
        <v>273398414.92000002</v>
      </c>
      <c r="AI14" s="48">
        <v>178068309.30000001</v>
      </c>
      <c r="AJ14" s="48">
        <v>80554286.239999995</v>
      </c>
      <c r="AK14" s="48">
        <v>247042330.38</v>
      </c>
      <c r="AL14" s="48">
        <v>197074394.38</v>
      </c>
      <c r="AM14" s="48">
        <v>126588071.23999999</v>
      </c>
      <c r="AN14" s="48">
        <v>48014654.869999997</v>
      </c>
      <c r="AO14" s="48">
        <v>236135104.5</v>
      </c>
      <c r="AP14" s="48">
        <v>197168703.81</v>
      </c>
      <c r="AQ14" s="48">
        <v>142283418.91</v>
      </c>
      <c r="AR14" s="48">
        <v>47837272.439999998</v>
      </c>
      <c r="AS14" s="48">
        <v>250408277.59</v>
      </c>
      <c r="AT14" s="48">
        <v>214420749.16999999</v>
      </c>
      <c r="AU14" s="48">
        <v>145953407.36000001</v>
      </c>
      <c r="AV14" s="48">
        <v>28092424.260000002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0</v>
      </c>
      <c r="CA14" s="48">
        <v>0</v>
      </c>
      <c r="CB14" s="48">
        <v>0</v>
      </c>
      <c r="CC14" s="48">
        <v>0</v>
      </c>
      <c r="CD14" s="48">
        <v>0</v>
      </c>
      <c r="CE14" s="48">
        <v>0</v>
      </c>
      <c r="CF14" s="48">
        <v>0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>
      <c r="A15" s="48" t="s">
        <v>268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</row>
    <row r="16" spans="1:89">
      <c r="A16" s="48" t="s">
        <v>269</v>
      </c>
      <c r="B16" s="48">
        <v>1974982766.0899999</v>
      </c>
      <c r="C16" s="48">
        <v>1229896488.72</v>
      </c>
      <c r="D16" s="48">
        <v>454956794.07999998</v>
      </c>
      <c r="E16" s="48">
        <v>2625840477.2399998</v>
      </c>
      <c r="F16" s="48">
        <v>2001186408.9200001</v>
      </c>
      <c r="G16" s="48">
        <v>1186938671.0899999</v>
      </c>
      <c r="H16" s="48">
        <v>446887355.66000003</v>
      </c>
      <c r="I16" s="48">
        <v>2633141103.77</v>
      </c>
      <c r="J16" s="48">
        <v>2081254248.6500001</v>
      </c>
      <c r="K16" s="48">
        <v>1296378584.9100001</v>
      </c>
      <c r="L16" s="48">
        <v>423570271.89999998</v>
      </c>
      <c r="M16" s="48">
        <v>2697562624.7600002</v>
      </c>
      <c r="N16" s="48">
        <v>2437235463.29</v>
      </c>
      <c r="O16" s="48">
        <v>958474149.14999998</v>
      </c>
      <c r="P16" s="48">
        <v>326451148.14999998</v>
      </c>
      <c r="Q16" s="48">
        <v>1941809525.53</v>
      </c>
      <c r="R16" s="48">
        <v>1585553099.72</v>
      </c>
      <c r="S16" s="48">
        <v>971312351.96000004</v>
      </c>
      <c r="T16" s="48">
        <v>342044349.00999999</v>
      </c>
      <c r="U16" s="48">
        <v>1726529334.96</v>
      </c>
      <c r="V16" s="48">
        <v>1344634382.2</v>
      </c>
      <c r="W16" s="48">
        <v>726822926.82000005</v>
      </c>
      <c r="X16" s="48">
        <v>252770439.25</v>
      </c>
      <c r="Y16" s="48">
        <v>1499536126.01</v>
      </c>
      <c r="Z16" s="48">
        <v>1110273319.3199999</v>
      </c>
      <c r="AA16" s="48">
        <v>896512600.79999995</v>
      </c>
      <c r="AB16" s="48">
        <v>453380539.49000001</v>
      </c>
      <c r="AC16" s="48">
        <v>1278677206.76</v>
      </c>
      <c r="AD16" s="48">
        <v>1173152257.1300001</v>
      </c>
      <c r="AE16" s="48">
        <v>777433499.44000006</v>
      </c>
      <c r="AF16" s="48">
        <v>324318818.56</v>
      </c>
      <c r="AG16" s="48">
        <v>1127325368.3499999</v>
      </c>
      <c r="AH16" s="48">
        <v>936485148.63</v>
      </c>
      <c r="AI16" s="48">
        <v>628417782.76999998</v>
      </c>
      <c r="AJ16" s="48">
        <v>287563654.88</v>
      </c>
      <c r="AK16" s="48">
        <v>864579468.21000004</v>
      </c>
      <c r="AL16" s="48">
        <v>840570207.21000004</v>
      </c>
      <c r="AM16" s="48">
        <v>573212679.00999999</v>
      </c>
      <c r="AN16" s="48">
        <v>249477435.05000001</v>
      </c>
      <c r="AO16" s="48">
        <v>1096117214.4300001</v>
      </c>
      <c r="AP16" s="48">
        <v>853071624.66999996</v>
      </c>
      <c r="AQ16" s="48">
        <v>586371314.83000004</v>
      </c>
      <c r="AR16" s="48">
        <v>254110011.83000001</v>
      </c>
      <c r="AS16" s="48">
        <v>993556899.94000006</v>
      </c>
      <c r="AT16" s="48">
        <v>824922939.07000005</v>
      </c>
      <c r="AU16" s="48">
        <v>524227480.18000001</v>
      </c>
      <c r="AV16" s="48">
        <v>178977536.66999999</v>
      </c>
      <c r="AW16" s="48">
        <v>767381707.25999999</v>
      </c>
      <c r="AX16" s="48">
        <v>506226484.08999997</v>
      </c>
      <c r="AY16" s="48">
        <v>287446405.47000003</v>
      </c>
      <c r="AZ16" s="48">
        <v>135730678.43000001</v>
      </c>
      <c r="BA16" s="48">
        <v>547654532.21000004</v>
      </c>
      <c r="BB16" s="48">
        <v>488385311.67000002</v>
      </c>
      <c r="BC16" s="48">
        <v>369406275.92000002</v>
      </c>
      <c r="BD16" s="48">
        <v>179942094.63999999</v>
      </c>
      <c r="BE16" s="48">
        <v>823540491.91999996</v>
      </c>
      <c r="BF16" s="48">
        <v>598261749.86000001</v>
      </c>
      <c r="BG16" s="48">
        <v>437209289.05000001</v>
      </c>
      <c r="BH16" s="48">
        <v>197380259.75</v>
      </c>
      <c r="BI16" s="48">
        <v>874638513.60000002</v>
      </c>
      <c r="BJ16" s="48">
        <v>701533162.53999996</v>
      </c>
      <c r="BK16" s="48">
        <v>449383572.5</v>
      </c>
      <c r="BL16" s="48">
        <v>171182762.50999999</v>
      </c>
      <c r="BM16" s="48">
        <v>739365061.50999999</v>
      </c>
      <c r="BN16" s="48">
        <v>573493375.61000001</v>
      </c>
      <c r="BO16" s="48">
        <v>363001671.57999998</v>
      </c>
      <c r="BP16" s="48">
        <v>160275666.47999999</v>
      </c>
      <c r="BQ16" s="48">
        <v>608125274.37</v>
      </c>
      <c r="BR16" s="48">
        <v>327418325.62</v>
      </c>
      <c r="BS16" s="48">
        <v>572783000.65999997</v>
      </c>
      <c r="BT16" s="48">
        <v>303477899.33999997</v>
      </c>
      <c r="BU16" s="48">
        <v>528134727.93000001</v>
      </c>
      <c r="BV16" s="48">
        <v>251026502.34999999</v>
      </c>
      <c r="BW16" s="48">
        <v>1867954.15</v>
      </c>
      <c r="BX16" s="48">
        <v>-13534602.109999999</v>
      </c>
      <c r="BY16" s="48">
        <v>86357633.819999993</v>
      </c>
      <c r="BZ16" s="48">
        <v>12581696.99</v>
      </c>
      <c r="CA16" s="48">
        <v>12716325.949999999</v>
      </c>
      <c r="CB16" s="48">
        <v>60862087.509999998</v>
      </c>
      <c r="CC16" s="48">
        <v>189954890.66999999</v>
      </c>
      <c r="CD16" s="48">
        <v>129270000</v>
      </c>
      <c r="CE16" s="48">
        <v>189945000</v>
      </c>
      <c r="CF16" s="48">
        <v>116873918.18000001</v>
      </c>
      <c r="CG16" s="48">
        <v>58750000</v>
      </c>
      <c r="CH16" s="48">
        <v>84660000</v>
      </c>
      <c r="CI16" s="48">
        <v>71460000</v>
      </c>
      <c r="CJ16" s="48">
        <v>71300000</v>
      </c>
      <c r="CK16" s="48">
        <v>0</v>
      </c>
    </row>
    <row r="17" spans="1:89">
      <c r="A17" s="48" t="s">
        <v>270</v>
      </c>
      <c r="B17" s="48">
        <v>3105809.44</v>
      </c>
      <c r="C17" s="48">
        <v>2198030.2200000002</v>
      </c>
      <c r="D17" s="48">
        <v>3095736.49</v>
      </c>
      <c r="E17" s="48">
        <v>75784142.760000005</v>
      </c>
      <c r="F17" s="48">
        <v>2350795.5</v>
      </c>
      <c r="G17" s="48">
        <v>2277869.4300000002</v>
      </c>
      <c r="H17" s="48">
        <v>2184879.2599999998</v>
      </c>
      <c r="I17" s="48">
        <v>139649188.27000001</v>
      </c>
      <c r="J17" s="48">
        <v>12798105.23</v>
      </c>
      <c r="K17" s="48">
        <v>9764258.7599999998</v>
      </c>
      <c r="L17" s="48">
        <v>6117942.0300000003</v>
      </c>
      <c r="M17" s="48">
        <v>521979291.27999997</v>
      </c>
      <c r="N17" s="48">
        <v>177972519.06999999</v>
      </c>
      <c r="O17" s="48">
        <v>169167409.21000001</v>
      </c>
      <c r="P17" s="48">
        <v>29058164.510000002</v>
      </c>
      <c r="Q17" s="48">
        <v>201808816.63</v>
      </c>
      <c r="R17" s="48">
        <v>91903690.239999995</v>
      </c>
      <c r="S17" s="48">
        <v>46909124.68</v>
      </c>
      <c r="T17" s="48">
        <v>24371840.620000001</v>
      </c>
      <c r="U17" s="48">
        <v>362666621.55000001</v>
      </c>
      <c r="V17" s="48">
        <v>98242502.209999993</v>
      </c>
      <c r="W17" s="48">
        <v>19174584.199999999</v>
      </c>
      <c r="X17" s="48">
        <v>10118244.640000001</v>
      </c>
      <c r="Y17" s="48">
        <v>192673637.22999999</v>
      </c>
      <c r="Z17" s="48">
        <v>92056767.439999998</v>
      </c>
      <c r="AA17" s="48">
        <v>18947273.460000001</v>
      </c>
      <c r="AB17" s="48">
        <v>8176435.25</v>
      </c>
      <c r="AC17" s="48">
        <v>80151438.879999995</v>
      </c>
      <c r="AD17" s="48">
        <v>31589007.170000002</v>
      </c>
      <c r="AE17" s="48">
        <v>15536528.57</v>
      </c>
      <c r="AF17" s="48">
        <v>13408910.380000001</v>
      </c>
      <c r="AG17" s="48">
        <v>127993009.16</v>
      </c>
      <c r="AH17" s="48">
        <v>38574102.659999996</v>
      </c>
      <c r="AI17" s="48">
        <v>12726212.710000001</v>
      </c>
      <c r="AJ17" s="48">
        <v>5580313.0499999998</v>
      </c>
      <c r="AK17" s="48">
        <v>86850035.859999999</v>
      </c>
      <c r="AL17" s="48">
        <v>37492688.969999999</v>
      </c>
      <c r="AM17" s="48">
        <v>22757448.739999998</v>
      </c>
      <c r="AN17" s="48">
        <v>7468249.1100000003</v>
      </c>
      <c r="AO17" s="48">
        <v>51388300.159999996</v>
      </c>
      <c r="AP17" s="48">
        <v>28336316.5</v>
      </c>
      <c r="AQ17" s="48">
        <v>18177502.109999999</v>
      </c>
      <c r="AR17" s="48">
        <v>3090159.25</v>
      </c>
      <c r="AS17" s="48">
        <v>48660223.009999998</v>
      </c>
      <c r="AT17" s="48">
        <v>12381006.789999999</v>
      </c>
      <c r="AU17" s="48">
        <v>5637303.6399999997</v>
      </c>
      <c r="AV17" s="48">
        <v>2129932.0699999998</v>
      </c>
      <c r="AW17" s="48">
        <v>15491563.83</v>
      </c>
      <c r="AX17" s="48">
        <v>9534264.9399999995</v>
      </c>
      <c r="AY17" s="48">
        <v>7664168.3700000001</v>
      </c>
      <c r="AZ17" s="48">
        <v>3366617.27</v>
      </c>
      <c r="BA17" s="48">
        <v>23617149.719999999</v>
      </c>
      <c r="BB17" s="48">
        <v>10395023.369999999</v>
      </c>
      <c r="BC17" s="48">
        <v>3173845.6</v>
      </c>
      <c r="BD17" s="48">
        <v>3600168.2</v>
      </c>
      <c r="BE17" s="48">
        <v>20826106.280000001</v>
      </c>
      <c r="BF17" s="48">
        <v>9893568.7799999993</v>
      </c>
      <c r="BG17" s="48">
        <v>6688522.2000000002</v>
      </c>
      <c r="BH17" s="48">
        <v>2456710.35</v>
      </c>
      <c r="BI17" s="48">
        <v>98100545.469999999</v>
      </c>
      <c r="BJ17" s="48">
        <v>9567937.5899999999</v>
      </c>
      <c r="BK17" s="48">
        <v>4272892.42</v>
      </c>
      <c r="BL17" s="48">
        <v>1214075.9099999999</v>
      </c>
      <c r="BM17" s="48">
        <v>9515790.7400000002</v>
      </c>
      <c r="BN17" s="48">
        <v>5760858.5599999996</v>
      </c>
      <c r="BO17" s="48">
        <v>3321180.24</v>
      </c>
      <c r="BP17" s="48">
        <v>2460654.1</v>
      </c>
      <c r="BQ17" s="48">
        <v>23022268.890000001</v>
      </c>
      <c r="BR17" s="48">
        <v>1334574.96</v>
      </c>
      <c r="BS17" s="48">
        <v>5601648.5300000003</v>
      </c>
      <c r="BT17" s="48">
        <v>1886648.34</v>
      </c>
      <c r="BU17" s="48">
        <v>6357306.6100000003</v>
      </c>
      <c r="BV17" s="48">
        <v>307361.53000000003</v>
      </c>
      <c r="BW17" s="48">
        <v>8109854.0499999998</v>
      </c>
      <c r="BX17" s="48">
        <v>441262.35</v>
      </c>
      <c r="BY17" s="48">
        <v>237833.84</v>
      </c>
      <c r="BZ17" s="48">
        <v>0</v>
      </c>
      <c r="CA17" s="48">
        <v>1274108.6000000001</v>
      </c>
      <c r="CB17" s="48">
        <v>0</v>
      </c>
      <c r="CC17" s="48">
        <v>6279436.8899999997</v>
      </c>
      <c r="CD17" s="48">
        <v>0</v>
      </c>
      <c r="CE17" s="48">
        <v>0</v>
      </c>
      <c r="CF17" s="48">
        <v>1977985.59</v>
      </c>
      <c r="CG17" s="48">
        <v>0</v>
      </c>
      <c r="CH17" s="48">
        <v>0</v>
      </c>
      <c r="CI17" s="48">
        <v>0</v>
      </c>
      <c r="CJ17" s="48">
        <v>0</v>
      </c>
      <c r="CK17" s="48">
        <v>0</v>
      </c>
    </row>
    <row r="18" spans="1:89">
      <c r="A18" s="48" t="s">
        <v>271</v>
      </c>
      <c r="B18" s="48">
        <v>14373448.109999999</v>
      </c>
      <c r="C18" s="48">
        <v>14250267.470000001</v>
      </c>
      <c r="D18" s="48">
        <v>3833044.71</v>
      </c>
      <c r="E18" s="48">
        <v>549308.51</v>
      </c>
      <c r="F18" s="48">
        <v>3733005.66</v>
      </c>
      <c r="G18" s="48">
        <v>857917.97</v>
      </c>
      <c r="H18" s="48">
        <v>276000.09999999998</v>
      </c>
      <c r="I18" s="48">
        <v>15064470.039999999</v>
      </c>
      <c r="J18" s="48">
        <v>9998188.6300000008</v>
      </c>
      <c r="K18" s="48">
        <v>9682131.8000000007</v>
      </c>
      <c r="L18" s="48">
        <v>663923.23</v>
      </c>
      <c r="M18" s="48">
        <v>24684135.059999999</v>
      </c>
      <c r="N18" s="48">
        <v>57799306.109999999</v>
      </c>
      <c r="O18" s="48">
        <v>10949979.810000001</v>
      </c>
      <c r="P18" s="48">
        <v>3026171.33</v>
      </c>
      <c r="Q18" s="48">
        <v>16909244.280000001</v>
      </c>
      <c r="R18" s="48">
        <v>4247524.62</v>
      </c>
      <c r="S18" s="48">
        <v>4031634.47</v>
      </c>
      <c r="T18" s="48">
        <v>1141529.33</v>
      </c>
      <c r="U18" s="48">
        <v>7624440.9100000001</v>
      </c>
      <c r="V18" s="48">
        <v>3228543.71</v>
      </c>
      <c r="W18" s="48">
        <v>2792955.05</v>
      </c>
      <c r="X18" s="48">
        <v>1099705.82</v>
      </c>
      <c r="Y18" s="48">
        <v>13071322.82</v>
      </c>
      <c r="Z18" s="48">
        <v>2316865.27</v>
      </c>
      <c r="AA18" s="48">
        <v>1720391.52</v>
      </c>
      <c r="AB18" s="48">
        <v>268699.33</v>
      </c>
      <c r="AC18" s="48">
        <v>6808784.1200000001</v>
      </c>
      <c r="AD18" s="48">
        <v>11910425.74</v>
      </c>
      <c r="AE18" s="48">
        <v>4492054.79</v>
      </c>
      <c r="AF18" s="48">
        <v>1395314.79</v>
      </c>
      <c r="AG18" s="48">
        <v>7170436.9199999999</v>
      </c>
      <c r="AH18" s="48">
        <v>4103621.35</v>
      </c>
      <c r="AI18" s="48">
        <v>1742479.98</v>
      </c>
      <c r="AJ18" s="48">
        <v>725776.18</v>
      </c>
      <c r="AK18" s="48">
        <v>8930671.6400000006</v>
      </c>
      <c r="AL18" s="48">
        <v>4062623.89</v>
      </c>
      <c r="AM18" s="48">
        <v>3092799.68</v>
      </c>
      <c r="AN18" s="48">
        <v>1012822.63</v>
      </c>
      <c r="AO18" s="48">
        <v>27081278.960000001</v>
      </c>
      <c r="AP18" s="48">
        <v>13648879.35</v>
      </c>
      <c r="AQ18" s="48">
        <v>7296709.0999999996</v>
      </c>
      <c r="AR18" s="48">
        <v>1233006.0800000001</v>
      </c>
      <c r="AS18" s="48">
        <v>10027439.890000001</v>
      </c>
      <c r="AT18" s="48">
        <v>5819916.1500000004</v>
      </c>
      <c r="AU18" s="48">
        <v>2744676.31</v>
      </c>
      <c r="AV18" s="48">
        <v>1020668.76</v>
      </c>
      <c r="AW18" s="48">
        <v>8818687.5099999998</v>
      </c>
      <c r="AX18" s="48">
        <v>5408324.4900000002</v>
      </c>
      <c r="AY18" s="48">
        <v>4572684.83</v>
      </c>
      <c r="AZ18" s="48">
        <v>402376.27</v>
      </c>
      <c r="BA18" s="48">
        <v>53805873.270000003</v>
      </c>
      <c r="BB18" s="48">
        <v>41598754.82</v>
      </c>
      <c r="BC18" s="48">
        <v>22003811.780000001</v>
      </c>
      <c r="BD18" s="48">
        <v>7547256.25</v>
      </c>
      <c r="BE18" s="48">
        <v>104276870.45999999</v>
      </c>
      <c r="BF18" s="48">
        <v>19046226.969999999</v>
      </c>
      <c r="BG18" s="48">
        <v>11698550.699999999</v>
      </c>
      <c r="BH18" s="48">
        <v>4970596.67</v>
      </c>
      <c r="BI18" s="48">
        <v>50026700.240000002</v>
      </c>
      <c r="BJ18" s="48">
        <v>34191043.439999998</v>
      </c>
      <c r="BK18" s="48">
        <v>6074649.96</v>
      </c>
      <c r="BL18" s="48">
        <v>1515391.71</v>
      </c>
      <c r="BM18" s="48">
        <v>20818857.329999998</v>
      </c>
      <c r="BN18" s="48">
        <v>8767398.9000000004</v>
      </c>
      <c r="BO18" s="48">
        <v>7355051.3399999999</v>
      </c>
      <c r="BP18" s="48">
        <v>4385698.42</v>
      </c>
      <c r="BQ18" s="48">
        <v>13003709.07</v>
      </c>
      <c r="BR18" s="48">
        <v>3714354.94</v>
      </c>
      <c r="BS18" s="48">
        <v>116829524.23999999</v>
      </c>
      <c r="BT18" s="48">
        <v>1600821.46</v>
      </c>
      <c r="BU18" s="48">
        <v>6018287.25</v>
      </c>
      <c r="BV18" s="48">
        <v>1688374.88</v>
      </c>
      <c r="BW18" s="48">
        <v>1187969.6599999999</v>
      </c>
      <c r="BX18" s="48">
        <v>524526.84</v>
      </c>
      <c r="BY18" s="48">
        <v>1877884.51</v>
      </c>
      <c r="BZ18" s="48">
        <v>0</v>
      </c>
      <c r="CA18" s="48">
        <v>1824215.68</v>
      </c>
      <c r="CB18" s="48">
        <v>0</v>
      </c>
      <c r="CC18" s="48">
        <v>3170951.5</v>
      </c>
      <c r="CD18" s="48">
        <v>0</v>
      </c>
      <c r="CE18" s="48">
        <v>0</v>
      </c>
      <c r="CF18" s="48">
        <v>12347969.720000001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</row>
    <row r="19" spans="1:89">
      <c r="A19" s="48" t="s">
        <v>272</v>
      </c>
      <c r="B19" s="48">
        <v>0</v>
      </c>
      <c r="C19" s="48">
        <v>0</v>
      </c>
      <c r="D19" s="48">
        <v>0</v>
      </c>
      <c r="E19" s="48">
        <v>0</v>
      </c>
      <c r="F19" s="48">
        <v>3365196.22</v>
      </c>
      <c r="G19" s="48">
        <v>774287.22</v>
      </c>
      <c r="H19" s="48">
        <v>205795.72</v>
      </c>
      <c r="I19" s="48">
        <v>5292060.82</v>
      </c>
      <c r="J19" s="48">
        <v>668650.72</v>
      </c>
      <c r="K19" s="48">
        <v>526556</v>
      </c>
      <c r="L19" s="48">
        <v>0</v>
      </c>
      <c r="M19" s="48">
        <v>6501068.5899999999</v>
      </c>
      <c r="N19" s="48">
        <v>12455426.710000001</v>
      </c>
      <c r="O19" s="48">
        <v>10614764.48</v>
      </c>
      <c r="P19" s="48">
        <v>2565287.4</v>
      </c>
      <c r="Q19" s="48">
        <v>14828511.17</v>
      </c>
      <c r="R19" s="48">
        <v>553277.34</v>
      </c>
      <c r="S19" s="48">
        <v>3361263.97</v>
      </c>
      <c r="T19" s="48">
        <v>553277.34</v>
      </c>
      <c r="U19" s="48">
        <v>5426379.3700000001</v>
      </c>
      <c r="V19" s="48">
        <v>1701811.84</v>
      </c>
      <c r="W19" s="48">
        <v>1275648.1599999999</v>
      </c>
      <c r="X19" s="48">
        <v>698267.84</v>
      </c>
      <c r="Y19" s="48">
        <v>6715665.3399999999</v>
      </c>
      <c r="Z19" s="48">
        <v>2034684.96</v>
      </c>
      <c r="AA19" s="48">
        <v>1474922.64</v>
      </c>
      <c r="AB19" s="48">
        <v>61703</v>
      </c>
      <c r="AC19" s="48">
        <v>4797730.6100000003</v>
      </c>
      <c r="AD19" s="48">
        <v>4304223.68</v>
      </c>
      <c r="AE19" s="48">
        <v>3327942.11</v>
      </c>
      <c r="AF19" s="48">
        <v>687671.65</v>
      </c>
      <c r="AG19" s="48">
        <v>5148816.42</v>
      </c>
      <c r="AH19" s="48">
        <v>2801019.89</v>
      </c>
      <c r="AI19" s="48">
        <v>779629.21</v>
      </c>
      <c r="AJ19" s="48">
        <v>152161.23000000001</v>
      </c>
      <c r="AK19" s="48">
        <v>5354837.24</v>
      </c>
      <c r="AL19" s="48">
        <v>2503192.36</v>
      </c>
      <c r="AM19" s="48">
        <v>1953411.89</v>
      </c>
      <c r="AN19" s="48">
        <v>52354.1</v>
      </c>
      <c r="AO19" s="48">
        <v>12472344.189999999</v>
      </c>
      <c r="AP19" s="48">
        <v>7772158.21</v>
      </c>
      <c r="AQ19" s="48">
        <v>0</v>
      </c>
      <c r="AR19" s="48">
        <v>155624.82999999999</v>
      </c>
      <c r="AS19" s="48">
        <v>2424043.77</v>
      </c>
      <c r="AT19" s="48">
        <v>0</v>
      </c>
      <c r="AU19" s="48">
        <v>1822225.94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</row>
    <row r="20" spans="1:89">
      <c r="A20" s="48" t="s">
        <v>273</v>
      </c>
      <c r="B20" s="48">
        <v>1963715127.4200001</v>
      </c>
      <c r="C20" s="48">
        <v>1217844251.47</v>
      </c>
      <c r="D20" s="48">
        <v>454219485.86000001</v>
      </c>
      <c r="E20" s="48">
        <v>2701075311.4899998</v>
      </c>
      <c r="F20" s="48">
        <v>1999804198.76</v>
      </c>
      <c r="G20" s="48">
        <v>1188358622.55</v>
      </c>
      <c r="H20" s="48">
        <v>448796234.81999999</v>
      </c>
      <c r="I20" s="48">
        <v>2757725822</v>
      </c>
      <c r="J20" s="48">
        <v>2084054165.25</v>
      </c>
      <c r="K20" s="48">
        <v>1296460711.8699999</v>
      </c>
      <c r="L20" s="48">
        <v>429024290.69999999</v>
      </c>
      <c r="M20" s="48">
        <v>3194857780.98</v>
      </c>
      <c r="N20" s="48">
        <v>2557408676.25</v>
      </c>
      <c r="O20" s="48">
        <v>1116691578.55</v>
      </c>
      <c r="P20" s="48">
        <v>352483141.32999998</v>
      </c>
      <c r="Q20" s="48">
        <v>2126709097.8800001</v>
      </c>
      <c r="R20" s="48">
        <v>1673209265.3399999</v>
      </c>
      <c r="S20" s="48">
        <v>1014189842.17</v>
      </c>
      <c r="T20" s="48">
        <v>365274660.30000001</v>
      </c>
      <c r="U20" s="48">
        <v>2081571515.5999999</v>
      </c>
      <c r="V20" s="48">
        <v>1439648340.7</v>
      </c>
      <c r="W20" s="48">
        <v>743204555.97000003</v>
      </c>
      <c r="X20" s="48">
        <v>261788978.06999999</v>
      </c>
      <c r="Y20" s="48">
        <v>1679138440.4200001</v>
      </c>
      <c r="Z20" s="48">
        <v>1200013221.49</v>
      </c>
      <c r="AA20" s="48">
        <v>913739482.74000001</v>
      </c>
      <c r="AB20" s="48">
        <v>461288275.41000003</v>
      </c>
      <c r="AC20" s="48">
        <v>1352019861.52</v>
      </c>
      <c r="AD20" s="48">
        <v>1192830838.5599999</v>
      </c>
      <c r="AE20" s="48">
        <v>788477973.22000003</v>
      </c>
      <c r="AF20" s="48">
        <v>336332414.14999998</v>
      </c>
      <c r="AG20" s="48">
        <v>1248147940.5899999</v>
      </c>
      <c r="AH20" s="48">
        <v>970955629.94000006</v>
      </c>
      <c r="AI20" s="48">
        <v>639401515.5</v>
      </c>
      <c r="AJ20" s="48">
        <v>292418191.75</v>
      </c>
      <c r="AK20" s="48">
        <v>942498832.42999995</v>
      </c>
      <c r="AL20" s="48">
        <v>874000272.28999996</v>
      </c>
      <c r="AM20" s="48">
        <v>592877328.07000005</v>
      </c>
      <c r="AN20" s="48">
        <v>255932861.53</v>
      </c>
      <c r="AO20" s="48">
        <v>1120424235.6300001</v>
      </c>
      <c r="AP20" s="48">
        <v>867759061.82000005</v>
      </c>
      <c r="AQ20" s="48">
        <v>597252107.84000003</v>
      </c>
      <c r="AR20" s="48">
        <v>255967165</v>
      </c>
      <c r="AS20" s="48">
        <v>1032189683.0599999</v>
      </c>
      <c r="AT20" s="48">
        <v>831484029.71000004</v>
      </c>
      <c r="AU20" s="48">
        <v>527120107.50999999</v>
      </c>
      <c r="AV20" s="48">
        <v>180086799.97999999</v>
      </c>
      <c r="AW20" s="48">
        <v>774054583.58000004</v>
      </c>
      <c r="AX20" s="48">
        <v>510352424.54000002</v>
      </c>
      <c r="AY20" s="48">
        <v>290537889.00999999</v>
      </c>
      <c r="AZ20" s="48">
        <v>138694919.43000001</v>
      </c>
      <c r="BA20" s="48">
        <v>517465808.66000003</v>
      </c>
      <c r="BB20" s="48">
        <v>457181580.22000003</v>
      </c>
      <c r="BC20" s="48">
        <v>350576309.74000001</v>
      </c>
      <c r="BD20" s="48">
        <v>175995006.59</v>
      </c>
      <c r="BE20" s="48">
        <v>740089727.74000001</v>
      </c>
      <c r="BF20" s="48">
        <v>589109091.66999996</v>
      </c>
      <c r="BG20" s="48">
        <v>432199260.55000001</v>
      </c>
      <c r="BH20" s="48">
        <v>194866373.43000001</v>
      </c>
      <c r="BI20" s="48">
        <v>922712358.83000004</v>
      </c>
      <c r="BJ20" s="48">
        <v>676910056.69000006</v>
      </c>
      <c r="BK20" s="48">
        <v>447581814.95999998</v>
      </c>
      <c r="BL20" s="48">
        <v>170881446.71000001</v>
      </c>
      <c r="BM20" s="48">
        <v>728061994.91999996</v>
      </c>
      <c r="BN20" s="48">
        <v>570486835.26999998</v>
      </c>
      <c r="BO20" s="48">
        <v>358967800.48000002</v>
      </c>
      <c r="BP20" s="48">
        <v>158350622.16</v>
      </c>
      <c r="BQ20" s="48">
        <v>618143834.19000006</v>
      </c>
      <c r="BR20" s="48">
        <v>325038545.63999999</v>
      </c>
      <c r="BS20" s="48">
        <v>461555124.94999999</v>
      </c>
      <c r="BT20" s="48">
        <v>303763726.22000003</v>
      </c>
      <c r="BU20" s="48">
        <v>528473747.29000002</v>
      </c>
      <c r="BV20" s="48">
        <v>249645489</v>
      </c>
      <c r="BW20" s="48">
        <v>8789838.5399999991</v>
      </c>
      <c r="BX20" s="48">
        <v>-13617866.6</v>
      </c>
      <c r="BY20" s="48">
        <v>84717583.150000006</v>
      </c>
      <c r="BZ20" s="48">
        <v>12581696.99</v>
      </c>
      <c r="CA20" s="48">
        <v>12166218.869999999</v>
      </c>
      <c r="CB20" s="48">
        <v>60862087.509999998</v>
      </c>
      <c r="CC20" s="48">
        <v>193063376.06</v>
      </c>
      <c r="CD20" s="48">
        <v>129270000</v>
      </c>
      <c r="CE20" s="48">
        <v>189945000</v>
      </c>
      <c r="CF20" s="48">
        <v>106503934.05</v>
      </c>
      <c r="CG20" s="48">
        <v>58750000</v>
      </c>
      <c r="CH20" s="48">
        <v>84660000</v>
      </c>
      <c r="CI20" s="48">
        <v>71460000</v>
      </c>
      <c r="CJ20" s="48">
        <v>71300000</v>
      </c>
      <c r="CK20" s="48">
        <v>0</v>
      </c>
    </row>
    <row r="21" spans="1:89">
      <c r="A21" s="48" t="s">
        <v>274</v>
      </c>
      <c r="B21" s="48">
        <v>227658263.59999999</v>
      </c>
      <c r="C21" s="48">
        <v>127760607.8</v>
      </c>
      <c r="D21" s="48">
        <v>59226030.109999999</v>
      </c>
      <c r="E21" s="48">
        <v>339907733.63</v>
      </c>
      <c r="F21" s="48">
        <v>240726737.47999999</v>
      </c>
      <c r="G21" s="48">
        <v>132673082.61</v>
      </c>
      <c r="H21" s="48">
        <v>57078127.969999999</v>
      </c>
      <c r="I21" s="48">
        <v>344119329.13</v>
      </c>
      <c r="J21" s="48">
        <v>236458428.50999999</v>
      </c>
      <c r="K21" s="48">
        <v>131520976.13</v>
      </c>
      <c r="L21" s="48">
        <v>57333063.560000002</v>
      </c>
      <c r="M21" s="48">
        <v>394481905.88999999</v>
      </c>
      <c r="N21" s="48">
        <v>237408339.46000001</v>
      </c>
      <c r="O21" s="48">
        <v>143495446.5</v>
      </c>
      <c r="P21" s="48">
        <v>60095590.350000001</v>
      </c>
      <c r="Q21" s="48">
        <v>326917131.16000003</v>
      </c>
      <c r="R21" s="48">
        <v>259819928.72</v>
      </c>
      <c r="S21" s="48">
        <v>152292514.75</v>
      </c>
      <c r="T21" s="48">
        <v>52811584.189999998</v>
      </c>
      <c r="U21" s="48">
        <v>244560765.30000001</v>
      </c>
      <c r="V21" s="48">
        <v>176598193.36000001</v>
      </c>
      <c r="W21" s="48">
        <v>95189080.349999994</v>
      </c>
      <c r="X21" s="48">
        <v>46108035.969999999</v>
      </c>
      <c r="Y21" s="48">
        <v>364313757.82999998</v>
      </c>
      <c r="Z21" s="48">
        <v>164225288.47</v>
      </c>
      <c r="AA21" s="48">
        <v>92773729.409999996</v>
      </c>
      <c r="AB21" s="48">
        <v>41866894.789999999</v>
      </c>
      <c r="AC21" s="48">
        <v>173724178.75999999</v>
      </c>
      <c r="AD21" s="48">
        <v>152154272.63</v>
      </c>
      <c r="AE21" s="48">
        <v>94252380.439999998</v>
      </c>
      <c r="AF21" s="48">
        <v>45997808.600000001</v>
      </c>
      <c r="AG21" s="48">
        <v>161628839</v>
      </c>
      <c r="AH21" s="48">
        <v>122115165.42</v>
      </c>
      <c r="AI21" s="48">
        <v>80839747.829999998</v>
      </c>
      <c r="AJ21" s="48">
        <v>35689718.990000002</v>
      </c>
      <c r="AK21" s="48">
        <v>135739249.22999999</v>
      </c>
      <c r="AL21" s="48">
        <v>102234420.34</v>
      </c>
      <c r="AM21" s="48">
        <v>66625921.390000001</v>
      </c>
      <c r="AN21" s="48">
        <v>32520400.399999999</v>
      </c>
      <c r="AO21" s="48">
        <v>153315468.66999999</v>
      </c>
      <c r="AP21" s="48">
        <v>141560743.21000001</v>
      </c>
      <c r="AQ21" s="48">
        <v>99457863.090000004</v>
      </c>
      <c r="AR21" s="48">
        <v>44027374.049999997</v>
      </c>
      <c r="AS21" s="48">
        <v>139283274.08000001</v>
      </c>
      <c r="AT21" s="48">
        <v>132415189.92</v>
      </c>
      <c r="AU21" s="48">
        <v>84352733.560000002</v>
      </c>
      <c r="AV21" s="48">
        <v>29650309.149999999</v>
      </c>
      <c r="AW21" s="48">
        <v>112159737.02</v>
      </c>
      <c r="AX21" s="48">
        <v>68131511.010000005</v>
      </c>
      <c r="AY21" s="48">
        <v>41356766.380000003</v>
      </c>
      <c r="AZ21" s="48">
        <v>21261539.25</v>
      </c>
      <c r="BA21" s="48">
        <v>108609995.86</v>
      </c>
      <c r="BB21" s="48">
        <v>94004327.269999996</v>
      </c>
      <c r="BC21" s="48">
        <v>67862554.450000003</v>
      </c>
      <c r="BD21" s="48">
        <v>28974955.960000001</v>
      </c>
      <c r="BE21" s="48">
        <v>132468882.01000001</v>
      </c>
      <c r="BF21" s="48">
        <v>93637200.370000005</v>
      </c>
      <c r="BG21" s="48">
        <v>65867600.789999999</v>
      </c>
      <c r="BH21" s="48">
        <v>32955130.91</v>
      </c>
      <c r="BI21" s="48">
        <v>155946328.93000001</v>
      </c>
      <c r="BJ21" s="48">
        <v>108366137.34</v>
      </c>
      <c r="BK21" s="48">
        <v>68867283.900000006</v>
      </c>
      <c r="BL21" s="48">
        <v>28006866.879999999</v>
      </c>
      <c r="BM21" s="48">
        <v>143668257.24000001</v>
      </c>
      <c r="BN21" s="48">
        <v>98765977.599999994</v>
      </c>
      <c r="BO21" s="48">
        <v>64164786.920000002</v>
      </c>
      <c r="BP21" s="48">
        <v>25321619.559999999</v>
      </c>
      <c r="BQ21" s="48">
        <v>113460021.93000001</v>
      </c>
      <c r="BR21" s="48">
        <v>52431401.840000004</v>
      </c>
      <c r="BS21" s="48">
        <v>100791733.87</v>
      </c>
      <c r="BT21" s="48">
        <v>47229977.799999997</v>
      </c>
      <c r="BU21" s="48">
        <v>97455708.069999993</v>
      </c>
      <c r="BV21" s="48">
        <v>39232814.829999998</v>
      </c>
      <c r="BW21" s="48">
        <v>2796995.65</v>
      </c>
      <c r="BX21" s="48">
        <v>0</v>
      </c>
      <c r="BY21" s="48">
        <v>8176697.29</v>
      </c>
      <c r="BZ21" s="48">
        <v>1624615.5</v>
      </c>
      <c r="CA21" s="48">
        <v>1799885.61</v>
      </c>
      <c r="CB21" s="48">
        <v>9698012.9700000007</v>
      </c>
      <c r="CC21" s="48">
        <v>28336126.850000001</v>
      </c>
      <c r="CD21" s="48">
        <v>19730000</v>
      </c>
      <c r="CE21" s="48">
        <v>27810000</v>
      </c>
      <c r="CF21" s="48">
        <v>16447145.279999999</v>
      </c>
      <c r="CG21" s="48">
        <v>4330000</v>
      </c>
      <c r="CH21" s="48">
        <v>4220000</v>
      </c>
      <c r="CI21" s="48">
        <v>12510000</v>
      </c>
      <c r="CJ21" s="48">
        <v>3630000</v>
      </c>
      <c r="CK21" s="48">
        <v>0</v>
      </c>
    </row>
    <row r="22" spans="1:89">
      <c r="A22" s="48" t="s">
        <v>275</v>
      </c>
      <c r="B22" s="48">
        <v>1736056863.8199999</v>
      </c>
      <c r="C22" s="48">
        <v>1090083643.6700001</v>
      </c>
      <c r="D22" s="48">
        <v>394993455.75</v>
      </c>
      <c r="E22" s="48">
        <v>2361167577.8600001</v>
      </c>
      <c r="F22" s="48">
        <v>1759077461.28</v>
      </c>
      <c r="G22" s="48">
        <v>1055685539.9400001</v>
      </c>
      <c r="H22" s="48">
        <v>391718106.85000002</v>
      </c>
      <c r="I22" s="48">
        <v>2413606492.8699999</v>
      </c>
      <c r="J22" s="48">
        <v>1847595736.74</v>
      </c>
      <c r="K22" s="48">
        <v>1164939735.74</v>
      </c>
      <c r="L22" s="48">
        <v>371691227.13999999</v>
      </c>
      <c r="M22" s="48">
        <v>2800375875.0900002</v>
      </c>
      <c r="N22" s="48">
        <v>2320000336.79</v>
      </c>
      <c r="O22" s="48">
        <v>973196132.04999995</v>
      </c>
      <c r="P22" s="48">
        <v>292387550.98000002</v>
      </c>
      <c r="Q22" s="48">
        <v>1799791966.72</v>
      </c>
      <c r="R22" s="48">
        <v>1413389336.6199999</v>
      </c>
      <c r="S22" s="48">
        <v>861897327.41999996</v>
      </c>
      <c r="T22" s="48">
        <v>312463076.11000001</v>
      </c>
      <c r="U22" s="48">
        <v>1837010750.3</v>
      </c>
      <c r="V22" s="48">
        <v>1263050147.3399999</v>
      </c>
      <c r="W22" s="48">
        <v>648015475.62</v>
      </c>
      <c r="X22" s="48">
        <v>215680942.09999999</v>
      </c>
      <c r="Y22" s="48">
        <v>1314824682.5899999</v>
      </c>
      <c r="Z22" s="48">
        <v>1035787933.02</v>
      </c>
      <c r="AA22" s="48">
        <v>820965753.33000004</v>
      </c>
      <c r="AB22" s="48">
        <v>419421380.62</v>
      </c>
      <c r="AC22" s="48">
        <v>1178295682.76</v>
      </c>
      <c r="AD22" s="48">
        <v>1040676565.9299999</v>
      </c>
      <c r="AE22" s="48">
        <v>694225592.77999997</v>
      </c>
      <c r="AF22" s="48">
        <v>290334605.55000001</v>
      </c>
      <c r="AG22" s="48">
        <v>1086519101.5899999</v>
      </c>
      <c r="AH22" s="48">
        <v>848840464.51999998</v>
      </c>
      <c r="AI22" s="48">
        <v>558561767.66999996</v>
      </c>
      <c r="AJ22" s="48">
        <v>256728472.75999999</v>
      </c>
      <c r="AK22" s="48">
        <v>806759583.20000005</v>
      </c>
      <c r="AL22" s="48">
        <v>771765851.95000005</v>
      </c>
      <c r="AM22" s="48">
        <v>526251406.68000001</v>
      </c>
      <c r="AN22" s="48">
        <v>223412461.13</v>
      </c>
      <c r="AO22" s="48">
        <v>967108766.96000004</v>
      </c>
      <c r="AP22" s="48">
        <v>726198318.61000001</v>
      </c>
      <c r="AQ22" s="48">
        <v>497794244.75</v>
      </c>
      <c r="AR22" s="48">
        <v>211939790.94999999</v>
      </c>
      <c r="AS22" s="48">
        <v>892906408.98000002</v>
      </c>
      <c r="AT22" s="48">
        <v>699068839.78999996</v>
      </c>
      <c r="AU22" s="48">
        <v>442767373.94999999</v>
      </c>
      <c r="AV22" s="48">
        <v>150436490.83000001</v>
      </c>
      <c r="AW22" s="48">
        <v>661894846.55999994</v>
      </c>
      <c r="AX22" s="48">
        <v>442220913.52999997</v>
      </c>
      <c r="AY22" s="48">
        <v>249181122.63</v>
      </c>
      <c r="AZ22" s="48">
        <v>117433380.18000001</v>
      </c>
      <c r="BA22" s="48">
        <v>408855812.80000001</v>
      </c>
      <c r="BB22" s="48">
        <v>363177252.94999999</v>
      </c>
      <c r="BC22" s="48">
        <v>282713755.29000002</v>
      </c>
      <c r="BD22" s="48">
        <v>147020050.63</v>
      </c>
      <c r="BE22" s="48">
        <v>607620845.73000002</v>
      </c>
      <c r="BF22" s="48">
        <v>495471891.30000001</v>
      </c>
      <c r="BG22" s="48">
        <v>366331659.75999999</v>
      </c>
      <c r="BH22" s="48">
        <v>161911242.52000001</v>
      </c>
      <c r="BI22" s="48">
        <v>766766029.89999998</v>
      </c>
      <c r="BJ22" s="48">
        <v>568543919.35000002</v>
      </c>
      <c r="BK22" s="48">
        <v>378714531.06</v>
      </c>
      <c r="BL22" s="48">
        <v>142874579.83000001</v>
      </c>
      <c r="BM22" s="48">
        <v>584393737.67999995</v>
      </c>
      <c r="BN22" s="48">
        <v>471720857.67000002</v>
      </c>
      <c r="BO22" s="48">
        <v>294803013.56</v>
      </c>
      <c r="BP22" s="48">
        <v>133029002.59999999</v>
      </c>
      <c r="BQ22" s="48">
        <v>504683812.25999999</v>
      </c>
      <c r="BR22" s="48">
        <v>272607143.80000001</v>
      </c>
      <c r="BS22" s="48">
        <v>360763391.07999998</v>
      </c>
      <c r="BT22" s="48">
        <v>256533748.41999999</v>
      </c>
      <c r="BU22" s="48">
        <v>431018039.22000003</v>
      </c>
      <c r="BV22" s="48">
        <v>210412674.16999999</v>
      </c>
      <c r="BW22" s="48">
        <v>5992842.8899999997</v>
      </c>
      <c r="BX22" s="48">
        <v>-13617866.6</v>
      </c>
      <c r="BY22" s="48">
        <v>76540885.859999999</v>
      </c>
      <c r="BZ22" s="48">
        <v>10957081.49</v>
      </c>
      <c r="CA22" s="48">
        <v>10366333.26</v>
      </c>
      <c r="CB22" s="48">
        <v>51164074.539999999</v>
      </c>
      <c r="CC22" s="48">
        <v>164727249.21000001</v>
      </c>
      <c r="CD22" s="48">
        <v>109540000</v>
      </c>
      <c r="CE22" s="48">
        <v>162135000</v>
      </c>
      <c r="CF22" s="48">
        <v>90056788.769999996</v>
      </c>
      <c r="CG22" s="48">
        <v>54430000</v>
      </c>
      <c r="CH22" s="48">
        <v>80440000</v>
      </c>
      <c r="CI22" s="48">
        <v>58950000</v>
      </c>
      <c r="CJ22" s="48">
        <v>67670000</v>
      </c>
      <c r="CK22" s="48">
        <v>0</v>
      </c>
    </row>
    <row r="23" spans="1:89">
      <c r="A23" s="48" t="s">
        <v>276</v>
      </c>
      <c r="B23" s="48">
        <v>1032456467.22</v>
      </c>
      <c r="C23" s="48">
        <v>653583366.03999996</v>
      </c>
      <c r="D23" s="48">
        <v>238803602.36000001</v>
      </c>
      <c r="E23" s="48">
        <v>1390330531.8</v>
      </c>
      <c r="F23" s="48">
        <v>1045060818.8</v>
      </c>
      <c r="G23" s="48">
        <v>630705169.40999997</v>
      </c>
      <c r="H23" s="48">
        <v>238991845.15000001</v>
      </c>
      <c r="I23" s="48">
        <v>1449090972.8399999</v>
      </c>
      <c r="J23" s="48">
        <v>1142857874.96</v>
      </c>
      <c r="K23" s="48">
        <v>742254955.05999994</v>
      </c>
      <c r="L23" s="48">
        <v>219355821.86000001</v>
      </c>
      <c r="M23" s="48">
        <v>1834572111.9300001</v>
      </c>
      <c r="N23" s="48">
        <v>1619025727.3800001</v>
      </c>
      <c r="O23" s="48">
        <v>551656053.84000003</v>
      </c>
      <c r="P23" s="48">
        <v>142196490.46000001</v>
      </c>
      <c r="Q23" s="48">
        <v>857882099.57000005</v>
      </c>
      <c r="R23" s="48">
        <v>741582103.88999999</v>
      </c>
      <c r="S23" s="48">
        <v>461346680.06999999</v>
      </c>
      <c r="T23" s="48">
        <v>171427591.55000001</v>
      </c>
      <c r="U23" s="48">
        <v>943833546.36000001</v>
      </c>
      <c r="V23" s="48">
        <v>622286203.15999997</v>
      </c>
      <c r="W23" s="48">
        <v>284170982.25999999</v>
      </c>
      <c r="X23" s="48">
        <v>88005601.909999996</v>
      </c>
      <c r="Y23" s="48">
        <v>703489403.11000001</v>
      </c>
      <c r="Z23" s="48">
        <v>590196572.86000001</v>
      </c>
      <c r="AA23" s="48">
        <v>550047228.63</v>
      </c>
      <c r="AB23" s="48">
        <v>305434485.74000001</v>
      </c>
      <c r="AC23" s="48">
        <v>711480275.78999996</v>
      </c>
      <c r="AD23" s="48">
        <v>649133142.63</v>
      </c>
      <c r="AE23" s="48">
        <v>449910723.80000001</v>
      </c>
      <c r="AF23" s="48">
        <v>190066752.62</v>
      </c>
      <c r="AG23" s="48">
        <v>665718754.99000001</v>
      </c>
      <c r="AH23" s="48">
        <v>529603696.32999998</v>
      </c>
      <c r="AI23" s="48">
        <v>352609649.94</v>
      </c>
      <c r="AJ23" s="48">
        <v>169447974.94999999</v>
      </c>
      <c r="AK23" s="48">
        <v>465741408.69</v>
      </c>
      <c r="AL23" s="48">
        <v>493135407.43000001</v>
      </c>
      <c r="AM23" s="48">
        <v>334956605.76999998</v>
      </c>
      <c r="AN23" s="48">
        <v>136658876.02000001</v>
      </c>
      <c r="AO23" s="48">
        <v>646604833.80999994</v>
      </c>
      <c r="AP23" s="48">
        <v>467593814.04000002</v>
      </c>
      <c r="AQ23" s="48">
        <v>325939746.51999998</v>
      </c>
      <c r="AR23" s="48">
        <v>132406144.48</v>
      </c>
      <c r="AS23" s="48">
        <v>605580532.10000002</v>
      </c>
      <c r="AT23" s="48">
        <v>462700020.13999999</v>
      </c>
      <c r="AU23" s="48">
        <v>297804166.30000001</v>
      </c>
      <c r="AV23" s="48">
        <v>89773214.540000007</v>
      </c>
      <c r="AW23" s="48">
        <v>401514527.35000002</v>
      </c>
      <c r="AX23" s="48">
        <v>256573756.66999999</v>
      </c>
      <c r="AY23" s="48">
        <v>137612432.38</v>
      </c>
      <c r="AZ23" s="48">
        <v>62226459.109999999</v>
      </c>
      <c r="BA23" s="48">
        <v>159443460.78999999</v>
      </c>
      <c r="BB23" s="48">
        <v>133564054.06999999</v>
      </c>
      <c r="BC23" s="48">
        <v>122533552.03</v>
      </c>
      <c r="BD23" s="48">
        <v>73002861.420000002</v>
      </c>
      <c r="BE23" s="48">
        <v>293740978.41000003</v>
      </c>
      <c r="BF23" s="48">
        <v>255376997.08000001</v>
      </c>
      <c r="BG23" s="48">
        <v>194491271.11000001</v>
      </c>
      <c r="BH23" s="48">
        <v>82187262.709999993</v>
      </c>
      <c r="BI23" s="48">
        <v>412010778.26999998</v>
      </c>
      <c r="BJ23" s="48">
        <v>307400101.85000002</v>
      </c>
      <c r="BK23" s="48">
        <v>220268441.96000001</v>
      </c>
      <c r="BL23" s="48">
        <v>73114610.659999996</v>
      </c>
      <c r="BM23" s="48">
        <v>272775662.16000003</v>
      </c>
      <c r="BN23" s="48">
        <v>223940968.40000001</v>
      </c>
      <c r="BO23" s="48">
        <v>134696233.75999999</v>
      </c>
      <c r="BP23" s="48">
        <v>69034709.5</v>
      </c>
      <c r="BQ23" s="48">
        <v>246444551.36000001</v>
      </c>
      <c r="BR23" s="48">
        <v>145308927.72999999</v>
      </c>
      <c r="BS23" s="48">
        <v>155431251.19</v>
      </c>
      <c r="BT23" s="48">
        <v>145360130.50999999</v>
      </c>
      <c r="BU23" s="48">
        <v>244333013.37</v>
      </c>
      <c r="BV23" s="48">
        <v>98950981.099999994</v>
      </c>
      <c r="BW23" s="48">
        <v>10415260.810000001</v>
      </c>
      <c r="BX23" s="48">
        <v>-13617866.6</v>
      </c>
      <c r="BY23" s="48">
        <v>76540885.859999999</v>
      </c>
      <c r="BZ23" s="48">
        <v>10957081.49</v>
      </c>
      <c r="CA23" s="48">
        <v>10366333.26</v>
      </c>
      <c r="CB23" s="48">
        <v>51164074.539999999</v>
      </c>
      <c r="CC23" s="48">
        <v>164727249.21000001</v>
      </c>
      <c r="CD23" s="48">
        <v>109660000</v>
      </c>
      <c r="CE23" s="48">
        <v>162366000</v>
      </c>
      <c r="CF23" s="48">
        <v>90077826.569999993</v>
      </c>
      <c r="CG23" s="48">
        <v>54430000</v>
      </c>
      <c r="CH23" s="48">
        <v>80440000</v>
      </c>
      <c r="CI23" s="48">
        <v>58950000</v>
      </c>
      <c r="CJ23" s="48">
        <v>67670000</v>
      </c>
      <c r="CK23" s="48">
        <v>0</v>
      </c>
    </row>
    <row r="24" spans="1:89">
      <c r="A24" s="48" t="s">
        <v>277</v>
      </c>
      <c r="B24" s="48">
        <v>703600396.60000002</v>
      </c>
      <c r="C24" s="48">
        <v>436500277.63</v>
      </c>
      <c r="D24" s="48">
        <v>156189853.38999999</v>
      </c>
      <c r="E24" s="48">
        <v>970837046.05999994</v>
      </c>
      <c r="F24" s="48">
        <v>714016642.48000002</v>
      </c>
      <c r="G24" s="48">
        <v>424980370.52999997</v>
      </c>
      <c r="H24" s="48">
        <v>152726261.69999999</v>
      </c>
      <c r="I24" s="48">
        <v>964515520.02999997</v>
      </c>
      <c r="J24" s="48">
        <v>704737861.77999997</v>
      </c>
      <c r="K24" s="48">
        <v>422684780.68000001</v>
      </c>
      <c r="L24" s="48">
        <v>152335405.28</v>
      </c>
      <c r="M24" s="48">
        <v>965803763.15999997</v>
      </c>
      <c r="N24" s="48">
        <v>700974609.40999997</v>
      </c>
      <c r="O24" s="48">
        <v>421540078.20999998</v>
      </c>
      <c r="P24" s="48">
        <v>150191060.52000001</v>
      </c>
      <c r="Q24" s="48">
        <v>941909867.14999998</v>
      </c>
      <c r="R24" s="48">
        <v>671807232.73000002</v>
      </c>
      <c r="S24" s="48">
        <v>400550647.35000002</v>
      </c>
      <c r="T24" s="48">
        <v>141035484.56</v>
      </c>
      <c r="U24" s="48">
        <v>893177203.94000006</v>
      </c>
      <c r="V24" s="48">
        <v>640763944.17999995</v>
      </c>
      <c r="W24" s="48">
        <v>363844493.36000001</v>
      </c>
      <c r="X24" s="48">
        <v>127675340.19</v>
      </c>
      <c r="Y24" s="48">
        <v>611335279.48000002</v>
      </c>
      <c r="Z24" s="48">
        <v>445591360.16000003</v>
      </c>
      <c r="AA24" s="48">
        <v>270918524.69999999</v>
      </c>
      <c r="AB24" s="48">
        <v>113986894.88</v>
      </c>
      <c r="AC24" s="48">
        <v>466815406.97000003</v>
      </c>
      <c r="AD24" s="48">
        <v>391543423.30000001</v>
      </c>
      <c r="AE24" s="48">
        <v>244314868.97999999</v>
      </c>
      <c r="AF24" s="48">
        <v>100267852.93000001</v>
      </c>
      <c r="AG24" s="48">
        <v>420800346.60000002</v>
      </c>
      <c r="AH24" s="48">
        <v>319236768.19</v>
      </c>
      <c r="AI24" s="48">
        <v>205952117.72999999</v>
      </c>
      <c r="AJ24" s="48">
        <v>87280497.810000002</v>
      </c>
      <c r="AK24" s="48">
        <v>341018174.50999999</v>
      </c>
      <c r="AL24" s="48">
        <v>278630444.51999998</v>
      </c>
      <c r="AM24" s="48">
        <v>191294800.91</v>
      </c>
      <c r="AN24" s="48">
        <v>86753585.109999999</v>
      </c>
      <c r="AO24" s="48">
        <v>320503933.14999998</v>
      </c>
      <c r="AP24" s="48">
        <v>258604504.56999999</v>
      </c>
      <c r="AQ24" s="48">
        <v>171854498.22999999</v>
      </c>
      <c r="AR24" s="48">
        <v>79533646.469999999</v>
      </c>
      <c r="AS24" s="48">
        <v>287325876.88</v>
      </c>
      <c r="AT24" s="48">
        <v>236368819.65000001</v>
      </c>
      <c r="AU24" s="48">
        <v>144963207.65000001</v>
      </c>
      <c r="AV24" s="48">
        <v>60663276.289999999</v>
      </c>
      <c r="AW24" s="48">
        <v>260380319.21000001</v>
      </c>
      <c r="AX24" s="48">
        <v>185647156.86000001</v>
      </c>
      <c r="AY24" s="48">
        <v>111568690.25</v>
      </c>
      <c r="AZ24" s="48">
        <v>55206921.07</v>
      </c>
      <c r="BA24" s="48">
        <v>249412352.00999999</v>
      </c>
      <c r="BB24" s="48">
        <v>229613198.88</v>
      </c>
      <c r="BC24" s="48">
        <v>160180203.25999999</v>
      </c>
      <c r="BD24" s="48">
        <v>74017189.209999993</v>
      </c>
      <c r="BE24" s="48">
        <v>313879867.31999999</v>
      </c>
      <c r="BF24" s="48">
        <v>240094894.22</v>
      </c>
      <c r="BG24" s="48">
        <v>171840388.65000001</v>
      </c>
      <c r="BH24" s="48">
        <v>79723979.810000002</v>
      </c>
      <c r="BI24" s="48">
        <v>354755251.63</v>
      </c>
      <c r="BJ24" s="48">
        <v>261143817.5</v>
      </c>
      <c r="BK24" s="48">
        <v>158446089.09999999</v>
      </c>
      <c r="BL24" s="48">
        <v>69759969.170000002</v>
      </c>
      <c r="BM24" s="48">
        <v>311618075.51999998</v>
      </c>
      <c r="BN24" s="48">
        <v>247779889.27000001</v>
      </c>
      <c r="BO24" s="48">
        <v>160106779.80000001</v>
      </c>
      <c r="BP24" s="48">
        <v>63994293.100000001</v>
      </c>
      <c r="BQ24" s="48">
        <v>258239260.90000001</v>
      </c>
      <c r="BR24" s="48">
        <v>127298216.06999999</v>
      </c>
      <c r="BS24" s="48">
        <v>205332139.88999999</v>
      </c>
      <c r="BT24" s="48">
        <v>111173617.91</v>
      </c>
      <c r="BU24" s="48">
        <v>186685025.84999999</v>
      </c>
      <c r="BV24" s="48">
        <v>111461693.06999999</v>
      </c>
      <c r="BW24" s="48">
        <v>-4422417.92</v>
      </c>
      <c r="BX24" s="48">
        <v>0</v>
      </c>
      <c r="BY24" s="48">
        <v>0</v>
      </c>
      <c r="BZ24" s="48">
        <v>0</v>
      </c>
      <c r="CA24" s="48">
        <v>0</v>
      </c>
      <c r="CB24" s="48">
        <v>0</v>
      </c>
      <c r="CC24" s="48">
        <v>0</v>
      </c>
      <c r="CD24" s="48">
        <v>-120000</v>
      </c>
      <c r="CE24" s="48">
        <v>-231000</v>
      </c>
      <c r="CF24" s="48">
        <v>-21037.8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</row>
    <row r="25" spans="1:89">
      <c r="A25" s="48" t="s">
        <v>278</v>
      </c>
    </row>
    <row r="26" spans="1:89">
      <c r="A26" s="48" t="s">
        <v>279</v>
      </c>
      <c r="B26" s="48">
        <v>1.01</v>
      </c>
      <c r="C26" s="48">
        <v>0.64</v>
      </c>
      <c r="D26" s="48">
        <v>0.23</v>
      </c>
      <c r="E26" s="48">
        <v>1.36</v>
      </c>
      <c r="F26" s="48">
        <v>1.02</v>
      </c>
      <c r="G26" s="48">
        <v>0.62</v>
      </c>
      <c r="H26" s="48">
        <v>0.23</v>
      </c>
      <c r="I26" s="48">
        <v>1.42</v>
      </c>
      <c r="J26" s="48">
        <v>1.1200000000000001</v>
      </c>
      <c r="K26" s="48">
        <v>0.73</v>
      </c>
      <c r="L26" s="48">
        <v>0.21</v>
      </c>
      <c r="M26" s="48">
        <v>1.79</v>
      </c>
      <c r="N26" s="48">
        <v>1.58</v>
      </c>
      <c r="O26" s="48">
        <v>0.54</v>
      </c>
      <c r="P26" s="48">
        <v>0.14000000000000001</v>
      </c>
      <c r="Q26" s="48">
        <v>0.84</v>
      </c>
      <c r="R26" s="48">
        <v>0.73</v>
      </c>
      <c r="S26" s="48">
        <v>0.45</v>
      </c>
      <c r="T26" s="48">
        <v>0.17</v>
      </c>
      <c r="U26" s="48">
        <v>0.92</v>
      </c>
      <c r="V26" s="48">
        <v>0.61</v>
      </c>
      <c r="W26" s="48">
        <v>0.28000000000000003</v>
      </c>
      <c r="X26" s="48">
        <v>8.5999999999999993E-2</v>
      </c>
      <c r="Y26" s="48">
        <v>0.69</v>
      </c>
      <c r="Z26" s="48">
        <v>0.57999999999999996</v>
      </c>
      <c r="AA26" s="48">
        <v>0.54</v>
      </c>
      <c r="AB26" s="48">
        <v>0.29899999999999999</v>
      </c>
      <c r="AC26" s="48">
        <v>0.7</v>
      </c>
      <c r="AD26" s="48">
        <v>0.63</v>
      </c>
      <c r="AE26" s="48">
        <v>0.44</v>
      </c>
      <c r="AF26" s="48">
        <v>0.186</v>
      </c>
      <c r="AG26" s="48">
        <v>0.65</v>
      </c>
      <c r="AH26" s="48">
        <v>0.52</v>
      </c>
      <c r="AI26" s="48">
        <v>0.34</v>
      </c>
      <c r="AJ26" s="48">
        <v>0.16600000000000001</v>
      </c>
      <c r="AK26" s="48">
        <v>0.46</v>
      </c>
      <c r="AL26" s="48">
        <v>0.48199999999999998</v>
      </c>
      <c r="AM26" s="48">
        <v>0.33</v>
      </c>
      <c r="AN26" s="48">
        <v>0.13400000000000001</v>
      </c>
      <c r="AO26" s="48">
        <v>0.63</v>
      </c>
      <c r="AP26" s="48">
        <v>0.45700000000000002</v>
      </c>
      <c r="AQ26" s="48">
        <v>0.38200000000000001</v>
      </c>
      <c r="AR26" s="48">
        <v>0.155</v>
      </c>
      <c r="AS26" s="48">
        <v>0.71099999999999997</v>
      </c>
      <c r="AT26" s="48">
        <v>0.54300000000000004</v>
      </c>
      <c r="AU26" s="48">
        <v>0.34899999999999998</v>
      </c>
      <c r="AV26" s="48">
        <v>0.1053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48" t="s">
        <v>280</v>
      </c>
      <c r="B27" s="48">
        <v>1.01</v>
      </c>
      <c r="C27" s="48">
        <v>0.64</v>
      </c>
      <c r="D27" s="48">
        <v>0.23</v>
      </c>
      <c r="E27" s="48">
        <v>1.36</v>
      </c>
      <c r="F27" s="48">
        <v>1.02</v>
      </c>
      <c r="G27" s="48">
        <v>0.62</v>
      </c>
      <c r="H27" s="48">
        <v>0.23</v>
      </c>
      <c r="I27" s="48">
        <v>1.42</v>
      </c>
      <c r="J27" s="48">
        <v>1.1200000000000001</v>
      </c>
      <c r="K27" s="48">
        <v>0.73</v>
      </c>
      <c r="L27" s="48">
        <v>0.21</v>
      </c>
      <c r="M27" s="48">
        <v>1.79</v>
      </c>
      <c r="N27" s="48">
        <v>1.58</v>
      </c>
      <c r="O27" s="48">
        <v>0.54</v>
      </c>
      <c r="P27" s="48">
        <v>0.14000000000000001</v>
      </c>
      <c r="Q27" s="48">
        <v>0.84</v>
      </c>
      <c r="R27" s="48">
        <v>0.73</v>
      </c>
      <c r="S27" s="48">
        <v>0.45</v>
      </c>
      <c r="T27" s="48">
        <v>0.17</v>
      </c>
      <c r="U27" s="48">
        <v>0.92</v>
      </c>
      <c r="V27" s="48">
        <v>0.61</v>
      </c>
      <c r="W27" s="48">
        <v>0.28000000000000003</v>
      </c>
      <c r="X27" s="48">
        <v>8.5999999999999993E-2</v>
      </c>
      <c r="Y27" s="48">
        <v>0.69</v>
      </c>
      <c r="Z27" s="48">
        <v>0.57999999999999996</v>
      </c>
      <c r="AA27" s="48">
        <v>0.54</v>
      </c>
      <c r="AB27" s="48">
        <v>0.29899999999999999</v>
      </c>
      <c r="AC27" s="48">
        <v>0.7</v>
      </c>
      <c r="AD27" s="48">
        <v>0.63</v>
      </c>
      <c r="AE27" s="48">
        <v>0.44</v>
      </c>
      <c r="AF27" s="48">
        <v>0.186</v>
      </c>
      <c r="AG27" s="48">
        <v>0.65</v>
      </c>
      <c r="AH27" s="48">
        <v>0.52</v>
      </c>
      <c r="AI27" s="48">
        <v>0.34</v>
      </c>
      <c r="AJ27" s="48">
        <v>0.16600000000000001</v>
      </c>
      <c r="AK27" s="48">
        <v>0</v>
      </c>
      <c r="AL27" s="48">
        <v>0.48199999999999998</v>
      </c>
      <c r="AM27" s="48">
        <v>0.33</v>
      </c>
      <c r="AN27" s="48">
        <v>0.13400000000000001</v>
      </c>
      <c r="AO27" s="48">
        <v>0.63</v>
      </c>
      <c r="AP27" s="48">
        <v>0.45700000000000002</v>
      </c>
      <c r="AQ27" s="48">
        <v>0.38200000000000001</v>
      </c>
      <c r="AR27" s="48">
        <v>0.155</v>
      </c>
      <c r="AS27" s="48">
        <v>0.71099999999999997</v>
      </c>
      <c r="AT27" s="48">
        <v>0.54300000000000004</v>
      </c>
      <c r="AU27" s="48">
        <v>0.34899999999999998</v>
      </c>
      <c r="AV27" s="48">
        <v>0.1053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</row>
    <row r="28" spans="1:89">
      <c r="A28" s="48" t="s">
        <v>281</v>
      </c>
      <c r="B28" s="48">
        <v>205783.08</v>
      </c>
      <c r="C28" s="48">
        <v>205783.08</v>
      </c>
      <c r="D28" s="48">
        <v>0</v>
      </c>
      <c r="E28" s="48">
        <v>-48098590.850000001</v>
      </c>
      <c r="F28" s="48">
        <v>-1177249.97</v>
      </c>
      <c r="G28" s="48">
        <v>6556423.4699999997</v>
      </c>
      <c r="H28" s="48">
        <v>8796268.1999999993</v>
      </c>
      <c r="I28" s="48">
        <v>-982788.02</v>
      </c>
      <c r="J28" s="48">
        <v>-28366344.449999999</v>
      </c>
      <c r="K28" s="48">
        <v>-26873141.84</v>
      </c>
      <c r="L28" s="48">
        <v>-21554469.379999999</v>
      </c>
      <c r="M28" s="48">
        <v>5618539.7599999998</v>
      </c>
      <c r="N28" s="48">
        <v>79127152.640000001</v>
      </c>
      <c r="O28" s="48">
        <v>21161153.059999999</v>
      </c>
      <c r="P28" s="48">
        <v>16491510.01</v>
      </c>
      <c r="Q28" s="48">
        <v>12678499.35</v>
      </c>
      <c r="R28" s="48">
        <v>7106429.5199999996</v>
      </c>
      <c r="S28" s="48">
        <v>-10656000.99</v>
      </c>
      <c r="T28" s="48">
        <v>-2020226.36</v>
      </c>
      <c r="U28" s="48">
        <v>-25554739.649999999</v>
      </c>
      <c r="V28" s="48">
        <v>36708517.380000003</v>
      </c>
      <c r="W28" s="48">
        <v>11909951.199999999</v>
      </c>
      <c r="X28" s="48">
        <v>-570456.94999999995</v>
      </c>
      <c r="Y28" s="48">
        <v>-33989737.82</v>
      </c>
      <c r="Z28" s="48">
        <v>-31340267.109999999</v>
      </c>
      <c r="AA28" s="48">
        <v>2509863.6</v>
      </c>
      <c r="AB28" s="48">
        <v>6875241.0499999998</v>
      </c>
      <c r="AC28" s="48">
        <v>5177803.7</v>
      </c>
      <c r="AD28" s="48">
        <v>4907980.3600000003</v>
      </c>
      <c r="AE28" s="48">
        <v>-287965.93</v>
      </c>
      <c r="AF28" s="48">
        <v>-162495.17000000001</v>
      </c>
      <c r="AG28" s="48">
        <v>4196643.5</v>
      </c>
      <c r="AH28" s="48">
        <v>5330808.12</v>
      </c>
      <c r="AI28" s="48">
        <v>3920799.22</v>
      </c>
      <c r="AJ28" s="48">
        <v>-661729.80000000005</v>
      </c>
      <c r="AK28" s="48">
        <v>57148842.609999999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</row>
    <row r="29" spans="1:89">
      <c r="A29" s="48" t="s">
        <v>282</v>
      </c>
      <c r="B29" s="48">
        <v>1736262646.9000001</v>
      </c>
      <c r="C29" s="48">
        <v>1090289426.75</v>
      </c>
      <c r="D29" s="48">
        <v>394993455.75</v>
      </c>
      <c r="E29" s="48">
        <v>2313068987.0100002</v>
      </c>
      <c r="F29" s="48">
        <v>1757900211.3099999</v>
      </c>
      <c r="G29" s="48">
        <v>1062241963.41</v>
      </c>
      <c r="H29" s="48">
        <v>400514375.05000001</v>
      </c>
      <c r="I29" s="48">
        <v>2412623704.8499999</v>
      </c>
      <c r="J29" s="48">
        <v>1819229392.29</v>
      </c>
      <c r="K29" s="48">
        <v>1138066593.9000001</v>
      </c>
      <c r="L29" s="48">
        <v>350136757.75999999</v>
      </c>
      <c r="M29" s="48">
        <v>2805994414.8499999</v>
      </c>
      <c r="N29" s="48">
        <v>2399127489.4299998</v>
      </c>
      <c r="O29" s="48">
        <v>994357285.11000001</v>
      </c>
      <c r="P29" s="48">
        <v>308879060.99000001</v>
      </c>
      <c r="Q29" s="48">
        <v>1812470466.0699999</v>
      </c>
      <c r="R29" s="48">
        <v>1420495766.1400001</v>
      </c>
      <c r="S29" s="48">
        <v>851241326.42999995</v>
      </c>
      <c r="T29" s="48">
        <v>310442849.75</v>
      </c>
      <c r="U29" s="48">
        <v>1811456010.6500001</v>
      </c>
      <c r="V29" s="48">
        <v>1299758664.72</v>
      </c>
      <c r="W29" s="48">
        <v>659925426.82000005</v>
      </c>
      <c r="X29" s="48">
        <v>215110485.15000001</v>
      </c>
      <c r="Y29" s="48">
        <v>1280834944.77</v>
      </c>
      <c r="Z29" s="48">
        <v>1004447665.91</v>
      </c>
      <c r="AA29" s="48">
        <v>823475616.92999995</v>
      </c>
      <c r="AB29" s="48">
        <v>426296621.67000002</v>
      </c>
      <c r="AC29" s="48">
        <v>1183473486.46</v>
      </c>
      <c r="AD29" s="48">
        <v>1045584546.29</v>
      </c>
      <c r="AE29" s="48">
        <v>693937626.85000002</v>
      </c>
      <c r="AF29" s="48">
        <v>290172110.38</v>
      </c>
      <c r="AG29" s="48">
        <v>1090715745.0899999</v>
      </c>
      <c r="AH29" s="48">
        <v>854171272.63999999</v>
      </c>
      <c r="AI29" s="48">
        <v>562482566.88999999</v>
      </c>
      <c r="AJ29" s="48">
        <v>256066742.96000001</v>
      </c>
      <c r="AK29" s="48">
        <v>863908425.80999994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48">
        <v>0</v>
      </c>
      <c r="CB29" s="48">
        <v>0</v>
      </c>
      <c r="CC29" s="48">
        <v>0</v>
      </c>
      <c r="CD29" s="48">
        <v>0</v>
      </c>
      <c r="CE29" s="48">
        <v>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</row>
    <row r="30" spans="1:89">
      <c r="A30" s="48" t="s">
        <v>283</v>
      </c>
      <c r="B30" s="48">
        <v>1032662250.3</v>
      </c>
      <c r="C30" s="48">
        <v>653789149.12</v>
      </c>
      <c r="D30" s="48">
        <v>238803602.36000001</v>
      </c>
      <c r="E30" s="48">
        <v>1342231940.95</v>
      </c>
      <c r="F30" s="48">
        <v>1043883568.83</v>
      </c>
      <c r="G30" s="48">
        <v>637261592.88</v>
      </c>
      <c r="H30" s="48">
        <v>247788113.34999999</v>
      </c>
      <c r="I30" s="48">
        <v>1448108184.8199999</v>
      </c>
      <c r="J30" s="48">
        <v>1114491530.51</v>
      </c>
      <c r="K30" s="48">
        <v>715381813.22000003</v>
      </c>
      <c r="L30" s="48">
        <v>197801352.47999999</v>
      </c>
      <c r="M30" s="48">
        <v>1840190651.6900001</v>
      </c>
      <c r="N30" s="48">
        <v>1698152880.02</v>
      </c>
      <c r="O30" s="48">
        <v>572817206.89999998</v>
      </c>
      <c r="P30" s="48">
        <v>158688000.47</v>
      </c>
      <c r="Q30" s="48">
        <v>870560598.91999996</v>
      </c>
      <c r="R30" s="48">
        <v>748688533.40999997</v>
      </c>
      <c r="S30" s="48">
        <v>450690679.07999998</v>
      </c>
      <c r="T30" s="48">
        <v>169407365.19</v>
      </c>
      <c r="U30" s="48">
        <v>918278806.71000004</v>
      </c>
      <c r="V30" s="48">
        <v>658994720.53999996</v>
      </c>
      <c r="W30" s="48">
        <v>296080933.45999998</v>
      </c>
      <c r="X30" s="48">
        <v>87435144.959999993</v>
      </c>
      <c r="Y30" s="48">
        <v>669499665.28999996</v>
      </c>
      <c r="Z30" s="48">
        <v>558856305.75</v>
      </c>
      <c r="AA30" s="48">
        <v>552557092.23000002</v>
      </c>
      <c r="AB30" s="48">
        <v>312309726.79000002</v>
      </c>
      <c r="AC30" s="48">
        <v>716658079.49000001</v>
      </c>
      <c r="AD30" s="48">
        <v>654041122.99000001</v>
      </c>
      <c r="AE30" s="48">
        <v>449622757.87</v>
      </c>
      <c r="AF30" s="48">
        <v>189904257.44999999</v>
      </c>
      <c r="AG30" s="48">
        <v>670090287.5</v>
      </c>
      <c r="AH30" s="48">
        <v>535109393.47000003</v>
      </c>
      <c r="AI30" s="48">
        <v>356705338.18000001</v>
      </c>
      <c r="AJ30" s="48">
        <v>168786245.15000001</v>
      </c>
      <c r="AK30" s="48">
        <v>522890251.30000001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</row>
    <row r="31" spans="1:89">
      <c r="A31" s="48" t="s">
        <v>284</v>
      </c>
      <c r="B31" s="48">
        <v>703600396.60000002</v>
      </c>
      <c r="C31" s="48">
        <v>436500277.63</v>
      </c>
      <c r="D31" s="48">
        <v>156189853.38999999</v>
      </c>
      <c r="E31" s="48">
        <v>970837046.05999994</v>
      </c>
      <c r="F31" s="48">
        <v>714016642.48000002</v>
      </c>
      <c r="G31" s="48">
        <v>424980370.52999997</v>
      </c>
      <c r="H31" s="48">
        <v>152726261.69999999</v>
      </c>
      <c r="I31" s="48">
        <v>964515520.02999997</v>
      </c>
      <c r="J31" s="48">
        <v>704737861.77999997</v>
      </c>
      <c r="K31" s="48">
        <v>422684780.68000001</v>
      </c>
      <c r="L31" s="48">
        <v>152335405.28</v>
      </c>
      <c r="M31" s="48">
        <v>965803763.15999997</v>
      </c>
      <c r="N31" s="48">
        <v>700974609.40999997</v>
      </c>
      <c r="O31" s="48">
        <v>421540078.20999998</v>
      </c>
      <c r="P31" s="48">
        <v>150191060.52000001</v>
      </c>
      <c r="Q31" s="48">
        <v>941909867.14999998</v>
      </c>
      <c r="R31" s="48">
        <v>671807232.73000002</v>
      </c>
      <c r="S31" s="48">
        <v>400550647.35000002</v>
      </c>
      <c r="T31" s="48">
        <v>141035484.56</v>
      </c>
      <c r="U31" s="48">
        <v>893177203.94000006</v>
      </c>
      <c r="V31" s="48">
        <v>640763944.17999995</v>
      </c>
      <c r="W31" s="48">
        <v>363844493.36000001</v>
      </c>
      <c r="X31" s="48">
        <v>127675340.19</v>
      </c>
      <c r="Y31" s="48">
        <v>611335279.48000002</v>
      </c>
      <c r="Z31" s="48">
        <v>445591360.16000003</v>
      </c>
      <c r="AA31" s="48">
        <v>270918524.69999999</v>
      </c>
      <c r="AB31" s="48">
        <v>113986894.88</v>
      </c>
      <c r="AC31" s="48">
        <v>466815406.97000003</v>
      </c>
      <c r="AD31" s="48">
        <v>391543423.30000001</v>
      </c>
      <c r="AE31" s="48">
        <v>244314868.97999999</v>
      </c>
      <c r="AF31" s="48">
        <v>100267852.93000001</v>
      </c>
      <c r="AG31" s="48">
        <v>420625457.58999997</v>
      </c>
      <c r="AH31" s="48">
        <v>319061879.17000002</v>
      </c>
      <c r="AI31" s="48">
        <v>205777228.71000001</v>
      </c>
      <c r="AJ31" s="48">
        <v>87280497.810000002</v>
      </c>
      <c r="AK31" s="48">
        <v>341018174.50999999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48">
        <v>0</v>
      </c>
      <c r="CB31" s="48">
        <v>0</v>
      </c>
      <c r="CC31" s="48">
        <v>0</v>
      </c>
      <c r="CD31" s="48">
        <v>0</v>
      </c>
      <c r="CE31" s="48">
        <v>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BV77"/>
  <sheetViews>
    <sheetView topLeftCell="A43" workbookViewId="0">
      <selection activeCell="A48" sqref="A48"/>
    </sheetView>
  </sheetViews>
  <sheetFormatPr defaultRowHeight="13.5"/>
  <cols>
    <col min="1" max="1" width="54.625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1" width="13.875" style="48" hidden="1" customWidth="1"/>
    <col min="12" max="12" width="12.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18" width="12.75" style="48" hidden="1" customWidth="1"/>
    <col min="19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8" width="13.875" style="48" hidden="1" customWidth="1"/>
    <col min="29" max="29" width="13.875" style="48" bestFit="1" customWidth="1"/>
    <col min="30" max="32" width="13.875" style="48" hidden="1" customWidth="1"/>
    <col min="33" max="33" width="13.8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2" width="13.875" style="48" hidden="1" customWidth="1"/>
    <col min="53" max="53" width="13.875" style="48" bestFit="1" customWidth="1"/>
    <col min="54" max="56" width="13.875" style="48" hidden="1" customWidth="1"/>
    <col min="57" max="57" width="13.875" style="48" bestFit="1" customWidth="1"/>
    <col min="58" max="60" width="13.875" style="48" hidden="1" customWidth="1"/>
    <col min="61" max="61" width="13.875" style="48" bestFit="1" customWidth="1"/>
    <col min="62" max="64" width="13.875" style="48" hidden="1" customWidth="1"/>
    <col min="65" max="65" width="13.875" style="48" bestFit="1" customWidth="1"/>
    <col min="66" max="66" width="13.875" style="48" hidden="1" customWidth="1"/>
    <col min="67" max="67" width="13.875" style="48" bestFit="1" customWidth="1"/>
    <col min="68" max="68" width="13.875" style="48" hidden="1" customWidth="1"/>
    <col min="69" max="69" width="13.875" style="48" bestFit="1" customWidth="1"/>
    <col min="70" max="70" width="13.875" style="48" hidden="1" customWidth="1"/>
    <col min="71" max="71" width="13.875" style="48" bestFit="1" customWidth="1"/>
    <col min="72" max="72" width="13.875" style="48" hidden="1" customWidth="1"/>
    <col min="73" max="73" width="13.875" style="48" bestFit="1" customWidth="1"/>
    <col min="74" max="74" width="9.5" style="48" hidden="1" customWidth="1"/>
    <col min="75" max="16384" width="9" style="48"/>
  </cols>
  <sheetData>
    <row r="1" spans="1:74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>
      <c r="A2" s="48" t="s">
        <v>171</v>
      </c>
      <c r="B2" s="48" t="s">
        <v>172</v>
      </c>
      <c r="C2" s="48" t="s">
        <v>172</v>
      </c>
      <c r="D2" s="48" t="s">
        <v>172</v>
      </c>
      <c r="E2" s="48" t="s">
        <v>172</v>
      </c>
      <c r="F2" s="48" t="s">
        <v>172</v>
      </c>
      <c r="G2" s="48" t="s">
        <v>172</v>
      </c>
      <c r="H2" s="48" t="s">
        <v>172</v>
      </c>
      <c r="I2" s="48" t="s">
        <v>172</v>
      </c>
      <c r="J2" s="48" t="s">
        <v>172</v>
      </c>
      <c r="K2" s="48" t="s">
        <v>172</v>
      </c>
      <c r="L2" s="48" t="s">
        <v>172</v>
      </c>
      <c r="M2" s="48" t="s">
        <v>172</v>
      </c>
      <c r="N2" s="48" t="s">
        <v>172</v>
      </c>
      <c r="O2" s="48" t="s">
        <v>172</v>
      </c>
      <c r="P2" s="48" t="s">
        <v>172</v>
      </c>
      <c r="Q2" s="48" t="s">
        <v>172</v>
      </c>
      <c r="R2" s="48" t="s">
        <v>172</v>
      </c>
      <c r="S2" s="48" t="s">
        <v>172</v>
      </c>
      <c r="T2" s="48" t="s">
        <v>172</v>
      </c>
      <c r="U2" s="48" t="s">
        <v>172</v>
      </c>
      <c r="V2" s="48" t="s">
        <v>172</v>
      </c>
      <c r="W2" s="48" t="s">
        <v>172</v>
      </c>
      <c r="X2" s="48" t="s">
        <v>172</v>
      </c>
      <c r="Y2" s="48" t="s">
        <v>172</v>
      </c>
      <c r="Z2" s="48" t="s">
        <v>172</v>
      </c>
      <c r="AA2" s="48" t="s">
        <v>172</v>
      </c>
      <c r="AB2" s="48" t="s">
        <v>172</v>
      </c>
      <c r="AC2" s="48" t="s">
        <v>172</v>
      </c>
      <c r="AD2" s="48" t="s">
        <v>172</v>
      </c>
      <c r="AE2" s="48" t="s">
        <v>172</v>
      </c>
      <c r="AF2" s="48" t="s">
        <v>172</v>
      </c>
      <c r="AG2" s="48" t="s">
        <v>172</v>
      </c>
      <c r="AH2" s="48" t="s">
        <v>172</v>
      </c>
      <c r="AI2" s="48" t="s">
        <v>172</v>
      </c>
      <c r="AJ2" s="48" t="s">
        <v>172</v>
      </c>
      <c r="AK2" s="48" t="s">
        <v>172</v>
      </c>
      <c r="AL2" s="48" t="s">
        <v>172</v>
      </c>
      <c r="AM2" s="48" t="s">
        <v>172</v>
      </c>
      <c r="AN2" s="48" t="s">
        <v>172</v>
      </c>
      <c r="AO2" s="48" t="s">
        <v>172</v>
      </c>
      <c r="AP2" s="48" t="s">
        <v>172</v>
      </c>
      <c r="AQ2" s="48" t="s">
        <v>172</v>
      </c>
      <c r="AR2" s="48" t="s">
        <v>172</v>
      </c>
      <c r="AS2" s="48" t="s">
        <v>172</v>
      </c>
      <c r="AT2" s="48" t="s">
        <v>172</v>
      </c>
      <c r="AU2" s="48" t="s">
        <v>172</v>
      </c>
      <c r="AV2" s="48" t="s">
        <v>172</v>
      </c>
      <c r="AW2" s="48" t="s">
        <v>172</v>
      </c>
      <c r="AX2" s="48" t="s">
        <v>172</v>
      </c>
      <c r="AY2" s="48" t="s">
        <v>172</v>
      </c>
      <c r="AZ2" s="48" t="s">
        <v>172</v>
      </c>
      <c r="BA2" s="48" t="s">
        <v>172</v>
      </c>
      <c r="BB2" s="48" t="s">
        <v>172</v>
      </c>
      <c r="BC2" s="48" t="s">
        <v>172</v>
      </c>
      <c r="BD2" s="48" t="s">
        <v>172</v>
      </c>
      <c r="BE2" s="48" t="s">
        <v>172</v>
      </c>
      <c r="BF2" s="48" t="s">
        <v>172</v>
      </c>
      <c r="BG2" s="48" t="s">
        <v>172</v>
      </c>
      <c r="BH2" s="48" t="s">
        <v>172</v>
      </c>
      <c r="BI2" s="48" t="s">
        <v>172</v>
      </c>
      <c r="BJ2" s="48" t="s">
        <v>172</v>
      </c>
      <c r="BK2" s="48" t="s">
        <v>172</v>
      </c>
      <c r="BL2" s="48" t="s">
        <v>172</v>
      </c>
      <c r="BM2" s="48" t="s">
        <v>172</v>
      </c>
      <c r="BN2" s="48" t="s">
        <v>172</v>
      </c>
      <c r="BO2" s="48" t="s">
        <v>172</v>
      </c>
      <c r="BP2" s="48" t="s">
        <v>172</v>
      </c>
      <c r="BQ2" s="48" t="s">
        <v>172</v>
      </c>
      <c r="BR2" s="48" t="s">
        <v>172</v>
      </c>
      <c r="BS2" s="48" t="s">
        <v>172</v>
      </c>
      <c r="BT2" s="48" t="s">
        <v>172</v>
      </c>
      <c r="BU2" s="48" t="s">
        <v>172</v>
      </c>
    </row>
    <row r="3" spans="1:74">
      <c r="A3" s="48" t="s">
        <v>285</v>
      </c>
    </row>
    <row r="4" spans="1:74">
      <c r="A4" s="48" t="s">
        <v>286</v>
      </c>
      <c r="B4" s="48">
        <v>16306225559.65</v>
      </c>
      <c r="C4" s="48">
        <v>10589133022.360001</v>
      </c>
      <c r="D4" s="48">
        <v>5144863934.2299995</v>
      </c>
      <c r="E4" s="48">
        <v>21615471586.720001</v>
      </c>
      <c r="F4" s="48">
        <v>16309796642.459999</v>
      </c>
      <c r="G4" s="48">
        <v>10616235400.49</v>
      </c>
      <c r="H4" s="48">
        <v>5200700279.9200001</v>
      </c>
      <c r="I4" s="48">
        <v>21700262235.91</v>
      </c>
      <c r="J4" s="48">
        <v>16059469594.370001</v>
      </c>
      <c r="K4" s="48">
        <v>10414146211.309999</v>
      </c>
      <c r="L4" s="48">
        <v>4861017188.1800003</v>
      </c>
      <c r="M4" s="48">
        <v>22118931049.43</v>
      </c>
      <c r="N4" s="48">
        <v>16794904023.219999</v>
      </c>
      <c r="O4" s="48">
        <v>10925609399.530001</v>
      </c>
      <c r="P4" s="48">
        <v>5222057975.54</v>
      </c>
      <c r="Q4" s="48">
        <v>25080462458.5</v>
      </c>
      <c r="R4" s="48">
        <v>19423122089.759998</v>
      </c>
      <c r="S4" s="48">
        <v>12152925253.75</v>
      </c>
      <c r="T4" s="48">
        <v>5753362301.7600002</v>
      </c>
      <c r="U4" s="48">
        <v>24362876491.75</v>
      </c>
      <c r="V4" s="48">
        <v>17953117397.18</v>
      </c>
      <c r="W4" s="48">
        <v>11479746545.02</v>
      </c>
      <c r="X4" s="48">
        <v>5435592112.2799997</v>
      </c>
      <c r="Y4" s="48">
        <v>23713487437.599998</v>
      </c>
      <c r="Z4" s="48">
        <v>17116459111.469999</v>
      </c>
      <c r="AA4" s="48">
        <v>9320542419.0400009</v>
      </c>
      <c r="AB4" s="48">
        <v>4030440463.96</v>
      </c>
      <c r="AC4" s="48">
        <v>18465684448.189999</v>
      </c>
      <c r="AD4" s="48">
        <v>13831613296.459999</v>
      </c>
      <c r="AE4" s="48">
        <v>8828234047.4699993</v>
      </c>
      <c r="AF4" s="48">
        <v>3743149907.7800002</v>
      </c>
      <c r="AG4" s="48">
        <v>16173840511.33</v>
      </c>
      <c r="AH4" s="48">
        <v>11733350434.34</v>
      </c>
      <c r="AI4" s="48">
        <v>7404760641.7200003</v>
      </c>
      <c r="AJ4" s="48">
        <v>3294722423.1999998</v>
      </c>
      <c r="AK4" s="48">
        <v>13826033590.67</v>
      </c>
      <c r="AL4" s="48">
        <v>9980752809.7299995</v>
      </c>
      <c r="AM4" s="48">
        <v>6157262463.6800003</v>
      </c>
      <c r="AN4" s="48">
        <v>2689765070.9099998</v>
      </c>
      <c r="AO4" s="48">
        <v>11500866679.030001</v>
      </c>
      <c r="AP4" s="48">
        <v>8583509185.2200003</v>
      </c>
      <c r="AQ4" s="48">
        <v>5684145774.6400003</v>
      </c>
      <c r="AR4" s="48">
        <v>2438831482.8099999</v>
      </c>
      <c r="AS4" s="48">
        <v>11066783694.620001</v>
      </c>
      <c r="AT4" s="48">
        <v>7604383352.4200001</v>
      </c>
      <c r="AU4" s="48">
        <v>4729115156.0200005</v>
      </c>
      <c r="AV4" s="48">
        <v>1972689134.8599999</v>
      </c>
      <c r="AW4" s="48">
        <v>8875481920.0499992</v>
      </c>
      <c r="AX4" s="48">
        <v>6107895469.0100002</v>
      </c>
      <c r="AY4" s="48">
        <v>3961296543.5599999</v>
      </c>
      <c r="AZ4" s="48">
        <v>1648944862.27</v>
      </c>
      <c r="BA4" s="48">
        <v>7556068715.5500002</v>
      </c>
      <c r="BB4" s="48">
        <v>5313191711.25</v>
      </c>
      <c r="BC4" s="48">
        <v>3613762709.4499998</v>
      </c>
      <c r="BD4" s="48">
        <v>1589031548.52</v>
      </c>
      <c r="BE4" s="48">
        <v>7641177156.1599998</v>
      </c>
      <c r="BF4" s="48">
        <v>5367719831.0699997</v>
      </c>
      <c r="BG4" s="48">
        <v>3436517133.8200002</v>
      </c>
      <c r="BH4" s="48">
        <v>1630715396.5899999</v>
      </c>
      <c r="BI4" s="48">
        <v>7021176568.6300001</v>
      </c>
      <c r="BJ4" s="48">
        <v>4952219867.7700005</v>
      </c>
      <c r="BK4" s="48">
        <v>3020753474.52</v>
      </c>
      <c r="BL4" s="48">
        <v>1256172399.1199999</v>
      </c>
      <c r="BM4" s="48">
        <v>5800437064.4300003</v>
      </c>
      <c r="BN4" s="48">
        <v>2499687582.1500001</v>
      </c>
      <c r="BO4" s="48">
        <v>4718592246.3800001</v>
      </c>
      <c r="BP4" s="48">
        <v>2179640256.3099999</v>
      </c>
      <c r="BQ4" s="48">
        <v>4248239660.5100002</v>
      </c>
      <c r="BR4" s="48">
        <v>1982968753.8900001</v>
      </c>
      <c r="BS4" s="48">
        <v>3947232350.0599999</v>
      </c>
      <c r="BT4" s="48">
        <v>1574224982.78</v>
      </c>
      <c r="BU4" s="48">
        <v>328128663.93000001</v>
      </c>
      <c r="BV4" s="48">
        <v>0</v>
      </c>
    </row>
    <row r="5" spans="1:74">
      <c r="A5" s="48" t="s">
        <v>287</v>
      </c>
      <c r="B5" s="48">
        <v>5697595.0599999996</v>
      </c>
      <c r="C5" s="48">
        <v>3361043.12</v>
      </c>
      <c r="D5" s="48">
        <v>2202717.13</v>
      </c>
      <c r="E5" s="48">
        <v>9666626.0099999998</v>
      </c>
      <c r="F5" s="48">
        <v>4807652.12</v>
      </c>
      <c r="G5" s="48">
        <v>4807652.12</v>
      </c>
      <c r="H5" s="48">
        <v>4348200.83</v>
      </c>
      <c r="I5" s="48">
        <v>19883106.93</v>
      </c>
      <c r="J5" s="48">
        <v>30806440.859999999</v>
      </c>
      <c r="K5" s="48">
        <v>25748679.18</v>
      </c>
      <c r="L5" s="48">
        <v>24688929.370000001</v>
      </c>
      <c r="M5" s="48">
        <v>38068705.329999998</v>
      </c>
      <c r="N5" s="48">
        <v>29208699.600000001</v>
      </c>
      <c r="O5" s="48">
        <v>22641661.239999998</v>
      </c>
      <c r="P5" s="48">
        <v>11720028.91</v>
      </c>
      <c r="Q5" s="48">
        <v>59663982.75</v>
      </c>
      <c r="R5" s="48">
        <v>53873689.119999997</v>
      </c>
      <c r="S5" s="48">
        <v>45538186.329999998</v>
      </c>
      <c r="T5" s="48">
        <v>13858352.039999999</v>
      </c>
      <c r="U5" s="48">
        <v>66820843.280000001</v>
      </c>
      <c r="V5" s="48">
        <v>37057961.149999999</v>
      </c>
      <c r="W5" s="48">
        <v>32846064.050000001</v>
      </c>
      <c r="X5" s="48">
        <v>8614742.8000000007</v>
      </c>
      <c r="Y5" s="48">
        <v>61024232.030000001</v>
      </c>
      <c r="Z5" s="48">
        <v>47923626.229999997</v>
      </c>
      <c r="AA5" s="48">
        <v>34824255.009999998</v>
      </c>
      <c r="AB5" s="48">
        <v>14147033.34</v>
      </c>
      <c r="AC5" s="48">
        <v>74523672.459999993</v>
      </c>
      <c r="AD5" s="48">
        <v>58333791.850000001</v>
      </c>
      <c r="AE5" s="48">
        <v>41930615.399999999</v>
      </c>
      <c r="AF5" s="48">
        <v>21354942.379999999</v>
      </c>
      <c r="AG5" s="48">
        <v>61228817.619999997</v>
      </c>
      <c r="AH5" s="48">
        <v>45378740.549999997</v>
      </c>
      <c r="AI5" s="48">
        <v>26358871.75</v>
      </c>
      <c r="AJ5" s="48">
        <v>10323354.49</v>
      </c>
      <c r="AK5" s="48">
        <v>61875637.469999999</v>
      </c>
      <c r="AL5" s="48">
        <v>41973089.009999998</v>
      </c>
      <c r="AM5" s="48">
        <v>30613891.75</v>
      </c>
      <c r="AN5" s="48">
        <v>12042301.199999999</v>
      </c>
      <c r="AO5" s="48">
        <v>92607935.680000007</v>
      </c>
      <c r="AP5" s="48">
        <v>56572497.229999997</v>
      </c>
      <c r="AQ5" s="48">
        <v>38473049.850000001</v>
      </c>
      <c r="AR5" s="48">
        <v>5786869.2199999997</v>
      </c>
      <c r="AS5" s="48">
        <v>60227524.729999997</v>
      </c>
      <c r="AT5" s="48">
        <v>50740094.359999999</v>
      </c>
      <c r="AU5" s="48">
        <v>28299440.969999999</v>
      </c>
      <c r="AV5" s="48">
        <v>13342295.76</v>
      </c>
      <c r="AW5" s="48">
        <v>31472959.699999999</v>
      </c>
      <c r="AX5" s="48">
        <v>4924497.5999999996</v>
      </c>
      <c r="AY5" s="48">
        <v>2534420.84</v>
      </c>
      <c r="AZ5" s="48">
        <v>1174896.8899999999</v>
      </c>
      <c r="BA5" s="48">
        <v>17440244.289999999</v>
      </c>
      <c r="BB5" s="48">
        <v>8335782.5499999998</v>
      </c>
      <c r="BC5" s="48">
        <v>7411374.3099999996</v>
      </c>
      <c r="BD5" s="48">
        <v>1978405.23</v>
      </c>
      <c r="BE5" s="48">
        <v>27785185.52</v>
      </c>
      <c r="BF5" s="48">
        <v>1035929.21</v>
      </c>
      <c r="BG5" s="48">
        <v>2088448.58</v>
      </c>
      <c r="BH5" s="48">
        <v>0</v>
      </c>
      <c r="BI5" s="48">
        <v>7091888.2199999997</v>
      </c>
      <c r="BJ5" s="48">
        <v>2018897.94</v>
      </c>
      <c r="BK5" s="48">
        <v>614294.57999999996</v>
      </c>
      <c r="BL5" s="48">
        <v>675659.9</v>
      </c>
      <c r="BM5" s="48">
        <v>5796784.3499999996</v>
      </c>
      <c r="BN5" s="48">
        <v>3279860.16</v>
      </c>
      <c r="BO5" s="48">
        <v>653800</v>
      </c>
      <c r="BP5" s="48">
        <v>7695261.9800000004</v>
      </c>
      <c r="BQ5" s="48">
        <v>54717.43</v>
      </c>
      <c r="BR5" s="48">
        <v>434866.75</v>
      </c>
      <c r="BS5" s="48">
        <v>35716077.380000003</v>
      </c>
      <c r="BT5" s="48">
        <v>0</v>
      </c>
      <c r="BU5" s="48">
        <v>0</v>
      </c>
      <c r="BV5" s="48">
        <v>0</v>
      </c>
    </row>
    <row r="6" spans="1:74">
      <c r="A6" s="48" t="s">
        <v>288</v>
      </c>
      <c r="B6" s="48">
        <v>151148883.83000001</v>
      </c>
      <c r="C6" s="48">
        <v>118445754.7</v>
      </c>
      <c r="D6" s="48">
        <v>38111532.189999998</v>
      </c>
      <c r="E6" s="48">
        <v>632867375.40999997</v>
      </c>
      <c r="F6" s="48">
        <v>749527336.60000002</v>
      </c>
      <c r="G6" s="48">
        <v>192205269.50999999</v>
      </c>
      <c r="H6" s="48">
        <v>64047620.490000002</v>
      </c>
      <c r="I6" s="48">
        <v>234727892.03999999</v>
      </c>
      <c r="J6" s="48">
        <v>301033700.32999998</v>
      </c>
      <c r="K6" s="48">
        <v>208669095.02000001</v>
      </c>
      <c r="L6" s="48">
        <v>64495491.850000001</v>
      </c>
      <c r="M6" s="48">
        <v>259147405.13</v>
      </c>
      <c r="N6" s="48">
        <v>304900269.31</v>
      </c>
      <c r="O6" s="48">
        <v>236080134.09999999</v>
      </c>
      <c r="P6" s="48">
        <v>85036438.140000001</v>
      </c>
      <c r="Q6" s="48">
        <v>437407078.69</v>
      </c>
      <c r="R6" s="48">
        <v>409125861.63999999</v>
      </c>
      <c r="S6" s="48">
        <v>310652896.92000002</v>
      </c>
      <c r="T6" s="48">
        <v>74995774</v>
      </c>
      <c r="U6" s="48">
        <v>517430145.37</v>
      </c>
      <c r="V6" s="48">
        <v>385430106.38999999</v>
      </c>
      <c r="W6" s="48">
        <v>239107300.65000001</v>
      </c>
      <c r="X6" s="48">
        <v>62466570.710000001</v>
      </c>
      <c r="Y6" s="48">
        <v>410796502.36000001</v>
      </c>
      <c r="Z6" s="48">
        <v>476263343.74000001</v>
      </c>
      <c r="AA6" s="48">
        <v>223358404.08000001</v>
      </c>
      <c r="AB6" s="48">
        <v>138333242.02000001</v>
      </c>
      <c r="AC6" s="48">
        <v>276472548.31</v>
      </c>
      <c r="AD6" s="48">
        <v>296033402.17000002</v>
      </c>
      <c r="AE6" s="48">
        <v>209028097.56</v>
      </c>
      <c r="AF6" s="48">
        <v>100341889.06999999</v>
      </c>
      <c r="AG6" s="48">
        <v>187238175.28999999</v>
      </c>
      <c r="AH6" s="48">
        <v>224205050.69</v>
      </c>
      <c r="AI6" s="48">
        <v>125349198.42</v>
      </c>
      <c r="AJ6" s="48">
        <v>98941963.370000005</v>
      </c>
      <c r="AK6" s="48">
        <v>193106210.69</v>
      </c>
      <c r="AL6" s="48">
        <v>296121791.95999998</v>
      </c>
      <c r="AM6" s="48">
        <v>164064752.13999999</v>
      </c>
      <c r="AN6" s="48">
        <v>78694478.719999999</v>
      </c>
      <c r="AO6" s="48">
        <v>175194703.24000001</v>
      </c>
      <c r="AP6" s="48">
        <v>335974851.20999998</v>
      </c>
      <c r="AQ6" s="48">
        <v>103340834.84999999</v>
      </c>
      <c r="AR6" s="48">
        <v>102021104.89</v>
      </c>
      <c r="AS6" s="48">
        <v>127212403.66</v>
      </c>
      <c r="AT6" s="48">
        <v>161866179.28999999</v>
      </c>
      <c r="AU6" s="48">
        <v>90610508.780000001</v>
      </c>
      <c r="AV6" s="48">
        <v>34707863.259999998</v>
      </c>
      <c r="AW6" s="48">
        <v>145543011.56999999</v>
      </c>
      <c r="AX6" s="48">
        <v>84528999.150000006</v>
      </c>
      <c r="AY6" s="48">
        <v>49875377.329999998</v>
      </c>
      <c r="AZ6" s="48">
        <v>43895632.109999999</v>
      </c>
      <c r="BA6" s="48">
        <v>141602861.84999999</v>
      </c>
      <c r="BB6" s="48">
        <v>220808392.18000001</v>
      </c>
      <c r="BC6" s="48">
        <v>105924527.55</v>
      </c>
      <c r="BD6" s="48">
        <v>38809555.850000001</v>
      </c>
      <c r="BE6" s="48">
        <v>82212810.480000004</v>
      </c>
      <c r="BF6" s="48">
        <v>334606653.85000002</v>
      </c>
      <c r="BG6" s="48">
        <v>295198019.44</v>
      </c>
      <c r="BH6" s="48">
        <v>46373827.840000004</v>
      </c>
      <c r="BI6" s="48">
        <v>115396487.28</v>
      </c>
      <c r="BJ6" s="48">
        <v>177559757.41999999</v>
      </c>
      <c r="BK6" s="48">
        <v>143782066.5</v>
      </c>
      <c r="BL6" s="48">
        <v>124240621.66</v>
      </c>
      <c r="BM6" s="48">
        <v>123286322.86</v>
      </c>
      <c r="BN6" s="48">
        <v>117489930.61</v>
      </c>
      <c r="BO6" s="48">
        <v>99946815.230000004</v>
      </c>
      <c r="BP6" s="48">
        <v>137400105.86000001</v>
      </c>
      <c r="BQ6" s="48">
        <v>105103922.15000001</v>
      </c>
      <c r="BR6" s="48">
        <v>135312217.36000001</v>
      </c>
      <c r="BS6" s="48">
        <v>96451543.260000005</v>
      </c>
      <c r="BT6" s="48">
        <v>123937154.33</v>
      </c>
      <c r="BU6" s="48">
        <v>4053596.39</v>
      </c>
      <c r="BV6" s="48">
        <v>0</v>
      </c>
    </row>
    <row r="7" spans="1:74">
      <c r="A7" s="48" t="s">
        <v>289</v>
      </c>
      <c r="B7" s="48">
        <v>16463072038.540001</v>
      </c>
      <c r="C7" s="48">
        <v>10710939820.18</v>
      </c>
      <c r="D7" s="48">
        <v>5185178183.5500002</v>
      </c>
      <c r="E7" s="48">
        <v>22258005588.139999</v>
      </c>
      <c r="F7" s="48">
        <v>17064131631.18</v>
      </c>
      <c r="G7" s="48">
        <v>10813248322.120001</v>
      </c>
      <c r="H7" s="48">
        <v>5269096101.2399998</v>
      </c>
      <c r="I7" s="48">
        <v>21954873234.880001</v>
      </c>
      <c r="J7" s="48">
        <v>16391309735.559999</v>
      </c>
      <c r="K7" s="48">
        <v>10648563985.51</v>
      </c>
      <c r="L7" s="48">
        <v>4950201609.3999996</v>
      </c>
      <c r="M7" s="48">
        <v>22416147159.889999</v>
      </c>
      <c r="N7" s="48">
        <v>17129012992.129999</v>
      </c>
      <c r="O7" s="48">
        <v>11184331194.870001</v>
      </c>
      <c r="P7" s="48">
        <v>5318814442.5900002</v>
      </c>
      <c r="Q7" s="48">
        <v>25577533519.939999</v>
      </c>
      <c r="R7" s="48">
        <v>19886121640.52</v>
      </c>
      <c r="S7" s="48">
        <v>12509116337</v>
      </c>
      <c r="T7" s="48">
        <v>5842216427.8000002</v>
      </c>
      <c r="U7" s="48">
        <v>24947127480.400002</v>
      </c>
      <c r="V7" s="48">
        <v>18375605464.720001</v>
      </c>
      <c r="W7" s="48">
        <v>11751699909.719999</v>
      </c>
      <c r="X7" s="48">
        <v>5506673425.79</v>
      </c>
      <c r="Y7" s="48">
        <v>24185308171.990002</v>
      </c>
      <c r="Z7" s="48">
        <v>17640646081.439999</v>
      </c>
      <c r="AA7" s="48">
        <v>9578725078.1299992</v>
      </c>
      <c r="AB7" s="48">
        <v>4182920739.3200002</v>
      </c>
      <c r="AC7" s="48">
        <v>18816680668.959999</v>
      </c>
      <c r="AD7" s="48">
        <v>14185980490.48</v>
      </c>
      <c r="AE7" s="48">
        <v>9079192760.4300003</v>
      </c>
      <c r="AF7" s="48">
        <v>3864846739.23</v>
      </c>
      <c r="AG7" s="48">
        <v>16422307504.24</v>
      </c>
      <c r="AH7" s="48">
        <v>12002934225.58</v>
      </c>
      <c r="AI7" s="48">
        <v>7556468711.8900003</v>
      </c>
      <c r="AJ7" s="48">
        <v>3403987741.0599999</v>
      </c>
      <c r="AK7" s="48">
        <v>14081015438.83</v>
      </c>
      <c r="AL7" s="48">
        <v>10318847690.700001</v>
      </c>
      <c r="AM7" s="48">
        <v>6351941107.5699997</v>
      </c>
      <c r="AN7" s="48">
        <v>2780501850.8299999</v>
      </c>
      <c r="AO7" s="48">
        <v>11768669317.950001</v>
      </c>
      <c r="AP7" s="48">
        <v>8976056533.6599998</v>
      </c>
      <c r="AQ7" s="48">
        <v>5825959659.3400002</v>
      </c>
      <c r="AR7" s="48">
        <v>2546639456.9200001</v>
      </c>
      <c r="AS7" s="48">
        <v>11254223623.01</v>
      </c>
      <c r="AT7" s="48">
        <v>7816989626.0699997</v>
      </c>
      <c r="AU7" s="48">
        <v>4848025105.7700005</v>
      </c>
      <c r="AV7" s="48">
        <v>2020739293.8800001</v>
      </c>
      <c r="AW7" s="48">
        <v>9052497891.3199997</v>
      </c>
      <c r="AX7" s="48">
        <v>6197348965.7600002</v>
      </c>
      <c r="AY7" s="48">
        <v>4013706341.73</v>
      </c>
      <c r="AZ7" s="48">
        <v>1694015391.27</v>
      </c>
      <c r="BA7" s="48">
        <v>7715111821.6899996</v>
      </c>
      <c r="BB7" s="48">
        <v>5542335885.9799995</v>
      </c>
      <c r="BC7" s="48">
        <v>3727098611.3099999</v>
      </c>
      <c r="BD7" s="48">
        <v>1629819509.5999999</v>
      </c>
      <c r="BE7" s="48">
        <v>7751175152.1599998</v>
      </c>
      <c r="BF7" s="48">
        <v>5703362414.1300001</v>
      </c>
      <c r="BG7" s="48">
        <v>3733803601.8400002</v>
      </c>
      <c r="BH7" s="48">
        <v>1677089224.4300001</v>
      </c>
      <c r="BI7" s="48">
        <v>7143664944.1300001</v>
      </c>
      <c r="BJ7" s="48">
        <v>5131798523.1300001</v>
      </c>
      <c r="BK7" s="48">
        <v>3165149835.5999999</v>
      </c>
      <c r="BL7" s="48">
        <v>1381088680.6800001</v>
      </c>
      <c r="BM7" s="48">
        <v>5929520171.6400003</v>
      </c>
      <c r="BN7" s="48">
        <v>2620457372.9200001</v>
      </c>
      <c r="BO7" s="48">
        <v>4819192861.6099997</v>
      </c>
      <c r="BP7" s="48">
        <v>2324735624.1500001</v>
      </c>
      <c r="BQ7" s="48">
        <v>4353398300.0900002</v>
      </c>
      <c r="BR7" s="48">
        <v>2118715838</v>
      </c>
      <c r="BS7" s="48">
        <v>4079399970.6999998</v>
      </c>
      <c r="BT7" s="48">
        <v>1698162137.1099999</v>
      </c>
      <c r="BU7" s="48">
        <v>332182260.31999999</v>
      </c>
      <c r="BV7" s="48">
        <v>0</v>
      </c>
    </row>
    <row r="8" spans="1:74">
      <c r="A8" s="48" t="s">
        <v>290</v>
      </c>
      <c r="B8" s="48">
        <v>13840162239.280001</v>
      </c>
      <c r="C8" s="48">
        <v>9009777019.5900002</v>
      </c>
      <c r="D8" s="48">
        <v>5306180639.9099998</v>
      </c>
      <c r="E8" s="48">
        <v>17203678491.950001</v>
      </c>
      <c r="F8" s="48">
        <v>12855392471.65</v>
      </c>
      <c r="G8" s="48">
        <v>8491554890.1300001</v>
      </c>
      <c r="H8" s="48">
        <v>4663129326.8100004</v>
      </c>
      <c r="I8" s="48">
        <v>16730042411.68</v>
      </c>
      <c r="J8" s="48">
        <v>11744213838.540001</v>
      </c>
      <c r="K8" s="48">
        <v>7486141286.8800001</v>
      </c>
      <c r="L8" s="48">
        <v>3756004039.3699999</v>
      </c>
      <c r="M8" s="48">
        <v>17029793769.049999</v>
      </c>
      <c r="N8" s="48">
        <v>12354665132.200001</v>
      </c>
      <c r="O8" s="48">
        <v>8503676192.8000002</v>
      </c>
      <c r="P8" s="48">
        <v>4264344591.1999998</v>
      </c>
      <c r="Q8" s="48">
        <v>19202429859.580002</v>
      </c>
      <c r="R8" s="48">
        <v>14705895759.719999</v>
      </c>
      <c r="S8" s="48">
        <v>9289192319.0900002</v>
      </c>
      <c r="T8" s="48">
        <v>4840725271.75</v>
      </c>
      <c r="U8" s="48">
        <v>18615671437.509998</v>
      </c>
      <c r="V8" s="48">
        <v>13762574738.610001</v>
      </c>
      <c r="W8" s="48">
        <v>8770327332.8199997</v>
      </c>
      <c r="X8" s="48">
        <v>4671083077.4399996</v>
      </c>
      <c r="Y8" s="48">
        <v>17046100647.559999</v>
      </c>
      <c r="Z8" s="48">
        <v>12624415386.879999</v>
      </c>
      <c r="AA8" s="48">
        <v>6625329657.4300003</v>
      </c>
      <c r="AB8" s="48">
        <v>3574963099.9299998</v>
      </c>
      <c r="AC8" s="48">
        <v>14548598306.969999</v>
      </c>
      <c r="AD8" s="48">
        <v>10564596354.42</v>
      </c>
      <c r="AE8" s="48">
        <v>6891803403.6800003</v>
      </c>
      <c r="AF8" s="48">
        <v>3396718299.8600001</v>
      </c>
      <c r="AG8" s="48">
        <v>12207379737.690001</v>
      </c>
      <c r="AH8" s="48">
        <v>8299033371.4099998</v>
      </c>
      <c r="AI8" s="48">
        <v>5173682553.9399996</v>
      </c>
      <c r="AJ8" s="48">
        <v>2701144427.3400002</v>
      </c>
      <c r="AK8" s="48">
        <v>9888646141.4500008</v>
      </c>
      <c r="AL8" s="48">
        <v>6984735961.5500002</v>
      </c>
      <c r="AM8" s="48">
        <v>4374429893.7399998</v>
      </c>
      <c r="AN8" s="48">
        <v>1958747407.95</v>
      </c>
      <c r="AO8" s="48">
        <v>9297697606.5499992</v>
      </c>
      <c r="AP8" s="48">
        <v>7006740701.7600002</v>
      </c>
      <c r="AQ8" s="48">
        <v>4795436914.6300001</v>
      </c>
      <c r="AR8" s="48">
        <v>2343337224.8600001</v>
      </c>
      <c r="AS8" s="48">
        <v>8439301660.3699999</v>
      </c>
      <c r="AT8" s="48">
        <v>5645438824.8199997</v>
      </c>
      <c r="AU8" s="48">
        <v>3653248410.1300001</v>
      </c>
      <c r="AV8" s="48">
        <v>1655223903.1700001</v>
      </c>
      <c r="AW8" s="48">
        <v>6716988667.6199999</v>
      </c>
      <c r="AX8" s="48">
        <v>4366408879.6999998</v>
      </c>
      <c r="AY8" s="48">
        <v>2990345555.2199998</v>
      </c>
      <c r="AZ8" s="48">
        <v>1340659418.1700001</v>
      </c>
      <c r="BA8" s="48">
        <v>6028097285.9399996</v>
      </c>
      <c r="BB8" s="48">
        <v>4407120300.3299999</v>
      </c>
      <c r="BC8" s="48">
        <v>3144336036.7399998</v>
      </c>
      <c r="BD8" s="48">
        <v>1522658299.3800001</v>
      </c>
      <c r="BE8" s="48">
        <v>5614016180.96</v>
      </c>
      <c r="BF8" s="48">
        <v>3872793846.8000002</v>
      </c>
      <c r="BG8" s="48">
        <v>2530998557.7199998</v>
      </c>
      <c r="BH8" s="48">
        <v>1154563908.27</v>
      </c>
      <c r="BI8" s="48">
        <v>4870597418.2600002</v>
      </c>
      <c r="BJ8" s="48">
        <v>3317551949.3499999</v>
      </c>
      <c r="BK8" s="48">
        <v>2135613025.21</v>
      </c>
      <c r="BL8" s="48">
        <v>910503910.89999998</v>
      </c>
      <c r="BM8" s="48">
        <v>3729495973.8099999</v>
      </c>
      <c r="BN8" s="48">
        <v>1589793099.0599999</v>
      </c>
      <c r="BO8" s="48">
        <v>2894800732.7600002</v>
      </c>
      <c r="BP8" s="48">
        <v>1542140385.1500001</v>
      </c>
      <c r="BQ8" s="48">
        <v>2478344257.5999999</v>
      </c>
      <c r="BR8" s="48">
        <v>1075836196.97</v>
      </c>
      <c r="BS8" s="48">
        <v>2539752355.5</v>
      </c>
      <c r="BT8" s="48">
        <v>991001146.80999994</v>
      </c>
      <c r="BU8" s="48">
        <v>374003501.58999997</v>
      </c>
      <c r="BV8" s="48">
        <v>0</v>
      </c>
    </row>
    <row r="9" spans="1:74">
      <c r="A9" s="48" t="s">
        <v>291</v>
      </c>
      <c r="B9" s="48">
        <v>552797682.07000005</v>
      </c>
      <c r="C9" s="48">
        <v>626081768.51999998</v>
      </c>
      <c r="D9" s="48">
        <v>192260802.75999999</v>
      </c>
      <c r="E9" s="48">
        <v>970977152.42999995</v>
      </c>
      <c r="F9" s="48">
        <v>536436162.22000003</v>
      </c>
      <c r="G9" s="48">
        <v>568091793.37</v>
      </c>
      <c r="H9" s="48">
        <v>173803555.53</v>
      </c>
      <c r="I9" s="48">
        <v>964087653.13999999</v>
      </c>
      <c r="J9" s="48">
        <v>532972780.01999998</v>
      </c>
      <c r="K9" s="48">
        <v>552990103.37</v>
      </c>
      <c r="L9" s="48">
        <v>167790267.44999999</v>
      </c>
      <c r="M9" s="48">
        <v>1394786106.9300001</v>
      </c>
      <c r="N9" s="48">
        <v>847381449.77999997</v>
      </c>
      <c r="O9" s="48">
        <v>639311893.54999995</v>
      </c>
      <c r="P9" s="48">
        <v>390301208.66000003</v>
      </c>
      <c r="Q9" s="48">
        <v>1616167806.3199999</v>
      </c>
      <c r="R9" s="48">
        <v>1032540176.22</v>
      </c>
      <c r="S9" s="48">
        <v>684322849.79999995</v>
      </c>
      <c r="T9" s="48">
        <v>317229935.70999998</v>
      </c>
      <c r="U9" s="48">
        <v>1621795627.21</v>
      </c>
      <c r="V9" s="48">
        <v>1131306384.22</v>
      </c>
      <c r="W9" s="48">
        <v>746372273.10000002</v>
      </c>
      <c r="X9" s="48">
        <v>364630420.81999999</v>
      </c>
      <c r="Y9" s="48">
        <v>1500145832.7</v>
      </c>
      <c r="Z9" s="48">
        <v>771151702.04999995</v>
      </c>
      <c r="AA9" s="48">
        <v>333306321.48000002</v>
      </c>
      <c r="AB9" s="48">
        <v>160353071.19</v>
      </c>
      <c r="AC9" s="48">
        <v>870580080.11000001</v>
      </c>
      <c r="AD9" s="48">
        <v>507042096.05000001</v>
      </c>
      <c r="AE9" s="48">
        <v>343949636.23000002</v>
      </c>
      <c r="AF9" s="48">
        <v>168430709.55000001</v>
      </c>
      <c r="AG9" s="48">
        <v>757202675.89999998</v>
      </c>
      <c r="AH9" s="48">
        <v>497495754.70999998</v>
      </c>
      <c r="AI9" s="48">
        <v>314897446.24000001</v>
      </c>
      <c r="AJ9" s="48">
        <v>154438711.40000001</v>
      </c>
      <c r="AK9" s="48">
        <v>685728443.04999995</v>
      </c>
      <c r="AL9" s="48">
        <v>522690685.70999998</v>
      </c>
      <c r="AM9" s="48">
        <v>279554711.61000001</v>
      </c>
      <c r="AN9" s="48">
        <v>128319132.93000001</v>
      </c>
      <c r="AO9" s="48">
        <v>681026271.62</v>
      </c>
      <c r="AP9" s="48">
        <v>461699732.83999997</v>
      </c>
      <c r="AQ9" s="48">
        <v>369494424.77999997</v>
      </c>
      <c r="AR9" s="48">
        <v>159193632.97</v>
      </c>
      <c r="AS9" s="48">
        <v>537693276.05999994</v>
      </c>
      <c r="AT9" s="48">
        <v>410989697.44999999</v>
      </c>
      <c r="AU9" s="48">
        <v>264784676.43000001</v>
      </c>
      <c r="AV9" s="48">
        <v>144720683.88</v>
      </c>
      <c r="AW9" s="48">
        <v>529256769.47000003</v>
      </c>
      <c r="AX9" s="48">
        <v>263415258.22999999</v>
      </c>
      <c r="AY9" s="48">
        <v>290183651.72000003</v>
      </c>
      <c r="AZ9" s="48">
        <v>99344713.790000007</v>
      </c>
      <c r="BA9" s="48">
        <v>611561770.66999996</v>
      </c>
      <c r="BB9" s="48">
        <v>295360541.63999999</v>
      </c>
      <c r="BC9" s="48">
        <v>317561457.06</v>
      </c>
      <c r="BD9" s="48">
        <v>100022790.27</v>
      </c>
      <c r="BE9" s="48">
        <v>532847423.85000002</v>
      </c>
      <c r="BF9" s="48">
        <v>288258370.33999997</v>
      </c>
      <c r="BG9" s="48">
        <v>199118978.84</v>
      </c>
      <c r="BH9" s="48">
        <v>130604069.75</v>
      </c>
      <c r="BI9" s="48">
        <v>688578280.36000001</v>
      </c>
      <c r="BJ9" s="48">
        <v>380356361.70999998</v>
      </c>
      <c r="BK9" s="48">
        <v>236739696.03</v>
      </c>
      <c r="BL9" s="48">
        <v>137738571.97</v>
      </c>
      <c r="BM9" s="48">
        <v>436844762.80000001</v>
      </c>
      <c r="BN9" s="48">
        <v>245613691.21000001</v>
      </c>
      <c r="BO9" s="48">
        <v>263161682.46000001</v>
      </c>
      <c r="BP9" s="48">
        <v>109853486.31999999</v>
      </c>
      <c r="BQ9" s="48">
        <v>250005190.52000001</v>
      </c>
      <c r="BR9" s="48">
        <v>92185724.790000007</v>
      </c>
      <c r="BS9" s="48">
        <v>212387043.30000001</v>
      </c>
      <c r="BT9" s="48">
        <v>65516535.5</v>
      </c>
      <c r="BU9" s="48">
        <v>45048845.920000002</v>
      </c>
      <c r="BV9" s="48">
        <v>0</v>
      </c>
    </row>
    <row r="10" spans="1:74">
      <c r="A10" s="48" t="s">
        <v>292</v>
      </c>
      <c r="B10" s="48">
        <v>876103972.78999996</v>
      </c>
      <c r="C10" s="48">
        <v>670247083.57000005</v>
      </c>
      <c r="D10" s="48">
        <v>278486073.35000002</v>
      </c>
      <c r="E10" s="48">
        <v>925384838.42999995</v>
      </c>
      <c r="F10" s="48">
        <v>814888401.14999998</v>
      </c>
      <c r="G10" s="48">
        <v>599458328.17999995</v>
      </c>
      <c r="H10" s="48">
        <v>219198200.00999999</v>
      </c>
      <c r="I10" s="48">
        <v>890394298.39999998</v>
      </c>
      <c r="J10" s="48">
        <v>822654346.01999998</v>
      </c>
      <c r="K10" s="48">
        <v>575432522.65999997</v>
      </c>
      <c r="L10" s="48">
        <v>240949044.00999999</v>
      </c>
      <c r="M10" s="48">
        <v>1096305647.23</v>
      </c>
      <c r="N10" s="48">
        <v>984550718.79999995</v>
      </c>
      <c r="O10" s="48">
        <v>553882312.47000003</v>
      </c>
      <c r="P10" s="48">
        <v>295020936.98000002</v>
      </c>
      <c r="Q10" s="48">
        <v>1159932580.24</v>
      </c>
      <c r="R10" s="48">
        <v>1136020704.7</v>
      </c>
      <c r="S10" s="48">
        <v>743290580.04999995</v>
      </c>
      <c r="T10" s="48">
        <v>259557231.69</v>
      </c>
      <c r="U10" s="48">
        <v>1298349125.9200001</v>
      </c>
      <c r="V10" s="48">
        <v>952755912.39999998</v>
      </c>
      <c r="W10" s="48">
        <v>662964481.05999994</v>
      </c>
      <c r="X10" s="48">
        <v>352620592.5</v>
      </c>
      <c r="Y10" s="48">
        <v>1201951494.49</v>
      </c>
      <c r="Z10" s="48">
        <v>921221466.33000004</v>
      </c>
      <c r="AA10" s="48">
        <v>537627544.54999995</v>
      </c>
      <c r="AB10" s="48">
        <v>204849131.74000001</v>
      </c>
      <c r="AC10" s="48">
        <v>738175187.25999999</v>
      </c>
      <c r="AD10" s="48">
        <v>650066549.14999998</v>
      </c>
      <c r="AE10" s="48">
        <v>422777706.51999998</v>
      </c>
      <c r="AF10" s="48">
        <v>205233443.43000001</v>
      </c>
      <c r="AG10" s="48">
        <v>756185836.21000004</v>
      </c>
      <c r="AH10" s="48">
        <v>685549745.44000006</v>
      </c>
      <c r="AI10" s="48">
        <v>431839332.66000003</v>
      </c>
      <c r="AJ10" s="48">
        <v>185533075.75</v>
      </c>
      <c r="AK10" s="48">
        <v>725235214.87</v>
      </c>
      <c r="AL10" s="48">
        <v>577109134.17999995</v>
      </c>
      <c r="AM10" s="48">
        <v>394226579.04000002</v>
      </c>
      <c r="AN10" s="48">
        <v>99629370.900000006</v>
      </c>
      <c r="AO10" s="48">
        <v>551618927.30999994</v>
      </c>
      <c r="AP10" s="48">
        <v>404803647.58999997</v>
      </c>
      <c r="AQ10" s="48">
        <v>288058301.27999997</v>
      </c>
      <c r="AR10" s="48">
        <v>82543124.659999996</v>
      </c>
      <c r="AS10" s="48">
        <v>583675095.75</v>
      </c>
      <c r="AT10" s="48">
        <v>482545529.24000001</v>
      </c>
      <c r="AU10" s="48">
        <v>269258056.74000001</v>
      </c>
      <c r="AV10" s="48">
        <v>94570043.140000001</v>
      </c>
      <c r="AW10" s="48">
        <v>429773899.37</v>
      </c>
      <c r="AX10" s="48">
        <v>358366577.08999997</v>
      </c>
      <c r="AY10" s="48">
        <v>261862160.41</v>
      </c>
      <c r="AZ10" s="48">
        <v>119028833.73999999</v>
      </c>
      <c r="BA10" s="48">
        <v>366587488.63999999</v>
      </c>
      <c r="BB10" s="48">
        <v>294294844.44</v>
      </c>
      <c r="BC10" s="48">
        <v>198730844.71000001</v>
      </c>
      <c r="BD10" s="48">
        <v>81359793.780000001</v>
      </c>
      <c r="BE10" s="48">
        <v>434595280.93000001</v>
      </c>
      <c r="BF10" s="48">
        <v>360943655.20999998</v>
      </c>
      <c r="BG10" s="48">
        <v>291883186.77999997</v>
      </c>
      <c r="BH10" s="48">
        <v>173829533.93000001</v>
      </c>
      <c r="BI10" s="48">
        <v>343204784.19</v>
      </c>
      <c r="BJ10" s="48">
        <v>300907660.50999999</v>
      </c>
      <c r="BK10" s="48">
        <v>195896731.53</v>
      </c>
      <c r="BL10" s="48">
        <v>96676650</v>
      </c>
      <c r="BM10" s="48">
        <v>451756175.17000002</v>
      </c>
      <c r="BN10" s="48">
        <v>180577246.28999999</v>
      </c>
      <c r="BO10" s="48">
        <v>366733267.85000002</v>
      </c>
      <c r="BP10" s="48">
        <v>173454062.75</v>
      </c>
      <c r="BQ10" s="48">
        <v>316686529.44999999</v>
      </c>
      <c r="BR10" s="48">
        <v>161754792.58000001</v>
      </c>
      <c r="BS10" s="48">
        <v>432141177.42000002</v>
      </c>
      <c r="BT10" s="48">
        <v>216318662.94</v>
      </c>
      <c r="BU10" s="48">
        <v>24419805.850000001</v>
      </c>
      <c r="BV10" s="48">
        <v>0</v>
      </c>
    </row>
    <row r="11" spans="1:74">
      <c r="A11" s="48" t="s">
        <v>293</v>
      </c>
      <c r="B11" s="48">
        <v>1414852432.75</v>
      </c>
      <c r="C11" s="48">
        <v>765722654.91999996</v>
      </c>
      <c r="D11" s="48">
        <v>590706975.79999995</v>
      </c>
      <c r="E11" s="48">
        <v>1227846651.3199999</v>
      </c>
      <c r="F11" s="48">
        <v>1451724992.02</v>
      </c>
      <c r="G11" s="48">
        <v>717521622.62</v>
      </c>
      <c r="H11" s="48">
        <v>490193270.27999997</v>
      </c>
      <c r="I11" s="48">
        <v>1370775168.6800001</v>
      </c>
      <c r="J11" s="48">
        <v>1361823388.8</v>
      </c>
      <c r="K11" s="48">
        <v>717607721.47000003</v>
      </c>
      <c r="L11" s="48">
        <v>466319223.38999999</v>
      </c>
      <c r="M11" s="48">
        <v>1556487112.22</v>
      </c>
      <c r="N11" s="48">
        <v>1434313783.55</v>
      </c>
      <c r="O11" s="48">
        <v>923729241.38999999</v>
      </c>
      <c r="P11" s="48">
        <v>508997351.85000002</v>
      </c>
      <c r="Q11" s="48">
        <v>1587040008.1500001</v>
      </c>
      <c r="R11" s="48">
        <v>1244495748.8499999</v>
      </c>
      <c r="S11" s="48">
        <v>820257280.29999995</v>
      </c>
      <c r="T11" s="48">
        <v>472424866.44</v>
      </c>
      <c r="U11" s="48">
        <v>1652418400.53</v>
      </c>
      <c r="V11" s="48">
        <v>1025104324.1900001</v>
      </c>
      <c r="W11" s="48">
        <v>643194617.30999994</v>
      </c>
      <c r="X11" s="48">
        <v>751379194.51999998</v>
      </c>
      <c r="Y11" s="48">
        <v>1317051434.3299999</v>
      </c>
      <c r="Z11" s="48">
        <v>1057522556.9299999</v>
      </c>
      <c r="AA11" s="48">
        <v>575865634.61000001</v>
      </c>
      <c r="AB11" s="48">
        <v>368416562.50999999</v>
      </c>
      <c r="AC11" s="48">
        <v>1116948841.5899999</v>
      </c>
      <c r="AD11" s="48">
        <v>1029770285</v>
      </c>
      <c r="AE11" s="48">
        <v>536518550.99000001</v>
      </c>
      <c r="AF11" s="48">
        <v>318003812.94999999</v>
      </c>
      <c r="AG11" s="48">
        <v>914074926.77999997</v>
      </c>
      <c r="AH11" s="48">
        <v>802723441.03999996</v>
      </c>
      <c r="AI11" s="48">
        <v>513846499.38</v>
      </c>
      <c r="AJ11" s="48">
        <v>332401887.29000002</v>
      </c>
      <c r="AK11" s="48">
        <v>752807307.28999996</v>
      </c>
      <c r="AL11" s="48">
        <v>618189033.26999998</v>
      </c>
      <c r="AM11" s="48">
        <v>360249819.89999998</v>
      </c>
      <c r="AN11" s="48">
        <v>215508479.90000001</v>
      </c>
      <c r="AO11" s="48">
        <v>721829414.5</v>
      </c>
      <c r="AP11" s="48">
        <v>721593667.90999997</v>
      </c>
      <c r="AQ11" s="48">
        <v>368885408.35000002</v>
      </c>
      <c r="AR11" s="48">
        <v>247773974.13999999</v>
      </c>
      <c r="AS11" s="48">
        <v>635674709.44000006</v>
      </c>
      <c r="AT11" s="48">
        <v>508155486.41000003</v>
      </c>
      <c r="AU11" s="48">
        <v>365125773.33999997</v>
      </c>
      <c r="AV11" s="48">
        <v>156773760.88999999</v>
      </c>
      <c r="AW11" s="48">
        <v>529521434.30000001</v>
      </c>
      <c r="AX11" s="48">
        <v>723918159.30999994</v>
      </c>
      <c r="AY11" s="48">
        <v>272005530.35000002</v>
      </c>
      <c r="AZ11" s="48">
        <v>215095784.63</v>
      </c>
      <c r="BA11" s="48">
        <v>465334495.74000001</v>
      </c>
      <c r="BB11" s="48">
        <v>710930896.69000006</v>
      </c>
      <c r="BC11" s="48">
        <v>223849520.24000001</v>
      </c>
      <c r="BD11" s="48">
        <v>159324391.75</v>
      </c>
      <c r="BE11" s="48">
        <v>565048505.83000004</v>
      </c>
      <c r="BF11" s="48">
        <v>843913443.65999997</v>
      </c>
      <c r="BG11" s="48">
        <v>635049416.34000003</v>
      </c>
      <c r="BH11" s="48">
        <v>161342897.40000001</v>
      </c>
      <c r="BI11" s="48">
        <v>949113984.55999994</v>
      </c>
      <c r="BJ11" s="48">
        <v>676259054.02999997</v>
      </c>
      <c r="BK11" s="48">
        <v>439927203.47000003</v>
      </c>
      <c r="BL11" s="48">
        <v>242040762.38999999</v>
      </c>
      <c r="BM11" s="48">
        <v>620831642.63</v>
      </c>
      <c r="BN11" s="48">
        <v>285882044.66000003</v>
      </c>
      <c r="BO11" s="48">
        <v>407311148.24000001</v>
      </c>
      <c r="BP11" s="48">
        <v>299063686.94</v>
      </c>
      <c r="BQ11" s="48">
        <v>630209390.03999996</v>
      </c>
      <c r="BR11" s="48">
        <v>657246827.17999995</v>
      </c>
      <c r="BS11" s="48">
        <v>647686286.5</v>
      </c>
      <c r="BT11" s="48">
        <v>382255254.47000003</v>
      </c>
      <c r="BU11" s="48">
        <v>43651482.350000001</v>
      </c>
      <c r="BV11" s="48">
        <v>0</v>
      </c>
    </row>
    <row r="12" spans="1:74">
      <c r="A12" s="48" t="s">
        <v>294</v>
      </c>
      <c r="B12" s="48">
        <v>16683916326.889999</v>
      </c>
      <c r="C12" s="48">
        <v>11071828526.6</v>
      </c>
      <c r="D12" s="48">
        <v>6367634491.8199997</v>
      </c>
      <c r="E12" s="48">
        <v>20327887134.130001</v>
      </c>
      <c r="F12" s="48">
        <v>15658442027.040001</v>
      </c>
      <c r="G12" s="48">
        <v>10376626634.299999</v>
      </c>
      <c r="H12" s="48">
        <v>5546324352.6300001</v>
      </c>
      <c r="I12" s="48">
        <v>19955299531.900002</v>
      </c>
      <c r="J12" s="48">
        <v>14461664353.379999</v>
      </c>
      <c r="K12" s="48">
        <v>9332171634.3799992</v>
      </c>
      <c r="L12" s="48">
        <v>4631062574.2200003</v>
      </c>
      <c r="M12" s="48">
        <v>21077372635.43</v>
      </c>
      <c r="N12" s="48">
        <v>15620911084.33</v>
      </c>
      <c r="O12" s="48">
        <v>10620599640.209999</v>
      </c>
      <c r="P12" s="48">
        <v>5458664088.6899996</v>
      </c>
      <c r="Q12" s="48">
        <v>23565570254.290001</v>
      </c>
      <c r="R12" s="48">
        <v>18118952389.490002</v>
      </c>
      <c r="S12" s="48">
        <v>11537063029.24</v>
      </c>
      <c r="T12" s="48">
        <v>5889937305.5900002</v>
      </c>
      <c r="U12" s="48">
        <v>23188234591.169998</v>
      </c>
      <c r="V12" s="48">
        <v>16871741359.42</v>
      </c>
      <c r="W12" s="48">
        <v>10822858704.290001</v>
      </c>
      <c r="X12" s="48">
        <v>6139713285.2799997</v>
      </c>
      <c r="Y12" s="48">
        <v>21065249409.080002</v>
      </c>
      <c r="Z12" s="48">
        <v>15374311112.190001</v>
      </c>
      <c r="AA12" s="48">
        <v>8072129158.0699997</v>
      </c>
      <c r="AB12" s="48">
        <v>4308581865.3699999</v>
      </c>
      <c r="AC12" s="48">
        <v>17274302415.93</v>
      </c>
      <c r="AD12" s="48">
        <v>12751475284.620001</v>
      </c>
      <c r="AE12" s="48">
        <v>8195049297.4200001</v>
      </c>
      <c r="AF12" s="48">
        <v>4088386265.79</v>
      </c>
      <c r="AG12" s="48">
        <v>14634843176.58</v>
      </c>
      <c r="AH12" s="48">
        <v>10284802312.6</v>
      </c>
      <c r="AI12" s="48">
        <v>6434265832.2200003</v>
      </c>
      <c r="AJ12" s="48">
        <v>3373518101.7800002</v>
      </c>
      <c r="AK12" s="48">
        <v>12052417106.66</v>
      </c>
      <c r="AL12" s="48">
        <v>8702724814.7099991</v>
      </c>
      <c r="AM12" s="48">
        <v>5408461004.29</v>
      </c>
      <c r="AN12" s="48">
        <v>2402204391.6799998</v>
      </c>
      <c r="AO12" s="48">
        <v>11252172219.98</v>
      </c>
      <c r="AP12" s="48">
        <v>8594837750.1000004</v>
      </c>
      <c r="AQ12" s="48">
        <v>5821875049.04</v>
      </c>
      <c r="AR12" s="48">
        <v>2832847956.6300001</v>
      </c>
      <c r="AS12" s="48">
        <v>10196344741.620001</v>
      </c>
      <c r="AT12" s="48">
        <v>7047129537.9200001</v>
      </c>
      <c r="AU12" s="48">
        <v>4552416916.6400003</v>
      </c>
      <c r="AV12" s="48">
        <v>2051288391.0799999</v>
      </c>
      <c r="AW12" s="48">
        <v>8205540770.7600002</v>
      </c>
      <c r="AX12" s="48">
        <v>5712108874.3299999</v>
      </c>
      <c r="AY12" s="48">
        <v>3814396897.6999998</v>
      </c>
      <c r="AZ12" s="48">
        <v>1774128750.3299999</v>
      </c>
      <c r="BA12" s="48">
        <v>7471581040.9899998</v>
      </c>
      <c r="BB12" s="48">
        <v>5707706583.1000004</v>
      </c>
      <c r="BC12" s="48">
        <v>3884477858.75</v>
      </c>
      <c r="BD12" s="48">
        <v>1863365275.1800001</v>
      </c>
      <c r="BE12" s="48">
        <v>7146507391.5699997</v>
      </c>
      <c r="BF12" s="48">
        <v>5365909316.0100002</v>
      </c>
      <c r="BG12" s="48">
        <v>3657050139.6799998</v>
      </c>
      <c r="BH12" s="48">
        <v>1620340409.3499999</v>
      </c>
      <c r="BI12" s="48">
        <v>6851494467.3699999</v>
      </c>
      <c r="BJ12" s="48">
        <v>4675075025.6000004</v>
      </c>
      <c r="BK12" s="48">
        <v>3008176656.2399998</v>
      </c>
      <c r="BL12" s="48">
        <v>1386959895.26</v>
      </c>
      <c r="BM12" s="48">
        <v>5238928554.4099998</v>
      </c>
      <c r="BN12" s="48">
        <v>2301866081.2199998</v>
      </c>
      <c r="BO12" s="48">
        <v>3932006831.3099999</v>
      </c>
      <c r="BP12" s="48">
        <v>2124511621.1600001</v>
      </c>
      <c r="BQ12" s="48">
        <v>3675245367.6100001</v>
      </c>
      <c r="BR12" s="48">
        <v>1987023541.52</v>
      </c>
      <c r="BS12" s="48">
        <v>3831966862.7199998</v>
      </c>
      <c r="BT12" s="48">
        <v>1655091599.72</v>
      </c>
      <c r="BU12" s="48">
        <v>487123635.70999998</v>
      </c>
      <c r="BV12" s="48">
        <v>0</v>
      </c>
    </row>
    <row r="13" spans="1:74">
      <c r="A13" s="48" t="s">
        <v>295</v>
      </c>
      <c r="B13" s="48">
        <v>-220844288.34999999</v>
      </c>
      <c r="C13" s="48">
        <v>-360888706.42000002</v>
      </c>
      <c r="D13" s="48">
        <v>-1182456308.27</v>
      </c>
      <c r="E13" s="48">
        <v>1930118454.01</v>
      </c>
      <c r="F13" s="48">
        <v>1405689604.1400001</v>
      </c>
      <c r="G13" s="48">
        <v>436621687.81999999</v>
      </c>
      <c r="H13" s="48">
        <v>-277228251.38999999</v>
      </c>
      <c r="I13" s="48">
        <v>1999573702.98</v>
      </c>
      <c r="J13" s="48">
        <v>1929645382.1800001</v>
      </c>
      <c r="K13" s="48">
        <v>1316392351.1300001</v>
      </c>
      <c r="L13" s="48">
        <v>319139035.18000001</v>
      </c>
      <c r="M13" s="48">
        <v>1338774524.46</v>
      </c>
      <c r="N13" s="48">
        <v>1508101907.8</v>
      </c>
      <c r="O13" s="48">
        <v>563731554.65999997</v>
      </c>
      <c r="P13" s="48">
        <v>-139849646.09999999</v>
      </c>
      <c r="Q13" s="48">
        <v>2011963265.6500001</v>
      </c>
      <c r="R13" s="48">
        <v>1767169251.03</v>
      </c>
      <c r="S13" s="48">
        <v>972053307.75999999</v>
      </c>
      <c r="T13" s="48">
        <v>-47720877.789999999</v>
      </c>
      <c r="U13" s="48">
        <v>1758892889.23</v>
      </c>
      <c r="V13" s="48">
        <v>1503864105.3</v>
      </c>
      <c r="W13" s="48">
        <v>928841205.42999995</v>
      </c>
      <c r="X13" s="48">
        <v>-633039859.49000001</v>
      </c>
      <c r="Y13" s="48">
        <v>3120058762.9099998</v>
      </c>
      <c r="Z13" s="48">
        <v>2266334969.25</v>
      </c>
      <c r="AA13" s="48">
        <v>1506595920.0599999</v>
      </c>
      <c r="AB13" s="48">
        <v>-125661126.05</v>
      </c>
      <c r="AC13" s="48">
        <v>1542378253.03</v>
      </c>
      <c r="AD13" s="48">
        <v>1434505205.8599999</v>
      </c>
      <c r="AE13" s="48">
        <v>884143463.00999999</v>
      </c>
      <c r="AF13" s="48">
        <v>-223539526.56</v>
      </c>
      <c r="AG13" s="48">
        <v>1787464327.6600001</v>
      </c>
      <c r="AH13" s="48">
        <v>1718131912.98</v>
      </c>
      <c r="AI13" s="48">
        <v>1122202879.6700001</v>
      </c>
      <c r="AJ13" s="48">
        <v>30469639.280000001</v>
      </c>
      <c r="AK13" s="48">
        <v>2028598332.1700001</v>
      </c>
      <c r="AL13" s="48">
        <v>1616122875.99</v>
      </c>
      <c r="AM13" s="48">
        <v>943480103.27999997</v>
      </c>
      <c r="AN13" s="48">
        <v>378297459.14999998</v>
      </c>
      <c r="AO13" s="48">
        <v>516497097.97000003</v>
      </c>
      <c r="AP13" s="48">
        <v>381218783.56</v>
      </c>
      <c r="AQ13" s="48">
        <v>4084610.3</v>
      </c>
      <c r="AR13" s="48">
        <v>-286208499.70999998</v>
      </c>
      <c r="AS13" s="48">
        <v>1057878881.39</v>
      </c>
      <c r="AT13" s="48">
        <v>769860088.14999998</v>
      </c>
      <c r="AU13" s="48">
        <v>295608189.13</v>
      </c>
      <c r="AV13" s="48">
        <v>-30549097.199999999</v>
      </c>
      <c r="AW13" s="48">
        <v>846957120.55999994</v>
      </c>
      <c r="AX13" s="48">
        <v>485240091.43000001</v>
      </c>
      <c r="AY13" s="48">
        <v>199309444.03</v>
      </c>
      <c r="AZ13" s="48">
        <v>-80113359.060000002</v>
      </c>
      <c r="BA13" s="48">
        <v>243530780.69999999</v>
      </c>
      <c r="BB13" s="48">
        <v>-165370697.12</v>
      </c>
      <c r="BC13" s="48">
        <v>-157379247.44</v>
      </c>
      <c r="BD13" s="48">
        <v>-233545765.58000001</v>
      </c>
      <c r="BE13" s="48">
        <v>604667760.59000003</v>
      </c>
      <c r="BF13" s="48">
        <v>337453098.12</v>
      </c>
      <c r="BG13" s="48">
        <v>76753462.159999996</v>
      </c>
      <c r="BH13" s="48">
        <v>56748815.079999998</v>
      </c>
      <c r="BI13" s="48">
        <v>292170476.75999999</v>
      </c>
      <c r="BJ13" s="48">
        <v>456723497.52999997</v>
      </c>
      <c r="BK13" s="48">
        <v>156973179.36000001</v>
      </c>
      <c r="BL13" s="48">
        <v>-5871214.5800000001</v>
      </c>
      <c r="BM13" s="48">
        <v>690591617.23000002</v>
      </c>
      <c r="BN13" s="48">
        <v>318591291.69999999</v>
      </c>
      <c r="BO13" s="48">
        <v>887186030.29999995</v>
      </c>
      <c r="BP13" s="48">
        <v>200224002.99000001</v>
      </c>
      <c r="BQ13" s="48">
        <v>678152932.48000002</v>
      </c>
      <c r="BR13" s="48">
        <v>131692296.48</v>
      </c>
      <c r="BS13" s="48">
        <v>247433107.97999999</v>
      </c>
      <c r="BT13" s="48">
        <v>43070537.390000001</v>
      </c>
      <c r="BU13" s="48">
        <v>-154941375.38999999</v>
      </c>
      <c r="BV13" s="48">
        <v>0</v>
      </c>
    </row>
    <row r="14" spans="1:74">
      <c r="A14" s="48" t="s">
        <v>296</v>
      </c>
    </row>
    <row r="15" spans="1:74">
      <c r="A15" s="48" t="s">
        <v>297</v>
      </c>
      <c r="B15" s="48">
        <v>0</v>
      </c>
      <c r="C15" s="48">
        <v>0</v>
      </c>
      <c r="D15" s="48">
        <v>0</v>
      </c>
      <c r="E15" s="48">
        <v>72249917.090000004</v>
      </c>
      <c r="F15" s="48">
        <v>0</v>
      </c>
      <c r="G15" s="48">
        <v>0</v>
      </c>
      <c r="H15" s="48">
        <v>18646792.640000001</v>
      </c>
      <c r="I15" s="48">
        <v>228260900</v>
      </c>
      <c r="J15" s="48">
        <v>100000000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139350000</v>
      </c>
      <c r="R15" s="48">
        <v>139350000</v>
      </c>
      <c r="S15" s="48">
        <v>0</v>
      </c>
      <c r="T15" s="48">
        <v>0</v>
      </c>
      <c r="U15" s="48">
        <v>9973583.3800000008</v>
      </c>
      <c r="V15" s="48">
        <v>4142881.31</v>
      </c>
      <c r="W15" s="48">
        <v>4142881.31</v>
      </c>
      <c r="X15" s="48">
        <v>3985608.51</v>
      </c>
      <c r="Y15" s="48">
        <v>34576267.049999997</v>
      </c>
      <c r="Z15" s="48">
        <v>5890410.7000000002</v>
      </c>
      <c r="AA15" s="48">
        <v>0</v>
      </c>
      <c r="AB15" s="48">
        <v>4200000</v>
      </c>
      <c r="AC15" s="48">
        <v>17106275.600000001</v>
      </c>
      <c r="AD15" s="48">
        <v>507446.54</v>
      </c>
      <c r="AE15" s="48">
        <v>0</v>
      </c>
      <c r="AF15" s="48">
        <v>0</v>
      </c>
      <c r="AG15" s="48">
        <v>19914522.329999998</v>
      </c>
      <c r="AH15" s="48">
        <v>19426925.760000002</v>
      </c>
      <c r="AI15" s="48">
        <v>11519743.26</v>
      </c>
      <c r="AJ15" s="48">
        <v>11519743.26</v>
      </c>
      <c r="AK15" s="48">
        <v>239917935.53</v>
      </c>
      <c r="AL15" s="48">
        <v>259000000</v>
      </c>
      <c r="AM15" s="48">
        <v>230000000</v>
      </c>
      <c r="AN15" s="48">
        <v>229930940.88</v>
      </c>
      <c r="AO15" s="48">
        <v>661883.51</v>
      </c>
      <c r="AP15" s="48">
        <v>8596096.5099999998</v>
      </c>
      <c r="AQ15" s="48">
        <v>22165691.16</v>
      </c>
      <c r="AR15" s="48">
        <v>8501597.6699999999</v>
      </c>
      <c r="AS15" s="48">
        <v>11311370.23</v>
      </c>
      <c r="AT15" s="48">
        <v>29882250.57</v>
      </c>
      <c r="AU15" s="48">
        <v>4429898</v>
      </c>
      <c r="AV15" s="48">
        <v>0</v>
      </c>
      <c r="AW15" s="48">
        <v>331336099.61000001</v>
      </c>
      <c r="AX15" s="48">
        <v>402582117.86000001</v>
      </c>
      <c r="AY15" s="48">
        <v>131037707.78</v>
      </c>
      <c r="AZ15" s="48">
        <v>56269433.299999997</v>
      </c>
      <c r="BA15" s="48">
        <v>48620029.68</v>
      </c>
      <c r="BB15" s="48">
        <v>48410938.68</v>
      </c>
      <c r="BC15" s="48">
        <v>41576569.200000003</v>
      </c>
      <c r="BD15" s="48">
        <v>37472012.280000001</v>
      </c>
      <c r="BE15" s="48">
        <v>17835477.789999999</v>
      </c>
      <c r="BF15" s="48">
        <v>2941000</v>
      </c>
      <c r="BG15" s="48">
        <v>2706000</v>
      </c>
      <c r="BH15" s="48">
        <v>0</v>
      </c>
      <c r="BI15" s="48">
        <v>114306933.04000001</v>
      </c>
      <c r="BJ15" s="48">
        <v>33491223.620000001</v>
      </c>
      <c r="BK15" s="48">
        <v>28305500.989999998</v>
      </c>
      <c r="BL15" s="48">
        <v>0</v>
      </c>
      <c r="BM15" s="48">
        <v>2766191</v>
      </c>
      <c r="BN15" s="48">
        <v>399800</v>
      </c>
      <c r="BO15" s="48">
        <v>770000</v>
      </c>
      <c r="BP15" s="48">
        <v>770000</v>
      </c>
      <c r="BQ15" s="48">
        <v>421702685.23000002</v>
      </c>
      <c r="BR15" s="48">
        <v>200420280</v>
      </c>
      <c r="BS15" s="48">
        <v>253449858.5</v>
      </c>
      <c r="BT15" s="48">
        <v>0</v>
      </c>
      <c r="BU15" s="48">
        <v>82049426.939999998</v>
      </c>
      <c r="BV15" s="48">
        <v>0</v>
      </c>
    </row>
    <row r="16" spans="1:74">
      <c r="A16" s="48" t="s">
        <v>298</v>
      </c>
      <c r="B16" s="48">
        <v>104979748.29000001</v>
      </c>
      <c r="C16" s="48">
        <v>93352463.700000003</v>
      </c>
      <c r="D16" s="48">
        <v>16746000</v>
      </c>
      <c r="E16" s="48">
        <v>166765082.34999999</v>
      </c>
      <c r="F16" s="48">
        <v>141707080.02000001</v>
      </c>
      <c r="G16" s="48">
        <v>83196451.430000007</v>
      </c>
      <c r="H16" s="48">
        <v>24544193.59</v>
      </c>
      <c r="I16" s="48">
        <v>262860031.84999999</v>
      </c>
      <c r="J16" s="48">
        <v>80420889.010000005</v>
      </c>
      <c r="K16" s="48">
        <v>61506932.810000002</v>
      </c>
      <c r="L16" s="48">
        <v>41399924.240000002</v>
      </c>
      <c r="M16" s="48">
        <v>246525694.44</v>
      </c>
      <c r="N16" s="48">
        <v>52638223.899999999</v>
      </c>
      <c r="O16" s="48">
        <v>53217582.689999998</v>
      </c>
      <c r="P16" s="48">
        <v>168000</v>
      </c>
      <c r="Q16" s="48">
        <v>189971172.59</v>
      </c>
      <c r="R16" s="48">
        <v>112359940.38</v>
      </c>
      <c r="S16" s="48">
        <v>108369137.44</v>
      </c>
      <c r="T16" s="48">
        <v>48135435.159999996</v>
      </c>
      <c r="U16" s="48">
        <v>185633002.13999999</v>
      </c>
      <c r="V16" s="48">
        <v>32810691.940000001</v>
      </c>
      <c r="W16" s="48">
        <v>27539745.780000001</v>
      </c>
      <c r="X16" s="48">
        <v>1200000</v>
      </c>
      <c r="Y16" s="48">
        <v>342221192.94999999</v>
      </c>
      <c r="Z16" s="48">
        <v>286343124.18000001</v>
      </c>
      <c r="AA16" s="48">
        <v>219503505.41</v>
      </c>
      <c r="AB16" s="48">
        <v>33976267.049999997</v>
      </c>
      <c r="AC16" s="48">
        <v>150040838.75999999</v>
      </c>
      <c r="AD16" s="48">
        <v>55688592.189999998</v>
      </c>
      <c r="AE16" s="48">
        <v>16318366</v>
      </c>
      <c r="AF16" s="48">
        <v>5000000</v>
      </c>
      <c r="AG16" s="48">
        <v>159901929.44</v>
      </c>
      <c r="AH16" s="48">
        <v>85496312.450000003</v>
      </c>
      <c r="AI16" s="48">
        <v>24046255.649999999</v>
      </c>
      <c r="AJ16" s="48">
        <v>319037.39</v>
      </c>
      <c r="AK16" s="48">
        <v>230157819.59999999</v>
      </c>
      <c r="AL16" s="48">
        <v>108638941.2</v>
      </c>
      <c r="AM16" s="48">
        <v>69268805.230000004</v>
      </c>
      <c r="AN16" s="48">
        <v>0</v>
      </c>
      <c r="AO16" s="48">
        <v>229972997.99000001</v>
      </c>
      <c r="AP16" s="48">
        <v>181466136.30000001</v>
      </c>
      <c r="AQ16" s="48">
        <v>64489887.590000004</v>
      </c>
      <c r="AR16" s="48">
        <v>2278532.5099999998</v>
      </c>
      <c r="AS16" s="48">
        <v>212019044.16999999</v>
      </c>
      <c r="AT16" s="48">
        <v>42627406.369999997</v>
      </c>
      <c r="AU16" s="48">
        <v>25099125.449999999</v>
      </c>
      <c r="AV16" s="48">
        <v>13244698.449999999</v>
      </c>
      <c r="AW16" s="48">
        <v>218904526.22</v>
      </c>
      <c r="AX16" s="48">
        <v>52612470.270000003</v>
      </c>
      <c r="AY16" s="48">
        <v>39429080.020000003</v>
      </c>
      <c r="AZ16" s="48">
        <v>29880994.68</v>
      </c>
      <c r="BA16" s="48">
        <v>108770874.97</v>
      </c>
      <c r="BB16" s="48">
        <v>68282070.120000005</v>
      </c>
      <c r="BC16" s="48">
        <v>58816115.799999997</v>
      </c>
      <c r="BD16" s="48">
        <v>963468.84</v>
      </c>
      <c r="BE16" s="48">
        <v>77676063.829999998</v>
      </c>
      <c r="BF16" s="48">
        <v>76317705.219999999</v>
      </c>
      <c r="BG16" s="48">
        <v>16482819.43</v>
      </c>
      <c r="BH16" s="48">
        <v>5759633.5999999996</v>
      </c>
      <c r="BI16" s="48">
        <v>149823204.75999999</v>
      </c>
      <c r="BJ16" s="48">
        <v>100880032.64</v>
      </c>
      <c r="BK16" s="48">
        <v>134981538.78</v>
      </c>
      <c r="BL16" s="48">
        <v>4889685.3</v>
      </c>
      <c r="BM16" s="48">
        <v>125682441.56</v>
      </c>
      <c r="BN16" s="48">
        <v>42549705.719999999</v>
      </c>
      <c r="BO16" s="48">
        <v>101369833.77</v>
      </c>
      <c r="BP16" s="48">
        <v>65745550.280000001</v>
      </c>
      <c r="BQ16" s="48">
        <v>109204042.76000001</v>
      </c>
      <c r="BR16" s="48">
        <v>73416010.230000004</v>
      </c>
      <c r="BS16" s="48">
        <v>14011722.24</v>
      </c>
      <c r="BT16" s="48">
        <v>26663959.969999999</v>
      </c>
      <c r="BU16" s="48">
        <v>3614436.26</v>
      </c>
      <c r="BV16" s="48">
        <v>0</v>
      </c>
    </row>
    <row r="17" spans="1:74">
      <c r="A17" s="48" t="s">
        <v>299</v>
      </c>
      <c r="B17" s="48">
        <v>107022.23</v>
      </c>
      <c r="C17" s="48">
        <v>106722.23</v>
      </c>
      <c r="D17" s="48">
        <v>18705.3</v>
      </c>
      <c r="E17" s="48">
        <v>3295447.09</v>
      </c>
      <c r="F17" s="48">
        <v>2467600</v>
      </c>
      <c r="G17" s="48">
        <v>2457600</v>
      </c>
      <c r="H17" s="48">
        <v>1351100</v>
      </c>
      <c r="I17" s="48">
        <v>5600043.7300000004</v>
      </c>
      <c r="J17" s="48">
        <v>5251465.7300000004</v>
      </c>
      <c r="K17" s="48">
        <v>4927285.6399999997</v>
      </c>
      <c r="L17" s="48">
        <v>4716285.6399999997</v>
      </c>
      <c r="M17" s="48">
        <v>96734648.75</v>
      </c>
      <c r="N17" s="48">
        <v>86174108.109999999</v>
      </c>
      <c r="O17" s="48">
        <v>82772701.129999995</v>
      </c>
      <c r="P17" s="48">
        <v>802433.81</v>
      </c>
      <c r="Q17" s="48">
        <v>94986586.040000007</v>
      </c>
      <c r="R17" s="48">
        <v>11811362.74</v>
      </c>
      <c r="S17" s="48">
        <v>8770246.2100000009</v>
      </c>
      <c r="T17" s="48">
        <v>1405004.24</v>
      </c>
      <c r="U17" s="48">
        <v>23413496.690000001</v>
      </c>
      <c r="V17" s="48">
        <v>6178017.9100000001</v>
      </c>
      <c r="W17" s="48">
        <v>5842778.5899999999</v>
      </c>
      <c r="X17" s="48">
        <v>846571.14</v>
      </c>
      <c r="Y17" s="48">
        <v>22232931.359999999</v>
      </c>
      <c r="Z17" s="48">
        <v>77109303.209999993</v>
      </c>
      <c r="AA17" s="48">
        <v>32523194.649999999</v>
      </c>
      <c r="AB17" s="48">
        <v>28588075</v>
      </c>
      <c r="AC17" s="48">
        <v>15598358.300000001</v>
      </c>
      <c r="AD17" s="48">
        <v>9670513.25</v>
      </c>
      <c r="AE17" s="48">
        <v>4023185.12</v>
      </c>
      <c r="AF17" s="48">
        <v>957559.99</v>
      </c>
      <c r="AG17" s="48">
        <v>91689355.269999996</v>
      </c>
      <c r="AH17" s="48">
        <v>21816753.629999999</v>
      </c>
      <c r="AI17" s="48">
        <v>14575555.6</v>
      </c>
      <c r="AJ17" s="48">
        <v>40392350</v>
      </c>
      <c r="AK17" s="48">
        <v>43380552.960000001</v>
      </c>
      <c r="AL17" s="48">
        <v>15083092.1</v>
      </c>
      <c r="AM17" s="48">
        <v>14785914.1</v>
      </c>
      <c r="AN17" s="48">
        <v>551779</v>
      </c>
      <c r="AO17" s="48">
        <v>17318218.550000001</v>
      </c>
      <c r="AP17" s="48">
        <v>4778366.91</v>
      </c>
      <c r="AQ17" s="48">
        <v>617627.93000000005</v>
      </c>
      <c r="AR17" s="48">
        <v>121437</v>
      </c>
      <c r="AS17" s="48">
        <v>4960461.82</v>
      </c>
      <c r="AT17" s="48">
        <v>543776</v>
      </c>
      <c r="AU17" s="48">
        <v>557603.34</v>
      </c>
      <c r="AV17" s="48">
        <v>309913</v>
      </c>
      <c r="AW17" s="48">
        <v>61630536.399999999</v>
      </c>
      <c r="AX17" s="48">
        <v>63966253.140000001</v>
      </c>
      <c r="AY17" s="48">
        <v>63791840.140000001</v>
      </c>
      <c r="AZ17" s="48">
        <v>1842210</v>
      </c>
      <c r="BA17" s="48">
        <v>40651686.079999998</v>
      </c>
      <c r="BB17" s="48">
        <v>10256240</v>
      </c>
      <c r="BC17" s="48">
        <v>517921</v>
      </c>
      <c r="BD17" s="48">
        <v>88000</v>
      </c>
      <c r="BE17" s="48">
        <v>71474742.049999997</v>
      </c>
      <c r="BF17" s="48">
        <v>38868434.75</v>
      </c>
      <c r="BG17" s="48">
        <v>38416702</v>
      </c>
      <c r="BH17" s="48">
        <v>274402</v>
      </c>
      <c r="BI17" s="48">
        <v>41365363.460000001</v>
      </c>
      <c r="BJ17" s="48">
        <v>2491931.35</v>
      </c>
      <c r="BK17" s="48">
        <v>1992514.85</v>
      </c>
      <c r="BL17" s="48">
        <v>1162020.5</v>
      </c>
      <c r="BM17" s="48">
        <v>2987939.02</v>
      </c>
      <c r="BN17" s="48">
        <v>1058594</v>
      </c>
      <c r="BO17" s="48">
        <v>6827460.8499999996</v>
      </c>
      <c r="BP17" s="48">
        <v>261643</v>
      </c>
      <c r="BQ17" s="48">
        <v>1346419</v>
      </c>
      <c r="BR17" s="48">
        <v>481330</v>
      </c>
      <c r="BS17" s="48">
        <v>1785585.16</v>
      </c>
      <c r="BT17" s="48">
        <v>121328</v>
      </c>
      <c r="BU17" s="48">
        <v>1920433.63</v>
      </c>
      <c r="BV17" s="48">
        <v>0</v>
      </c>
    </row>
    <row r="18" spans="1:74">
      <c r="A18" s="48" t="s">
        <v>300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134709287.94</v>
      </c>
      <c r="J18" s="48">
        <v>134717409.28999999</v>
      </c>
      <c r="K18" s="48">
        <v>234709287.94</v>
      </c>
      <c r="L18" s="48">
        <v>0</v>
      </c>
      <c r="M18" s="48">
        <v>0</v>
      </c>
      <c r="N18" s="48">
        <v>17817886.559999999</v>
      </c>
      <c r="O18" s="48">
        <v>17817886.559999999</v>
      </c>
      <c r="P18" s="48">
        <v>29259105.09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4641535.3899999997</v>
      </c>
      <c r="Z18" s="48">
        <v>0</v>
      </c>
      <c r="AA18" s="48">
        <v>1868513.55</v>
      </c>
      <c r="AB18" s="48">
        <v>0</v>
      </c>
      <c r="AC18" s="48">
        <v>129131878.27</v>
      </c>
      <c r="AD18" s="48">
        <v>142540908.24000001</v>
      </c>
      <c r="AE18" s="48">
        <v>0</v>
      </c>
      <c r="AF18" s="48">
        <v>0</v>
      </c>
      <c r="AG18" s="48">
        <v>38933536.32</v>
      </c>
      <c r="AH18" s="48">
        <v>36177645.030000001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3861514.16</v>
      </c>
      <c r="AP18" s="48">
        <v>0</v>
      </c>
      <c r="AQ18" s="48">
        <v>0</v>
      </c>
      <c r="AR18" s="48">
        <v>0</v>
      </c>
      <c r="AS18" s="48">
        <v>5512469.4500000002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</row>
    <row r="19" spans="1:74">
      <c r="A19" s="48" t="s">
        <v>301</v>
      </c>
      <c r="B19" s="48">
        <v>988476222.21000004</v>
      </c>
      <c r="C19" s="48">
        <v>738801222.21000004</v>
      </c>
      <c r="D19" s="48">
        <v>1616950000</v>
      </c>
      <c r="E19" s="48">
        <v>904445000</v>
      </c>
      <c r="F19" s="48">
        <v>330327000</v>
      </c>
      <c r="G19" s="48">
        <v>967537000</v>
      </c>
      <c r="H19" s="48">
        <v>16660000</v>
      </c>
      <c r="I19" s="48">
        <v>513336360.42000002</v>
      </c>
      <c r="J19" s="48">
        <v>218080260.41999999</v>
      </c>
      <c r="K19" s="48">
        <v>315944000</v>
      </c>
      <c r="L19" s="48">
        <v>21300000</v>
      </c>
      <c r="M19" s="48">
        <v>275516854.72000003</v>
      </c>
      <c r="N19" s="48">
        <v>90405520.609999999</v>
      </c>
      <c r="O19" s="48">
        <v>4950000</v>
      </c>
      <c r="P19" s="48">
        <v>0</v>
      </c>
      <c r="Q19" s="48">
        <v>108150000</v>
      </c>
      <c r="R19" s="48">
        <v>90000000</v>
      </c>
      <c r="S19" s="48">
        <v>94950000</v>
      </c>
      <c r="T19" s="48">
        <v>90000000</v>
      </c>
      <c r="U19" s="48">
        <v>173487926</v>
      </c>
      <c r="V19" s="48">
        <v>208079235.61000001</v>
      </c>
      <c r="W19" s="48">
        <v>160250000</v>
      </c>
      <c r="X19" s="48">
        <v>0</v>
      </c>
      <c r="Y19" s="48">
        <v>343475000</v>
      </c>
      <c r="Z19" s="48">
        <v>0</v>
      </c>
      <c r="AA19" s="48">
        <v>0</v>
      </c>
      <c r="AB19" s="48">
        <v>0</v>
      </c>
      <c r="AC19" s="48">
        <v>12875000</v>
      </c>
      <c r="AD19" s="48">
        <v>0</v>
      </c>
      <c r="AE19" s="48">
        <v>0</v>
      </c>
      <c r="AF19" s="48">
        <v>0</v>
      </c>
      <c r="AG19" s="48">
        <v>20350000</v>
      </c>
      <c r="AH19" s="48">
        <v>64188321.219999999</v>
      </c>
      <c r="AI19" s="48">
        <v>73733586.170000002</v>
      </c>
      <c r="AJ19" s="48">
        <v>8000000</v>
      </c>
      <c r="AK19" s="48">
        <v>33430000</v>
      </c>
      <c r="AL19" s="48">
        <v>58485128.350000001</v>
      </c>
      <c r="AM19" s="48">
        <v>0</v>
      </c>
      <c r="AN19" s="48">
        <v>0</v>
      </c>
      <c r="AO19" s="48">
        <v>18810000</v>
      </c>
      <c r="AP19" s="48">
        <v>75547.41</v>
      </c>
      <c r="AQ19" s="48">
        <v>0</v>
      </c>
      <c r="AR19" s="48">
        <v>0</v>
      </c>
      <c r="AS19" s="48">
        <v>11250000</v>
      </c>
      <c r="AT19" s="48">
        <v>0</v>
      </c>
      <c r="AU19" s="48">
        <v>5625000</v>
      </c>
      <c r="AV19" s="48">
        <v>0</v>
      </c>
      <c r="AW19" s="48">
        <v>47892803.259999998</v>
      </c>
      <c r="AX19" s="48">
        <v>0</v>
      </c>
      <c r="AY19" s="48">
        <v>0</v>
      </c>
      <c r="AZ19" s="48">
        <v>240000</v>
      </c>
      <c r="BA19" s="48">
        <v>16685655.039999999</v>
      </c>
      <c r="BB19" s="48">
        <v>0</v>
      </c>
      <c r="BC19" s="48">
        <v>0</v>
      </c>
      <c r="BD19" s="48">
        <v>284000</v>
      </c>
      <c r="BE19" s="48">
        <v>0</v>
      </c>
      <c r="BF19" s="48">
        <v>2641281.7000000002</v>
      </c>
      <c r="BG19" s="48">
        <v>105500</v>
      </c>
      <c r="BH19" s="48">
        <v>0</v>
      </c>
      <c r="BI19" s="48">
        <v>35282482.530000001</v>
      </c>
      <c r="BJ19" s="48">
        <v>28383822.43</v>
      </c>
      <c r="BK19" s="48">
        <v>0</v>
      </c>
      <c r="BL19" s="48">
        <v>0</v>
      </c>
      <c r="BM19" s="48">
        <v>69338983.060000002</v>
      </c>
      <c r="BN19" s="48">
        <v>32469097.309999999</v>
      </c>
      <c r="BO19" s="48">
        <v>0</v>
      </c>
      <c r="BP19" s="48">
        <v>185600.1</v>
      </c>
      <c r="BQ19" s="48">
        <v>3987156.06</v>
      </c>
      <c r="BR19" s="48">
        <v>0</v>
      </c>
      <c r="BS19" s="48">
        <v>0</v>
      </c>
      <c r="BT19" s="48">
        <v>0</v>
      </c>
      <c r="BU19" s="48">
        <v>1967222364.01</v>
      </c>
      <c r="BV19" s="48">
        <v>0</v>
      </c>
    </row>
    <row r="20" spans="1:74">
      <c r="A20" s="48" t="s">
        <v>302</v>
      </c>
      <c r="B20" s="48">
        <v>1093562992.73</v>
      </c>
      <c r="C20" s="48">
        <v>832260408.13999999</v>
      </c>
      <c r="D20" s="48">
        <v>1633714705.3</v>
      </c>
      <c r="E20" s="48">
        <v>1146755446.53</v>
      </c>
      <c r="F20" s="48">
        <v>474501680.01999998</v>
      </c>
      <c r="G20" s="48">
        <v>1053191051.4299999</v>
      </c>
      <c r="H20" s="48">
        <v>61202086.229999997</v>
      </c>
      <c r="I20" s="48">
        <v>1144766623.9400001</v>
      </c>
      <c r="J20" s="48">
        <v>538470024.45000005</v>
      </c>
      <c r="K20" s="48">
        <v>617087506.38999999</v>
      </c>
      <c r="L20" s="48">
        <v>67416209.879999995</v>
      </c>
      <c r="M20" s="48">
        <v>618777197.90999997</v>
      </c>
      <c r="N20" s="48">
        <v>247035739.18000001</v>
      </c>
      <c r="O20" s="48">
        <v>158758170.38</v>
      </c>
      <c r="P20" s="48">
        <v>30229538.899999999</v>
      </c>
      <c r="Q20" s="48">
        <v>532457758.63</v>
      </c>
      <c r="R20" s="48">
        <v>353521303.12</v>
      </c>
      <c r="S20" s="48">
        <v>212089383.65000001</v>
      </c>
      <c r="T20" s="48">
        <v>139540439.40000001</v>
      </c>
      <c r="U20" s="48">
        <v>421190367.81999999</v>
      </c>
      <c r="V20" s="48">
        <v>251210826.77000001</v>
      </c>
      <c r="W20" s="48">
        <v>197775405.68000001</v>
      </c>
      <c r="X20" s="48">
        <v>6032179.6500000004</v>
      </c>
      <c r="Y20" s="48">
        <v>747146926.75</v>
      </c>
      <c r="Z20" s="48">
        <v>369342838.08999997</v>
      </c>
      <c r="AA20" s="48">
        <v>253895213.61000001</v>
      </c>
      <c r="AB20" s="48">
        <v>66764342.049999997</v>
      </c>
      <c r="AC20" s="48">
        <v>324752350.93000001</v>
      </c>
      <c r="AD20" s="48">
        <v>208407460.22</v>
      </c>
      <c r="AE20" s="48">
        <v>20341551.120000001</v>
      </c>
      <c r="AF20" s="48">
        <v>5957559.9900000002</v>
      </c>
      <c r="AG20" s="48">
        <v>330789343.36000001</v>
      </c>
      <c r="AH20" s="48">
        <v>227105958.09</v>
      </c>
      <c r="AI20" s="48">
        <v>123875140.68000001</v>
      </c>
      <c r="AJ20" s="48">
        <v>60231130.649999999</v>
      </c>
      <c r="AK20" s="48">
        <v>546886308.09000003</v>
      </c>
      <c r="AL20" s="48">
        <v>441207161.64999998</v>
      </c>
      <c r="AM20" s="48">
        <v>314054719.32999998</v>
      </c>
      <c r="AN20" s="48">
        <v>230482719.88</v>
      </c>
      <c r="AO20" s="48">
        <v>270624614.20999998</v>
      </c>
      <c r="AP20" s="48">
        <v>194916147.13</v>
      </c>
      <c r="AQ20" s="48">
        <v>87273206.680000007</v>
      </c>
      <c r="AR20" s="48">
        <v>10901567.18</v>
      </c>
      <c r="AS20" s="48">
        <v>245053345.66999999</v>
      </c>
      <c r="AT20" s="48">
        <v>73053432.939999998</v>
      </c>
      <c r="AU20" s="48">
        <v>35711626.789999999</v>
      </c>
      <c r="AV20" s="48">
        <v>13554611.449999999</v>
      </c>
      <c r="AW20" s="48">
        <v>659763965.49000001</v>
      </c>
      <c r="AX20" s="48">
        <v>519160841.26999998</v>
      </c>
      <c r="AY20" s="48">
        <v>234258627.94</v>
      </c>
      <c r="AZ20" s="48">
        <v>88232637.980000004</v>
      </c>
      <c r="BA20" s="48">
        <v>214728245.77000001</v>
      </c>
      <c r="BB20" s="48">
        <v>126949248.8</v>
      </c>
      <c r="BC20" s="48">
        <v>100910606</v>
      </c>
      <c r="BD20" s="48">
        <v>38807481.119999997</v>
      </c>
      <c r="BE20" s="48">
        <v>166986283.66999999</v>
      </c>
      <c r="BF20" s="48">
        <v>120768421.67</v>
      </c>
      <c r="BG20" s="48">
        <v>57711021.43</v>
      </c>
      <c r="BH20" s="48">
        <v>6034035.5999999996</v>
      </c>
      <c r="BI20" s="48">
        <v>340777983.79000002</v>
      </c>
      <c r="BJ20" s="48">
        <v>165247010.03999999</v>
      </c>
      <c r="BK20" s="48">
        <v>165279554.62</v>
      </c>
      <c r="BL20" s="48">
        <v>6051705.7999999998</v>
      </c>
      <c r="BM20" s="48">
        <v>200775554.63999999</v>
      </c>
      <c r="BN20" s="48">
        <v>76477197.030000001</v>
      </c>
      <c r="BO20" s="48">
        <v>108967294.62</v>
      </c>
      <c r="BP20" s="48">
        <v>66962793.380000003</v>
      </c>
      <c r="BQ20" s="48">
        <v>536240303.05000001</v>
      </c>
      <c r="BR20" s="48">
        <v>274317620.23000002</v>
      </c>
      <c r="BS20" s="48">
        <v>269247165.89999998</v>
      </c>
      <c r="BT20" s="48">
        <v>26785287.969999999</v>
      </c>
      <c r="BU20" s="48">
        <v>2054806660.8399999</v>
      </c>
      <c r="BV20" s="48">
        <v>0</v>
      </c>
    </row>
    <row r="21" spans="1:74">
      <c r="A21" s="48" t="s">
        <v>303</v>
      </c>
      <c r="B21" s="48">
        <v>194787493.34</v>
      </c>
      <c r="C21" s="48">
        <v>124779699.81999999</v>
      </c>
      <c r="D21" s="48">
        <v>69487989.120000005</v>
      </c>
      <c r="E21" s="48">
        <v>170487002.40000001</v>
      </c>
      <c r="F21" s="48">
        <v>106370490.7</v>
      </c>
      <c r="G21" s="48">
        <v>75033359.260000005</v>
      </c>
      <c r="H21" s="48">
        <v>26341863.579999998</v>
      </c>
      <c r="I21" s="48">
        <v>500609308.82999998</v>
      </c>
      <c r="J21" s="48">
        <v>506053651.13</v>
      </c>
      <c r="K21" s="48">
        <v>467892105.51999998</v>
      </c>
      <c r="L21" s="48">
        <v>331928681.10000002</v>
      </c>
      <c r="M21" s="48">
        <v>382726741.54000002</v>
      </c>
      <c r="N21" s="48">
        <v>235688552.78</v>
      </c>
      <c r="O21" s="48">
        <v>175824016.66999999</v>
      </c>
      <c r="P21" s="48">
        <v>91439220.260000005</v>
      </c>
      <c r="Q21" s="48">
        <v>478732141.14999998</v>
      </c>
      <c r="R21" s="48">
        <v>301442605.58999997</v>
      </c>
      <c r="S21" s="48">
        <v>141598042.44</v>
      </c>
      <c r="T21" s="48">
        <v>73014905.510000005</v>
      </c>
      <c r="U21" s="48">
        <v>338010590.17000002</v>
      </c>
      <c r="V21" s="48">
        <v>204949931.97999999</v>
      </c>
      <c r="W21" s="48">
        <v>144699280.11000001</v>
      </c>
      <c r="X21" s="48">
        <v>65920338.539999999</v>
      </c>
      <c r="Y21" s="48">
        <v>509898004.13999999</v>
      </c>
      <c r="Z21" s="48">
        <v>176057238.34</v>
      </c>
      <c r="AA21" s="48">
        <v>154938344.13999999</v>
      </c>
      <c r="AB21" s="48">
        <v>56666351.909999996</v>
      </c>
      <c r="AC21" s="48">
        <v>186359526.97999999</v>
      </c>
      <c r="AD21" s="48">
        <v>123961273.81</v>
      </c>
      <c r="AE21" s="48">
        <v>93124807.310000002</v>
      </c>
      <c r="AF21" s="48">
        <v>55242032.75</v>
      </c>
      <c r="AG21" s="48">
        <v>291699748.41000003</v>
      </c>
      <c r="AH21" s="48">
        <v>231005153.43000001</v>
      </c>
      <c r="AI21" s="48">
        <v>143855996.90000001</v>
      </c>
      <c r="AJ21" s="48">
        <v>72247652.370000005</v>
      </c>
      <c r="AK21" s="48">
        <v>204457321.28999999</v>
      </c>
      <c r="AL21" s="48">
        <v>151200628.47</v>
      </c>
      <c r="AM21" s="48">
        <v>111639208</v>
      </c>
      <c r="AN21" s="48">
        <v>62593595.009999998</v>
      </c>
      <c r="AO21" s="48">
        <v>345652483.20999998</v>
      </c>
      <c r="AP21" s="48">
        <v>199681821.16999999</v>
      </c>
      <c r="AQ21" s="48">
        <v>139663042.84999999</v>
      </c>
      <c r="AR21" s="48">
        <v>88049770.170000002</v>
      </c>
      <c r="AS21" s="48">
        <v>203188800.21000001</v>
      </c>
      <c r="AT21" s="48">
        <v>136073823.53999999</v>
      </c>
      <c r="AU21" s="48">
        <v>69585030.430000007</v>
      </c>
      <c r="AV21" s="48">
        <v>30403694.079999998</v>
      </c>
      <c r="AW21" s="48">
        <v>160167896.80000001</v>
      </c>
      <c r="AX21" s="48">
        <v>123603970.64</v>
      </c>
      <c r="AY21" s="48">
        <v>79998360.459999993</v>
      </c>
      <c r="AZ21" s="48">
        <v>41913112.189999998</v>
      </c>
      <c r="BA21" s="48">
        <v>195376724.21000001</v>
      </c>
      <c r="BB21" s="48">
        <v>136856093.28999999</v>
      </c>
      <c r="BC21" s="48">
        <v>109754391.25</v>
      </c>
      <c r="BD21" s="48">
        <v>11621109.43</v>
      </c>
      <c r="BE21" s="48">
        <v>179871623.03999999</v>
      </c>
      <c r="BF21" s="48">
        <v>60186089.049999997</v>
      </c>
      <c r="BG21" s="48">
        <v>35360561.850000001</v>
      </c>
      <c r="BH21" s="48">
        <v>22426882.170000002</v>
      </c>
      <c r="BI21" s="48">
        <v>238481768.24000001</v>
      </c>
      <c r="BJ21" s="48">
        <v>76763229.650000006</v>
      </c>
      <c r="BK21" s="48">
        <v>62749809.329999998</v>
      </c>
      <c r="BL21" s="48">
        <v>15069822.77</v>
      </c>
      <c r="BM21" s="48">
        <v>104045321.84</v>
      </c>
      <c r="BN21" s="48">
        <v>21510169.949999999</v>
      </c>
      <c r="BO21" s="48">
        <v>58085745.119999997</v>
      </c>
      <c r="BP21" s="48">
        <v>18871331.609999999</v>
      </c>
      <c r="BQ21" s="48">
        <v>107928539.29000001</v>
      </c>
      <c r="BR21" s="48">
        <v>41474775.710000001</v>
      </c>
      <c r="BS21" s="48">
        <v>77554299.430000007</v>
      </c>
      <c r="BT21" s="48">
        <v>5948169.1900000004</v>
      </c>
      <c r="BU21" s="48">
        <v>1672351.66</v>
      </c>
      <c r="BV21" s="48">
        <v>0</v>
      </c>
    </row>
    <row r="22" spans="1:74">
      <c r="A22" s="48" t="s">
        <v>304</v>
      </c>
      <c r="B22" s="48">
        <v>0</v>
      </c>
      <c r="C22" s="48">
        <v>0</v>
      </c>
      <c r="D22" s="48">
        <v>0</v>
      </c>
      <c r="E22" s="48">
        <v>22767200</v>
      </c>
      <c r="F22" s="48">
        <v>0</v>
      </c>
      <c r="G22" s="48">
        <v>0</v>
      </c>
      <c r="H22" s="48">
        <v>0</v>
      </c>
      <c r="I22" s="48">
        <v>40013760</v>
      </c>
      <c r="J22" s="48">
        <v>40013760</v>
      </c>
      <c r="K22" s="48">
        <v>21638760</v>
      </c>
      <c r="L22" s="48">
        <v>21638760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6060916</v>
      </c>
      <c r="V22" s="48">
        <v>23146876</v>
      </c>
      <c r="W22" s="48">
        <v>4000000</v>
      </c>
      <c r="X22" s="48">
        <v>0</v>
      </c>
      <c r="Y22" s="48">
        <v>621095392</v>
      </c>
      <c r="Z22" s="48">
        <v>50035392</v>
      </c>
      <c r="AA22" s="48">
        <v>24934140</v>
      </c>
      <c r="AB22" s="48">
        <v>24934140</v>
      </c>
      <c r="AC22" s="48">
        <v>178886363.59999999</v>
      </c>
      <c r="AD22" s="48">
        <v>145513067.59999999</v>
      </c>
      <c r="AE22" s="48">
        <v>145513067.59999999</v>
      </c>
      <c r="AF22" s="48">
        <v>0</v>
      </c>
      <c r="AG22" s="48">
        <v>1065249</v>
      </c>
      <c r="AH22" s="48">
        <v>1065249</v>
      </c>
      <c r="AI22" s="48">
        <v>1065249</v>
      </c>
      <c r="AJ22" s="48">
        <v>0</v>
      </c>
      <c r="AK22" s="48">
        <v>48600448.390000001</v>
      </c>
      <c r="AL22" s="48">
        <v>332318527.56</v>
      </c>
      <c r="AM22" s="48">
        <v>135300612.93000001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233337646.5</v>
      </c>
      <c r="AT22" s="48">
        <v>236246014.47999999</v>
      </c>
      <c r="AU22" s="48">
        <v>0</v>
      </c>
      <c r="AV22" s="48">
        <v>0</v>
      </c>
      <c r="AW22" s="48">
        <v>459535927.75</v>
      </c>
      <c r="AX22" s="48">
        <v>194245268.24000001</v>
      </c>
      <c r="AY22" s="48">
        <v>50479268.240000002</v>
      </c>
      <c r="AZ22" s="48">
        <v>0</v>
      </c>
      <c r="BA22" s="48">
        <v>20471041.780000001</v>
      </c>
      <c r="BB22" s="48">
        <v>14071041.779999999</v>
      </c>
      <c r="BC22" s="48">
        <v>14071041.779999999</v>
      </c>
      <c r="BD22" s="48">
        <v>0</v>
      </c>
      <c r="BE22" s="48">
        <v>188048678.69</v>
      </c>
      <c r="BF22" s="48">
        <v>161945142</v>
      </c>
      <c r="BG22" s="48">
        <v>0</v>
      </c>
      <c r="BH22" s="48">
        <v>0</v>
      </c>
      <c r="BI22" s="48">
        <v>63797217</v>
      </c>
      <c r="BJ22" s="48">
        <v>63797217</v>
      </c>
      <c r="BK22" s="48">
        <v>33000000</v>
      </c>
      <c r="BL22" s="48">
        <v>0</v>
      </c>
      <c r="BM22" s="48">
        <v>14550000</v>
      </c>
      <c r="BN22" s="48">
        <v>1833035.57</v>
      </c>
      <c r="BO22" s="48">
        <v>344618028</v>
      </c>
      <c r="BP22" s="48">
        <v>160456190</v>
      </c>
      <c r="BQ22" s="48">
        <v>58479259.020000003</v>
      </c>
      <c r="BR22" s="48">
        <v>261740000</v>
      </c>
      <c r="BS22" s="48">
        <v>1862251764.1800001</v>
      </c>
      <c r="BT22" s="48">
        <v>0</v>
      </c>
      <c r="BU22" s="48">
        <v>110863264.86</v>
      </c>
      <c r="BV22" s="48">
        <v>0</v>
      </c>
    </row>
    <row r="23" spans="1:74">
      <c r="A23" s="48" t="s">
        <v>305</v>
      </c>
      <c r="B23" s="48">
        <v>0</v>
      </c>
      <c r="C23" s="48"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64294076.009999998</v>
      </c>
      <c r="N23" s="48">
        <v>0</v>
      </c>
      <c r="O23" s="48">
        <v>0</v>
      </c>
      <c r="P23" s="48">
        <v>0</v>
      </c>
      <c r="Q23" s="48">
        <v>2406835.14</v>
      </c>
      <c r="R23" s="48">
        <v>0</v>
      </c>
      <c r="S23" s="48">
        <v>0</v>
      </c>
      <c r="T23" s="48">
        <v>0</v>
      </c>
      <c r="U23" s="48">
        <v>61910349.130000003</v>
      </c>
      <c r="V23" s="48">
        <v>67399978.109999999</v>
      </c>
      <c r="W23" s="48">
        <v>60105353.490000002</v>
      </c>
      <c r="X23" s="48">
        <v>0</v>
      </c>
      <c r="Y23" s="48">
        <v>97835647.530000001</v>
      </c>
      <c r="Z23" s="48">
        <v>571060000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227256611.59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231337646.5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</row>
    <row r="24" spans="1:74">
      <c r="A24" s="48" t="s">
        <v>306</v>
      </c>
      <c r="B24" s="48">
        <v>0</v>
      </c>
      <c r="C24" s="48">
        <v>0</v>
      </c>
      <c r="D24" s="48">
        <v>0</v>
      </c>
      <c r="E24" s="48">
        <v>1474225.45</v>
      </c>
      <c r="F24" s="48">
        <v>1475237.66</v>
      </c>
      <c r="G24" s="48">
        <v>1213448.54</v>
      </c>
      <c r="H24" s="48">
        <v>975128.15</v>
      </c>
      <c r="I24" s="48">
        <v>5179041.67</v>
      </c>
      <c r="J24" s="48">
        <v>11137148.17</v>
      </c>
      <c r="K24" s="48">
        <v>8352006.9000000004</v>
      </c>
      <c r="L24" s="48">
        <v>7768434.7999999998</v>
      </c>
      <c r="M24" s="48">
        <v>231431929.33000001</v>
      </c>
      <c r="N24" s="48">
        <v>21111580.920000002</v>
      </c>
      <c r="O24" s="48">
        <v>28784328.739999998</v>
      </c>
      <c r="P24" s="48">
        <v>5733039.4199999999</v>
      </c>
      <c r="Q24" s="48">
        <v>41080704.850000001</v>
      </c>
      <c r="R24" s="48">
        <v>35039632.200000003</v>
      </c>
      <c r="S24" s="48">
        <v>40307244.740000002</v>
      </c>
      <c r="T24" s="48">
        <v>21595005.43</v>
      </c>
      <c r="U24" s="48">
        <v>53974383.460000001</v>
      </c>
      <c r="V24" s="48">
        <v>0</v>
      </c>
      <c r="W24" s="48">
        <v>0</v>
      </c>
      <c r="X24" s="48">
        <v>0</v>
      </c>
      <c r="Y24" s="48">
        <v>57405890.890000001</v>
      </c>
      <c r="Z24" s="48">
        <v>0</v>
      </c>
      <c r="AA24" s="48">
        <v>84921533.810000002</v>
      </c>
      <c r="AB24" s="48">
        <v>88897015.629999995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50000000</v>
      </c>
      <c r="AL24" s="48">
        <v>0</v>
      </c>
      <c r="AM24" s="48">
        <v>0</v>
      </c>
      <c r="AN24" s="48">
        <v>0</v>
      </c>
      <c r="AO24" s="48">
        <v>0</v>
      </c>
      <c r="AP24" s="48">
        <v>5411415.5800000001</v>
      </c>
      <c r="AQ24" s="48">
        <v>3640710.51</v>
      </c>
      <c r="AR24" s="48">
        <v>6587674.6600000001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1735400.19</v>
      </c>
      <c r="AY24" s="48">
        <v>0</v>
      </c>
      <c r="AZ24" s="48">
        <v>4881010.03</v>
      </c>
      <c r="BA24" s="48">
        <v>0</v>
      </c>
      <c r="BB24" s="48">
        <v>0</v>
      </c>
      <c r="BC24" s="48">
        <v>0</v>
      </c>
      <c r="BD24" s="48">
        <v>0</v>
      </c>
      <c r="BE24" s="48">
        <v>48186224.600000001</v>
      </c>
      <c r="BF24" s="48">
        <v>14000</v>
      </c>
      <c r="BG24" s="48">
        <v>0</v>
      </c>
      <c r="BH24" s="48">
        <v>0</v>
      </c>
      <c r="BI24" s="48">
        <v>199600.81</v>
      </c>
      <c r="BJ24" s="48">
        <v>3000000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17295810</v>
      </c>
      <c r="BQ24" s="48">
        <v>403031484</v>
      </c>
      <c r="BR24" s="48">
        <v>0</v>
      </c>
      <c r="BS24" s="48">
        <v>0</v>
      </c>
      <c r="BT24" s="48">
        <v>2610000</v>
      </c>
      <c r="BU24" s="48">
        <v>1321259.9099999999</v>
      </c>
      <c r="BV24" s="48">
        <v>0</v>
      </c>
    </row>
    <row r="25" spans="1:74">
      <c r="A25" s="48" t="s">
        <v>307</v>
      </c>
      <c r="B25" s="48">
        <v>194787493.34</v>
      </c>
      <c r="C25" s="48">
        <v>124779699.81999999</v>
      </c>
      <c r="D25" s="48">
        <v>69487989.120000005</v>
      </c>
      <c r="E25" s="48">
        <v>194728427.84999999</v>
      </c>
      <c r="F25" s="48">
        <v>107845728.36</v>
      </c>
      <c r="G25" s="48">
        <v>76246807.799999997</v>
      </c>
      <c r="H25" s="48">
        <v>27316991.73</v>
      </c>
      <c r="I25" s="48">
        <v>545802110.5</v>
      </c>
      <c r="J25" s="48">
        <v>557204559.29999995</v>
      </c>
      <c r="K25" s="48">
        <v>497882872.42000002</v>
      </c>
      <c r="L25" s="48">
        <v>361335875.89999998</v>
      </c>
      <c r="M25" s="48">
        <v>678452746.88</v>
      </c>
      <c r="N25" s="48">
        <v>256800133.69999999</v>
      </c>
      <c r="O25" s="48">
        <v>204608345.41</v>
      </c>
      <c r="P25" s="48">
        <v>97172259.680000007</v>
      </c>
      <c r="Q25" s="48">
        <v>522219681.13999999</v>
      </c>
      <c r="R25" s="48">
        <v>336482237.79000002</v>
      </c>
      <c r="S25" s="48">
        <v>181905287.18000001</v>
      </c>
      <c r="T25" s="48">
        <v>94609910.939999998</v>
      </c>
      <c r="U25" s="48">
        <v>459956238.75999999</v>
      </c>
      <c r="V25" s="48">
        <v>295496786.08999997</v>
      </c>
      <c r="W25" s="48">
        <v>208804633.59999999</v>
      </c>
      <c r="X25" s="48">
        <v>65920338.539999999</v>
      </c>
      <c r="Y25" s="48">
        <v>1286234934.5599999</v>
      </c>
      <c r="Z25" s="48">
        <v>797152630.34000003</v>
      </c>
      <c r="AA25" s="48">
        <v>264794017.94999999</v>
      </c>
      <c r="AB25" s="48">
        <v>170497507.53999999</v>
      </c>
      <c r="AC25" s="48">
        <v>365245890.57999998</v>
      </c>
      <c r="AD25" s="48">
        <v>269474341.41000003</v>
      </c>
      <c r="AE25" s="48">
        <v>238637874.91</v>
      </c>
      <c r="AF25" s="48">
        <v>55242032.75</v>
      </c>
      <c r="AG25" s="48">
        <v>292764997.41000003</v>
      </c>
      <c r="AH25" s="48">
        <v>232070402.43000001</v>
      </c>
      <c r="AI25" s="48">
        <v>144921245.90000001</v>
      </c>
      <c r="AJ25" s="48">
        <v>72247652.370000005</v>
      </c>
      <c r="AK25" s="48">
        <v>530314381.26999998</v>
      </c>
      <c r="AL25" s="48">
        <v>483519156.02999997</v>
      </c>
      <c r="AM25" s="48">
        <v>246939820.93000001</v>
      </c>
      <c r="AN25" s="48">
        <v>62593595.009999998</v>
      </c>
      <c r="AO25" s="48">
        <v>345652483.20999998</v>
      </c>
      <c r="AP25" s="48">
        <v>205093236.75</v>
      </c>
      <c r="AQ25" s="48">
        <v>143303753.36000001</v>
      </c>
      <c r="AR25" s="48">
        <v>94637444.829999998</v>
      </c>
      <c r="AS25" s="48">
        <v>436526446.70999998</v>
      </c>
      <c r="AT25" s="48">
        <v>372319838.01999998</v>
      </c>
      <c r="AU25" s="48">
        <v>300922676.93000001</v>
      </c>
      <c r="AV25" s="48">
        <v>30403694.079999998</v>
      </c>
      <c r="AW25" s="48">
        <v>619703824.54999995</v>
      </c>
      <c r="AX25" s="48">
        <v>319584639.06999999</v>
      </c>
      <c r="AY25" s="48">
        <v>130477628.7</v>
      </c>
      <c r="AZ25" s="48">
        <v>46794122.219999999</v>
      </c>
      <c r="BA25" s="48">
        <v>215847765.99000001</v>
      </c>
      <c r="BB25" s="48">
        <v>150927135.06999999</v>
      </c>
      <c r="BC25" s="48">
        <v>123825433.03</v>
      </c>
      <c r="BD25" s="48">
        <v>11621109.43</v>
      </c>
      <c r="BE25" s="48">
        <v>416106526.32999998</v>
      </c>
      <c r="BF25" s="48">
        <v>222145231.05000001</v>
      </c>
      <c r="BG25" s="48">
        <v>35360561.850000001</v>
      </c>
      <c r="BH25" s="48">
        <v>22426882.170000002</v>
      </c>
      <c r="BI25" s="48">
        <v>302478586.05000001</v>
      </c>
      <c r="BJ25" s="48">
        <v>143560446.65000001</v>
      </c>
      <c r="BK25" s="48">
        <v>95749809.329999998</v>
      </c>
      <c r="BL25" s="48">
        <v>15069822.77</v>
      </c>
      <c r="BM25" s="48">
        <v>118595321.84</v>
      </c>
      <c r="BN25" s="48">
        <v>23343205.52</v>
      </c>
      <c r="BO25" s="48">
        <v>402703773.12</v>
      </c>
      <c r="BP25" s="48">
        <v>196623331.61000001</v>
      </c>
      <c r="BQ25" s="48">
        <v>569439282.30999994</v>
      </c>
      <c r="BR25" s="48">
        <v>303214775.70999998</v>
      </c>
      <c r="BS25" s="48">
        <v>1008680181.52</v>
      </c>
      <c r="BT25" s="48">
        <v>8558169.1899999995</v>
      </c>
      <c r="BU25" s="48">
        <v>58425244</v>
      </c>
      <c r="BV25" s="48">
        <v>0</v>
      </c>
    </row>
    <row r="26" spans="1:74">
      <c r="A26" s="48" t="s">
        <v>308</v>
      </c>
      <c r="B26" s="48">
        <v>898775499.38999999</v>
      </c>
      <c r="C26" s="48">
        <v>707480708.32000005</v>
      </c>
      <c r="D26" s="48">
        <v>1564226716.1800001</v>
      </c>
      <c r="E26" s="48">
        <v>952027018.67999995</v>
      </c>
      <c r="F26" s="48">
        <v>366655951.66000003</v>
      </c>
      <c r="G26" s="48">
        <v>976944243.63</v>
      </c>
      <c r="H26" s="48">
        <v>33885094.5</v>
      </c>
      <c r="I26" s="48">
        <v>598964513.44000006</v>
      </c>
      <c r="J26" s="48">
        <v>-18734534.850000001</v>
      </c>
      <c r="K26" s="48">
        <v>119204633.97</v>
      </c>
      <c r="L26" s="48">
        <v>-293919666.01999998</v>
      </c>
      <c r="M26" s="48">
        <v>-59675548.969999999</v>
      </c>
      <c r="N26" s="48">
        <v>-9764394.5199999996</v>
      </c>
      <c r="O26" s="48">
        <v>-45850175.030000001</v>
      </c>
      <c r="P26" s="48">
        <v>-66942720.780000001</v>
      </c>
      <c r="Q26" s="48">
        <v>10238077.49</v>
      </c>
      <c r="R26" s="48">
        <v>17039065.329999998</v>
      </c>
      <c r="S26" s="48">
        <v>30184096.469999999</v>
      </c>
      <c r="T26" s="48">
        <v>44930528.460000001</v>
      </c>
      <c r="U26" s="48">
        <v>-38765870.939999998</v>
      </c>
      <c r="V26" s="48">
        <v>-44285959.32</v>
      </c>
      <c r="W26" s="48">
        <v>-11029227.92</v>
      </c>
      <c r="X26" s="48">
        <v>-59888158.890000001</v>
      </c>
      <c r="Y26" s="48">
        <v>-539088007.80999994</v>
      </c>
      <c r="Z26" s="48">
        <v>-427809792.25</v>
      </c>
      <c r="AA26" s="48">
        <v>-10898804.34</v>
      </c>
      <c r="AB26" s="48">
        <v>-103733165.48999999</v>
      </c>
      <c r="AC26" s="48">
        <v>-40493539.649999999</v>
      </c>
      <c r="AD26" s="48">
        <v>-61066881.189999998</v>
      </c>
      <c r="AE26" s="48">
        <v>-218296323.78999999</v>
      </c>
      <c r="AF26" s="48">
        <v>-49284472.759999998</v>
      </c>
      <c r="AG26" s="48">
        <v>38024345.950000003</v>
      </c>
      <c r="AH26" s="48">
        <v>-4964444.34</v>
      </c>
      <c r="AI26" s="48">
        <v>-21046105.219999999</v>
      </c>
      <c r="AJ26" s="48">
        <v>-12016521.720000001</v>
      </c>
      <c r="AK26" s="48">
        <v>16571926.82</v>
      </c>
      <c r="AL26" s="48">
        <v>-42311994.380000003</v>
      </c>
      <c r="AM26" s="48">
        <v>67114898.400000006</v>
      </c>
      <c r="AN26" s="48">
        <v>167889124.87</v>
      </c>
      <c r="AO26" s="48">
        <v>-75027869</v>
      </c>
      <c r="AP26" s="48">
        <v>-10177089.619999999</v>
      </c>
      <c r="AQ26" s="48">
        <v>-56030546.68</v>
      </c>
      <c r="AR26" s="48">
        <v>-83735877.650000006</v>
      </c>
      <c r="AS26" s="48">
        <v>-191473101.03999999</v>
      </c>
      <c r="AT26" s="48">
        <v>-299266405.07999998</v>
      </c>
      <c r="AU26" s="48">
        <v>-265211050.13999999</v>
      </c>
      <c r="AV26" s="48">
        <v>-16849082.629999999</v>
      </c>
      <c r="AW26" s="48">
        <v>40060140.939999998</v>
      </c>
      <c r="AX26" s="48">
        <v>199576202.19999999</v>
      </c>
      <c r="AY26" s="48">
        <v>103780999.23999999</v>
      </c>
      <c r="AZ26" s="48">
        <v>41438515.759999998</v>
      </c>
      <c r="BA26" s="48">
        <v>-1119520.22</v>
      </c>
      <c r="BB26" s="48">
        <v>-23977886.27</v>
      </c>
      <c r="BC26" s="48">
        <v>-22914827.030000001</v>
      </c>
      <c r="BD26" s="48">
        <v>27186371.690000001</v>
      </c>
      <c r="BE26" s="48">
        <v>-249120242.66</v>
      </c>
      <c r="BF26" s="48">
        <v>-101376809.38</v>
      </c>
      <c r="BG26" s="48">
        <v>22350459.579999998</v>
      </c>
      <c r="BH26" s="48">
        <v>-16392846.57</v>
      </c>
      <c r="BI26" s="48">
        <v>38299397.740000002</v>
      </c>
      <c r="BJ26" s="48">
        <v>21686563.390000001</v>
      </c>
      <c r="BK26" s="48">
        <v>69529745.290000007</v>
      </c>
      <c r="BL26" s="48">
        <v>-9018116.9700000007</v>
      </c>
      <c r="BM26" s="48">
        <v>82180232.799999997</v>
      </c>
      <c r="BN26" s="48">
        <v>53133991.509999998</v>
      </c>
      <c r="BO26" s="48">
        <v>-293736478.5</v>
      </c>
      <c r="BP26" s="48">
        <v>-129660538.23</v>
      </c>
      <c r="BQ26" s="48">
        <v>-33198979.260000002</v>
      </c>
      <c r="BR26" s="48">
        <v>-28897155.48</v>
      </c>
      <c r="BS26" s="48">
        <v>-739433015.62</v>
      </c>
      <c r="BT26" s="48">
        <v>18227118.780000001</v>
      </c>
      <c r="BU26" s="48">
        <v>1996381416.8399999</v>
      </c>
      <c r="BV26" s="48">
        <v>0</v>
      </c>
    </row>
    <row r="27" spans="1:74">
      <c r="A27" s="48" t="s">
        <v>309</v>
      </c>
    </row>
    <row r="28" spans="1:74">
      <c r="A28" s="48" t="s">
        <v>310</v>
      </c>
      <c r="B28" s="48">
        <v>0</v>
      </c>
      <c r="C28" s="48">
        <v>0</v>
      </c>
      <c r="D28" s="48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4220946.96</v>
      </c>
      <c r="R28" s="48">
        <v>4220946.96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3681592.75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6252000</v>
      </c>
      <c r="AL28" s="48">
        <v>6252000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9750000</v>
      </c>
      <c r="AX28" s="48">
        <v>9750000</v>
      </c>
      <c r="AY28" s="48">
        <v>9750000</v>
      </c>
      <c r="AZ28" s="48">
        <v>0</v>
      </c>
      <c r="BA28" s="48">
        <v>4084000</v>
      </c>
      <c r="BB28" s="48">
        <v>4084000</v>
      </c>
      <c r="BC28" s="48">
        <v>4084000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1786060.49</v>
      </c>
      <c r="BR28" s="48">
        <v>0</v>
      </c>
      <c r="BS28" s="48">
        <v>1392020681</v>
      </c>
      <c r="BT28" s="48">
        <v>0</v>
      </c>
      <c r="BU28" s="48">
        <v>0</v>
      </c>
      <c r="BV28" s="48">
        <v>0</v>
      </c>
    </row>
    <row r="29" spans="1:74">
      <c r="A29" s="48" t="s">
        <v>311</v>
      </c>
      <c r="B29" s="48">
        <v>0</v>
      </c>
      <c r="C29" s="48">
        <v>0</v>
      </c>
      <c r="D29" s="48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4220946.96</v>
      </c>
      <c r="R29" s="48">
        <v>4220946.96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3681592.75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6252000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9750000</v>
      </c>
      <c r="AX29" s="48">
        <v>0</v>
      </c>
      <c r="AY29" s="48">
        <v>9750000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</row>
    <row r="30" spans="1:74">
      <c r="A30" s="48" t="s">
        <v>312</v>
      </c>
      <c r="B30" s="48">
        <v>19500000</v>
      </c>
      <c r="C30" s="48">
        <v>14500000</v>
      </c>
      <c r="D30" s="48">
        <v>14500000</v>
      </c>
      <c r="E30" s="48">
        <v>34500000</v>
      </c>
      <c r="F30" s="48">
        <v>15000000</v>
      </c>
      <c r="G30" s="48">
        <v>10000000</v>
      </c>
      <c r="H30" s="48">
        <v>10000000</v>
      </c>
      <c r="I30" s="48">
        <v>29500000</v>
      </c>
      <c r="J30" s="48">
        <v>10000000</v>
      </c>
      <c r="K30" s="48">
        <v>10000000</v>
      </c>
      <c r="L30" s="48">
        <v>8582780</v>
      </c>
      <c r="M30" s="48">
        <v>52469220</v>
      </c>
      <c r="N30" s="48">
        <v>59310412.549999997</v>
      </c>
      <c r="O30" s="48">
        <v>25310412.550000001</v>
      </c>
      <c r="P30" s="48">
        <v>18322000</v>
      </c>
      <c r="Q30" s="48">
        <v>1575624674.99</v>
      </c>
      <c r="R30" s="48">
        <v>79216000</v>
      </c>
      <c r="S30" s="48">
        <v>64352756.5</v>
      </c>
      <c r="T30" s="48">
        <v>50700000</v>
      </c>
      <c r="U30" s="48">
        <v>340478779.29000002</v>
      </c>
      <c r="V30" s="48">
        <v>212500000</v>
      </c>
      <c r="W30" s="48">
        <v>152500000</v>
      </c>
      <c r="X30" s="48">
        <v>38000000</v>
      </c>
      <c r="Y30" s="48">
        <v>1617752850.48</v>
      </c>
      <c r="Z30" s="48">
        <v>206885000</v>
      </c>
      <c r="AA30" s="48">
        <v>156885000</v>
      </c>
      <c r="AB30" s="48">
        <v>38985000</v>
      </c>
      <c r="AC30" s="48">
        <v>359145000</v>
      </c>
      <c r="AD30" s="48">
        <v>222500000</v>
      </c>
      <c r="AE30" s="48">
        <v>147915464</v>
      </c>
      <c r="AF30" s="48">
        <v>28000000</v>
      </c>
      <c r="AG30" s="48">
        <v>341084536</v>
      </c>
      <c r="AH30" s="48">
        <v>188000000</v>
      </c>
      <c r="AI30" s="48">
        <v>143000000</v>
      </c>
      <c r="AJ30" s="48">
        <v>98000000</v>
      </c>
      <c r="AK30" s="48">
        <v>729500000</v>
      </c>
      <c r="AL30" s="48">
        <v>469500000</v>
      </c>
      <c r="AM30" s="48">
        <v>216500000</v>
      </c>
      <c r="AN30" s="48">
        <v>110000000</v>
      </c>
      <c r="AO30" s="48">
        <v>410500000</v>
      </c>
      <c r="AP30" s="48">
        <v>230000000</v>
      </c>
      <c r="AQ30" s="48">
        <v>254055709</v>
      </c>
      <c r="AR30" s="48">
        <v>115000000</v>
      </c>
      <c r="AS30" s="48">
        <v>501715528</v>
      </c>
      <c r="AT30" s="48">
        <v>452000000</v>
      </c>
      <c r="AU30" s="48">
        <v>378000000</v>
      </c>
      <c r="AV30" s="48">
        <v>111000000</v>
      </c>
      <c r="AW30" s="48">
        <v>483775880</v>
      </c>
      <c r="AX30" s="48">
        <v>346800000</v>
      </c>
      <c r="AY30" s="48">
        <v>293800000</v>
      </c>
      <c r="AZ30" s="48">
        <v>92300000</v>
      </c>
      <c r="BA30" s="48">
        <v>980900000</v>
      </c>
      <c r="BB30" s="48">
        <v>634600000</v>
      </c>
      <c r="BC30" s="48">
        <v>561100000</v>
      </c>
      <c r="BD30" s="48">
        <v>290600000</v>
      </c>
      <c r="BE30" s="48">
        <v>1061540000</v>
      </c>
      <c r="BF30" s="48">
        <v>635600000</v>
      </c>
      <c r="BG30" s="48">
        <v>577100000</v>
      </c>
      <c r="BH30" s="48">
        <v>295100000</v>
      </c>
      <c r="BI30" s="48">
        <v>1233394800</v>
      </c>
      <c r="BJ30" s="48">
        <v>955764800</v>
      </c>
      <c r="BK30" s="48">
        <v>861764800</v>
      </c>
      <c r="BL30" s="48">
        <v>369100000</v>
      </c>
      <c r="BM30" s="48">
        <v>1552612000</v>
      </c>
      <c r="BN30" s="48">
        <v>712640000</v>
      </c>
      <c r="BO30" s="48">
        <v>1014556500</v>
      </c>
      <c r="BP30" s="48">
        <v>558107500</v>
      </c>
      <c r="BQ30" s="48">
        <v>1389655020</v>
      </c>
      <c r="BR30" s="48">
        <v>725073780</v>
      </c>
      <c r="BS30" s="48">
        <v>1114468379.3299999</v>
      </c>
      <c r="BT30" s="48">
        <v>520820580</v>
      </c>
      <c r="BU30" s="48">
        <v>1402441570</v>
      </c>
      <c r="BV30" s="48">
        <v>0</v>
      </c>
    </row>
    <row r="31" spans="1:74">
      <c r="A31" s="48" t="s">
        <v>313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</row>
    <row r="32" spans="1:74">
      <c r="A32" s="48" t="s">
        <v>314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404375000</v>
      </c>
      <c r="N32" s="48">
        <v>404375000</v>
      </c>
      <c r="O32" s="48">
        <v>404375000</v>
      </c>
      <c r="P32" s="48">
        <v>0</v>
      </c>
      <c r="Q32" s="48">
        <v>82780000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5000000</v>
      </c>
      <c r="AH32" s="48">
        <v>5000000</v>
      </c>
      <c r="AI32" s="48">
        <v>5000000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1100000</v>
      </c>
      <c r="AU32" s="48">
        <v>0</v>
      </c>
      <c r="AV32" s="48">
        <v>0</v>
      </c>
      <c r="AW32" s="48">
        <v>0</v>
      </c>
      <c r="AX32" s="48">
        <v>6376.63</v>
      </c>
      <c r="AY32" s="48">
        <v>0</v>
      </c>
      <c r="AZ32" s="48">
        <v>11300.1</v>
      </c>
      <c r="BA32" s="48">
        <v>0</v>
      </c>
      <c r="BB32" s="48">
        <v>15403.21</v>
      </c>
      <c r="BC32" s="48">
        <v>0</v>
      </c>
      <c r="BD32" s="48">
        <v>0</v>
      </c>
      <c r="BE32" s="48">
        <v>0</v>
      </c>
      <c r="BF32" s="48">
        <v>130200</v>
      </c>
      <c r="BG32" s="48">
        <v>130200</v>
      </c>
      <c r="BH32" s="48">
        <v>130200</v>
      </c>
      <c r="BI32" s="48">
        <v>6999500</v>
      </c>
      <c r="BJ32" s="48">
        <v>3163208.44</v>
      </c>
      <c r="BK32" s="48">
        <v>3018789.28</v>
      </c>
      <c r="BL32" s="48">
        <v>2979852.75</v>
      </c>
      <c r="BM32" s="48">
        <v>360000</v>
      </c>
      <c r="BN32" s="48">
        <v>0</v>
      </c>
      <c r="BO32" s="48">
        <v>0</v>
      </c>
      <c r="BP32" s="48">
        <v>821940.96</v>
      </c>
      <c r="BQ32" s="48">
        <v>558615.15</v>
      </c>
      <c r="BR32" s="48">
        <v>401675.92</v>
      </c>
      <c r="BS32" s="48">
        <v>1451424.53</v>
      </c>
      <c r="BT32" s="48">
        <v>39232.22</v>
      </c>
      <c r="BU32" s="48">
        <v>165069.32999999999</v>
      </c>
      <c r="BV32" s="48">
        <v>0</v>
      </c>
    </row>
    <row r="33" spans="1:74">
      <c r="A33" s="48" t="s">
        <v>315</v>
      </c>
      <c r="B33" s="48">
        <v>19500000</v>
      </c>
      <c r="C33" s="48">
        <v>14500000</v>
      </c>
      <c r="D33" s="48">
        <v>14500000</v>
      </c>
      <c r="E33" s="48">
        <v>34500000</v>
      </c>
      <c r="F33" s="48">
        <v>15000000</v>
      </c>
      <c r="G33" s="48">
        <v>10000000</v>
      </c>
      <c r="H33" s="48">
        <v>10000000</v>
      </c>
      <c r="I33" s="48">
        <v>29500000</v>
      </c>
      <c r="J33" s="48">
        <v>10000000</v>
      </c>
      <c r="K33" s="48">
        <v>10000000</v>
      </c>
      <c r="L33" s="48">
        <v>8582780</v>
      </c>
      <c r="M33" s="48">
        <v>456844220</v>
      </c>
      <c r="N33" s="48">
        <v>463685412.55000001</v>
      </c>
      <c r="O33" s="48">
        <v>429685412.55000001</v>
      </c>
      <c r="P33" s="48">
        <v>18322000</v>
      </c>
      <c r="Q33" s="48">
        <v>1662625621.95</v>
      </c>
      <c r="R33" s="48">
        <v>83436946.959999993</v>
      </c>
      <c r="S33" s="48">
        <v>64352756.5</v>
      </c>
      <c r="T33" s="48">
        <v>50700000</v>
      </c>
      <c r="U33" s="48">
        <v>340478779.29000002</v>
      </c>
      <c r="V33" s="48">
        <v>212500000</v>
      </c>
      <c r="W33" s="48">
        <v>152500000</v>
      </c>
      <c r="X33" s="48">
        <v>38000000</v>
      </c>
      <c r="Y33" s="48">
        <v>1617752850.48</v>
      </c>
      <c r="Z33" s="48">
        <v>206885000</v>
      </c>
      <c r="AA33" s="48">
        <v>156885000</v>
      </c>
      <c r="AB33" s="48">
        <v>38985000</v>
      </c>
      <c r="AC33" s="48">
        <v>362826592.75</v>
      </c>
      <c r="AD33" s="48">
        <v>222500000</v>
      </c>
      <c r="AE33" s="48">
        <v>147915464</v>
      </c>
      <c r="AF33" s="48">
        <v>28000000</v>
      </c>
      <c r="AG33" s="48">
        <v>346084536</v>
      </c>
      <c r="AH33" s="48">
        <v>193000000</v>
      </c>
      <c r="AI33" s="48">
        <v>148000000</v>
      </c>
      <c r="AJ33" s="48">
        <v>98000000</v>
      </c>
      <c r="AK33" s="48">
        <v>735752000</v>
      </c>
      <c r="AL33" s="48">
        <v>475752000</v>
      </c>
      <c r="AM33" s="48">
        <v>216500000</v>
      </c>
      <c r="AN33" s="48">
        <v>110000000</v>
      </c>
      <c r="AO33" s="48">
        <v>410500000</v>
      </c>
      <c r="AP33" s="48">
        <v>230000000</v>
      </c>
      <c r="AQ33" s="48">
        <v>254055709</v>
      </c>
      <c r="AR33" s="48">
        <v>115000000</v>
      </c>
      <c r="AS33" s="48">
        <v>501715528</v>
      </c>
      <c r="AT33" s="48">
        <v>453100000</v>
      </c>
      <c r="AU33" s="48">
        <v>378000000</v>
      </c>
      <c r="AV33" s="48">
        <v>111000000</v>
      </c>
      <c r="AW33" s="48">
        <v>493525880</v>
      </c>
      <c r="AX33" s="48">
        <v>356556376.63</v>
      </c>
      <c r="AY33" s="48">
        <v>303550000</v>
      </c>
      <c r="AZ33" s="48">
        <v>92311300.099999994</v>
      </c>
      <c r="BA33" s="48">
        <v>984984000</v>
      </c>
      <c r="BB33" s="48">
        <v>638699403.21000004</v>
      </c>
      <c r="BC33" s="48">
        <v>565184000</v>
      </c>
      <c r="BD33" s="48">
        <v>290600000</v>
      </c>
      <c r="BE33" s="48">
        <v>1061540000</v>
      </c>
      <c r="BF33" s="48">
        <v>635730200</v>
      </c>
      <c r="BG33" s="48">
        <v>577230200</v>
      </c>
      <c r="BH33" s="48">
        <v>295230200</v>
      </c>
      <c r="BI33" s="48">
        <v>1240394300</v>
      </c>
      <c r="BJ33" s="48">
        <v>958928008.44000006</v>
      </c>
      <c r="BK33" s="48">
        <v>864783589.27999997</v>
      </c>
      <c r="BL33" s="48">
        <v>372079852.75</v>
      </c>
      <c r="BM33" s="48">
        <v>1552972000</v>
      </c>
      <c r="BN33" s="48">
        <v>712640000</v>
      </c>
      <c r="BO33" s="48">
        <v>1014556500</v>
      </c>
      <c r="BP33" s="48">
        <v>558929440.96000004</v>
      </c>
      <c r="BQ33" s="48">
        <v>1391999695.6400001</v>
      </c>
      <c r="BR33" s="48">
        <v>725475455.91999996</v>
      </c>
      <c r="BS33" s="48">
        <v>2507940484.8600001</v>
      </c>
      <c r="BT33" s="48">
        <v>520859812.22000003</v>
      </c>
      <c r="BU33" s="48">
        <v>1402606639.3299999</v>
      </c>
      <c r="BV33" s="48">
        <v>0</v>
      </c>
    </row>
    <row r="34" spans="1:74">
      <c r="A34" s="48" t="s">
        <v>316</v>
      </c>
      <c r="B34" s="48">
        <v>15000000</v>
      </c>
      <c r="C34" s="48">
        <v>10000000</v>
      </c>
      <c r="D34" s="48">
        <v>10000000</v>
      </c>
      <c r="E34" s="48">
        <v>29500000</v>
      </c>
      <c r="F34" s="48">
        <v>10000000</v>
      </c>
      <c r="G34" s="48">
        <v>10000000</v>
      </c>
      <c r="H34" s="48">
        <v>10000000</v>
      </c>
      <c r="I34" s="48">
        <v>48500000</v>
      </c>
      <c r="J34" s="48">
        <v>20917220</v>
      </c>
      <c r="K34" s="48">
        <v>20917220</v>
      </c>
      <c r="L34" s="48">
        <v>15000000</v>
      </c>
      <c r="M34" s="48">
        <v>48500000</v>
      </c>
      <c r="N34" s="48">
        <v>53500000</v>
      </c>
      <c r="O34" s="48">
        <v>19500000</v>
      </c>
      <c r="P34" s="48">
        <v>15000000</v>
      </c>
      <c r="Q34" s="48">
        <v>1580790240</v>
      </c>
      <c r="R34" s="48">
        <v>76170885.579999998</v>
      </c>
      <c r="S34" s="48">
        <v>67228397.480000004</v>
      </c>
      <c r="T34" s="48">
        <v>40578397.479999997</v>
      </c>
      <c r="U34" s="48">
        <v>1879100012</v>
      </c>
      <c r="V34" s="48">
        <v>1634009262.3</v>
      </c>
      <c r="W34" s="48">
        <v>1584009262.3</v>
      </c>
      <c r="X34" s="48">
        <v>1445600012</v>
      </c>
      <c r="Y34" s="48">
        <v>221720506.78999999</v>
      </c>
      <c r="Z34" s="48">
        <v>225030000</v>
      </c>
      <c r="AA34" s="48">
        <v>171130000</v>
      </c>
      <c r="AB34" s="48">
        <v>53000000</v>
      </c>
      <c r="AC34" s="48">
        <v>231000000</v>
      </c>
      <c r="AD34" s="48">
        <v>122500000</v>
      </c>
      <c r="AE34" s="48">
        <v>62500000</v>
      </c>
      <c r="AF34" s="48">
        <v>13000000</v>
      </c>
      <c r="AG34" s="48">
        <v>640512154.66999996</v>
      </c>
      <c r="AH34" s="48">
        <v>419012154.67000002</v>
      </c>
      <c r="AI34" s="48">
        <v>315008781.13999999</v>
      </c>
      <c r="AJ34" s="48">
        <v>130000000</v>
      </c>
      <c r="AK34" s="48">
        <v>657027442.23000002</v>
      </c>
      <c r="AL34" s="48">
        <v>416500000</v>
      </c>
      <c r="AM34" s="48">
        <v>295500000</v>
      </c>
      <c r="AN34" s="48">
        <v>134000000</v>
      </c>
      <c r="AO34" s="48">
        <v>428870976.33999997</v>
      </c>
      <c r="AP34" s="48">
        <v>247000000</v>
      </c>
      <c r="AQ34" s="48">
        <v>228318755.61000001</v>
      </c>
      <c r="AR34" s="48">
        <v>90144561.719999999</v>
      </c>
      <c r="AS34" s="48">
        <v>475875393.01999998</v>
      </c>
      <c r="AT34" s="48">
        <v>448351390.80000001</v>
      </c>
      <c r="AU34" s="48">
        <v>351012832.19</v>
      </c>
      <c r="AV34" s="48">
        <v>81326909.859999999</v>
      </c>
      <c r="AW34" s="48">
        <v>699305561.45000005</v>
      </c>
      <c r="AX34" s="48">
        <v>567289149.54999995</v>
      </c>
      <c r="AY34" s="48">
        <v>458229135.86000001</v>
      </c>
      <c r="AZ34" s="48">
        <v>127530403.13</v>
      </c>
      <c r="BA34" s="48">
        <v>1093937000</v>
      </c>
      <c r="BB34" s="48">
        <v>741837000</v>
      </c>
      <c r="BC34" s="48">
        <v>611337000</v>
      </c>
      <c r="BD34" s="48">
        <v>249100000</v>
      </c>
      <c r="BE34" s="48">
        <v>1249308312</v>
      </c>
      <c r="BF34" s="48">
        <v>819943970.54999995</v>
      </c>
      <c r="BG34" s="48">
        <v>657530000</v>
      </c>
      <c r="BH34" s="48">
        <v>309300000</v>
      </c>
      <c r="BI34" s="48">
        <v>1774057000</v>
      </c>
      <c r="BJ34" s="48">
        <v>1403407000</v>
      </c>
      <c r="BK34" s="48">
        <v>883307000</v>
      </c>
      <c r="BL34" s="48">
        <v>286825633.25</v>
      </c>
      <c r="BM34" s="48">
        <v>1404572000</v>
      </c>
      <c r="BN34" s="48">
        <v>598117200</v>
      </c>
      <c r="BO34" s="48">
        <v>904921200</v>
      </c>
      <c r="BP34" s="48">
        <v>416192587</v>
      </c>
      <c r="BQ34" s="48">
        <v>1366971380</v>
      </c>
      <c r="BR34" s="48">
        <v>677586562.88</v>
      </c>
      <c r="BS34" s="48">
        <v>1121086840</v>
      </c>
      <c r="BT34" s="48">
        <v>465202780</v>
      </c>
      <c r="BU34" s="48">
        <v>1350144890</v>
      </c>
      <c r="BV34" s="48">
        <v>0</v>
      </c>
    </row>
    <row r="35" spans="1:74">
      <c r="A35" s="48" t="s">
        <v>395</v>
      </c>
      <c r="B35" s="48">
        <v>1419647033.29</v>
      </c>
      <c r="C35" s="48">
        <v>682396282.87</v>
      </c>
      <c r="D35" s="48">
        <v>73246783.790000007</v>
      </c>
      <c r="E35" s="48">
        <v>1247146865.5799999</v>
      </c>
      <c r="F35" s="48">
        <v>1206175778.0999999</v>
      </c>
      <c r="G35" s="48">
        <v>554575853.34000003</v>
      </c>
      <c r="H35" s="48">
        <v>276293.09000000003</v>
      </c>
      <c r="I35" s="48">
        <v>1147560145.71</v>
      </c>
      <c r="J35" s="48">
        <v>1010695482.46</v>
      </c>
      <c r="K35" s="48">
        <v>360983317.12</v>
      </c>
      <c r="L35" s="48">
        <v>562615.68999999994</v>
      </c>
      <c r="M35" s="48">
        <v>1222546505.1400001</v>
      </c>
      <c r="N35" s="48">
        <v>1152163548.8900001</v>
      </c>
      <c r="O35" s="48">
        <v>420218337.13</v>
      </c>
      <c r="P35" s="48">
        <v>4336628.04</v>
      </c>
      <c r="Q35" s="48">
        <v>1155690205.55</v>
      </c>
      <c r="R35" s="48">
        <v>1083361297.28</v>
      </c>
      <c r="S35" s="48">
        <v>76669449.840000004</v>
      </c>
      <c r="T35" s="48">
        <v>10470919.060000001</v>
      </c>
      <c r="U35" s="48">
        <v>817721795.76999998</v>
      </c>
      <c r="V35" s="48">
        <v>754028948.88</v>
      </c>
      <c r="W35" s="48">
        <v>63580143.18</v>
      </c>
      <c r="X35" s="48">
        <v>14309430.66</v>
      </c>
      <c r="Y35" s="48">
        <v>784393173.50999999</v>
      </c>
      <c r="Z35" s="48">
        <v>699742225.38999999</v>
      </c>
      <c r="AA35" s="48">
        <v>9599275.9299999997</v>
      </c>
      <c r="AB35" s="48">
        <v>4879588.04</v>
      </c>
      <c r="AC35" s="48">
        <v>530852789.88999999</v>
      </c>
      <c r="AD35" s="48">
        <v>526057522.69999999</v>
      </c>
      <c r="AE35" s="48">
        <v>263915652.06999999</v>
      </c>
      <c r="AF35" s="48">
        <v>1939913.16</v>
      </c>
      <c r="AG35" s="48">
        <v>414747529.50999999</v>
      </c>
      <c r="AH35" s="48">
        <v>339937208.44</v>
      </c>
      <c r="AI35" s="48">
        <v>120279709.18000001</v>
      </c>
      <c r="AJ35" s="48">
        <v>10759542.5</v>
      </c>
      <c r="AK35" s="48">
        <v>424520415.68000001</v>
      </c>
      <c r="AL35" s="48">
        <v>331750681.61000001</v>
      </c>
      <c r="AM35" s="48">
        <v>12406904.189999999</v>
      </c>
      <c r="AN35" s="48">
        <v>6198654.2599999998</v>
      </c>
      <c r="AO35" s="48">
        <v>340564618.88999999</v>
      </c>
      <c r="AP35" s="48">
        <v>314576109.47000003</v>
      </c>
      <c r="AQ35" s="48">
        <v>20361003.300000001</v>
      </c>
      <c r="AR35" s="48">
        <v>5627802.7300000004</v>
      </c>
      <c r="AS35" s="48">
        <v>323422478.02999997</v>
      </c>
      <c r="AT35" s="48">
        <v>308225237.47000003</v>
      </c>
      <c r="AU35" s="48">
        <v>33795458.359999999</v>
      </c>
      <c r="AV35" s="48">
        <v>3513422.21</v>
      </c>
      <c r="AW35" s="48">
        <v>328317514.82999998</v>
      </c>
      <c r="AX35" s="48">
        <v>101531418.90000001</v>
      </c>
      <c r="AY35" s="48">
        <v>35797954.119999997</v>
      </c>
      <c r="AZ35" s="48">
        <v>7864170.3499999996</v>
      </c>
      <c r="BA35" s="48">
        <v>452382938</v>
      </c>
      <c r="BB35" s="48">
        <v>432027242.73000002</v>
      </c>
      <c r="BC35" s="48">
        <v>231226871.53999999</v>
      </c>
      <c r="BD35" s="48">
        <v>9829482.8900000006</v>
      </c>
      <c r="BE35" s="48">
        <v>372465870.36000001</v>
      </c>
      <c r="BF35" s="48">
        <v>377720268.13</v>
      </c>
      <c r="BG35" s="48">
        <v>66320134.159999996</v>
      </c>
      <c r="BH35" s="48">
        <v>12023185.300000001</v>
      </c>
      <c r="BI35" s="48">
        <v>382008949.44999999</v>
      </c>
      <c r="BJ35" s="48">
        <v>382044218.43000001</v>
      </c>
      <c r="BK35" s="48">
        <v>266573230.11000001</v>
      </c>
      <c r="BL35" s="48">
        <v>64720384.990000002</v>
      </c>
      <c r="BM35" s="48">
        <v>344175606.19</v>
      </c>
      <c r="BN35" s="48">
        <v>45280287.740000002</v>
      </c>
      <c r="BO35" s="48">
        <v>322966108.74000001</v>
      </c>
      <c r="BP35" s="48">
        <v>33441501.010000002</v>
      </c>
      <c r="BQ35" s="48">
        <v>241064266.09</v>
      </c>
      <c r="BR35" s="48">
        <v>101564427.92</v>
      </c>
      <c r="BS35" s="48">
        <v>183690399.66999999</v>
      </c>
      <c r="BT35" s="48">
        <v>295602823.06</v>
      </c>
      <c r="BU35" s="48">
        <v>36498097.030000001</v>
      </c>
      <c r="BV35" s="48">
        <v>0</v>
      </c>
    </row>
    <row r="36" spans="1:74">
      <c r="A36" s="48" t="s">
        <v>317</v>
      </c>
      <c r="B36" s="48">
        <v>927530067.14999998</v>
      </c>
      <c r="C36" s="48">
        <v>195601722.28999999</v>
      </c>
      <c r="D36" s="48">
        <v>0</v>
      </c>
      <c r="E36" s="48">
        <v>805764718.15999997</v>
      </c>
      <c r="F36" s="48">
        <v>765549896.58000004</v>
      </c>
      <c r="G36" s="48">
        <v>114797950.90000001</v>
      </c>
      <c r="H36" s="48">
        <v>0</v>
      </c>
      <c r="I36" s="48">
        <v>879762768.00999999</v>
      </c>
      <c r="J36" s="48">
        <v>879762768.00999999</v>
      </c>
      <c r="K36" s="48">
        <v>94015088.010000005</v>
      </c>
      <c r="L36" s="48">
        <v>0</v>
      </c>
      <c r="M36" s="48">
        <v>870409885.49000001</v>
      </c>
      <c r="N36" s="48">
        <v>807658250.84000003</v>
      </c>
      <c r="O36" s="48">
        <v>39251005.490000002</v>
      </c>
      <c r="P36" s="48">
        <v>0</v>
      </c>
      <c r="Q36" s="48">
        <v>821895956.83000004</v>
      </c>
      <c r="R36" s="48">
        <v>796994291.03999996</v>
      </c>
      <c r="S36" s="48">
        <v>57381581.530000001</v>
      </c>
      <c r="T36" s="48">
        <v>0</v>
      </c>
      <c r="U36" s="48">
        <v>556845765.57000005</v>
      </c>
      <c r="V36" s="48">
        <v>214775254.68000001</v>
      </c>
      <c r="W36" s="48">
        <v>40000000</v>
      </c>
      <c r="X36" s="48">
        <v>0</v>
      </c>
      <c r="Y36" s="48">
        <v>409354873.99000001</v>
      </c>
      <c r="Z36" s="48">
        <v>338807200</v>
      </c>
      <c r="AA36" s="48">
        <v>0</v>
      </c>
      <c r="AB36" s="48">
        <v>0</v>
      </c>
      <c r="AC36" s="48">
        <v>308316000</v>
      </c>
      <c r="AD36" s="48">
        <v>308316000</v>
      </c>
      <c r="AE36" s="48">
        <v>51386000</v>
      </c>
      <c r="AF36" s="48">
        <v>0</v>
      </c>
      <c r="AG36" s="48">
        <v>289501397.69</v>
      </c>
      <c r="AH36" s="48">
        <v>221346340.91999999</v>
      </c>
      <c r="AI36" s="48">
        <v>4880000</v>
      </c>
      <c r="AJ36" s="48">
        <v>3900000</v>
      </c>
      <c r="AK36" s="48">
        <v>298305639.39999998</v>
      </c>
      <c r="AL36" s="48">
        <v>214502394</v>
      </c>
      <c r="AM36" s="48">
        <v>12406904.189999999</v>
      </c>
      <c r="AN36" s="48">
        <v>0</v>
      </c>
      <c r="AO36" s="48">
        <v>0</v>
      </c>
      <c r="AP36" s="48">
        <v>0</v>
      </c>
      <c r="AQ36" s="48">
        <v>5680500</v>
      </c>
      <c r="AR36" s="48">
        <v>0</v>
      </c>
      <c r="AS36" s="48">
        <v>213550720</v>
      </c>
      <c r="AT36" s="48">
        <v>0</v>
      </c>
      <c r="AU36" s="48">
        <v>0</v>
      </c>
      <c r="AV36" s="48">
        <v>0</v>
      </c>
      <c r="AW36" s="48">
        <v>211553923.69</v>
      </c>
      <c r="AX36" s="48">
        <v>0</v>
      </c>
      <c r="AY36" s="48">
        <v>21597629.75</v>
      </c>
      <c r="AZ36" s="48">
        <v>1400000</v>
      </c>
      <c r="BA36" s="48">
        <v>248034936.44</v>
      </c>
      <c r="BB36" s="48">
        <v>1400000</v>
      </c>
      <c r="BC36" s="48">
        <v>0</v>
      </c>
      <c r="BD36" s="48">
        <v>2612627.69</v>
      </c>
      <c r="BE36" s="48">
        <v>15484553.380000001</v>
      </c>
      <c r="BF36" s="48">
        <v>2612627.69</v>
      </c>
      <c r="BG36" s="48">
        <v>0</v>
      </c>
      <c r="BH36" s="48">
        <v>0</v>
      </c>
      <c r="BI36" s="48">
        <v>260800563.65000001</v>
      </c>
      <c r="BJ36" s="48">
        <v>0</v>
      </c>
      <c r="BK36" s="48">
        <v>0</v>
      </c>
      <c r="BL36" s="48">
        <v>47509873.799999997</v>
      </c>
      <c r="BM36" s="48">
        <v>193742403.52000001</v>
      </c>
      <c r="BN36" s="48">
        <v>4073602.72</v>
      </c>
      <c r="BO36" s="48">
        <v>141605131.96000001</v>
      </c>
      <c r="BP36" s="48">
        <v>0</v>
      </c>
      <c r="BQ36" s="48">
        <v>140544869.84999999</v>
      </c>
      <c r="BR36" s="48">
        <v>74207233.75</v>
      </c>
      <c r="BS36" s="48">
        <v>0</v>
      </c>
      <c r="BT36" s="48">
        <v>0</v>
      </c>
      <c r="BU36" s="48">
        <v>0</v>
      </c>
      <c r="BV36" s="48">
        <v>0</v>
      </c>
    </row>
    <row r="37" spans="1:74">
      <c r="A37" s="48" t="s">
        <v>318</v>
      </c>
      <c r="B37" s="48">
        <v>0</v>
      </c>
      <c r="C37" s="48">
        <v>0</v>
      </c>
      <c r="D37" s="48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8050</v>
      </c>
      <c r="W37" s="48">
        <v>8050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1610920.89</v>
      </c>
      <c r="AD37" s="48">
        <v>0</v>
      </c>
      <c r="AE37" s="48">
        <v>0</v>
      </c>
      <c r="AF37" s="48">
        <v>0</v>
      </c>
      <c r="AG37" s="48">
        <v>0</v>
      </c>
      <c r="AH37" s="48">
        <v>0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>
        <v>0</v>
      </c>
      <c r="AW37" s="48">
        <v>0</v>
      </c>
      <c r="AX37" s="48">
        <v>2142258.38</v>
      </c>
      <c r="AY37" s="48">
        <v>0</v>
      </c>
      <c r="AZ37" s="48">
        <v>674216.64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2462936.4700000002</v>
      </c>
      <c r="BH37" s="48">
        <v>0</v>
      </c>
      <c r="BI37" s="48">
        <v>36546056.780000001</v>
      </c>
      <c r="BJ37" s="48">
        <v>36617674.280000001</v>
      </c>
      <c r="BK37" s="48">
        <v>964600.57</v>
      </c>
      <c r="BL37" s="48">
        <v>313971.81</v>
      </c>
      <c r="BM37" s="48">
        <v>301982141.69999999</v>
      </c>
      <c r="BN37" s="48">
        <v>61740.93</v>
      </c>
      <c r="BO37" s="48">
        <v>100450</v>
      </c>
      <c r="BP37" s="48">
        <v>305216.15000000002</v>
      </c>
      <c r="BQ37" s="48">
        <v>0</v>
      </c>
      <c r="BR37" s="48">
        <v>-12284.78</v>
      </c>
      <c r="BS37" s="48">
        <v>3280062.26</v>
      </c>
      <c r="BT37" s="48">
        <v>509868.68</v>
      </c>
      <c r="BU37" s="48">
        <v>3264464.68</v>
      </c>
      <c r="BV37" s="48">
        <v>0</v>
      </c>
    </row>
    <row r="38" spans="1:74">
      <c r="A38" s="48" t="s">
        <v>319</v>
      </c>
      <c r="B38" s="48">
        <v>1434647033.29</v>
      </c>
      <c r="C38" s="48">
        <v>692396282.87</v>
      </c>
      <c r="D38" s="48">
        <v>83246783.790000007</v>
      </c>
      <c r="E38" s="48">
        <v>1276646865.5799999</v>
      </c>
      <c r="F38" s="48">
        <v>1216175778.0999999</v>
      </c>
      <c r="G38" s="48">
        <v>564575853.34000003</v>
      </c>
      <c r="H38" s="48">
        <v>10276293.09</v>
      </c>
      <c r="I38" s="48">
        <v>1196060145.71</v>
      </c>
      <c r="J38" s="48">
        <v>1031612702.46</v>
      </c>
      <c r="K38" s="48">
        <v>381900537.12</v>
      </c>
      <c r="L38" s="48">
        <v>15562615.689999999</v>
      </c>
      <c r="M38" s="48">
        <v>1271046505.1400001</v>
      </c>
      <c r="N38" s="48">
        <v>1205663548.8900001</v>
      </c>
      <c r="O38" s="48">
        <v>439718337.13</v>
      </c>
      <c r="P38" s="48">
        <v>19336628.039999999</v>
      </c>
      <c r="Q38" s="48">
        <v>2736480445.5500002</v>
      </c>
      <c r="R38" s="48">
        <v>1159532182.8599999</v>
      </c>
      <c r="S38" s="48">
        <v>143897847.31999999</v>
      </c>
      <c r="T38" s="48">
        <v>51049316.539999999</v>
      </c>
      <c r="U38" s="48">
        <v>2696821807.77</v>
      </c>
      <c r="V38" s="48">
        <v>2388046261.1799998</v>
      </c>
      <c r="W38" s="48">
        <v>1647597455.48</v>
      </c>
      <c r="X38" s="48">
        <v>1459909442.6600001</v>
      </c>
      <c r="Y38" s="48">
        <v>1006113680.3</v>
      </c>
      <c r="Z38" s="48">
        <v>924772225.38999999</v>
      </c>
      <c r="AA38" s="48">
        <v>180729275.93000001</v>
      </c>
      <c r="AB38" s="48">
        <v>57879588.039999999</v>
      </c>
      <c r="AC38" s="48">
        <v>763463710.77999997</v>
      </c>
      <c r="AD38" s="48">
        <v>648557522.70000005</v>
      </c>
      <c r="AE38" s="48">
        <v>326415652.06999999</v>
      </c>
      <c r="AF38" s="48">
        <v>14939913.16</v>
      </c>
      <c r="AG38" s="48">
        <v>1055259684.1799999</v>
      </c>
      <c r="AH38" s="48">
        <v>758949363.11000001</v>
      </c>
      <c r="AI38" s="48">
        <v>435288490.31999999</v>
      </c>
      <c r="AJ38" s="48">
        <v>140759542.5</v>
      </c>
      <c r="AK38" s="48">
        <v>1081547857.9100001</v>
      </c>
      <c r="AL38" s="48">
        <v>748250681.61000001</v>
      </c>
      <c r="AM38" s="48">
        <v>307906904.19</v>
      </c>
      <c r="AN38" s="48">
        <v>140198654.25999999</v>
      </c>
      <c r="AO38" s="48">
        <v>769435595.23000002</v>
      </c>
      <c r="AP38" s="48">
        <v>561576109.47000003</v>
      </c>
      <c r="AQ38" s="48">
        <v>248679758.91</v>
      </c>
      <c r="AR38" s="48">
        <v>95772364.450000003</v>
      </c>
      <c r="AS38" s="48">
        <v>799297871.04999995</v>
      </c>
      <c r="AT38" s="48">
        <v>756576628.26999998</v>
      </c>
      <c r="AU38" s="48">
        <v>384808290.55000001</v>
      </c>
      <c r="AV38" s="48">
        <v>84840332.069999993</v>
      </c>
      <c r="AW38" s="48">
        <v>1027623076.28</v>
      </c>
      <c r="AX38" s="48">
        <v>670962826.83000004</v>
      </c>
      <c r="AY38" s="48">
        <v>494027089.98000002</v>
      </c>
      <c r="AZ38" s="48">
        <v>136068790.12</v>
      </c>
      <c r="BA38" s="48">
        <v>1546319938</v>
      </c>
      <c r="BB38" s="48">
        <v>1173864242.73</v>
      </c>
      <c r="BC38" s="48">
        <v>842563871.53999996</v>
      </c>
      <c r="BD38" s="48">
        <v>258929482.88999999</v>
      </c>
      <c r="BE38" s="48">
        <v>1621774182.3599999</v>
      </c>
      <c r="BF38" s="48">
        <v>1197664238.6800001</v>
      </c>
      <c r="BG38" s="48">
        <v>726313070.63</v>
      </c>
      <c r="BH38" s="48">
        <v>321323185.30000001</v>
      </c>
      <c r="BI38" s="48">
        <v>2192612006.23</v>
      </c>
      <c r="BJ38" s="48">
        <v>1822068892.71</v>
      </c>
      <c r="BK38" s="48">
        <v>1150844830.6800001</v>
      </c>
      <c r="BL38" s="48">
        <v>351859990.05000001</v>
      </c>
      <c r="BM38" s="48">
        <v>2050729747.8900001</v>
      </c>
      <c r="BN38" s="48">
        <v>643459228.66999996</v>
      </c>
      <c r="BO38" s="48">
        <v>1227987758.74</v>
      </c>
      <c r="BP38" s="48">
        <v>449939304.16000003</v>
      </c>
      <c r="BQ38" s="48">
        <v>1608035646.0899999</v>
      </c>
      <c r="BR38" s="48">
        <v>779138706.01999998</v>
      </c>
      <c r="BS38" s="48">
        <v>1308057301.9300001</v>
      </c>
      <c r="BT38" s="48">
        <v>761315471.74000001</v>
      </c>
      <c r="BU38" s="48">
        <v>1389907451.71</v>
      </c>
      <c r="BV38" s="48">
        <v>0</v>
      </c>
    </row>
    <row r="39" spans="1:74">
      <c r="A39" s="48" t="s">
        <v>320</v>
      </c>
      <c r="B39" s="48">
        <v>-1415147033.29</v>
      </c>
      <c r="C39" s="48">
        <v>-677896282.87</v>
      </c>
      <c r="D39" s="48">
        <v>-68746783.790000007</v>
      </c>
      <c r="E39" s="48">
        <v>-1242146865.5799999</v>
      </c>
      <c r="F39" s="48">
        <v>-1201175778.0999999</v>
      </c>
      <c r="G39" s="48">
        <v>-554575853.34000003</v>
      </c>
      <c r="H39" s="48">
        <v>-276293.09000000003</v>
      </c>
      <c r="I39" s="48">
        <v>-1166560145.71</v>
      </c>
      <c r="J39" s="48">
        <v>-1021612702.46</v>
      </c>
      <c r="K39" s="48">
        <v>-371900537.12</v>
      </c>
      <c r="L39" s="48">
        <v>-6979835.6900000004</v>
      </c>
      <c r="M39" s="48">
        <v>-814202285.13999999</v>
      </c>
      <c r="N39" s="48">
        <v>-741978136.34000003</v>
      </c>
      <c r="O39" s="48">
        <v>-10032924.58</v>
      </c>
      <c r="P39" s="48">
        <v>-1014628.04</v>
      </c>
      <c r="Q39" s="48">
        <v>-1073854823.5999999</v>
      </c>
      <c r="R39" s="48">
        <v>-1076095235.9000001</v>
      </c>
      <c r="S39" s="48">
        <v>-79545090.819999993</v>
      </c>
      <c r="T39" s="48">
        <v>-349316.54</v>
      </c>
      <c r="U39" s="48">
        <v>-2356343028.48</v>
      </c>
      <c r="V39" s="48">
        <v>-2175546261.1799998</v>
      </c>
      <c r="W39" s="48">
        <v>-1495097455.48</v>
      </c>
      <c r="X39" s="48">
        <v>-1421909442.6600001</v>
      </c>
      <c r="Y39" s="48">
        <v>611639170.17999995</v>
      </c>
      <c r="Z39" s="48">
        <v>-717887225.38999999</v>
      </c>
      <c r="AA39" s="48">
        <v>-23844275.93</v>
      </c>
      <c r="AB39" s="48">
        <v>-18894588.039999999</v>
      </c>
      <c r="AC39" s="48">
        <v>-400637118.02999997</v>
      </c>
      <c r="AD39" s="48">
        <v>-426057522.69999999</v>
      </c>
      <c r="AE39" s="48">
        <v>-178500188.06999999</v>
      </c>
      <c r="AF39" s="48">
        <v>13060086.84</v>
      </c>
      <c r="AG39" s="48">
        <v>-709175148.17999995</v>
      </c>
      <c r="AH39" s="48">
        <v>-565949363.11000001</v>
      </c>
      <c r="AI39" s="48">
        <v>-287288490.31999999</v>
      </c>
      <c r="AJ39" s="48">
        <v>-42759542.5</v>
      </c>
      <c r="AK39" s="48">
        <v>-345795857.91000003</v>
      </c>
      <c r="AL39" s="48">
        <v>-272498681.61000001</v>
      </c>
      <c r="AM39" s="48">
        <v>-91406904.189999998</v>
      </c>
      <c r="AN39" s="48">
        <v>-30198654.260000002</v>
      </c>
      <c r="AO39" s="48">
        <v>-358935595.23000002</v>
      </c>
      <c r="AP39" s="48">
        <v>-331576109.47000003</v>
      </c>
      <c r="AQ39" s="48">
        <v>5375950.0899999999</v>
      </c>
      <c r="AR39" s="48">
        <v>19227635.550000001</v>
      </c>
      <c r="AS39" s="48">
        <v>-297582343.05000001</v>
      </c>
      <c r="AT39" s="48">
        <v>-303476628.26999998</v>
      </c>
      <c r="AU39" s="48">
        <v>-6808290.5499999998</v>
      </c>
      <c r="AV39" s="48">
        <v>26159667.93</v>
      </c>
      <c r="AW39" s="48">
        <v>-534097196.27999997</v>
      </c>
      <c r="AX39" s="48">
        <v>-314406450.19999999</v>
      </c>
      <c r="AY39" s="48">
        <v>-190477089.97999999</v>
      </c>
      <c r="AZ39" s="48">
        <v>-43757490.020000003</v>
      </c>
      <c r="BA39" s="48">
        <v>-561335938</v>
      </c>
      <c r="BB39" s="48">
        <v>-535164839.51999998</v>
      </c>
      <c r="BC39" s="48">
        <v>-277379871.54000002</v>
      </c>
      <c r="BD39" s="48">
        <v>31670517.109999999</v>
      </c>
      <c r="BE39" s="48">
        <v>-560234182.36000001</v>
      </c>
      <c r="BF39" s="48">
        <v>-561934038.67999995</v>
      </c>
      <c r="BG39" s="48">
        <v>-149082870.63</v>
      </c>
      <c r="BH39" s="48">
        <v>-26092985.300000001</v>
      </c>
      <c r="BI39" s="48">
        <v>-952217706.23000002</v>
      </c>
      <c r="BJ39" s="48">
        <v>-863140884.26999998</v>
      </c>
      <c r="BK39" s="48">
        <v>-286061241.39999998</v>
      </c>
      <c r="BL39" s="48">
        <v>20219862.699999999</v>
      </c>
      <c r="BM39" s="48">
        <v>-497757747.88999999</v>
      </c>
      <c r="BN39" s="48">
        <v>69180771.329999998</v>
      </c>
      <c r="BO39" s="48">
        <v>-213431258.74000001</v>
      </c>
      <c r="BP39" s="48">
        <v>108990136.8</v>
      </c>
      <c r="BQ39" s="48">
        <v>-216035950.44999999</v>
      </c>
      <c r="BR39" s="48">
        <v>-53663250.100000001</v>
      </c>
      <c r="BS39" s="48">
        <v>1199883182.9300001</v>
      </c>
      <c r="BT39" s="48">
        <v>-240455659.52000001</v>
      </c>
      <c r="BU39" s="48">
        <v>12699187.619999999</v>
      </c>
      <c r="BV39" s="48">
        <v>0</v>
      </c>
    </row>
    <row r="40" spans="1:74">
      <c r="A40" s="48" t="s">
        <v>321</v>
      </c>
      <c r="B40" s="48">
        <v>16331831.710000001</v>
      </c>
      <c r="C40" s="48">
        <v>2691953.75</v>
      </c>
      <c r="D40" s="48">
        <v>-14781817.800000001</v>
      </c>
      <c r="E40" s="48">
        <v>-28508371.440000001</v>
      </c>
      <c r="F40" s="48">
        <v>-22003069.559999999</v>
      </c>
      <c r="G40" s="48">
        <v>-11688082.93</v>
      </c>
      <c r="H40" s="48">
        <v>-2771029.64</v>
      </c>
      <c r="I40" s="48">
        <v>13735037.199999999</v>
      </c>
      <c r="J40" s="48">
        <v>3097325.14</v>
      </c>
      <c r="K40" s="48">
        <v>2265598.2000000002</v>
      </c>
      <c r="L40" s="48">
        <v>-679871.7</v>
      </c>
      <c r="M40" s="48">
        <v>405766.38</v>
      </c>
      <c r="N40" s="48">
        <v>-1612307.12</v>
      </c>
      <c r="O40" s="48">
        <v>-1736023.04</v>
      </c>
      <c r="P40" s="48">
        <v>368925.07</v>
      </c>
      <c r="Q40" s="48">
        <v>-15696045.48</v>
      </c>
      <c r="R40" s="48">
        <v>5162711.8499999996</v>
      </c>
      <c r="S40" s="48">
        <v>13603254.859999999</v>
      </c>
      <c r="T40" s="48">
        <v>-2604825.7799999998</v>
      </c>
      <c r="U40" s="48">
        <v>-18589985.800000001</v>
      </c>
      <c r="V40" s="48">
        <v>4334617.29</v>
      </c>
      <c r="W40" s="48">
        <v>-7111968.4100000001</v>
      </c>
      <c r="X40" s="48">
        <v>985971.02</v>
      </c>
      <c r="Y40" s="48">
        <v>1614741.65</v>
      </c>
      <c r="Z40" s="48">
        <v>-3089172.87</v>
      </c>
      <c r="AA40" s="48">
        <v>-475499.18</v>
      </c>
      <c r="AB40" s="48">
        <v>-198758.04</v>
      </c>
      <c r="AC40" s="48">
        <v>-4274417</v>
      </c>
      <c r="AD40" s="48">
        <v>-1281212.6599999999</v>
      </c>
      <c r="AE40" s="48">
        <v>-499787.25</v>
      </c>
      <c r="AF40" s="48">
        <v>-306827.27</v>
      </c>
      <c r="AG40" s="48">
        <v>-2029647.13</v>
      </c>
      <c r="AH40" s="48">
        <v>-443358.29</v>
      </c>
      <c r="AI40" s="48">
        <v>-213327.99</v>
      </c>
      <c r="AJ40" s="48">
        <v>-123792.02</v>
      </c>
      <c r="AK40" s="48">
        <v>-1952789.5</v>
      </c>
      <c r="AL40" s="48">
        <v>-487219.55</v>
      </c>
      <c r="AM40" s="48">
        <v>-365937.4</v>
      </c>
      <c r="AN40" s="48">
        <v>-90858.64</v>
      </c>
      <c r="AO40" s="48">
        <v>-3763316.3</v>
      </c>
      <c r="AP40" s="48">
        <v>294150.63</v>
      </c>
      <c r="AQ40" s="48">
        <v>-373679.35</v>
      </c>
      <c r="AR40" s="48">
        <v>122265.75</v>
      </c>
      <c r="AS40" s="48">
        <v>-6087528.7400000002</v>
      </c>
      <c r="AT40" s="48">
        <v>-2048691.23</v>
      </c>
      <c r="AU40" s="48">
        <v>-2497195.13</v>
      </c>
      <c r="AV40" s="48">
        <v>-751062.62</v>
      </c>
      <c r="AW40" s="48">
        <v>-2822480.34</v>
      </c>
      <c r="AX40" s="48">
        <v>-366927.78</v>
      </c>
      <c r="AY40" s="48">
        <v>-189774.5</v>
      </c>
      <c r="AZ40" s="48">
        <v>-87844.5</v>
      </c>
      <c r="BA40" s="48">
        <v>-7864967.1799999997</v>
      </c>
      <c r="BB40" s="48">
        <v>-6727713.4299999997</v>
      </c>
      <c r="BC40" s="48">
        <v>-1884806.36</v>
      </c>
      <c r="BD40" s="48">
        <v>68792.789999999994</v>
      </c>
      <c r="BE40" s="48">
        <v>743124.25</v>
      </c>
      <c r="BF40" s="48">
        <v>-1773819.65</v>
      </c>
      <c r="BG40" s="48">
        <v>-48600.11</v>
      </c>
      <c r="BH40" s="48">
        <v>166294.87</v>
      </c>
      <c r="BI40" s="48">
        <v>3726891</v>
      </c>
      <c r="BJ40" s="48">
        <v>1387923.93</v>
      </c>
      <c r="BK40" s="48">
        <v>-1772.01</v>
      </c>
      <c r="BL40" s="48">
        <v>0</v>
      </c>
      <c r="BM40" s="48">
        <v>-832854.43</v>
      </c>
      <c r="BN40" s="48">
        <v>1274160.99</v>
      </c>
      <c r="BO40" s="48">
        <v>-1924830.85</v>
      </c>
      <c r="BP40" s="48">
        <v>-687438.1</v>
      </c>
      <c r="BQ40" s="48">
        <v>-383126.7</v>
      </c>
      <c r="BR40" s="48">
        <v>-956594.97</v>
      </c>
      <c r="BS40" s="48">
        <v>-227462.11</v>
      </c>
      <c r="BT40" s="48">
        <v>-1165286.75</v>
      </c>
      <c r="BU40" s="48">
        <v>-80076.160000000003</v>
      </c>
      <c r="BV40" s="48">
        <v>0</v>
      </c>
    </row>
    <row r="41" spans="1:74">
      <c r="A41" s="48" t="s">
        <v>322</v>
      </c>
      <c r="B41" s="48">
        <v>-720883990.53999996</v>
      </c>
      <c r="C41" s="48">
        <v>-328612327.22000003</v>
      </c>
      <c r="D41" s="48">
        <v>298241806.31999999</v>
      </c>
      <c r="E41" s="48">
        <v>1611490235.6700001</v>
      </c>
      <c r="F41" s="48">
        <v>549166708.13999999</v>
      </c>
      <c r="G41" s="48">
        <v>847301995.17999995</v>
      </c>
      <c r="H41" s="48">
        <v>-246390479.62</v>
      </c>
      <c r="I41" s="48">
        <v>1445713107.9100001</v>
      </c>
      <c r="J41" s="48">
        <v>892395470.00999999</v>
      </c>
      <c r="K41" s="48">
        <v>1065962046.1799999</v>
      </c>
      <c r="L41" s="48">
        <v>17559661.77</v>
      </c>
      <c r="M41" s="48">
        <v>465302456.73000002</v>
      </c>
      <c r="N41" s="48">
        <v>754747069.82000005</v>
      </c>
      <c r="O41" s="48">
        <v>506112432.00999999</v>
      </c>
      <c r="P41" s="48">
        <v>-207438069.84999999</v>
      </c>
      <c r="Q41" s="48">
        <v>932650474.05999994</v>
      </c>
      <c r="R41" s="48">
        <v>713275792.30999994</v>
      </c>
      <c r="S41" s="48">
        <v>936295568.26999998</v>
      </c>
      <c r="T41" s="48">
        <v>-5744491.6500000004</v>
      </c>
      <c r="U41" s="48">
        <v>-654805995.99000001</v>
      </c>
      <c r="V41" s="48">
        <v>-711633497.90999997</v>
      </c>
      <c r="W41" s="48">
        <v>-584397446.38</v>
      </c>
      <c r="X41" s="48">
        <v>-2113851490.02</v>
      </c>
      <c r="Y41" s="48">
        <v>3194224666.9299998</v>
      </c>
      <c r="Z41" s="48">
        <v>1117548778.74</v>
      </c>
      <c r="AA41" s="48">
        <v>1471377340.6099999</v>
      </c>
      <c r="AB41" s="48">
        <v>-248487637.62</v>
      </c>
      <c r="AC41" s="48">
        <v>1096973178.3499999</v>
      </c>
      <c r="AD41" s="48">
        <v>946099589.30999994</v>
      </c>
      <c r="AE41" s="48">
        <v>486847163.89999998</v>
      </c>
      <c r="AF41" s="48">
        <v>-260070739.75</v>
      </c>
      <c r="AG41" s="48">
        <v>1114283878.3</v>
      </c>
      <c r="AH41" s="48">
        <v>1146774747.24</v>
      </c>
      <c r="AI41" s="48">
        <v>813654956.13999999</v>
      </c>
      <c r="AJ41" s="48">
        <v>-24430216.960000001</v>
      </c>
      <c r="AK41" s="48">
        <v>1697421611.5799999</v>
      </c>
      <c r="AL41" s="48">
        <v>1300824980.45</v>
      </c>
      <c r="AM41" s="48">
        <v>918822160.09000003</v>
      </c>
      <c r="AN41" s="48">
        <v>515897071.12</v>
      </c>
      <c r="AO41" s="48">
        <v>78770317.439999998</v>
      </c>
      <c r="AP41" s="48">
        <v>39759735.100000001</v>
      </c>
      <c r="AQ41" s="48">
        <v>-46943665.640000001</v>
      </c>
      <c r="AR41" s="48">
        <v>-350594476.06</v>
      </c>
      <c r="AS41" s="48">
        <v>562735908.55999994</v>
      </c>
      <c r="AT41" s="48">
        <v>165068363.56999999</v>
      </c>
      <c r="AU41" s="48">
        <v>21091653.309999999</v>
      </c>
      <c r="AV41" s="48">
        <v>-21989574.52</v>
      </c>
      <c r="AW41" s="48">
        <v>350097584.88</v>
      </c>
      <c r="AX41" s="48">
        <v>370042915.64999998</v>
      </c>
      <c r="AY41" s="48">
        <v>112423578.79000001</v>
      </c>
      <c r="AZ41" s="48">
        <v>-82520177.819999993</v>
      </c>
      <c r="BA41" s="48">
        <v>-326789644.69999999</v>
      </c>
      <c r="BB41" s="48">
        <v>-731241136.34000003</v>
      </c>
      <c r="BC41" s="48">
        <v>-459558752.37</v>
      </c>
      <c r="BD41" s="48">
        <v>-174620083.99000001</v>
      </c>
      <c r="BE41" s="48">
        <v>-203943540.18000001</v>
      </c>
      <c r="BF41" s="48">
        <v>-327631569.58999997</v>
      </c>
      <c r="BG41" s="48">
        <v>-50027549</v>
      </c>
      <c r="BH41" s="48">
        <v>14429278.08</v>
      </c>
      <c r="BI41" s="48">
        <v>-618020940.73000002</v>
      </c>
      <c r="BJ41" s="48">
        <v>-383342899.42000002</v>
      </c>
      <c r="BK41" s="48">
        <v>-59560088.759999998</v>
      </c>
      <c r="BL41" s="48">
        <v>5330531.1500000004</v>
      </c>
      <c r="BM41" s="48">
        <v>274181247.70999998</v>
      </c>
      <c r="BN41" s="48">
        <v>442180215.52999997</v>
      </c>
      <c r="BO41" s="48">
        <v>378093462.20999998</v>
      </c>
      <c r="BP41" s="48">
        <v>178866163.46000001</v>
      </c>
      <c r="BQ41" s="48">
        <v>428534876.06999999</v>
      </c>
      <c r="BR41" s="48">
        <v>48175295.93</v>
      </c>
      <c r="BS41" s="48">
        <v>707655813.17999995</v>
      </c>
      <c r="BT41" s="48">
        <v>-180323290.09999999</v>
      </c>
      <c r="BU41" s="48">
        <v>1854059152.9100001</v>
      </c>
      <c r="BV41" s="48">
        <v>0</v>
      </c>
    </row>
    <row r="42" spans="1:74">
      <c r="A42" s="48" t="s">
        <v>323</v>
      </c>
      <c r="B42" s="48">
        <v>7516763869.54</v>
      </c>
      <c r="C42" s="48">
        <v>7516763869.54</v>
      </c>
      <c r="D42" s="48">
        <v>7516763869.54</v>
      </c>
      <c r="E42" s="48">
        <v>5905273633.8699999</v>
      </c>
      <c r="F42" s="48">
        <v>5905273633.8699999</v>
      </c>
      <c r="G42" s="48">
        <v>5905273633.8699999</v>
      </c>
      <c r="H42" s="48">
        <v>5905273633.8699999</v>
      </c>
      <c r="I42" s="48">
        <v>4459560525.96</v>
      </c>
      <c r="J42" s="48">
        <v>4459560525.96</v>
      </c>
      <c r="K42" s="48">
        <v>4459560525.96</v>
      </c>
      <c r="L42" s="48">
        <v>4459560525.96</v>
      </c>
      <c r="M42" s="48">
        <v>3994258069.23</v>
      </c>
      <c r="N42" s="48">
        <v>11566758069.23</v>
      </c>
      <c r="O42" s="48">
        <v>11566758069.23</v>
      </c>
      <c r="P42" s="48">
        <v>11566758069.23</v>
      </c>
      <c r="Q42" s="48">
        <v>10634107595.17</v>
      </c>
      <c r="R42" s="48">
        <v>10634107595.17</v>
      </c>
      <c r="S42" s="48">
        <v>10634107595.17</v>
      </c>
      <c r="T42" s="48">
        <v>10634107595.17</v>
      </c>
      <c r="U42" s="48">
        <v>11288913591.16</v>
      </c>
      <c r="V42" s="48">
        <v>11288913591.16</v>
      </c>
      <c r="W42" s="48">
        <v>11288913591.16</v>
      </c>
      <c r="X42" s="48">
        <v>11288913591.16</v>
      </c>
      <c r="Y42" s="48">
        <v>8094688924.2299995</v>
      </c>
      <c r="Z42" s="48">
        <v>8027443674.3599997</v>
      </c>
      <c r="AA42" s="48">
        <v>7566875443.3199997</v>
      </c>
      <c r="AB42" s="48">
        <v>7566875443.3199997</v>
      </c>
      <c r="AC42" s="48">
        <v>6469902264.9700003</v>
      </c>
      <c r="AD42" s="48">
        <v>6469902264.9700003</v>
      </c>
      <c r="AE42" s="48">
        <v>6469902264.9700003</v>
      </c>
      <c r="AF42" s="48">
        <v>6469902264.9700003</v>
      </c>
      <c r="AG42" s="48">
        <v>5355618386.6700001</v>
      </c>
      <c r="AH42" s="48">
        <v>5355618386.6700001</v>
      </c>
      <c r="AI42" s="48">
        <v>5355618386.6700001</v>
      </c>
      <c r="AJ42" s="48">
        <v>5355618386.6700001</v>
      </c>
      <c r="AK42" s="48">
        <v>3658196775.0900002</v>
      </c>
      <c r="AL42" s="48">
        <v>3658196775.0900002</v>
      </c>
      <c r="AM42" s="48">
        <v>3658196775.0900002</v>
      </c>
      <c r="AN42" s="48">
        <v>3658196775.0900002</v>
      </c>
      <c r="AO42" s="48">
        <v>3579426457.6500001</v>
      </c>
      <c r="AP42" s="48">
        <v>3579426457.6500001</v>
      </c>
      <c r="AQ42" s="48">
        <v>3579426457.6500001</v>
      </c>
      <c r="AR42" s="48">
        <v>3579426457.6500001</v>
      </c>
      <c r="AS42" s="48">
        <v>3016690549.0900002</v>
      </c>
      <c r="AT42" s="48">
        <v>3016690549.0900002</v>
      </c>
      <c r="AU42" s="48">
        <v>3016690549.0900002</v>
      </c>
      <c r="AV42" s="48">
        <v>3016690549.0900002</v>
      </c>
      <c r="AW42" s="48">
        <v>2692734316.98</v>
      </c>
      <c r="AX42" s="48">
        <v>2692734316.98</v>
      </c>
      <c r="AY42" s="48">
        <v>2692734316.98</v>
      </c>
      <c r="AZ42" s="48">
        <v>2692734316.98</v>
      </c>
      <c r="BA42" s="48">
        <v>3019523961.6799998</v>
      </c>
      <c r="BB42" s="48">
        <v>3021753961.6799998</v>
      </c>
      <c r="BC42" s="48">
        <v>3021753961.6799998</v>
      </c>
      <c r="BD42" s="48">
        <v>3021753961.6799998</v>
      </c>
      <c r="BE42" s="48">
        <v>3223467501.8600001</v>
      </c>
      <c r="BF42" s="48">
        <v>3194952662.6999998</v>
      </c>
      <c r="BG42" s="48">
        <v>3194952662.6999998</v>
      </c>
      <c r="BH42" s="48">
        <v>3594952662.6999998</v>
      </c>
      <c r="BI42" s="48">
        <v>3812973603.4299998</v>
      </c>
      <c r="BJ42" s="48">
        <v>3812973603.4299998</v>
      </c>
      <c r="BK42" s="48">
        <v>3812973603.4299998</v>
      </c>
      <c r="BL42" s="48">
        <v>3812973603.4299998</v>
      </c>
      <c r="BM42" s="48">
        <v>3538792355.7199998</v>
      </c>
      <c r="BN42" s="48">
        <v>3538792355.7199998</v>
      </c>
      <c r="BO42" s="48">
        <v>3160698893.5100002</v>
      </c>
      <c r="BP42" s="48">
        <v>3160775351.5900002</v>
      </c>
      <c r="BQ42" s="48">
        <v>2732240475.52</v>
      </c>
      <c r="BR42" s="48">
        <v>2732240475.52</v>
      </c>
      <c r="BS42" s="48">
        <v>2024584662.3399999</v>
      </c>
      <c r="BT42" s="48">
        <v>2024584662.3399999</v>
      </c>
      <c r="BU42" s="48">
        <v>170525509.43000001</v>
      </c>
      <c r="BV42" s="48">
        <v>0</v>
      </c>
    </row>
    <row r="43" spans="1:74">
      <c r="A43" s="48" t="s">
        <v>324</v>
      </c>
      <c r="B43" s="48">
        <v>6795879879</v>
      </c>
      <c r="C43" s="48">
        <v>7188151542.3199997</v>
      </c>
      <c r="D43" s="48">
        <v>7815005675.8599997</v>
      </c>
      <c r="E43" s="48">
        <v>7516763869.54</v>
      </c>
      <c r="F43" s="48">
        <v>6454440342.0100002</v>
      </c>
      <c r="G43" s="48">
        <v>6752575629.0500002</v>
      </c>
      <c r="H43" s="48">
        <v>5658883154.25</v>
      </c>
      <c r="I43" s="48">
        <v>5905273633.8699999</v>
      </c>
      <c r="J43" s="48">
        <v>5351955995.9700003</v>
      </c>
      <c r="K43" s="48">
        <v>5525522572.1400003</v>
      </c>
      <c r="L43" s="48">
        <v>4477120187.7299995</v>
      </c>
      <c r="M43" s="48">
        <v>4459560525.96</v>
      </c>
      <c r="N43" s="48">
        <v>12321505139.049999</v>
      </c>
      <c r="O43" s="48">
        <v>12072870501.24</v>
      </c>
      <c r="P43" s="48">
        <v>11359319999.379999</v>
      </c>
      <c r="Q43" s="48">
        <v>11566758069.23</v>
      </c>
      <c r="R43" s="48">
        <v>11347383387.48</v>
      </c>
      <c r="S43" s="48">
        <v>11570403163.440001</v>
      </c>
      <c r="T43" s="48">
        <v>10628363103.52</v>
      </c>
      <c r="U43" s="48">
        <v>10634107595.17</v>
      </c>
      <c r="V43" s="48">
        <v>10577280093.25</v>
      </c>
      <c r="W43" s="48">
        <v>10704516144.780001</v>
      </c>
      <c r="X43" s="48">
        <v>9175062101.1399994</v>
      </c>
      <c r="Y43" s="48">
        <v>11288913591.16</v>
      </c>
      <c r="Z43" s="48">
        <v>9144992453.1000004</v>
      </c>
      <c r="AA43" s="48">
        <v>9038252783.9300003</v>
      </c>
      <c r="AB43" s="48">
        <v>7318387805.6999998</v>
      </c>
      <c r="AC43" s="48">
        <v>7566875443.3199997</v>
      </c>
      <c r="AD43" s="48">
        <v>7416001854.2799997</v>
      </c>
      <c r="AE43" s="48">
        <v>6956749428.8699999</v>
      </c>
      <c r="AF43" s="48">
        <v>6209831525.2200003</v>
      </c>
      <c r="AG43" s="48">
        <v>6469902264.9700003</v>
      </c>
      <c r="AH43" s="48">
        <v>6502393133.9099998</v>
      </c>
      <c r="AI43" s="48">
        <v>6169273342.8100004</v>
      </c>
      <c r="AJ43" s="48">
        <v>5331188169.71</v>
      </c>
      <c r="AK43" s="48">
        <v>5355618386.6700001</v>
      </c>
      <c r="AL43" s="48">
        <v>4959021755.54</v>
      </c>
      <c r="AM43" s="48">
        <v>4577018935.1800003</v>
      </c>
      <c r="AN43" s="48">
        <v>4174093846.21</v>
      </c>
      <c r="AO43" s="48">
        <v>3658196775.0900002</v>
      </c>
      <c r="AP43" s="48">
        <v>3619186192.75</v>
      </c>
      <c r="AQ43" s="48">
        <v>3532482792.0100002</v>
      </c>
      <c r="AR43" s="48">
        <v>3228831981.5900002</v>
      </c>
      <c r="AS43" s="48">
        <v>3579426457.6500001</v>
      </c>
      <c r="AT43" s="48">
        <v>3181758912.6599998</v>
      </c>
      <c r="AU43" s="48">
        <v>3037782202.4000001</v>
      </c>
      <c r="AV43" s="48">
        <v>2994700974.5700002</v>
      </c>
      <c r="AW43" s="48">
        <v>3042831901.8600001</v>
      </c>
      <c r="AX43" s="48">
        <v>3062777232.6300001</v>
      </c>
      <c r="AY43" s="48">
        <v>2805157895.77</v>
      </c>
      <c r="AZ43" s="48">
        <v>2610214139.1599998</v>
      </c>
      <c r="BA43" s="48">
        <v>2692734316.98</v>
      </c>
      <c r="BB43" s="48">
        <v>2290512825.3400002</v>
      </c>
      <c r="BC43" s="48">
        <v>2562195209.3099999</v>
      </c>
      <c r="BD43" s="48">
        <v>2847133877.6900001</v>
      </c>
      <c r="BE43" s="48">
        <v>3019523961.6799998</v>
      </c>
      <c r="BF43" s="48">
        <v>2867321093.1100001</v>
      </c>
      <c r="BG43" s="48">
        <v>3144925113.6999998</v>
      </c>
      <c r="BH43" s="48">
        <v>3609381940.7800002</v>
      </c>
      <c r="BI43" s="48">
        <v>3194952662.6999998</v>
      </c>
      <c r="BJ43" s="48">
        <v>3429630704.0100002</v>
      </c>
      <c r="BK43" s="48">
        <v>3753413514.6700001</v>
      </c>
      <c r="BL43" s="48">
        <v>3818304134.5799999</v>
      </c>
      <c r="BM43" s="48">
        <v>3812973603.4299998</v>
      </c>
      <c r="BN43" s="48">
        <v>3980972571.25</v>
      </c>
      <c r="BO43" s="48">
        <v>3538792355.7199998</v>
      </c>
      <c r="BP43" s="48">
        <v>3339641515.0500002</v>
      </c>
      <c r="BQ43" s="48">
        <v>3160775351.5900002</v>
      </c>
      <c r="BR43" s="48">
        <v>2780415771.4499998</v>
      </c>
      <c r="BS43" s="48">
        <v>2732240475.52</v>
      </c>
      <c r="BT43" s="48">
        <v>1844261372.24</v>
      </c>
      <c r="BU43" s="48">
        <v>2024584662.3399999</v>
      </c>
      <c r="BV43" s="48">
        <v>0</v>
      </c>
    </row>
    <row r="44" spans="1:74">
      <c r="A44" s="48" t="s">
        <v>325</v>
      </c>
    </row>
    <row r="45" spans="1:74">
      <c r="A45" s="48" t="s">
        <v>326</v>
      </c>
      <c r="B45" s="48">
        <v>0</v>
      </c>
      <c r="C45" s="48">
        <v>1090083643.6700001</v>
      </c>
      <c r="D45" s="48">
        <v>0</v>
      </c>
      <c r="E45" s="48">
        <v>2361167577.8600001</v>
      </c>
      <c r="F45" s="48">
        <v>0</v>
      </c>
      <c r="G45" s="48">
        <v>1055685539.9400001</v>
      </c>
      <c r="H45" s="48">
        <v>0</v>
      </c>
      <c r="I45" s="48">
        <v>2413606492.8699999</v>
      </c>
      <c r="J45" s="48">
        <v>0</v>
      </c>
      <c r="K45" s="48">
        <v>1164939735.74</v>
      </c>
      <c r="L45" s="48">
        <v>0</v>
      </c>
      <c r="M45" s="48">
        <v>2800375875.0900002</v>
      </c>
      <c r="N45" s="48">
        <v>0</v>
      </c>
      <c r="O45" s="48">
        <v>973196132.04999995</v>
      </c>
      <c r="P45" s="48">
        <v>0</v>
      </c>
      <c r="Q45" s="48">
        <v>1799791966.72</v>
      </c>
      <c r="R45" s="48">
        <v>0</v>
      </c>
      <c r="S45" s="48">
        <v>861897327.41999996</v>
      </c>
      <c r="T45" s="48">
        <v>0</v>
      </c>
      <c r="U45" s="48">
        <v>1837010750.3</v>
      </c>
      <c r="V45" s="48">
        <v>0</v>
      </c>
      <c r="W45" s="48">
        <v>648015475.62</v>
      </c>
      <c r="X45" s="48">
        <v>0</v>
      </c>
      <c r="Y45" s="48">
        <v>1314824682.5899999</v>
      </c>
      <c r="Z45" s="48">
        <v>0</v>
      </c>
      <c r="AA45" s="48">
        <v>820965753.33000004</v>
      </c>
      <c r="AB45" s="48">
        <v>0</v>
      </c>
      <c r="AC45" s="48">
        <v>1178295682.76</v>
      </c>
      <c r="AD45" s="48">
        <v>0</v>
      </c>
      <c r="AE45" s="48">
        <v>694225592.77999997</v>
      </c>
      <c r="AF45" s="48">
        <v>0</v>
      </c>
      <c r="AG45" s="48">
        <v>1086519101.5899999</v>
      </c>
      <c r="AH45" s="48">
        <v>0</v>
      </c>
      <c r="AI45" s="48">
        <v>558561767.66999996</v>
      </c>
      <c r="AJ45" s="48">
        <v>0</v>
      </c>
      <c r="AK45" s="48">
        <v>806759583.20000005</v>
      </c>
      <c r="AL45" s="48">
        <v>0</v>
      </c>
      <c r="AM45" s="48">
        <v>526251406.68000001</v>
      </c>
      <c r="AN45" s="48">
        <v>0</v>
      </c>
      <c r="AO45" s="48">
        <v>967108766.96000004</v>
      </c>
      <c r="AP45" s="48">
        <v>0</v>
      </c>
      <c r="AQ45" s="48">
        <v>497794244.75</v>
      </c>
      <c r="AR45" s="48">
        <v>0</v>
      </c>
      <c r="AS45" s="48">
        <v>892906408.98000002</v>
      </c>
      <c r="AT45" s="48">
        <v>0</v>
      </c>
      <c r="AU45" s="48">
        <v>442767373.94999999</v>
      </c>
      <c r="AV45" s="48">
        <v>0</v>
      </c>
      <c r="AW45" s="48">
        <v>401514527.35000002</v>
      </c>
      <c r="AX45" s="48">
        <v>256573756.66999999</v>
      </c>
      <c r="AY45" s="48">
        <v>137612432.38</v>
      </c>
      <c r="AZ45" s="48">
        <v>62226459.109999999</v>
      </c>
      <c r="BA45" s="48">
        <v>159443460.78999999</v>
      </c>
      <c r="BB45" s="48">
        <v>133564054.06999999</v>
      </c>
      <c r="BC45" s="48">
        <v>122533552.03</v>
      </c>
      <c r="BD45" s="48">
        <v>73002861.420000002</v>
      </c>
      <c r="BE45" s="48">
        <v>293740978.41000003</v>
      </c>
      <c r="BF45" s="48">
        <v>255376997.08000001</v>
      </c>
      <c r="BG45" s="48">
        <v>194491271.11000001</v>
      </c>
      <c r="BH45" s="48">
        <v>82187262.709999993</v>
      </c>
      <c r="BI45" s="48">
        <v>412010778.26999998</v>
      </c>
      <c r="BJ45" s="48">
        <v>307400101.85000002</v>
      </c>
      <c r="BK45" s="48">
        <v>220268441.96000001</v>
      </c>
      <c r="BL45" s="48">
        <v>73114610.659999996</v>
      </c>
      <c r="BM45" s="48">
        <v>272775662.16000003</v>
      </c>
      <c r="BN45" s="48">
        <v>134696233.75999999</v>
      </c>
      <c r="BO45" s="48">
        <v>246444551.36000001</v>
      </c>
      <c r="BP45" s="48">
        <v>145924889.72999999</v>
      </c>
      <c r="BQ45" s="48">
        <v>275868909.13999999</v>
      </c>
      <c r="BR45" s="48">
        <v>145360130.50999999</v>
      </c>
      <c r="BS45" s="48">
        <v>244333013.37</v>
      </c>
      <c r="BT45" s="48">
        <v>98950981.099999994</v>
      </c>
      <c r="BU45" s="48">
        <v>10415260.810000001</v>
      </c>
      <c r="BV45" s="48">
        <v>0</v>
      </c>
    </row>
    <row r="46" spans="1:74">
      <c r="A46" s="48" t="s">
        <v>253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260380319.21000001</v>
      </c>
      <c r="AX46" s="48">
        <v>185647156.86000001</v>
      </c>
      <c r="AY46" s="48">
        <v>111568690.25</v>
      </c>
      <c r="AZ46" s="48">
        <v>55206921.07</v>
      </c>
      <c r="BA46" s="48">
        <v>249412352.00999999</v>
      </c>
      <c r="BB46" s="48">
        <v>229613198.88</v>
      </c>
      <c r="BC46" s="48">
        <v>160180203.25999999</v>
      </c>
      <c r="BD46" s="48">
        <v>74017189.209999993</v>
      </c>
      <c r="BE46" s="48">
        <v>313879867.31999999</v>
      </c>
      <c r="BF46" s="48">
        <v>240094894.22</v>
      </c>
      <c r="BG46" s="48">
        <v>171840388.65000001</v>
      </c>
      <c r="BH46" s="48">
        <v>79723979.810000002</v>
      </c>
      <c r="BI46" s="48">
        <v>354755251.63</v>
      </c>
      <c r="BJ46" s="48">
        <v>261143817.5</v>
      </c>
      <c r="BK46" s="48">
        <v>158446089.09999999</v>
      </c>
      <c r="BL46" s="48">
        <v>69759969.170000002</v>
      </c>
      <c r="BM46" s="48">
        <v>311618075.51999998</v>
      </c>
      <c r="BN46" s="48">
        <v>160106779.80000001</v>
      </c>
      <c r="BO46" s="48">
        <v>258239260.90000001</v>
      </c>
      <c r="BP46" s="48">
        <v>128086071.06</v>
      </c>
      <c r="BQ46" s="48">
        <v>199833262.15000001</v>
      </c>
      <c r="BR46" s="48">
        <v>111173617.91</v>
      </c>
      <c r="BS46" s="48">
        <v>186685025.84999999</v>
      </c>
      <c r="BT46" s="48">
        <v>111461693.06999999</v>
      </c>
      <c r="BU46" s="48">
        <v>-4422017.92</v>
      </c>
      <c r="BV46" s="48">
        <v>0</v>
      </c>
    </row>
    <row r="47" spans="1:74">
      <c r="A47" s="48" t="s">
        <v>327</v>
      </c>
      <c r="B47" s="48">
        <v>0</v>
      </c>
      <c r="C47" s="48">
        <v>0</v>
      </c>
      <c r="D47" s="48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0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</row>
    <row r="48" spans="1:74">
      <c r="A48" s="48" t="s">
        <v>328</v>
      </c>
      <c r="B48" s="48">
        <v>0</v>
      </c>
      <c r="C48" s="48">
        <v>-4068178.91</v>
      </c>
      <c r="D48" s="48">
        <v>0</v>
      </c>
      <c r="E48" s="48">
        <v>84893677.329999998</v>
      </c>
      <c r="F48" s="48">
        <v>0</v>
      </c>
      <c r="G48" s="48">
        <v>-9017574.5099999998</v>
      </c>
      <c r="H48" s="48">
        <v>0</v>
      </c>
      <c r="I48" s="48">
        <v>186234579.59</v>
      </c>
      <c r="J48" s="48">
        <v>0</v>
      </c>
      <c r="K48" s="48">
        <v>75046732.370000005</v>
      </c>
      <c r="L48" s="48">
        <v>0</v>
      </c>
      <c r="M48" s="48">
        <v>243482658.03</v>
      </c>
      <c r="N48" s="48">
        <v>0</v>
      </c>
      <c r="O48" s="48">
        <v>14682542.59</v>
      </c>
      <c r="P48" s="48">
        <v>0</v>
      </c>
      <c r="Q48" s="48">
        <v>124041702.59</v>
      </c>
      <c r="R48" s="48">
        <v>0</v>
      </c>
      <c r="S48" s="48">
        <v>-57587392.090000004</v>
      </c>
      <c r="T48" s="48">
        <v>0</v>
      </c>
      <c r="U48" s="48">
        <v>96208556.939999998</v>
      </c>
      <c r="V48" s="48">
        <v>0</v>
      </c>
      <c r="W48" s="48">
        <v>-18826371.219999999</v>
      </c>
      <c r="X48" s="48">
        <v>0</v>
      </c>
      <c r="Y48" s="48">
        <v>53030020.170000002</v>
      </c>
      <c r="Z48" s="48">
        <v>0</v>
      </c>
      <c r="AA48" s="48">
        <v>14104676.15</v>
      </c>
      <c r="AB48" s="48">
        <v>0</v>
      </c>
      <c r="AC48" s="48">
        <v>93266157.510000005</v>
      </c>
      <c r="AD48" s="48">
        <v>0</v>
      </c>
      <c r="AE48" s="48">
        <v>-8577014.7400000002</v>
      </c>
      <c r="AF48" s="48">
        <v>0</v>
      </c>
      <c r="AG48" s="48">
        <v>181911146.94999999</v>
      </c>
      <c r="AH48" s="48">
        <v>0</v>
      </c>
      <c r="AI48" s="48">
        <v>7482781.3399999999</v>
      </c>
      <c r="AJ48" s="48">
        <v>0</v>
      </c>
      <c r="AK48" s="48">
        <v>114686083.62</v>
      </c>
      <c r="AL48" s="48">
        <v>0</v>
      </c>
      <c r="AM48" s="48">
        <v>-30637066.32</v>
      </c>
      <c r="AN48" s="48">
        <v>0</v>
      </c>
      <c r="AO48" s="48">
        <v>115301326.72</v>
      </c>
      <c r="AP48" s="48">
        <v>0</v>
      </c>
      <c r="AQ48" s="48">
        <v>36916701.020000003</v>
      </c>
      <c r="AR48" s="48">
        <v>0</v>
      </c>
      <c r="AS48" s="48">
        <v>43408183.109999999</v>
      </c>
      <c r="AT48" s="48">
        <v>0</v>
      </c>
      <c r="AU48" s="48">
        <v>-24190045.109999999</v>
      </c>
      <c r="AV48" s="48">
        <v>0</v>
      </c>
      <c r="AW48" s="48">
        <v>47471913.479999997</v>
      </c>
      <c r="AX48" s="48">
        <v>-112846.14</v>
      </c>
      <c r="AY48" s="48">
        <v>-247134.14</v>
      </c>
      <c r="AZ48" s="48">
        <v>219280.68</v>
      </c>
      <c r="BA48" s="48">
        <v>54908546.030000001</v>
      </c>
      <c r="BB48" s="48">
        <v>16293594.689999999</v>
      </c>
      <c r="BC48" s="48">
        <v>22490615.210000001</v>
      </c>
      <c r="BD48" s="48">
        <v>-95090</v>
      </c>
      <c r="BE48" s="48">
        <v>-46257251.75</v>
      </c>
      <c r="BF48" s="48">
        <v>-100043275.13</v>
      </c>
      <c r="BG48" s="48">
        <v>-95843019.280000001</v>
      </c>
      <c r="BH48" s="48">
        <v>-7199676.7400000002</v>
      </c>
      <c r="BI48" s="48">
        <v>-295008216.08999997</v>
      </c>
      <c r="BJ48" s="48">
        <v>1480417.41</v>
      </c>
      <c r="BK48" s="48">
        <v>4500</v>
      </c>
      <c r="BL48" s="48">
        <v>0</v>
      </c>
      <c r="BM48" s="48">
        <v>111140736.28</v>
      </c>
      <c r="BN48" s="48">
        <v>14610852.029999999</v>
      </c>
      <c r="BO48" s="48">
        <v>77915642.629999995</v>
      </c>
      <c r="BP48" s="48">
        <v>376238.13</v>
      </c>
      <c r="BQ48" s="48">
        <v>78247504.189999998</v>
      </c>
      <c r="BR48" s="48">
        <v>1139178.3799999999</v>
      </c>
      <c r="BS48" s="48">
        <v>101429188.83</v>
      </c>
      <c r="BT48" s="48">
        <v>-48896.84</v>
      </c>
      <c r="BU48" s="48">
        <v>-976817.08</v>
      </c>
      <c r="BV48" s="48">
        <v>0</v>
      </c>
    </row>
    <row r="49" spans="1:74">
      <c r="A49" s="48" t="s">
        <v>329</v>
      </c>
      <c r="B49" s="48">
        <v>0</v>
      </c>
      <c r="C49" s="48">
        <v>104345762.37</v>
      </c>
      <c r="D49" s="48">
        <v>0</v>
      </c>
      <c r="E49" s="48">
        <v>216291451.30000001</v>
      </c>
      <c r="F49" s="48">
        <v>0</v>
      </c>
      <c r="G49" s="48">
        <v>108325102.36</v>
      </c>
      <c r="H49" s="48">
        <v>0</v>
      </c>
      <c r="I49" s="48">
        <v>203128375.74000001</v>
      </c>
      <c r="J49" s="48">
        <v>0</v>
      </c>
      <c r="K49" s="48">
        <v>96679162.939999998</v>
      </c>
      <c r="L49" s="48">
        <v>0</v>
      </c>
      <c r="M49" s="48">
        <v>222847806.49000001</v>
      </c>
      <c r="N49" s="48">
        <v>0</v>
      </c>
      <c r="O49" s="48">
        <v>119450542.08</v>
      </c>
      <c r="P49" s="48">
        <v>0</v>
      </c>
      <c r="Q49" s="48">
        <v>206709237.77000001</v>
      </c>
      <c r="R49" s="48">
        <v>0</v>
      </c>
      <c r="S49" s="48">
        <v>100964149.67</v>
      </c>
      <c r="T49" s="48">
        <v>0</v>
      </c>
      <c r="U49" s="48">
        <v>190840526.88</v>
      </c>
      <c r="V49" s="48">
        <v>0</v>
      </c>
      <c r="W49" s="48">
        <v>94240872.510000005</v>
      </c>
      <c r="X49" s="48">
        <v>0</v>
      </c>
      <c r="Y49" s="48">
        <v>211656428.75</v>
      </c>
      <c r="Z49" s="48">
        <v>0</v>
      </c>
      <c r="AA49" s="48">
        <v>75401710.290000007</v>
      </c>
      <c r="AB49" s="48">
        <v>0</v>
      </c>
      <c r="AC49" s="48">
        <v>179708807.44</v>
      </c>
      <c r="AD49" s="48">
        <v>0</v>
      </c>
      <c r="AE49" s="48">
        <v>93353490.260000005</v>
      </c>
      <c r="AF49" s="48">
        <v>0</v>
      </c>
      <c r="AG49" s="48">
        <v>183797295.69</v>
      </c>
      <c r="AH49" s="48">
        <v>0</v>
      </c>
      <c r="AI49" s="48">
        <v>96421944.840000004</v>
      </c>
      <c r="AJ49" s="48">
        <v>0</v>
      </c>
      <c r="AK49" s="48">
        <v>173832101</v>
      </c>
      <c r="AL49" s="48">
        <v>0</v>
      </c>
      <c r="AM49" s="48">
        <v>74238264.670000002</v>
      </c>
      <c r="AN49" s="48">
        <v>0</v>
      </c>
      <c r="AO49" s="48">
        <v>149697083.86000001</v>
      </c>
      <c r="AP49" s="48">
        <v>0</v>
      </c>
      <c r="AQ49" s="48">
        <v>76707133.730000004</v>
      </c>
      <c r="AR49" s="48">
        <v>0</v>
      </c>
      <c r="AS49" s="48">
        <v>149095466.41</v>
      </c>
      <c r="AT49" s="48">
        <v>0</v>
      </c>
      <c r="AU49" s="48">
        <v>70480885.659999996</v>
      </c>
      <c r="AV49" s="48">
        <v>0</v>
      </c>
      <c r="AW49" s="48">
        <v>135970339.59</v>
      </c>
      <c r="AX49" s="48">
        <v>99638377.700000003</v>
      </c>
      <c r="AY49" s="48">
        <v>66467900.159999996</v>
      </c>
      <c r="AZ49" s="48">
        <v>32543624.02</v>
      </c>
      <c r="BA49" s="48">
        <v>127237559.11</v>
      </c>
      <c r="BB49" s="48">
        <v>102527567.28</v>
      </c>
      <c r="BC49" s="48">
        <v>60330594.689999998</v>
      </c>
      <c r="BD49" s="48">
        <v>32978661.32</v>
      </c>
      <c r="BE49" s="48">
        <v>126409348.19</v>
      </c>
      <c r="BF49" s="48">
        <v>100643777.94</v>
      </c>
      <c r="BG49" s="48">
        <v>67804503.920000002</v>
      </c>
      <c r="BH49" s="48">
        <v>33559333.810000002</v>
      </c>
      <c r="BI49" s="48">
        <v>109899974.7</v>
      </c>
      <c r="BJ49" s="48">
        <v>84496337.579999998</v>
      </c>
      <c r="BK49" s="48">
        <v>52892178.280000001</v>
      </c>
      <c r="BL49" s="48">
        <v>31403755.149999999</v>
      </c>
      <c r="BM49" s="48">
        <v>107782040.09</v>
      </c>
      <c r="BN49" s="48">
        <v>44246118.780000001</v>
      </c>
      <c r="BO49" s="48">
        <v>88222126.709999993</v>
      </c>
      <c r="BP49" s="48">
        <v>41275585.07</v>
      </c>
      <c r="BQ49" s="48">
        <v>95503651.379999995</v>
      </c>
      <c r="BR49" s="48">
        <v>40994058.859999999</v>
      </c>
      <c r="BS49" s="48">
        <v>89520764.239999995</v>
      </c>
      <c r="BT49" s="48">
        <v>41116374.049999997</v>
      </c>
      <c r="BU49" s="48">
        <v>26243609.890000001</v>
      </c>
      <c r="BV49" s="48">
        <v>0</v>
      </c>
    </row>
    <row r="50" spans="1:74">
      <c r="A50" s="48" t="s">
        <v>330</v>
      </c>
      <c r="B50" s="48">
        <v>0</v>
      </c>
      <c r="C50" s="48">
        <v>6355119.8399999999</v>
      </c>
      <c r="D50" s="48">
        <v>0</v>
      </c>
      <c r="E50" s="48">
        <v>12100977.699999999</v>
      </c>
      <c r="F50" s="48">
        <v>0</v>
      </c>
      <c r="G50" s="48">
        <v>5621280.7300000004</v>
      </c>
      <c r="H50" s="48">
        <v>0</v>
      </c>
      <c r="I50" s="48">
        <v>11766445.74</v>
      </c>
      <c r="J50" s="48">
        <v>0</v>
      </c>
      <c r="K50" s="48">
        <v>7042826.4699999997</v>
      </c>
      <c r="L50" s="48">
        <v>0</v>
      </c>
      <c r="M50" s="48">
        <v>10836222.99</v>
      </c>
      <c r="N50" s="48">
        <v>0</v>
      </c>
      <c r="O50" s="48">
        <v>5389341.1500000004</v>
      </c>
      <c r="P50" s="48">
        <v>0</v>
      </c>
      <c r="Q50" s="48">
        <v>29509235.420000002</v>
      </c>
      <c r="R50" s="48">
        <v>0</v>
      </c>
      <c r="S50" s="48">
        <v>5904966.6299999999</v>
      </c>
      <c r="T50" s="48">
        <v>0</v>
      </c>
      <c r="U50" s="48">
        <v>18250433.190000001</v>
      </c>
      <c r="V50" s="48">
        <v>0</v>
      </c>
      <c r="W50" s="48">
        <v>7194405.1900000004</v>
      </c>
      <c r="X50" s="48">
        <v>0</v>
      </c>
      <c r="Y50" s="48">
        <v>11104598.15</v>
      </c>
      <c r="Z50" s="48">
        <v>0</v>
      </c>
      <c r="AA50" s="48">
        <v>3637111.92</v>
      </c>
      <c r="AB50" s="48">
        <v>0</v>
      </c>
      <c r="AC50" s="48">
        <v>11362406.59</v>
      </c>
      <c r="AD50" s="48">
        <v>0</v>
      </c>
      <c r="AE50" s="48">
        <v>5885056.0300000003</v>
      </c>
      <c r="AF50" s="48">
        <v>0</v>
      </c>
      <c r="AG50" s="48">
        <v>13455764.949999999</v>
      </c>
      <c r="AH50" s="48">
        <v>0</v>
      </c>
      <c r="AI50" s="48">
        <v>7770726.2400000002</v>
      </c>
      <c r="AJ50" s="48">
        <v>0</v>
      </c>
      <c r="AK50" s="48">
        <v>10476796.07</v>
      </c>
      <c r="AL50" s="48">
        <v>0</v>
      </c>
      <c r="AM50" s="48">
        <v>3985898.22</v>
      </c>
      <c r="AN50" s="48">
        <v>0</v>
      </c>
      <c r="AO50" s="48">
        <v>8281692.7300000004</v>
      </c>
      <c r="AP50" s="48">
        <v>0</v>
      </c>
      <c r="AQ50" s="48">
        <v>4287664.18</v>
      </c>
      <c r="AR50" s="48">
        <v>0</v>
      </c>
      <c r="AS50" s="48">
        <v>9182599.4299999997</v>
      </c>
      <c r="AT50" s="48">
        <v>0</v>
      </c>
      <c r="AU50" s="48">
        <v>4229515.78</v>
      </c>
      <c r="AV50" s="48">
        <v>0</v>
      </c>
      <c r="AW50" s="48">
        <v>7588614.3200000003</v>
      </c>
      <c r="AX50" s="48">
        <v>5366158.8</v>
      </c>
      <c r="AY50" s="48">
        <v>3936162.12</v>
      </c>
      <c r="AZ50" s="48">
        <v>1714130.86</v>
      </c>
      <c r="BA50" s="48">
        <v>8559224.7200000007</v>
      </c>
      <c r="BB50" s="48">
        <v>6334941.6399999997</v>
      </c>
      <c r="BC50" s="48">
        <v>3852457.77</v>
      </c>
      <c r="BD50" s="48">
        <v>1902642.2</v>
      </c>
      <c r="BE50" s="48">
        <v>10406698.82</v>
      </c>
      <c r="BF50" s="48">
        <v>6792565.9699999997</v>
      </c>
      <c r="BG50" s="48">
        <v>4751764.13</v>
      </c>
      <c r="BH50" s="48">
        <v>2335835.9500000002</v>
      </c>
      <c r="BI50" s="48">
        <v>8782625.9000000004</v>
      </c>
      <c r="BJ50" s="48">
        <v>7089526.9800000004</v>
      </c>
      <c r="BK50" s="48">
        <v>1620462.95</v>
      </c>
      <c r="BL50" s="48">
        <v>1763517.7</v>
      </c>
      <c r="BM50" s="48">
        <v>2443610.4700000002</v>
      </c>
      <c r="BN50" s="48">
        <v>1123455.74</v>
      </c>
      <c r="BO50" s="48">
        <v>1595400.12</v>
      </c>
      <c r="BP50" s="48">
        <v>600708.37</v>
      </c>
      <c r="BQ50" s="48">
        <v>11702335.1</v>
      </c>
      <c r="BR50" s="48">
        <v>-80152.47</v>
      </c>
      <c r="BS50" s="48">
        <v>5482118.0300000003</v>
      </c>
      <c r="BT50" s="48">
        <v>2729291.5</v>
      </c>
      <c r="BU50" s="48">
        <v>2377808.85</v>
      </c>
      <c r="BV50" s="48">
        <v>0</v>
      </c>
    </row>
    <row r="51" spans="1:74">
      <c r="A51" s="48" t="s">
        <v>331</v>
      </c>
      <c r="B51" s="48">
        <v>0</v>
      </c>
      <c r="C51" s="48">
        <v>562767.42000000004</v>
      </c>
      <c r="D51" s="48">
        <v>0</v>
      </c>
      <c r="E51" s="48">
        <v>3834444.51</v>
      </c>
      <c r="F51" s="48">
        <v>0</v>
      </c>
      <c r="G51" s="48">
        <v>1032693.37</v>
      </c>
      <c r="H51" s="48">
        <v>0</v>
      </c>
      <c r="I51" s="48">
        <v>3574635.55</v>
      </c>
      <c r="J51" s="48">
        <v>0</v>
      </c>
      <c r="K51" s="48">
        <v>1371001.43</v>
      </c>
      <c r="L51" s="48">
        <v>0</v>
      </c>
      <c r="M51" s="48">
        <v>2948250.25</v>
      </c>
      <c r="N51" s="48">
        <v>0</v>
      </c>
      <c r="O51" s="48">
        <v>2774819.35</v>
      </c>
      <c r="P51" s="48">
        <v>0</v>
      </c>
      <c r="Q51" s="48">
        <v>3947946.12</v>
      </c>
      <c r="R51" s="48">
        <v>0</v>
      </c>
      <c r="S51" s="48">
        <v>1449728.46</v>
      </c>
      <c r="T51" s="48">
        <v>0</v>
      </c>
      <c r="U51" s="48">
        <v>3549047</v>
      </c>
      <c r="V51" s="48">
        <v>0</v>
      </c>
      <c r="W51" s="48">
        <v>1015878.84</v>
      </c>
      <c r="X51" s="48">
        <v>0</v>
      </c>
      <c r="Y51" s="48">
        <v>3261544.59</v>
      </c>
      <c r="Z51" s="48">
        <v>0</v>
      </c>
      <c r="AA51" s="48">
        <v>1055298.78</v>
      </c>
      <c r="AB51" s="48">
        <v>0</v>
      </c>
      <c r="AC51" s="48">
        <v>2420528.16</v>
      </c>
      <c r="AD51" s="48">
        <v>0</v>
      </c>
      <c r="AE51" s="48">
        <v>1236152.3999999999</v>
      </c>
      <c r="AF51" s="48">
        <v>0</v>
      </c>
      <c r="AG51" s="48">
        <v>2160991.79</v>
      </c>
      <c r="AH51" s="48">
        <v>0</v>
      </c>
      <c r="AI51" s="48">
        <v>1515130.74</v>
      </c>
      <c r="AJ51" s="48">
        <v>0</v>
      </c>
      <c r="AK51" s="48">
        <v>3888307.08</v>
      </c>
      <c r="AL51" s="48">
        <v>0</v>
      </c>
      <c r="AM51" s="48">
        <v>2222649.63</v>
      </c>
      <c r="AN51" s="48">
        <v>0</v>
      </c>
      <c r="AO51" s="48">
        <v>3255932.87</v>
      </c>
      <c r="AP51" s="48">
        <v>0</v>
      </c>
      <c r="AQ51" s="48">
        <v>521360.08</v>
      </c>
      <c r="AR51" s="48">
        <v>0</v>
      </c>
      <c r="AS51" s="48">
        <v>549249.48</v>
      </c>
      <c r="AT51" s="48">
        <v>0</v>
      </c>
      <c r="AU51" s="48">
        <v>320435.40000000002</v>
      </c>
      <c r="AV51" s="48">
        <v>0</v>
      </c>
      <c r="AW51" s="48">
        <v>472638.68</v>
      </c>
      <c r="AX51" s="48">
        <v>0</v>
      </c>
      <c r="AY51" s="48">
        <v>217166.64</v>
      </c>
      <c r="AZ51" s="48">
        <v>108583.32</v>
      </c>
      <c r="BA51" s="48">
        <v>3725414.18</v>
      </c>
      <c r="BB51" s="48">
        <v>1042249.97</v>
      </c>
      <c r="BC51" s="48">
        <v>1864638.85</v>
      </c>
      <c r="BD51" s="48">
        <v>214083.35</v>
      </c>
      <c r="BE51" s="48">
        <v>805724.4</v>
      </c>
      <c r="BF51" s="48">
        <v>650441.05000000005</v>
      </c>
      <c r="BG51" s="48">
        <v>150594.06</v>
      </c>
      <c r="BH51" s="48">
        <v>75297.03</v>
      </c>
      <c r="BI51" s="48">
        <v>815521.44</v>
      </c>
      <c r="BJ51" s="48">
        <v>270000</v>
      </c>
      <c r="BK51" s="48">
        <v>0</v>
      </c>
      <c r="BL51" s="48">
        <v>0</v>
      </c>
      <c r="BM51" s="48">
        <v>11111469.439999999</v>
      </c>
      <c r="BN51" s="48">
        <v>6254422.8600000003</v>
      </c>
      <c r="BO51" s="48">
        <v>16627329</v>
      </c>
      <c r="BP51" s="48">
        <v>715497.66</v>
      </c>
      <c r="BQ51" s="48">
        <v>0</v>
      </c>
      <c r="BR51" s="48">
        <v>0</v>
      </c>
      <c r="BS51" s="48">
        <v>0</v>
      </c>
      <c r="BT51" s="48">
        <v>0</v>
      </c>
      <c r="BU51" s="48">
        <v>0</v>
      </c>
      <c r="BV51" s="48">
        <v>0</v>
      </c>
    </row>
    <row r="52" spans="1:74">
      <c r="A52" s="48" t="s">
        <v>332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0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2330807.15</v>
      </c>
      <c r="AX52" s="48">
        <v>-2895194.54</v>
      </c>
      <c r="AY52" s="48">
        <v>-4451409.71</v>
      </c>
      <c r="AZ52" s="48">
        <v>-4603439.92</v>
      </c>
      <c r="BA52" s="48">
        <v>-1145419.52</v>
      </c>
      <c r="BB52" s="48">
        <v>-6900901.1500000004</v>
      </c>
      <c r="BC52" s="48">
        <v>-4855470.7699999996</v>
      </c>
      <c r="BD52" s="48">
        <v>-2552220.9700000002</v>
      </c>
      <c r="BE52" s="48">
        <v>-1319288.74</v>
      </c>
      <c r="BF52" s="48">
        <v>-3567654.07</v>
      </c>
      <c r="BG52" s="48">
        <v>-3032196.37</v>
      </c>
      <c r="BH52" s="48">
        <v>-1339343.43</v>
      </c>
      <c r="BI52" s="48">
        <v>304445.68</v>
      </c>
      <c r="BJ52" s="48">
        <v>-1212662.71</v>
      </c>
      <c r="BK52" s="48">
        <v>-780534.11</v>
      </c>
      <c r="BL52" s="48">
        <v>122616.9</v>
      </c>
      <c r="BM52" s="48">
        <v>221604.63</v>
      </c>
      <c r="BN52" s="48">
        <v>82360768.730000004</v>
      </c>
      <c r="BO52" s="48">
        <v>1258082.44</v>
      </c>
      <c r="BP52" s="48">
        <v>10771448.060000001</v>
      </c>
      <c r="BQ52" s="48">
        <v>1659798.94</v>
      </c>
      <c r="BR52" s="48">
        <v>0</v>
      </c>
      <c r="BS52" s="48">
        <v>-6407716.7599999998</v>
      </c>
      <c r="BT52" s="48">
        <v>3252954.96</v>
      </c>
      <c r="BU52" s="48">
        <v>4469070.16</v>
      </c>
      <c r="BV52" s="48">
        <v>0</v>
      </c>
    </row>
    <row r="53" spans="1:74">
      <c r="A53" s="48" t="s">
        <v>333</v>
      </c>
      <c r="B53" s="48">
        <v>0</v>
      </c>
      <c r="C53" s="48">
        <v>0</v>
      </c>
      <c r="D53" s="48">
        <v>0</v>
      </c>
      <c r="E53" s="48">
        <v>0</v>
      </c>
      <c r="F53" s="48">
        <v>0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48">
        <v>0</v>
      </c>
      <c r="AF53" s="48">
        <v>0</v>
      </c>
      <c r="AG53" s="48">
        <v>0</v>
      </c>
      <c r="AH53" s="48">
        <v>0</v>
      </c>
      <c r="AI53" s="48">
        <v>0</v>
      </c>
      <c r="AJ53" s="48">
        <v>0</v>
      </c>
      <c r="AK53" s="48">
        <v>0</v>
      </c>
      <c r="AL53" s="48">
        <v>0</v>
      </c>
      <c r="AM53" s="48">
        <v>0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>
        <v>0</v>
      </c>
      <c r="AW53" s="48">
        <v>3654505.62</v>
      </c>
      <c r="AX53" s="48">
        <v>9118213.7400000002</v>
      </c>
      <c r="AY53" s="48">
        <v>5602227.5300000003</v>
      </c>
      <c r="AZ53" s="48">
        <v>157072410.22999999</v>
      </c>
      <c r="BA53" s="48">
        <v>1942393.29</v>
      </c>
      <c r="BB53" s="48">
        <v>8249002.7199999997</v>
      </c>
      <c r="BC53" s="48">
        <v>7053178.75</v>
      </c>
      <c r="BD53" s="48">
        <v>7916669.3399999999</v>
      </c>
      <c r="BE53" s="48">
        <v>-3170522.94</v>
      </c>
      <c r="BF53" s="48">
        <v>16593817.960000001</v>
      </c>
      <c r="BG53" s="48">
        <v>16249617.27</v>
      </c>
      <c r="BH53" s="48">
        <v>19552626.609999999</v>
      </c>
      <c r="BI53" s="48">
        <v>-4769211.5999999996</v>
      </c>
      <c r="BJ53" s="48">
        <v>48222570.68</v>
      </c>
      <c r="BK53" s="48">
        <v>22800799.800000001</v>
      </c>
      <c r="BL53" s="48">
        <v>92494185.019999996</v>
      </c>
      <c r="BM53" s="48">
        <v>-183701.92</v>
      </c>
      <c r="BN53" s="48">
        <v>3078820.06</v>
      </c>
      <c r="BO53" s="48">
        <v>1097615</v>
      </c>
      <c r="BP53" s="48">
        <v>5841145.25</v>
      </c>
      <c r="BQ53" s="48">
        <v>342145.17</v>
      </c>
      <c r="BR53" s="48">
        <v>0</v>
      </c>
      <c r="BS53" s="48">
        <v>797371.81</v>
      </c>
      <c r="BT53" s="48">
        <v>0</v>
      </c>
      <c r="BU53" s="48">
        <v>0</v>
      </c>
      <c r="BV53" s="48">
        <v>0</v>
      </c>
    </row>
    <row r="54" spans="1:74">
      <c r="A54" s="48" t="s">
        <v>334</v>
      </c>
      <c r="B54" s="48">
        <v>0</v>
      </c>
      <c r="C54" s="48">
        <v>1151235.1499999999</v>
      </c>
      <c r="D54" s="48">
        <v>0</v>
      </c>
      <c r="E54" s="48">
        <v>2634605.08</v>
      </c>
      <c r="F54" s="48">
        <v>0</v>
      </c>
      <c r="G54" s="48">
        <v>177407.02</v>
      </c>
      <c r="H54" s="48">
        <v>0</v>
      </c>
      <c r="I54" s="48">
        <v>-2583506.83</v>
      </c>
      <c r="J54" s="48">
        <v>0</v>
      </c>
      <c r="K54" s="48">
        <v>-1475420.23</v>
      </c>
      <c r="L54" s="48">
        <v>0</v>
      </c>
      <c r="M54" s="48">
        <v>-7584455.8499999996</v>
      </c>
      <c r="N54" s="48">
        <v>0</v>
      </c>
      <c r="O54" s="48">
        <v>494174.06</v>
      </c>
      <c r="P54" s="48">
        <v>0</v>
      </c>
      <c r="Q54" s="48">
        <v>-43590900.140000001</v>
      </c>
      <c r="R54" s="48">
        <v>0</v>
      </c>
      <c r="S54" s="48">
        <v>-635067.56999999995</v>
      </c>
      <c r="T54" s="48">
        <v>0</v>
      </c>
      <c r="U54" s="48">
        <v>-11109.1</v>
      </c>
      <c r="V54" s="48">
        <v>0</v>
      </c>
      <c r="W54" s="48">
        <v>-2781848.42</v>
      </c>
      <c r="X54" s="48">
        <v>0</v>
      </c>
      <c r="Y54" s="48">
        <v>-15580237.02</v>
      </c>
      <c r="Z54" s="48">
        <v>0</v>
      </c>
      <c r="AA54" s="48">
        <v>-5509407.6799999997</v>
      </c>
      <c r="AB54" s="48">
        <v>0</v>
      </c>
      <c r="AC54" s="48">
        <v>-1028767.17</v>
      </c>
      <c r="AD54" s="48">
        <v>0</v>
      </c>
      <c r="AE54" s="48">
        <v>2470634.19</v>
      </c>
      <c r="AF54" s="48">
        <v>0</v>
      </c>
      <c r="AG54" s="48">
        <v>-16473816.779999999</v>
      </c>
      <c r="AH54" s="48">
        <v>0</v>
      </c>
      <c r="AI54" s="48">
        <v>297735.53999999998</v>
      </c>
      <c r="AJ54" s="48">
        <v>0</v>
      </c>
      <c r="AK54" s="48">
        <v>-15148984.42</v>
      </c>
      <c r="AL54" s="48">
        <v>0</v>
      </c>
      <c r="AM54" s="48">
        <v>818666.38</v>
      </c>
      <c r="AN54" s="48">
        <v>0</v>
      </c>
      <c r="AO54" s="48">
        <v>2982227.09</v>
      </c>
      <c r="AP54" s="48">
        <v>0</v>
      </c>
      <c r="AQ54" s="48">
        <v>3814238.88</v>
      </c>
      <c r="AR54" s="48">
        <v>0</v>
      </c>
      <c r="AS54" s="48">
        <v>-877676.99</v>
      </c>
      <c r="AT54" s="48">
        <v>0</v>
      </c>
      <c r="AU54" s="48">
        <v>737015.48</v>
      </c>
      <c r="AV54" s="48">
        <v>0</v>
      </c>
      <c r="AW54" s="48">
        <v>-4208975.4400000004</v>
      </c>
      <c r="AX54" s="48">
        <v>-4371197.1399999997</v>
      </c>
      <c r="AY54" s="48">
        <v>-3444912.78</v>
      </c>
      <c r="AZ54" s="48">
        <v>-825342.77</v>
      </c>
      <c r="BA54" s="48">
        <v>-3771127.98</v>
      </c>
      <c r="BB54" s="48">
        <v>-3964748.61</v>
      </c>
      <c r="BC54" s="48">
        <v>-34907.67</v>
      </c>
      <c r="BD54" s="48">
        <v>20651.740000000002</v>
      </c>
      <c r="BE54" s="48">
        <v>-1203819.48</v>
      </c>
      <c r="BF54" s="48">
        <v>-1449535.52</v>
      </c>
      <c r="BG54" s="48">
        <v>-1646497.44</v>
      </c>
      <c r="BH54" s="48">
        <v>-1167774.18</v>
      </c>
      <c r="BI54" s="48">
        <v>109793000.17</v>
      </c>
      <c r="BJ54" s="48">
        <v>17882960.59</v>
      </c>
      <c r="BK54" s="48">
        <v>876509.65</v>
      </c>
      <c r="BL54" s="48">
        <v>-611768.49</v>
      </c>
      <c r="BM54" s="48">
        <v>4354770.18</v>
      </c>
      <c r="BN54" s="48">
        <v>486335.56</v>
      </c>
      <c r="BO54" s="48">
        <v>403950.03</v>
      </c>
      <c r="BP54" s="48">
        <v>62125.15</v>
      </c>
      <c r="BQ54" s="48">
        <v>1766643.97</v>
      </c>
      <c r="BR54" s="48">
        <v>-26839.89</v>
      </c>
      <c r="BS54" s="48">
        <v>2926130.13</v>
      </c>
      <c r="BT54" s="48">
        <v>497243.51</v>
      </c>
      <c r="BU54" s="48">
        <v>-4723976.24</v>
      </c>
      <c r="BV54" s="48">
        <v>0</v>
      </c>
    </row>
    <row r="55" spans="1:74">
      <c r="A55" s="48" t="s">
        <v>335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-785626.86</v>
      </c>
      <c r="X55" s="48">
        <v>0</v>
      </c>
      <c r="Y55" s="48">
        <v>0</v>
      </c>
      <c r="Z55" s="48">
        <v>0</v>
      </c>
      <c r="AA55" s="48">
        <v>43481.42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126562.73</v>
      </c>
      <c r="AJ55" s="48">
        <v>0</v>
      </c>
      <c r="AK55" s="48">
        <v>4696280.87</v>
      </c>
      <c r="AL55" s="48">
        <v>0</v>
      </c>
      <c r="AM55" s="48">
        <v>544578.19999999995</v>
      </c>
      <c r="AN55" s="48">
        <v>0</v>
      </c>
      <c r="AO55" s="48">
        <v>45788.21</v>
      </c>
      <c r="AP55" s="48">
        <v>0</v>
      </c>
      <c r="AQ55" s="48">
        <v>159435.85999999999</v>
      </c>
      <c r="AR55" s="48">
        <v>0</v>
      </c>
      <c r="AS55" s="48">
        <v>1332829.3400000001</v>
      </c>
      <c r="AT55" s="48">
        <v>0</v>
      </c>
      <c r="AU55" s="48">
        <v>815529.13</v>
      </c>
      <c r="AV55" s="48">
        <v>0</v>
      </c>
      <c r="AW55" s="48">
        <v>1794685</v>
      </c>
      <c r="AX55" s="48">
        <v>1115687</v>
      </c>
      <c r="AY55" s="48">
        <v>0</v>
      </c>
      <c r="AZ55" s="48">
        <v>2650</v>
      </c>
      <c r="BA55" s="48">
        <v>72072.160000000003</v>
      </c>
      <c r="BB55" s="48">
        <v>147194.41</v>
      </c>
      <c r="BC55" s="48">
        <v>47824.41</v>
      </c>
      <c r="BD55" s="48">
        <v>142236.41</v>
      </c>
      <c r="BE55" s="48">
        <v>1465303.32</v>
      </c>
      <c r="BF55" s="48">
        <v>4084502.1</v>
      </c>
      <c r="BG55" s="48">
        <v>2197201.34</v>
      </c>
      <c r="BH55" s="48">
        <v>1952404.56</v>
      </c>
      <c r="BI55" s="48">
        <v>927280.99</v>
      </c>
      <c r="BJ55" s="48">
        <v>859864.72</v>
      </c>
      <c r="BK55" s="48">
        <v>648703.48</v>
      </c>
      <c r="BL55" s="48">
        <v>8525</v>
      </c>
      <c r="BM55" s="48">
        <v>550805.42000000004</v>
      </c>
      <c r="BN55" s="48">
        <v>38757.050000000003</v>
      </c>
      <c r="BO55" s="48">
        <v>253471</v>
      </c>
      <c r="BP55" s="48">
        <v>568103.55000000005</v>
      </c>
      <c r="BQ55" s="48">
        <v>198046.58</v>
      </c>
      <c r="BR55" s="48">
        <v>20412.77</v>
      </c>
      <c r="BS55" s="48">
        <v>20588.57</v>
      </c>
      <c r="BT55" s="48">
        <v>11000</v>
      </c>
      <c r="BU55" s="48">
        <v>443143.48</v>
      </c>
      <c r="BV55" s="48">
        <v>0</v>
      </c>
    </row>
    <row r="56" spans="1:74">
      <c r="A56" s="48" t="s">
        <v>336</v>
      </c>
      <c r="B56" s="48">
        <v>0</v>
      </c>
      <c r="C56" s="48">
        <v>18242348.899999999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</row>
    <row r="57" spans="1:74">
      <c r="A57" s="48" t="s">
        <v>337</v>
      </c>
      <c r="B57" s="48">
        <v>0</v>
      </c>
      <c r="C57" s="48">
        <v>0</v>
      </c>
      <c r="D57" s="48">
        <v>0</v>
      </c>
      <c r="E57" s="48">
        <v>-10678155.48</v>
      </c>
      <c r="F57" s="48">
        <v>0</v>
      </c>
      <c r="G57" s="48">
        <v>0</v>
      </c>
      <c r="H57" s="48">
        <v>0</v>
      </c>
      <c r="I57" s="48">
        <v>-13497233.18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</row>
    <row r="58" spans="1:74">
      <c r="A58" s="48" t="s">
        <v>338</v>
      </c>
      <c r="B58" s="48">
        <v>0</v>
      </c>
      <c r="C58" s="48">
        <v>0</v>
      </c>
      <c r="D58" s="48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0</v>
      </c>
      <c r="BD58" s="48">
        <v>0</v>
      </c>
      <c r="BE58" s="48">
        <v>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0</v>
      </c>
      <c r="BO58" s="48">
        <v>0</v>
      </c>
      <c r="BP58" s="48">
        <v>0</v>
      </c>
      <c r="BQ58" s="48">
        <v>0</v>
      </c>
      <c r="BR58" s="48">
        <v>0</v>
      </c>
      <c r="BS58" s="48">
        <v>0</v>
      </c>
      <c r="BT58" s="48">
        <v>0</v>
      </c>
      <c r="BU58" s="48">
        <v>0</v>
      </c>
      <c r="BV58" s="48">
        <v>0</v>
      </c>
    </row>
    <row r="59" spans="1:74">
      <c r="A59" s="48" t="s">
        <v>263</v>
      </c>
      <c r="B59" s="48">
        <v>0</v>
      </c>
      <c r="C59" s="48">
        <v>-72464290.230000004</v>
      </c>
      <c r="D59" s="48">
        <v>0</v>
      </c>
      <c r="E59" s="48">
        <v>-128724942.86</v>
      </c>
      <c r="F59" s="48">
        <v>0</v>
      </c>
      <c r="G59" s="48">
        <v>-77377461.900000006</v>
      </c>
      <c r="H59" s="48">
        <v>0</v>
      </c>
      <c r="I59" s="48">
        <v>-199751474.94999999</v>
      </c>
      <c r="J59" s="48">
        <v>0</v>
      </c>
      <c r="K59" s="48">
        <v>-103098875.67</v>
      </c>
      <c r="L59" s="48">
        <v>0</v>
      </c>
      <c r="M59" s="48">
        <v>-264354272.96000001</v>
      </c>
      <c r="N59" s="48">
        <v>0</v>
      </c>
      <c r="O59" s="48">
        <v>28285966.920000002</v>
      </c>
      <c r="P59" s="48">
        <v>0</v>
      </c>
      <c r="Q59" s="48">
        <v>27687309.359999999</v>
      </c>
      <c r="R59" s="48">
        <v>0</v>
      </c>
      <c r="S59" s="48">
        <v>19587867.960000001</v>
      </c>
      <c r="T59" s="48">
        <v>0</v>
      </c>
      <c r="U59" s="48">
        <v>32161386.079999998</v>
      </c>
      <c r="V59" s="48">
        <v>0</v>
      </c>
      <c r="W59" s="48">
        <v>23580143.18</v>
      </c>
      <c r="X59" s="48">
        <v>0</v>
      </c>
      <c r="Y59" s="48">
        <v>51728236.600000001</v>
      </c>
      <c r="Z59" s="48">
        <v>0</v>
      </c>
      <c r="AA59" s="48">
        <v>10074775.109999999</v>
      </c>
      <c r="AB59" s="48">
        <v>0</v>
      </c>
      <c r="AC59" s="48">
        <v>9280342.7300000004</v>
      </c>
      <c r="AD59" s="48">
        <v>0</v>
      </c>
      <c r="AE59" s="48">
        <v>7962231.7800000003</v>
      </c>
      <c r="AF59" s="48">
        <v>0</v>
      </c>
      <c r="AG59" s="48">
        <v>12651826.15</v>
      </c>
      <c r="AH59" s="48">
        <v>0</v>
      </c>
      <c r="AI59" s="48">
        <v>13626786.529999999</v>
      </c>
      <c r="AJ59" s="48">
        <v>0</v>
      </c>
      <c r="AK59" s="48">
        <v>4749273.5</v>
      </c>
      <c r="AL59" s="48">
        <v>0</v>
      </c>
      <c r="AM59" s="48">
        <v>9826102.4900000002</v>
      </c>
      <c r="AN59" s="48">
        <v>0</v>
      </c>
      <c r="AO59" s="48">
        <v>11379980.58</v>
      </c>
      <c r="AP59" s="48">
        <v>0</v>
      </c>
      <c r="AQ59" s="48">
        <v>13562832.65</v>
      </c>
      <c r="AR59" s="48">
        <v>0</v>
      </c>
      <c r="AS59" s="48">
        <v>19496954.859999999</v>
      </c>
      <c r="AT59" s="48">
        <v>0</v>
      </c>
      <c r="AU59" s="48">
        <v>10549275.689999999</v>
      </c>
      <c r="AV59" s="48">
        <v>0</v>
      </c>
      <c r="AW59" s="48">
        <v>29317795.780000001</v>
      </c>
      <c r="AX59" s="48">
        <v>21836882.190000001</v>
      </c>
      <c r="AY59" s="48">
        <v>14390098.869999999</v>
      </c>
      <c r="AZ59" s="48">
        <v>7930588.8799999999</v>
      </c>
      <c r="BA59" s="48">
        <v>41848936.689999998</v>
      </c>
      <c r="BB59" s="48">
        <v>34031331.810000002</v>
      </c>
      <c r="BC59" s="48">
        <v>20381562.460000001</v>
      </c>
      <c r="BD59" s="48">
        <v>7803248.9800000004</v>
      </c>
      <c r="BE59" s="48">
        <v>35887592.640000001</v>
      </c>
      <c r="BF59" s="48">
        <v>28891198.809999999</v>
      </c>
      <c r="BG59" s="48">
        <v>19238661.98</v>
      </c>
      <c r="BH59" s="48">
        <v>8767678.7400000002</v>
      </c>
      <c r="BI59" s="48">
        <v>57235692.200000003</v>
      </c>
      <c r="BJ59" s="48">
        <v>49427495.600000001</v>
      </c>
      <c r="BK59" s="48">
        <v>36216842.700000003</v>
      </c>
      <c r="BL59" s="48">
        <v>16282656.23</v>
      </c>
      <c r="BM59" s="48">
        <v>71959672.269999996</v>
      </c>
      <c r="BN59" s="48">
        <v>31275826.550000001</v>
      </c>
      <c r="BO59" s="48">
        <v>60025590.369999997</v>
      </c>
      <c r="BP59" s="48">
        <v>26491318.57</v>
      </c>
      <c r="BQ59" s="48">
        <v>56218165.460000001</v>
      </c>
      <c r="BR59" s="48">
        <v>-87429.7</v>
      </c>
      <c r="BS59" s="48">
        <v>54253933.350000001</v>
      </c>
      <c r="BT59" s="48">
        <v>27410048.010000002</v>
      </c>
      <c r="BU59" s="48">
        <v>868607.39</v>
      </c>
      <c r="BV59" s="48">
        <v>0</v>
      </c>
    </row>
    <row r="60" spans="1:74">
      <c r="A60" s="48" t="s">
        <v>339</v>
      </c>
      <c r="B60" s="48">
        <v>0</v>
      </c>
      <c r="C60" s="48">
        <v>-142435555.63999999</v>
      </c>
      <c r="D60" s="48">
        <v>0</v>
      </c>
      <c r="E60" s="48">
        <v>-335160128.07999998</v>
      </c>
      <c r="F60" s="48">
        <v>0</v>
      </c>
      <c r="G60" s="48">
        <v>-155147077.78</v>
      </c>
      <c r="H60" s="48">
        <v>0</v>
      </c>
      <c r="I60" s="48">
        <v>-564831382.39999998</v>
      </c>
      <c r="J60" s="48">
        <v>0</v>
      </c>
      <c r="K60" s="48">
        <v>-326237733.10000002</v>
      </c>
      <c r="L60" s="48">
        <v>0</v>
      </c>
      <c r="M60" s="48">
        <v>-1151206092.8099999</v>
      </c>
      <c r="N60" s="48">
        <v>0</v>
      </c>
      <c r="O60" s="48">
        <v>-240115838.13999999</v>
      </c>
      <c r="P60" s="48">
        <v>0</v>
      </c>
      <c r="Q60" s="48">
        <v>-316311672.64999998</v>
      </c>
      <c r="R60" s="48">
        <v>0</v>
      </c>
      <c r="S60" s="48">
        <v>-182282145.13</v>
      </c>
      <c r="T60" s="48">
        <v>0</v>
      </c>
      <c r="U60" s="48">
        <v>-243256941.71000001</v>
      </c>
      <c r="V60" s="48">
        <v>0</v>
      </c>
      <c r="W60" s="48">
        <v>-52985679.450000003</v>
      </c>
      <c r="X60" s="48">
        <v>0</v>
      </c>
      <c r="Y60" s="48">
        <v>-437060383.77999997</v>
      </c>
      <c r="Z60" s="48">
        <v>0</v>
      </c>
      <c r="AA60" s="48">
        <v>-316779008.56999999</v>
      </c>
      <c r="AB60" s="48">
        <v>0</v>
      </c>
      <c r="AC60" s="48">
        <v>-345448072.76999998</v>
      </c>
      <c r="AD60" s="48">
        <v>0</v>
      </c>
      <c r="AE60" s="48">
        <v>-206154765.75999999</v>
      </c>
      <c r="AF60" s="48">
        <v>0</v>
      </c>
      <c r="AG60" s="48">
        <v>-358487050.43000001</v>
      </c>
      <c r="AH60" s="48">
        <v>0</v>
      </c>
      <c r="AI60" s="48">
        <v>-171484647.58000001</v>
      </c>
      <c r="AJ60" s="48">
        <v>0</v>
      </c>
      <c r="AK60" s="48">
        <v>-251508369.59</v>
      </c>
      <c r="AL60" s="48">
        <v>0</v>
      </c>
      <c r="AM60" s="48">
        <v>-130525571.23999999</v>
      </c>
      <c r="AN60" s="48">
        <v>0</v>
      </c>
      <c r="AO60" s="48">
        <v>-412102974.93000001</v>
      </c>
      <c r="AP60" s="48">
        <v>0</v>
      </c>
      <c r="AQ60" s="48">
        <v>-147019454.00999999</v>
      </c>
      <c r="AR60" s="48">
        <v>0</v>
      </c>
      <c r="AS60" s="48">
        <v>-251429322.63999999</v>
      </c>
      <c r="AT60" s="48">
        <v>0</v>
      </c>
      <c r="AU60" s="48">
        <v>-149178110.13999999</v>
      </c>
      <c r="AV60" s="48">
        <v>0</v>
      </c>
      <c r="AW60" s="48">
        <v>-106002085.7</v>
      </c>
      <c r="AX60" s="48">
        <v>-78146813.989999995</v>
      </c>
      <c r="AY60" s="48">
        <v>-31508275.550000001</v>
      </c>
      <c r="AZ60" s="48">
        <v>-6818330.1399999997</v>
      </c>
      <c r="BA60" s="48">
        <v>52414533.450000003</v>
      </c>
      <c r="BB60" s="48">
        <v>47415743.689999998</v>
      </c>
      <c r="BC60" s="48">
        <v>4476487.08</v>
      </c>
      <c r="BD60" s="48">
        <v>-13731417.210000001</v>
      </c>
      <c r="BE60" s="48">
        <v>-74080792.579999998</v>
      </c>
      <c r="BF60" s="48">
        <v>-53634658.140000001</v>
      </c>
      <c r="BG60" s="48">
        <v>-44718368.039999999</v>
      </c>
      <c r="BH60" s="48">
        <v>-13012623.23</v>
      </c>
      <c r="BI60" s="48">
        <v>-129351232.81999999</v>
      </c>
      <c r="BJ60" s="48">
        <v>-126231548.87</v>
      </c>
      <c r="BK60" s="48">
        <v>-99137772.019999996</v>
      </c>
      <c r="BL60" s="48">
        <v>-21058739.870000001</v>
      </c>
      <c r="BM60" s="48">
        <v>-80579243.650000006</v>
      </c>
      <c r="BN60" s="48">
        <v>-47536007.049999997</v>
      </c>
      <c r="BO60" s="48">
        <v>-47111894.539999999</v>
      </c>
      <c r="BP60" s="48">
        <v>-42178051.18</v>
      </c>
      <c r="BQ60" s="48">
        <v>-116410829.40000001</v>
      </c>
      <c r="BR60" s="48">
        <v>-55492097.759999998</v>
      </c>
      <c r="BS60" s="48">
        <v>-42252799.109999999</v>
      </c>
      <c r="BT60" s="48">
        <v>8467811.9100000001</v>
      </c>
      <c r="BU60" s="48">
        <v>-44424228.259999998</v>
      </c>
      <c r="BV60" s="48">
        <v>0</v>
      </c>
    </row>
    <row r="61" spans="1:74">
      <c r="A61" s="48" t="s">
        <v>340</v>
      </c>
      <c r="B61" s="48">
        <v>0</v>
      </c>
      <c r="C61" s="48">
        <v>-2989118.5</v>
      </c>
      <c r="D61" s="48">
        <v>0</v>
      </c>
      <c r="E61" s="48">
        <v>-81807586.780000001</v>
      </c>
      <c r="F61" s="48">
        <v>0</v>
      </c>
      <c r="G61" s="48">
        <v>35783944.049999997</v>
      </c>
      <c r="H61" s="48">
        <v>0</v>
      </c>
      <c r="I61" s="48">
        <v>-20703647</v>
      </c>
      <c r="J61" s="48">
        <v>0</v>
      </c>
      <c r="K61" s="48">
        <v>-19739122.850000001</v>
      </c>
      <c r="L61" s="48">
        <v>0</v>
      </c>
      <c r="M61" s="48">
        <v>4683469.8</v>
      </c>
      <c r="N61" s="48">
        <v>0</v>
      </c>
      <c r="O61" s="48">
        <v>-23127482.050000001</v>
      </c>
      <c r="P61" s="48">
        <v>0</v>
      </c>
      <c r="Q61" s="48">
        <v>-1825074.41</v>
      </c>
      <c r="R61" s="48">
        <v>0</v>
      </c>
      <c r="S61" s="48">
        <v>-1495300.78</v>
      </c>
      <c r="T61" s="48">
        <v>0</v>
      </c>
      <c r="U61" s="48">
        <v>-28501854.18</v>
      </c>
      <c r="V61" s="48">
        <v>0</v>
      </c>
      <c r="W61" s="48">
        <v>-1347849.42</v>
      </c>
      <c r="X61" s="48">
        <v>0</v>
      </c>
      <c r="Y61" s="48">
        <v>-24188107.140000001</v>
      </c>
      <c r="Z61" s="48">
        <v>0</v>
      </c>
      <c r="AA61" s="48">
        <v>-4694668.9800000004</v>
      </c>
      <c r="AB61" s="48">
        <v>0</v>
      </c>
      <c r="AC61" s="48">
        <v>-21208066.739999998</v>
      </c>
      <c r="AD61" s="48">
        <v>0</v>
      </c>
      <c r="AE61" s="48">
        <v>-577257.34</v>
      </c>
      <c r="AF61" s="48">
        <v>0</v>
      </c>
      <c r="AG61" s="48">
        <v>-21714280.91</v>
      </c>
      <c r="AH61" s="48">
        <v>0</v>
      </c>
      <c r="AI61" s="48">
        <v>60258.83</v>
      </c>
      <c r="AJ61" s="48">
        <v>0</v>
      </c>
      <c r="AK61" s="48">
        <v>-24510892.41</v>
      </c>
      <c r="AL61" s="48">
        <v>0</v>
      </c>
      <c r="AM61" s="48">
        <v>-2004885.16</v>
      </c>
      <c r="AN61" s="48">
        <v>0</v>
      </c>
      <c r="AO61" s="48">
        <v>-4005068.83</v>
      </c>
      <c r="AP61" s="48">
        <v>0</v>
      </c>
      <c r="AQ61" s="48">
        <v>-7341532.3499999996</v>
      </c>
      <c r="AR61" s="48">
        <v>0</v>
      </c>
      <c r="AS61" s="48">
        <v>-23234251.079999998</v>
      </c>
      <c r="AT61" s="48">
        <v>0</v>
      </c>
      <c r="AU61" s="48">
        <v>3292787.88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0</v>
      </c>
      <c r="BE61" s="48">
        <v>0</v>
      </c>
      <c r="BF61" s="48">
        <v>0</v>
      </c>
      <c r="BG61" s="48">
        <v>0</v>
      </c>
      <c r="BH61" s="48">
        <v>0</v>
      </c>
      <c r="BI61" s="48">
        <v>0</v>
      </c>
      <c r="BJ61" s="48">
        <v>0</v>
      </c>
      <c r="BK61" s="48">
        <v>0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</row>
    <row r="62" spans="1:74">
      <c r="A62" s="48" t="s">
        <v>341</v>
      </c>
      <c r="B62" s="48">
        <v>0</v>
      </c>
      <c r="C62" s="48">
        <v>22418106.5</v>
      </c>
      <c r="D62" s="48">
        <v>0</v>
      </c>
      <c r="E62" s="48">
        <v>-16565504.17</v>
      </c>
      <c r="F62" s="48">
        <v>0</v>
      </c>
      <c r="G62" s="48">
        <v>1881552.89</v>
      </c>
      <c r="H62" s="48">
        <v>0</v>
      </c>
      <c r="I62" s="48">
        <v>-9355799.7200000007</v>
      </c>
      <c r="J62" s="48">
        <v>0</v>
      </c>
      <c r="K62" s="48">
        <v>-13764982.380000001</v>
      </c>
      <c r="L62" s="48">
        <v>0</v>
      </c>
      <c r="M62" s="48">
        <v>14220400.66</v>
      </c>
      <c r="N62" s="48">
        <v>0</v>
      </c>
      <c r="O62" s="48">
        <v>-98239.15</v>
      </c>
      <c r="P62" s="48">
        <v>0</v>
      </c>
      <c r="Q62" s="48">
        <v>-16563963.24</v>
      </c>
      <c r="R62" s="48">
        <v>0</v>
      </c>
      <c r="S62" s="48">
        <v>-2920880.83</v>
      </c>
      <c r="T62" s="48">
        <v>0</v>
      </c>
      <c r="U62" s="48">
        <v>-2583577.96</v>
      </c>
      <c r="V62" s="48">
        <v>0</v>
      </c>
      <c r="W62" s="48">
        <v>1555825.2</v>
      </c>
      <c r="X62" s="48">
        <v>0</v>
      </c>
      <c r="Y62" s="48">
        <v>4898089.01</v>
      </c>
      <c r="Z62" s="48">
        <v>0</v>
      </c>
      <c r="AA62" s="48">
        <v>-380759.83</v>
      </c>
      <c r="AB62" s="48">
        <v>0</v>
      </c>
      <c r="AC62" s="48">
        <v>-1152943.95</v>
      </c>
      <c r="AD62" s="48">
        <v>0</v>
      </c>
      <c r="AE62" s="48">
        <v>-7306626.1799999997</v>
      </c>
      <c r="AF62" s="48">
        <v>0</v>
      </c>
      <c r="AG62" s="48">
        <v>-4035884.57</v>
      </c>
      <c r="AH62" s="48">
        <v>0</v>
      </c>
      <c r="AI62" s="48">
        <v>-1586241.22</v>
      </c>
      <c r="AJ62" s="48">
        <v>0</v>
      </c>
      <c r="AK62" s="48">
        <v>-3367173.56</v>
      </c>
      <c r="AL62" s="48">
        <v>0</v>
      </c>
      <c r="AM62" s="48">
        <v>-1761526.94</v>
      </c>
      <c r="AN62" s="48">
        <v>0</v>
      </c>
      <c r="AO62" s="48">
        <v>-8268833.4800000004</v>
      </c>
      <c r="AP62" s="48">
        <v>0</v>
      </c>
      <c r="AQ62" s="48">
        <v>3751750.75</v>
      </c>
      <c r="AR62" s="48">
        <v>0</v>
      </c>
      <c r="AS62" s="48">
        <v>6464761.2400000002</v>
      </c>
      <c r="AT62" s="48">
        <v>0</v>
      </c>
      <c r="AU62" s="48">
        <v>18727502.359999999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2045133.22</v>
      </c>
      <c r="BQ62" s="48">
        <v>0</v>
      </c>
      <c r="BR62" s="48">
        <v>1128045.8600000001</v>
      </c>
      <c r="BS62" s="48">
        <v>0</v>
      </c>
      <c r="BT62" s="48">
        <v>0</v>
      </c>
      <c r="BU62" s="48">
        <v>0</v>
      </c>
      <c r="BV62" s="48">
        <v>0</v>
      </c>
    </row>
    <row r="63" spans="1:74">
      <c r="A63" s="48" t="s">
        <v>342</v>
      </c>
      <c r="B63" s="48">
        <v>0</v>
      </c>
      <c r="C63" s="48">
        <v>51787531.119999997</v>
      </c>
      <c r="D63" s="48">
        <v>0</v>
      </c>
      <c r="E63" s="48">
        <v>-1345384160</v>
      </c>
      <c r="F63" s="48">
        <v>0</v>
      </c>
      <c r="G63" s="48">
        <v>-271801600.31</v>
      </c>
      <c r="H63" s="48">
        <v>0</v>
      </c>
      <c r="I63" s="48">
        <v>-520740505.74000001</v>
      </c>
      <c r="J63" s="48">
        <v>0</v>
      </c>
      <c r="K63" s="48">
        <v>-29235461.710000001</v>
      </c>
      <c r="L63" s="48">
        <v>0</v>
      </c>
      <c r="M63" s="48">
        <v>147396067.34</v>
      </c>
      <c r="N63" s="48">
        <v>0</v>
      </c>
      <c r="O63" s="48">
        <v>716677969.57000005</v>
      </c>
      <c r="P63" s="48">
        <v>0</v>
      </c>
      <c r="Q63" s="48">
        <v>-1423975321.74</v>
      </c>
      <c r="R63" s="48">
        <v>0</v>
      </c>
      <c r="S63" s="48">
        <v>-507973442.58999997</v>
      </c>
      <c r="T63" s="48">
        <v>0</v>
      </c>
      <c r="U63" s="48">
        <v>-1731602128.9100001</v>
      </c>
      <c r="V63" s="48">
        <v>0</v>
      </c>
      <c r="W63" s="48">
        <v>-563270828.35000002</v>
      </c>
      <c r="X63" s="48">
        <v>0</v>
      </c>
      <c r="Y63" s="48">
        <v>-637386557.01999998</v>
      </c>
      <c r="Z63" s="48">
        <v>0</v>
      </c>
      <c r="AA63" s="48">
        <v>-2391825.04</v>
      </c>
      <c r="AB63" s="48">
        <v>0</v>
      </c>
      <c r="AC63" s="48">
        <v>-1069823043.9</v>
      </c>
      <c r="AD63" s="48">
        <v>0</v>
      </c>
      <c r="AE63" s="48">
        <v>-268753843.43000001</v>
      </c>
      <c r="AF63" s="48">
        <v>0</v>
      </c>
      <c r="AG63" s="48">
        <v>-449631499.31999999</v>
      </c>
      <c r="AH63" s="48">
        <v>0</v>
      </c>
      <c r="AI63" s="48">
        <v>73587656.950000003</v>
      </c>
      <c r="AJ63" s="48">
        <v>0</v>
      </c>
      <c r="AK63" s="48">
        <v>-69426335.810000002</v>
      </c>
      <c r="AL63" s="48">
        <v>0</v>
      </c>
      <c r="AM63" s="48">
        <v>191270103.90000001</v>
      </c>
      <c r="AN63" s="48">
        <v>0</v>
      </c>
      <c r="AO63" s="48">
        <v>-144338344.81</v>
      </c>
      <c r="AP63" s="48">
        <v>0</v>
      </c>
      <c r="AQ63" s="48">
        <v>-171552255.84</v>
      </c>
      <c r="AR63" s="48">
        <v>0</v>
      </c>
      <c r="AS63" s="48">
        <v>-312584976.75999999</v>
      </c>
      <c r="AT63" s="48">
        <v>0</v>
      </c>
      <c r="AU63" s="48">
        <v>-203155499.75999999</v>
      </c>
      <c r="AV63" s="48">
        <v>0</v>
      </c>
      <c r="AW63" s="48">
        <v>-281427314.94</v>
      </c>
      <c r="AX63" s="48">
        <v>243392312.08000001</v>
      </c>
      <c r="AY63" s="48">
        <v>152252822.71000001</v>
      </c>
      <c r="AZ63" s="48">
        <v>82198436.969999999</v>
      </c>
      <c r="BA63" s="48">
        <v>45992740.700000003</v>
      </c>
      <c r="BB63" s="48">
        <v>-122429316.67</v>
      </c>
      <c r="BC63" s="48">
        <v>-35812084.32</v>
      </c>
      <c r="BD63" s="48">
        <v>-68512974.989999995</v>
      </c>
      <c r="BE63" s="48">
        <v>-68683451.700000003</v>
      </c>
      <c r="BF63" s="48">
        <v>-29597334.73</v>
      </c>
      <c r="BG63" s="48">
        <v>56309564.390000001</v>
      </c>
      <c r="BH63" s="48">
        <v>180670480.34</v>
      </c>
      <c r="BI63" s="48">
        <v>-161825605.94999999</v>
      </c>
      <c r="BJ63" s="48">
        <v>-96295323.819999993</v>
      </c>
      <c r="BK63" s="48">
        <v>39699790.780000001</v>
      </c>
      <c r="BL63" s="48">
        <v>44996058.270000003</v>
      </c>
      <c r="BM63" s="48">
        <v>-401717642.95999998</v>
      </c>
      <c r="BN63" s="48">
        <v>153214169.71000001</v>
      </c>
      <c r="BO63" s="48">
        <v>24042664.359999999</v>
      </c>
      <c r="BP63" s="48">
        <v>70458797.650000006</v>
      </c>
      <c r="BQ63" s="48">
        <v>-60657947.170000002</v>
      </c>
      <c r="BR63" s="48">
        <v>-25015726.43</v>
      </c>
      <c r="BS63" s="48">
        <v>-230698857.69999999</v>
      </c>
      <c r="BT63" s="48">
        <v>-100046202.38</v>
      </c>
      <c r="BU63" s="48">
        <v>70142663.879999995</v>
      </c>
      <c r="BV63" s="48">
        <v>0</v>
      </c>
    </row>
    <row r="64" spans="1:74">
      <c r="A64" s="48" t="s">
        <v>343</v>
      </c>
      <c r="B64" s="48">
        <v>0</v>
      </c>
      <c r="C64" s="48">
        <v>-615180458.07000005</v>
      </c>
      <c r="D64" s="48">
        <v>0</v>
      </c>
      <c r="E64" s="48">
        <v>74082968.730000004</v>
      </c>
      <c r="F64" s="48">
        <v>0</v>
      </c>
      <c r="G64" s="48">
        <v>488021230.01999998</v>
      </c>
      <c r="H64" s="48">
        <v>0</v>
      </c>
      <c r="I64" s="48">
        <v>-295463057.07999998</v>
      </c>
      <c r="J64" s="48">
        <v>0</v>
      </c>
      <c r="K64" s="48">
        <v>-25987432.010000002</v>
      </c>
      <c r="L64" s="48">
        <v>0</v>
      </c>
      <c r="M64" s="48">
        <v>-998909392.55999994</v>
      </c>
      <c r="N64" s="48">
        <v>0</v>
      </c>
      <c r="O64" s="48">
        <v>-723446569.17999995</v>
      </c>
      <c r="P64" s="48">
        <v>0</v>
      </c>
      <c r="Q64" s="48">
        <v>-384805309.30000001</v>
      </c>
      <c r="R64" s="48">
        <v>0</v>
      </c>
      <c r="S64" s="48">
        <v>-15452597.02</v>
      </c>
      <c r="T64" s="48">
        <v>0</v>
      </c>
      <c r="U64" s="48">
        <v>-495438400.27999997</v>
      </c>
      <c r="V64" s="48">
        <v>0</v>
      </c>
      <c r="W64" s="48">
        <v>-57958398.020000003</v>
      </c>
      <c r="X64" s="48">
        <v>0</v>
      </c>
      <c r="Y64" s="48">
        <v>-750776589.62</v>
      </c>
      <c r="Z64" s="48">
        <v>0</v>
      </c>
      <c r="AA64" s="48">
        <v>-525332568.94999999</v>
      </c>
      <c r="AB64" s="48">
        <v>0</v>
      </c>
      <c r="AC64" s="48">
        <v>-718676433</v>
      </c>
      <c r="AD64" s="48">
        <v>0</v>
      </c>
      <c r="AE64" s="48">
        <v>-485283377.26999998</v>
      </c>
      <c r="AF64" s="48">
        <v>0</v>
      </c>
      <c r="AG64" s="48">
        <v>-602079510.98000002</v>
      </c>
      <c r="AH64" s="48">
        <v>0</v>
      </c>
      <c r="AI64" s="48">
        <v>-440036647.70999998</v>
      </c>
      <c r="AJ64" s="48">
        <v>0</v>
      </c>
      <c r="AK64" s="48">
        <v>-275331370.44</v>
      </c>
      <c r="AL64" s="48">
        <v>0</v>
      </c>
      <c r="AM64" s="48">
        <v>-463665108.51999998</v>
      </c>
      <c r="AN64" s="48">
        <v>0</v>
      </c>
      <c r="AO64" s="48">
        <v>-60205473.100000001</v>
      </c>
      <c r="AP64" s="48">
        <v>0</v>
      </c>
      <c r="AQ64" s="48">
        <v>-314000456.07999998</v>
      </c>
      <c r="AR64" s="48">
        <v>0</v>
      </c>
      <c r="AS64" s="48">
        <v>-365084508.38999999</v>
      </c>
      <c r="AT64" s="48">
        <v>0</v>
      </c>
      <c r="AU64" s="48">
        <v>-316527848.49000001</v>
      </c>
      <c r="AV64" s="48">
        <v>0</v>
      </c>
      <c r="AW64" s="48">
        <v>-160172650.83000001</v>
      </c>
      <c r="AX64" s="48">
        <v>-7857889.0099999998</v>
      </c>
      <c r="AY64" s="48">
        <v>-53258064.829999998</v>
      </c>
      <c r="AZ64" s="48">
        <v>-102871520.40000001</v>
      </c>
      <c r="BA64" s="48">
        <v>-140825288.12</v>
      </c>
      <c r="BB64" s="48">
        <v>-273874328.13999999</v>
      </c>
      <c r="BC64" s="48">
        <v>-214240783.13</v>
      </c>
      <c r="BD64" s="48">
        <v>-92917349.629999995</v>
      </c>
      <c r="BE64" s="48">
        <v>-132355610.91</v>
      </c>
      <c r="BF64" s="48">
        <v>-232868162.43000001</v>
      </c>
      <c r="BG64" s="48">
        <v>-186564154.86000001</v>
      </c>
      <c r="BH64" s="48">
        <v>-121640023</v>
      </c>
      <c r="BI64" s="48">
        <v>-285391552.36000001</v>
      </c>
      <c r="BJ64" s="48">
        <v>-200525188.16</v>
      </c>
      <c r="BK64" s="48">
        <v>-156467125.44</v>
      </c>
      <c r="BL64" s="48">
        <v>-175225292.24000001</v>
      </c>
      <c r="BM64" s="48">
        <v>-146640631.16</v>
      </c>
      <c r="BN64" s="48">
        <v>-189348060.13999999</v>
      </c>
      <c r="BO64" s="48">
        <v>82198383.299999997</v>
      </c>
      <c r="BP64" s="48">
        <v>-57169712.159999996</v>
      </c>
      <c r="BQ64" s="48">
        <v>330067626.42000002</v>
      </c>
      <c r="BR64" s="48">
        <v>-127595169.08</v>
      </c>
      <c r="BS64" s="48">
        <v>-11104610.439999999</v>
      </c>
      <c r="BT64" s="48">
        <v>-130022707.01000001</v>
      </c>
      <c r="BU64" s="48">
        <v>-3804584.91</v>
      </c>
      <c r="BV64" s="48">
        <v>0</v>
      </c>
    </row>
    <row r="65" spans="1:74">
      <c r="A65" s="48" t="s">
        <v>344</v>
      </c>
      <c r="B65" s="48">
        <v>0</v>
      </c>
      <c r="C65" s="48">
        <v>-822433745.38999999</v>
      </c>
      <c r="D65" s="48">
        <v>0</v>
      </c>
      <c r="E65" s="48">
        <v>694445992.83000004</v>
      </c>
      <c r="F65" s="48">
        <v>0</v>
      </c>
      <c r="G65" s="48">
        <v>-750169287.62</v>
      </c>
      <c r="H65" s="48">
        <v>0</v>
      </c>
      <c r="I65" s="48">
        <v>796894143.97000003</v>
      </c>
      <c r="J65" s="48">
        <v>0</v>
      </c>
      <c r="K65" s="48">
        <v>481745293.64999998</v>
      </c>
      <c r="L65" s="48">
        <v>0</v>
      </c>
      <c r="M65" s="48">
        <v>317781172.38999999</v>
      </c>
      <c r="N65" s="48">
        <v>0</v>
      </c>
      <c r="O65" s="48">
        <v>-210664228.41999999</v>
      </c>
      <c r="P65" s="48">
        <v>0</v>
      </c>
      <c r="Q65" s="48">
        <v>2000472842.96</v>
      </c>
      <c r="R65" s="48">
        <v>0</v>
      </c>
      <c r="S65" s="48">
        <v>747751783.73000002</v>
      </c>
      <c r="T65" s="48">
        <v>0</v>
      </c>
      <c r="U65" s="48">
        <v>2088089685.9200001</v>
      </c>
      <c r="V65" s="48">
        <v>0</v>
      </c>
      <c r="W65" s="48">
        <v>847140879.13</v>
      </c>
      <c r="X65" s="48">
        <v>0</v>
      </c>
      <c r="Y65" s="48">
        <v>3321789665.6599998</v>
      </c>
      <c r="Z65" s="48">
        <v>0</v>
      </c>
      <c r="AA65" s="48">
        <v>1435022382.28</v>
      </c>
      <c r="AB65" s="48">
        <v>0</v>
      </c>
      <c r="AC65" s="48">
        <v>2222556767.6500001</v>
      </c>
      <c r="AD65" s="48">
        <v>0</v>
      </c>
      <c r="AE65" s="48">
        <v>1054250746.4299999</v>
      </c>
      <c r="AF65" s="48">
        <v>0</v>
      </c>
      <c r="AG65" s="48">
        <v>1756539989.8199999</v>
      </c>
      <c r="AH65" s="48">
        <v>0</v>
      </c>
      <c r="AI65" s="48">
        <v>973993960.90999997</v>
      </c>
      <c r="AJ65" s="48">
        <v>0</v>
      </c>
      <c r="AK65" s="48">
        <v>1547504904.6500001</v>
      </c>
      <c r="AL65" s="48">
        <v>0</v>
      </c>
      <c r="AM65" s="48">
        <v>762916591.28999996</v>
      </c>
      <c r="AN65" s="48">
        <v>0</v>
      </c>
      <c r="AO65" s="48">
        <v>-112635005.90000001</v>
      </c>
      <c r="AP65" s="48">
        <v>0</v>
      </c>
      <c r="AQ65" s="48">
        <v>6482946.6799999997</v>
      </c>
      <c r="AR65" s="48">
        <v>0</v>
      </c>
      <c r="AS65" s="48">
        <v>903304818.19000006</v>
      </c>
      <c r="AT65" s="48">
        <v>0</v>
      </c>
      <c r="AU65" s="48">
        <v>436739371.30000001</v>
      </c>
      <c r="AV65" s="48">
        <v>0</v>
      </c>
      <c r="AW65" s="48">
        <v>508272001.29000002</v>
      </c>
      <c r="AX65" s="48">
        <v>-244064512.78999999</v>
      </c>
      <c r="AY65" s="48">
        <v>-199828259.62</v>
      </c>
      <c r="AZ65" s="48">
        <v>-364217810.97000003</v>
      </c>
      <c r="BA65" s="48">
        <v>-356284616.81</v>
      </c>
      <c r="BB65" s="48">
        <v>-337420281.70999998</v>
      </c>
      <c r="BC65" s="48">
        <v>-305647116.06</v>
      </c>
      <c r="BD65" s="48">
        <v>-253734956.75</v>
      </c>
      <c r="BE65" s="48">
        <v>151372985.59</v>
      </c>
      <c r="BF65" s="48">
        <v>105485523.01000001</v>
      </c>
      <c r="BG65" s="48">
        <v>-124475868.7</v>
      </c>
      <c r="BH65" s="48">
        <v>-207716643.90000001</v>
      </c>
      <c r="BI65" s="48">
        <v>113991724.59999999</v>
      </c>
      <c r="BJ65" s="48">
        <v>102645128.18000001</v>
      </c>
      <c r="BK65" s="48">
        <v>-120185707.77</v>
      </c>
      <c r="BL65" s="48">
        <v>-138921308.08000001</v>
      </c>
      <c r="BM65" s="48">
        <v>425754390.45999998</v>
      </c>
      <c r="BN65" s="48">
        <v>-76017181.739999995</v>
      </c>
      <c r="BO65" s="48">
        <v>75973857.620000005</v>
      </c>
      <c r="BP65" s="48">
        <v>-116156319.88</v>
      </c>
      <c r="BQ65" s="48">
        <v>-196186379.44999999</v>
      </c>
      <c r="BR65" s="48">
        <v>-45120933.270000003</v>
      </c>
      <c r="BS65" s="48">
        <v>-146235501.94</v>
      </c>
      <c r="BT65" s="48">
        <v>-20683315.18</v>
      </c>
      <c r="BU65" s="48">
        <v>-211549915.44</v>
      </c>
      <c r="BV65" s="48">
        <v>0</v>
      </c>
    </row>
    <row r="66" spans="1:74">
      <c r="A66" s="48" t="s">
        <v>345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</row>
    <row r="67" spans="1:74">
      <c r="A67" s="48" t="s">
        <v>346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</row>
    <row r="68" spans="1:74">
      <c r="A68" s="48" t="s">
        <v>347</v>
      </c>
      <c r="B68" s="48">
        <v>0</v>
      </c>
      <c r="C68" s="48">
        <v>0</v>
      </c>
      <c r="D68" s="48">
        <v>0</v>
      </c>
      <c r="E68" s="48">
        <v>0</v>
      </c>
      <c r="F68" s="48">
        <v>0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48">
        <v>0</v>
      </c>
      <c r="AF68" s="48">
        <v>0</v>
      </c>
      <c r="AG68" s="48">
        <v>0</v>
      </c>
      <c r="AH68" s="48">
        <v>0</v>
      </c>
      <c r="AI68" s="48">
        <v>0</v>
      </c>
      <c r="AJ68" s="48">
        <v>0</v>
      </c>
      <c r="AK68" s="48">
        <v>0</v>
      </c>
      <c r="AL68" s="48">
        <v>0</v>
      </c>
      <c r="AM68" s="48">
        <v>0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  <c r="AS68" s="48">
        <v>-14651653.789999999</v>
      </c>
      <c r="AT68" s="48">
        <v>0</v>
      </c>
      <c r="AU68" s="48">
        <v>0</v>
      </c>
      <c r="AV68" s="48">
        <v>0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70000</v>
      </c>
      <c r="BK68" s="48">
        <v>70000</v>
      </c>
      <c r="BL68" s="48">
        <v>0</v>
      </c>
      <c r="BM68" s="48">
        <v>0</v>
      </c>
      <c r="BN68" s="48">
        <v>0</v>
      </c>
      <c r="BO68" s="48">
        <v>0</v>
      </c>
      <c r="BP68" s="48">
        <v>-17488975.260000002</v>
      </c>
      <c r="BQ68" s="48">
        <v>0</v>
      </c>
      <c r="BR68" s="48">
        <v>85295200.790000007</v>
      </c>
      <c r="BS68" s="48">
        <v>-1315540.25</v>
      </c>
      <c r="BT68" s="48">
        <v>-25739.31</v>
      </c>
      <c r="BU68" s="48">
        <v>0</v>
      </c>
      <c r="BV68" s="48">
        <v>0</v>
      </c>
    </row>
    <row r="69" spans="1:74">
      <c r="A69" s="48" t="s">
        <v>348</v>
      </c>
      <c r="B69" s="48">
        <v>0</v>
      </c>
      <c r="C69" s="48">
        <v>-360888706.42000002</v>
      </c>
      <c r="D69" s="48">
        <v>0</v>
      </c>
      <c r="E69" s="48">
        <v>1930118454.01</v>
      </c>
      <c r="F69" s="48">
        <v>0</v>
      </c>
      <c r="G69" s="48">
        <v>436621687.81999999</v>
      </c>
      <c r="H69" s="48">
        <v>0</v>
      </c>
      <c r="I69" s="48">
        <v>1999573702.98</v>
      </c>
      <c r="J69" s="48">
        <v>0</v>
      </c>
      <c r="K69" s="48">
        <v>1316392351.1300001</v>
      </c>
      <c r="L69" s="48">
        <v>0</v>
      </c>
      <c r="M69" s="48">
        <v>1338774524.46</v>
      </c>
      <c r="N69" s="48">
        <v>0</v>
      </c>
      <c r="O69" s="48">
        <v>563731554.65999997</v>
      </c>
      <c r="P69" s="48">
        <v>0</v>
      </c>
      <c r="Q69" s="48">
        <v>2011963265.6500001</v>
      </c>
      <c r="R69" s="48">
        <v>0</v>
      </c>
      <c r="S69" s="48">
        <v>972053307.75999999</v>
      </c>
      <c r="T69" s="48">
        <v>0</v>
      </c>
      <c r="U69" s="48">
        <v>1758892889.23</v>
      </c>
      <c r="V69" s="48">
        <v>0</v>
      </c>
      <c r="W69" s="48">
        <v>928841205.42999995</v>
      </c>
      <c r="X69" s="48">
        <v>0</v>
      </c>
      <c r="Y69" s="48">
        <v>3120058762.9099998</v>
      </c>
      <c r="Z69" s="48">
        <v>0</v>
      </c>
      <c r="AA69" s="48">
        <v>1506595920.0599999</v>
      </c>
      <c r="AB69" s="48">
        <v>0</v>
      </c>
      <c r="AC69" s="48">
        <v>1542378253.03</v>
      </c>
      <c r="AD69" s="48">
        <v>0</v>
      </c>
      <c r="AE69" s="48">
        <v>884143463.00999999</v>
      </c>
      <c r="AF69" s="48">
        <v>0</v>
      </c>
      <c r="AG69" s="48">
        <v>1787464327.6600001</v>
      </c>
      <c r="AH69" s="48">
        <v>0</v>
      </c>
      <c r="AI69" s="48">
        <v>1122202879.6700001</v>
      </c>
      <c r="AJ69" s="48">
        <v>0</v>
      </c>
      <c r="AK69" s="48">
        <v>2028598332.1700001</v>
      </c>
      <c r="AL69" s="48">
        <v>0</v>
      </c>
      <c r="AM69" s="48">
        <v>943480103.27999997</v>
      </c>
      <c r="AN69" s="48">
        <v>0</v>
      </c>
      <c r="AO69" s="48">
        <v>516497097.97000003</v>
      </c>
      <c r="AP69" s="48">
        <v>0</v>
      </c>
      <c r="AQ69" s="48">
        <v>4084610.3</v>
      </c>
      <c r="AR69" s="48">
        <v>0</v>
      </c>
      <c r="AS69" s="48">
        <v>1057878881.39</v>
      </c>
      <c r="AT69" s="48">
        <v>0</v>
      </c>
      <c r="AU69" s="48">
        <v>295608189.13</v>
      </c>
      <c r="AV69" s="48">
        <v>0</v>
      </c>
      <c r="AW69" s="48">
        <v>846957120.55999994</v>
      </c>
      <c r="AX69" s="48">
        <v>485240091.43000001</v>
      </c>
      <c r="AY69" s="48">
        <v>199309444.03</v>
      </c>
      <c r="AZ69" s="48">
        <v>-80113359.060000002</v>
      </c>
      <c r="BA69" s="48">
        <v>243530780.69999999</v>
      </c>
      <c r="BB69" s="48">
        <v>-165370697.12</v>
      </c>
      <c r="BC69" s="48">
        <v>-157379247.44</v>
      </c>
      <c r="BD69" s="48">
        <v>-233545765.58000001</v>
      </c>
      <c r="BE69" s="48">
        <v>604667760.59000003</v>
      </c>
      <c r="BF69" s="48">
        <v>337453098.12</v>
      </c>
      <c r="BG69" s="48">
        <v>76753462.159999996</v>
      </c>
      <c r="BH69" s="48">
        <v>56748815.079999998</v>
      </c>
      <c r="BI69" s="48">
        <v>292170476.75999999</v>
      </c>
      <c r="BJ69" s="48">
        <v>456723497.52999997</v>
      </c>
      <c r="BK69" s="48">
        <v>156973179.36000001</v>
      </c>
      <c r="BL69" s="48">
        <v>-5871214.5800000001</v>
      </c>
      <c r="BM69" s="48">
        <v>690591617.23000002</v>
      </c>
      <c r="BN69" s="48">
        <v>318591291.69999999</v>
      </c>
      <c r="BO69" s="48">
        <v>887186030.29999995</v>
      </c>
      <c r="BP69" s="48">
        <v>200224002.99000001</v>
      </c>
      <c r="BQ69" s="48">
        <v>678152932.48000002</v>
      </c>
      <c r="BR69" s="48">
        <v>131692296.48</v>
      </c>
      <c r="BS69" s="48">
        <v>247433107.97999999</v>
      </c>
      <c r="BT69" s="48">
        <v>43070537.390000001</v>
      </c>
      <c r="BU69" s="48">
        <v>-154941375.38999999</v>
      </c>
      <c r="BV69" s="48">
        <v>0</v>
      </c>
    </row>
    <row r="70" spans="1:74">
      <c r="A70" s="48" t="s">
        <v>349</v>
      </c>
      <c r="B70" s="48">
        <v>0</v>
      </c>
      <c r="C70" s="48">
        <v>0</v>
      </c>
      <c r="D70" s="48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</row>
    <row r="71" spans="1:74">
      <c r="A71" s="48" t="s">
        <v>350</v>
      </c>
      <c r="B71" s="48">
        <v>0</v>
      </c>
      <c r="C71" s="48">
        <v>0</v>
      </c>
      <c r="D71" s="48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</row>
    <row r="72" spans="1:74">
      <c r="A72" s="48" t="s">
        <v>351</v>
      </c>
      <c r="B72" s="48">
        <v>0</v>
      </c>
      <c r="C72" s="48">
        <v>0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0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8">
        <v>0</v>
      </c>
    </row>
    <row r="73" spans="1:74">
      <c r="A73" s="48" t="s">
        <v>352</v>
      </c>
      <c r="B73" s="48">
        <v>0</v>
      </c>
      <c r="C73" s="48">
        <v>7188151542.3199997</v>
      </c>
      <c r="D73" s="48">
        <v>0</v>
      </c>
      <c r="E73" s="48">
        <v>7516763869.54</v>
      </c>
      <c r="F73" s="48">
        <v>0</v>
      </c>
      <c r="G73" s="48">
        <v>6752575629.0500002</v>
      </c>
      <c r="H73" s="48">
        <v>0</v>
      </c>
      <c r="I73" s="48">
        <v>5905273633.8699999</v>
      </c>
      <c r="J73" s="48">
        <v>0</v>
      </c>
      <c r="K73" s="48">
        <v>5525522572.1400003</v>
      </c>
      <c r="L73" s="48">
        <v>0</v>
      </c>
      <c r="M73" s="48">
        <v>4459560525.96</v>
      </c>
      <c r="N73" s="48">
        <v>0</v>
      </c>
      <c r="O73" s="48">
        <v>12072870501.24</v>
      </c>
      <c r="P73" s="48">
        <v>0</v>
      </c>
      <c r="Q73" s="48">
        <v>11566758069.23</v>
      </c>
      <c r="R73" s="48">
        <v>0</v>
      </c>
      <c r="S73" s="48">
        <v>11570403163.440001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6956749428.8699999</v>
      </c>
      <c r="AF73" s="48">
        <v>6209831525.2200003</v>
      </c>
      <c r="AG73" s="48">
        <v>6469902264.9700003</v>
      </c>
      <c r="AH73" s="48">
        <v>6502393133.9099998</v>
      </c>
      <c r="AI73" s="48">
        <v>6169273342.8100004</v>
      </c>
      <c r="AJ73" s="48">
        <v>5331188169.71</v>
      </c>
      <c r="AK73" s="48">
        <v>5355618386.6700001</v>
      </c>
      <c r="AL73" s="48">
        <v>4959021755.54</v>
      </c>
      <c r="AM73" s="48">
        <v>4577018935.1800003</v>
      </c>
      <c r="AN73" s="48">
        <v>4174093846.21</v>
      </c>
      <c r="AO73" s="48">
        <v>3658196775.0900002</v>
      </c>
      <c r="AP73" s="48">
        <v>3619186192.75</v>
      </c>
      <c r="AQ73" s="48">
        <v>3532482792.0100002</v>
      </c>
      <c r="AR73" s="48">
        <v>3228831981.5900002</v>
      </c>
      <c r="AS73" s="48">
        <v>3579426457.6500001</v>
      </c>
      <c r="AT73" s="48">
        <v>3181758912.6599998</v>
      </c>
      <c r="AU73" s="48">
        <v>3037782202.4000001</v>
      </c>
      <c r="AV73" s="48">
        <v>2994700974.5700002</v>
      </c>
      <c r="AW73" s="48">
        <v>3042831901.8600001</v>
      </c>
      <c r="AX73" s="48">
        <v>3062777232.6300001</v>
      </c>
      <c r="AY73" s="48">
        <v>2805157895.77</v>
      </c>
      <c r="AZ73" s="48">
        <v>2610214139.1599998</v>
      </c>
      <c r="BA73" s="48">
        <v>2692734316.98</v>
      </c>
      <c r="BB73" s="48">
        <v>2290512825.3400002</v>
      </c>
      <c r="BC73" s="48">
        <v>2562195209.3099999</v>
      </c>
      <c r="BD73" s="48">
        <v>2847133877.6900001</v>
      </c>
      <c r="BE73" s="48">
        <v>3019523961.6799998</v>
      </c>
      <c r="BF73" s="48">
        <v>2867321093.1100001</v>
      </c>
      <c r="BG73" s="48">
        <v>3144925113.6999998</v>
      </c>
      <c r="BH73" s="48">
        <v>3609381940.7800002</v>
      </c>
      <c r="BI73" s="48">
        <v>3194952662.6999998</v>
      </c>
      <c r="BJ73" s="48">
        <v>3429630704.0100002</v>
      </c>
      <c r="BK73" s="48">
        <v>3753413514.6700001</v>
      </c>
      <c r="BL73" s="48">
        <v>3818304134.5799999</v>
      </c>
      <c r="BM73" s="48">
        <v>3812973603.4299998</v>
      </c>
      <c r="BN73" s="48">
        <v>3980972571.25</v>
      </c>
      <c r="BO73" s="48">
        <v>3538792355.7199998</v>
      </c>
      <c r="BP73" s="48">
        <v>3339641515.0500002</v>
      </c>
      <c r="BQ73" s="48">
        <v>3160775351.5900002</v>
      </c>
      <c r="BR73" s="48">
        <v>2780415771.4499998</v>
      </c>
      <c r="BS73" s="48">
        <v>2732240475.52</v>
      </c>
      <c r="BT73" s="48">
        <v>1844261372.24</v>
      </c>
      <c r="BU73" s="48">
        <v>2024584662.3399999</v>
      </c>
      <c r="BV73" s="48">
        <v>0</v>
      </c>
    </row>
    <row r="74" spans="1:74">
      <c r="A74" s="48" t="s">
        <v>353</v>
      </c>
      <c r="B74" s="48">
        <v>0</v>
      </c>
      <c r="C74" s="48">
        <v>7516763869.54</v>
      </c>
      <c r="D74" s="48">
        <v>0</v>
      </c>
      <c r="E74" s="48">
        <v>5905273633.8699999</v>
      </c>
      <c r="F74" s="48">
        <v>0</v>
      </c>
      <c r="G74" s="48">
        <v>5905273633.8699999</v>
      </c>
      <c r="H74" s="48">
        <v>0</v>
      </c>
      <c r="I74" s="48">
        <v>4459560525.96</v>
      </c>
      <c r="J74" s="48">
        <v>0</v>
      </c>
      <c r="K74" s="48">
        <v>4459560525.96</v>
      </c>
      <c r="L74" s="48">
        <v>0</v>
      </c>
      <c r="M74" s="48">
        <v>3994258069.23</v>
      </c>
      <c r="N74" s="48">
        <v>0</v>
      </c>
      <c r="O74" s="48">
        <v>11566758069.23</v>
      </c>
      <c r="P74" s="48">
        <v>0</v>
      </c>
      <c r="Q74" s="48">
        <v>10634107595.17</v>
      </c>
      <c r="R74" s="48">
        <v>0</v>
      </c>
      <c r="S74" s="48">
        <v>10634107595.17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6469902264.9700003</v>
      </c>
      <c r="AF74" s="48">
        <v>6469902264.9700003</v>
      </c>
      <c r="AG74" s="48">
        <v>5355618386.6700001</v>
      </c>
      <c r="AH74" s="48">
        <v>5355618386.6700001</v>
      </c>
      <c r="AI74" s="48">
        <v>5355618386.6700001</v>
      </c>
      <c r="AJ74" s="48">
        <v>5355618386.6700001</v>
      </c>
      <c r="AK74" s="48">
        <v>3658196775.0900002</v>
      </c>
      <c r="AL74" s="48">
        <v>3658196775.0900002</v>
      </c>
      <c r="AM74" s="48">
        <v>3658196775.0900002</v>
      </c>
      <c r="AN74" s="48">
        <v>3658196775.0900002</v>
      </c>
      <c r="AO74" s="48">
        <v>3579426457.6500001</v>
      </c>
      <c r="AP74" s="48">
        <v>3579426457.6500001</v>
      </c>
      <c r="AQ74" s="48">
        <v>3579426457.6500001</v>
      </c>
      <c r="AR74" s="48">
        <v>3579426457.6500001</v>
      </c>
      <c r="AS74" s="48">
        <v>3016690549.0900002</v>
      </c>
      <c r="AT74" s="48">
        <v>3016690549.0900002</v>
      </c>
      <c r="AU74" s="48">
        <v>3016690549.0900002</v>
      </c>
      <c r="AV74" s="48">
        <v>3016690549.0900002</v>
      </c>
      <c r="AW74" s="48">
        <v>2692734316.98</v>
      </c>
      <c r="AX74" s="48">
        <v>2692734316.98</v>
      </c>
      <c r="AY74" s="48">
        <v>2692734316.98</v>
      </c>
      <c r="AZ74" s="48">
        <v>2692734316.98</v>
      </c>
      <c r="BA74" s="48">
        <v>3019523961.6799998</v>
      </c>
      <c r="BB74" s="48">
        <v>3021753961.6799998</v>
      </c>
      <c r="BC74" s="48">
        <v>3021753961.6799998</v>
      </c>
      <c r="BD74" s="48">
        <v>3021753961.6799998</v>
      </c>
      <c r="BE74" s="48">
        <v>3223467501.8600001</v>
      </c>
      <c r="BF74" s="48">
        <v>3194952662.6999998</v>
      </c>
      <c r="BG74" s="48">
        <v>3194952662.6999998</v>
      </c>
      <c r="BH74" s="48">
        <v>3594952662.6999998</v>
      </c>
      <c r="BI74" s="48">
        <v>3812973603.4299998</v>
      </c>
      <c r="BJ74" s="48">
        <v>3812973603.4299998</v>
      </c>
      <c r="BK74" s="48">
        <v>3812973603.4299998</v>
      </c>
      <c r="BL74" s="48">
        <v>3812973603.4299998</v>
      </c>
      <c r="BM74" s="48">
        <v>3538792355.7199998</v>
      </c>
      <c r="BN74" s="48">
        <v>3538792355.7199998</v>
      </c>
      <c r="BO74" s="48">
        <v>3160698893.5100002</v>
      </c>
      <c r="BP74" s="48">
        <v>3160775351.5900002</v>
      </c>
      <c r="BQ74" s="48">
        <v>2732240475.52</v>
      </c>
      <c r="BR74" s="48">
        <v>2732240475.52</v>
      </c>
      <c r="BS74" s="48">
        <v>2024584662.3399999</v>
      </c>
      <c r="BT74" s="48">
        <v>2024584662.3399999</v>
      </c>
      <c r="BU74" s="48">
        <v>170525509.43000001</v>
      </c>
      <c r="BV74" s="48">
        <v>0</v>
      </c>
    </row>
    <row r="75" spans="1:74">
      <c r="A75" s="48" t="s">
        <v>354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</row>
    <row r="76" spans="1:74">
      <c r="A76" s="48" t="s">
        <v>355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</row>
    <row r="77" spans="1:74">
      <c r="A77" s="48" t="s">
        <v>356</v>
      </c>
      <c r="B77" s="48">
        <v>0</v>
      </c>
      <c r="C77" s="48">
        <v>-328612327.22000003</v>
      </c>
      <c r="D77" s="48">
        <v>0</v>
      </c>
      <c r="E77" s="48">
        <v>1611490235.6700001</v>
      </c>
      <c r="F77" s="48">
        <v>0</v>
      </c>
      <c r="G77" s="48">
        <v>847301995.17999995</v>
      </c>
      <c r="H77" s="48">
        <v>0</v>
      </c>
      <c r="I77" s="48">
        <v>1445713107.9100001</v>
      </c>
      <c r="J77" s="48">
        <v>0</v>
      </c>
      <c r="K77" s="48">
        <v>1065962046.1799999</v>
      </c>
      <c r="L77" s="48">
        <v>0</v>
      </c>
      <c r="M77" s="48">
        <v>465302456.73000002</v>
      </c>
      <c r="N77" s="48">
        <v>0</v>
      </c>
      <c r="O77" s="48">
        <v>506112432.00999999</v>
      </c>
      <c r="P77" s="48">
        <v>0</v>
      </c>
      <c r="Q77" s="48">
        <v>932650474.05999994</v>
      </c>
      <c r="R77" s="48">
        <v>0</v>
      </c>
      <c r="S77" s="48">
        <v>936295568.26999998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486847163.89999998</v>
      </c>
      <c r="AF77" s="48">
        <v>-260070739.75</v>
      </c>
      <c r="AG77" s="48">
        <v>1114283878.3</v>
      </c>
      <c r="AH77" s="48">
        <v>1146774747.24</v>
      </c>
      <c r="AI77" s="48">
        <v>813654956.13999999</v>
      </c>
      <c r="AJ77" s="48">
        <v>-24430216.960000001</v>
      </c>
      <c r="AK77" s="48">
        <v>1697421611.5799999</v>
      </c>
      <c r="AL77" s="48">
        <v>1300824980.45</v>
      </c>
      <c r="AM77" s="48">
        <v>918822160.09000003</v>
      </c>
      <c r="AN77" s="48">
        <v>515897071.12</v>
      </c>
      <c r="AO77" s="48">
        <v>78770317.439999998</v>
      </c>
      <c r="AP77" s="48">
        <v>39759735.100000001</v>
      </c>
      <c r="AQ77" s="48">
        <v>-46943665.640000001</v>
      </c>
      <c r="AR77" s="48">
        <v>-350594476.06</v>
      </c>
      <c r="AS77" s="48">
        <v>562735908.55999994</v>
      </c>
      <c r="AT77" s="48">
        <v>165068363.56999999</v>
      </c>
      <c r="AU77" s="48">
        <v>21091653.309999999</v>
      </c>
      <c r="AV77" s="48">
        <v>-21989574.52</v>
      </c>
      <c r="AW77" s="48">
        <v>350097584.88</v>
      </c>
      <c r="AX77" s="48">
        <v>370042915.64999998</v>
      </c>
      <c r="AY77" s="48">
        <v>112423578.79000001</v>
      </c>
      <c r="AZ77" s="48">
        <v>-82520177.819999993</v>
      </c>
      <c r="BA77" s="48">
        <v>-326789644.69999999</v>
      </c>
      <c r="BB77" s="48">
        <v>-731241136.34000003</v>
      </c>
      <c r="BC77" s="48">
        <v>-459558752.37</v>
      </c>
      <c r="BD77" s="48">
        <v>-174620083.99000001</v>
      </c>
      <c r="BE77" s="48">
        <v>-203943540.18000001</v>
      </c>
      <c r="BF77" s="48">
        <v>-327631569.58999997</v>
      </c>
      <c r="BG77" s="48">
        <v>-50027549</v>
      </c>
      <c r="BH77" s="48">
        <v>14429278.08</v>
      </c>
      <c r="BI77" s="48">
        <v>-618020940.73000002</v>
      </c>
      <c r="BJ77" s="48">
        <v>-383342899.42000002</v>
      </c>
      <c r="BK77" s="48">
        <v>-59560088.759999998</v>
      </c>
      <c r="BL77" s="48">
        <v>5330531.1500000004</v>
      </c>
      <c r="BM77" s="48">
        <v>274181247.70999998</v>
      </c>
      <c r="BN77" s="48">
        <v>442180215.52999997</v>
      </c>
      <c r="BO77" s="48">
        <v>378093462.20999998</v>
      </c>
      <c r="BP77" s="48">
        <v>178866163.46000001</v>
      </c>
      <c r="BQ77" s="48">
        <v>428534876.06999999</v>
      </c>
      <c r="BR77" s="48">
        <v>48175295.93</v>
      </c>
      <c r="BS77" s="48">
        <v>707655813.17999995</v>
      </c>
      <c r="BT77" s="48">
        <v>-180323290.09999999</v>
      </c>
      <c r="BU77" s="48">
        <v>1854059152.9100001</v>
      </c>
      <c r="BV77" s="4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财务报表摘要"/>
  <dimension ref="A1:N27"/>
  <sheetViews>
    <sheetView workbookViewId="0">
      <selection activeCell="D26" sqref="D26"/>
    </sheetView>
  </sheetViews>
  <sheetFormatPr defaultRowHeight="13.5"/>
  <cols>
    <col min="1" max="1" width="34.125" bestFit="1" customWidth="1"/>
    <col min="2" max="13" width="11.625" bestFit="1" customWidth="1"/>
    <col min="14" max="14" width="1.5" bestFit="1" customWidth="1"/>
  </cols>
  <sheetData>
    <row r="1" spans="1:13">
      <c r="A1">
        <v>600835</v>
      </c>
    </row>
    <row r="2" spans="1:13">
      <c r="A2" t="s">
        <v>18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0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1</v>
      </c>
      <c r="B4">
        <v>1522693</v>
      </c>
      <c r="C4">
        <v>1478097</v>
      </c>
      <c r="D4">
        <v>1511788</v>
      </c>
      <c r="E4">
        <v>1624213</v>
      </c>
      <c r="F4">
        <v>1567077</v>
      </c>
      <c r="G4">
        <v>1429520</v>
      </c>
      <c r="H4">
        <v>1165469</v>
      </c>
      <c r="I4">
        <v>1070028</v>
      </c>
      <c r="J4">
        <v>888816</v>
      </c>
      <c r="K4">
        <v>848910</v>
      </c>
      <c r="L4">
        <v>727725</v>
      </c>
      <c r="M4">
        <v>590863</v>
      </c>
    </row>
    <row r="5" spans="1:13">
      <c r="A5" t="s">
        <v>2</v>
      </c>
      <c r="B5">
        <v>262584</v>
      </c>
      <c r="C5">
        <v>263314</v>
      </c>
      <c r="D5">
        <v>269756</v>
      </c>
      <c r="E5">
        <v>194181</v>
      </c>
      <c r="F5">
        <v>172653</v>
      </c>
      <c r="G5">
        <v>149954</v>
      </c>
      <c r="H5">
        <v>127868</v>
      </c>
      <c r="I5">
        <v>112733</v>
      </c>
      <c r="J5">
        <v>86458</v>
      </c>
      <c r="K5">
        <v>109612</v>
      </c>
      <c r="L5">
        <v>99356</v>
      </c>
      <c r="M5">
        <v>77047</v>
      </c>
    </row>
    <row r="6" spans="1:13">
      <c r="A6" t="s">
        <v>3</v>
      </c>
      <c r="B6">
        <v>270108</v>
      </c>
      <c r="C6">
        <v>275773</v>
      </c>
      <c r="D6">
        <v>319486</v>
      </c>
      <c r="E6">
        <v>212671</v>
      </c>
      <c r="F6">
        <v>208157</v>
      </c>
      <c r="G6">
        <v>167914</v>
      </c>
      <c r="H6">
        <v>135202</v>
      </c>
      <c r="I6">
        <v>124815</v>
      </c>
      <c r="J6">
        <v>94250</v>
      </c>
      <c r="K6">
        <v>112042</v>
      </c>
      <c r="L6">
        <v>103219</v>
      </c>
      <c r="M6">
        <v>80139</v>
      </c>
    </row>
    <row r="7" spans="1:13">
      <c r="A7" t="s">
        <v>4</v>
      </c>
      <c r="B7">
        <v>33991</v>
      </c>
      <c r="C7">
        <v>34412</v>
      </c>
      <c r="D7">
        <v>39448</v>
      </c>
      <c r="E7">
        <v>32692</v>
      </c>
      <c r="F7">
        <v>24456</v>
      </c>
      <c r="G7">
        <v>36431</v>
      </c>
      <c r="H7">
        <v>17372</v>
      </c>
      <c r="I7">
        <v>16163</v>
      </c>
      <c r="J7">
        <v>13574</v>
      </c>
      <c r="K7">
        <v>15332</v>
      </c>
      <c r="L7">
        <v>13928</v>
      </c>
      <c r="M7">
        <v>12005</v>
      </c>
    </row>
    <row r="8" spans="1:13">
      <c r="A8" t="s">
        <v>5</v>
      </c>
      <c r="B8">
        <v>236117</v>
      </c>
      <c r="C8">
        <v>241361</v>
      </c>
      <c r="D8">
        <v>280038</v>
      </c>
      <c r="E8">
        <v>179979</v>
      </c>
      <c r="F8">
        <v>183701</v>
      </c>
      <c r="G8">
        <v>131482</v>
      </c>
      <c r="H8">
        <v>117830</v>
      </c>
      <c r="I8">
        <v>108652</v>
      </c>
      <c r="J8">
        <v>80676</v>
      </c>
      <c r="K8">
        <v>96711</v>
      </c>
      <c r="L8">
        <v>89291</v>
      </c>
      <c r="M8">
        <v>68134</v>
      </c>
    </row>
    <row r="9" spans="1:13">
      <c r="A9" t="s">
        <v>6</v>
      </c>
      <c r="B9">
        <v>1.36</v>
      </c>
      <c r="C9">
        <v>1.42</v>
      </c>
      <c r="D9">
        <v>1.79</v>
      </c>
      <c r="E9">
        <v>0.84</v>
      </c>
      <c r="F9">
        <v>0.92</v>
      </c>
      <c r="G9">
        <v>0.69</v>
      </c>
      <c r="H9">
        <v>0.7</v>
      </c>
      <c r="I9">
        <v>0.65</v>
      </c>
      <c r="J9">
        <v>0.46</v>
      </c>
      <c r="K9">
        <v>0.63</v>
      </c>
      <c r="L9">
        <v>0.71</v>
      </c>
      <c r="M9">
        <v>0.49</v>
      </c>
    </row>
    <row r="10" spans="1:13">
      <c r="A10" t="s">
        <v>7</v>
      </c>
      <c r="B10">
        <v>1441392</v>
      </c>
      <c r="C10">
        <v>1393912</v>
      </c>
      <c r="D10">
        <v>1278249</v>
      </c>
      <c r="E10">
        <v>1211801</v>
      </c>
      <c r="F10">
        <v>1118621</v>
      </c>
      <c r="G10">
        <v>1185594</v>
      </c>
      <c r="H10">
        <v>802798</v>
      </c>
      <c r="I10">
        <v>701990</v>
      </c>
      <c r="J10">
        <v>590562</v>
      </c>
      <c r="K10">
        <v>415820</v>
      </c>
      <c r="L10">
        <v>407943</v>
      </c>
      <c r="M10">
        <v>351669</v>
      </c>
    </row>
    <row r="11" spans="1:13">
      <c r="A11" t="s">
        <v>8</v>
      </c>
      <c r="B11">
        <v>250118</v>
      </c>
      <c r="C11">
        <v>205206</v>
      </c>
      <c r="D11">
        <v>197270</v>
      </c>
      <c r="E11">
        <v>222973</v>
      </c>
      <c r="F11">
        <v>188031</v>
      </c>
      <c r="G11">
        <v>202483</v>
      </c>
      <c r="H11">
        <v>128668</v>
      </c>
      <c r="I11">
        <v>113882</v>
      </c>
      <c r="J11">
        <v>99892</v>
      </c>
      <c r="K11">
        <v>78962</v>
      </c>
      <c r="L11">
        <v>72437</v>
      </c>
      <c r="M11">
        <v>58864</v>
      </c>
    </row>
    <row r="12" spans="1:13">
      <c r="A12" t="s">
        <v>9</v>
      </c>
      <c r="B12">
        <v>874574</v>
      </c>
      <c r="C12">
        <v>738799</v>
      </c>
      <c r="D12">
        <v>687232</v>
      </c>
      <c r="E12">
        <v>766113</v>
      </c>
      <c r="F12">
        <v>638646</v>
      </c>
      <c r="G12">
        <v>490355</v>
      </c>
      <c r="H12">
        <v>319239</v>
      </c>
      <c r="I12">
        <v>253030</v>
      </c>
      <c r="J12">
        <v>210510</v>
      </c>
      <c r="K12">
        <v>184255</v>
      </c>
      <c r="L12">
        <v>179057</v>
      </c>
      <c r="M12">
        <v>146295</v>
      </c>
    </row>
    <row r="13" spans="1:13">
      <c r="A13" t="s">
        <v>10</v>
      </c>
      <c r="B13">
        <v>2850416</v>
      </c>
      <c r="C13">
        <v>2679770</v>
      </c>
      <c r="D13">
        <v>2515870</v>
      </c>
      <c r="E13">
        <v>2465113</v>
      </c>
      <c r="F13">
        <v>2222696</v>
      </c>
      <c r="G13">
        <v>2093263</v>
      </c>
      <c r="H13">
        <v>1452186</v>
      </c>
      <c r="I13">
        <v>1164893</v>
      </c>
      <c r="J13">
        <v>967834</v>
      </c>
      <c r="K13">
        <v>756859</v>
      </c>
      <c r="L13">
        <v>711602</v>
      </c>
      <c r="M13">
        <v>587781</v>
      </c>
    </row>
    <row r="14" spans="1:13">
      <c r="A14" t="s">
        <v>19</v>
      </c>
      <c r="B14">
        <v>155698</v>
      </c>
      <c r="C14">
        <v>162199</v>
      </c>
      <c r="D14">
        <v>152104</v>
      </c>
      <c r="E14">
        <v>164190</v>
      </c>
      <c r="F14">
        <v>156607</v>
      </c>
      <c r="G14">
        <v>166188</v>
      </c>
      <c r="H14">
        <v>124065</v>
      </c>
      <c r="I14">
        <v>147335</v>
      </c>
      <c r="J14">
        <v>150884</v>
      </c>
      <c r="K14">
        <v>135052</v>
      </c>
      <c r="L14">
        <v>121760</v>
      </c>
      <c r="M14">
        <v>111245</v>
      </c>
    </row>
    <row r="15" spans="1:13">
      <c r="A15" t="s">
        <v>11</v>
      </c>
      <c r="B15">
        <v>3352037</v>
      </c>
      <c r="C15">
        <v>3174104</v>
      </c>
      <c r="D15">
        <v>2985273</v>
      </c>
      <c r="E15">
        <v>2976909</v>
      </c>
      <c r="F15">
        <v>2712046</v>
      </c>
      <c r="G15">
        <v>2574368</v>
      </c>
      <c r="H15">
        <v>1791042</v>
      </c>
      <c r="I15">
        <v>1518765</v>
      </c>
      <c r="J15">
        <v>1311163</v>
      </c>
      <c r="K15">
        <v>1047700</v>
      </c>
      <c r="L15">
        <v>1002611</v>
      </c>
      <c r="M15">
        <v>843509</v>
      </c>
    </row>
    <row r="16" spans="1:13">
      <c r="A16" t="s">
        <v>12</v>
      </c>
      <c r="B16">
        <v>2071693</v>
      </c>
      <c r="C16">
        <v>1974851</v>
      </c>
      <c r="D16">
        <v>1893338</v>
      </c>
      <c r="E16">
        <v>1897097</v>
      </c>
      <c r="F16">
        <v>1827160</v>
      </c>
      <c r="G16">
        <v>1631446</v>
      </c>
      <c r="H16">
        <v>1003780</v>
      </c>
      <c r="I16">
        <v>768371</v>
      </c>
      <c r="J16">
        <v>612434</v>
      </c>
      <c r="K16">
        <v>426219</v>
      </c>
      <c r="L16">
        <v>432823</v>
      </c>
      <c r="M16">
        <v>328278</v>
      </c>
    </row>
    <row r="17" spans="1:14">
      <c r="A17" t="s">
        <v>13</v>
      </c>
      <c r="B17">
        <v>37284</v>
      </c>
      <c r="C17">
        <v>40207</v>
      </c>
      <c r="D17">
        <v>43287</v>
      </c>
      <c r="E17">
        <v>218622</v>
      </c>
      <c r="F17">
        <v>78203</v>
      </c>
      <c r="G17">
        <v>229882</v>
      </c>
      <c r="H17">
        <v>4656</v>
      </c>
      <c r="I17">
        <v>10957</v>
      </c>
      <c r="J17">
        <v>21926</v>
      </c>
      <c r="K17">
        <v>2007</v>
      </c>
      <c r="L17">
        <v>3913</v>
      </c>
      <c r="M17">
        <v>2201</v>
      </c>
    </row>
    <row r="18" spans="1:14">
      <c r="A18" t="s">
        <v>14</v>
      </c>
      <c r="B18">
        <v>2108978</v>
      </c>
      <c r="C18">
        <v>2015058</v>
      </c>
      <c r="D18">
        <v>1936625</v>
      </c>
      <c r="E18">
        <v>2115719</v>
      </c>
      <c r="F18">
        <v>1905362</v>
      </c>
      <c r="G18">
        <v>1861328</v>
      </c>
      <c r="H18">
        <v>1008436</v>
      </c>
      <c r="I18">
        <v>779327</v>
      </c>
      <c r="J18">
        <v>634360</v>
      </c>
      <c r="K18">
        <v>428226</v>
      </c>
      <c r="L18">
        <v>436736</v>
      </c>
      <c r="M18">
        <v>330479</v>
      </c>
    </row>
    <row r="19" spans="1:14">
      <c r="A19" t="s">
        <v>15</v>
      </c>
      <c r="B19">
        <v>1243060</v>
      </c>
      <c r="C19">
        <v>1159046</v>
      </c>
      <c r="D19">
        <v>1048649</v>
      </c>
      <c r="E19">
        <v>861190</v>
      </c>
      <c r="F19">
        <v>806683</v>
      </c>
      <c r="G19">
        <v>713040</v>
      </c>
      <c r="H19">
        <v>782606</v>
      </c>
      <c r="I19">
        <v>739437</v>
      </c>
      <c r="J19">
        <v>676802</v>
      </c>
      <c r="K19">
        <v>619474</v>
      </c>
      <c r="L19">
        <v>565875</v>
      </c>
      <c r="M19">
        <v>513030</v>
      </c>
    </row>
    <row r="20" spans="1:14">
      <c r="A20" t="s">
        <v>20</v>
      </c>
      <c r="B20">
        <v>590527</v>
      </c>
      <c r="C20">
        <v>445956</v>
      </c>
      <c r="D20">
        <v>399426</v>
      </c>
      <c r="E20">
        <v>1063411</v>
      </c>
      <c r="F20">
        <v>1128891</v>
      </c>
      <c r="G20">
        <v>809469</v>
      </c>
      <c r="H20">
        <v>646990</v>
      </c>
      <c r="I20">
        <v>535562</v>
      </c>
      <c r="J20">
        <v>365820</v>
      </c>
      <c r="K20">
        <v>357943</v>
      </c>
      <c r="L20">
        <v>301669</v>
      </c>
      <c r="M20">
        <v>267709</v>
      </c>
    </row>
    <row r="21" spans="1:14">
      <c r="A21" t="s">
        <v>21</v>
      </c>
      <c r="B21">
        <v>193012</v>
      </c>
      <c r="C21">
        <v>199957</v>
      </c>
      <c r="D21">
        <v>133877</v>
      </c>
      <c r="E21">
        <v>201196</v>
      </c>
      <c r="F21">
        <v>175889</v>
      </c>
      <c r="G21">
        <v>312006</v>
      </c>
      <c r="H21">
        <v>154238</v>
      </c>
      <c r="I21">
        <v>178746</v>
      </c>
      <c r="J21">
        <v>202860</v>
      </c>
      <c r="K21">
        <v>51650</v>
      </c>
      <c r="L21">
        <v>105788</v>
      </c>
      <c r="M21">
        <v>83751</v>
      </c>
    </row>
    <row r="22" spans="1:14">
      <c r="A22" t="s">
        <v>22</v>
      </c>
      <c r="B22">
        <v>95203</v>
      </c>
      <c r="C22">
        <v>59896</v>
      </c>
      <c r="D22">
        <v>-5968</v>
      </c>
      <c r="E22">
        <v>1024</v>
      </c>
      <c r="F22">
        <v>-3877</v>
      </c>
      <c r="G22">
        <v>-53909</v>
      </c>
      <c r="H22">
        <v>-4049</v>
      </c>
      <c r="I22">
        <v>3802</v>
      </c>
      <c r="J22">
        <v>1657</v>
      </c>
      <c r="K22">
        <v>-7503</v>
      </c>
      <c r="L22">
        <v>-19147</v>
      </c>
      <c r="M22">
        <v>3467</v>
      </c>
    </row>
    <row r="23" spans="1:14">
      <c r="A23" t="s">
        <v>23</v>
      </c>
      <c r="B23">
        <v>-124215</v>
      </c>
      <c r="C23">
        <v>-116656</v>
      </c>
      <c r="D23">
        <v>-81420</v>
      </c>
      <c r="E23">
        <v>-107385</v>
      </c>
      <c r="F23">
        <v>-235634</v>
      </c>
      <c r="G23">
        <v>61164</v>
      </c>
      <c r="H23">
        <v>-40064</v>
      </c>
      <c r="I23">
        <v>-70918</v>
      </c>
      <c r="J23">
        <v>-34580</v>
      </c>
      <c r="K23">
        <v>-35894</v>
      </c>
      <c r="L23">
        <v>-29758</v>
      </c>
      <c r="M23">
        <v>-52975</v>
      </c>
    </row>
    <row r="24" spans="1:14">
      <c r="A24" t="s">
        <v>24</v>
      </c>
      <c r="B24">
        <v>161149</v>
      </c>
      <c r="C24">
        <v>144571</v>
      </c>
      <c r="D24">
        <v>46530</v>
      </c>
      <c r="E24">
        <v>93265</v>
      </c>
      <c r="F24">
        <v>-65481</v>
      </c>
      <c r="G24">
        <v>319422</v>
      </c>
      <c r="H24">
        <v>109697</v>
      </c>
      <c r="I24">
        <v>111428</v>
      </c>
      <c r="J24">
        <v>169742</v>
      </c>
      <c r="K24">
        <v>7877</v>
      </c>
      <c r="L24">
        <v>56274</v>
      </c>
      <c r="M24">
        <v>33960</v>
      </c>
    </row>
    <row r="25" spans="1:14">
      <c r="A25" t="s">
        <v>25</v>
      </c>
      <c r="B25">
        <v>751676</v>
      </c>
      <c r="C25">
        <v>590527</v>
      </c>
      <c r="D25">
        <v>445956</v>
      </c>
      <c r="E25">
        <v>1156676</v>
      </c>
      <c r="F25">
        <v>1063411</v>
      </c>
      <c r="G25">
        <v>1128891</v>
      </c>
      <c r="H25">
        <v>756688</v>
      </c>
      <c r="I25">
        <v>646990</v>
      </c>
      <c r="J25">
        <v>535562</v>
      </c>
      <c r="K25">
        <v>365820</v>
      </c>
      <c r="L25">
        <v>357943</v>
      </c>
      <c r="M25">
        <v>301669</v>
      </c>
      <c r="N25" t="s">
        <v>16</v>
      </c>
    </row>
    <row r="26" spans="1:14">
      <c r="A26" t="s">
        <v>16</v>
      </c>
    </row>
    <row r="27" spans="1:14">
      <c r="A27" t="s">
        <v>17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topLeftCell="A49" workbookViewId="0">
      <selection activeCell="A111" sqref="A111"/>
    </sheetView>
  </sheetViews>
  <sheetFormatPr defaultRowHeight="13.5"/>
  <cols>
    <col min="1" max="1" width="31.875" bestFit="1" customWidth="1"/>
    <col min="2" max="4" width="20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39" width="20.5" hidden="1" customWidth="1"/>
    <col min="40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7.25" bestFit="1" customWidth="1"/>
    <col min="86" max="86" width="17.25" hidden="1" customWidth="1"/>
    <col min="87" max="87" width="17.25" bestFit="1" customWidth="1"/>
    <col min="88" max="89" width="16.125" bestFit="1" customWidth="1"/>
    <col min="90" max="90" width="9.5" hidden="1" customWidth="1"/>
  </cols>
  <sheetData>
    <row r="1" spans="1:90" s="49" customFormat="1">
      <c r="A1" s="49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2" t="s">
        <v>26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0"/>
    </row>
    <row r="3" spans="1:90">
      <c r="A3" s="2" t="s">
        <v>385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0"/>
    </row>
    <row r="4" spans="1:90">
      <c r="A4" t="s">
        <v>27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t="s">
        <v>28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t="s">
        <v>39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t="s">
        <v>30</v>
      </c>
      <c r="B7" s="48">
        <v>0</v>
      </c>
      <c r="C7" s="48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8">
        <v>0</v>
      </c>
      <c r="BH7" s="48">
        <v>0</v>
      </c>
      <c r="BI7" s="48">
        <v>0</v>
      </c>
      <c r="BJ7" s="48">
        <v>0</v>
      </c>
      <c r="BK7" s="48">
        <v>0</v>
      </c>
      <c r="BL7" s="48">
        <v>0</v>
      </c>
      <c r="BM7" s="48">
        <v>0</v>
      </c>
      <c r="BN7" s="48">
        <v>0</v>
      </c>
      <c r="BO7" s="48">
        <v>0</v>
      </c>
      <c r="BP7" s="48">
        <v>0</v>
      </c>
      <c r="BQ7" s="48">
        <v>0</v>
      </c>
      <c r="BR7" s="48">
        <v>0</v>
      </c>
      <c r="BS7" s="48">
        <v>0</v>
      </c>
      <c r="BT7" s="48">
        <v>0</v>
      </c>
      <c r="BU7" s="48">
        <v>0</v>
      </c>
      <c r="BV7" s="48">
        <v>0</v>
      </c>
      <c r="BW7" s="48">
        <v>0</v>
      </c>
      <c r="BX7" s="48">
        <v>0</v>
      </c>
      <c r="BY7" s="48">
        <v>0</v>
      </c>
      <c r="BZ7" s="48">
        <v>0</v>
      </c>
      <c r="CA7" s="48">
        <v>0</v>
      </c>
      <c r="CB7" s="48">
        <v>0</v>
      </c>
      <c r="CC7" s="48">
        <v>0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t="s">
        <v>31</v>
      </c>
      <c r="B8" s="48">
        <v>0</v>
      </c>
      <c r="C8" s="48">
        <v>240846134.41</v>
      </c>
      <c r="D8" s="48">
        <v>258747900.66</v>
      </c>
      <c r="E8" s="48">
        <v>145028659.81</v>
      </c>
      <c r="F8" s="48">
        <v>214556404.59999999</v>
      </c>
      <c r="G8" s="48">
        <v>224867969.15000001</v>
      </c>
      <c r="H8" s="48">
        <v>227990593.31999999</v>
      </c>
      <c r="I8" s="48">
        <v>216262235.72</v>
      </c>
      <c r="J8" s="48">
        <v>179744050.41999999</v>
      </c>
      <c r="K8" s="48">
        <v>163359987.24000001</v>
      </c>
      <c r="L8" s="48">
        <v>170696052.94</v>
      </c>
      <c r="M8" s="48">
        <v>199435345.44999999</v>
      </c>
      <c r="N8" s="48">
        <v>184867883.74000001</v>
      </c>
      <c r="O8" s="48">
        <v>220158829.84999999</v>
      </c>
      <c r="P8" s="48">
        <v>214541829.56</v>
      </c>
      <c r="Q8" s="48">
        <v>167717019.53</v>
      </c>
      <c r="R8" s="48">
        <v>136762711.59</v>
      </c>
      <c r="S8" s="48">
        <v>103461428.31999999</v>
      </c>
      <c r="T8" s="48">
        <v>103285440.2</v>
      </c>
      <c r="U8" s="48">
        <v>106949232.08</v>
      </c>
      <c r="V8" s="48">
        <v>149836031.44</v>
      </c>
      <c r="W8" s="48">
        <v>79054447.530000001</v>
      </c>
      <c r="X8" s="48">
        <v>65016367.689999998</v>
      </c>
      <c r="Y8" s="48">
        <v>61709668.460000001</v>
      </c>
      <c r="Z8" s="48">
        <v>63119688.979999997</v>
      </c>
      <c r="AA8" s="48">
        <v>66475571.619999997</v>
      </c>
      <c r="AB8" s="48">
        <v>72296074.890000001</v>
      </c>
      <c r="AC8" s="48">
        <v>63129086.82</v>
      </c>
      <c r="AD8" s="48">
        <v>62769322.100000001</v>
      </c>
      <c r="AE8" s="48">
        <v>55800660.539999999</v>
      </c>
      <c r="AF8" s="48">
        <v>55995971.5</v>
      </c>
      <c r="AG8" s="48">
        <v>56200040.049999997</v>
      </c>
      <c r="AH8" s="48">
        <v>57714935.25</v>
      </c>
      <c r="AI8" s="48">
        <v>55863884.369999997</v>
      </c>
      <c r="AJ8" s="48">
        <v>65953365.060000002</v>
      </c>
      <c r="AK8" s="48">
        <v>67378568.049999997</v>
      </c>
      <c r="AL8" s="48">
        <v>56909205.579999998</v>
      </c>
      <c r="AM8" s="48">
        <v>59952446.479999997</v>
      </c>
      <c r="AN8" s="48">
        <v>45998651.140000001</v>
      </c>
      <c r="AO8" s="48">
        <v>34454057.039999999</v>
      </c>
      <c r="AP8" s="48">
        <v>43722185</v>
      </c>
      <c r="AQ8" s="48">
        <v>45498411.799999997</v>
      </c>
      <c r="AR8" s="48">
        <v>67684724.040000007</v>
      </c>
      <c r="AS8" s="48">
        <v>69064699.900000006</v>
      </c>
      <c r="AT8" s="48">
        <v>72206746.420000002</v>
      </c>
      <c r="AU8" s="48">
        <v>53135688.640000001</v>
      </c>
      <c r="AV8" s="48">
        <v>16071139.970000001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8">
        <v>0</v>
      </c>
      <c r="BI8" s="48">
        <v>0</v>
      </c>
      <c r="BJ8" s="48">
        <v>0</v>
      </c>
      <c r="BK8" s="48">
        <v>0</v>
      </c>
      <c r="BL8" s="48">
        <v>0</v>
      </c>
      <c r="BM8" s="48">
        <v>0</v>
      </c>
      <c r="BN8" s="48">
        <v>0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  <c r="BW8" s="48">
        <v>0</v>
      </c>
      <c r="BX8" s="48">
        <v>0</v>
      </c>
      <c r="BY8" s="48">
        <v>0</v>
      </c>
      <c r="BZ8" s="48">
        <v>0</v>
      </c>
      <c r="CA8" s="48">
        <v>0</v>
      </c>
      <c r="CB8" s="48">
        <v>0</v>
      </c>
      <c r="CC8" s="48">
        <v>0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t="s">
        <v>32</v>
      </c>
      <c r="B9" s="48">
        <v>0</v>
      </c>
      <c r="C9" s="48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8">
        <v>0</v>
      </c>
      <c r="BI9" s="48">
        <v>0</v>
      </c>
      <c r="BJ9" s="48">
        <v>2190</v>
      </c>
      <c r="BK9" s="48">
        <v>3800</v>
      </c>
      <c r="BL9" s="48">
        <v>3800</v>
      </c>
      <c r="BM9" s="48">
        <v>3800</v>
      </c>
      <c r="BN9" s="48">
        <v>66420</v>
      </c>
      <c r="BO9" s="48">
        <v>74420</v>
      </c>
      <c r="BP9" s="48">
        <v>81923.509999999995</v>
      </c>
      <c r="BQ9" s="48">
        <v>73923.509999999995</v>
      </c>
      <c r="BR9" s="48">
        <v>109923.51</v>
      </c>
      <c r="BS9" s="48">
        <v>109923.51</v>
      </c>
      <c r="BT9" s="48">
        <v>145923.51</v>
      </c>
      <c r="BU9" s="48">
        <v>764303.51</v>
      </c>
      <c r="BV9" s="48">
        <v>50700</v>
      </c>
      <c r="BW9" s="48">
        <v>50700</v>
      </c>
      <c r="BX9" s="48">
        <v>50700</v>
      </c>
      <c r="BY9" s="48">
        <v>50700</v>
      </c>
      <c r="BZ9" s="48">
        <v>0</v>
      </c>
      <c r="CA9" s="48">
        <v>0</v>
      </c>
      <c r="CB9" s="48">
        <v>0</v>
      </c>
      <c r="CC9" s="48">
        <v>1686650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3" t="s">
        <v>33</v>
      </c>
      <c r="B10" s="48">
        <v>57202427.549999997</v>
      </c>
      <c r="C10" s="48">
        <v>57815085.149999999</v>
      </c>
      <c r="D10" s="48">
        <v>58427742.75</v>
      </c>
      <c r="E10" s="48">
        <v>59040400.350000001</v>
      </c>
      <c r="F10" s="48">
        <v>59653057.950000003</v>
      </c>
      <c r="G10" s="48">
        <v>60265715.549999997</v>
      </c>
      <c r="H10" s="48">
        <v>60878373.149999999</v>
      </c>
      <c r="I10" s="48">
        <v>61491030.75</v>
      </c>
      <c r="J10" s="48">
        <v>62103688.350000001</v>
      </c>
      <c r="K10" s="48">
        <v>62716318.950000003</v>
      </c>
      <c r="L10" s="48">
        <v>63363090.600000001</v>
      </c>
      <c r="M10" s="48">
        <v>63941661.149999999</v>
      </c>
      <c r="N10" s="48">
        <v>64609943.090000004</v>
      </c>
      <c r="O10" s="48">
        <v>65176275.090000004</v>
      </c>
      <c r="P10" s="48">
        <v>67999491.650000006</v>
      </c>
      <c r="Q10" s="48">
        <v>66509852.630000003</v>
      </c>
      <c r="R10" s="48">
        <v>67179650.329999998</v>
      </c>
      <c r="S10" s="48">
        <v>67851420.930000007</v>
      </c>
      <c r="T10" s="48">
        <v>68523206.549999997</v>
      </c>
      <c r="U10" s="48">
        <v>69203320.269999996</v>
      </c>
      <c r="V10" s="48">
        <v>70155584.379999995</v>
      </c>
      <c r="W10" s="48">
        <v>70746959.290000007</v>
      </c>
      <c r="X10" s="48">
        <v>71338334.200000003</v>
      </c>
      <c r="Y10" s="48">
        <v>71929709.109999999</v>
      </c>
      <c r="Z10" s="48">
        <v>72611306.319999993</v>
      </c>
      <c r="AA10" s="48">
        <v>73292903.530000001</v>
      </c>
      <c r="AB10" s="48">
        <v>73974500.739999995</v>
      </c>
      <c r="AC10" s="48">
        <v>74671873.359999999</v>
      </c>
      <c r="AD10" s="48">
        <v>75378095.290000007</v>
      </c>
      <c r="AE10" s="48">
        <v>76084317.219999999</v>
      </c>
      <c r="AF10" s="48">
        <v>76790539.150000006</v>
      </c>
      <c r="AG10" s="48">
        <v>77496761.079999998</v>
      </c>
      <c r="AH10" s="48">
        <v>77485297.780000001</v>
      </c>
      <c r="AI10" s="48">
        <v>78481910.930000007</v>
      </c>
      <c r="AJ10" s="48">
        <v>79391512.299999997</v>
      </c>
      <c r="AK10" s="48">
        <v>80347014.790000007</v>
      </c>
      <c r="AL10" s="48">
        <v>82624673.769999996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t="s">
        <v>34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t="s">
        <v>35</v>
      </c>
      <c r="B12" s="48">
        <v>0</v>
      </c>
      <c r="C12" s="48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t="s">
        <v>36</v>
      </c>
      <c r="B13" s="48">
        <v>38925036.57</v>
      </c>
      <c r="C13" s="48">
        <v>32424323.710000001</v>
      </c>
      <c r="D13" s="48">
        <v>54414888.890000001</v>
      </c>
      <c r="E13" s="48">
        <v>51818297.909999996</v>
      </c>
      <c r="F13" s="48">
        <v>42104645.130000003</v>
      </c>
      <c r="G13" s="48">
        <v>57085627.100000001</v>
      </c>
      <c r="H13" s="48">
        <v>83910730.569999993</v>
      </c>
      <c r="I13" s="48">
        <v>58604649.450000003</v>
      </c>
      <c r="J13" s="48">
        <v>51979423.060000002</v>
      </c>
      <c r="K13" s="48">
        <v>62170536.100000001</v>
      </c>
      <c r="L13" s="48">
        <v>10496944.439999999</v>
      </c>
      <c r="M13" s="48">
        <v>94359651.400000006</v>
      </c>
      <c r="N13" s="48">
        <v>76520119.430000007</v>
      </c>
      <c r="O13" s="48">
        <v>74800977.769999996</v>
      </c>
      <c r="P13" s="48">
        <v>11971666.67</v>
      </c>
      <c r="Q13" s="48">
        <v>82644100</v>
      </c>
      <c r="R13" s="48">
        <v>87651544.430000007</v>
      </c>
      <c r="S13" s="48">
        <v>70678238.879999995</v>
      </c>
      <c r="T13" s="48">
        <v>114492394.91</v>
      </c>
      <c r="U13" s="48">
        <v>74076561.590000004</v>
      </c>
      <c r="V13" s="48">
        <v>56206048.590000004</v>
      </c>
      <c r="W13" s="48">
        <v>48820937.490000002</v>
      </c>
      <c r="X13" s="48">
        <v>37553784.700000003</v>
      </c>
      <c r="Y13" s="48">
        <v>21873159.699999999</v>
      </c>
      <c r="Z13" s="48">
        <v>32152847.23</v>
      </c>
      <c r="AA13" s="48">
        <v>32152847.23</v>
      </c>
      <c r="AB13" s="48">
        <v>12354728.18</v>
      </c>
      <c r="AC13" s="48">
        <v>16562916.68</v>
      </c>
      <c r="AD13" s="48">
        <v>5778402.7800000003</v>
      </c>
      <c r="AE13" s="48">
        <v>1717708.33</v>
      </c>
      <c r="AF13" s="48">
        <v>0</v>
      </c>
      <c r="AG13" s="48">
        <v>21852611.109999999</v>
      </c>
      <c r="AH13" s="48">
        <v>1413437.5</v>
      </c>
      <c r="AI13" s="48">
        <v>1413437.5</v>
      </c>
      <c r="AJ13" s="48">
        <v>0</v>
      </c>
      <c r="AK13" s="48">
        <v>6289687.5</v>
      </c>
      <c r="AL13" s="48">
        <v>0</v>
      </c>
      <c r="AM13" s="48">
        <v>1873650</v>
      </c>
      <c r="AN13" s="48">
        <v>0</v>
      </c>
      <c r="AO13" s="48">
        <v>9861297.9499999993</v>
      </c>
      <c r="AP13" s="48">
        <v>0</v>
      </c>
      <c r="AQ13" s="48">
        <v>14343487.5</v>
      </c>
      <c r="AR13" s="48">
        <v>0</v>
      </c>
      <c r="AS13" s="48">
        <v>2870662.5</v>
      </c>
      <c r="AT13" s="48">
        <v>0</v>
      </c>
      <c r="AU13" s="48">
        <v>0</v>
      </c>
      <c r="AV13" s="48">
        <v>0</v>
      </c>
      <c r="AW13" s="48">
        <v>2329637.5</v>
      </c>
      <c r="AX13" s="48">
        <v>1521250</v>
      </c>
      <c r="AY13" s="48">
        <v>1521250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 hidden="1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0"/>
    </row>
    <row r="15" spans="1:90" hidden="1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0"/>
    </row>
    <row r="16" spans="1:90" hidden="1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0"/>
    </row>
    <row r="17" spans="1:90" s="6" customFormat="1">
      <c r="A17" s="6" t="s">
        <v>37</v>
      </c>
      <c r="B17" s="41">
        <f>SUM(B4:B13)</f>
        <v>12972531211.169998</v>
      </c>
      <c r="C17" s="41">
        <f t="shared" ref="C17:BN17" si="0">SUM(C4:C13)</f>
        <v>13765555367.889999</v>
      </c>
      <c r="D17" s="41">
        <f t="shared" si="0"/>
        <v>13523811112.529999</v>
      </c>
      <c r="E17" s="41">
        <f t="shared" si="0"/>
        <v>14669803853.76</v>
      </c>
      <c r="F17" s="41">
        <f t="shared" si="0"/>
        <v>14217534449.690001</v>
      </c>
      <c r="G17" s="41">
        <f t="shared" si="0"/>
        <v>14239294940.849998</v>
      </c>
      <c r="H17" s="41">
        <f t="shared" si="0"/>
        <v>14065504515.089998</v>
      </c>
      <c r="I17" s="41">
        <f t="shared" si="0"/>
        <v>14275473213.59</v>
      </c>
      <c r="J17" s="41">
        <f t="shared" si="0"/>
        <v>14010826273.18</v>
      </c>
      <c r="K17" s="41">
        <f t="shared" si="0"/>
        <v>13992012186.15</v>
      </c>
      <c r="L17" s="41">
        <f t="shared" si="0"/>
        <v>13069370981.500002</v>
      </c>
      <c r="M17" s="41">
        <f t="shared" si="0"/>
        <v>13164991889.75</v>
      </c>
      <c r="N17" s="41">
        <f t="shared" si="0"/>
        <v>13156834853.140001</v>
      </c>
      <c r="O17" s="41">
        <f t="shared" si="0"/>
        <v>13014263358.420002</v>
      </c>
      <c r="P17" s="41">
        <f t="shared" si="0"/>
        <v>12205058055.74</v>
      </c>
      <c r="Q17" s="41">
        <f t="shared" si="0"/>
        <v>12434878623.889999</v>
      </c>
      <c r="R17" s="41">
        <f t="shared" si="0"/>
        <v>12190331692.82</v>
      </c>
      <c r="S17" s="41">
        <f t="shared" si="0"/>
        <v>12363790058.57</v>
      </c>
      <c r="T17" s="41">
        <f t="shared" si="0"/>
        <v>11466788667.09</v>
      </c>
      <c r="U17" s="41">
        <f t="shared" si="0"/>
        <v>11484574718.470001</v>
      </c>
      <c r="V17" s="41">
        <f t="shared" si="0"/>
        <v>11405015753.559999</v>
      </c>
      <c r="W17" s="41">
        <f t="shared" si="0"/>
        <v>11454610284.490002</v>
      </c>
      <c r="X17" s="41">
        <f t="shared" si="0"/>
        <v>9909528542.4100018</v>
      </c>
      <c r="Y17" s="41">
        <f t="shared" si="0"/>
        <v>12011450390.950001</v>
      </c>
      <c r="Z17" s="41">
        <f t="shared" si="0"/>
        <v>9862876295.6299992</v>
      </c>
      <c r="AA17" s="41">
        <f t="shared" si="0"/>
        <v>9763362936.3100014</v>
      </c>
      <c r="AB17" s="41">
        <f t="shared" si="0"/>
        <v>8173263798.6800003</v>
      </c>
      <c r="AC17" s="41">
        <f t="shared" si="0"/>
        <v>8731807551.2200012</v>
      </c>
      <c r="AD17" s="41">
        <f t="shared" si="0"/>
        <v>8113865174.4499998</v>
      </c>
      <c r="AE17" s="41">
        <f t="shared" si="0"/>
        <v>7682217112.3500004</v>
      </c>
      <c r="AF17" s="41">
        <f t="shared" si="0"/>
        <v>6903824401.8699999</v>
      </c>
      <c r="AG17" s="41">
        <f t="shared" si="0"/>
        <v>7191770043.21</v>
      </c>
      <c r="AH17" s="41">
        <f t="shared" si="0"/>
        <v>7210473366.1399994</v>
      </c>
      <c r="AI17" s="41">
        <f t="shared" si="0"/>
        <v>6879750868.5100002</v>
      </c>
      <c r="AJ17" s="41">
        <f t="shared" si="0"/>
        <v>6035642828.6200008</v>
      </c>
      <c r="AK17" s="41">
        <f t="shared" si="0"/>
        <v>6069062475.9499998</v>
      </c>
      <c r="AL17" s="41">
        <f t="shared" si="0"/>
        <v>5617400744.4400005</v>
      </c>
      <c r="AM17" s="41">
        <f t="shared" si="0"/>
        <v>5171072680.79</v>
      </c>
      <c r="AN17" s="41">
        <f t="shared" si="0"/>
        <v>4758643148.7600002</v>
      </c>
      <c r="AO17" s="41">
        <f t="shared" si="0"/>
        <v>4241062781.4899998</v>
      </c>
      <c r="AP17" s="41">
        <f t="shared" si="0"/>
        <v>4249003640.8099999</v>
      </c>
      <c r="AQ17" s="41">
        <f t="shared" si="0"/>
        <v>4136857769.8700004</v>
      </c>
      <c r="AR17" s="41">
        <f t="shared" si="0"/>
        <v>3824988726.54</v>
      </c>
      <c r="AS17" s="41">
        <f t="shared" si="0"/>
        <v>4179106892.4000001</v>
      </c>
      <c r="AT17" s="41">
        <f t="shared" si="0"/>
        <v>3758950800.6599998</v>
      </c>
      <c r="AU17" s="41">
        <f t="shared" si="0"/>
        <v>3623164252.6900001</v>
      </c>
      <c r="AV17" s="41">
        <f t="shared" si="0"/>
        <v>3511557256.1199999</v>
      </c>
      <c r="AW17" s="41">
        <f t="shared" si="0"/>
        <v>3558892134.8800001</v>
      </c>
      <c r="AX17" s="41">
        <f t="shared" si="0"/>
        <v>3598739905.7000003</v>
      </c>
      <c r="AY17" s="41">
        <f t="shared" si="0"/>
        <v>3351576316.8400002</v>
      </c>
      <c r="AZ17" s="41">
        <f t="shared" si="0"/>
        <v>3017630885.0699997</v>
      </c>
      <c r="BA17" s="41">
        <f t="shared" si="0"/>
        <v>3103334635.0500002</v>
      </c>
      <c r="BB17" s="41">
        <f t="shared" si="0"/>
        <v>2693729352.6100001</v>
      </c>
      <c r="BC17" s="41">
        <f t="shared" si="0"/>
        <v>2966552559.0599999</v>
      </c>
      <c r="BD17" s="41">
        <f t="shared" si="0"/>
        <v>3255270815.1100001</v>
      </c>
      <c r="BE17" s="41">
        <f t="shared" si="0"/>
        <v>3427130001.0599999</v>
      </c>
      <c r="BF17" s="41">
        <f t="shared" si="0"/>
        <v>3288662107.8700004</v>
      </c>
      <c r="BG17" s="41">
        <f t="shared" si="0"/>
        <v>3550228729.5799999</v>
      </c>
      <c r="BH17" s="41">
        <f t="shared" si="0"/>
        <v>3612995219.77</v>
      </c>
      <c r="BI17" s="41">
        <f t="shared" si="0"/>
        <v>3600773950.75</v>
      </c>
      <c r="BJ17" s="41">
        <f t="shared" si="0"/>
        <v>3444087421</v>
      </c>
      <c r="BK17" s="41">
        <f t="shared" si="0"/>
        <v>3781540091.04</v>
      </c>
      <c r="BL17" s="41">
        <f t="shared" si="0"/>
        <v>3834069903.6999998</v>
      </c>
      <c r="BM17" s="41">
        <f t="shared" si="0"/>
        <v>3828987962.0799999</v>
      </c>
      <c r="BN17" s="41">
        <f t="shared" si="0"/>
        <v>3635757688.3099999</v>
      </c>
      <c r="BO17" s="41">
        <f t="shared" ref="BO17:CK17" si="1">SUM(BO4:BO13)</f>
        <v>3991868900.9299998</v>
      </c>
      <c r="BP17" s="41">
        <f t="shared" si="1"/>
        <v>3724014751.5800004</v>
      </c>
      <c r="BQ17" s="41">
        <f t="shared" si="1"/>
        <v>3581318866.5</v>
      </c>
      <c r="BR17" s="41">
        <f t="shared" si="1"/>
        <v>3401484933.3000002</v>
      </c>
      <c r="BS17" s="41">
        <f t="shared" si="1"/>
        <v>3275440861.2900004</v>
      </c>
      <c r="BT17" s="41">
        <f t="shared" si="1"/>
        <v>2809961694.96</v>
      </c>
      <c r="BU17" s="41">
        <f t="shared" si="1"/>
        <v>2813364779.0300002</v>
      </c>
      <c r="BV17" s="41">
        <f t="shared" si="1"/>
        <v>1844312072.24</v>
      </c>
      <c r="BW17" s="41">
        <f t="shared" si="1"/>
        <v>2024635362.3399999</v>
      </c>
      <c r="BX17" s="41">
        <f t="shared" si="1"/>
        <v>16617251.32</v>
      </c>
      <c r="BY17" s="41">
        <f t="shared" si="1"/>
        <v>170576209.43000001</v>
      </c>
      <c r="BZ17" s="41">
        <f t="shared" si="1"/>
        <v>0</v>
      </c>
      <c r="CA17" s="41">
        <f t="shared" si="1"/>
        <v>39275548.240000002</v>
      </c>
      <c r="CB17" s="41">
        <f t="shared" si="1"/>
        <v>0</v>
      </c>
      <c r="CC17" s="41">
        <f t="shared" si="1"/>
        <v>62661153.670000002</v>
      </c>
      <c r="CD17" s="41">
        <f t="shared" si="1"/>
        <v>0</v>
      </c>
      <c r="CE17" s="41">
        <f t="shared" si="1"/>
        <v>199943000</v>
      </c>
      <c r="CF17" s="41">
        <f t="shared" si="1"/>
        <v>0</v>
      </c>
      <c r="CG17" s="41">
        <f t="shared" si="1"/>
        <v>92708969.409999996</v>
      </c>
      <c r="CH17" s="41">
        <f t="shared" si="1"/>
        <v>0</v>
      </c>
      <c r="CI17" s="41">
        <f t="shared" si="1"/>
        <v>0</v>
      </c>
      <c r="CJ17" s="41">
        <f t="shared" si="1"/>
        <v>0</v>
      </c>
      <c r="CK17" s="41">
        <f t="shared" si="1"/>
        <v>0</v>
      </c>
    </row>
    <row r="18" spans="1:90" s="15" customFormat="1">
      <c r="A18" s="20" t="s">
        <v>105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0"/>
      <c r="M18" s="19"/>
      <c r="N18" s="19"/>
    </row>
    <row r="19" spans="1:90" s="6" customFormat="1">
      <c r="A19" s="6" t="s">
        <v>104</v>
      </c>
      <c r="B19" s="48">
        <v>2400713100.29</v>
      </c>
      <c r="C19" s="48">
        <v>2377189410.6700001</v>
      </c>
      <c r="D19" s="48">
        <v>2367597031.4200001</v>
      </c>
      <c r="E19" s="48">
        <v>2311426671.52</v>
      </c>
      <c r="F19" s="48">
        <v>2288392081.96</v>
      </c>
      <c r="G19" s="48">
        <v>2282294862.8299999</v>
      </c>
      <c r="H19" s="48">
        <v>2233837352.3000002</v>
      </c>
      <c r="I19" s="48">
        <v>2191890210.3699999</v>
      </c>
      <c r="J19" s="48">
        <v>2339667829.71</v>
      </c>
      <c r="K19" s="48">
        <v>2262713452.75</v>
      </c>
      <c r="L19" s="48">
        <v>2256566693.2199998</v>
      </c>
      <c r="M19" s="48">
        <v>2210366076.8400002</v>
      </c>
      <c r="N19" s="48">
        <v>2410160947.1300001</v>
      </c>
      <c r="O19" s="48">
        <v>2358693657.8200002</v>
      </c>
      <c r="P19" s="48">
        <v>2345319156.2399998</v>
      </c>
      <c r="Q19" s="48">
        <v>2276230457.6100001</v>
      </c>
      <c r="R19" s="48">
        <v>2340355938.4899998</v>
      </c>
      <c r="S19" s="48">
        <v>2393221199.1799998</v>
      </c>
      <c r="T19" s="48">
        <v>2360283094.4400001</v>
      </c>
      <c r="U19" s="48">
        <v>2270117870.8699999</v>
      </c>
      <c r="V19" s="48">
        <v>2407282707.1599998</v>
      </c>
      <c r="W19" s="48">
        <v>2317123984.9099998</v>
      </c>
      <c r="X19" s="48">
        <v>2219510210.8800001</v>
      </c>
      <c r="Y19" s="48">
        <v>2131732422.54</v>
      </c>
      <c r="Z19" s="48">
        <v>2172226876.9899998</v>
      </c>
      <c r="AA19" s="48">
        <v>2265233734.5900002</v>
      </c>
      <c r="AB19" s="48">
        <v>2217267087.8000002</v>
      </c>
      <c r="AC19" s="48">
        <v>1440011599.8</v>
      </c>
      <c r="AD19" s="48">
        <v>1563697761.6800001</v>
      </c>
      <c r="AE19" s="48">
        <v>1487527187.5799999</v>
      </c>
      <c r="AF19" s="48">
        <v>1418386862.03</v>
      </c>
      <c r="AG19" s="48">
        <v>1323237419.21</v>
      </c>
      <c r="AH19" s="48">
        <v>1298667691.48</v>
      </c>
      <c r="AI19" s="48">
        <v>1264185034.75</v>
      </c>
      <c r="AJ19" s="48">
        <v>1200507834.5899999</v>
      </c>
      <c r="AK19" s="48">
        <v>1131494722.24</v>
      </c>
      <c r="AL19" s="48">
        <v>1203115308.2</v>
      </c>
      <c r="AM19" s="48">
        <v>1178086908.5599999</v>
      </c>
      <c r="AN19" s="48">
        <v>1158521795.1300001</v>
      </c>
      <c r="AO19" s="48">
        <v>1110507140.27</v>
      </c>
      <c r="AP19" s="48">
        <v>1151794723.22</v>
      </c>
      <c r="AQ19" s="48">
        <v>1243417369.5899999</v>
      </c>
      <c r="AR19" s="48">
        <v>1239677615.51</v>
      </c>
      <c r="AS19" s="48">
        <v>1191708150.5699999</v>
      </c>
      <c r="AT19" s="48">
        <v>1326322379.23</v>
      </c>
      <c r="AU19" s="48">
        <v>1140914441.04</v>
      </c>
      <c r="AV19" s="48">
        <v>968365556.10000002</v>
      </c>
      <c r="AW19" s="48">
        <v>989852631.50999999</v>
      </c>
      <c r="AX19" s="48">
        <v>869365668.23000002</v>
      </c>
      <c r="AY19" s="48">
        <v>952496973.75</v>
      </c>
      <c r="AZ19" s="48">
        <v>1021096417.39</v>
      </c>
      <c r="BA19" s="48">
        <v>1045294186.1900001</v>
      </c>
      <c r="BB19" s="48">
        <v>1154952135.8499999</v>
      </c>
      <c r="BC19" s="48">
        <v>1208095296.1300001</v>
      </c>
      <c r="BD19" s="48">
        <v>1269096586.26</v>
      </c>
      <c r="BE19" s="48">
        <v>1257565314.01</v>
      </c>
      <c r="BF19" s="48">
        <v>1385433957.53</v>
      </c>
      <c r="BG19" s="48">
        <v>1280619853.51</v>
      </c>
      <c r="BH19" s="48">
        <v>1260093686.24</v>
      </c>
      <c r="BI19" s="48">
        <v>1251585737.74</v>
      </c>
      <c r="BJ19" s="48">
        <v>1378706639.8199999</v>
      </c>
      <c r="BK19" s="48">
        <v>1312739401.5799999</v>
      </c>
      <c r="BL19" s="48">
        <v>1305432200.0799999</v>
      </c>
      <c r="BM19" s="48">
        <v>1287626615.3</v>
      </c>
      <c r="BN19" s="48">
        <v>1223139270.1400001</v>
      </c>
      <c r="BO19" s="48">
        <v>1231288866.79</v>
      </c>
      <c r="BP19" s="48">
        <v>1218420163.3599999</v>
      </c>
      <c r="BQ19" s="48">
        <v>1152056969.23</v>
      </c>
      <c r="BR19" s="48">
        <v>1239193499.74</v>
      </c>
      <c r="BS19" s="48">
        <v>906850693.00999999</v>
      </c>
      <c r="BT19" s="48">
        <v>1016309854.13</v>
      </c>
      <c r="BU19" s="48">
        <v>932094536.98000002</v>
      </c>
      <c r="BV19" s="48">
        <v>293417662.94999999</v>
      </c>
      <c r="BW19" s="48">
        <v>304068928.55000001</v>
      </c>
      <c r="BX19" s="48">
        <v>174963752.03</v>
      </c>
      <c r="BY19" s="48">
        <v>0</v>
      </c>
      <c r="BZ19" s="48">
        <v>226652181.53999999</v>
      </c>
      <c r="CA19" s="48">
        <v>227281865.81999999</v>
      </c>
      <c r="CB19" s="48">
        <v>347484905.30000001</v>
      </c>
      <c r="CC19" s="48">
        <v>0</v>
      </c>
      <c r="CD19" s="48">
        <v>330539122.72000003</v>
      </c>
      <c r="CE19" s="48">
        <v>235301000</v>
      </c>
      <c r="CF19" s="48">
        <v>173344753.63999999</v>
      </c>
      <c r="CG19" s="48">
        <v>115070535.19</v>
      </c>
      <c r="CH19" s="48">
        <v>0</v>
      </c>
      <c r="CI19" s="48">
        <v>66170000</v>
      </c>
      <c r="CJ19" s="48">
        <v>0</v>
      </c>
      <c r="CK19" s="48">
        <v>0</v>
      </c>
      <c r="CL19" s="48">
        <v>0</v>
      </c>
    </row>
    <row r="20" spans="1:90">
      <c r="A20" s="2" t="s">
        <v>38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0"/>
      <c r="M20" s="18"/>
      <c r="N20" s="18"/>
    </row>
    <row r="21" spans="1:90">
      <c r="A21" s="2" t="s">
        <v>106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0"/>
      <c r="M21" s="18"/>
      <c r="N21" s="18"/>
    </row>
    <row r="22" spans="1:90">
      <c r="A22" t="s">
        <v>40</v>
      </c>
      <c r="B22" s="48">
        <v>999330052.45000005</v>
      </c>
      <c r="C22" s="48">
        <v>617426679.89999998</v>
      </c>
      <c r="D22" s="48">
        <v>538148304.73000002</v>
      </c>
      <c r="E22" s="48">
        <v>629180072.21000004</v>
      </c>
      <c r="F22" s="48">
        <v>392337645.05000001</v>
      </c>
      <c r="G22" s="48">
        <v>169709872.37</v>
      </c>
      <c r="H22" s="48">
        <v>297398903.86000001</v>
      </c>
      <c r="I22" s="48">
        <v>405885111.82999998</v>
      </c>
      <c r="J22" s="48">
        <v>431113762.32999998</v>
      </c>
      <c r="K22" s="48">
        <v>374495984.56</v>
      </c>
      <c r="L22" s="48">
        <v>270566456.16000003</v>
      </c>
      <c r="M22" s="48">
        <v>356774841.43000001</v>
      </c>
      <c r="N22" s="48">
        <v>340703582.11000001</v>
      </c>
      <c r="O22" s="48">
        <v>366120131.79000002</v>
      </c>
      <c r="P22" s="48">
        <v>306071212.92000002</v>
      </c>
      <c r="Q22" s="48">
        <v>301519953.83999997</v>
      </c>
      <c r="R22" s="48">
        <v>266124738.78999999</v>
      </c>
      <c r="S22" s="48">
        <v>278178302.57999998</v>
      </c>
      <c r="T22" s="48">
        <v>204321402.80000001</v>
      </c>
      <c r="U22" s="48">
        <v>241660925.06</v>
      </c>
      <c r="V22" s="48">
        <v>256703932.46000001</v>
      </c>
      <c r="W22" s="48">
        <v>233766283.90000001</v>
      </c>
      <c r="X22" s="48">
        <v>137598123.81999999</v>
      </c>
      <c r="Y22" s="48">
        <v>215694856.55000001</v>
      </c>
      <c r="Z22" s="48">
        <v>102641962.67</v>
      </c>
      <c r="AA22" s="48">
        <v>92157292.200000003</v>
      </c>
      <c r="AB22" s="48">
        <v>90756680.909999996</v>
      </c>
      <c r="AC22" s="48">
        <v>300008218.35000002</v>
      </c>
      <c r="AD22" s="48">
        <v>221702226.31999999</v>
      </c>
      <c r="AE22" s="48">
        <v>243657087.36000001</v>
      </c>
      <c r="AF22" s="48">
        <v>197263796.71000001</v>
      </c>
      <c r="AG22" s="48">
        <v>233002350.72999999</v>
      </c>
      <c r="AH22" s="48">
        <v>232126490.11000001</v>
      </c>
      <c r="AI22" s="48">
        <v>202554975.72</v>
      </c>
      <c r="AJ22" s="48">
        <v>123857901.7</v>
      </c>
      <c r="AK22" s="48">
        <v>181162671.28999999</v>
      </c>
      <c r="AL22" s="48">
        <v>152982832.88999999</v>
      </c>
      <c r="AM22" s="48">
        <v>112286217.8</v>
      </c>
      <c r="AN22" s="48">
        <v>109727349.47</v>
      </c>
      <c r="AO22" s="48">
        <v>112936778.81</v>
      </c>
      <c r="AP22" s="48">
        <v>80748931.519999996</v>
      </c>
      <c r="AQ22" s="48">
        <v>127187704.95</v>
      </c>
      <c r="AR22" s="48">
        <v>90936703.329999998</v>
      </c>
      <c r="AS22" s="48">
        <v>163423318.18000001</v>
      </c>
      <c r="AT22" s="48">
        <v>86933597.849999994</v>
      </c>
      <c r="AU22" s="48">
        <v>64783707.990000002</v>
      </c>
      <c r="AV22" s="48">
        <v>41352784.490000002</v>
      </c>
      <c r="AW22" s="48">
        <v>39907646.520000003</v>
      </c>
      <c r="AX22" s="48">
        <v>57770988.659999996</v>
      </c>
      <c r="AY22" s="48">
        <v>42241789.609999999</v>
      </c>
      <c r="AZ22" s="48">
        <v>43949085.93</v>
      </c>
      <c r="BA22" s="48">
        <v>33139409.379999999</v>
      </c>
      <c r="BB22" s="48">
        <v>35383205.460000001</v>
      </c>
      <c r="BC22" s="48">
        <v>38261673.049999997</v>
      </c>
      <c r="BD22" s="48">
        <v>29178363.079999998</v>
      </c>
      <c r="BE22" s="48">
        <v>32748858.93</v>
      </c>
      <c r="BF22" s="48">
        <v>40687837.009999998</v>
      </c>
      <c r="BG22" s="48">
        <v>59733936.909999996</v>
      </c>
      <c r="BH22" s="48">
        <v>32654958.190000001</v>
      </c>
      <c r="BI22" s="48">
        <v>41077371.539999999</v>
      </c>
      <c r="BJ22" s="48">
        <v>16353610.560000001</v>
      </c>
      <c r="BK22" s="48">
        <v>27811931.77</v>
      </c>
      <c r="BL22" s="48">
        <v>32367383.41</v>
      </c>
      <c r="BM22" s="48">
        <v>35133435.439999998</v>
      </c>
      <c r="BN22" s="48">
        <v>30747150</v>
      </c>
      <c r="BO22" s="48">
        <v>29491650</v>
      </c>
      <c r="BP22" s="48">
        <v>20788825</v>
      </c>
      <c r="BQ22" s="48">
        <v>5251400</v>
      </c>
      <c r="BR22" s="48">
        <v>250868284.90000001</v>
      </c>
      <c r="BS22" s="48">
        <v>233149840</v>
      </c>
      <c r="BT22" s="48">
        <v>362788700</v>
      </c>
      <c r="BU22" s="48">
        <v>306100000</v>
      </c>
      <c r="BV22" s="48">
        <v>622274500</v>
      </c>
      <c r="BW22" s="48">
        <v>520000000</v>
      </c>
      <c r="BX22" s="48">
        <v>799602400</v>
      </c>
      <c r="BY22" s="48">
        <v>674035046.12</v>
      </c>
      <c r="BZ22" s="48">
        <v>0</v>
      </c>
      <c r="CA22" s="48">
        <v>166424386.41</v>
      </c>
      <c r="CB22" s="48">
        <v>0</v>
      </c>
      <c r="CC22" s="48">
        <v>156692751.08000001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t="s">
        <v>41</v>
      </c>
      <c r="B23" s="48">
        <v>2439213882.9000001</v>
      </c>
      <c r="C23" s="48">
        <v>2766932487.77</v>
      </c>
      <c r="D23" s="48">
        <v>2477546459.5300002</v>
      </c>
      <c r="E23" s="48">
        <v>2501182017.3299999</v>
      </c>
      <c r="F23" s="48">
        <v>2501616296.4899998</v>
      </c>
      <c r="G23" s="48">
        <v>2227411696.2199998</v>
      </c>
      <c r="H23" s="48">
        <v>2082766775.4400001</v>
      </c>
      <c r="I23" s="48">
        <v>2052056991.1400001</v>
      </c>
      <c r="J23" s="48">
        <v>2379134891.1500001</v>
      </c>
      <c r="K23" s="48">
        <v>2269935022.8000002</v>
      </c>
      <c r="L23" s="48">
        <v>1982130084.79</v>
      </c>
      <c r="M23" s="48">
        <v>1972703801.95</v>
      </c>
      <c r="N23" s="48">
        <v>2133396737.5999999</v>
      </c>
      <c r="O23" s="48">
        <v>2237186006.0700002</v>
      </c>
      <c r="P23" s="48">
        <v>2132621695.5</v>
      </c>
      <c r="Q23" s="48">
        <v>2229729298.4000001</v>
      </c>
      <c r="R23" s="48">
        <v>2348996112.0500002</v>
      </c>
      <c r="S23" s="48">
        <v>2229527131.6500001</v>
      </c>
      <c r="T23" s="48">
        <v>1969879043.8800001</v>
      </c>
      <c r="U23" s="48">
        <v>1880312967.71</v>
      </c>
      <c r="V23" s="48">
        <v>1948752445.76</v>
      </c>
      <c r="W23" s="48">
        <v>1913600274.24</v>
      </c>
      <c r="X23" s="48">
        <v>1881983587.29</v>
      </c>
      <c r="Y23" s="48">
        <v>2024831933.49</v>
      </c>
      <c r="Z23" s="48">
        <v>2274268608.6599998</v>
      </c>
      <c r="AA23" s="48">
        <v>1552099860.1099999</v>
      </c>
      <c r="AB23" s="48">
        <v>1411959382.1099999</v>
      </c>
      <c r="AC23" s="48">
        <v>1951962630.25</v>
      </c>
      <c r="AD23" s="48">
        <v>1631296887.99</v>
      </c>
      <c r="AE23" s="48">
        <v>1510731260.6800001</v>
      </c>
      <c r="AF23" s="48">
        <v>1341422321.75</v>
      </c>
      <c r="AG23" s="48">
        <v>1138816149.8800001</v>
      </c>
      <c r="AH23" s="48">
        <v>1366227881.24</v>
      </c>
      <c r="AI23" s="48">
        <v>1237628831.5999999</v>
      </c>
      <c r="AJ23" s="48">
        <v>1189174425.48</v>
      </c>
      <c r="AK23" s="48">
        <v>998917972.98000002</v>
      </c>
      <c r="AL23" s="48">
        <v>1261750567.03</v>
      </c>
      <c r="AM23" s="48">
        <v>1095690741.1099999</v>
      </c>
      <c r="AN23" s="48">
        <v>962835551.85000002</v>
      </c>
      <c r="AO23" s="48">
        <v>789621018.61000001</v>
      </c>
      <c r="AP23" s="48">
        <v>931726293.77999997</v>
      </c>
      <c r="AQ23" s="48">
        <v>846788206.38</v>
      </c>
      <c r="AR23" s="48">
        <v>814525500.52999997</v>
      </c>
      <c r="AS23" s="48">
        <v>724370215.98000002</v>
      </c>
      <c r="AT23" s="48">
        <v>875520548.90999997</v>
      </c>
      <c r="AU23" s="48">
        <v>817293044.75999999</v>
      </c>
      <c r="AV23" s="48">
        <v>776703440.70000005</v>
      </c>
      <c r="AW23" s="48">
        <v>600197562.42999995</v>
      </c>
      <c r="AX23" s="48">
        <v>701552666.80999994</v>
      </c>
      <c r="AY23" s="48">
        <v>726702503</v>
      </c>
      <c r="AZ23" s="48">
        <v>705456499.42999995</v>
      </c>
      <c r="BA23" s="48">
        <v>588412837.14999998</v>
      </c>
      <c r="BB23" s="48">
        <v>660218477.51999998</v>
      </c>
      <c r="BC23" s="48">
        <v>610414011.33000004</v>
      </c>
      <c r="BD23" s="48">
        <v>577964593.39999998</v>
      </c>
      <c r="BE23" s="48">
        <v>508935486.94999999</v>
      </c>
      <c r="BF23" s="48">
        <v>678554636.63999999</v>
      </c>
      <c r="BG23" s="48">
        <v>718226759.57000005</v>
      </c>
      <c r="BH23" s="48">
        <v>610689765.03999996</v>
      </c>
      <c r="BI23" s="48">
        <v>524902144.35000002</v>
      </c>
      <c r="BJ23" s="48">
        <v>657063861.41999996</v>
      </c>
      <c r="BK23" s="48">
        <v>878523203.46000004</v>
      </c>
      <c r="BL23" s="48">
        <v>816615329.22000003</v>
      </c>
      <c r="BM23" s="48">
        <v>739868488.25999999</v>
      </c>
      <c r="BN23" s="48">
        <v>1005775084.78</v>
      </c>
      <c r="BO23" s="48">
        <v>1031254781.88</v>
      </c>
      <c r="BP23" s="48">
        <v>926155500.78999996</v>
      </c>
      <c r="BQ23" s="48">
        <v>873450069.86000001</v>
      </c>
      <c r="BR23" s="48">
        <v>718028231.88999999</v>
      </c>
      <c r="BS23" s="48">
        <v>635151687.95000005</v>
      </c>
      <c r="BT23" s="48">
        <v>1109312358.1800001</v>
      </c>
      <c r="BU23" s="48">
        <v>1062712385.49</v>
      </c>
      <c r="BV23" s="48">
        <v>703028056.88</v>
      </c>
      <c r="BW23" s="48">
        <v>633386357.37</v>
      </c>
      <c r="BX23" s="48">
        <v>185640560.49000001</v>
      </c>
      <c r="BY23" s="48">
        <v>320171554.04000002</v>
      </c>
      <c r="BZ23" s="48">
        <v>0</v>
      </c>
      <c r="CA23" s="48">
        <v>572983344.25</v>
      </c>
      <c r="CB23" s="48">
        <v>0</v>
      </c>
      <c r="CC23" s="48">
        <v>219995063.03999999</v>
      </c>
      <c r="CD23" s="48">
        <v>0</v>
      </c>
      <c r="CE23" s="48">
        <v>0</v>
      </c>
      <c r="CF23" s="48">
        <v>0</v>
      </c>
      <c r="CG23" s="48">
        <v>61611684.850000001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t="s">
        <v>42</v>
      </c>
      <c r="B24" s="48">
        <v>1793415036.24</v>
      </c>
      <c r="C24" s="48">
        <v>2120943048.6900001</v>
      </c>
      <c r="D24" s="48">
        <v>3037865571.3400002</v>
      </c>
      <c r="E24" s="48">
        <v>1892050067.02</v>
      </c>
      <c r="F24" s="48">
        <v>1996106693.3599999</v>
      </c>
      <c r="G24" s="48">
        <v>2319779563.5500002</v>
      </c>
      <c r="H24" s="48">
        <v>2800478216.4899998</v>
      </c>
      <c r="I24" s="48">
        <v>2681155560.1100001</v>
      </c>
      <c r="J24" s="48">
        <v>2024921117.9200001</v>
      </c>
      <c r="K24" s="48">
        <v>2372894271.79</v>
      </c>
      <c r="L24" s="48">
        <v>2901366748.52</v>
      </c>
      <c r="M24" s="48">
        <v>2670624168.71</v>
      </c>
      <c r="N24" s="48">
        <v>1962974980.9000001</v>
      </c>
      <c r="O24" s="48">
        <v>2541814926.5100002</v>
      </c>
      <c r="P24" s="48">
        <v>2365144009.8099999</v>
      </c>
      <c r="Q24" s="48">
        <v>2027935831.23</v>
      </c>
      <c r="R24" s="48">
        <v>2048123146.7</v>
      </c>
      <c r="S24" s="48">
        <v>1793178370.3199999</v>
      </c>
      <c r="T24" s="48">
        <v>2143747612.4000001</v>
      </c>
      <c r="U24" s="48">
        <v>2072837037.9100001</v>
      </c>
      <c r="V24" s="48">
        <v>1870259927.3199999</v>
      </c>
      <c r="W24" s="48">
        <v>1695755251.96</v>
      </c>
      <c r="X24" s="48">
        <v>1991706304.8699999</v>
      </c>
      <c r="Y24" s="48">
        <v>1731820230.4300001</v>
      </c>
      <c r="Z24" s="48">
        <v>1485876694.74</v>
      </c>
      <c r="AA24" s="48">
        <v>1024475391.77</v>
      </c>
      <c r="AB24" s="48">
        <v>971550281.75</v>
      </c>
      <c r="AC24" s="48">
        <v>842265933.82000005</v>
      </c>
      <c r="AD24" s="48">
        <v>983586524.36000001</v>
      </c>
      <c r="AE24" s="48">
        <v>745353266.11000001</v>
      </c>
      <c r="AF24" s="48">
        <v>799297971.17999995</v>
      </c>
      <c r="AG24" s="48">
        <v>504201226.05000001</v>
      </c>
      <c r="AH24" s="48">
        <v>558897106.95000005</v>
      </c>
      <c r="AI24" s="48">
        <v>506694466.04000002</v>
      </c>
      <c r="AJ24" s="48">
        <v>487395442.13</v>
      </c>
      <c r="AK24" s="48">
        <v>332214189.42000002</v>
      </c>
      <c r="AL24" s="48">
        <v>355624932.06999999</v>
      </c>
      <c r="AM24" s="48">
        <v>390046833.05000001</v>
      </c>
      <c r="AN24" s="48">
        <v>306182815.25</v>
      </c>
      <c r="AO24" s="48">
        <v>255338925.27000001</v>
      </c>
      <c r="AP24" s="48">
        <v>292294187.26999998</v>
      </c>
      <c r="AQ24" s="48">
        <v>343573017.37</v>
      </c>
      <c r="AR24" s="48">
        <v>228757483.25</v>
      </c>
      <c r="AS24" s="48">
        <v>240242463.63999999</v>
      </c>
      <c r="AT24" s="48">
        <v>182099010.66999999</v>
      </c>
      <c r="AU24" s="48">
        <v>169662778.06</v>
      </c>
      <c r="AV24" s="48">
        <v>149930119.38</v>
      </c>
      <c r="AW24" s="48">
        <v>161408152.86000001</v>
      </c>
      <c r="AX24" s="48">
        <v>138265050.05000001</v>
      </c>
      <c r="AY24" s="48">
        <v>119237954.93000001</v>
      </c>
      <c r="AZ24" s="48">
        <v>68516638.129999995</v>
      </c>
      <c r="BA24" s="48">
        <v>75535758.530000001</v>
      </c>
      <c r="BB24" s="48">
        <v>89070845.420000002</v>
      </c>
      <c r="BC24" s="48">
        <v>120370087.94</v>
      </c>
      <c r="BD24" s="48">
        <v>79213747.069999993</v>
      </c>
      <c r="BE24" s="48">
        <v>62375323.619999997</v>
      </c>
      <c r="BF24" s="48">
        <v>74758546.689999998</v>
      </c>
      <c r="BG24" s="48">
        <v>89605206.760000005</v>
      </c>
      <c r="BH24" s="48">
        <v>106777465.52</v>
      </c>
      <c r="BI24" s="48">
        <v>91558550.790000007</v>
      </c>
      <c r="BJ24" s="48">
        <v>92889532.739999995</v>
      </c>
      <c r="BK24" s="48">
        <v>68771399.620000005</v>
      </c>
      <c r="BL24" s="48">
        <v>77038202.540000007</v>
      </c>
      <c r="BM24" s="48">
        <v>62643250.350000001</v>
      </c>
      <c r="BN24" s="48">
        <v>100170232.95</v>
      </c>
      <c r="BO24" s="48">
        <v>84639166.689999998</v>
      </c>
      <c r="BP24" s="48">
        <v>62284323.619999997</v>
      </c>
      <c r="BQ24" s="48">
        <v>27597253.780000001</v>
      </c>
      <c r="BR24" s="48">
        <v>63832000.93</v>
      </c>
      <c r="BS24" s="48">
        <v>47392690.469999999</v>
      </c>
      <c r="BT24" s="48">
        <v>38836057.850000001</v>
      </c>
      <c r="BU24" s="48">
        <v>48352060.759999998</v>
      </c>
      <c r="BV24" s="48">
        <v>47264373.369999997</v>
      </c>
      <c r="BW24" s="48">
        <v>77668926.040000007</v>
      </c>
      <c r="BX24" s="48">
        <v>12999499.289999999</v>
      </c>
      <c r="BY24" s="48">
        <v>6524830.46</v>
      </c>
      <c r="BZ24" s="48">
        <v>0</v>
      </c>
      <c r="CA24" s="48">
        <v>70848424.930000007</v>
      </c>
      <c r="CB24" s="48">
        <v>0</v>
      </c>
      <c r="CC24" s="48">
        <v>96469955.659999996</v>
      </c>
      <c r="CD24" s="48">
        <v>0</v>
      </c>
      <c r="CE24" s="48">
        <v>0</v>
      </c>
      <c r="CF24" s="48">
        <v>0</v>
      </c>
      <c r="CG24" s="48">
        <v>29150102.609999999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t="s">
        <v>43</v>
      </c>
      <c r="B25" s="48">
        <v>0</v>
      </c>
      <c r="C25" s="48">
        <v>193881550.58000001</v>
      </c>
      <c r="D25" s="48">
        <v>190755514.16999999</v>
      </c>
      <c r="E25" s="48">
        <v>170326603.5</v>
      </c>
      <c r="F25" s="48">
        <v>213428653.28999999</v>
      </c>
      <c r="G25" s="48">
        <v>184634777.75</v>
      </c>
      <c r="H25" s="48">
        <v>189259398.66999999</v>
      </c>
      <c r="I25" s="48">
        <v>207081623.74000001</v>
      </c>
      <c r="J25" s="48">
        <v>223303082.28999999</v>
      </c>
      <c r="K25" s="48">
        <v>226417351.21000001</v>
      </c>
      <c r="L25" s="48">
        <v>370605874.33999997</v>
      </c>
      <c r="M25" s="48">
        <v>239168143.71000001</v>
      </c>
      <c r="N25" s="48">
        <v>219013625.18000001</v>
      </c>
      <c r="O25" s="48">
        <v>274312852.31</v>
      </c>
      <c r="P25" s="48">
        <v>275496984.31</v>
      </c>
      <c r="Q25" s="48">
        <v>180484545.44</v>
      </c>
      <c r="R25" s="48">
        <v>241509672.53</v>
      </c>
      <c r="S25" s="48">
        <v>216380798.13999999</v>
      </c>
      <c r="T25" s="48">
        <v>292379296.67000002</v>
      </c>
      <c r="U25" s="48">
        <v>277929649.75999999</v>
      </c>
      <c r="V25" s="48">
        <v>233800281.13999999</v>
      </c>
      <c r="W25" s="48">
        <v>204237895.65000001</v>
      </c>
      <c r="X25" s="48">
        <v>213875637.88</v>
      </c>
      <c r="Y25" s="48">
        <v>176000346.38999999</v>
      </c>
      <c r="Z25" s="48">
        <v>316075586.79000002</v>
      </c>
      <c r="AA25" s="48">
        <v>187935477.86000001</v>
      </c>
      <c r="AB25" s="48">
        <v>161977001.87</v>
      </c>
      <c r="AC25" s="48">
        <v>245456014.97999999</v>
      </c>
      <c r="AD25" s="48">
        <v>222073928.77000001</v>
      </c>
      <c r="AE25" s="48">
        <v>202920618.11000001</v>
      </c>
      <c r="AF25" s="48">
        <v>185326945.22999999</v>
      </c>
      <c r="AG25" s="48">
        <v>184540951.65000001</v>
      </c>
      <c r="AH25" s="48">
        <v>157496271.34999999</v>
      </c>
      <c r="AI25" s="48">
        <v>150683263.09999999</v>
      </c>
      <c r="AJ25" s="48">
        <v>143196190.34999999</v>
      </c>
      <c r="AK25" s="48">
        <v>139601399.88</v>
      </c>
      <c r="AL25" s="48">
        <v>169329731.94</v>
      </c>
      <c r="AM25" s="48">
        <v>255501918.28999999</v>
      </c>
      <c r="AN25" s="48">
        <v>127664271.23999999</v>
      </c>
      <c r="AO25" s="48">
        <v>361543659.20999998</v>
      </c>
      <c r="AP25" s="48">
        <v>138880816.87</v>
      </c>
      <c r="AQ25" s="48">
        <v>125475167.89</v>
      </c>
      <c r="AR25" s="48">
        <v>158451091.94</v>
      </c>
      <c r="AS25" s="48">
        <v>87370218.060000002</v>
      </c>
      <c r="AT25" s="48">
        <v>131484040.39</v>
      </c>
      <c r="AU25" s="48">
        <v>125394987.87</v>
      </c>
      <c r="AV25" s="48">
        <v>118161651.11</v>
      </c>
      <c r="AW25" s="48">
        <v>92560794.060000002</v>
      </c>
      <c r="AX25" s="48">
        <v>105051007.64</v>
      </c>
      <c r="AY25" s="48">
        <v>101501804.38</v>
      </c>
      <c r="AZ25" s="48">
        <v>104329116.59</v>
      </c>
      <c r="BA25" s="48">
        <v>143267735.56</v>
      </c>
      <c r="BB25" s="48">
        <v>202141140.66999999</v>
      </c>
      <c r="BC25" s="48">
        <v>190836774.22</v>
      </c>
      <c r="BD25" s="48">
        <v>206539866.66</v>
      </c>
      <c r="BE25" s="48">
        <v>249334539.46000001</v>
      </c>
      <c r="BF25" s="48">
        <v>252937978.75</v>
      </c>
      <c r="BG25" s="48">
        <v>234318324.90000001</v>
      </c>
      <c r="BH25" s="48">
        <v>227715058.62</v>
      </c>
      <c r="BI25" s="48">
        <v>158781274.68000001</v>
      </c>
      <c r="BJ25" s="48">
        <v>190359255.49000001</v>
      </c>
      <c r="BK25" s="48">
        <v>149354984.41999999</v>
      </c>
      <c r="BL25" s="48">
        <v>165260591.75999999</v>
      </c>
      <c r="BM25" s="48">
        <v>173040779.27000001</v>
      </c>
      <c r="BN25" s="48">
        <v>170250200.99000001</v>
      </c>
      <c r="BO25" s="48">
        <v>183893487.61000001</v>
      </c>
      <c r="BP25" s="48">
        <v>187871107.15000001</v>
      </c>
      <c r="BQ25" s="48">
        <v>261079399.84</v>
      </c>
      <c r="BR25" s="48">
        <v>99053745.269999996</v>
      </c>
      <c r="BS25" s="48">
        <v>168674404.06999999</v>
      </c>
      <c r="BT25" s="48">
        <v>188495588.21000001</v>
      </c>
      <c r="BU25" s="48">
        <v>190120243.22999999</v>
      </c>
      <c r="BV25" s="48">
        <v>153782047.81</v>
      </c>
      <c r="BW25" s="48">
        <v>170045860.84999999</v>
      </c>
      <c r="BX25" s="48">
        <v>611214537.74000001</v>
      </c>
      <c r="BY25" s="48">
        <v>596988030.34000003</v>
      </c>
      <c r="BZ25" s="48">
        <v>0</v>
      </c>
      <c r="CA25" s="48">
        <v>456623376.16000003</v>
      </c>
      <c r="CB25" s="48">
        <v>0</v>
      </c>
      <c r="CC25" s="48">
        <v>112268499.27</v>
      </c>
      <c r="CD25" s="48">
        <v>0</v>
      </c>
      <c r="CE25" s="48">
        <v>0</v>
      </c>
      <c r="CF25" s="48">
        <v>0</v>
      </c>
      <c r="CG25" s="48">
        <v>106156888.91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t="s">
        <v>44</v>
      </c>
      <c r="B26" s="48">
        <v>8857181572.0200005</v>
      </c>
      <c r="C26" s="48">
        <v>8696787118.8400002</v>
      </c>
      <c r="D26" s="48">
        <v>9041070237.4500008</v>
      </c>
      <c r="E26" s="48">
        <v>8745743424.1499996</v>
      </c>
      <c r="F26" s="48">
        <v>8296680230.1000004</v>
      </c>
      <c r="G26" s="48">
        <v>7664760178.1700001</v>
      </c>
      <c r="H26" s="48">
        <v>8672761743.2700005</v>
      </c>
      <c r="I26" s="48">
        <v>7387990721.1000004</v>
      </c>
      <c r="J26" s="48">
        <v>7278727447.9200001</v>
      </c>
      <c r="K26" s="48">
        <v>6885703443</v>
      </c>
      <c r="L26" s="48">
        <v>7327082307.5900002</v>
      </c>
      <c r="M26" s="48">
        <v>6872324895.7600002</v>
      </c>
      <c r="N26" s="48">
        <v>6874962940.8699999</v>
      </c>
      <c r="O26" s="48">
        <v>7040236812.9499998</v>
      </c>
      <c r="P26" s="48">
        <v>7706885747.3000002</v>
      </c>
      <c r="Q26" s="48">
        <v>7661129727.5200005</v>
      </c>
      <c r="R26" s="48">
        <v>7194945811.21</v>
      </c>
      <c r="S26" s="48">
        <v>6926487559.9099998</v>
      </c>
      <c r="T26" s="48">
        <v>7157035493.3599997</v>
      </c>
      <c r="U26" s="48">
        <v>6386461718.9399996</v>
      </c>
      <c r="V26" s="48">
        <v>5942754126.9499998</v>
      </c>
      <c r="W26" s="48">
        <v>5245807583.0299997</v>
      </c>
      <c r="X26" s="48">
        <v>5819605785.3800001</v>
      </c>
      <c r="Y26" s="48">
        <v>4903554715.0500002</v>
      </c>
      <c r="Z26" s="48">
        <v>4531132030.2200003</v>
      </c>
      <c r="AA26" s="48">
        <v>3194786538.1500001</v>
      </c>
      <c r="AB26" s="48">
        <v>3495557999.0599999</v>
      </c>
      <c r="AC26" s="48">
        <v>4261207842.1100001</v>
      </c>
      <c r="AD26" s="48">
        <v>2644257818.6700001</v>
      </c>
      <c r="AE26" s="48">
        <v>2799677885.4200001</v>
      </c>
      <c r="AF26" s="48">
        <v>2836933574.79</v>
      </c>
      <c r="AG26" s="48">
        <v>2530295008.9200001</v>
      </c>
      <c r="AH26" s="48">
        <v>2136438716.9200001</v>
      </c>
      <c r="AI26" s="48">
        <v>2037735523.03</v>
      </c>
      <c r="AJ26" s="48">
        <v>2252049637.4499998</v>
      </c>
      <c r="AK26" s="48">
        <v>2105104591.23</v>
      </c>
      <c r="AL26" s="48">
        <v>1944766656.6700001</v>
      </c>
      <c r="AM26" s="48">
        <v>1665142709.6300001</v>
      </c>
      <c r="AN26" s="48">
        <v>1741604571.3900001</v>
      </c>
      <c r="AO26" s="48">
        <v>1842545657.25</v>
      </c>
      <c r="AP26" s="48">
        <v>1988232581.6199999</v>
      </c>
      <c r="AQ26" s="48">
        <v>1941527214.22</v>
      </c>
      <c r="AR26" s="48">
        <v>1903981244.9200001</v>
      </c>
      <c r="AS26" s="48">
        <v>1790572925.4400001</v>
      </c>
      <c r="AT26" s="48">
        <v>1759187337.8399999</v>
      </c>
      <c r="AU26" s="48">
        <v>1670307873.9100001</v>
      </c>
      <c r="AV26" s="48">
        <v>1515552791.3499999</v>
      </c>
      <c r="AW26" s="48">
        <v>1469411962.8099999</v>
      </c>
      <c r="AX26" s="48">
        <v>1105495887.1700001</v>
      </c>
      <c r="AY26" s="48">
        <v>1071616878.51</v>
      </c>
      <c r="AZ26" s="48">
        <v>1146969612.8099999</v>
      </c>
      <c r="BA26" s="48">
        <v>1228323362.1800001</v>
      </c>
      <c r="BB26" s="48">
        <v>1389820368.1800001</v>
      </c>
      <c r="BC26" s="48">
        <v>1302903022.8599999</v>
      </c>
      <c r="BD26" s="48">
        <v>1334639132.1400001</v>
      </c>
      <c r="BE26" s="48">
        <v>1266126157.55</v>
      </c>
      <c r="BF26" s="48">
        <v>1500312429.4400001</v>
      </c>
      <c r="BG26" s="48">
        <v>1414725530.3199999</v>
      </c>
      <c r="BH26" s="48">
        <v>1290044614.3699999</v>
      </c>
      <c r="BI26" s="48">
        <v>1470715094.71</v>
      </c>
      <c r="BJ26" s="48">
        <v>1379674825.9100001</v>
      </c>
      <c r="BK26" s="48">
        <v>1181608092.5</v>
      </c>
      <c r="BL26" s="48">
        <v>1171543036.9300001</v>
      </c>
      <c r="BM26" s="48">
        <v>1221307883.28</v>
      </c>
      <c r="BN26" s="48">
        <v>845476497.46000004</v>
      </c>
      <c r="BO26" s="48">
        <v>665530802.33000004</v>
      </c>
      <c r="BP26" s="48">
        <v>731157026.74000001</v>
      </c>
      <c r="BQ26" s="48">
        <v>677058191.63999999</v>
      </c>
      <c r="BR26" s="48">
        <v>652492571.75999999</v>
      </c>
      <c r="BS26" s="48">
        <v>715680046.63999999</v>
      </c>
      <c r="BT26" s="48">
        <v>683628432.84000003</v>
      </c>
      <c r="BU26" s="48">
        <v>658612706.40999997</v>
      </c>
      <c r="BV26" s="48">
        <v>466251646.36000001</v>
      </c>
      <c r="BW26" s="48">
        <v>443531927.44999999</v>
      </c>
      <c r="BX26" s="48">
        <v>232114283.25</v>
      </c>
      <c r="BY26" s="48">
        <v>241865462.28</v>
      </c>
      <c r="BZ26" s="48">
        <v>0</v>
      </c>
      <c r="CA26" s="48">
        <v>561677028.63999999</v>
      </c>
      <c r="CB26" s="48">
        <v>0</v>
      </c>
      <c r="CC26" s="48">
        <v>484681438.68000001</v>
      </c>
      <c r="CD26" s="48">
        <v>0</v>
      </c>
      <c r="CE26" s="48">
        <v>321446000</v>
      </c>
      <c r="CF26" s="48">
        <v>0</v>
      </c>
      <c r="CG26" s="48">
        <v>234817623.47</v>
      </c>
      <c r="CH26" s="48">
        <v>0</v>
      </c>
      <c r="CI26" s="48">
        <v>0</v>
      </c>
      <c r="CJ26" s="48">
        <v>0</v>
      </c>
      <c r="CK26" s="48">
        <v>0</v>
      </c>
      <c r="CL26" s="48">
        <v>0</v>
      </c>
    </row>
    <row r="27" spans="1:90">
      <c r="A27" t="s">
        <v>45</v>
      </c>
      <c r="B27" s="48">
        <v>98704150.209999993</v>
      </c>
      <c r="C27" s="48">
        <v>167939002.78999999</v>
      </c>
      <c r="D27" s="48">
        <v>67636677.420000002</v>
      </c>
      <c r="E27" s="48">
        <v>71389645.209999993</v>
      </c>
      <c r="F27" s="48">
        <v>1239402.8</v>
      </c>
      <c r="G27" s="48">
        <v>31893182.07</v>
      </c>
      <c r="H27" s="48">
        <v>1133901.99</v>
      </c>
      <c r="I27" s="48">
        <v>47986884.82</v>
      </c>
      <c r="J27" s="48">
        <v>340934.84</v>
      </c>
      <c r="K27" s="48">
        <v>456212.87</v>
      </c>
      <c r="L27" s="48">
        <v>8418955.9800000004</v>
      </c>
      <c r="M27" s="48">
        <v>121673704.20999999</v>
      </c>
      <c r="N27" s="48">
        <v>200818.97</v>
      </c>
      <c r="O27" s="48">
        <v>32871800.91</v>
      </c>
      <c r="P27" s="48">
        <v>40130658.43</v>
      </c>
      <c r="Q27" s="48">
        <v>35863204.270000003</v>
      </c>
      <c r="R27" s="48">
        <v>50044136.869999997</v>
      </c>
      <c r="S27" s="48">
        <v>48522069.799999997</v>
      </c>
      <c r="T27" s="48">
        <v>49918932.880000003</v>
      </c>
      <c r="U27" s="48">
        <v>46898955.509999998</v>
      </c>
      <c r="V27" s="48">
        <v>262622.44</v>
      </c>
      <c r="W27" s="48">
        <v>266380.34999999998</v>
      </c>
      <c r="X27" s="48">
        <v>272238.5</v>
      </c>
      <c r="Y27" s="48">
        <v>2918225.61</v>
      </c>
      <c r="Z27" s="48">
        <v>543520.62</v>
      </c>
      <c r="AA27" s="48">
        <v>0</v>
      </c>
      <c r="AB27" s="48">
        <v>0</v>
      </c>
      <c r="AC27" s="48">
        <v>807711476.01999998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4000000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t="s">
        <v>102</v>
      </c>
      <c r="B28" s="48">
        <v>8080316.4699999997</v>
      </c>
      <c r="C28" s="48">
        <v>10221816.470000001</v>
      </c>
      <c r="D28" s="48">
        <v>7830174.8300000001</v>
      </c>
      <c r="E28" s="48">
        <v>7365174.8300000001</v>
      </c>
      <c r="F28" s="48">
        <v>5468015.1600000001</v>
      </c>
      <c r="G28" s="48">
        <v>1409375.16</v>
      </c>
      <c r="H28" s="48">
        <v>6368015.1600000001</v>
      </c>
      <c r="I28" s="48">
        <v>6368015.1600000001</v>
      </c>
      <c r="J28" s="48">
        <v>3327070.78</v>
      </c>
      <c r="K28" s="48">
        <v>3327070.78</v>
      </c>
      <c r="L28" s="48">
        <v>3327070.78</v>
      </c>
      <c r="M28" s="48">
        <v>3327070.78</v>
      </c>
      <c r="N28" s="48">
        <v>19579469.18</v>
      </c>
      <c r="O28" s="48">
        <v>19579469.18</v>
      </c>
      <c r="P28" s="48">
        <v>19579469.18</v>
      </c>
      <c r="Q28" s="48">
        <v>19579469.18</v>
      </c>
      <c r="R28" s="48">
        <v>26194173.559999999</v>
      </c>
      <c r="S28" s="48">
        <v>26194173.559999999</v>
      </c>
      <c r="T28" s="48">
        <v>26194173.559999999</v>
      </c>
      <c r="U28" s="48">
        <v>26194173.559999999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t="s">
        <v>29</v>
      </c>
      <c r="B29" s="48">
        <v>29925985.800000001</v>
      </c>
      <c r="C29" s="48">
        <v>25393985.800000001</v>
      </c>
      <c r="D29" s="48">
        <v>34284110.030000001</v>
      </c>
      <c r="E29" s="48">
        <v>28554340</v>
      </c>
      <c r="F29" s="48">
        <v>18719541.399999999</v>
      </c>
      <c r="G29" s="48">
        <v>22778181.399999999</v>
      </c>
      <c r="H29" s="48">
        <v>17819541.399999999</v>
      </c>
      <c r="I29" s="48">
        <v>17819541.399999999</v>
      </c>
      <c r="J29" s="48">
        <v>23818698</v>
      </c>
      <c r="K29" s="48">
        <v>23818698</v>
      </c>
      <c r="L29" s="48">
        <v>19546710.199999999</v>
      </c>
      <c r="M29" s="48">
        <v>23818698</v>
      </c>
      <c r="N29" s="48">
        <v>13818799</v>
      </c>
      <c r="O29" s="48">
        <v>13818799</v>
      </c>
      <c r="P29" s="48">
        <v>13818799</v>
      </c>
      <c r="Q29" s="48">
        <v>13818799</v>
      </c>
      <c r="R29" s="48">
        <v>12432319.199999999</v>
      </c>
      <c r="S29" s="48">
        <v>12432319.199999999</v>
      </c>
      <c r="T29" s="48">
        <v>12432319.199999999</v>
      </c>
      <c r="U29" s="48">
        <v>12432319.199999999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2190</v>
      </c>
      <c r="BH29" s="48">
        <v>2190</v>
      </c>
      <c r="BI29" s="48">
        <v>2190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598100</v>
      </c>
      <c r="BW29" s="48">
        <v>598100</v>
      </c>
      <c r="BX29" s="48">
        <v>598100</v>
      </c>
      <c r="BY29" s="48">
        <v>598100</v>
      </c>
      <c r="BZ29" s="48">
        <v>0</v>
      </c>
      <c r="CA29" s="48">
        <v>435000</v>
      </c>
      <c r="CB29" s="48">
        <v>0</v>
      </c>
      <c r="CC29" s="48">
        <v>1204500</v>
      </c>
      <c r="CD29" s="48">
        <v>0</v>
      </c>
      <c r="CE29" s="48">
        <v>1933000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 hidden="1"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0"/>
    </row>
    <row r="31" spans="1:90" hidden="1"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0"/>
    </row>
    <row r="32" spans="1:90" hidden="1"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0"/>
    </row>
    <row r="33" spans="1:90" s="14" customFormat="1">
      <c r="A33" s="14" t="s">
        <v>46</v>
      </c>
      <c r="B33" s="43">
        <f>SUM(B22:B29)</f>
        <v>14225850996.089998</v>
      </c>
      <c r="C33" s="43">
        <f t="shared" ref="C33:BN33" si="2">SUM(C22:C29)</f>
        <v>14599525690.84</v>
      </c>
      <c r="D33" s="43">
        <f t="shared" si="2"/>
        <v>15395137049.500002</v>
      </c>
      <c r="E33" s="43">
        <f t="shared" si="2"/>
        <v>14045791344.249998</v>
      </c>
      <c r="F33" s="43">
        <f t="shared" si="2"/>
        <v>13425596477.65</v>
      </c>
      <c r="G33" s="43">
        <f t="shared" si="2"/>
        <v>12622376826.689999</v>
      </c>
      <c r="H33" s="43">
        <f t="shared" si="2"/>
        <v>14067986496.279999</v>
      </c>
      <c r="I33" s="43">
        <f t="shared" si="2"/>
        <v>12806344449.299999</v>
      </c>
      <c r="J33" s="43">
        <f t="shared" si="2"/>
        <v>12364687005.230001</v>
      </c>
      <c r="K33" s="43">
        <f t="shared" si="2"/>
        <v>12157048055.010002</v>
      </c>
      <c r="L33" s="43">
        <f t="shared" si="2"/>
        <v>12883044208.360001</v>
      </c>
      <c r="M33" s="43">
        <f t="shared" si="2"/>
        <v>12260415324.550001</v>
      </c>
      <c r="N33" s="43">
        <f t="shared" si="2"/>
        <v>11564650953.809999</v>
      </c>
      <c r="O33" s="43">
        <f t="shared" si="2"/>
        <v>12525940798.720001</v>
      </c>
      <c r="P33" s="43">
        <f t="shared" si="2"/>
        <v>12859748576.450001</v>
      </c>
      <c r="Q33" s="43">
        <f t="shared" si="2"/>
        <v>12470060828.880001</v>
      </c>
      <c r="R33" s="43">
        <f t="shared" si="2"/>
        <v>12188370110.91</v>
      </c>
      <c r="S33" s="43">
        <f t="shared" si="2"/>
        <v>11530900725.16</v>
      </c>
      <c r="T33" s="43">
        <f t="shared" si="2"/>
        <v>11855908274.75</v>
      </c>
      <c r="U33" s="43">
        <f t="shared" si="2"/>
        <v>10944727747.650002</v>
      </c>
      <c r="V33" s="43">
        <f t="shared" si="2"/>
        <v>10252533336.070002</v>
      </c>
      <c r="W33" s="43">
        <f t="shared" si="2"/>
        <v>9293433669.1300011</v>
      </c>
      <c r="X33" s="43">
        <f t="shared" si="2"/>
        <v>10045041677.74</v>
      </c>
      <c r="Y33" s="43">
        <f t="shared" si="2"/>
        <v>9054820307.5200005</v>
      </c>
      <c r="Z33" s="43">
        <f t="shared" si="2"/>
        <v>8710538403.7000008</v>
      </c>
      <c r="AA33" s="43">
        <f t="shared" si="2"/>
        <v>6051454560.0900002</v>
      </c>
      <c r="AB33" s="43">
        <f t="shared" si="2"/>
        <v>6131801345.6999998</v>
      </c>
      <c r="AC33" s="43">
        <f t="shared" si="2"/>
        <v>8408612115.5300007</v>
      </c>
      <c r="AD33" s="43">
        <f t="shared" si="2"/>
        <v>5702917386.1100006</v>
      </c>
      <c r="AE33" s="43">
        <f t="shared" si="2"/>
        <v>5502340117.6800003</v>
      </c>
      <c r="AF33" s="43">
        <f t="shared" si="2"/>
        <v>5360244609.6599998</v>
      </c>
      <c r="AG33" s="43">
        <f t="shared" si="2"/>
        <v>4590855687.2300005</v>
      </c>
      <c r="AH33" s="43">
        <f t="shared" si="2"/>
        <v>4451186466.5699997</v>
      </c>
      <c r="AI33" s="43">
        <f t="shared" si="2"/>
        <v>4135297059.4899998</v>
      </c>
      <c r="AJ33" s="43">
        <f t="shared" si="2"/>
        <v>4195673597.1099997</v>
      </c>
      <c r="AK33" s="43">
        <f t="shared" si="2"/>
        <v>3757000824.8000002</v>
      </c>
      <c r="AL33" s="43">
        <f t="shared" si="2"/>
        <v>3884454720.6000004</v>
      </c>
      <c r="AM33" s="43">
        <f t="shared" si="2"/>
        <v>3518668419.8800001</v>
      </c>
      <c r="AN33" s="43">
        <f t="shared" si="2"/>
        <v>3248014559.2000003</v>
      </c>
      <c r="AO33" s="43">
        <f t="shared" si="2"/>
        <v>3361986039.1500001</v>
      </c>
      <c r="AP33" s="43">
        <f t="shared" si="2"/>
        <v>3431882811.0599999</v>
      </c>
      <c r="AQ33" s="43">
        <f t="shared" si="2"/>
        <v>3384551310.8100004</v>
      </c>
      <c r="AR33" s="43">
        <f t="shared" si="2"/>
        <v>3196652023.9700003</v>
      </c>
      <c r="AS33" s="43">
        <f t="shared" si="2"/>
        <v>3005979141.3000002</v>
      </c>
      <c r="AT33" s="43">
        <f t="shared" si="2"/>
        <v>3035224535.6599998</v>
      </c>
      <c r="AU33" s="43">
        <f t="shared" si="2"/>
        <v>2847442392.5900002</v>
      </c>
      <c r="AV33" s="43">
        <f t="shared" si="2"/>
        <v>2601700787.0299997</v>
      </c>
      <c r="AW33" s="43">
        <f t="shared" si="2"/>
        <v>2363486118.6799998</v>
      </c>
      <c r="AX33" s="43">
        <f t="shared" si="2"/>
        <v>2108135600.3299999</v>
      </c>
      <c r="AY33" s="43">
        <f t="shared" si="2"/>
        <v>2061300930.4299998</v>
      </c>
      <c r="AZ33" s="43">
        <f t="shared" si="2"/>
        <v>2069220952.8899999</v>
      </c>
      <c r="BA33" s="43">
        <f t="shared" si="2"/>
        <v>2068679102.8</v>
      </c>
      <c r="BB33" s="43">
        <f t="shared" si="2"/>
        <v>2376634037.25</v>
      </c>
      <c r="BC33" s="43">
        <f t="shared" si="2"/>
        <v>2262785569.3999996</v>
      </c>
      <c r="BD33" s="43">
        <f t="shared" si="2"/>
        <v>2227535702.3499999</v>
      </c>
      <c r="BE33" s="43">
        <f t="shared" si="2"/>
        <v>2119520366.51</v>
      </c>
      <c r="BF33" s="43">
        <f t="shared" si="2"/>
        <v>2547251428.5299997</v>
      </c>
      <c r="BG33" s="43">
        <f t="shared" si="2"/>
        <v>2516611948.46</v>
      </c>
      <c r="BH33" s="43">
        <f t="shared" si="2"/>
        <v>2267884051.7399998</v>
      </c>
      <c r="BI33" s="43">
        <f t="shared" si="2"/>
        <v>2287036626.0699997</v>
      </c>
      <c r="BJ33" s="43">
        <f t="shared" si="2"/>
        <v>2336341086.1199999</v>
      </c>
      <c r="BK33" s="43">
        <f t="shared" si="2"/>
        <v>2306069611.77</v>
      </c>
      <c r="BL33" s="43">
        <f t="shared" si="2"/>
        <v>2262824543.8599997</v>
      </c>
      <c r="BM33" s="43">
        <f t="shared" si="2"/>
        <v>2231993836.5999999</v>
      </c>
      <c r="BN33" s="43">
        <f t="shared" si="2"/>
        <v>2152419166.1800003</v>
      </c>
      <c r="BO33" s="43">
        <f t="shared" ref="BO33:CK33" si="3">SUM(BO22:BO29)</f>
        <v>1994809888.5099998</v>
      </c>
      <c r="BP33" s="43">
        <f t="shared" si="3"/>
        <v>1928256783.3</v>
      </c>
      <c r="BQ33" s="43">
        <f t="shared" si="3"/>
        <v>1844436315.1199999</v>
      </c>
      <c r="BR33" s="43">
        <f t="shared" si="3"/>
        <v>1784274834.75</v>
      </c>
      <c r="BS33" s="43">
        <f t="shared" si="3"/>
        <v>1800048669.1300001</v>
      </c>
      <c r="BT33" s="43">
        <f t="shared" si="3"/>
        <v>2383061137.0799999</v>
      </c>
      <c r="BU33" s="43">
        <f t="shared" si="3"/>
        <v>2265897395.8899999</v>
      </c>
      <c r="BV33" s="43">
        <f t="shared" si="3"/>
        <v>1993198724.4200001</v>
      </c>
      <c r="BW33" s="43">
        <f t="shared" si="3"/>
        <v>1845231171.7099998</v>
      </c>
      <c r="BX33" s="43">
        <f t="shared" si="3"/>
        <v>1842169380.77</v>
      </c>
      <c r="BY33" s="43">
        <f t="shared" si="3"/>
        <v>1840183023.24</v>
      </c>
      <c r="BZ33" s="43">
        <f t="shared" si="3"/>
        <v>0</v>
      </c>
      <c r="CA33" s="43">
        <f t="shared" si="3"/>
        <v>1832991560.3899999</v>
      </c>
      <c r="CB33" s="43">
        <f t="shared" si="3"/>
        <v>0</v>
      </c>
      <c r="CC33" s="43">
        <f t="shared" si="3"/>
        <v>1071312207.73</v>
      </c>
      <c r="CD33" s="43">
        <f t="shared" si="3"/>
        <v>0</v>
      </c>
      <c r="CE33" s="43">
        <f t="shared" si="3"/>
        <v>323379000</v>
      </c>
      <c r="CF33" s="43">
        <f t="shared" si="3"/>
        <v>0</v>
      </c>
      <c r="CG33" s="43">
        <f t="shared" si="3"/>
        <v>431736299.84000003</v>
      </c>
      <c r="CH33" s="43">
        <f t="shared" si="3"/>
        <v>0</v>
      </c>
      <c r="CI33" s="43">
        <f t="shared" si="3"/>
        <v>0</v>
      </c>
      <c r="CJ33" s="43">
        <f t="shared" si="3"/>
        <v>0</v>
      </c>
      <c r="CK33" s="43">
        <f t="shared" si="3"/>
        <v>0</v>
      </c>
    </row>
    <row r="34" spans="1:90" s="15" customFormat="1">
      <c r="A34" s="20" t="s">
        <v>108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0"/>
      <c r="M34" s="19"/>
      <c r="N34" s="19"/>
    </row>
    <row r="35" spans="1:90">
      <c r="A35" t="s">
        <v>47</v>
      </c>
      <c r="B35" s="48">
        <v>0</v>
      </c>
      <c r="C35" s="48">
        <v>76857855.700000003</v>
      </c>
      <c r="D35" s="48">
        <v>87521805.5</v>
      </c>
      <c r="E35" s="48">
        <v>105318169.41</v>
      </c>
      <c r="F35" s="48">
        <v>88720552.200000003</v>
      </c>
      <c r="G35" s="48">
        <v>80587776.489999995</v>
      </c>
      <c r="H35" s="48">
        <v>83693789.209999993</v>
      </c>
      <c r="I35" s="48">
        <v>79179571.939999998</v>
      </c>
      <c r="J35" s="48">
        <v>90729043.870000005</v>
      </c>
      <c r="K35" s="48">
        <v>102497060</v>
      </c>
      <c r="L35" s="48">
        <v>88586732.739999995</v>
      </c>
      <c r="M35" s="48">
        <v>117924161.56</v>
      </c>
      <c r="N35" s="48">
        <v>90435285.159999996</v>
      </c>
      <c r="O35" s="48">
        <v>84067573.590000004</v>
      </c>
      <c r="P35" s="48">
        <v>109918483.68000001</v>
      </c>
      <c r="Q35" s="48">
        <v>92652020.489999995</v>
      </c>
      <c r="R35" s="48">
        <v>101462212.66</v>
      </c>
      <c r="S35" s="48">
        <v>93600805.010000005</v>
      </c>
      <c r="T35" s="48">
        <v>90641759.980000004</v>
      </c>
      <c r="U35" s="48">
        <v>110652869.25</v>
      </c>
      <c r="V35" s="48">
        <v>84407613.390000001</v>
      </c>
      <c r="W35" s="48">
        <v>79150966.349999994</v>
      </c>
      <c r="X35" s="48">
        <v>57679053.829999998</v>
      </c>
      <c r="Y35" s="48">
        <v>62182949.380000003</v>
      </c>
      <c r="Z35" s="48">
        <v>29647455.559999999</v>
      </c>
      <c r="AA35" s="48">
        <v>25046814.870000001</v>
      </c>
      <c r="AB35" s="48">
        <v>41501445.729999997</v>
      </c>
      <c r="AC35" s="48">
        <v>44437096.530000001</v>
      </c>
      <c r="AD35" s="48">
        <v>36688248.93</v>
      </c>
      <c r="AE35" s="48">
        <v>24050282.050000001</v>
      </c>
      <c r="AF35" s="48">
        <v>26355656.690000001</v>
      </c>
      <c r="AG35" s="48">
        <v>17325166.829999998</v>
      </c>
      <c r="AH35" s="48">
        <v>31597620.09</v>
      </c>
      <c r="AI35" s="48">
        <v>32451837.370000001</v>
      </c>
      <c r="AJ35" s="48">
        <v>19118042.75</v>
      </c>
      <c r="AK35" s="48">
        <v>21889473</v>
      </c>
      <c r="AL35" s="48">
        <v>23428171</v>
      </c>
      <c r="AM35" s="48">
        <v>11437135.130000001</v>
      </c>
      <c r="AN35" s="48">
        <v>5573640</v>
      </c>
      <c r="AO35" s="48">
        <v>292000</v>
      </c>
      <c r="AP35" s="48">
        <v>1064770</v>
      </c>
      <c r="AQ35" s="48">
        <v>3642520</v>
      </c>
      <c r="AR35" s="48">
        <v>4172150</v>
      </c>
      <c r="AS35" s="48">
        <v>944050</v>
      </c>
      <c r="AT35" s="48">
        <v>1431900</v>
      </c>
      <c r="AU35" s="48">
        <v>2770000</v>
      </c>
      <c r="AV35" s="48">
        <v>3000000</v>
      </c>
      <c r="AW35" s="48">
        <v>2417250</v>
      </c>
      <c r="AX35" s="48">
        <v>6146115.2400000002</v>
      </c>
      <c r="AY35" s="48">
        <v>6100000</v>
      </c>
      <c r="AZ35" s="48">
        <v>8715000</v>
      </c>
      <c r="BA35" s="48">
        <v>5540000</v>
      </c>
      <c r="BB35" s="48">
        <v>2287900</v>
      </c>
      <c r="BC35" s="48">
        <v>10865452.640000001</v>
      </c>
      <c r="BD35" s="48">
        <v>6820000</v>
      </c>
      <c r="BE35" s="48">
        <v>26720000</v>
      </c>
      <c r="BF35" s="48">
        <v>12213188.800000001</v>
      </c>
      <c r="BG35" s="48">
        <v>5660730</v>
      </c>
      <c r="BH35" s="48">
        <v>990000</v>
      </c>
      <c r="BI35" s="48">
        <v>3450000</v>
      </c>
      <c r="BJ35" s="48">
        <v>17194794.199999999</v>
      </c>
      <c r="BK35" s="48">
        <v>5118800</v>
      </c>
      <c r="BL35" s="48">
        <v>4559800</v>
      </c>
      <c r="BM35" s="48">
        <v>7094949.4000000004</v>
      </c>
      <c r="BN35" s="48">
        <v>2433719.6</v>
      </c>
      <c r="BO35" s="48">
        <v>1983691.6</v>
      </c>
      <c r="BP35" s="48">
        <v>2340210</v>
      </c>
      <c r="BQ35" s="48">
        <v>1230000</v>
      </c>
      <c r="BR35" s="48">
        <v>3098483.18</v>
      </c>
      <c r="BS35" s="48">
        <v>5350000</v>
      </c>
      <c r="BT35" s="48">
        <v>26896195.309999999</v>
      </c>
      <c r="BU35" s="48">
        <v>38322431.530000001</v>
      </c>
      <c r="BV35" s="48">
        <v>52284373.18</v>
      </c>
      <c r="BW35" s="48">
        <v>15723433.779999999</v>
      </c>
      <c r="BX35" s="48">
        <v>128323300.19</v>
      </c>
      <c r="BY35" s="48">
        <v>250941844.80000001</v>
      </c>
      <c r="BZ35" s="48">
        <v>0</v>
      </c>
      <c r="CA35" s="48">
        <v>464910503.25999999</v>
      </c>
      <c r="CB35" s="48">
        <v>0</v>
      </c>
      <c r="CC35" s="48">
        <v>138885416.56999999</v>
      </c>
      <c r="CD35" s="48">
        <v>0</v>
      </c>
      <c r="CE35" s="48">
        <v>0</v>
      </c>
      <c r="CF35" s="48">
        <v>0</v>
      </c>
      <c r="CG35" s="48">
        <v>24031185.399999999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t="s">
        <v>48</v>
      </c>
      <c r="B36" s="48">
        <v>0</v>
      </c>
      <c r="C36" s="48">
        <v>2517378070.8899999</v>
      </c>
      <c r="D36" s="48">
        <v>1804642810.1800001</v>
      </c>
      <c r="E36" s="48">
        <v>2249319523.23</v>
      </c>
      <c r="F36" s="48">
        <v>1838095854.8499999</v>
      </c>
      <c r="G36" s="48">
        <v>1482783604.7</v>
      </c>
      <c r="H36" s="48">
        <v>1825105436.01</v>
      </c>
      <c r="I36" s="48">
        <v>1792884979.6900001</v>
      </c>
      <c r="J36" s="48">
        <v>1914212950.1600001</v>
      </c>
      <c r="K36" s="48">
        <v>1814264019.0699999</v>
      </c>
      <c r="L36" s="48">
        <v>1588467452.97</v>
      </c>
      <c r="M36" s="48">
        <v>1611808884.4100001</v>
      </c>
      <c r="N36" s="48">
        <v>1797951811.9300001</v>
      </c>
      <c r="O36" s="48">
        <v>1869387867.8499999</v>
      </c>
      <c r="P36" s="48">
        <v>1749316342</v>
      </c>
      <c r="Q36" s="48">
        <v>2024844816.1600001</v>
      </c>
      <c r="R36" s="48">
        <v>2063838599.74</v>
      </c>
      <c r="S36" s="48">
        <v>1909828679.5899999</v>
      </c>
      <c r="T36" s="48">
        <v>1776899285.0799999</v>
      </c>
      <c r="U36" s="48">
        <v>2130323705</v>
      </c>
      <c r="V36" s="48">
        <v>1980032549.6900001</v>
      </c>
      <c r="W36" s="48">
        <v>1748690804.72</v>
      </c>
      <c r="X36" s="48">
        <v>1573904907.9000001</v>
      </c>
      <c r="Y36" s="48">
        <v>1987324728.52</v>
      </c>
      <c r="Z36" s="48">
        <v>2137108028.0999999</v>
      </c>
      <c r="AA36" s="48">
        <v>1439114751.1300001</v>
      </c>
      <c r="AB36" s="48">
        <v>1229328347.0699999</v>
      </c>
      <c r="AC36" s="48">
        <v>2231200865.73</v>
      </c>
      <c r="AD36" s="48">
        <v>1791464407.74</v>
      </c>
      <c r="AE36" s="48">
        <v>1858035096.0999999</v>
      </c>
      <c r="AF36" s="48">
        <v>1750291802.03</v>
      </c>
      <c r="AG36" s="48">
        <v>1845507394.9000001</v>
      </c>
      <c r="AH36" s="48">
        <v>1821264618.5999999</v>
      </c>
      <c r="AI36" s="48">
        <v>1749083756.3299999</v>
      </c>
      <c r="AJ36" s="48">
        <v>1349096499.8199999</v>
      </c>
      <c r="AK36" s="48">
        <v>1425621794.23</v>
      </c>
      <c r="AL36" s="48">
        <v>1430009173.51</v>
      </c>
      <c r="AM36" s="48">
        <v>1420491728.3499999</v>
      </c>
      <c r="AN36" s="48">
        <v>1210386619.75</v>
      </c>
      <c r="AO36" s="48">
        <v>1268639641.8900001</v>
      </c>
      <c r="AP36" s="48">
        <v>1200947866.1800001</v>
      </c>
      <c r="AQ36" s="48">
        <v>1172051332.6500001</v>
      </c>
      <c r="AR36" s="48">
        <v>837359441.94000006</v>
      </c>
      <c r="AS36" s="48">
        <v>1016380092.88</v>
      </c>
      <c r="AT36" s="48">
        <v>640815935.80999994</v>
      </c>
      <c r="AU36" s="48">
        <v>579568763.19000006</v>
      </c>
      <c r="AV36" s="48">
        <v>612795961.75</v>
      </c>
      <c r="AW36" s="48">
        <v>518133720.68000001</v>
      </c>
      <c r="AX36" s="48">
        <v>333771881.81999999</v>
      </c>
      <c r="AY36" s="48">
        <v>340941196.70999998</v>
      </c>
      <c r="AZ36" s="48">
        <v>227781328.88</v>
      </c>
      <c r="BA36" s="48">
        <v>336038430.44</v>
      </c>
      <c r="BB36" s="48">
        <v>283144642.33999997</v>
      </c>
      <c r="BC36" s="48">
        <v>272731787.57999998</v>
      </c>
      <c r="BD36" s="48">
        <v>240911059.49000001</v>
      </c>
      <c r="BE36" s="48">
        <v>340172525.63999999</v>
      </c>
      <c r="BF36" s="48">
        <v>300336087.74000001</v>
      </c>
      <c r="BG36" s="48">
        <v>409767393.89999998</v>
      </c>
      <c r="BH36" s="48">
        <v>297836346.06999999</v>
      </c>
      <c r="BI36" s="48">
        <v>336282248.62</v>
      </c>
      <c r="BJ36" s="48">
        <v>361435958.88999999</v>
      </c>
      <c r="BK36" s="48">
        <v>302427088.17000002</v>
      </c>
      <c r="BL36" s="48">
        <v>370566245.02999997</v>
      </c>
      <c r="BM36" s="48">
        <v>359059202.19</v>
      </c>
      <c r="BN36" s="48">
        <v>579972808.02999997</v>
      </c>
      <c r="BO36" s="48">
        <v>916443559.75</v>
      </c>
      <c r="BP36" s="48">
        <v>963579867.5</v>
      </c>
      <c r="BQ36" s="48">
        <v>917129148.96000004</v>
      </c>
      <c r="BR36" s="48">
        <v>928090632.48000002</v>
      </c>
      <c r="BS36" s="48">
        <v>975659674.52999997</v>
      </c>
      <c r="BT36" s="48">
        <v>1130775527.8800001</v>
      </c>
      <c r="BU36" s="48">
        <v>1123317364.0899999</v>
      </c>
      <c r="BV36" s="48">
        <v>1016321120.66</v>
      </c>
      <c r="BW36" s="48">
        <v>988049808.90999997</v>
      </c>
      <c r="BX36" s="48">
        <v>287479493.19999999</v>
      </c>
      <c r="BY36" s="48">
        <v>250663482.97</v>
      </c>
      <c r="BZ36" s="48">
        <v>0</v>
      </c>
      <c r="CA36" s="48">
        <v>368577235.04000002</v>
      </c>
      <c r="CB36" s="48">
        <v>0</v>
      </c>
      <c r="CC36" s="48">
        <v>188486835.84</v>
      </c>
      <c r="CD36" s="48">
        <v>0</v>
      </c>
      <c r="CE36" s="48">
        <v>110650000</v>
      </c>
      <c r="CF36" s="48">
        <v>0</v>
      </c>
      <c r="CG36" s="48">
        <v>127204764.61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t="s">
        <v>49</v>
      </c>
      <c r="B37" s="48">
        <v>0</v>
      </c>
      <c r="C37" s="48">
        <v>15778362163.91</v>
      </c>
      <c r="D37" s="48">
        <v>16957902466.709999</v>
      </c>
      <c r="E37" s="48">
        <v>16408535921.82</v>
      </c>
      <c r="F37" s="48">
        <v>16410670524.530001</v>
      </c>
      <c r="G37" s="48">
        <v>15957654552.629999</v>
      </c>
      <c r="H37" s="48">
        <v>16944113335.02</v>
      </c>
      <c r="I37" s="48">
        <v>16125819117.059999</v>
      </c>
      <c r="J37" s="48">
        <v>16157375933.27</v>
      </c>
      <c r="K37" s="48">
        <v>15881193828.59</v>
      </c>
      <c r="L37" s="48">
        <v>15954418323.16</v>
      </c>
      <c r="M37" s="48">
        <v>15480921327.58</v>
      </c>
      <c r="N37" s="48">
        <v>15181206568.58</v>
      </c>
      <c r="O37" s="48">
        <v>14914630862.5</v>
      </c>
      <c r="P37" s="48">
        <v>15286937362.440001</v>
      </c>
      <c r="Q37" s="48">
        <v>14817460454.35</v>
      </c>
      <c r="R37" s="48">
        <v>14567865612.950001</v>
      </c>
      <c r="S37" s="48">
        <v>13806204900.01</v>
      </c>
      <c r="T37" s="48">
        <v>13846164852.83</v>
      </c>
      <c r="U37" s="48">
        <v>12763964328.549999</v>
      </c>
      <c r="V37" s="48">
        <v>12533966581.6</v>
      </c>
      <c r="W37" s="48">
        <v>11890329954.6</v>
      </c>
      <c r="X37" s="48">
        <v>11566390596.379999</v>
      </c>
      <c r="Y37" s="48">
        <v>10801315553.99</v>
      </c>
      <c r="Z37" s="48">
        <v>9779086699.5499992</v>
      </c>
      <c r="AA37" s="48">
        <v>8373867175.9099998</v>
      </c>
      <c r="AB37" s="48">
        <v>7404987766.3199997</v>
      </c>
      <c r="AC37" s="48">
        <v>7272013724.7399998</v>
      </c>
      <c r="AD37" s="48">
        <v>6328106052.8100004</v>
      </c>
      <c r="AE37" s="48">
        <v>5763650926.1499996</v>
      </c>
      <c r="AF37" s="48">
        <v>5079613349.2799997</v>
      </c>
      <c r="AG37" s="48">
        <v>4663632721.5200005</v>
      </c>
      <c r="AH37" s="48">
        <v>4627383245.1700001</v>
      </c>
      <c r="AI37" s="48">
        <v>3979577919.3400002</v>
      </c>
      <c r="AJ37" s="48">
        <v>3694142541.21</v>
      </c>
      <c r="AK37" s="48">
        <v>3312780065.9499998</v>
      </c>
      <c r="AL37" s="48">
        <v>3172131086.1700001</v>
      </c>
      <c r="AM37" s="48">
        <v>2506864572.0599999</v>
      </c>
      <c r="AN37" s="48">
        <v>2151774970.27</v>
      </c>
      <c r="AO37" s="48">
        <v>1936043794.1500001</v>
      </c>
      <c r="AP37" s="48">
        <v>2210239250.9400001</v>
      </c>
      <c r="AQ37" s="48">
        <v>2089371802.8900001</v>
      </c>
      <c r="AR37" s="48">
        <v>2145180858.95</v>
      </c>
      <c r="AS37" s="48">
        <v>2186370342.2199998</v>
      </c>
      <c r="AT37" s="48">
        <v>2249558149.0500002</v>
      </c>
      <c r="AU37" s="48">
        <v>2021106657.9400001</v>
      </c>
      <c r="AV37" s="48">
        <v>1676742272.6700001</v>
      </c>
      <c r="AW37" s="48">
        <v>1687022635.99</v>
      </c>
      <c r="AX37" s="48">
        <v>1629284176.0699999</v>
      </c>
      <c r="AY37" s="48">
        <v>1427654963.1600001</v>
      </c>
      <c r="AZ37" s="48">
        <v>1300915597.1199999</v>
      </c>
      <c r="BA37" s="48">
        <v>1275787545.3800001</v>
      </c>
      <c r="BB37" s="48">
        <v>1408011652.5999999</v>
      </c>
      <c r="BC37" s="48">
        <v>1435548564.8399999</v>
      </c>
      <c r="BD37" s="48">
        <v>1517910431.55</v>
      </c>
      <c r="BE37" s="48">
        <v>1593889772.71</v>
      </c>
      <c r="BF37" s="48">
        <v>2099738356.3499999</v>
      </c>
      <c r="BG37" s="48">
        <v>1928630629.3900001</v>
      </c>
      <c r="BH37" s="48">
        <v>1936171299.5799999</v>
      </c>
      <c r="BI37" s="48">
        <v>2080245004.1400001</v>
      </c>
      <c r="BJ37" s="48">
        <v>2089242023.96</v>
      </c>
      <c r="BK37" s="48">
        <v>1801159740.5999999</v>
      </c>
      <c r="BL37" s="48">
        <v>1612936235.47</v>
      </c>
      <c r="BM37" s="48">
        <v>1722456521.73</v>
      </c>
      <c r="BN37" s="48">
        <v>1469774017.5599999</v>
      </c>
      <c r="BO37" s="48">
        <v>1204019783.6900001</v>
      </c>
      <c r="BP37" s="48">
        <v>1057353065.67</v>
      </c>
      <c r="BQ37" s="48">
        <v>988322704.76999998</v>
      </c>
      <c r="BR37" s="48">
        <v>819093721.94000006</v>
      </c>
      <c r="BS37" s="48">
        <v>844645517.49000001</v>
      </c>
      <c r="BT37" s="48">
        <v>795767780.92999995</v>
      </c>
      <c r="BU37" s="48">
        <v>741838770.83000004</v>
      </c>
      <c r="BV37" s="48">
        <v>645848526.59000003</v>
      </c>
      <c r="BW37" s="48">
        <v>687264214.17999995</v>
      </c>
      <c r="BX37" s="48">
        <v>0</v>
      </c>
      <c r="BY37" s="48">
        <v>0</v>
      </c>
      <c r="BZ37" s="48">
        <v>0</v>
      </c>
      <c r="CA37" s="48">
        <v>2999752.95</v>
      </c>
      <c r="CB37" s="48">
        <v>0</v>
      </c>
      <c r="CC37" s="48">
        <v>11363414.5</v>
      </c>
      <c r="CD37" s="48">
        <v>0</v>
      </c>
      <c r="CE37" s="48">
        <v>0</v>
      </c>
      <c r="CF37" s="48">
        <v>0</v>
      </c>
      <c r="CG37" s="48">
        <v>13848498.68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t="s">
        <v>50</v>
      </c>
      <c r="B38" s="48">
        <v>0</v>
      </c>
      <c r="C38" s="48">
        <v>0</v>
      </c>
      <c r="D38" s="48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0</v>
      </c>
      <c r="AG38" s="48">
        <v>0</v>
      </c>
      <c r="AH38" s="48">
        <v>0</v>
      </c>
      <c r="AI38" s="48">
        <v>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0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t="s">
        <v>51</v>
      </c>
      <c r="B39" s="48">
        <v>418486811.93000001</v>
      </c>
      <c r="C39" s="48">
        <v>436243146.44999999</v>
      </c>
      <c r="D39" s="48">
        <v>485996079.95999998</v>
      </c>
      <c r="E39" s="48">
        <v>545036990.58000004</v>
      </c>
      <c r="F39" s="48">
        <v>444797266.66000003</v>
      </c>
      <c r="G39" s="48">
        <v>477054452.92000002</v>
      </c>
      <c r="H39" s="48">
        <v>513929695.92000002</v>
      </c>
      <c r="I39" s="48">
        <v>550439860.23000002</v>
      </c>
      <c r="J39" s="48">
        <v>427913324.94999999</v>
      </c>
      <c r="K39" s="48">
        <v>461772599.87</v>
      </c>
      <c r="L39" s="48">
        <v>493046166.38999999</v>
      </c>
      <c r="M39" s="48">
        <v>531330287.31</v>
      </c>
      <c r="N39" s="48">
        <v>411182067.94</v>
      </c>
      <c r="O39" s="48">
        <v>462903688.63</v>
      </c>
      <c r="P39" s="48">
        <v>390731950.42000002</v>
      </c>
      <c r="Q39" s="48">
        <v>599557598.23000002</v>
      </c>
      <c r="R39" s="48">
        <v>469686996.18000001</v>
      </c>
      <c r="S39" s="48">
        <v>437731202.48000002</v>
      </c>
      <c r="T39" s="48">
        <v>460192708.93000001</v>
      </c>
      <c r="U39" s="48">
        <v>556810174.33000004</v>
      </c>
      <c r="V39" s="48">
        <v>338355613.24000001</v>
      </c>
      <c r="W39" s="48">
        <v>298877258.32999998</v>
      </c>
      <c r="X39" s="48">
        <v>378312990.02999997</v>
      </c>
      <c r="Y39" s="48">
        <v>443360546.51999998</v>
      </c>
      <c r="Z39" s="48">
        <v>470360737.07999998</v>
      </c>
      <c r="AA39" s="48">
        <v>257750108.96000001</v>
      </c>
      <c r="AB39" s="48">
        <v>275940040.68000001</v>
      </c>
      <c r="AC39" s="48">
        <v>775641196.73000002</v>
      </c>
      <c r="AD39" s="48">
        <v>248173238.69999999</v>
      </c>
      <c r="AE39" s="48">
        <v>225848783.86000001</v>
      </c>
      <c r="AF39" s="48">
        <v>224426213.90000001</v>
      </c>
      <c r="AG39" s="48">
        <v>249756012.86000001</v>
      </c>
      <c r="AH39" s="48">
        <v>189532965.56</v>
      </c>
      <c r="AI39" s="48">
        <v>160801635.58000001</v>
      </c>
      <c r="AJ39" s="48">
        <v>155668429.27000001</v>
      </c>
      <c r="AK39" s="48">
        <v>202063672.66</v>
      </c>
      <c r="AL39" s="48">
        <v>128695298.02</v>
      </c>
      <c r="AM39" s="48">
        <v>127070624.19</v>
      </c>
      <c r="AN39" s="48">
        <v>162089847.08000001</v>
      </c>
      <c r="AO39" s="48">
        <v>182809192.11000001</v>
      </c>
      <c r="AP39" s="48">
        <v>123343504.34</v>
      </c>
      <c r="AQ39" s="48">
        <v>116792452.18000001</v>
      </c>
      <c r="AR39" s="48">
        <v>129481551.75</v>
      </c>
      <c r="AS39" s="48">
        <v>209565774.99000001</v>
      </c>
      <c r="AT39" s="48">
        <v>162755887.24000001</v>
      </c>
      <c r="AU39" s="48">
        <v>158527674.59</v>
      </c>
      <c r="AV39" s="48">
        <v>152255767.65000001</v>
      </c>
      <c r="AW39" s="48">
        <v>117807446.38</v>
      </c>
      <c r="AX39" s="48">
        <v>60253388.350000001</v>
      </c>
      <c r="AY39" s="48">
        <v>69963389.340000004</v>
      </c>
      <c r="AZ39" s="48">
        <v>72262493.040000007</v>
      </c>
      <c r="BA39" s="48">
        <v>104526590.81</v>
      </c>
      <c r="BB39" s="48">
        <v>72819402.129999995</v>
      </c>
      <c r="BC39" s="48">
        <v>112145348.55</v>
      </c>
      <c r="BD39" s="48">
        <v>200068013.81</v>
      </c>
      <c r="BE39" s="48">
        <v>201011437.16999999</v>
      </c>
      <c r="BF39" s="48">
        <v>198888096.13</v>
      </c>
      <c r="BG39" s="48">
        <v>206719189.43000001</v>
      </c>
      <c r="BH39" s="48">
        <v>200991093.94999999</v>
      </c>
      <c r="BI39" s="48">
        <v>196267263.24000001</v>
      </c>
      <c r="BJ39" s="48">
        <v>157395222.31</v>
      </c>
      <c r="BK39" s="48">
        <v>180968794.38</v>
      </c>
      <c r="BL39" s="48">
        <v>294991557.00999999</v>
      </c>
      <c r="BM39" s="48">
        <v>260959583.02000001</v>
      </c>
      <c r="BN39" s="48">
        <v>60260432.420000002</v>
      </c>
      <c r="BO39" s="48">
        <v>127193977.16</v>
      </c>
      <c r="BP39" s="48">
        <v>97583032.030000001</v>
      </c>
      <c r="BQ39" s="48">
        <v>82936536.969999999</v>
      </c>
      <c r="BR39" s="48">
        <v>84317316.650000006</v>
      </c>
      <c r="BS39" s="48">
        <v>70958903.140000001</v>
      </c>
      <c r="BT39" s="48">
        <v>55559896.020000003</v>
      </c>
      <c r="BU39" s="48">
        <v>65770182.789999999</v>
      </c>
      <c r="BV39" s="48">
        <v>8195899.0499999998</v>
      </c>
      <c r="BW39" s="48">
        <v>47583337.82</v>
      </c>
      <c r="BX39" s="48">
        <v>7670917.5099999998</v>
      </c>
      <c r="BY39" s="48">
        <v>5985135.2800000003</v>
      </c>
      <c r="BZ39" s="48">
        <v>0</v>
      </c>
      <c r="CA39" s="48">
        <v>5554018.4000000004</v>
      </c>
      <c r="CB39" s="48">
        <v>0</v>
      </c>
      <c r="CC39" s="48">
        <v>6881629.6500000004</v>
      </c>
      <c r="CD39" s="48">
        <v>0</v>
      </c>
      <c r="CE39" s="48">
        <v>0</v>
      </c>
      <c r="CF39" s="48">
        <v>0</v>
      </c>
      <c r="CG39" s="48">
        <v>1117734.48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t="s">
        <v>52</v>
      </c>
      <c r="B40" s="48">
        <v>107388343.98999999</v>
      </c>
      <c r="C40" s="48">
        <v>113207462.09</v>
      </c>
      <c r="D40" s="48">
        <v>195652623.19999999</v>
      </c>
      <c r="E40" s="48">
        <v>336623394.32999998</v>
      </c>
      <c r="F40" s="48">
        <v>79316551.599999994</v>
      </c>
      <c r="G40" s="48">
        <v>110660073.06</v>
      </c>
      <c r="H40" s="48">
        <v>154993929.96000001</v>
      </c>
      <c r="I40" s="48">
        <v>296210081.89999998</v>
      </c>
      <c r="J40" s="48">
        <v>36306086.460000001</v>
      </c>
      <c r="K40" s="48">
        <v>94528421.620000005</v>
      </c>
      <c r="L40" s="48">
        <v>142799275.27000001</v>
      </c>
      <c r="M40" s="48">
        <v>224788062.59999999</v>
      </c>
      <c r="N40" s="48">
        <v>53874449.009999998</v>
      </c>
      <c r="O40" s="48">
        <v>115702934.2</v>
      </c>
      <c r="P40" s="48">
        <v>114843963.97</v>
      </c>
      <c r="Q40" s="48">
        <v>137718368.78999999</v>
      </c>
      <c r="R40" s="48">
        <v>100779882.16</v>
      </c>
      <c r="S40" s="48">
        <v>108709483.94</v>
      </c>
      <c r="T40" s="48">
        <v>136717320.87</v>
      </c>
      <c r="U40" s="48">
        <v>127377369.83</v>
      </c>
      <c r="V40" s="48">
        <v>77313093.420000002</v>
      </c>
      <c r="W40" s="48">
        <v>44250594.469999999</v>
      </c>
      <c r="X40" s="48">
        <v>55500261.43</v>
      </c>
      <c r="Y40" s="48">
        <v>262708487.84999999</v>
      </c>
      <c r="Z40" s="48">
        <v>89545495.290000007</v>
      </c>
      <c r="AA40" s="48">
        <v>80492404.650000006</v>
      </c>
      <c r="AB40" s="48">
        <v>59428951.189999998</v>
      </c>
      <c r="AC40" s="48">
        <v>78265705.890000001</v>
      </c>
      <c r="AD40" s="48">
        <v>142170288.09</v>
      </c>
      <c r="AE40" s="48">
        <v>101939044.56</v>
      </c>
      <c r="AF40" s="48">
        <v>24485495.399999999</v>
      </c>
      <c r="AG40" s="48">
        <v>102926445.75</v>
      </c>
      <c r="AH40" s="48">
        <v>75808497.260000005</v>
      </c>
      <c r="AI40" s="48">
        <v>111124539.26000001</v>
      </c>
      <c r="AJ40" s="48">
        <v>105465438.59</v>
      </c>
      <c r="AK40" s="48">
        <v>157284409.05000001</v>
      </c>
      <c r="AL40" s="48">
        <v>105654947.47</v>
      </c>
      <c r="AM40" s="48">
        <v>73181119.099999994</v>
      </c>
      <c r="AN40" s="48">
        <v>164159666.28</v>
      </c>
      <c r="AO40" s="48">
        <v>84755557.260000005</v>
      </c>
      <c r="AP40" s="48">
        <v>97428252.430000007</v>
      </c>
      <c r="AQ40" s="48">
        <v>106600223.79000001</v>
      </c>
      <c r="AR40" s="48">
        <v>118867188.42</v>
      </c>
      <c r="AS40" s="48">
        <v>134812189.12</v>
      </c>
      <c r="AT40" s="48">
        <v>89407760.629999995</v>
      </c>
      <c r="AU40" s="48">
        <v>78170345.489999995</v>
      </c>
      <c r="AV40" s="48">
        <v>133966214.01000001</v>
      </c>
      <c r="AW40" s="48">
        <v>59712491.460000001</v>
      </c>
      <c r="AX40" s="48">
        <v>31199998.510000002</v>
      </c>
      <c r="AY40" s="48">
        <v>48963475.030000001</v>
      </c>
      <c r="AZ40" s="48">
        <v>88799677.400000006</v>
      </c>
      <c r="BA40" s="48">
        <v>112709663.7</v>
      </c>
      <c r="BB40" s="48">
        <v>60932894.020000003</v>
      </c>
      <c r="BC40" s="48">
        <v>88297895.010000005</v>
      </c>
      <c r="BD40" s="48">
        <v>84074765.040000007</v>
      </c>
      <c r="BE40" s="48">
        <v>96888661.170000002</v>
      </c>
      <c r="BF40" s="48">
        <v>39355388.740000002</v>
      </c>
      <c r="BG40" s="48">
        <v>23461107.920000002</v>
      </c>
      <c r="BH40" s="48">
        <v>56786857.509999998</v>
      </c>
      <c r="BI40" s="48">
        <v>96520861.920000002</v>
      </c>
      <c r="BJ40" s="48">
        <v>44241544.170000002</v>
      </c>
      <c r="BK40" s="48">
        <v>49165714.659999996</v>
      </c>
      <c r="BL40" s="48">
        <v>51171311.310000002</v>
      </c>
      <c r="BM40" s="48">
        <v>49319384.890000001</v>
      </c>
      <c r="BN40" s="48">
        <v>41234235.630000003</v>
      </c>
      <c r="BO40" s="48">
        <v>76655112.120000005</v>
      </c>
      <c r="BP40" s="48">
        <v>62427605.840000004</v>
      </c>
      <c r="BQ40" s="48">
        <v>49938634.100000001</v>
      </c>
      <c r="BR40" s="48">
        <v>58057951.280000001</v>
      </c>
      <c r="BS40" s="48">
        <v>69377594.540000007</v>
      </c>
      <c r="BT40" s="48">
        <v>66533701.509999998</v>
      </c>
      <c r="BU40" s="48">
        <v>71419477.040000007</v>
      </c>
      <c r="BV40" s="48">
        <v>113590781.09999999</v>
      </c>
      <c r="BW40" s="48">
        <v>166764560.69</v>
      </c>
      <c r="BX40" s="48">
        <v>70981691.609999999</v>
      </c>
      <c r="BY40" s="48">
        <v>69401727.780000001</v>
      </c>
      <c r="BZ40" s="48">
        <v>0</v>
      </c>
      <c r="CA40" s="48">
        <v>-14922586.68</v>
      </c>
      <c r="CB40" s="48">
        <v>0</v>
      </c>
      <c r="CC40" s="48">
        <v>831641.43</v>
      </c>
      <c r="CD40" s="48">
        <v>0</v>
      </c>
      <c r="CE40" s="48">
        <v>-2290000</v>
      </c>
      <c r="CF40" s="48">
        <v>0</v>
      </c>
      <c r="CG40" s="48">
        <v>7971944.8700000001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t="s">
        <v>53</v>
      </c>
      <c r="B41" s="48">
        <v>0</v>
      </c>
      <c r="C41" s="48">
        <v>853014256.66999996</v>
      </c>
      <c r="D41" s="48">
        <v>804530301.85000002</v>
      </c>
      <c r="E41" s="48">
        <v>955844978.44000006</v>
      </c>
      <c r="F41" s="48">
        <v>817660599.84000003</v>
      </c>
      <c r="G41" s="48">
        <v>802448516.42999995</v>
      </c>
      <c r="H41" s="48">
        <v>766742422.57000005</v>
      </c>
      <c r="I41" s="48">
        <v>782141609.47000003</v>
      </c>
      <c r="J41" s="48">
        <v>754607880.41999996</v>
      </c>
      <c r="K41" s="48">
        <v>772710258.91999996</v>
      </c>
      <c r="L41" s="48">
        <v>753466019.60000002</v>
      </c>
      <c r="M41" s="48">
        <v>795975344.35000002</v>
      </c>
      <c r="N41" s="48">
        <v>847358643.35000002</v>
      </c>
      <c r="O41" s="48">
        <v>2332405847.1999998</v>
      </c>
      <c r="P41" s="48">
        <v>822681466.62</v>
      </c>
      <c r="Q41" s="48">
        <v>929870830.38</v>
      </c>
      <c r="R41" s="48">
        <v>903630734.10000002</v>
      </c>
      <c r="S41" s="48">
        <v>929006311.92999995</v>
      </c>
      <c r="T41" s="48">
        <v>824834836.67999995</v>
      </c>
      <c r="U41" s="48">
        <v>849628877.84000003</v>
      </c>
      <c r="V41" s="48">
        <v>875905723.46000004</v>
      </c>
      <c r="W41" s="48">
        <v>813494332.17999995</v>
      </c>
      <c r="X41" s="48">
        <v>751182474.60000002</v>
      </c>
      <c r="Y41" s="48">
        <v>771204826.52999997</v>
      </c>
      <c r="Z41" s="48">
        <v>793852747.57000005</v>
      </c>
      <c r="AA41" s="48">
        <v>596118097.33000004</v>
      </c>
      <c r="AB41" s="48">
        <v>601357083.32000005</v>
      </c>
      <c r="AC41" s="48">
        <v>780702574.49000001</v>
      </c>
      <c r="AD41" s="48">
        <v>588137932.57000005</v>
      </c>
      <c r="AE41" s="48">
        <v>591021286.47000003</v>
      </c>
      <c r="AF41" s="48">
        <v>579489641.48000002</v>
      </c>
      <c r="AG41" s="48">
        <v>528285240.81999999</v>
      </c>
      <c r="AH41" s="48">
        <v>604103707.72000003</v>
      </c>
      <c r="AI41" s="48">
        <v>620051089.22000003</v>
      </c>
      <c r="AJ41" s="48">
        <v>547940006.40999997</v>
      </c>
      <c r="AK41" s="48">
        <v>490657810.44</v>
      </c>
      <c r="AL41" s="48">
        <v>444320168.89999998</v>
      </c>
      <c r="AM41" s="48">
        <v>361541346.74000001</v>
      </c>
      <c r="AN41" s="48">
        <v>389334642.83999997</v>
      </c>
      <c r="AO41" s="48">
        <v>358418001.56</v>
      </c>
      <c r="AP41" s="48">
        <v>407585272.32999998</v>
      </c>
      <c r="AQ41" s="48">
        <v>313708527.79000002</v>
      </c>
      <c r="AR41" s="48">
        <v>380886988.42000002</v>
      </c>
      <c r="AS41" s="48">
        <v>359363809.19999999</v>
      </c>
      <c r="AT41" s="48">
        <v>597871045.54999995</v>
      </c>
      <c r="AU41" s="48">
        <v>498963688.98000002</v>
      </c>
      <c r="AV41" s="48">
        <v>401270100.81</v>
      </c>
      <c r="AW41" s="48">
        <v>530746000.97000003</v>
      </c>
      <c r="AX41" s="48">
        <v>426427565.57999998</v>
      </c>
      <c r="AY41" s="48">
        <v>391604917.29000002</v>
      </c>
      <c r="AZ41" s="48">
        <v>200117366.09999999</v>
      </c>
      <c r="BA41" s="48">
        <v>390779576.20999998</v>
      </c>
      <c r="BB41" s="48">
        <v>330317534.36000001</v>
      </c>
      <c r="BC41" s="48">
        <v>312638275.82999998</v>
      </c>
      <c r="BD41" s="48">
        <v>274271381.80000001</v>
      </c>
      <c r="BE41" s="48">
        <v>310343370.92000002</v>
      </c>
      <c r="BF41" s="48">
        <v>311869129.42000002</v>
      </c>
      <c r="BG41" s="48">
        <v>266732595.06</v>
      </c>
      <c r="BH41" s="48">
        <v>336158557.70999998</v>
      </c>
      <c r="BI41" s="48">
        <v>298305020.27999997</v>
      </c>
      <c r="BJ41" s="48">
        <v>189886867.25999999</v>
      </c>
      <c r="BK41" s="48">
        <v>234169317.66</v>
      </c>
      <c r="BL41" s="48">
        <v>254372680.49000001</v>
      </c>
      <c r="BM41" s="48">
        <v>479698254.39999998</v>
      </c>
      <c r="BN41" s="48">
        <v>226461271.41</v>
      </c>
      <c r="BO41" s="48">
        <v>252145019.18000001</v>
      </c>
      <c r="BP41" s="48">
        <v>288238198.56</v>
      </c>
      <c r="BQ41" s="48">
        <v>354227910.04000002</v>
      </c>
      <c r="BR41" s="48">
        <v>384705199.56999999</v>
      </c>
      <c r="BS41" s="48">
        <v>261891166.06</v>
      </c>
      <c r="BT41" s="48">
        <v>175076211.15000001</v>
      </c>
      <c r="BU41" s="48">
        <v>312181039.26999998</v>
      </c>
      <c r="BV41" s="48">
        <v>197878542.97</v>
      </c>
      <c r="BW41" s="48">
        <v>362214877.29000002</v>
      </c>
      <c r="BX41" s="48">
        <v>124160656.52</v>
      </c>
      <c r="BY41" s="48">
        <v>159620177.44</v>
      </c>
      <c r="BZ41" s="48">
        <v>0</v>
      </c>
      <c r="CA41" s="48">
        <v>43350158.399999999</v>
      </c>
      <c r="CB41" s="48">
        <v>0</v>
      </c>
      <c r="CC41" s="48">
        <v>39100817.579999998</v>
      </c>
      <c r="CD41" s="48">
        <v>0</v>
      </c>
      <c r="CE41" s="48">
        <v>20292000</v>
      </c>
      <c r="CF41" s="48">
        <v>0</v>
      </c>
      <c r="CG41" s="48">
        <v>39515275.899999999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 s="47" customFormat="1">
      <c r="A42" s="47" t="s">
        <v>54</v>
      </c>
      <c r="B42" s="48">
        <v>115372320.29000001</v>
      </c>
      <c r="C42" s="48">
        <v>114684317.73999999</v>
      </c>
      <c r="D42" s="48">
        <v>114687144.44</v>
      </c>
      <c r="E42" s="48">
        <v>125422047.83</v>
      </c>
      <c r="F42" s="48">
        <v>116727812.28</v>
      </c>
      <c r="G42" s="48">
        <v>116747281.38</v>
      </c>
      <c r="H42" s="48">
        <v>118835608.81999999</v>
      </c>
      <c r="I42" s="48">
        <v>126508741.19</v>
      </c>
      <c r="J42" s="48">
        <v>129450508.3</v>
      </c>
      <c r="K42" s="48">
        <v>129636625.72</v>
      </c>
      <c r="L42" s="48">
        <v>134895261</v>
      </c>
      <c r="M42" s="48">
        <v>134895261</v>
      </c>
      <c r="N42" s="48">
        <v>58695816.829999998</v>
      </c>
      <c r="O42" s="48">
        <v>88874228.849999994</v>
      </c>
      <c r="P42" s="48">
        <v>93004017.579999998</v>
      </c>
      <c r="Q42" s="48">
        <v>97836603.989999995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0</v>
      </c>
      <c r="AL42" s="48">
        <v>0</v>
      </c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8">
        <v>0</v>
      </c>
      <c r="AY42" s="48">
        <v>0</v>
      </c>
      <c r="AZ42" s="48">
        <v>0</v>
      </c>
      <c r="BA42" s="48">
        <v>0</v>
      </c>
      <c r="BB42" s="48">
        <v>0</v>
      </c>
      <c r="BC42" s="48">
        <v>0</v>
      </c>
      <c r="BD42" s="48">
        <v>0</v>
      </c>
      <c r="BE42" s="48">
        <v>0</v>
      </c>
      <c r="BF42" s="48">
        <v>0</v>
      </c>
      <c r="BG42" s="48">
        <v>0</v>
      </c>
      <c r="BH42" s="48">
        <v>0</v>
      </c>
      <c r="BI42" s="48">
        <v>0</v>
      </c>
      <c r="BJ42" s="48">
        <v>0</v>
      </c>
      <c r="BK42" s="48">
        <v>0</v>
      </c>
      <c r="BL42" s="48">
        <v>0</v>
      </c>
      <c r="BM42" s="48">
        <v>0</v>
      </c>
      <c r="BN42" s="48">
        <v>0</v>
      </c>
      <c r="BO42" s="48">
        <v>0</v>
      </c>
      <c r="BP42" s="48">
        <v>0</v>
      </c>
      <c r="BQ42" s="48">
        <v>0</v>
      </c>
      <c r="BR42" s="48">
        <v>0</v>
      </c>
      <c r="BS42" s="48">
        <v>0</v>
      </c>
      <c r="BT42" s="48">
        <v>0</v>
      </c>
      <c r="BU42" s="48">
        <v>0</v>
      </c>
      <c r="BV42" s="48">
        <v>0</v>
      </c>
      <c r="BW42" s="48">
        <v>0</v>
      </c>
      <c r="BX42" s="48">
        <v>0</v>
      </c>
      <c r="BY42" s="48">
        <v>0</v>
      </c>
      <c r="BZ42" s="48">
        <v>0</v>
      </c>
      <c r="CA42" s="48">
        <v>0</v>
      </c>
      <c r="CB42" s="48">
        <v>0</v>
      </c>
      <c r="CC42" s="48">
        <v>0</v>
      </c>
      <c r="CD42" s="48">
        <v>0</v>
      </c>
      <c r="CE42" s="48">
        <v>0</v>
      </c>
      <c r="CF42" s="48">
        <v>0</v>
      </c>
      <c r="CG42" s="48">
        <v>0</v>
      </c>
      <c r="CH42" s="48">
        <v>0</v>
      </c>
      <c r="CI42" s="48">
        <v>0</v>
      </c>
      <c r="CJ42" s="48">
        <v>0</v>
      </c>
      <c r="CK42" s="48">
        <v>0</v>
      </c>
      <c r="CL42" s="48">
        <v>0</v>
      </c>
    </row>
    <row r="43" spans="1:90">
      <c r="A43" t="s">
        <v>55</v>
      </c>
      <c r="B43" s="48">
        <v>201319103.75</v>
      </c>
      <c r="C43" s="48">
        <v>203568642.62</v>
      </c>
      <c r="D43" s="48">
        <v>205818181.49000001</v>
      </c>
      <c r="E43" s="48">
        <v>208067720.34</v>
      </c>
      <c r="F43" s="48">
        <v>210517259.21000001</v>
      </c>
      <c r="G43" s="48">
        <v>214246798.08000001</v>
      </c>
      <c r="H43" s="48">
        <v>216496336.94999999</v>
      </c>
      <c r="I43" s="48">
        <v>218745875.81999999</v>
      </c>
      <c r="J43" s="48">
        <v>224721625.30000001</v>
      </c>
      <c r="K43" s="48">
        <v>230434798.15000001</v>
      </c>
      <c r="L43" s="48">
        <v>232443108.97999999</v>
      </c>
      <c r="M43" s="48">
        <v>232283109</v>
      </c>
      <c r="N43" s="48">
        <v>52750000</v>
      </c>
      <c r="O43" s="48">
        <v>52750000</v>
      </c>
      <c r="P43" s="48">
        <v>54050000</v>
      </c>
      <c r="Q43" s="48">
        <v>54050000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0</v>
      </c>
      <c r="AL43" s="48">
        <v>0</v>
      </c>
      <c r="AM43" s="48">
        <v>0</v>
      </c>
      <c r="AN43" s="48">
        <v>0</v>
      </c>
      <c r="AO43" s="48">
        <v>0</v>
      </c>
      <c r="AP43" s="48">
        <v>0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>
        <v>0</v>
      </c>
      <c r="AW43" s="48">
        <v>0</v>
      </c>
      <c r="AX43" s="48">
        <v>0</v>
      </c>
      <c r="AY43" s="48">
        <v>0</v>
      </c>
      <c r="AZ43" s="48">
        <v>0</v>
      </c>
      <c r="BA43" s="48">
        <v>0</v>
      </c>
      <c r="BB43" s="48">
        <v>0</v>
      </c>
      <c r="BC43" s="48">
        <v>0</v>
      </c>
      <c r="BD43" s="48">
        <v>0</v>
      </c>
      <c r="BE43" s="48">
        <v>0</v>
      </c>
      <c r="BF43" s="48">
        <v>0</v>
      </c>
      <c r="BG43" s="48">
        <v>0</v>
      </c>
      <c r="BH43" s="48">
        <v>0</v>
      </c>
      <c r="BI43" s="48">
        <v>0</v>
      </c>
      <c r="BJ43" s="48">
        <v>0</v>
      </c>
      <c r="BK43" s="48">
        <v>0</v>
      </c>
      <c r="BL43" s="48">
        <v>0</v>
      </c>
      <c r="BM43" s="48">
        <v>0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0</v>
      </c>
      <c r="BU43" s="48">
        <v>0</v>
      </c>
      <c r="BV43" s="48">
        <v>0</v>
      </c>
      <c r="BW43" s="48">
        <v>0</v>
      </c>
      <c r="BX43" s="48">
        <v>0</v>
      </c>
      <c r="BY43" s="48">
        <v>0</v>
      </c>
      <c r="BZ43" s="48">
        <v>0</v>
      </c>
      <c r="CA43" s="48">
        <v>0</v>
      </c>
      <c r="CB43" s="48">
        <v>0</v>
      </c>
      <c r="CC43" s="48">
        <v>0</v>
      </c>
      <c r="CD43" s="48">
        <v>0</v>
      </c>
      <c r="CE43" s="48">
        <v>0</v>
      </c>
      <c r="CF43" s="48">
        <v>0</v>
      </c>
      <c r="CG43" s="48">
        <v>0</v>
      </c>
      <c r="CH43" s="48">
        <v>0</v>
      </c>
      <c r="CI43" s="48">
        <v>0</v>
      </c>
      <c r="CJ43" s="48">
        <v>0</v>
      </c>
      <c r="CK43" s="48">
        <v>0</v>
      </c>
      <c r="CL43" s="48">
        <v>0</v>
      </c>
    </row>
    <row r="44" spans="1:90">
      <c r="A44" t="s">
        <v>56</v>
      </c>
      <c r="B44" s="48">
        <v>0</v>
      </c>
      <c r="C44" s="48">
        <v>0</v>
      </c>
      <c r="D44" s="48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451133256.63</v>
      </c>
      <c r="O44" s="48">
        <v>368324094.19</v>
      </c>
      <c r="P44" s="48">
        <v>508597141.54000002</v>
      </c>
      <c r="Q44" s="48">
        <v>527514094.19</v>
      </c>
      <c r="R44" s="48">
        <v>533555166.83999997</v>
      </c>
      <c r="S44" s="48">
        <v>528287554.30000001</v>
      </c>
      <c r="T44" s="48">
        <v>546999793.61000001</v>
      </c>
      <c r="U44" s="48">
        <v>478594799.04000002</v>
      </c>
      <c r="V44" s="48">
        <v>490792556.92000002</v>
      </c>
      <c r="W44" s="48">
        <v>491781980.81999999</v>
      </c>
      <c r="X44" s="48">
        <v>336824140.51999998</v>
      </c>
      <c r="Y44" s="48">
        <v>337097926.5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0</v>
      </c>
      <c r="AM44" s="48">
        <v>0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</v>
      </c>
      <c r="AT44" s="48">
        <v>1840934.52</v>
      </c>
      <c r="AU44" s="48">
        <v>1774934.52</v>
      </c>
      <c r="AV44" s="48">
        <v>1374934.52</v>
      </c>
      <c r="AW44" s="48">
        <v>1110772.1599999999</v>
      </c>
      <c r="AX44" s="48">
        <v>329526.07</v>
      </c>
      <c r="AY44" s="48">
        <v>1086477.29</v>
      </c>
      <c r="AZ44" s="48">
        <v>380880.39</v>
      </c>
      <c r="BA44" s="48">
        <v>1160509.9099999999</v>
      </c>
      <c r="BB44" s="48">
        <v>425900</v>
      </c>
      <c r="BC44" s="48">
        <v>1139334.52</v>
      </c>
      <c r="BD44" s="48">
        <v>1139334.52</v>
      </c>
      <c r="BE44" s="48">
        <v>1139334.52</v>
      </c>
      <c r="BF44" s="48">
        <v>0</v>
      </c>
      <c r="BG44" s="48">
        <v>0</v>
      </c>
      <c r="BH44" s="48">
        <v>0</v>
      </c>
      <c r="BI44" s="48">
        <v>0</v>
      </c>
      <c r="BJ44" s="48">
        <v>0</v>
      </c>
      <c r="BK44" s="48">
        <v>0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0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0</v>
      </c>
      <c r="CA44" s="48">
        <v>0</v>
      </c>
      <c r="CB44" s="48">
        <v>0</v>
      </c>
      <c r="CC44" s="48">
        <v>0</v>
      </c>
      <c r="CD44" s="48">
        <v>0</v>
      </c>
      <c r="CE44" s="48">
        <v>0</v>
      </c>
      <c r="CF44" s="48">
        <v>0</v>
      </c>
      <c r="CG44" s="48">
        <v>0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t="s">
        <v>57</v>
      </c>
      <c r="B45" s="48">
        <v>85760593.299999997</v>
      </c>
      <c r="C45" s="48">
        <v>84621842.060000002</v>
      </c>
      <c r="D45" s="48">
        <v>83636286.109999999</v>
      </c>
      <c r="E45" s="48">
        <v>80779126.390000001</v>
      </c>
      <c r="F45" s="48">
        <v>92077486.590000004</v>
      </c>
      <c r="G45" s="48">
        <v>92665692.049999997</v>
      </c>
      <c r="H45" s="48">
        <v>90565619.209999993</v>
      </c>
      <c r="I45" s="48">
        <v>90936545.739999995</v>
      </c>
      <c r="J45" s="48">
        <v>108544254.14</v>
      </c>
      <c r="K45" s="48">
        <v>117792982.34</v>
      </c>
      <c r="L45" s="48">
        <v>120432191.44</v>
      </c>
      <c r="M45" s="48">
        <v>119318845.92</v>
      </c>
      <c r="N45" s="48">
        <v>85952523.989999995</v>
      </c>
      <c r="O45" s="48">
        <v>182957290.99000001</v>
      </c>
      <c r="P45" s="48">
        <v>196562640.66</v>
      </c>
      <c r="Q45" s="48">
        <v>193917871.19</v>
      </c>
      <c r="R45" s="48">
        <v>205996328.03999999</v>
      </c>
      <c r="S45" s="48">
        <v>185064515.49000001</v>
      </c>
      <c r="T45" s="48">
        <v>162584375.81</v>
      </c>
      <c r="U45" s="48">
        <v>166392003.33000001</v>
      </c>
      <c r="V45" s="48">
        <v>193326039.83000001</v>
      </c>
      <c r="W45" s="48">
        <v>204768859.34</v>
      </c>
      <c r="X45" s="48">
        <v>256675618.16</v>
      </c>
      <c r="Y45" s="48">
        <v>255485823.87</v>
      </c>
      <c r="Z45" s="48">
        <v>492405127.98000002</v>
      </c>
      <c r="AA45" s="48">
        <v>29130105.079999998</v>
      </c>
      <c r="AB45" s="48">
        <v>28991860.079999998</v>
      </c>
      <c r="AC45" s="48">
        <v>538726877.86000001</v>
      </c>
      <c r="AD45" s="48">
        <v>53979889.469999999</v>
      </c>
      <c r="AE45" s="48">
        <v>52097442.380000003</v>
      </c>
      <c r="AF45" s="48">
        <v>47083836.090000004</v>
      </c>
      <c r="AG45" s="48">
        <v>44013077.140000001</v>
      </c>
      <c r="AH45" s="48">
        <v>47969370.93</v>
      </c>
      <c r="AI45" s="48">
        <v>47529931.579999998</v>
      </c>
      <c r="AJ45" s="48">
        <v>44861630.590000004</v>
      </c>
      <c r="AK45" s="48">
        <v>43239740</v>
      </c>
      <c r="AL45" s="48">
        <v>46926540.119999997</v>
      </c>
      <c r="AM45" s="48">
        <v>43988789.609999999</v>
      </c>
      <c r="AN45" s="48">
        <v>4397448.51</v>
      </c>
      <c r="AO45" s="48">
        <v>10718110.609999999</v>
      </c>
      <c r="AP45" s="48">
        <v>3715634.42</v>
      </c>
      <c r="AQ45" s="48">
        <v>8719104.8000000007</v>
      </c>
      <c r="AR45" s="48">
        <v>4544461</v>
      </c>
      <c r="AS45" s="48">
        <v>7789600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 hidden="1"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0"/>
    </row>
    <row r="47" spans="1:90" hidden="1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0"/>
    </row>
    <row r="48" spans="1:90" hidden="1"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0"/>
    </row>
    <row r="49" spans="1:90" s="14" customFormat="1">
      <c r="A49" s="14" t="s">
        <v>58</v>
      </c>
      <c r="B49" s="43">
        <f>SUM(B35:B41)+SUM(B43:B45)</f>
        <v>812954852.97000003</v>
      </c>
      <c r="C49" s="43">
        <f t="shared" ref="C49:D49" si="4">SUM(C35:C41)+SUM(C43:C45)</f>
        <v>20063253440.389999</v>
      </c>
      <c r="D49" s="43">
        <f t="shared" si="4"/>
        <v>20625700554.999996</v>
      </c>
      <c r="E49" s="43">
        <f>SUM(E35:E45)</f>
        <v>21014947872.370003</v>
      </c>
      <c r="F49" s="43">
        <f t="shared" ref="F49:BQ49" si="5">SUM(F35:F45)</f>
        <v>20098583907.759998</v>
      </c>
      <c r="G49" s="43">
        <f t="shared" si="5"/>
        <v>19334848747.740002</v>
      </c>
      <c r="H49" s="43">
        <f t="shared" si="5"/>
        <v>20714476173.669998</v>
      </c>
      <c r="I49" s="43">
        <f t="shared" si="5"/>
        <v>20062866383.040001</v>
      </c>
      <c r="J49" s="43">
        <f t="shared" si="5"/>
        <v>19843861606.869995</v>
      </c>
      <c r="K49" s="43">
        <f t="shared" si="5"/>
        <v>19604830594.279999</v>
      </c>
      <c r="L49" s="43">
        <f t="shared" si="5"/>
        <v>19508554531.549995</v>
      </c>
      <c r="M49" s="43">
        <f t="shared" si="5"/>
        <v>19249245283.729996</v>
      </c>
      <c r="N49" s="43">
        <f t="shared" si="5"/>
        <v>19030540423.420002</v>
      </c>
      <c r="O49" s="43">
        <f t="shared" si="5"/>
        <v>20472004388</v>
      </c>
      <c r="P49" s="43">
        <f t="shared" si="5"/>
        <v>19326643368.910004</v>
      </c>
      <c r="Q49" s="43">
        <f t="shared" si="5"/>
        <v>19475422657.77</v>
      </c>
      <c r="R49" s="43">
        <f t="shared" si="5"/>
        <v>18946815532.669998</v>
      </c>
      <c r="S49" s="43">
        <f t="shared" si="5"/>
        <v>17998433452.75</v>
      </c>
      <c r="T49" s="43">
        <f t="shared" si="5"/>
        <v>17845034933.790001</v>
      </c>
      <c r="U49" s="43">
        <f t="shared" si="5"/>
        <v>17183744127.170002</v>
      </c>
      <c r="V49" s="43">
        <f t="shared" si="5"/>
        <v>16574099771.549999</v>
      </c>
      <c r="W49" s="43">
        <f t="shared" si="5"/>
        <v>15571344750.809999</v>
      </c>
      <c r="X49" s="43">
        <f t="shared" si="5"/>
        <v>14976470042.85</v>
      </c>
      <c r="Y49" s="43">
        <f t="shared" si="5"/>
        <v>14920680843.160002</v>
      </c>
      <c r="Z49" s="43">
        <f t="shared" si="5"/>
        <v>13792006291.129999</v>
      </c>
      <c r="AA49" s="43">
        <f t="shared" si="5"/>
        <v>10801519457.929998</v>
      </c>
      <c r="AB49" s="43">
        <f t="shared" si="5"/>
        <v>9641535494.3899994</v>
      </c>
      <c r="AC49" s="43">
        <f t="shared" si="5"/>
        <v>11720988041.969999</v>
      </c>
      <c r="AD49" s="43">
        <f t="shared" si="5"/>
        <v>9188720058.3099995</v>
      </c>
      <c r="AE49" s="43">
        <f t="shared" si="5"/>
        <v>8616642861.5699997</v>
      </c>
      <c r="AF49" s="43">
        <f t="shared" si="5"/>
        <v>7731745994.8699989</v>
      </c>
      <c r="AG49" s="43">
        <f t="shared" si="5"/>
        <v>7451446059.8199997</v>
      </c>
      <c r="AH49" s="43">
        <f t="shared" si="5"/>
        <v>7397660025.3300009</v>
      </c>
      <c r="AI49" s="43">
        <f t="shared" si="5"/>
        <v>6700620708.6800003</v>
      </c>
      <c r="AJ49" s="43">
        <f t="shared" si="5"/>
        <v>5916292588.6400003</v>
      </c>
      <c r="AK49" s="43">
        <f t="shared" si="5"/>
        <v>5653536965.3299999</v>
      </c>
      <c r="AL49" s="43">
        <f t="shared" si="5"/>
        <v>5351165385.1900005</v>
      </c>
      <c r="AM49" s="43">
        <f t="shared" si="5"/>
        <v>4544575315.1799994</v>
      </c>
      <c r="AN49" s="43">
        <f t="shared" si="5"/>
        <v>4087716834.7300005</v>
      </c>
      <c r="AO49" s="43">
        <f t="shared" si="5"/>
        <v>3841676297.5800004</v>
      </c>
      <c r="AP49" s="43">
        <f t="shared" si="5"/>
        <v>4044324550.6399999</v>
      </c>
      <c r="AQ49" s="43">
        <f t="shared" si="5"/>
        <v>3810885964.0999999</v>
      </c>
      <c r="AR49" s="43">
        <f t="shared" si="5"/>
        <v>3620492640.4800005</v>
      </c>
      <c r="AS49" s="43">
        <f t="shared" si="5"/>
        <v>3915225858.4099998</v>
      </c>
      <c r="AT49" s="43">
        <f t="shared" si="5"/>
        <v>3743681612.8000007</v>
      </c>
      <c r="AU49" s="43">
        <f t="shared" si="5"/>
        <v>3340882064.71</v>
      </c>
      <c r="AV49" s="43">
        <f t="shared" si="5"/>
        <v>2981405251.4100003</v>
      </c>
      <c r="AW49" s="43">
        <f t="shared" si="5"/>
        <v>2916950317.6400003</v>
      </c>
      <c r="AX49" s="43">
        <f t="shared" si="5"/>
        <v>2487412651.6399999</v>
      </c>
      <c r="AY49" s="43">
        <f t="shared" si="5"/>
        <v>2286314418.8200002</v>
      </c>
      <c r="AZ49" s="43">
        <f t="shared" si="5"/>
        <v>1898972342.9300001</v>
      </c>
      <c r="BA49" s="43">
        <f t="shared" si="5"/>
        <v>2226542316.4499998</v>
      </c>
      <c r="BB49" s="43">
        <f t="shared" si="5"/>
        <v>2157939925.4499998</v>
      </c>
      <c r="BC49" s="43">
        <f t="shared" si="5"/>
        <v>2233366658.9699998</v>
      </c>
      <c r="BD49" s="43">
        <f t="shared" si="5"/>
        <v>2325194986.21</v>
      </c>
      <c r="BE49" s="43">
        <f t="shared" si="5"/>
        <v>2570165102.1300001</v>
      </c>
      <c r="BF49" s="43">
        <f t="shared" si="5"/>
        <v>2962400247.1799998</v>
      </c>
      <c r="BG49" s="43">
        <f t="shared" si="5"/>
        <v>2840971645.6999998</v>
      </c>
      <c r="BH49" s="43">
        <f t="shared" si="5"/>
        <v>2828934154.8200002</v>
      </c>
      <c r="BI49" s="43">
        <f t="shared" si="5"/>
        <v>3011070398.1999998</v>
      </c>
      <c r="BJ49" s="43">
        <f t="shared" si="5"/>
        <v>2859396410.79</v>
      </c>
      <c r="BK49" s="43">
        <f t="shared" si="5"/>
        <v>2573009455.4699998</v>
      </c>
      <c r="BL49" s="43">
        <f t="shared" si="5"/>
        <v>2588597829.3100004</v>
      </c>
      <c r="BM49" s="43">
        <f t="shared" si="5"/>
        <v>2878587895.6300001</v>
      </c>
      <c r="BN49" s="43">
        <f t="shared" si="5"/>
        <v>2380136484.6500001</v>
      </c>
      <c r="BO49" s="43">
        <f t="shared" si="5"/>
        <v>2578441143.4999995</v>
      </c>
      <c r="BP49" s="43">
        <f t="shared" si="5"/>
        <v>2471521979.5999999</v>
      </c>
      <c r="BQ49" s="43">
        <f t="shared" si="5"/>
        <v>2393784934.8400002</v>
      </c>
      <c r="BR49" s="43">
        <f t="shared" ref="BR49:CK49" si="6">SUM(BR35:BR45)</f>
        <v>2277363305.0999999</v>
      </c>
      <c r="BS49" s="43">
        <f t="shared" si="6"/>
        <v>2227882855.7600002</v>
      </c>
      <c r="BT49" s="43">
        <f t="shared" si="6"/>
        <v>2250609312.7999997</v>
      </c>
      <c r="BU49" s="43">
        <f t="shared" si="6"/>
        <v>2352849265.5499997</v>
      </c>
      <c r="BV49" s="43">
        <f t="shared" si="6"/>
        <v>2034119243.5499997</v>
      </c>
      <c r="BW49" s="43">
        <f t="shared" si="6"/>
        <v>2267600232.6700001</v>
      </c>
      <c r="BX49" s="43">
        <f t="shared" si="6"/>
        <v>618616059.02999997</v>
      </c>
      <c r="BY49" s="43">
        <f t="shared" si="6"/>
        <v>736612368.26999998</v>
      </c>
      <c r="BZ49" s="43">
        <f t="shared" si="6"/>
        <v>0</v>
      </c>
      <c r="CA49" s="43">
        <f t="shared" si="6"/>
        <v>870469081.37</v>
      </c>
      <c r="CB49" s="43">
        <f t="shared" si="6"/>
        <v>0</v>
      </c>
      <c r="CC49" s="43">
        <f t="shared" si="6"/>
        <v>385549755.56999993</v>
      </c>
      <c r="CD49" s="43">
        <f t="shared" si="6"/>
        <v>0</v>
      </c>
      <c r="CE49" s="43">
        <f t="shared" si="6"/>
        <v>128652000</v>
      </c>
      <c r="CF49" s="43">
        <f t="shared" si="6"/>
        <v>0</v>
      </c>
      <c r="CG49" s="43">
        <f t="shared" si="6"/>
        <v>213689403.94</v>
      </c>
      <c r="CH49" s="43">
        <f t="shared" si="6"/>
        <v>0</v>
      </c>
      <c r="CI49" s="43">
        <f t="shared" si="6"/>
        <v>0</v>
      </c>
      <c r="CJ49" s="43">
        <f t="shared" si="6"/>
        <v>0</v>
      </c>
      <c r="CK49" s="43">
        <f t="shared" si="6"/>
        <v>0</v>
      </c>
    </row>
    <row r="50" spans="1:90" s="21" customFormat="1">
      <c r="A50" s="21" t="s">
        <v>107</v>
      </c>
      <c r="B50" s="44">
        <f>B33-B49</f>
        <v>13412896143.119999</v>
      </c>
      <c r="C50" s="44">
        <f t="shared" ref="C50:BN50" si="7">C33-C49</f>
        <v>-5463727749.5499992</v>
      </c>
      <c r="D50" s="44">
        <f t="shared" si="7"/>
        <v>-5230563505.4999943</v>
      </c>
      <c r="E50" s="44">
        <f t="shared" si="7"/>
        <v>-6969156528.1200047</v>
      </c>
      <c r="F50" s="44">
        <f t="shared" si="7"/>
        <v>-6672987430.1099987</v>
      </c>
      <c r="G50" s="44">
        <f t="shared" si="7"/>
        <v>-6712471921.0500031</v>
      </c>
      <c r="H50" s="44">
        <f t="shared" si="7"/>
        <v>-6646489677.3899994</v>
      </c>
      <c r="I50" s="44">
        <f t="shared" si="7"/>
        <v>-7256521933.7400017</v>
      </c>
      <c r="J50" s="44">
        <f t="shared" si="7"/>
        <v>-7479174601.6399937</v>
      </c>
      <c r="K50" s="44">
        <f t="shared" si="7"/>
        <v>-7447782539.2699966</v>
      </c>
      <c r="L50" s="44">
        <f t="shared" si="7"/>
        <v>-6625510323.1899948</v>
      </c>
      <c r="M50" s="44">
        <f t="shared" si="7"/>
        <v>-6988829959.1799946</v>
      </c>
      <c r="N50" s="44">
        <f t="shared" si="7"/>
        <v>-7465889469.6100025</v>
      </c>
      <c r="O50" s="44">
        <f t="shared" si="7"/>
        <v>-7946063589.2799988</v>
      </c>
      <c r="P50" s="44">
        <f t="shared" si="7"/>
        <v>-6466894792.4600029</v>
      </c>
      <c r="Q50" s="44">
        <f t="shared" si="7"/>
        <v>-7005361828.8899994</v>
      </c>
      <c r="R50" s="44">
        <f t="shared" si="7"/>
        <v>-6758445421.7599983</v>
      </c>
      <c r="S50" s="44">
        <f t="shared" si="7"/>
        <v>-6467532727.5900002</v>
      </c>
      <c r="T50" s="44">
        <f t="shared" si="7"/>
        <v>-5989126659.0400009</v>
      </c>
      <c r="U50" s="44">
        <f t="shared" si="7"/>
        <v>-6239016379.5200005</v>
      </c>
      <c r="V50" s="44">
        <f t="shared" si="7"/>
        <v>-6321566435.4799976</v>
      </c>
      <c r="W50" s="44">
        <f t="shared" si="7"/>
        <v>-6277911081.6799984</v>
      </c>
      <c r="X50" s="44">
        <f t="shared" si="7"/>
        <v>-4931428365.1100006</v>
      </c>
      <c r="Y50" s="44">
        <f t="shared" si="7"/>
        <v>-5865860535.6400013</v>
      </c>
      <c r="Z50" s="44">
        <f t="shared" si="7"/>
        <v>-5081467887.4299984</v>
      </c>
      <c r="AA50" s="44">
        <f t="shared" si="7"/>
        <v>-4750064897.8399982</v>
      </c>
      <c r="AB50" s="44">
        <f t="shared" si="7"/>
        <v>-3509734148.6899996</v>
      </c>
      <c r="AC50" s="44">
        <f t="shared" si="7"/>
        <v>-3312375926.4399986</v>
      </c>
      <c r="AD50" s="44">
        <f t="shared" si="7"/>
        <v>-3485802672.1999989</v>
      </c>
      <c r="AE50" s="44">
        <f t="shared" si="7"/>
        <v>-3114302743.8899994</v>
      </c>
      <c r="AF50" s="44">
        <f t="shared" si="7"/>
        <v>-2371501385.2099991</v>
      </c>
      <c r="AG50" s="44">
        <f t="shared" si="7"/>
        <v>-2860590372.5899992</v>
      </c>
      <c r="AH50" s="44">
        <f t="shared" si="7"/>
        <v>-2946473558.7600012</v>
      </c>
      <c r="AI50" s="44">
        <f t="shared" si="7"/>
        <v>-2565323649.1900005</v>
      </c>
      <c r="AJ50" s="44">
        <f t="shared" si="7"/>
        <v>-1720618991.5300007</v>
      </c>
      <c r="AK50" s="44">
        <f t="shared" si="7"/>
        <v>-1896536140.5299997</v>
      </c>
      <c r="AL50" s="44">
        <f t="shared" si="7"/>
        <v>-1466710664.5900002</v>
      </c>
      <c r="AM50" s="44">
        <f t="shared" si="7"/>
        <v>-1025906895.2999992</v>
      </c>
      <c r="AN50" s="44">
        <f t="shared" si="7"/>
        <v>-839702275.53000021</v>
      </c>
      <c r="AO50" s="44">
        <f t="shared" si="7"/>
        <v>-479690258.43000031</v>
      </c>
      <c r="AP50" s="44">
        <f t="shared" si="7"/>
        <v>-612441739.57999992</v>
      </c>
      <c r="AQ50" s="44">
        <f t="shared" si="7"/>
        <v>-426334653.28999949</v>
      </c>
      <c r="AR50" s="44">
        <f t="shared" si="7"/>
        <v>-423840616.51000023</v>
      </c>
      <c r="AS50" s="44">
        <f t="shared" si="7"/>
        <v>-909246717.10999966</v>
      </c>
      <c r="AT50" s="44">
        <f t="shared" si="7"/>
        <v>-708457077.14000082</v>
      </c>
      <c r="AU50" s="44">
        <f t="shared" si="7"/>
        <v>-493439672.11999989</v>
      </c>
      <c r="AV50" s="44">
        <f t="shared" si="7"/>
        <v>-379704464.38000059</v>
      </c>
      <c r="AW50" s="44">
        <f t="shared" si="7"/>
        <v>-553464198.96000051</v>
      </c>
      <c r="AX50" s="44">
        <f t="shared" si="7"/>
        <v>-379277051.30999994</v>
      </c>
      <c r="AY50" s="44">
        <f t="shared" si="7"/>
        <v>-225013488.39000034</v>
      </c>
      <c r="AZ50" s="44">
        <f t="shared" si="7"/>
        <v>170248609.9599998</v>
      </c>
      <c r="BA50" s="44">
        <f t="shared" si="7"/>
        <v>-157863213.64999986</v>
      </c>
      <c r="BB50" s="44">
        <f t="shared" si="7"/>
        <v>218694111.80000019</v>
      </c>
      <c r="BC50" s="44">
        <f t="shared" si="7"/>
        <v>29418910.429999828</v>
      </c>
      <c r="BD50" s="44">
        <f t="shared" si="7"/>
        <v>-97659283.860000134</v>
      </c>
      <c r="BE50" s="44">
        <f t="shared" si="7"/>
        <v>-450644735.62000012</v>
      </c>
      <c r="BF50" s="44">
        <f t="shared" si="7"/>
        <v>-415148818.6500001</v>
      </c>
      <c r="BG50" s="44">
        <f t="shared" si="7"/>
        <v>-324359697.23999977</v>
      </c>
      <c r="BH50" s="44">
        <f t="shared" si="7"/>
        <v>-561050103.0800004</v>
      </c>
      <c r="BI50" s="44">
        <f t="shared" si="7"/>
        <v>-724033772.13000011</v>
      </c>
      <c r="BJ50" s="44">
        <f t="shared" si="7"/>
        <v>-523055324.67000008</v>
      </c>
      <c r="BK50" s="44">
        <f t="shared" si="7"/>
        <v>-266939843.69999981</v>
      </c>
      <c r="BL50" s="44">
        <f t="shared" si="7"/>
        <v>-325773285.45000076</v>
      </c>
      <c r="BM50" s="44">
        <f t="shared" si="7"/>
        <v>-646594059.03000021</v>
      </c>
      <c r="BN50" s="44">
        <f t="shared" si="7"/>
        <v>-227717318.46999979</v>
      </c>
      <c r="BO50" s="44">
        <f t="shared" ref="BO50:CK50" si="8">BO33-BO49</f>
        <v>-583631254.98999977</v>
      </c>
      <c r="BP50" s="44">
        <f t="shared" si="8"/>
        <v>-543265196.29999995</v>
      </c>
      <c r="BQ50" s="44">
        <f t="shared" si="8"/>
        <v>-549348619.72000027</v>
      </c>
      <c r="BR50" s="44">
        <f t="shared" si="8"/>
        <v>-493088470.3499999</v>
      </c>
      <c r="BS50" s="44">
        <f t="shared" si="8"/>
        <v>-427834186.63000011</v>
      </c>
      <c r="BT50" s="44">
        <f t="shared" si="8"/>
        <v>132451824.28000021</v>
      </c>
      <c r="BU50" s="44">
        <f t="shared" si="8"/>
        <v>-86951869.659999847</v>
      </c>
      <c r="BV50" s="44">
        <f t="shared" si="8"/>
        <v>-40920519.129999638</v>
      </c>
      <c r="BW50" s="44">
        <f t="shared" si="8"/>
        <v>-422369060.96000028</v>
      </c>
      <c r="BX50" s="44">
        <f t="shared" si="8"/>
        <v>1223553321.74</v>
      </c>
      <c r="BY50" s="44">
        <f t="shared" si="8"/>
        <v>1103570654.97</v>
      </c>
      <c r="BZ50" s="44">
        <f t="shared" si="8"/>
        <v>0</v>
      </c>
      <c r="CA50" s="44">
        <f t="shared" si="8"/>
        <v>962522479.01999986</v>
      </c>
      <c r="CB50" s="44">
        <f t="shared" si="8"/>
        <v>0</v>
      </c>
      <c r="CC50" s="44">
        <f t="shared" si="8"/>
        <v>685762452.16000009</v>
      </c>
      <c r="CD50" s="44">
        <f t="shared" si="8"/>
        <v>0</v>
      </c>
      <c r="CE50" s="44">
        <f t="shared" si="8"/>
        <v>194727000</v>
      </c>
      <c r="CF50" s="44">
        <f t="shared" si="8"/>
        <v>0</v>
      </c>
      <c r="CG50" s="44">
        <f t="shared" si="8"/>
        <v>218046895.90000004</v>
      </c>
      <c r="CH50" s="44">
        <f t="shared" si="8"/>
        <v>0</v>
      </c>
      <c r="CI50" s="44">
        <f t="shared" si="8"/>
        <v>0</v>
      </c>
      <c r="CJ50" s="44">
        <f t="shared" si="8"/>
        <v>0</v>
      </c>
      <c r="CK50" s="44">
        <f t="shared" si="8"/>
        <v>0</v>
      </c>
    </row>
    <row r="51" spans="1:90">
      <c r="A51" t="s">
        <v>59</v>
      </c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0"/>
      <c r="M51" s="18"/>
      <c r="N51" s="18"/>
    </row>
    <row r="52" spans="1:90">
      <c r="A52" t="s">
        <v>60</v>
      </c>
      <c r="B52" s="48">
        <v>1539915721.5799999</v>
      </c>
      <c r="C52" s="48">
        <v>1493538760.76</v>
      </c>
      <c r="D52" s="48">
        <v>1517538915.6800001</v>
      </c>
      <c r="E52" s="48">
        <v>1556978833.7</v>
      </c>
      <c r="F52" s="48">
        <v>1593456836.79</v>
      </c>
      <c r="G52" s="48">
        <v>1598033914.01</v>
      </c>
      <c r="H52" s="48">
        <v>1649034932.6900001</v>
      </c>
      <c r="I52" s="48">
        <v>1621991860.8699999</v>
      </c>
      <c r="J52" s="48">
        <v>1553127343.0899999</v>
      </c>
      <c r="K52" s="48">
        <v>1462837359.55</v>
      </c>
      <c r="L52" s="48">
        <v>1486209823.1199999</v>
      </c>
      <c r="M52" s="48">
        <v>1521035167.47</v>
      </c>
      <c r="N52" s="48">
        <v>1544918696.03</v>
      </c>
      <c r="O52" s="48">
        <v>1425317035.03</v>
      </c>
      <c r="P52" s="48">
        <v>1569748959.5899999</v>
      </c>
      <c r="Q52" s="48">
        <v>1641901631.98</v>
      </c>
      <c r="R52" s="48">
        <v>1511426623.9100001</v>
      </c>
      <c r="S52" s="48">
        <v>1529017510.9100001</v>
      </c>
      <c r="T52" s="48">
        <v>1540025646.5699999</v>
      </c>
      <c r="U52" s="48">
        <v>1566074154.1099999</v>
      </c>
      <c r="V52" s="48">
        <v>1549382370.24</v>
      </c>
      <c r="W52" s="48">
        <v>1497161919.8</v>
      </c>
      <c r="X52" s="48">
        <v>1652565835.9300001</v>
      </c>
      <c r="Y52" s="48">
        <v>1661877092.25</v>
      </c>
      <c r="Z52" s="48">
        <v>1828271779.6300001</v>
      </c>
      <c r="AA52" s="48">
        <v>1186431227.6300001</v>
      </c>
      <c r="AB52" s="48">
        <v>1219342834.78</v>
      </c>
      <c r="AC52" s="48">
        <v>1862977643.77</v>
      </c>
      <c r="AD52" s="48">
        <v>1347747479.29</v>
      </c>
      <c r="AE52" s="48">
        <v>1453694520.6500001</v>
      </c>
      <c r="AF52" s="48">
        <v>1454220182.3299999</v>
      </c>
      <c r="AG52" s="48">
        <v>1473349520.3699999</v>
      </c>
      <c r="AH52" s="48">
        <v>1405648372.9200001</v>
      </c>
      <c r="AI52" s="48">
        <v>1486631258.72</v>
      </c>
      <c r="AJ52" s="48">
        <v>1542517480.3099999</v>
      </c>
      <c r="AK52" s="48">
        <v>1508837339.8599999</v>
      </c>
      <c r="AL52" s="48">
        <v>1553754145.3900001</v>
      </c>
      <c r="AM52" s="48">
        <v>1370123019.8800001</v>
      </c>
      <c r="AN52" s="48">
        <v>1327735620.28</v>
      </c>
      <c r="AO52" s="48">
        <v>1350524692.3</v>
      </c>
      <c r="AP52" s="48">
        <v>1236073520.22</v>
      </c>
      <c r="AQ52" s="48">
        <v>1190807706.8499999</v>
      </c>
      <c r="AR52" s="48">
        <v>1148227427.8599999</v>
      </c>
      <c r="AS52" s="48">
        <v>1217601361.01</v>
      </c>
      <c r="AT52" s="48">
        <v>1215903497.0599999</v>
      </c>
      <c r="AU52" s="48">
        <v>1253895583.5899999</v>
      </c>
      <c r="AV52" s="48">
        <v>1082151946.3</v>
      </c>
      <c r="AW52" s="48">
        <v>1159777509.1900001</v>
      </c>
      <c r="AX52" s="48">
        <v>1078699455.7</v>
      </c>
      <c r="AY52" s="48">
        <v>1091207759.4000001</v>
      </c>
      <c r="AZ52" s="48">
        <v>1107213334.47</v>
      </c>
      <c r="BA52" s="48">
        <v>1135600112.3900001</v>
      </c>
      <c r="BB52" s="48">
        <v>1017337911.29</v>
      </c>
      <c r="BC52" s="48">
        <v>1063808742.02</v>
      </c>
      <c r="BD52" s="48">
        <v>1029440439.05</v>
      </c>
      <c r="BE52" s="48">
        <v>1031665043.39</v>
      </c>
      <c r="BF52" s="48">
        <v>896191580.02999997</v>
      </c>
      <c r="BG52" s="48">
        <v>857067268.90999997</v>
      </c>
      <c r="BH52" s="48">
        <v>946558153.67999995</v>
      </c>
      <c r="BI52" s="48">
        <v>961572974.53999996</v>
      </c>
      <c r="BJ52" s="48">
        <v>784209913.70000005</v>
      </c>
      <c r="BK52" s="48">
        <v>776117162.10000002</v>
      </c>
      <c r="BL52" s="48">
        <v>786602185.23000002</v>
      </c>
      <c r="BM52" s="48">
        <v>810257491.19000006</v>
      </c>
      <c r="BN52" s="48">
        <v>701542847.19000006</v>
      </c>
      <c r="BO52" s="48">
        <v>722929123.01999998</v>
      </c>
      <c r="BP52" s="48">
        <v>686886455.90999997</v>
      </c>
      <c r="BQ52" s="48">
        <v>686892285.38</v>
      </c>
      <c r="BR52" s="48">
        <v>729302406.55999994</v>
      </c>
      <c r="BS52" s="48">
        <v>736711131.88</v>
      </c>
      <c r="BT52" s="48">
        <v>772263675.87</v>
      </c>
      <c r="BU52" s="48">
        <v>799893332.64999998</v>
      </c>
      <c r="BV52" s="48">
        <v>719897556.69000006</v>
      </c>
      <c r="BW52" s="48">
        <v>663825239.13</v>
      </c>
      <c r="BX52" s="48">
        <v>247902009.53999999</v>
      </c>
      <c r="BY52" s="48">
        <v>258284275.15000001</v>
      </c>
      <c r="BZ52" s="48">
        <v>280317753.69</v>
      </c>
      <c r="CA52" s="48">
        <v>291914454.87</v>
      </c>
      <c r="CB52" s="48">
        <v>300124322.94</v>
      </c>
      <c r="CC52" s="48">
        <v>351535439.48000002</v>
      </c>
      <c r="CD52" s="48">
        <v>322121519.99000001</v>
      </c>
      <c r="CE52" s="48">
        <v>310211000</v>
      </c>
      <c r="CF52" s="48">
        <v>293699924.44999999</v>
      </c>
      <c r="CG52" s="48">
        <v>297352570.06999999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t="s">
        <v>61</v>
      </c>
      <c r="B53" s="48">
        <v>255028125.78</v>
      </c>
      <c r="C53" s="48">
        <v>282842697.69999999</v>
      </c>
      <c r="D53" s="48">
        <v>250433048.77000001</v>
      </c>
      <c r="E53" s="48">
        <v>219596614.91999999</v>
      </c>
      <c r="F53" s="48">
        <v>187519817.13</v>
      </c>
      <c r="G53" s="48">
        <v>180005301.02000001</v>
      </c>
      <c r="H53" s="48">
        <v>150588612.36000001</v>
      </c>
      <c r="I53" s="48">
        <v>204316421.75</v>
      </c>
      <c r="J53" s="48">
        <v>294404699.12</v>
      </c>
      <c r="K53" s="48">
        <v>393432489.30000001</v>
      </c>
      <c r="L53" s="48">
        <v>317680649.69</v>
      </c>
      <c r="M53" s="48">
        <v>249126188.41</v>
      </c>
      <c r="N53" s="48">
        <v>229275493.81999999</v>
      </c>
      <c r="O53" s="48">
        <v>432550223.10000002</v>
      </c>
      <c r="P53" s="48">
        <v>368382711.47000003</v>
      </c>
      <c r="Q53" s="48">
        <v>338406849.99000001</v>
      </c>
      <c r="R53" s="48">
        <v>510261692.25999999</v>
      </c>
      <c r="S53" s="48">
        <v>299193016.25999999</v>
      </c>
      <c r="T53" s="48">
        <v>362512552.56999999</v>
      </c>
      <c r="U53" s="48">
        <v>338591484.85000002</v>
      </c>
      <c r="V53" s="48">
        <v>336935799.75</v>
      </c>
      <c r="W53" s="48">
        <v>384351781.38</v>
      </c>
      <c r="X53" s="48">
        <v>261974023.75999999</v>
      </c>
      <c r="Y53" s="48">
        <v>371459033.30000001</v>
      </c>
      <c r="Z53" s="48">
        <v>157464016.69</v>
      </c>
      <c r="AA53" s="48">
        <v>149628461.09999999</v>
      </c>
      <c r="AB53" s="48">
        <v>119744174.68000001</v>
      </c>
      <c r="AC53" s="48">
        <v>96463819.280000001</v>
      </c>
      <c r="AD53" s="48">
        <v>118271623.94</v>
      </c>
      <c r="AE53" s="48">
        <v>125201776.86</v>
      </c>
      <c r="AF53" s="48">
        <v>142430200.88</v>
      </c>
      <c r="AG53" s="48">
        <v>126206510.34999999</v>
      </c>
      <c r="AH53" s="48">
        <v>221472314.21000001</v>
      </c>
      <c r="AI53" s="48">
        <v>147486223.09999999</v>
      </c>
      <c r="AJ53" s="48">
        <v>107719065.03</v>
      </c>
      <c r="AK53" s="48">
        <v>118928402.94</v>
      </c>
      <c r="AL53" s="48">
        <v>121794740.31</v>
      </c>
      <c r="AM53" s="48">
        <v>84367757.310000002</v>
      </c>
      <c r="AN53" s="48">
        <v>116823993.33</v>
      </c>
      <c r="AO53" s="48">
        <v>90505083.659999996</v>
      </c>
      <c r="AP53" s="48">
        <v>124082506.65000001</v>
      </c>
      <c r="AQ53" s="48">
        <v>132050094.53</v>
      </c>
      <c r="AR53" s="48">
        <v>179457842.68000001</v>
      </c>
      <c r="AS53" s="48">
        <v>95499666.030000001</v>
      </c>
      <c r="AT53" s="48">
        <v>110579641.02</v>
      </c>
      <c r="AU53" s="48">
        <v>58712549.390000001</v>
      </c>
      <c r="AV53" s="48">
        <v>229356746.72999999</v>
      </c>
      <c r="AW53" s="48">
        <v>175750234.56999999</v>
      </c>
      <c r="AX53" s="48">
        <v>202221136.06999999</v>
      </c>
      <c r="AY53" s="48">
        <v>177727557.09999999</v>
      </c>
      <c r="AZ53" s="48">
        <v>162909254.5</v>
      </c>
      <c r="BA53" s="48">
        <v>128239074.05</v>
      </c>
      <c r="BB53" s="48">
        <v>141040249.38</v>
      </c>
      <c r="BC53" s="48">
        <v>127518385.53</v>
      </c>
      <c r="BD53" s="48">
        <v>104061264.39</v>
      </c>
      <c r="BE53" s="48">
        <v>99972589.859999999</v>
      </c>
      <c r="BF53" s="48">
        <v>92740817.569999993</v>
      </c>
      <c r="BG53" s="48">
        <v>142710455.46000001</v>
      </c>
      <c r="BH53" s="48">
        <v>140078247.72999999</v>
      </c>
      <c r="BI53" s="48">
        <v>137009776.94999999</v>
      </c>
      <c r="BJ53" s="48">
        <v>225473290.21000001</v>
      </c>
      <c r="BK53" s="48">
        <v>211901556.71000001</v>
      </c>
      <c r="BL53" s="48">
        <v>151163904.06</v>
      </c>
      <c r="BM53" s="48">
        <v>135337447.19999999</v>
      </c>
      <c r="BN53" s="48">
        <v>86239947.370000005</v>
      </c>
      <c r="BO53" s="48">
        <v>99780992.230000004</v>
      </c>
      <c r="BP53" s="48">
        <v>112336411.34999999</v>
      </c>
      <c r="BQ53" s="48">
        <v>130779812.3</v>
      </c>
      <c r="BR53" s="48">
        <v>181888727.41</v>
      </c>
      <c r="BS53" s="48">
        <v>117061775.62</v>
      </c>
      <c r="BT53" s="48">
        <v>238215309.41</v>
      </c>
      <c r="BU53" s="48">
        <v>178850829.75</v>
      </c>
      <c r="BV53" s="48">
        <v>124877461.87</v>
      </c>
      <c r="BW53" s="48">
        <v>204799798.27000001</v>
      </c>
      <c r="BX53" s="48">
        <v>99054088.640000001</v>
      </c>
      <c r="BY53" s="48">
        <v>99253057.989999995</v>
      </c>
      <c r="BZ53" s="48">
        <v>105157139.23999999</v>
      </c>
      <c r="CA53" s="48">
        <v>100213654.70999999</v>
      </c>
      <c r="CB53" s="48">
        <v>70726365.120000005</v>
      </c>
      <c r="CC53" s="48">
        <v>89263083.810000002</v>
      </c>
      <c r="CD53" s="48">
        <v>0</v>
      </c>
      <c r="CE53" s="48">
        <v>96948000</v>
      </c>
      <c r="CF53" s="48">
        <v>97171473.030000001</v>
      </c>
      <c r="CG53" s="48">
        <v>69608770.909999996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t="s">
        <v>62</v>
      </c>
      <c r="B54" s="48">
        <v>0</v>
      </c>
      <c r="C54" s="48">
        <v>0</v>
      </c>
      <c r="D54" s="48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48">
        <v>0</v>
      </c>
      <c r="AF54" s="48">
        <v>0</v>
      </c>
      <c r="AG54" s="48">
        <v>0</v>
      </c>
      <c r="AH54" s="48">
        <v>0</v>
      </c>
      <c r="AI54" s="48">
        <v>0</v>
      </c>
      <c r="AJ54" s="48">
        <v>0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0</v>
      </c>
      <c r="AQ54" s="48">
        <v>0</v>
      </c>
      <c r="AR54" s="48">
        <v>0</v>
      </c>
      <c r="AS54" s="48">
        <v>0</v>
      </c>
      <c r="AT54" s="48">
        <v>0</v>
      </c>
      <c r="AU54" s="48">
        <v>0</v>
      </c>
      <c r="AV54" s="48">
        <v>0</v>
      </c>
      <c r="AW54" s="48">
        <v>0</v>
      </c>
      <c r="AX54" s="48">
        <v>0</v>
      </c>
      <c r="AY54" s="48">
        <v>0</v>
      </c>
      <c r="AZ54" s="48">
        <v>0</v>
      </c>
      <c r="BA54" s="48">
        <v>0</v>
      </c>
      <c r="BB54" s="48">
        <v>0</v>
      </c>
      <c r="BC54" s="48">
        <v>0</v>
      </c>
      <c r="BD54" s="48">
        <v>0</v>
      </c>
      <c r="BE54" s="48">
        <v>0</v>
      </c>
      <c r="BF54" s="48">
        <v>0</v>
      </c>
      <c r="BG54" s="48">
        <v>0</v>
      </c>
      <c r="BH54" s="48">
        <v>0</v>
      </c>
      <c r="BI54" s="48">
        <v>0</v>
      </c>
      <c r="BJ54" s="48">
        <v>0</v>
      </c>
      <c r="BK54" s="48">
        <v>0</v>
      </c>
      <c r="BL54" s="48">
        <v>0</v>
      </c>
      <c r="BM54" s="48">
        <v>0</v>
      </c>
      <c r="BN54" s="48">
        <v>0</v>
      </c>
      <c r="BO54" s="48">
        <v>0</v>
      </c>
      <c r="BP54" s="48">
        <v>0</v>
      </c>
      <c r="BQ54" s="48">
        <v>0</v>
      </c>
      <c r="BR54" s="48">
        <v>0</v>
      </c>
      <c r="BS54" s="48">
        <v>0</v>
      </c>
      <c r="BT54" s="48">
        <v>0</v>
      </c>
      <c r="BU54" s="48">
        <v>0</v>
      </c>
      <c r="BV54" s="48">
        <v>0</v>
      </c>
      <c r="BW54" s="48">
        <v>0</v>
      </c>
      <c r="BX54" s="48">
        <v>0</v>
      </c>
      <c r="BY54" s="48">
        <v>0</v>
      </c>
      <c r="BZ54" s="48">
        <v>0</v>
      </c>
      <c r="CA54" s="48">
        <v>0</v>
      </c>
      <c r="CB54" s="48">
        <v>0</v>
      </c>
      <c r="CC54" s="48">
        <v>0</v>
      </c>
      <c r="CD54" s="48">
        <v>0</v>
      </c>
      <c r="CE54" s="48">
        <v>0</v>
      </c>
      <c r="CF54" s="48">
        <v>0</v>
      </c>
      <c r="CG54" s="48">
        <v>0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t="s">
        <v>63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4693849.82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179596.24</v>
      </c>
      <c r="W55" s="48">
        <v>157282.06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0</v>
      </c>
      <c r="AX55" s="48">
        <v>0</v>
      </c>
      <c r="AY55" s="48">
        <v>0</v>
      </c>
      <c r="AZ55" s="48">
        <v>-19055.87</v>
      </c>
      <c r="BA55" s="48">
        <v>0</v>
      </c>
      <c r="BB55" s="48">
        <v>0</v>
      </c>
      <c r="BC55" s="48">
        <v>0</v>
      </c>
      <c r="BD55" s="48">
        <v>0</v>
      </c>
      <c r="BE55" s="48">
        <v>0</v>
      </c>
      <c r="BF55" s="48">
        <v>0</v>
      </c>
      <c r="BG55" s="48">
        <v>0</v>
      </c>
      <c r="BH55" s="48">
        <v>0</v>
      </c>
      <c r="BI55" s="48">
        <v>0</v>
      </c>
      <c r="BJ55" s="48">
        <v>0</v>
      </c>
      <c r="BK55" s="48">
        <v>0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-155790.98000000001</v>
      </c>
      <c r="BS55" s="48">
        <v>-7682.9</v>
      </c>
      <c r="BT55" s="48">
        <v>1397696.43</v>
      </c>
      <c r="BU55" s="48">
        <v>872811.88</v>
      </c>
      <c r="BV55" s="48">
        <v>951614.34</v>
      </c>
      <c r="BW55" s="48">
        <v>0</v>
      </c>
      <c r="BX55" s="48">
        <v>-282206.99</v>
      </c>
      <c r="BY55" s="48">
        <v>72850.240000000005</v>
      </c>
      <c r="BZ55" s="48">
        <v>187404.51</v>
      </c>
      <c r="CA55" s="48">
        <v>-78504.75</v>
      </c>
      <c r="CB55" s="48">
        <v>242347.25</v>
      </c>
      <c r="CC55" s="48">
        <v>115772.51</v>
      </c>
      <c r="CD55" s="48">
        <v>0</v>
      </c>
      <c r="CE55" s="48">
        <v>73000</v>
      </c>
      <c r="CF55" s="48">
        <v>0</v>
      </c>
      <c r="CG55" s="48">
        <v>0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t="s">
        <v>64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t="s">
        <v>65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t="s">
        <v>66</v>
      </c>
      <c r="B58" s="48">
        <v>384972241.42000002</v>
      </c>
      <c r="C58" s="48">
        <v>387476798.29000002</v>
      </c>
      <c r="D58" s="48">
        <v>390718917.75</v>
      </c>
      <c r="E58" s="48">
        <v>393831918.13</v>
      </c>
      <c r="F58" s="48">
        <v>394154643.39999998</v>
      </c>
      <c r="G58" s="48">
        <v>397194103.83999997</v>
      </c>
      <c r="H58" s="48">
        <v>398469959.94</v>
      </c>
      <c r="I58" s="48">
        <v>401501865.01999998</v>
      </c>
      <c r="J58" s="48">
        <v>405498312.36000001</v>
      </c>
      <c r="K58" s="48">
        <v>414117324.30000001</v>
      </c>
      <c r="L58" s="48">
        <v>202447508.09999999</v>
      </c>
      <c r="M58" s="48">
        <v>204155756.61000001</v>
      </c>
      <c r="N58" s="48">
        <v>205694495.71000001</v>
      </c>
      <c r="O58" s="48">
        <v>268250656.80000001</v>
      </c>
      <c r="P58" s="48">
        <v>360306496.13</v>
      </c>
      <c r="Q58" s="48">
        <v>362470636.56999999</v>
      </c>
      <c r="R58" s="48">
        <v>261421428.44</v>
      </c>
      <c r="S58" s="48">
        <v>374059451.63</v>
      </c>
      <c r="T58" s="48">
        <v>267466567.25</v>
      </c>
      <c r="U58" s="48">
        <v>269863546.00999999</v>
      </c>
      <c r="V58" s="48">
        <v>247480093.28</v>
      </c>
      <c r="W58" s="48">
        <v>248682819.62</v>
      </c>
      <c r="X58" s="48">
        <v>246827498.16</v>
      </c>
      <c r="Y58" s="48">
        <v>255995361.00999999</v>
      </c>
      <c r="Z58" s="48">
        <v>247791372.86000001</v>
      </c>
      <c r="AA58" s="48">
        <v>196006011.58000001</v>
      </c>
      <c r="AB58" s="48">
        <v>197824567.53999999</v>
      </c>
      <c r="AC58" s="48">
        <v>256303475.49000001</v>
      </c>
      <c r="AD58" s="48">
        <v>302687875.52999997</v>
      </c>
      <c r="AE58" s="48">
        <v>309603401.69</v>
      </c>
      <c r="AF58" s="48">
        <v>312481030.72000003</v>
      </c>
      <c r="AG58" s="48">
        <v>315432492</v>
      </c>
      <c r="AH58" s="48">
        <v>340102416.92000002</v>
      </c>
      <c r="AI58" s="48">
        <v>346983480.17000002</v>
      </c>
      <c r="AJ58" s="48">
        <v>350935452.31999999</v>
      </c>
      <c r="AK58" s="48">
        <v>354630274.79000002</v>
      </c>
      <c r="AL58" s="48">
        <v>358793179.75999999</v>
      </c>
      <c r="AM58" s="48">
        <v>226183973.84</v>
      </c>
      <c r="AN58" s="48">
        <v>228176922.94999999</v>
      </c>
      <c r="AO58" s="48">
        <v>230169872.06</v>
      </c>
      <c r="AP58" s="48">
        <v>232507169.97999999</v>
      </c>
      <c r="AQ58" s="48">
        <v>234491683.46000001</v>
      </c>
      <c r="AR58" s="48">
        <v>259929027.09</v>
      </c>
      <c r="AS58" s="48">
        <v>265196860.91</v>
      </c>
      <c r="AT58" s="48">
        <v>241149339.74000001</v>
      </c>
      <c r="AU58" s="48">
        <v>243293359.13999999</v>
      </c>
      <c r="AV58" s="48">
        <v>253465917.38999999</v>
      </c>
      <c r="AW58" s="48">
        <v>260827691.86000001</v>
      </c>
      <c r="AX58" s="48">
        <v>249079706.19</v>
      </c>
      <c r="AY58" s="48">
        <v>251169711.52000001</v>
      </c>
      <c r="AZ58" s="48">
        <v>251958609.87</v>
      </c>
      <c r="BA58" s="48">
        <v>253677897.72999999</v>
      </c>
      <c r="BB58" s="48">
        <v>281081786.68000001</v>
      </c>
      <c r="BC58" s="48">
        <v>269681664.13</v>
      </c>
      <c r="BD58" s="48">
        <v>271413857.83999997</v>
      </c>
      <c r="BE58" s="48">
        <v>272038721.18000001</v>
      </c>
      <c r="BF58" s="48">
        <v>243295612.38</v>
      </c>
      <c r="BG58" s="48">
        <v>244861185.56999999</v>
      </c>
      <c r="BH58" s="48">
        <v>264898234.03</v>
      </c>
      <c r="BI58" s="48">
        <v>268069931.06</v>
      </c>
      <c r="BJ58" s="48">
        <v>293195014.95999998</v>
      </c>
      <c r="BK58" s="48">
        <v>189094309.68000001</v>
      </c>
      <c r="BL58" s="48">
        <v>189756941.00999999</v>
      </c>
      <c r="BM58" s="48">
        <v>191336578.24000001</v>
      </c>
      <c r="BN58" s="48">
        <v>42376683.780000001</v>
      </c>
      <c r="BO58" s="48">
        <v>42380772.740000002</v>
      </c>
      <c r="BP58" s="48">
        <v>42931195.939999998</v>
      </c>
      <c r="BQ58" s="48">
        <v>28147358.850000001</v>
      </c>
      <c r="BR58" s="48">
        <v>42772035.009999998</v>
      </c>
      <c r="BS58" s="48">
        <v>34874342.969999999</v>
      </c>
      <c r="BT58" s="48">
        <v>61310339.060000002</v>
      </c>
      <c r="BU58" s="48">
        <v>51608907.68</v>
      </c>
      <c r="BV58" s="48">
        <v>51506616.920000002</v>
      </c>
      <c r="BW58" s="48">
        <v>48457275.630000003</v>
      </c>
      <c r="BX58" s="48">
        <v>42059995.490000002</v>
      </c>
      <c r="BY58" s="48">
        <v>41958457.960000001</v>
      </c>
      <c r="BZ58" s="48">
        <v>0</v>
      </c>
      <c r="CA58" s="48">
        <v>49528541.299999997</v>
      </c>
      <c r="CB58" s="48">
        <v>0</v>
      </c>
      <c r="CC58" s="48">
        <v>49332881.299999997</v>
      </c>
      <c r="CD58" s="48">
        <v>19681108.73</v>
      </c>
      <c r="CE58" s="48">
        <v>0</v>
      </c>
      <c r="CF58" s="48">
        <v>0</v>
      </c>
      <c r="CG58" s="48">
        <v>2740561.26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t="s">
        <v>67</v>
      </c>
      <c r="B59" s="48">
        <v>0</v>
      </c>
      <c r="C59" s="48">
        <v>0</v>
      </c>
      <c r="D59" s="48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t="s">
        <v>68</v>
      </c>
      <c r="B60" s="48">
        <v>12482506.73</v>
      </c>
      <c r="C60" s="48">
        <v>12482506.73</v>
      </c>
      <c r="D60" s="48">
        <v>12482506.73</v>
      </c>
      <c r="E60" s="48">
        <v>12482506.73</v>
      </c>
      <c r="F60" s="48">
        <v>12482506.73</v>
      </c>
      <c r="G60" s="48">
        <v>12482506.73</v>
      </c>
      <c r="H60" s="48">
        <v>12482506.73</v>
      </c>
      <c r="I60" s="48">
        <v>12482506.73</v>
      </c>
      <c r="J60" s="48">
        <v>32734042.199999999</v>
      </c>
      <c r="K60" s="48">
        <v>32734042.199999999</v>
      </c>
      <c r="L60" s="48">
        <v>32734042.199999999</v>
      </c>
      <c r="M60" s="48">
        <v>32734042.199999999</v>
      </c>
      <c r="N60" s="48">
        <v>12482506.73</v>
      </c>
      <c r="O60" s="48">
        <v>12482506.73</v>
      </c>
      <c r="P60" s="48">
        <v>12482506.73</v>
      </c>
      <c r="Q60" s="48">
        <v>12482506.73</v>
      </c>
      <c r="R60" s="48">
        <v>12482506.73</v>
      </c>
      <c r="S60" s="48">
        <v>12482506.73</v>
      </c>
      <c r="T60" s="48">
        <v>12482506.73</v>
      </c>
      <c r="U60" s="48">
        <v>12482506.73</v>
      </c>
      <c r="V60" s="48">
        <v>12482506.73</v>
      </c>
      <c r="W60" s="48">
        <v>12482506.73</v>
      </c>
      <c r="X60" s="48">
        <v>12482506.73</v>
      </c>
      <c r="Y60" s="48">
        <v>12482506.73</v>
      </c>
      <c r="Z60" s="48">
        <v>12482506.74</v>
      </c>
      <c r="AA60" s="48">
        <v>12482506.73</v>
      </c>
      <c r="AB60" s="48">
        <v>12482506.74</v>
      </c>
      <c r="AC60" s="48">
        <v>12482506.74</v>
      </c>
      <c r="AD60" s="48">
        <v>12482506.720000001</v>
      </c>
      <c r="AE60" s="48">
        <v>12482506.73</v>
      </c>
      <c r="AF60" s="48">
        <v>12482506.73</v>
      </c>
      <c r="AG60" s="48">
        <v>16109673.57</v>
      </c>
      <c r="AH60" s="48">
        <v>77068187.049999997</v>
      </c>
      <c r="AI60" s="48">
        <v>77068187.049999997</v>
      </c>
      <c r="AJ60" s="48">
        <v>77068187.049999997</v>
      </c>
      <c r="AK60" s="48">
        <v>77068187.049999997</v>
      </c>
      <c r="AL60" s="48">
        <v>62141595.939999998</v>
      </c>
      <c r="AM60" s="48">
        <v>3627166.84</v>
      </c>
      <c r="AN60" s="48">
        <v>3627166.84</v>
      </c>
      <c r="AO60" s="48">
        <v>3627166.84</v>
      </c>
      <c r="AP60" s="48">
        <v>3627166.84</v>
      </c>
      <c r="AQ60" s="48">
        <v>3627166.84</v>
      </c>
      <c r="AR60" s="48">
        <v>3627166.84</v>
      </c>
      <c r="AS60" s="48">
        <v>3627166.84</v>
      </c>
      <c r="AT60" s="48">
        <v>3415582.14</v>
      </c>
      <c r="AU60" s="48">
        <v>3415582.14</v>
      </c>
      <c r="AV60" s="48">
        <v>3415582.14</v>
      </c>
      <c r="AW60" s="48">
        <v>0</v>
      </c>
      <c r="AX60" s="48">
        <v>0</v>
      </c>
      <c r="AY60" s="48">
        <v>0</v>
      </c>
      <c r="AZ60" s="48">
        <v>0</v>
      </c>
      <c r="BA60" s="48">
        <v>0</v>
      </c>
      <c r="BB60" s="48">
        <v>0</v>
      </c>
      <c r="BC60" s="48">
        <v>0</v>
      </c>
      <c r="BD60" s="48">
        <v>0</v>
      </c>
      <c r="BE60" s="48">
        <v>0</v>
      </c>
      <c r="BF60" s="48">
        <v>0</v>
      </c>
      <c r="BG60" s="48">
        <v>0</v>
      </c>
      <c r="BH60" s="48">
        <v>0</v>
      </c>
      <c r="BI60" s="48">
        <v>0</v>
      </c>
      <c r="BJ60" s="48">
        <v>0</v>
      </c>
      <c r="BK60" s="48">
        <v>0</v>
      </c>
      <c r="BL60" s="48">
        <v>0</v>
      </c>
      <c r="BM60" s="48">
        <v>0</v>
      </c>
      <c r="BN60" s="48">
        <v>0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48">
        <v>0</v>
      </c>
      <c r="CB60" s="48">
        <v>0</v>
      </c>
      <c r="CC60" s="48">
        <v>0</v>
      </c>
      <c r="CD60" s="48">
        <v>0</v>
      </c>
      <c r="CE60" s="48">
        <v>0</v>
      </c>
      <c r="CF60" s="48">
        <v>0</v>
      </c>
      <c r="CG60" s="48">
        <v>0</v>
      </c>
      <c r="CH60" s="48">
        <v>0</v>
      </c>
      <c r="CI60" s="48">
        <v>0</v>
      </c>
      <c r="CJ60" s="48">
        <v>0</v>
      </c>
      <c r="CK60" s="48">
        <v>0</v>
      </c>
      <c r="CL60" s="48">
        <v>0</v>
      </c>
    </row>
    <row r="61" spans="1:90">
      <c r="A61" t="s">
        <v>69</v>
      </c>
      <c r="B61" s="48">
        <v>25289369.57</v>
      </c>
      <c r="C61" s="48">
        <v>25743421.280000001</v>
      </c>
      <c r="D61" s="48">
        <v>25369716.66</v>
      </c>
      <c r="E61" s="48">
        <v>25994490.379999999</v>
      </c>
      <c r="F61" s="48">
        <v>23582192.710000001</v>
      </c>
      <c r="G61" s="48">
        <v>23345054.850000001</v>
      </c>
      <c r="H61" s="48">
        <v>23785941.870000001</v>
      </c>
      <c r="I61" s="48">
        <v>24377748.219999999</v>
      </c>
      <c r="J61" s="48">
        <v>25076717.300000001</v>
      </c>
      <c r="K61" s="48">
        <v>26581382.34</v>
      </c>
      <c r="L61" s="48">
        <v>27388053.219999999</v>
      </c>
      <c r="M61" s="48">
        <v>27952383.77</v>
      </c>
      <c r="N61" s="48">
        <v>21456507.359999999</v>
      </c>
      <c r="O61" s="48">
        <v>31769859.960000001</v>
      </c>
      <c r="P61" s="48">
        <v>32743780.82</v>
      </c>
      <c r="Q61" s="48">
        <v>34404825.380000003</v>
      </c>
      <c r="R61" s="48">
        <v>48109373.799999997</v>
      </c>
      <c r="S61" s="48">
        <v>36909353.009999998</v>
      </c>
      <c r="T61" s="48">
        <v>46376380.18</v>
      </c>
      <c r="U61" s="48">
        <v>37594458.509999998</v>
      </c>
      <c r="V61" s="48">
        <v>37045763.189999998</v>
      </c>
      <c r="W61" s="48">
        <v>37600354.240000002</v>
      </c>
      <c r="X61" s="48">
        <v>38226975.100000001</v>
      </c>
      <c r="Y61" s="48">
        <v>38872579.880000003</v>
      </c>
      <c r="Z61" s="48">
        <v>39738539.969999999</v>
      </c>
      <c r="AA61" s="48">
        <v>38122290</v>
      </c>
      <c r="AB61" s="48">
        <v>38649939.390000001</v>
      </c>
      <c r="AC61" s="48">
        <v>42672927.439999998</v>
      </c>
      <c r="AD61" s="48">
        <v>40780879.579999998</v>
      </c>
      <c r="AE61" s="48">
        <v>41373067.460000001</v>
      </c>
      <c r="AF61" s="48">
        <v>41868589.350000001</v>
      </c>
      <c r="AG61" s="48">
        <v>42609219.859999999</v>
      </c>
      <c r="AH61" s="48">
        <v>25487718.670000002</v>
      </c>
      <c r="AI61" s="48">
        <v>25948705.260000002</v>
      </c>
      <c r="AJ61" s="48">
        <v>7652788.6799999997</v>
      </c>
      <c r="AK61" s="48">
        <v>8242770.6200000001</v>
      </c>
      <c r="AL61" s="48">
        <v>28879759.010000002</v>
      </c>
      <c r="AM61" s="48">
        <v>25711427.050000001</v>
      </c>
      <c r="AN61" s="48">
        <v>26582410.25</v>
      </c>
      <c r="AO61" s="48">
        <v>27934076.68</v>
      </c>
      <c r="AP61" s="48">
        <v>14039274.92</v>
      </c>
      <c r="AQ61" s="48">
        <v>14279528.720000001</v>
      </c>
      <c r="AR61" s="48">
        <v>14554096.33</v>
      </c>
      <c r="AS61" s="48">
        <v>10711006.800000001</v>
      </c>
      <c r="AT61" s="48">
        <v>10848319.17</v>
      </c>
      <c r="AU61" s="48">
        <v>10985631.539999999</v>
      </c>
      <c r="AV61" s="48">
        <v>11122943.91</v>
      </c>
      <c r="AW61" s="48">
        <v>11260256.279999999</v>
      </c>
      <c r="AX61" s="48">
        <v>11397568.65</v>
      </c>
      <c r="AY61" s="48">
        <v>11218861.32</v>
      </c>
      <c r="AZ61" s="48">
        <v>11327444.640000001</v>
      </c>
      <c r="BA61" s="48">
        <v>11436027.960000001</v>
      </c>
      <c r="BB61" s="48">
        <v>14789222.439999999</v>
      </c>
      <c r="BC61" s="48">
        <v>14864813.65</v>
      </c>
      <c r="BD61" s="48">
        <v>15089085.34</v>
      </c>
      <c r="BE61" s="48">
        <v>15161442.140000001</v>
      </c>
      <c r="BF61" s="48">
        <v>16106281.08</v>
      </c>
      <c r="BG61" s="48">
        <v>15649341.43</v>
      </c>
      <c r="BH61" s="48">
        <v>15873221.779999999</v>
      </c>
      <c r="BI61" s="48">
        <v>15757102.130000001</v>
      </c>
      <c r="BJ61" s="48">
        <v>16020982.16</v>
      </c>
      <c r="BK61" s="48">
        <v>16204863.289999999</v>
      </c>
      <c r="BL61" s="48">
        <v>16388743.1</v>
      </c>
      <c r="BM61" s="48">
        <v>16572623.57</v>
      </c>
      <c r="BN61" s="48">
        <v>67465567.480000004</v>
      </c>
      <c r="BO61" s="48">
        <v>55315725.409999996</v>
      </c>
      <c r="BP61" s="48">
        <v>55516952.159999996</v>
      </c>
      <c r="BQ61" s="48">
        <v>8073214.7800000003</v>
      </c>
      <c r="BR61" s="48">
        <v>21023684.329999998</v>
      </c>
      <c r="BS61" s="48">
        <v>23871227.510000002</v>
      </c>
      <c r="BT61" s="48">
        <v>15157796.93</v>
      </c>
      <c r="BU61" s="48">
        <v>16810618.91</v>
      </c>
      <c r="BV61" s="48">
        <v>16919883.969999999</v>
      </c>
      <c r="BW61" s="48">
        <v>17908615.07</v>
      </c>
      <c r="BX61" s="48">
        <v>10309594.16</v>
      </c>
      <c r="BY61" s="48">
        <v>0</v>
      </c>
      <c r="BZ61" s="48">
        <v>0</v>
      </c>
      <c r="CA61" s="48">
        <v>0</v>
      </c>
      <c r="CB61" s="48">
        <v>0</v>
      </c>
      <c r="CC61" s="48">
        <v>0</v>
      </c>
      <c r="CD61" s="48">
        <v>0</v>
      </c>
      <c r="CE61" s="48">
        <v>0</v>
      </c>
      <c r="CF61" s="48">
        <v>0</v>
      </c>
      <c r="CG61" s="48">
        <v>0</v>
      </c>
      <c r="CH61" s="48">
        <v>0</v>
      </c>
      <c r="CI61" s="48">
        <v>0</v>
      </c>
      <c r="CJ61" s="48">
        <v>0</v>
      </c>
      <c r="CK61" s="48">
        <v>0</v>
      </c>
      <c r="CL61" s="48">
        <v>0</v>
      </c>
    </row>
    <row r="62" spans="1:90">
      <c r="A62" t="s">
        <v>70</v>
      </c>
      <c r="B62" s="48">
        <v>280516439.10000002</v>
      </c>
      <c r="C62" s="48">
        <v>287457618.22000003</v>
      </c>
      <c r="D62" s="48">
        <v>276803432.69999999</v>
      </c>
      <c r="E62" s="48">
        <v>284468499.72000003</v>
      </c>
      <c r="F62" s="48">
        <v>189659562.69</v>
      </c>
      <c r="G62" s="48">
        <v>166876968.88999999</v>
      </c>
      <c r="H62" s="48">
        <v>194442775.68000001</v>
      </c>
      <c r="I62" s="48">
        <v>202660912.94</v>
      </c>
      <c r="J62" s="48">
        <v>200586287.63</v>
      </c>
      <c r="K62" s="48">
        <v>201696388.78999999</v>
      </c>
      <c r="L62" s="48">
        <v>173155868.44</v>
      </c>
      <c r="M62" s="48">
        <v>181957265.94</v>
      </c>
      <c r="N62" s="48">
        <v>212138740.53</v>
      </c>
      <c r="O62" s="48">
        <v>221385820.53</v>
      </c>
      <c r="P62" s="48">
        <v>219691594.66999999</v>
      </c>
      <c r="Q62" s="48">
        <v>198258338.47999999</v>
      </c>
      <c r="R62" s="48">
        <v>203294555.49000001</v>
      </c>
      <c r="S62" s="48">
        <v>197928564.84999999</v>
      </c>
      <c r="T62" s="48">
        <v>206340650.06999999</v>
      </c>
      <c r="U62" s="48">
        <v>196433264.06999999</v>
      </c>
      <c r="V62" s="48">
        <v>189613719.19</v>
      </c>
      <c r="W62" s="48">
        <v>173843976.78999999</v>
      </c>
      <c r="X62" s="48">
        <v>200605367.56999999</v>
      </c>
      <c r="Y62" s="48">
        <v>204986935.97</v>
      </c>
      <c r="Z62" s="48">
        <v>186747691.91999999</v>
      </c>
      <c r="AA62" s="48">
        <v>123870193.34</v>
      </c>
      <c r="AB62" s="48">
        <v>118560500.20999999</v>
      </c>
      <c r="AC62" s="48">
        <v>180798828.83000001</v>
      </c>
      <c r="AD62" s="48">
        <v>114476487.09999999</v>
      </c>
      <c r="AE62" s="48">
        <v>115384373.29000001</v>
      </c>
      <c r="AF62" s="48">
        <v>107030597.65000001</v>
      </c>
      <c r="AG62" s="48">
        <v>108077747.11</v>
      </c>
      <c r="AH62" s="48">
        <v>89673628.579999998</v>
      </c>
      <c r="AI62" s="48">
        <v>86303207.370000005</v>
      </c>
      <c r="AJ62" s="48">
        <v>82441513.650000006</v>
      </c>
      <c r="AK62" s="48">
        <v>86363466.200000003</v>
      </c>
      <c r="AL62" s="48">
        <v>70024279.890000001</v>
      </c>
      <c r="AM62" s="48">
        <v>62687829.549999997</v>
      </c>
      <c r="AN62" s="48">
        <v>63167136.82</v>
      </c>
      <c r="AO62" s="48">
        <v>60682944.390000001</v>
      </c>
      <c r="AP62" s="48">
        <v>64441466.950000003</v>
      </c>
      <c r="AQ62" s="48">
        <v>64019407.909999996</v>
      </c>
      <c r="AR62" s="48">
        <v>57911493.5</v>
      </c>
      <c r="AS62" s="48">
        <v>56677875.560000002</v>
      </c>
      <c r="AT62" s="48">
        <v>28966830.420000002</v>
      </c>
      <c r="AU62" s="48">
        <v>30150836.600000001</v>
      </c>
      <c r="AV62" s="48">
        <v>31459892.359999999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48">
        <v>0</v>
      </c>
      <c r="CB62" s="48">
        <v>0</v>
      </c>
      <c r="CC62" s="48">
        <v>0</v>
      </c>
      <c r="CD62" s="48">
        <v>0</v>
      </c>
      <c r="CE62" s="48">
        <v>0</v>
      </c>
      <c r="CF62" s="48">
        <v>0</v>
      </c>
      <c r="CG62" s="48">
        <v>0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t="s">
        <v>71</v>
      </c>
      <c r="B63" s="48">
        <v>62765220.07</v>
      </c>
      <c r="C63" s="48">
        <v>60880442.770000003</v>
      </c>
      <c r="D63" s="48">
        <v>66757206.229999997</v>
      </c>
      <c r="E63" s="48">
        <v>38462336.270000003</v>
      </c>
      <c r="F63" s="48">
        <v>54196561.490000002</v>
      </c>
      <c r="G63" s="48">
        <v>56909393.329999998</v>
      </c>
      <c r="H63" s="48">
        <v>57824989.609999999</v>
      </c>
      <c r="I63" s="48">
        <v>55027840.439999998</v>
      </c>
      <c r="J63" s="48">
        <v>41021119.869999997</v>
      </c>
      <c r="K63" s="48">
        <v>41599818.229999997</v>
      </c>
      <c r="L63" s="48">
        <v>57463600.049999997</v>
      </c>
      <c r="M63" s="48">
        <v>64383640.159999996</v>
      </c>
      <c r="N63" s="48">
        <v>61101424.75</v>
      </c>
      <c r="O63" s="48">
        <v>78368970.950000003</v>
      </c>
      <c r="P63" s="48">
        <v>92463910.909999996</v>
      </c>
      <c r="Q63" s="48">
        <v>78467210.099999994</v>
      </c>
      <c r="R63" s="48">
        <v>92707825.519999996</v>
      </c>
      <c r="S63" s="48">
        <v>85077428.640000001</v>
      </c>
      <c r="T63" s="48">
        <v>85761514.969999999</v>
      </c>
      <c r="U63" s="48">
        <v>87126358.530000001</v>
      </c>
      <c r="V63" s="48">
        <v>99993098.420000002</v>
      </c>
      <c r="W63" s="48">
        <v>82631973.120000005</v>
      </c>
      <c r="X63" s="48">
        <v>128139916.58</v>
      </c>
      <c r="Y63" s="48">
        <v>128521843.11</v>
      </c>
      <c r="Z63" s="48">
        <v>107383347.84</v>
      </c>
      <c r="AA63" s="48">
        <v>41411694.719999999</v>
      </c>
      <c r="AB63" s="48">
        <v>43050828.079999998</v>
      </c>
      <c r="AC63" s="48">
        <v>72624175.909999996</v>
      </c>
      <c r="AD63" s="48">
        <v>41130884.609999999</v>
      </c>
      <c r="AE63" s="48">
        <v>39575463.509999998</v>
      </c>
      <c r="AF63" s="48">
        <v>39931048.210000001</v>
      </c>
      <c r="AG63" s="48">
        <v>40264134.43</v>
      </c>
      <c r="AH63" s="48">
        <v>42449400.32</v>
      </c>
      <c r="AI63" s="48">
        <v>42653466.369999997</v>
      </c>
      <c r="AJ63" s="48">
        <v>45069702.460000001</v>
      </c>
      <c r="AK63" s="48">
        <v>47336763.479999997</v>
      </c>
      <c r="AL63" s="48">
        <v>14075722.1</v>
      </c>
      <c r="AM63" s="48">
        <v>14836532.33</v>
      </c>
      <c r="AN63" s="48">
        <v>11348083.5</v>
      </c>
      <c r="AO63" s="48">
        <v>10223461.91</v>
      </c>
      <c r="AP63" s="48">
        <v>25097550.68</v>
      </c>
      <c r="AQ63" s="48">
        <v>25005134.829999998</v>
      </c>
      <c r="AR63" s="48">
        <v>27487284.390000001</v>
      </c>
      <c r="AS63" s="48">
        <v>27134956.109999999</v>
      </c>
      <c r="AT63" s="48">
        <v>33429408.100000001</v>
      </c>
      <c r="AU63" s="48">
        <v>26112266.84</v>
      </c>
      <c r="AV63" s="48">
        <v>8949288.2699999996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7808390.7699999996</v>
      </c>
      <c r="BS63" s="48">
        <v>0</v>
      </c>
      <c r="BT63" s="48">
        <v>3339026.36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t="s">
        <v>72</v>
      </c>
      <c r="B64" s="48">
        <v>0</v>
      </c>
      <c r="C64" s="48">
        <v>0</v>
      </c>
      <c r="D64" s="48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8684612.9299999997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134492721.5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610209.04</v>
      </c>
      <c r="BP64" s="48">
        <v>1110824.5900000001</v>
      </c>
      <c r="BQ64" s="48">
        <v>1876288.43</v>
      </c>
      <c r="BR64" s="48">
        <v>0</v>
      </c>
      <c r="BS64" s="48">
        <v>0</v>
      </c>
      <c r="BT64" s="48">
        <v>0</v>
      </c>
      <c r="BU64" s="48">
        <v>101005.71</v>
      </c>
      <c r="BV64" s="48">
        <v>0</v>
      </c>
      <c r="BW64" s="48">
        <v>470783.19</v>
      </c>
      <c r="BX64" s="48">
        <v>0</v>
      </c>
      <c r="BY64" s="48">
        <v>11777010.560000001</v>
      </c>
      <c r="BZ64" s="48">
        <v>0</v>
      </c>
      <c r="CA64" s="48">
        <v>18491731.039999999</v>
      </c>
      <c r="CB64" s="48">
        <v>0</v>
      </c>
      <c r="CC64" s="48">
        <v>20209139.52</v>
      </c>
      <c r="CD64" s="48">
        <v>21809664.98</v>
      </c>
      <c r="CE64" s="48">
        <v>0</v>
      </c>
      <c r="CF64" s="48">
        <v>0</v>
      </c>
      <c r="CG64" s="48">
        <v>18643.12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 hidden="1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0"/>
    </row>
    <row r="66" spans="1:90" hidden="1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0"/>
    </row>
    <row r="67" spans="1:90" hidden="1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0"/>
    </row>
    <row r="68" spans="1:90" s="16" customFormat="1">
      <c r="A68" s="16" t="s">
        <v>73</v>
      </c>
      <c r="B68" s="44">
        <f>SUM(B52:B64)-2*B63</f>
        <v>2435439184.1100001</v>
      </c>
      <c r="C68" s="44">
        <f t="shared" ref="C68:BN68" si="9">SUM(C52:C64)-2*C63</f>
        <v>2428661360.2100005</v>
      </c>
      <c r="D68" s="44">
        <f t="shared" si="9"/>
        <v>2406589332.0599995</v>
      </c>
      <c r="E68" s="44">
        <f t="shared" si="9"/>
        <v>2454890527.3099999</v>
      </c>
      <c r="F68" s="44">
        <f t="shared" si="9"/>
        <v>2346658997.96</v>
      </c>
      <c r="G68" s="44">
        <f t="shared" si="9"/>
        <v>2321028456.0099998</v>
      </c>
      <c r="H68" s="44">
        <f t="shared" si="9"/>
        <v>2370979739.6600003</v>
      </c>
      <c r="I68" s="44">
        <f t="shared" si="9"/>
        <v>2412303475.0899997</v>
      </c>
      <c r="J68" s="44">
        <f t="shared" si="9"/>
        <v>2470406281.8300004</v>
      </c>
      <c r="K68" s="44">
        <f t="shared" si="9"/>
        <v>2494493018.0699997</v>
      </c>
      <c r="L68" s="44">
        <f t="shared" si="9"/>
        <v>2182152344.7200003</v>
      </c>
      <c r="M68" s="44">
        <f t="shared" si="9"/>
        <v>2152577164.2399998</v>
      </c>
      <c r="N68" s="44">
        <f t="shared" si="9"/>
        <v>2164865015.4299998</v>
      </c>
      <c r="O68" s="44">
        <f t="shared" si="9"/>
        <v>2313387131.1999998</v>
      </c>
      <c r="P68" s="44">
        <f t="shared" si="9"/>
        <v>2470892138.5</v>
      </c>
      <c r="Q68" s="44">
        <f t="shared" si="9"/>
        <v>2509457579.0300002</v>
      </c>
      <c r="R68" s="44">
        <f t="shared" si="9"/>
        <v>2454288355.1100001</v>
      </c>
      <c r="S68" s="44">
        <f t="shared" si="9"/>
        <v>2364512974.75</v>
      </c>
      <c r="T68" s="44">
        <f t="shared" si="9"/>
        <v>2349442788.3999996</v>
      </c>
      <c r="U68" s="44">
        <f t="shared" si="9"/>
        <v>2333913055.750001</v>
      </c>
      <c r="V68" s="44">
        <f t="shared" si="9"/>
        <v>2273126750.1999998</v>
      </c>
      <c r="W68" s="44">
        <f t="shared" si="9"/>
        <v>2271648667.499999</v>
      </c>
      <c r="X68" s="44">
        <f t="shared" si="9"/>
        <v>2284542290.6700001</v>
      </c>
      <c r="Y68" s="44">
        <f t="shared" si="9"/>
        <v>2417151666.0300002</v>
      </c>
      <c r="Z68" s="44">
        <f t="shared" si="9"/>
        <v>2365112559.9700003</v>
      </c>
      <c r="AA68" s="44">
        <f t="shared" si="9"/>
        <v>1665128995.6599998</v>
      </c>
      <c r="AB68" s="44">
        <f t="shared" si="9"/>
        <v>1663553695.26</v>
      </c>
      <c r="AC68" s="44">
        <f t="shared" si="9"/>
        <v>2379075025.6399994</v>
      </c>
      <c r="AD68" s="44">
        <f t="shared" si="9"/>
        <v>1895315967.5499997</v>
      </c>
      <c r="AE68" s="44">
        <f t="shared" si="9"/>
        <v>2018164183.1700001</v>
      </c>
      <c r="AF68" s="44">
        <f t="shared" si="9"/>
        <v>2030582059.45</v>
      </c>
      <c r="AG68" s="44">
        <f t="shared" si="9"/>
        <v>2041521028.8299997</v>
      </c>
      <c r="AH68" s="44">
        <f t="shared" si="9"/>
        <v>2117003238.0300004</v>
      </c>
      <c r="AI68" s="44">
        <f t="shared" si="9"/>
        <v>2127767595.3</v>
      </c>
      <c r="AJ68" s="44">
        <f t="shared" si="9"/>
        <v>2123264784.5799999</v>
      </c>
      <c r="AK68" s="44">
        <f t="shared" si="9"/>
        <v>2106733677.9799995</v>
      </c>
      <c r="AL68" s="44">
        <f t="shared" si="9"/>
        <v>2181311978.2000003</v>
      </c>
      <c r="AM68" s="44">
        <f t="shared" si="9"/>
        <v>1766549255.0699997</v>
      </c>
      <c r="AN68" s="44">
        <f t="shared" si="9"/>
        <v>1754765166.9699998</v>
      </c>
      <c r="AO68" s="44">
        <f t="shared" si="9"/>
        <v>1753220374.0200002</v>
      </c>
      <c r="AP68" s="44">
        <f t="shared" si="9"/>
        <v>1649673554.8800004</v>
      </c>
      <c r="AQ68" s="44">
        <f t="shared" si="9"/>
        <v>1614270453.4799998</v>
      </c>
      <c r="AR68" s="44">
        <f t="shared" si="9"/>
        <v>1636219769.9099998</v>
      </c>
      <c r="AS68" s="44">
        <f t="shared" si="9"/>
        <v>1622178981.0399997</v>
      </c>
      <c r="AT68" s="44">
        <f t="shared" si="9"/>
        <v>1577433801.45</v>
      </c>
      <c r="AU68" s="44">
        <f t="shared" si="9"/>
        <v>1708833997.0599997</v>
      </c>
      <c r="AV68" s="44">
        <f t="shared" si="9"/>
        <v>1602023740.5600002</v>
      </c>
      <c r="AW68" s="44">
        <f t="shared" si="9"/>
        <v>1607615691.8999999</v>
      </c>
      <c r="AX68" s="44">
        <f t="shared" si="9"/>
        <v>1541397866.6100001</v>
      </c>
      <c r="AY68" s="44">
        <f t="shared" si="9"/>
        <v>1531323889.3399999</v>
      </c>
      <c r="AZ68" s="44">
        <f t="shared" si="9"/>
        <v>1533389587.6100004</v>
      </c>
      <c r="BA68" s="44">
        <f t="shared" si="9"/>
        <v>1528953112.1300001</v>
      </c>
      <c r="BB68" s="44">
        <f t="shared" si="9"/>
        <v>1454249169.7900002</v>
      </c>
      <c r="BC68" s="44">
        <f t="shared" si="9"/>
        <v>1475873605.3299999</v>
      </c>
      <c r="BD68" s="44">
        <f t="shared" si="9"/>
        <v>1420004646.6199999</v>
      </c>
      <c r="BE68" s="44">
        <f t="shared" si="9"/>
        <v>1418837796.5700002</v>
      </c>
      <c r="BF68" s="44">
        <f t="shared" si="9"/>
        <v>1248334291.0599999</v>
      </c>
      <c r="BG68" s="44">
        <f t="shared" si="9"/>
        <v>1260288251.3700001</v>
      </c>
      <c r="BH68" s="44">
        <f t="shared" si="9"/>
        <v>1367407857.2199998</v>
      </c>
      <c r="BI68" s="44">
        <f t="shared" si="9"/>
        <v>1382409784.6800001</v>
      </c>
      <c r="BJ68" s="44">
        <f t="shared" si="9"/>
        <v>1318899201.0300002</v>
      </c>
      <c r="BK68" s="44">
        <f t="shared" si="9"/>
        <v>1193317891.78</v>
      </c>
      <c r="BL68" s="44">
        <f t="shared" si="9"/>
        <v>1143911773.3999999</v>
      </c>
      <c r="BM68" s="44">
        <f t="shared" si="9"/>
        <v>1153504140.2</v>
      </c>
      <c r="BN68" s="44">
        <f t="shared" si="9"/>
        <v>897625045.82000005</v>
      </c>
      <c r="BO68" s="44">
        <f t="shared" ref="BO68:CK68" si="10">SUM(BO52:BO64)-2*BO63</f>
        <v>921016822.43999994</v>
      </c>
      <c r="BP68" s="44">
        <f t="shared" si="10"/>
        <v>898781839.95000005</v>
      </c>
      <c r="BQ68" s="44">
        <f t="shared" si="10"/>
        <v>855768959.73999989</v>
      </c>
      <c r="BR68" s="44">
        <f t="shared" si="10"/>
        <v>967022671.55999994</v>
      </c>
      <c r="BS68" s="44">
        <f t="shared" si="10"/>
        <v>912510795.08000004</v>
      </c>
      <c r="BT68" s="44">
        <f t="shared" si="10"/>
        <v>1085005791.3399999</v>
      </c>
      <c r="BU68" s="44">
        <f t="shared" si="10"/>
        <v>1048137506.5799999</v>
      </c>
      <c r="BV68" s="44">
        <f t="shared" si="10"/>
        <v>914153133.79000008</v>
      </c>
      <c r="BW68" s="44">
        <f t="shared" si="10"/>
        <v>935461711.29000008</v>
      </c>
      <c r="BX68" s="44">
        <f t="shared" si="10"/>
        <v>399043480.84000003</v>
      </c>
      <c r="BY68" s="44">
        <f t="shared" si="10"/>
        <v>411345651.89999998</v>
      </c>
      <c r="BZ68" s="44">
        <f t="shared" si="10"/>
        <v>385662297.44</v>
      </c>
      <c r="CA68" s="44">
        <f t="shared" si="10"/>
        <v>460069877.17000002</v>
      </c>
      <c r="CB68" s="44">
        <f t="shared" si="10"/>
        <v>371093035.31</v>
      </c>
      <c r="CC68" s="44">
        <f t="shared" si="10"/>
        <v>510456316.62</v>
      </c>
      <c r="CD68" s="44">
        <f t="shared" si="10"/>
        <v>363612293.70000005</v>
      </c>
      <c r="CE68" s="44">
        <f t="shared" si="10"/>
        <v>407232000</v>
      </c>
      <c r="CF68" s="44">
        <f t="shared" si="10"/>
        <v>390871397.48000002</v>
      </c>
      <c r="CG68" s="44">
        <f t="shared" si="10"/>
        <v>369720545.36000001</v>
      </c>
      <c r="CH68" s="44">
        <f t="shared" si="10"/>
        <v>0</v>
      </c>
      <c r="CI68" s="44">
        <f t="shared" si="10"/>
        <v>0</v>
      </c>
      <c r="CJ68" s="44">
        <f t="shared" si="10"/>
        <v>0</v>
      </c>
      <c r="CK68" s="44">
        <f t="shared" si="10"/>
        <v>0</v>
      </c>
    </row>
    <row r="69" spans="1:90" s="6" customFormat="1">
      <c r="A69" s="17" t="s">
        <v>74</v>
      </c>
      <c r="B69" s="41">
        <f>B50+B68</f>
        <v>15848335327.23</v>
      </c>
      <c r="C69" s="41">
        <f t="shared" ref="C69:BN69" si="11">C50+C68</f>
        <v>-3035066389.3399987</v>
      </c>
      <c r="D69" s="41">
        <f t="shared" si="11"/>
        <v>-2823974173.4399948</v>
      </c>
      <c r="E69" s="41">
        <f t="shared" si="11"/>
        <v>-4514266000.8100052</v>
      </c>
      <c r="F69" s="41">
        <f t="shared" si="11"/>
        <v>-4326328432.1499987</v>
      </c>
      <c r="G69" s="41">
        <f t="shared" si="11"/>
        <v>-4391443465.0400028</v>
      </c>
      <c r="H69" s="41">
        <f t="shared" si="11"/>
        <v>-4275509937.7299991</v>
      </c>
      <c r="I69" s="41">
        <f t="shared" si="11"/>
        <v>-4844218458.6500015</v>
      </c>
      <c r="J69" s="41">
        <f t="shared" si="11"/>
        <v>-5008768319.8099937</v>
      </c>
      <c r="K69" s="41">
        <f t="shared" si="11"/>
        <v>-4953289521.1999969</v>
      </c>
      <c r="L69" s="41">
        <f t="shared" si="11"/>
        <v>-4443357978.4699945</v>
      </c>
      <c r="M69" s="41">
        <f t="shared" si="11"/>
        <v>-4836252794.9399948</v>
      </c>
      <c r="N69" s="41">
        <f t="shared" si="11"/>
        <v>-5301024454.1800022</v>
      </c>
      <c r="O69" s="41">
        <f t="shared" si="11"/>
        <v>-5632676458.079999</v>
      </c>
      <c r="P69" s="41">
        <f t="shared" si="11"/>
        <v>-3996002653.9600029</v>
      </c>
      <c r="Q69" s="41">
        <f t="shared" si="11"/>
        <v>-4495904249.8599987</v>
      </c>
      <c r="R69" s="41">
        <f t="shared" si="11"/>
        <v>-4304157066.6499977</v>
      </c>
      <c r="S69" s="41">
        <f t="shared" si="11"/>
        <v>-4103019752.8400002</v>
      </c>
      <c r="T69" s="41">
        <f t="shared" si="11"/>
        <v>-3639683870.6400013</v>
      </c>
      <c r="U69" s="41">
        <f t="shared" si="11"/>
        <v>-3905103323.7699995</v>
      </c>
      <c r="V69" s="41">
        <f t="shared" si="11"/>
        <v>-4048439685.2799978</v>
      </c>
      <c r="W69" s="41">
        <f t="shared" si="11"/>
        <v>-4006262414.1799994</v>
      </c>
      <c r="X69" s="41">
        <f t="shared" si="11"/>
        <v>-2646886074.4400005</v>
      </c>
      <c r="Y69" s="41">
        <f t="shared" si="11"/>
        <v>-3448708869.6100011</v>
      </c>
      <c r="Z69" s="41">
        <f t="shared" si="11"/>
        <v>-2716355327.4599981</v>
      </c>
      <c r="AA69" s="41">
        <f t="shared" si="11"/>
        <v>-3084935902.1799984</v>
      </c>
      <c r="AB69" s="41">
        <f t="shared" si="11"/>
        <v>-1846180453.4299996</v>
      </c>
      <c r="AC69" s="41">
        <f t="shared" si="11"/>
        <v>-933300900.79999924</v>
      </c>
      <c r="AD69" s="41">
        <f t="shared" si="11"/>
        <v>-1590486704.6499991</v>
      </c>
      <c r="AE69" s="41">
        <f t="shared" si="11"/>
        <v>-1096138560.7199993</v>
      </c>
      <c r="AF69" s="41">
        <f t="shared" si="11"/>
        <v>-340919325.75999904</v>
      </c>
      <c r="AG69" s="41">
        <f t="shared" si="11"/>
        <v>-819069343.75999951</v>
      </c>
      <c r="AH69" s="41">
        <f t="shared" si="11"/>
        <v>-829470320.73000073</v>
      </c>
      <c r="AI69" s="41">
        <f t="shared" si="11"/>
        <v>-437556053.89000058</v>
      </c>
      <c r="AJ69" s="41">
        <f t="shared" si="11"/>
        <v>402645793.04999924</v>
      </c>
      <c r="AK69" s="41">
        <f t="shared" si="11"/>
        <v>210197537.44999981</v>
      </c>
      <c r="AL69" s="41">
        <f t="shared" si="11"/>
        <v>714601313.61000013</v>
      </c>
      <c r="AM69" s="41">
        <f t="shared" si="11"/>
        <v>740642359.77000046</v>
      </c>
      <c r="AN69" s="41">
        <f t="shared" si="11"/>
        <v>915062891.43999958</v>
      </c>
      <c r="AO69" s="41">
        <f t="shared" si="11"/>
        <v>1273530115.5899999</v>
      </c>
      <c r="AP69" s="41">
        <f t="shared" si="11"/>
        <v>1037231815.3000004</v>
      </c>
      <c r="AQ69" s="41">
        <f t="shared" si="11"/>
        <v>1187935800.1900003</v>
      </c>
      <c r="AR69" s="41">
        <f t="shared" si="11"/>
        <v>1212379153.3999996</v>
      </c>
      <c r="AS69" s="41">
        <f t="shared" si="11"/>
        <v>712932263.93000007</v>
      </c>
      <c r="AT69" s="41">
        <f t="shared" si="11"/>
        <v>868976724.30999923</v>
      </c>
      <c r="AU69" s="41">
        <f t="shared" si="11"/>
        <v>1215394324.9399998</v>
      </c>
      <c r="AV69" s="41">
        <f t="shared" si="11"/>
        <v>1222319276.1799996</v>
      </c>
      <c r="AW69" s="41">
        <f t="shared" si="11"/>
        <v>1054151492.9399993</v>
      </c>
      <c r="AX69" s="41">
        <f t="shared" si="11"/>
        <v>1162120815.3000002</v>
      </c>
      <c r="AY69" s="41">
        <f t="shared" si="11"/>
        <v>1306310400.9499996</v>
      </c>
      <c r="AZ69" s="41">
        <f t="shared" si="11"/>
        <v>1703638197.5700002</v>
      </c>
      <c r="BA69" s="41">
        <f t="shared" si="11"/>
        <v>1371089898.4800003</v>
      </c>
      <c r="BB69" s="41">
        <f t="shared" si="11"/>
        <v>1672943281.5900004</v>
      </c>
      <c r="BC69" s="41">
        <f t="shared" si="11"/>
        <v>1505292515.7599998</v>
      </c>
      <c r="BD69" s="41">
        <f t="shared" si="11"/>
        <v>1322345362.7599998</v>
      </c>
      <c r="BE69" s="41">
        <f t="shared" si="11"/>
        <v>968193060.95000005</v>
      </c>
      <c r="BF69" s="41">
        <f t="shared" si="11"/>
        <v>833185472.40999985</v>
      </c>
      <c r="BG69" s="41">
        <f t="shared" si="11"/>
        <v>935928554.13000035</v>
      </c>
      <c r="BH69" s="41">
        <f t="shared" si="11"/>
        <v>806357754.13999939</v>
      </c>
      <c r="BI69" s="41">
        <f t="shared" si="11"/>
        <v>658376012.54999995</v>
      </c>
      <c r="BJ69" s="41">
        <f t="shared" si="11"/>
        <v>795843876.36000013</v>
      </c>
      <c r="BK69" s="41">
        <f t="shared" si="11"/>
        <v>926378048.08000016</v>
      </c>
      <c r="BL69" s="41">
        <f t="shared" si="11"/>
        <v>818138487.94999909</v>
      </c>
      <c r="BM69" s="41">
        <f t="shared" si="11"/>
        <v>506910081.16999984</v>
      </c>
      <c r="BN69" s="41">
        <f t="shared" si="11"/>
        <v>669907727.35000026</v>
      </c>
      <c r="BO69" s="41">
        <f t="shared" ref="BO69:CL69" si="12">BO50+BO68</f>
        <v>337385567.45000017</v>
      </c>
      <c r="BP69" s="41">
        <f t="shared" si="12"/>
        <v>355516643.6500001</v>
      </c>
      <c r="BQ69" s="41">
        <f t="shared" si="12"/>
        <v>306420340.01999962</v>
      </c>
      <c r="BR69" s="41">
        <f t="shared" si="12"/>
        <v>473934201.21000004</v>
      </c>
      <c r="BS69" s="41">
        <f t="shared" si="12"/>
        <v>484676608.44999993</v>
      </c>
      <c r="BT69" s="41">
        <f t="shared" si="12"/>
        <v>1217457615.6200001</v>
      </c>
      <c r="BU69" s="41">
        <f t="shared" si="12"/>
        <v>961185636.92000008</v>
      </c>
      <c r="BV69" s="41">
        <f t="shared" si="12"/>
        <v>873232614.66000044</v>
      </c>
      <c r="BW69" s="41">
        <f t="shared" si="12"/>
        <v>513092650.3299998</v>
      </c>
      <c r="BX69" s="41">
        <f t="shared" si="12"/>
        <v>1622596802.5799999</v>
      </c>
      <c r="BY69" s="41">
        <f t="shared" si="12"/>
        <v>1514916306.8699999</v>
      </c>
      <c r="BZ69" s="41">
        <f t="shared" si="12"/>
        <v>385662297.44</v>
      </c>
      <c r="CA69" s="41">
        <f t="shared" si="12"/>
        <v>1422592356.1899998</v>
      </c>
      <c r="CB69" s="41">
        <f t="shared" si="12"/>
        <v>371093035.31</v>
      </c>
      <c r="CC69" s="41">
        <f t="shared" si="12"/>
        <v>1196218768.7800002</v>
      </c>
      <c r="CD69" s="41">
        <f t="shared" si="12"/>
        <v>363612293.70000005</v>
      </c>
      <c r="CE69" s="41">
        <f t="shared" si="12"/>
        <v>601959000</v>
      </c>
      <c r="CF69" s="41">
        <f t="shared" si="12"/>
        <v>390871397.48000002</v>
      </c>
      <c r="CG69" s="41">
        <f t="shared" si="12"/>
        <v>587767441.25999999</v>
      </c>
      <c r="CH69" s="41">
        <f t="shared" si="12"/>
        <v>0</v>
      </c>
      <c r="CI69" s="41">
        <f t="shared" si="12"/>
        <v>0</v>
      </c>
      <c r="CJ69" s="41">
        <f t="shared" si="12"/>
        <v>0</v>
      </c>
      <c r="CK69" s="41">
        <f t="shared" si="12"/>
        <v>0</v>
      </c>
      <c r="CL69" s="41">
        <f t="shared" si="12"/>
        <v>0</v>
      </c>
    </row>
    <row r="70" spans="1:90" s="13" customFormat="1">
      <c r="A70" s="12" t="s">
        <v>75</v>
      </c>
      <c r="B70" s="45">
        <f>B17+B19+B69</f>
        <v>31221579638.689999</v>
      </c>
      <c r="C70" s="45">
        <f t="shared" ref="C70:BN70" si="13">C17+C19+C69</f>
        <v>13107678389.220001</v>
      </c>
      <c r="D70" s="45">
        <f t="shared" si="13"/>
        <v>13067433970.510004</v>
      </c>
      <c r="E70" s="45">
        <f t="shared" si="13"/>
        <v>12466964524.469995</v>
      </c>
      <c r="F70" s="45">
        <f t="shared" si="13"/>
        <v>12179598099.500004</v>
      </c>
      <c r="G70" s="45">
        <f t="shared" si="13"/>
        <v>12130146338.639996</v>
      </c>
      <c r="H70" s="45">
        <f t="shared" si="13"/>
        <v>12023831929.66</v>
      </c>
      <c r="I70" s="45">
        <f t="shared" si="13"/>
        <v>11623144965.309998</v>
      </c>
      <c r="J70" s="45">
        <f t="shared" si="13"/>
        <v>11341725783.080006</v>
      </c>
      <c r="K70" s="45">
        <f t="shared" si="13"/>
        <v>11301436117.700003</v>
      </c>
      <c r="L70" s="45">
        <f t="shared" si="13"/>
        <v>10882579696.250008</v>
      </c>
      <c r="M70" s="45">
        <f t="shared" si="13"/>
        <v>10539105171.650005</v>
      </c>
      <c r="N70" s="45">
        <f t="shared" si="13"/>
        <v>10265971346.089998</v>
      </c>
      <c r="O70" s="45">
        <f t="shared" si="13"/>
        <v>9740280558.1600037</v>
      </c>
      <c r="P70" s="45">
        <f t="shared" si="13"/>
        <v>10554374558.019997</v>
      </c>
      <c r="Q70" s="45">
        <f t="shared" si="13"/>
        <v>10215204831.640001</v>
      </c>
      <c r="R70" s="45">
        <f t="shared" si="13"/>
        <v>10226530564.660002</v>
      </c>
      <c r="S70" s="45">
        <f t="shared" si="13"/>
        <v>10653991504.91</v>
      </c>
      <c r="T70" s="45">
        <f t="shared" si="13"/>
        <v>10187387890.889999</v>
      </c>
      <c r="U70" s="45">
        <f t="shared" si="13"/>
        <v>9849589265.5699997</v>
      </c>
      <c r="V70" s="45">
        <f t="shared" si="13"/>
        <v>9763858775.4400024</v>
      </c>
      <c r="W70" s="45">
        <f t="shared" si="13"/>
        <v>9765471855.2200012</v>
      </c>
      <c r="X70" s="45">
        <f t="shared" si="13"/>
        <v>9482152678.8500004</v>
      </c>
      <c r="Y70" s="45">
        <f t="shared" si="13"/>
        <v>10694473943.880001</v>
      </c>
      <c r="Z70" s="45">
        <f t="shared" si="13"/>
        <v>9318747845.1599998</v>
      </c>
      <c r="AA70" s="45">
        <f t="shared" si="13"/>
        <v>8943660768.7200031</v>
      </c>
      <c r="AB70" s="45">
        <f t="shared" si="13"/>
        <v>8544350433.0500002</v>
      </c>
      <c r="AC70" s="45">
        <f t="shared" si="13"/>
        <v>9238518250.2200012</v>
      </c>
      <c r="AD70" s="45">
        <f t="shared" si="13"/>
        <v>8087076231.4799995</v>
      </c>
      <c r="AE70" s="45">
        <f t="shared" si="13"/>
        <v>8073605739.210001</v>
      </c>
      <c r="AF70" s="45">
        <f t="shared" si="13"/>
        <v>7981291938.1400003</v>
      </c>
      <c r="AG70" s="45">
        <f t="shared" si="13"/>
        <v>7695938118.6600008</v>
      </c>
      <c r="AH70" s="45">
        <f t="shared" si="13"/>
        <v>7679670736.8899984</v>
      </c>
      <c r="AI70" s="45">
        <f t="shared" si="13"/>
        <v>7706379849.3699999</v>
      </c>
      <c r="AJ70" s="45">
        <f t="shared" si="13"/>
        <v>7638796456.2600002</v>
      </c>
      <c r="AK70" s="45">
        <f t="shared" si="13"/>
        <v>7410754735.6399994</v>
      </c>
      <c r="AL70" s="45">
        <f t="shared" si="13"/>
        <v>7535117366.25</v>
      </c>
      <c r="AM70" s="45">
        <f t="shared" si="13"/>
        <v>7089801949.1200008</v>
      </c>
      <c r="AN70" s="45">
        <f t="shared" si="13"/>
        <v>6832227835.3299999</v>
      </c>
      <c r="AO70" s="45">
        <f t="shared" si="13"/>
        <v>6625100037.3500004</v>
      </c>
      <c r="AP70" s="45">
        <f t="shared" si="13"/>
        <v>6438030179.3299999</v>
      </c>
      <c r="AQ70" s="45">
        <f t="shared" si="13"/>
        <v>6568210939.6500006</v>
      </c>
      <c r="AR70" s="45">
        <f t="shared" si="13"/>
        <v>6277045495.4499998</v>
      </c>
      <c r="AS70" s="45">
        <f t="shared" si="13"/>
        <v>6083747306.9000006</v>
      </c>
      <c r="AT70" s="45">
        <f t="shared" si="13"/>
        <v>5954249904.1999989</v>
      </c>
      <c r="AU70" s="45">
        <f t="shared" si="13"/>
        <v>5979473018.6699991</v>
      </c>
      <c r="AV70" s="45">
        <f t="shared" si="13"/>
        <v>5702242088.3999996</v>
      </c>
      <c r="AW70" s="45">
        <f t="shared" si="13"/>
        <v>5602896259.3299999</v>
      </c>
      <c r="AX70" s="45">
        <f t="shared" si="13"/>
        <v>5630226389.2300005</v>
      </c>
      <c r="AY70" s="45">
        <f t="shared" si="13"/>
        <v>5610383691.54</v>
      </c>
      <c r="AZ70" s="45">
        <f t="shared" si="13"/>
        <v>5742365500.0299997</v>
      </c>
      <c r="BA70" s="45">
        <f t="shared" si="13"/>
        <v>5519718719.7200003</v>
      </c>
      <c r="BB70" s="45">
        <f t="shared" si="13"/>
        <v>5521624770.0500002</v>
      </c>
      <c r="BC70" s="45">
        <f t="shared" si="13"/>
        <v>5679940370.9499998</v>
      </c>
      <c r="BD70" s="45">
        <f t="shared" si="13"/>
        <v>5846712764.1299992</v>
      </c>
      <c r="BE70" s="45">
        <f t="shared" si="13"/>
        <v>5652888376.0199995</v>
      </c>
      <c r="BF70" s="45">
        <f t="shared" si="13"/>
        <v>5507281537.8100004</v>
      </c>
      <c r="BG70" s="45">
        <f t="shared" si="13"/>
        <v>5766777137.2200003</v>
      </c>
      <c r="BH70" s="45">
        <f t="shared" si="13"/>
        <v>5679446660.1499996</v>
      </c>
      <c r="BI70" s="45">
        <f t="shared" si="13"/>
        <v>5510735701.04</v>
      </c>
      <c r="BJ70" s="45">
        <f t="shared" si="13"/>
        <v>5618637937.1800003</v>
      </c>
      <c r="BK70" s="45">
        <f t="shared" si="13"/>
        <v>6020657540.6999998</v>
      </c>
      <c r="BL70" s="45">
        <f t="shared" si="13"/>
        <v>5957640591.7299986</v>
      </c>
      <c r="BM70" s="45">
        <f t="shared" si="13"/>
        <v>5623524658.5500002</v>
      </c>
      <c r="BN70" s="45">
        <f t="shared" si="13"/>
        <v>5528804685.8000002</v>
      </c>
      <c r="BO70" s="45">
        <f t="shared" ref="BO70:CL70" si="14">BO17+BO19+BO69</f>
        <v>5560543335.1699991</v>
      </c>
      <c r="BP70" s="45">
        <f t="shared" si="14"/>
        <v>5297951558.5900002</v>
      </c>
      <c r="BQ70" s="45">
        <f t="shared" si="14"/>
        <v>5039796175.749999</v>
      </c>
      <c r="BR70" s="45">
        <f t="shared" si="14"/>
        <v>5114612634.25</v>
      </c>
      <c r="BS70" s="45">
        <f t="shared" si="14"/>
        <v>4666968162.75</v>
      </c>
      <c r="BT70" s="45">
        <f t="shared" si="14"/>
        <v>5043729164.71</v>
      </c>
      <c r="BU70" s="45">
        <f t="shared" si="14"/>
        <v>4706644952.9300003</v>
      </c>
      <c r="BV70" s="45">
        <f t="shared" si="14"/>
        <v>3010962349.8500004</v>
      </c>
      <c r="BW70" s="45">
        <f t="shared" si="14"/>
        <v>2841796941.2199998</v>
      </c>
      <c r="BX70" s="45">
        <f t="shared" si="14"/>
        <v>1814177805.9299998</v>
      </c>
      <c r="BY70" s="45">
        <f t="shared" si="14"/>
        <v>1685492516.3</v>
      </c>
      <c r="BZ70" s="45">
        <f t="shared" si="14"/>
        <v>612314478.98000002</v>
      </c>
      <c r="CA70" s="45">
        <f t="shared" si="14"/>
        <v>1689149770.2499998</v>
      </c>
      <c r="CB70" s="45">
        <f t="shared" si="14"/>
        <v>718577940.61000001</v>
      </c>
      <c r="CC70" s="45">
        <f t="shared" si="14"/>
        <v>1258879922.4500003</v>
      </c>
      <c r="CD70" s="45">
        <f t="shared" si="14"/>
        <v>694151416.42000008</v>
      </c>
      <c r="CE70" s="45">
        <f t="shared" si="14"/>
        <v>1037203000</v>
      </c>
      <c r="CF70" s="45">
        <f t="shared" si="14"/>
        <v>564216151.12</v>
      </c>
      <c r="CG70" s="45">
        <f t="shared" si="14"/>
        <v>795546945.86000001</v>
      </c>
      <c r="CH70" s="45">
        <f t="shared" si="14"/>
        <v>0</v>
      </c>
      <c r="CI70" s="45">
        <f t="shared" si="14"/>
        <v>66170000</v>
      </c>
      <c r="CJ70" s="45">
        <f t="shared" si="14"/>
        <v>0</v>
      </c>
      <c r="CK70" s="45">
        <f t="shared" si="14"/>
        <v>0</v>
      </c>
      <c r="CL70" s="45">
        <f t="shared" si="14"/>
        <v>0</v>
      </c>
    </row>
    <row r="71" spans="1:90">
      <c r="A71" s="2" t="s">
        <v>76</v>
      </c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0"/>
      <c r="M71" s="18"/>
      <c r="N71" s="18"/>
    </row>
    <row r="72" spans="1:90">
      <c r="A72" s="2" t="s">
        <v>77</v>
      </c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0"/>
      <c r="M72" s="18"/>
      <c r="N72" s="18"/>
    </row>
    <row r="73" spans="1:90">
      <c r="A73" s="4" t="s">
        <v>78</v>
      </c>
      <c r="B73" s="48">
        <v>39000000</v>
      </c>
      <c r="C73" s="48">
        <v>39000000</v>
      </c>
      <c r="D73" s="48">
        <v>39000000</v>
      </c>
      <c r="E73" s="48">
        <v>34500000</v>
      </c>
      <c r="F73" s="48">
        <v>34500000</v>
      </c>
      <c r="G73" s="48">
        <v>29500000</v>
      </c>
      <c r="H73" s="48">
        <v>29500000</v>
      </c>
      <c r="I73" s="48">
        <v>29500000</v>
      </c>
      <c r="J73" s="48">
        <v>39000000</v>
      </c>
      <c r="K73" s="48">
        <v>39000000</v>
      </c>
      <c r="L73" s="48">
        <v>43500000</v>
      </c>
      <c r="M73" s="48">
        <v>49917220</v>
      </c>
      <c r="N73" s="48">
        <v>51947150.439999998</v>
      </c>
      <c r="O73" s="48">
        <v>51758412.549999997</v>
      </c>
      <c r="P73" s="48">
        <v>166270000</v>
      </c>
      <c r="Q73" s="48">
        <v>162948000</v>
      </c>
      <c r="R73" s="48">
        <v>192516000</v>
      </c>
      <c r="S73" s="48">
        <v>188500000</v>
      </c>
      <c r="T73" s="48">
        <v>200650000</v>
      </c>
      <c r="U73" s="48">
        <v>190528397.47999999</v>
      </c>
      <c r="V73" s="48">
        <v>331500000</v>
      </c>
      <c r="W73" s="48">
        <v>321500000</v>
      </c>
      <c r="X73" s="48">
        <v>321500000</v>
      </c>
      <c r="Y73" s="48">
        <v>433381900</v>
      </c>
      <c r="Z73" s="48">
        <v>369910000</v>
      </c>
      <c r="AA73" s="48">
        <v>260400000</v>
      </c>
      <c r="AB73" s="48">
        <v>258340000</v>
      </c>
      <c r="AC73" s="48">
        <v>274645000</v>
      </c>
      <c r="AD73" s="48">
        <v>246500000</v>
      </c>
      <c r="AE73" s="48">
        <v>316500000</v>
      </c>
      <c r="AF73" s="48">
        <v>226500000</v>
      </c>
      <c r="AG73" s="48">
        <v>231084536</v>
      </c>
      <c r="AH73" s="48">
        <v>304500000</v>
      </c>
      <c r="AI73" s="48">
        <v>378500000</v>
      </c>
      <c r="AJ73" s="48">
        <v>408500000</v>
      </c>
      <c r="AK73" s="48">
        <v>440500000</v>
      </c>
      <c r="AL73" s="48">
        <v>610000000</v>
      </c>
      <c r="AM73" s="48">
        <v>276500000</v>
      </c>
      <c r="AN73" s="48">
        <v>331500000</v>
      </c>
      <c r="AO73" s="48">
        <v>350500000</v>
      </c>
      <c r="AP73" s="48">
        <v>323500000</v>
      </c>
      <c r="AQ73" s="48">
        <v>394555709</v>
      </c>
      <c r="AR73" s="48">
        <v>365500000</v>
      </c>
      <c r="AS73" s="48">
        <v>368715528</v>
      </c>
      <c r="AT73" s="48">
        <v>330500000</v>
      </c>
      <c r="AU73" s="48">
        <v>354000000</v>
      </c>
      <c r="AV73" s="48">
        <v>364475880</v>
      </c>
      <c r="AW73" s="48">
        <v>358275880</v>
      </c>
      <c r="AX73" s="48">
        <v>350000000</v>
      </c>
      <c r="AY73" s="48">
        <v>396000000</v>
      </c>
      <c r="AZ73" s="48">
        <v>505300000</v>
      </c>
      <c r="BA73" s="48">
        <v>540500000</v>
      </c>
      <c r="BB73" s="48">
        <v>547300000</v>
      </c>
      <c r="BC73" s="48">
        <v>588300000</v>
      </c>
      <c r="BD73" s="48">
        <v>675037000</v>
      </c>
      <c r="BE73" s="48">
        <v>633537000</v>
      </c>
      <c r="BF73" s="48">
        <v>616290000</v>
      </c>
      <c r="BG73" s="48">
        <v>719730000</v>
      </c>
      <c r="BH73" s="48">
        <v>765960000</v>
      </c>
      <c r="BI73" s="48">
        <v>781494800</v>
      </c>
      <c r="BJ73" s="48">
        <v>853264800</v>
      </c>
      <c r="BK73" s="48">
        <v>1298364800</v>
      </c>
      <c r="BL73" s="48">
        <v>1431067000</v>
      </c>
      <c r="BM73" s="48">
        <v>1337907000</v>
      </c>
      <c r="BN73" s="48">
        <v>1214207000</v>
      </c>
      <c r="BO73" s="48">
        <v>1176757000</v>
      </c>
      <c r="BP73" s="48">
        <v>1145757000</v>
      </c>
      <c r="BQ73" s="48">
        <v>1058617000</v>
      </c>
      <c r="BR73" s="48">
        <v>1018292000</v>
      </c>
      <c r="BS73" s="48">
        <v>867456630</v>
      </c>
      <c r="BT73" s="48">
        <v>891011400</v>
      </c>
      <c r="BU73" s="48">
        <v>834217990</v>
      </c>
      <c r="BV73" s="48">
        <v>727020320</v>
      </c>
      <c r="BW73" s="48">
        <v>709078840</v>
      </c>
      <c r="BX73" s="48">
        <v>602506560</v>
      </c>
      <c r="BY73" s="48">
        <v>634557000</v>
      </c>
      <c r="BZ73" s="48">
        <v>0</v>
      </c>
      <c r="CA73" s="48">
        <v>529874106</v>
      </c>
      <c r="CB73" s="48">
        <v>0</v>
      </c>
      <c r="CC73" s="48">
        <v>321795360</v>
      </c>
      <c r="CD73" s="48">
        <v>0</v>
      </c>
      <c r="CE73" s="48">
        <v>184694000</v>
      </c>
      <c r="CF73" s="48">
        <v>0</v>
      </c>
      <c r="CG73" s="48">
        <v>234825329.94</v>
      </c>
      <c r="CH73" s="48">
        <v>0</v>
      </c>
      <c r="CI73" s="48">
        <v>0</v>
      </c>
      <c r="CJ73" s="48">
        <v>0</v>
      </c>
      <c r="CK73" s="48">
        <v>0</v>
      </c>
      <c r="CL73" s="48">
        <v>0</v>
      </c>
    </row>
    <row r="74" spans="1:90">
      <c r="A74" s="4" t="s">
        <v>103</v>
      </c>
      <c r="B74" s="48">
        <v>0</v>
      </c>
      <c r="C74" s="48">
        <v>0</v>
      </c>
      <c r="D74" s="48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2219387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0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0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48">
        <v>0</v>
      </c>
      <c r="CB74" s="48">
        <v>0</v>
      </c>
      <c r="CC74" s="48">
        <v>0</v>
      </c>
      <c r="CD74" s="48">
        <v>0</v>
      </c>
      <c r="CE74" s="48">
        <v>0</v>
      </c>
      <c r="CF74" s="48">
        <v>0</v>
      </c>
      <c r="CG74" s="48">
        <v>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" t="s">
        <v>79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6281727</v>
      </c>
      <c r="AA75" s="48">
        <v>0</v>
      </c>
      <c r="AB75" s="48">
        <v>0</v>
      </c>
      <c r="AC75" s="48">
        <v>4466223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48">
        <v>0</v>
      </c>
      <c r="CB75" s="48">
        <v>0</v>
      </c>
      <c r="CC75" s="48">
        <v>0</v>
      </c>
      <c r="CD75" s="48">
        <v>0</v>
      </c>
      <c r="CE75" s="48">
        <v>0</v>
      </c>
      <c r="CF75" s="48">
        <v>0</v>
      </c>
      <c r="CG75" s="48">
        <v>0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" t="s">
        <v>80</v>
      </c>
      <c r="B76" s="48">
        <v>104185</v>
      </c>
      <c r="C76" s="48">
        <v>104185</v>
      </c>
      <c r="D76" s="48">
        <v>104185</v>
      </c>
      <c r="E76" s="48">
        <v>104185</v>
      </c>
      <c r="F76" s="48">
        <v>241589.37</v>
      </c>
      <c r="G76" s="48">
        <v>246038.04</v>
      </c>
      <c r="H76" s="48">
        <v>81140.570000000007</v>
      </c>
      <c r="I76" s="48">
        <v>104185</v>
      </c>
      <c r="J76" s="48">
        <v>9244185</v>
      </c>
      <c r="K76" s="48">
        <v>104185</v>
      </c>
      <c r="L76" s="48">
        <v>104185</v>
      </c>
      <c r="M76" s="48">
        <v>104185</v>
      </c>
      <c r="N76" s="48">
        <v>0</v>
      </c>
      <c r="O76" s="48">
        <v>10840442.460000001</v>
      </c>
      <c r="P76" s="48">
        <v>0</v>
      </c>
      <c r="Q76" s="48">
        <v>11304959.539999999</v>
      </c>
      <c r="R76" s="48">
        <v>1385062269</v>
      </c>
      <c r="S76" s="48">
        <v>1386829062.24</v>
      </c>
      <c r="T76" s="48">
        <v>1385055084</v>
      </c>
      <c r="U76" s="48">
        <v>1373832732.76</v>
      </c>
      <c r="V76" s="48">
        <v>4131456</v>
      </c>
      <c r="W76" s="48">
        <v>4146105.6</v>
      </c>
      <c r="X76" s="48">
        <v>0</v>
      </c>
      <c r="Y76" s="48">
        <v>1295718112</v>
      </c>
      <c r="Z76" s="48">
        <v>1109694023</v>
      </c>
      <c r="AA76" s="48">
        <v>50000000</v>
      </c>
      <c r="AB76" s="48">
        <v>50000000</v>
      </c>
      <c r="AC76" s="48">
        <v>53862451.700000003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5000000</v>
      </c>
      <c r="AJ76" s="48">
        <v>5000000</v>
      </c>
      <c r="AK76" s="48">
        <v>5000000</v>
      </c>
      <c r="AL76" s="48">
        <v>0</v>
      </c>
      <c r="AM76" s="48">
        <v>0</v>
      </c>
      <c r="AN76" s="48">
        <v>0</v>
      </c>
      <c r="AO76" s="48">
        <v>5000000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15000000</v>
      </c>
      <c r="AW76" s="48">
        <v>15000000</v>
      </c>
      <c r="AX76" s="48">
        <v>15000000</v>
      </c>
      <c r="AY76" s="48">
        <v>25000000</v>
      </c>
      <c r="AZ76" s="48">
        <v>30000000</v>
      </c>
      <c r="BA76" s="48">
        <v>30000000</v>
      </c>
      <c r="BB76" s="48">
        <v>10000000</v>
      </c>
      <c r="BC76" s="48">
        <v>31000000</v>
      </c>
      <c r="BD76" s="48">
        <v>6000000</v>
      </c>
      <c r="BE76" s="48">
        <v>6000000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5020000</v>
      </c>
      <c r="BO76" s="48">
        <v>5020000</v>
      </c>
      <c r="BP76" s="48">
        <v>10040000</v>
      </c>
      <c r="BQ76" s="48">
        <v>5020000</v>
      </c>
      <c r="BR76" s="48">
        <v>11420000</v>
      </c>
      <c r="BS76" s="48">
        <v>5020000</v>
      </c>
      <c r="BT76" s="48">
        <v>9940000</v>
      </c>
      <c r="BU76" s="48">
        <v>13140000</v>
      </c>
      <c r="BV76" s="48">
        <v>3458671.93</v>
      </c>
      <c r="BW76" s="48">
        <v>2150000</v>
      </c>
      <c r="BX76" s="48">
        <v>2000000</v>
      </c>
      <c r="BY76" s="48">
        <v>2000000</v>
      </c>
      <c r="BZ76" s="48">
        <v>0</v>
      </c>
      <c r="CA76" s="48">
        <v>0</v>
      </c>
      <c r="CB76" s="48">
        <v>0</v>
      </c>
      <c r="CC76" s="48">
        <v>100000</v>
      </c>
      <c r="CD76" s="48">
        <v>0</v>
      </c>
      <c r="CE76" s="48">
        <v>2100000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" t="s">
        <v>81</v>
      </c>
      <c r="B77" s="48">
        <v>0</v>
      </c>
      <c r="C77" s="48">
        <v>0</v>
      </c>
      <c r="D77" s="48">
        <v>0</v>
      </c>
      <c r="E77" s="48">
        <v>0</v>
      </c>
      <c r="F77" s="48">
        <v>0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 hidden="1">
      <c r="A78" s="4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0"/>
    </row>
    <row r="79" spans="1:90" hidden="1">
      <c r="A79" s="4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0"/>
    </row>
    <row r="80" spans="1:90" hidden="1">
      <c r="A80" s="4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0"/>
    </row>
    <row r="81" spans="1:90">
      <c r="A81" s="2" t="s">
        <v>82</v>
      </c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0"/>
      <c r="M81" s="18"/>
      <c r="N81" s="18"/>
    </row>
    <row r="82" spans="1:90">
      <c r="A82" s="4" t="s">
        <v>83</v>
      </c>
      <c r="B82" s="48">
        <v>0</v>
      </c>
      <c r="C82" s="48">
        <v>143000</v>
      </c>
      <c r="D82" s="48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42239624.340000004</v>
      </c>
      <c r="P82" s="48">
        <v>1435909344.8</v>
      </c>
      <c r="Q82" s="48">
        <v>1416282497.4000001</v>
      </c>
      <c r="R82" s="48">
        <v>55674211.799999997</v>
      </c>
      <c r="S82" s="48">
        <v>48366168.219999999</v>
      </c>
      <c r="T82" s="48">
        <v>46679317</v>
      </c>
      <c r="U82" s="48">
        <v>45068319.740000002</v>
      </c>
      <c r="V82" s="48">
        <v>1427719300</v>
      </c>
      <c r="W82" s="48">
        <v>1434737631.5999999</v>
      </c>
      <c r="X82" s="48">
        <v>1461995244.5999999</v>
      </c>
      <c r="Y82" s="48">
        <v>1462792987.5</v>
      </c>
      <c r="Z82" s="48">
        <v>190210977</v>
      </c>
      <c r="AA82" s="48">
        <v>0</v>
      </c>
      <c r="AB82" s="48">
        <v>0</v>
      </c>
      <c r="AC82" s="48">
        <v>1482841204.2</v>
      </c>
      <c r="AD82" s="48">
        <v>50000000</v>
      </c>
      <c r="AE82" s="48">
        <v>50000000</v>
      </c>
      <c r="AF82" s="48">
        <v>50000000</v>
      </c>
      <c r="AG82" s="48">
        <v>50000000</v>
      </c>
      <c r="AH82" s="48">
        <v>50000000</v>
      </c>
      <c r="AI82" s="48">
        <v>50000000</v>
      </c>
      <c r="AJ82" s="48">
        <v>160051234.65000001</v>
      </c>
      <c r="AK82" s="48">
        <v>160053922.36000001</v>
      </c>
      <c r="AL82" s="48">
        <v>5066161.46</v>
      </c>
      <c r="AM82" s="48">
        <v>5068023.79</v>
      </c>
      <c r="AN82" s="48">
        <v>5059065.22</v>
      </c>
      <c r="AO82" s="48">
        <v>5081364.59</v>
      </c>
      <c r="AP82" s="48">
        <v>10111946</v>
      </c>
      <c r="AQ82" s="48">
        <v>10133585.32</v>
      </c>
      <c r="AR82" s="48">
        <v>10172046.130000001</v>
      </c>
      <c r="AS82" s="48">
        <v>10236812.93</v>
      </c>
      <c r="AT82" s="48">
        <v>10256864.68</v>
      </c>
      <c r="AU82" s="48">
        <v>10269543.289999999</v>
      </c>
      <c r="AV82" s="48">
        <v>10309204.76</v>
      </c>
      <c r="AW82" s="48">
        <v>10332375.48</v>
      </c>
      <c r="AX82" s="48">
        <v>10339610.119999999</v>
      </c>
      <c r="AY82" s="48">
        <v>10399623.810000001</v>
      </c>
      <c r="AZ82" s="48">
        <v>25491637.18</v>
      </c>
      <c r="BA82" s="48">
        <v>25528759.670000002</v>
      </c>
      <c r="BB82" s="48">
        <v>45000000</v>
      </c>
      <c r="BC82" s="48">
        <v>34000000</v>
      </c>
      <c r="BD82" s="48">
        <v>64000000</v>
      </c>
      <c r="BE82" s="48">
        <v>64000000</v>
      </c>
      <c r="BF82" s="48">
        <v>39000000</v>
      </c>
      <c r="BG82" s="48">
        <v>39000000</v>
      </c>
      <c r="BH82" s="48">
        <v>59000000</v>
      </c>
      <c r="BI82" s="48">
        <v>59000000</v>
      </c>
      <c r="BJ82" s="48">
        <v>78250000</v>
      </c>
      <c r="BK82" s="48">
        <v>59250000</v>
      </c>
      <c r="BL82" s="48">
        <v>43250000</v>
      </c>
      <c r="BM82" s="48">
        <v>43250000</v>
      </c>
      <c r="BN82" s="48">
        <v>49638110.170000002</v>
      </c>
      <c r="BO82" s="48">
        <v>49638110.170000002</v>
      </c>
      <c r="BP82" s="48">
        <v>18776220.34</v>
      </c>
      <c r="BQ82" s="48">
        <v>3888110.17</v>
      </c>
      <c r="BR82" s="48">
        <v>5508110.1699999999</v>
      </c>
      <c r="BS82" s="48">
        <v>3888110.17</v>
      </c>
      <c r="BT82" s="48">
        <v>11543110.17</v>
      </c>
      <c r="BU82" s="48">
        <v>11543110.17</v>
      </c>
      <c r="BV82" s="48">
        <v>11369970.67</v>
      </c>
      <c r="BW82" s="48">
        <v>13294970.67</v>
      </c>
      <c r="BX82" s="48">
        <v>657800</v>
      </c>
      <c r="BY82" s="48">
        <v>2392800</v>
      </c>
      <c r="BZ82" s="48">
        <v>0</v>
      </c>
      <c r="CA82" s="48">
        <v>3076400</v>
      </c>
      <c r="CB82" s="48">
        <v>0</v>
      </c>
      <c r="CC82" s="48">
        <v>4410000</v>
      </c>
      <c r="CD82" s="48">
        <v>0</v>
      </c>
      <c r="CE82" s="48">
        <v>4410000</v>
      </c>
      <c r="CF82" s="48">
        <v>0</v>
      </c>
      <c r="CG82" s="48">
        <v>45851731</v>
      </c>
      <c r="CH82" s="48">
        <v>0</v>
      </c>
      <c r="CI82" s="48">
        <v>0</v>
      </c>
      <c r="CJ82" s="48">
        <v>0</v>
      </c>
      <c r="CK82" s="48">
        <v>0</v>
      </c>
      <c r="CL82" s="48">
        <v>0</v>
      </c>
    </row>
    <row r="83" spans="1:90">
      <c r="A83" s="4" t="s">
        <v>84</v>
      </c>
      <c r="B83" s="48">
        <v>0</v>
      </c>
      <c r="C83" s="48">
        <v>0</v>
      </c>
      <c r="D83" s="48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0</v>
      </c>
      <c r="BJ83" s="48">
        <v>0</v>
      </c>
      <c r="BK83" s="48">
        <v>0</v>
      </c>
      <c r="BL83" s="48">
        <v>0</v>
      </c>
      <c r="BM83" s="48">
        <v>0</v>
      </c>
      <c r="BN83" s="48">
        <v>0</v>
      </c>
      <c r="BO83" s="48">
        <v>0</v>
      </c>
      <c r="BP83" s="48">
        <v>0</v>
      </c>
      <c r="BQ83" s="48">
        <v>0</v>
      </c>
      <c r="BR83" s="48">
        <v>0</v>
      </c>
      <c r="BS83" s="48">
        <v>0</v>
      </c>
      <c r="BT83" s="48">
        <v>0</v>
      </c>
      <c r="BU83" s="48">
        <v>0</v>
      </c>
      <c r="BV83" s="48">
        <v>0</v>
      </c>
      <c r="BW83" s="48">
        <v>0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0</v>
      </c>
      <c r="CE83" s="48">
        <v>0</v>
      </c>
      <c r="CF83" s="48">
        <v>0</v>
      </c>
      <c r="CG83" s="48">
        <v>0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" t="s">
        <v>85</v>
      </c>
      <c r="B84" s="48">
        <v>143000</v>
      </c>
      <c r="C84" s="48">
        <v>0</v>
      </c>
      <c r="D84" s="48">
        <v>892406.14</v>
      </c>
      <c r="E84" s="48">
        <v>892406.16</v>
      </c>
      <c r="F84" s="48">
        <v>143000</v>
      </c>
      <c r="G84" s="48">
        <v>143000</v>
      </c>
      <c r="H84" s="48">
        <v>143000</v>
      </c>
      <c r="I84" s="48">
        <v>143000</v>
      </c>
      <c r="J84" s="48">
        <v>143000</v>
      </c>
      <c r="K84" s="48">
        <v>147635.48000000001</v>
      </c>
      <c r="L84" s="48">
        <v>285058.53000000003</v>
      </c>
      <c r="M84" s="48">
        <v>143000</v>
      </c>
      <c r="N84" s="48">
        <v>693236.91</v>
      </c>
      <c r="O84" s="48">
        <v>392545.04</v>
      </c>
      <c r="P84" s="48">
        <v>197889.82</v>
      </c>
      <c r="Q84" s="48">
        <v>143000</v>
      </c>
      <c r="R84" s="48">
        <v>562704.63</v>
      </c>
      <c r="S84" s="48">
        <v>476676.41</v>
      </c>
      <c r="T84" s="48">
        <v>173276.71</v>
      </c>
      <c r="U84" s="48">
        <v>143000</v>
      </c>
      <c r="V84" s="48">
        <v>524388.35</v>
      </c>
      <c r="W84" s="48">
        <v>397282.14</v>
      </c>
      <c r="X84" s="48">
        <v>191314.89</v>
      </c>
      <c r="Y84" s="48">
        <v>143000</v>
      </c>
      <c r="Z84" s="48">
        <v>143000</v>
      </c>
      <c r="AA84" s="48">
        <v>143000</v>
      </c>
      <c r="AB84" s="48">
        <v>143000</v>
      </c>
      <c r="AC84" s="48">
        <v>143000</v>
      </c>
      <c r="AD84" s="48">
        <v>1753920.89</v>
      </c>
      <c r="AE84" s="48">
        <v>1753920.89</v>
      </c>
      <c r="AF84" s="48">
        <v>1753920.89</v>
      </c>
      <c r="AG84" s="48">
        <v>1753920.89</v>
      </c>
      <c r="AH84" s="48">
        <v>1753920.89</v>
      </c>
      <c r="AI84" s="48">
        <v>1753920.89</v>
      </c>
      <c r="AJ84" s="48">
        <v>1753920.89</v>
      </c>
      <c r="AK84" s="48">
        <v>1753920.89</v>
      </c>
      <c r="AL84" s="48">
        <v>1753920.89</v>
      </c>
      <c r="AM84" s="48">
        <v>1753920.89</v>
      </c>
      <c r="AN84" s="48">
        <v>1753920.89</v>
      </c>
      <c r="AO84" s="48">
        <v>1753920.89</v>
      </c>
      <c r="AP84" s="48">
        <v>1753920.89</v>
      </c>
      <c r="AQ84" s="48">
        <v>1753920.89</v>
      </c>
      <c r="AR84" s="48">
        <v>1753920.89</v>
      </c>
      <c r="AS84" s="48">
        <v>1753920.89</v>
      </c>
      <c r="AT84" s="48">
        <v>1753920.89</v>
      </c>
      <c r="AU84" s="48">
        <v>1753920.89</v>
      </c>
      <c r="AV84" s="48">
        <v>1753920.89</v>
      </c>
      <c r="AW84" s="48">
        <v>1753920.89</v>
      </c>
      <c r="AX84" s="48">
        <v>60275051.700000003</v>
      </c>
      <c r="AY84" s="48">
        <v>61994914.93</v>
      </c>
      <c r="AZ84" s="48">
        <v>6569509.0199999996</v>
      </c>
      <c r="BA84" s="48">
        <v>20703600.969999999</v>
      </c>
      <c r="BB84" s="48">
        <v>6843307.2699999996</v>
      </c>
      <c r="BC84" s="48">
        <v>6128372.75</v>
      </c>
      <c r="BD84" s="48">
        <v>5736905.1500000004</v>
      </c>
      <c r="BE84" s="48">
        <v>6569905.1500000004</v>
      </c>
      <c r="BF84" s="48">
        <v>9741007.2699999996</v>
      </c>
      <c r="BG84" s="48">
        <v>9620507.2699999996</v>
      </c>
      <c r="BH84" s="48">
        <v>9980507.2699999996</v>
      </c>
      <c r="BI84" s="48">
        <v>10056710.560000001</v>
      </c>
      <c r="BJ84" s="48">
        <v>9592440.0199999996</v>
      </c>
      <c r="BK84" s="48">
        <v>9591378.0199999996</v>
      </c>
      <c r="BL84" s="48">
        <v>10125118.140000001</v>
      </c>
      <c r="BM84" s="48">
        <v>10092793.359999999</v>
      </c>
      <c r="BN84" s="48">
        <v>2412974.15</v>
      </c>
      <c r="BO84" s="48">
        <v>2413774.15</v>
      </c>
      <c r="BP84" s="48">
        <v>2353908.9500000002</v>
      </c>
      <c r="BQ84" s="48">
        <v>2357708.9500000002</v>
      </c>
      <c r="BR84" s="48">
        <v>10427035</v>
      </c>
      <c r="BS84" s="48">
        <v>11503864.26</v>
      </c>
      <c r="BT84" s="48">
        <v>10037035</v>
      </c>
      <c r="BU84" s="48">
        <v>10037035</v>
      </c>
      <c r="BV84" s="48">
        <v>10037035</v>
      </c>
      <c r="BW84" s="48">
        <v>10037035</v>
      </c>
      <c r="BX84" s="48">
        <v>10037035</v>
      </c>
      <c r="BY84" s="48">
        <v>10037035</v>
      </c>
      <c r="BZ84" s="48">
        <v>0</v>
      </c>
      <c r="CA84" s="48">
        <v>10037035</v>
      </c>
      <c r="CB84" s="48">
        <v>0</v>
      </c>
      <c r="CC84" s="48">
        <v>10037035</v>
      </c>
      <c r="CD84" s="48">
        <v>0</v>
      </c>
      <c r="CE84" s="48">
        <v>0</v>
      </c>
      <c r="CF84" s="48">
        <v>0</v>
      </c>
      <c r="CG84" s="48">
        <v>9683363.3699999992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" t="s">
        <v>109</v>
      </c>
      <c r="B85" s="48">
        <v>0</v>
      </c>
      <c r="C85" s="48">
        <v>0</v>
      </c>
      <c r="D85" s="48">
        <v>0</v>
      </c>
      <c r="E85" s="48">
        <v>0</v>
      </c>
      <c r="F85" s="48">
        <v>1223071.97</v>
      </c>
      <c r="G85" s="48">
        <v>1223071.97</v>
      </c>
      <c r="H85" s="48">
        <v>1396766.99</v>
      </c>
      <c r="I85" s="48">
        <v>1645900.19</v>
      </c>
      <c r="J85" s="48">
        <v>1280744.1299999999</v>
      </c>
      <c r="K85" s="48">
        <v>1280744.1100000001</v>
      </c>
      <c r="L85" s="48">
        <v>1165704.7</v>
      </c>
      <c r="M85" s="48">
        <v>1165704.6599999999</v>
      </c>
      <c r="N85" s="48">
        <v>124336.65</v>
      </c>
      <c r="O85" s="48">
        <v>9746385</v>
      </c>
      <c r="P85" s="48">
        <v>30760912.850000001</v>
      </c>
      <c r="Q85" s="48">
        <v>11929625</v>
      </c>
      <c r="R85" s="48">
        <v>115465195.89</v>
      </c>
      <c r="S85" s="48">
        <v>128488624.03</v>
      </c>
      <c r="T85" s="48">
        <v>133373494.23</v>
      </c>
      <c r="U85" s="48">
        <v>136726125.74000001</v>
      </c>
      <c r="V85" s="48">
        <v>304428001.45999998</v>
      </c>
      <c r="W85" s="48">
        <v>308638023.68000001</v>
      </c>
      <c r="X85" s="48">
        <v>348748892.81</v>
      </c>
      <c r="Y85" s="48">
        <v>370263167.26999998</v>
      </c>
      <c r="Z85" s="48">
        <v>498699481.50999999</v>
      </c>
      <c r="AA85" s="48">
        <v>5765650</v>
      </c>
      <c r="AB85" s="48">
        <v>5765650</v>
      </c>
      <c r="AC85" s="48">
        <v>43265572.689999998</v>
      </c>
      <c r="AD85" s="48">
        <v>17498983.329999998</v>
      </c>
      <c r="AE85" s="48">
        <v>17498983.329999998</v>
      </c>
      <c r="AF85" s="48">
        <v>17498983.329999998</v>
      </c>
      <c r="AG85" s="48">
        <v>17548983.329999998</v>
      </c>
      <c r="AH85" s="48">
        <v>16346050</v>
      </c>
      <c r="AI85" s="48">
        <v>17466050</v>
      </c>
      <c r="AJ85" s="48">
        <v>18115650</v>
      </c>
      <c r="AK85" s="48">
        <v>10115650</v>
      </c>
      <c r="AL85" s="48">
        <v>12940816.34</v>
      </c>
      <c r="AM85" s="48">
        <v>3500000</v>
      </c>
      <c r="AN85" s="48">
        <v>3700940</v>
      </c>
      <c r="AO85" s="48">
        <v>3010940</v>
      </c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>
        <v>0</v>
      </c>
      <c r="AW85" s="48">
        <v>0</v>
      </c>
      <c r="AX85" s="48">
        <v>0</v>
      </c>
      <c r="AY85" s="48">
        <v>0</v>
      </c>
      <c r="AZ85" s="48">
        <v>0</v>
      </c>
      <c r="BA85" s="48">
        <v>0</v>
      </c>
      <c r="BB85" s="48">
        <v>0</v>
      </c>
      <c r="BC85" s="48">
        <v>0</v>
      </c>
      <c r="BD85" s="48">
        <v>0</v>
      </c>
      <c r="BE85" s="48">
        <v>0</v>
      </c>
      <c r="BF85" s="48">
        <v>0</v>
      </c>
      <c r="BG85" s="48">
        <v>0</v>
      </c>
      <c r="BH85" s="48">
        <v>0</v>
      </c>
      <c r="BI85" s="48">
        <v>0</v>
      </c>
      <c r="BJ85" s="48">
        <v>0</v>
      </c>
      <c r="BK85" s="48">
        <v>0</v>
      </c>
      <c r="BL85" s="48">
        <v>0</v>
      </c>
      <c r="BM85" s="48">
        <v>0</v>
      </c>
      <c r="BN85" s="48">
        <v>0</v>
      </c>
      <c r="BO85" s="48">
        <v>0</v>
      </c>
      <c r="BP85" s="48">
        <v>0</v>
      </c>
      <c r="BQ85" s="48">
        <v>0</v>
      </c>
      <c r="BR85" s="48">
        <v>1055171.3600000001</v>
      </c>
      <c r="BS85" s="48">
        <v>-30079893.239999998</v>
      </c>
      <c r="BT85" s="48">
        <v>1099891.96</v>
      </c>
      <c r="BU85" s="48">
        <v>1099891.96</v>
      </c>
      <c r="BV85" s="48">
        <v>0</v>
      </c>
      <c r="BW85" s="48">
        <v>0</v>
      </c>
      <c r="BX85" s="48">
        <v>0</v>
      </c>
      <c r="BY85" s="48">
        <v>-4451806.22</v>
      </c>
      <c r="BZ85" s="48">
        <v>0</v>
      </c>
      <c r="CA85" s="48">
        <v>-4175163.53</v>
      </c>
      <c r="CB85" s="48">
        <v>0</v>
      </c>
      <c r="CC85" s="48">
        <v>-4244677.6399999997</v>
      </c>
      <c r="CD85" s="48">
        <v>0</v>
      </c>
      <c r="CE85" s="48">
        <v>0</v>
      </c>
      <c r="CF85" s="48">
        <v>0</v>
      </c>
      <c r="CG85" s="48">
        <v>0</v>
      </c>
      <c r="CH85" s="48">
        <v>0</v>
      </c>
      <c r="CI85" s="48">
        <v>0</v>
      </c>
      <c r="CJ85" s="48">
        <v>0</v>
      </c>
      <c r="CK85" s="48">
        <v>0</v>
      </c>
      <c r="CL85" s="48">
        <v>0</v>
      </c>
    </row>
    <row r="86" spans="1:90" hidden="1">
      <c r="A86" s="4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0"/>
    </row>
    <row r="87" spans="1:90" hidden="1">
      <c r="A87" s="4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0"/>
    </row>
    <row r="88" spans="1:90" hidden="1">
      <c r="A88" s="4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0"/>
    </row>
    <row r="89" spans="1:90" s="6" customFormat="1">
      <c r="A89" s="8" t="s">
        <v>86</v>
      </c>
      <c r="B89" s="41">
        <f>SUM(B73:B85)</f>
        <v>39247185</v>
      </c>
      <c r="C89" s="41">
        <f t="shared" ref="C89:BN89" si="15">SUM(C73:C85)</f>
        <v>39247185</v>
      </c>
      <c r="D89" s="41">
        <f t="shared" si="15"/>
        <v>39996591.140000001</v>
      </c>
      <c r="E89" s="41">
        <f t="shared" si="15"/>
        <v>35496591.159999996</v>
      </c>
      <c r="F89" s="41">
        <f t="shared" si="15"/>
        <v>36107661.339999996</v>
      </c>
      <c r="G89" s="41">
        <f t="shared" si="15"/>
        <v>31112110.009999998</v>
      </c>
      <c r="H89" s="41">
        <f t="shared" si="15"/>
        <v>31120907.559999999</v>
      </c>
      <c r="I89" s="41">
        <f t="shared" si="15"/>
        <v>31393085.190000001</v>
      </c>
      <c r="J89" s="41">
        <f t="shared" si="15"/>
        <v>49667929.130000003</v>
      </c>
      <c r="K89" s="41">
        <f t="shared" si="15"/>
        <v>40532564.589999996</v>
      </c>
      <c r="L89" s="41">
        <f t="shared" si="15"/>
        <v>45054948.230000004</v>
      </c>
      <c r="M89" s="41">
        <f t="shared" si="15"/>
        <v>51330109.659999996</v>
      </c>
      <c r="N89" s="41">
        <f t="shared" si="15"/>
        <v>52764723.999999993</v>
      </c>
      <c r="O89" s="41">
        <f t="shared" si="15"/>
        <v>114977409.39</v>
      </c>
      <c r="P89" s="41">
        <f t="shared" si="15"/>
        <v>1633138147.4699998</v>
      </c>
      <c r="Q89" s="41">
        <f t="shared" si="15"/>
        <v>1602608081.9400001</v>
      </c>
      <c r="R89" s="41">
        <f t="shared" si="15"/>
        <v>1749280381.3200002</v>
      </c>
      <c r="S89" s="41">
        <f t="shared" si="15"/>
        <v>1752660530.9000001</v>
      </c>
      <c r="T89" s="41">
        <f t="shared" si="15"/>
        <v>1765931171.9400001</v>
      </c>
      <c r="U89" s="41">
        <f t="shared" si="15"/>
        <v>1746298575.72</v>
      </c>
      <c r="V89" s="41">
        <f t="shared" si="15"/>
        <v>2068303145.8099999</v>
      </c>
      <c r="W89" s="41">
        <f t="shared" si="15"/>
        <v>2069419043.02</v>
      </c>
      <c r="X89" s="41">
        <f t="shared" si="15"/>
        <v>2132435452.3</v>
      </c>
      <c r="Y89" s="41">
        <f t="shared" si="15"/>
        <v>3562299166.77</v>
      </c>
      <c r="Z89" s="41">
        <f t="shared" si="15"/>
        <v>2174939208.5100002</v>
      </c>
      <c r="AA89" s="41">
        <f t="shared" si="15"/>
        <v>316308650</v>
      </c>
      <c r="AB89" s="41">
        <f t="shared" si="15"/>
        <v>314248650</v>
      </c>
      <c r="AC89" s="41">
        <f t="shared" si="15"/>
        <v>1859223451.5900002</v>
      </c>
      <c r="AD89" s="41">
        <f t="shared" si="15"/>
        <v>315752904.21999997</v>
      </c>
      <c r="AE89" s="41">
        <f t="shared" si="15"/>
        <v>385752904.21999997</v>
      </c>
      <c r="AF89" s="41">
        <f t="shared" si="15"/>
        <v>295752904.21999997</v>
      </c>
      <c r="AG89" s="41">
        <f t="shared" si="15"/>
        <v>300387440.21999997</v>
      </c>
      <c r="AH89" s="41">
        <f t="shared" si="15"/>
        <v>374819357.88999999</v>
      </c>
      <c r="AI89" s="41">
        <f t="shared" si="15"/>
        <v>452719970.88999999</v>
      </c>
      <c r="AJ89" s="41">
        <f t="shared" si="15"/>
        <v>593420805.53999996</v>
      </c>
      <c r="AK89" s="41">
        <f t="shared" si="15"/>
        <v>617423493.25</v>
      </c>
      <c r="AL89" s="41">
        <f t="shared" si="15"/>
        <v>629760898.69000006</v>
      </c>
      <c r="AM89" s="41">
        <f t="shared" si="15"/>
        <v>286821944.68000001</v>
      </c>
      <c r="AN89" s="41">
        <f t="shared" si="15"/>
        <v>342013926.11000001</v>
      </c>
      <c r="AO89" s="41">
        <f t="shared" si="15"/>
        <v>365346225.47999996</v>
      </c>
      <c r="AP89" s="41">
        <f t="shared" si="15"/>
        <v>335365866.88999999</v>
      </c>
      <c r="AQ89" s="41">
        <f t="shared" si="15"/>
        <v>406443215.20999998</v>
      </c>
      <c r="AR89" s="41">
        <f t="shared" si="15"/>
        <v>377425967.01999998</v>
      </c>
      <c r="AS89" s="41">
        <f t="shared" si="15"/>
        <v>380706261.81999999</v>
      </c>
      <c r="AT89" s="41">
        <f t="shared" si="15"/>
        <v>342510785.56999999</v>
      </c>
      <c r="AU89" s="41">
        <f t="shared" si="15"/>
        <v>366023464.18000001</v>
      </c>
      <c r="AV89" s="41">
        <f t="shared" si="15"/>
        <v>391539005.64999998</v>
      </c>
      <c r="AW89" s="41">
        <f t="shared" si="15"/>
        <v>385362176.37</v>
      </c>
      <c r="AX89" s="41">
        <f t="shared" si="15"/>
        <v>435614661.81999999</v>
      </c>
      <c r="AY89" s="41">
        <f t="shared" si="15"/>
        <v>493394538.74000001</v>
      </c>
      <c r="AZ89" s="41">
        <f t="shared" si="15"/>
        <v>567361146.19999993</v>
      </c>
      <c r="BA89" s="41">
        <f t="shared" si="15"/>
        <v>616732360.63999999</v>
      </c>
      <c r="BB89" s="41">
        <f t="shared" si="15"/>
        <v>609143307.26999998</v>
      </c>
      <c r="BC89" s="41">
        <f t="shared" si="15"/>
        <v>659428372.75</v>
      </c>
      <c r="BD89" s="41">
        <f t="shared" si="15"/>
        <v>750773905.14999998</v>
      </c>
      <c r="BE89" s="41">
        <f t="shared" si="15"/>
        <v>710106905.14999998</v>
      </c>
      <c r="BF89" s="41">
        <f t="shared" si="15"/>
        <v>665031007.26999998</v>
      </c>
      <c r="BG89" s="41">
        <f t="shared" si="15"/>
        <v>768350507.26999998</v>
      </c>
      <c r="BH89" s="41">
        <f t="shared" si="15"/>
        <v>834940507.26999998</v>
      </c>
      <c r="BI89" s="41">
        <f t="shared" si="15"/>
        <v>850551510.55999994</v>
      </c>
      <c r="BJ89" s="41">
        <f t="shared" si="15"/>
        <v>941107240.01999998</v>
      </c>
      <c r="BK89" s="41">
        <f t="shared" si="15"/>
        <v>1367206178.02</v>
      </c>
      <c r="BL89" s="41">
        <f t="shared" si="15"/>
        <v>1484442118.1400001</v>
      </c>
      <c r="BM89" s="41">
        <f t="shared" si="15"/>
        <v>1391249793.3599999</v>
      </c>
      <c r="BN89" s="41">
        <f t="shared" si="15"/>
        <v>1271278084.3200002</v>
      </c>
      <c r="BO89" s="41">
        <f t="shared" ref="BO89:CK89" si="16">SUM(BO73:BO85)</f>
        <v>1233828884.3200002</v>
      </c>
      <c r="BP89" s="41">
        <f t="shared" si="16"/>
        <v>1176927129.29</v>
      </c>
      <c r="BQ89" s="41">
        <f t="shared" si="16"/>
        <v>1069882819.12</v>
      </c>
      <c r="BR89" s="41">
        <f t="shared" si="16"/>
        <v>1046702316.53</v>
      </c>
      <c r="BS89" s="41">
        <f t="shared" si="16"/>
        <v>857788711.18999994</v>
      </c>
      <c r="BT89" s="41">
        <f t="shared" si="16"/>
        <v>923631437.13</v>
      </c>
      <c r="BU89" s="41">
        <f t="shared" si="16"/>
        <v>870038027.13</v>
      </c>
      <c r="BV89" s="41">
        <f t="shared" si="16"/>
        <v>751885997.5999999</v>
      </c>
      <c r="BW89" s="41">
        <f t="shared" si="16"/>
        <v>734560845.66999996</v>
      </c>
      <c r="BX89" s="41">
        <f t="shared" si="16"/>
        <v>615201395</v>
      </c>
      <c r="BY89" s="41">
        <f t="shared" si="16"/>
        <v>644535028.77999997</v>
      </c>
      <c r="BZ89" s="41">
        <f t="shared" si="16"/>
        <v>0</v>
      </c>
      <c r="CA89" s="41">
        <f t="shared" si="16"/>
        <v>538812377.47000003</v>
      </c>
      <c r="CB89" s="41">
        <f t="shared" si="16"/>
        <v>0</v>
      </c>
      <c r="CC89" s="41">
        <f t="shared" si="16"/>
        <v>332097717.36000001</v>
      </c>
      <c r="CD89" s="41">
        <f t="shared" si="16"/>
        <v>0</v>
      </c>
      <c r="CE89" s="41">
        <f t="shared" si="16"/>
        <v>191204000</v>
      </c>
      <c r="CF89" s="41">
        <f t="shared" si="16"/>
        <v>0</v>
      </c>
      <c r="CG89" s="41">
        <f t="shared" si="16"/>
        <v>290360424.31</v>
      </c>
      <c r="CH89" s="41">
        <f t="shared" si="16"/>
        <v>0</v>
      </c>
      <c r="CI89" s="41">
        <f t="shared" si="16"/>
        <v>0</v>
      </c>
      <c r="CJ89" s="41">
        <f t="shared" si="16"/>
        <v>0</v>
      </c>
      <c r="CK89" s="41">
        <f t="shared" si="16"/>
        <v>0</v>
      </c>
    </row>
    <row r="90" spans="1:90">
      <c r="A90" s="2" t="s">
        <v>87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0"/>
      <c r="M90" s="18"/>
      <c r="N90" s="18"/>
    </row>
    <row r="91" spans="1:90">
      <c r="A91" s="4" t="s">
        <v>88</v>
      </c>
      <c r="B91" s="48">
        <v>1022739308</v>
      </c>
      <c r="C91" s="48">
        <v>1022739308</v>
      </c>
      <c r="D91" s="48">
        <v>1022739308</v>
      </c>
      <c r="E91" s="48">
        <v>1022739308</v>
      </c>
      <c r="F91" s="48">
        <v>1022739308</v>
      </c>
      <c r="G91" s="48">
        <v>1022739308</v>
      </c>
      <c r="H91" s="48">
        <v>1022739308</v>
      </c>
      <c r="I91" s="48">
        <v>1022739308</v>
      </c>
      <c r="J91" s="48">
        <v>1022739308</v>
      </c>
      <c r="K91" s="48">
        <v>1022739308</v>
      </c>
      <c r="L91" s="48">
        <v>1022739308</v>
      </c>
      <c r="M91" s="48">
        <v>1022739308</v>
      </c>
      <c r="N91" s="48">
        <v>1022739308</v>
      </c>
      <c r="O91" s="48">
        <v>1022739308</v>
      </c>
      <c r="P91" s="48">
        <v>1022739308</v>
      </c>
      <c r="Q91" s="48">
        <v>1022739308</v>
      </c>
      <c r="R91" s="48">
        <v>1022739308</v>
      </c>
      <c r="S91" s="48">
        <v>1022739308</v>
      </c>
      <c r="T91" s="48">
        <v>1022739308</v>
      </c>
      <c r="U91" s="48">
        <v>1022739308</v>
      </c>
      <c r="V91" s="48">
        <v>1022739308</v>
      </c>
      <c r="W91" s="48">
        <v>1022739308</v>
      </c>
      <c r="X91" s="48">
        <v>1022739308</v>
      </c>
      <c r="Y91" s="48">
        <v>1022739308</v>
      </c>
      <c r="Z91" s="48">
        <v>1022739308</v>
      </c>
      <c r="AA91" s="48">
        <v>1022739308</v>
      </c>
      <c r="AB91" s="48">
        <v>1022739308</v>
      </c>
      <c r="AC91" s="48">
        <v>1022739308</v>
      </c>
      <c r="AD91" s="48">
        <v>1022739308</v>
      </c>
      <c r="AE91" s="48">
        <v>1022739308</v>
      </c>
      <c r="AF91" s="48">
        <v>1022739308</v>
      </c>
      <c r="AG91" s="48">
        <v>1022739308</v>
      </c>
      <c r="AH91" s="48">
        <v>1022739308</v>
      </c>
      <c r="AI91" s="48">
        <v>1022739308</v>
      </c>
      <c r="AJ91" s="48">
        <v>1022739308</v>
      </c>
      <c r="AK91" s="48">
        <v>1022739308</v>
      </c>
      <c r="AL91" s="48">
        <v>1022739308</v>
      </c>
      <c r="AM91" s="48">
        <v>1022739308</v>
      </c>
      <c r="AN91" s="48">
        <v>1022739308</v>
      </c>
      <c r="AO91" s="48">
        <v>1022739308</v>
      </c>
      <c r="AP91" s="48">
        <v>1022739308</v>
      </c>
      <c r="AQ91" s="48">
        <v>852282757</v>
      </c>
      <c r="AR91" s="48">
        <v>852282757</v>
      </c>
      <c r="AS91" s="48">
        <v>852282757</v>
      </c>
      <c r="AT91" s="48">
        <v>852282757</v>
      </c>
      <c r="AU91" s="48">
        <v>852282757</v>
      </c>
      <c r="AV91" s="48">
        <v>852282757</v>
      </c>
      <c r="AW91" s="48">
        <v>852282757</v>
      </c>
      <c r="AX91" s="48">
        <v>852282757</v>
      </c>
      <c r="AY91" s="48">
        <v>852282757</v>
      </c>
      <c r="AZ91" s="48">
        <v>852282757</v>
      </c>
      <c r="BA91" s="48">
        <v>852282757</v>
      </c>
      <c r="BB91" s="48">
        <v>852282757</v>
      </c>
      <c r="BC91" s="48">
        <v>852282757</v>
      </c>
      <c r="BD91" s="48">
        <v>852282757</v>
      </c>
      <c r="BE91" s="48">
        <v>852282757</v>
      </c>
      <c r="BF91" s="48">
        <v>852282757</v>
      </c>
      <c r="BG91" s="48">
        <v>710235631</v>
      </c>
      <c r="BH91" s="48">
        <v>710235631</v>
      </c>
      <c r="BI91" s="48">
        <v>710235631</v>
      </c>
      <c r="BJ91" s="48">
        <v>710235631</v>
      </c>
      <c r="BK91" s="48">
        <v>710235631</v>
      </c>
      <c r="BL91" s="48">
        <v>591863026</v>
      </c>
      <c r="BM91" s="48">
        <v>591863026</v>
      </c>
      <c r="BN91" s="48">
        <v>591863026</v>
      </c>
      <c r="BO91" s="48">
        <v>538057296</v>
      </c>
      <c r="BP91" s="48">
        <v>538057296</v>
      </c>
      <c r="BQ91" s="48">
        <v>538057296</v>
      </c>
      <c r="BR91" s="48">
        <v>448381080</v>
      </c>
      <c r="BS91" s="48">
        <v>448381080</v>
      </c>
      <c r="BT91" s="48">
        <v>448381080</v>
      </c>
      <c r="BU91" s="48">
        <v>448381080</v>
      </c>
      <c r="BV91" s="48">
        <v>328381080</v>
      </c>
      <c r="BW91" s="48">
        <v>328381080</v>
      </c>
      <c r="BX91" s="48">
        <v>328381080</v>
      </c>
      <c r="BY91" s="48">
        <v>328381080</v>
      </c>
      <c r="BZ91" s="48">
        <v>328381080</v>
      </c>
      <c r="CA91" s="48">
        <v>328381080</v>
      </c>
      <c r="CB91" s="48">
        <v>328381080</v>
      </c>
      <c r="CC91" s="48">
        <v>273650900</v>
      </c>
      <c r="CD91" s="48">
        <v>273650900</v>
      </c>
      <c r="CE91" s="48">
        <v>273651000</v>
      </c>
      <c r="CF91" s="48">
        <v>273650900</v>
      </c>
      <c r="CG91" s="48">
        <v>203650900</v>
      </c>
      <c r="CH91" s="48">
        <v>0</v>
      </c>
      <c r="CI91" s="48">
        <v>0</v>
      </c>
      <c r="CJ91" s="48">
        <v>0</v>
      </c>
      <c r="CK91" s="48">
        <v>0</v>
      </c>
      <c r="CL91" s="48">
        <v>0</v>
      </c>
    </row>
    <row r="92" spans="1:90">
      <c r="A92" s="4" t="s">
        <v>89</v>
      </c>
      <c r="B92" s="48">
        <v>2039257706.1500001</v>
      </c>
      <c r="C92" s="48">
        <v>2039257706.1500001</v>
      </c>
      <c r="D92" s="48">
        <v>2039257706.1500001</v>
      </c>
      <c r="E92" s="48">
        <v>2039257706.1500001</v>
      </c>
      <c r="F92" s="48">
        <v>2040369939.8499999</v>
      </c>
      <c r="G92" s="48">
        <v>2040369939.8499999</v>
      </c>
      <c r="H92" s="48">
        <v>2040369939.8499999</v>
      </c>
      <c r="I92" s="48">
        <v>2040369939.8499999</v>
      </c>
      <c r="J92" s="48">
        <v>2040369939.8499999</v>
      </c>
      <c r="K92" s="48">
        <v>2040369939.8599999</v>
      </c>
      <c r="L92" s="48">
        <v>2044371070.28</v>
      </c>
      <c r="M92" s="48">
        <v>2044371070.28</v>
      </c>
      <c r="N92" s="48">
        <v>2045566883.75</v>
      </c>
      <c r="O92" s="48">
        <v>2044371070.28</v>
      </c>
      <c r="P92" s="48">
        <v>1639996070.28</v>
      </c>
      <c r="Q92" s="48">
        <v>1639996070.28</v>
      </c>
      <c r="R92" s="48">
        <v>1700880260.95</v>
      </c>
      <c r="S92" s="48">
        <v>1652552705.24</v>
      </c>
      <c r="T92" s="48">
        <v>1673759344.55</v>
      </c>
      <c r="U92" s="48">
        <v>1661771296.45</v>
      </c>
      <c r="V92" s="48">
        <v>1688174464.0699999</v>
      </c>
      <c r="W92" s="48">
        <v>1611037795.8099999</v>
      </c>
      <c r="X92" s="48">
        <v>1621549515.03</v>
      </c>
      <c r="Y92" s="48">
        <v>1601618149.1099999</v>
      </c>
      <c r="Z92" s="48">
        <v>1656058738.6700001</v>
      </c>
      <c r="AA92" s="48">
        <v>1477074053.1700001</v>
      </c>
      <c r="AB92" s="48">
        <v>1481439430.6199999</v>
      </c>
      <c r="AC92" s="48">
        <v>2234240676</v>
      </c>
      <c r="AD92" s="48">
        <v>1476301521.28</v>
      </c>
      <c r="AE92" s="48">
        <v>1471105574.99</v>
      </c>
      <c r="AF92" s="48">
        <v>1471231045.75</v>
      </c>
      <c r="AG92" s="48">
        <v>1471393540.9200001</v>
      </c>
      <c r="AH92" s="48">
        <v>1472527705.55</v>
      </c>
      <c r="AI92" s="48">
        <v>1471117696.6500001</v>
      </c>
      <c r="AJ92" s="48">
        <v>1474888519.6099999</v>
      </c>
      <c r="AK92" s="48">
        <v>1475955651.1400001</v>
      </c>
      <c r="AL92" s="48">
        <v>1475482718.0699999</v>
      </c>
      <c r="AM92" s="48">
        <v>1446570162.6400001</v>
      </c>
      <c r="AN92" s="48">
        <v>1436104816.1300001</v>
      </c>
      <c r="AO92" s="48">
        <v>1427446370.5599999</v>
      </c>
      <c r="AP92" s="48">
        <v>1434397466.53</v>
      </c>
      <c r="AQ92" s="48">
        <v>1606186187.6300001</v>
      </c>
      <c r="AR92" s="48">
        <v>1622763647.1600001</v>
      </c>
      <c r="AS92" s="48">
        <v>1625836133.4300001</v>
      </c>
      <c r="AT92" s="48">
        <v>1631986276.4200001</v>
      </c>
      <c r="AU92" s="48">
        <v>1619187502.77</v>
      </c>
      <c r="AV92" s="48">
        <v>1587234934.6600001</v>
      </c>
      <c r="AW92" s="48">
        <v>1585431086.6800001</v>
      </c>
      <c r="AX92" s="48">
        <v>1585589112.8299999</v>
      </c>
      <c r="AY92" s="48">
        <v>1585589112.8299999</v>
      </c>
      <c r="AZ92" s="48">
        <v>1585323490.8299999</v>
      </c>
      <c r="BA92" s="48">
        <v>1585319455.1700001</v>
      </c>
      <c r="BB92" s="48">
        <v>1583577566.8199999</v>
      </c>
      <c r="BC92" s="48">
        <v>1583555869.0799999</v>
      </c>
      <c r="BD92" s="48">
        <v>1583418930.3499999</v>
      </c>
      <c r="BE92" s="48">
        <v>1583418930.3499999</v>
      </c>
      <c r="BF92" s="48">
        <v>1571862177.3699999</v>
      </c>
      <c r="BG92" s="48">
        <v>1712502786.74</v>
      </c>
      <c r="BH92" s="48">
        <v>1711306590.52</v>
      </c>
      <c r="BI92" s="48">
        <v>1711306590.6199999</v>
      </c>
      <c r="BJ92" s="48">
        <v>1695205445.3499999</v>
      </c>
      <c r="BK92" s="48">
        <v>1695161344.1800001</v>
      </c>
      <c r="BL92" s="48">
        <v>1813483605.1800001</v>
      </c>
      <c r="BM92" s="48">
        <v>1810398617.79</v>
      </c>
      <c r="BN92" s="48">
        <v>1804848341.3</v>
      </c>
      <c r="BO92" s="48">
        <v>1858037220.9300001</v>
      </c>
      <c r="BP92" s="48">
        <v>1855704250.52</v>
      </c>
      <c r="BQ92" s="48">
        <v>1855135466.0899999</v>
      </c>
      <c r="BR92" s="48">
        <v>1938468355.0699999</v>
      </c>
      <c r="BS92" s="48">
        <v>1943307076.45</v>
      </c>
      <c r="BT92" s="48">
        <v>1935403531.1800001</v>
      </c>
      <c r="BU92" s="48">
        <v>1934771760.48</v>
      </c>
      <c r="BV92" s="48">
        <v>665586424.62</v>
      </c>
      <c r="BW92" s="48">
        <v>665566716.62</v>
      </c>
      <c r="BX92" s="48">
        <v>665134231.63</v>
      </c>
      <c r="BY92" s="48">
        <v>665053179.01999998</v>
      </c>
      <c r="BZ92" s="48">
        <v>662117383.08000004</v>
      </c>
      <c r="CA92" s="48">
        <v>659592080.08000004</v>
      </c>
      <c r="CB92" s="48">
        <v>641372232.88999999</v>
      </c>
      <c r="CC92" s="48">
        <v>641372232.88999999</v>
      </c>
      <c r="CD92" s="48">
        <v>641372232.88999999</v>
      </c>
      <c r="CE92" s="48">
        <v>641324000</v>
      </c>
      <c r="CF92" s="48">
        <v>638403784.88999999</v>
      </c>
      <c r="CG92" s="48">
        <v>274599680.88999999</v>
      </c>
      <c r="CH92" s="48">
        <v>0</v>
      </c>
      <c r="CI92" s="48">
        <v>0</v>
      </c>
      <c r="CJ92" s="48">
        <v>0</v>
      </c>
      <c r="CK92" s="48">
        <v>0</v>
      </c>
      <c r="CL92" s="48">
        <v>0</v>
      </c>
    </row>
    <row r="93" spans="1:90">
      <c r="A93" s="4" t="s">
        <v>90</v>
      </c>
      <c r="B93" s="48">
        <v>0</v>
      </c>
      <c r="C93" s="48">
        <v>0</v>
      </c>
      <c r="D93" s="48">
        <v>0</v>
      </c>
      <c r="E93" s="48">
        <v>0</v>
      </c>
      <c r="F93" s="48">
        <v>0</v>
      </c>
      <c r="G93" s="48">
        <v>0</v>
      </c>
      <c r="H93" s="48">
        <v>0</v>
      </c>
      <c r="I93" s="48">
        <v>0</v>
      </c>
      <c r="J93" s="48">
        <v>0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48">
        <v>0</v>
      </c>
      <c r="AF93" s="48">
        <v>0</v>
      </c>
      <c r="AG93" s="48">
        <v>0</v>
      </c>
      <c r="AH93" s="48">
        <v>0</v>
      </c>
      <c r="AI93" s="48">
        <v>0</v>
      </c>
      <c r="AJ93" s="48">
        <v>0</v>
      </c>
      <c r="AK93" s="48">
        <v>0</v>
      </c>
      <c r="AL93" s="48">
        <v>0</v>
      </c>
      <c r="AM93" s="48">
        <v>0</v>
      </c>
      <c r="AN93" s="48">
        <v>0</v>
      </c>
      <c r="AO93" s="48">
        <v>0</v>
      </c>
      <c r="AP93" s="48">
        <v>0</v>
      </c>
      <c r="AQ93" s="48">
        <v>0</v>
      </c>
      <c r="AR93" s="48">
        <v>0</v>
      </c>
      <c r="AS93" s="48">
        <v>0</v>
      </c>
      <c r="AT93" s="48">
        <v>0</v>
      </c>
      <c r="AU93" s="48">
        <v>0</v>
      </c>
      <c r="AV93" s="48">
        <v>0</v>
      </c>
      <c r="AW93" s="48">
        <v>0</v>
      </c>
      <c r="AX93" s="48">
        <v>0</v>
      </c>
      <c r="AY93" s="48">
        <v>0</v>
      </c>
      <c r="AZ93" s="48">
        <v>0</v>
      </c>
      <c r="BA93" s="48">
        <v>0</v>
      </c>
      <c r="BB93" s="48">
        <v>0</v>
      </c>
      <c r="BC93" s="48">
        <v>0</v>
      </c>
      <c r="BD93" s="48">
        <v>0</v>
      </c>
      <c r="BE93" s="48">
        <v>0</v>
      </c>
      <c r="BF93" s="48">
        <v>0</v>
      </c>
      <c r="BG93" s="48">
        <v>0</v>
      </c>
      <c r="BH93" s="48">
        <v>0</v>
      </c>
      <c r="BI93" s="48">
        <v>0</v>
      </c>
      <c r="BJ93" s="48">
        <v>0</v>
      </c>
      <c r="BK93" s="48">
        <v>0</v>
      </c>
      <c r="BL93" s="48">
        <v>0</v>
      </c>
      <c r="BM93" s="48">
        <v>0</v>
      </c>
      <c r="BN93" s="48">
        <v>0</v>
      </c>
      <c r="BO93" s="48">
        <v>0</v>
      </c>
      <c r="BP93" s="48">
        <v>0</v>
      </c>
      <c r="BQ93" s="48">
        <v>0</v>
      </c>
      <c r="BR93" s="48">
        <v>0</v>
      </c>
      <c r="BS93" s="48">
        <v>0</v>
      </c>
      <c r="BT93" s="48">
        <v>0</v>
      </c>
      <c r="BU93" s="48">
        <v>0</v>
      </c>
      <c r="BV93" s="48">
        <v>0</v>
      </c>
      <c r="BW93" s="48">
        <v>0</v>
      </c>
      <c r="BX93" s="48">
        <v>0</v>
      </c>
      <c r="BY93" s="48">
        <v>0</v>
      </c>
      <c r="BZ93" s="48">
        <v>0</v>
      </c>
      <c r="CA93" s="48">
        <v>0</v>
      </c>
      <c r="CB93" s="48">
        <v>0</v>
      </c>
      <c r="CC93" s="48">
        <v>0</v>
      </c>
      <c r="CD93" s="48">
        <v>0</v>
      </c>
      <c r="CE93" s="48">
        <v>0</v>
      </c>
      <c r="CF93" s="48">
        <v>0</v>
      </c>
      <c r="CG93" s="48">
        <v>0</v>
      </c>
      <c r="CH93" s="48">
        <v>0</v>
      </c>
      <c r="CI93" s="48">
        <v>0</v>
      </c>
      <c r="CJ93" s="48">
        <v>0</v>
      </c>
      <c r="CK93" s="48">
        <v>0</v>
      </c>
      <c r="CL93" s="48">
        <v>0</v>
      </c>
    </row>
    <row r="94" spans="1:90">
      <c r="A94" s="4" t="s">
        <v>91</v>
      </c>
      <c r="B94" s="48">
        <v>379578.15</v>
      </c>
      <c r="C94" s="48">
        <v>379578.33</v>
      </c>
      <c r="D94" s="48">
        <v>173795.25</v>
      </c>
      <c r="E94" s="48">
        <v>66372390.090000004</v>
      </c>
      <c r="F94" s="48">
        <v>113293730.97</v>
      </c>
      <c r="G94" s="48">
        <v>121027404.41</v>
      </c>
      <c r="H94" s="48">
        <v>123267249.14</v>
      </c>
      <c r="I94" s="48">
        <v>114470980.94</v>
      </c>
      <c r="J94" s="48">
        <v>87087424.519999996</v>
      </c>
      <c r="K94" s="48">
        <v>88580627.120000005</v>
      </c>
      <c r="L94" s="48">
        <v>93899299.579999998</v>
      </c>
      <c r="M94" s="48">
        <v>115453768.95999999</v>
      </c>
      <c r="N94" s="48">
        <v>102599232.11</v>
      </c>
      <c r="O94" s="48">
        <v>44633232.530000001</v>
      </c>
      <c r="P94" s="48">
        <v>39963589.479999997</v>
      </c>
      <c r="Q94" s="48">
        <v>23472079.469999999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48">
        <v>0</v>
      </c>
      <c r="AF94" s="48">
        <v>0</v>
      </c>
      <c r="AG94" s="48">
        <v>0</v>
      </c>
      <c r="AH94" s="48">
        <v>0</v>
      </c>
      <c r="AI94" s="48">
        <v>0</v>
      </c>
      <c r="AJ94" s="48">
        <v>0</v>
      </c>
      <c r="AK94" s="48">
        <v>0</v>
      </c>
      <c r="AL94" s="48">
        <v>0</v>
      </c>
      <c r="AM94" s="48">
        <v>0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  <c r="AS94" s="48">
        <v>0</v>
      </c>
      <c r="AT94" s="48">
        <v>0</v>
      </c>
      <c r="AU94" s="48">
        <v>0</v>
      </c>
      <c r="AV94" s="48">
        <v>0</v>
      </c>
      <c r="AW94" s="48">
        <v>0</v>
      </c>
      <c r="AX94" s="48">
        <v>0</v>
      </c>
      <c r="AY94" s="48">
        <v>0</v>
      </c>
      <c r="AZ94" s="48">
        <v>0</v>
      </c>
      <c r="BA94" s="48">
        <v>0</v>
      </c>
      <c r="BB94" s="48">
        <v>0</v>
      </c>
      <c r="BC94" s="48">
        <v>0</v>
      </c>
      <c r="BD94" s="48">
        <v>0</v>
      </c>
      <c r="BE94" s="48">
        <v>0</v>
      </c>
      <c r="BF94" s="48">
        <v>0</v>
      </c>
      <c r="BG94" s="48">
        <v>0</v>
      </c>
      <c r="BH94" s="48">
        <v>0</v>
      </c>
      <c r="BI94" s="48">
        <v>0</v>
      </c>
      <c r="BJ94" s="48">
        <v>0</v>
      </c>
      <c r="BK94" s="48">
        <v>0</v>
      </c>
      <c r="BL94" s="48">
        <v>0</v>
      </c>
      <c r="BM94" s="48">
        <v>0</v>
      </c>
      <c r="BN94" s="48">
        <v>0</v>
      </c>
      <c r="BO94" s="48">
        <v>0</v>
      </c>
      <c r="BP94" s="48">
        <v>0</v>
      </c>
      <c r="BQ94" s="48">
        <v>0</v>
      </c>
      <c r="BR94" s="48">
        <v>0</v>
      </c>
      <c r="BS94" s="48">
        <v>0</v>
      </c>
      <c r="BT94" s="48">
        <v>0</v>
      </c>
      <c r="BU94" s="48">
        <v>0</v>
      </c>
      <c r="BV94" s="48">
        <v>0</v>
      </c>
      <c r="BW94" s="48">
        <v>0</v>
      </c>
      <c r="BX94" s="48">
        <v>0</v>
      </c>
      <c r="BY94" s="48">
        <v>0</v>
      </c>
      <c r="BZ94" s="48">
        <v>0</v>
      </c>
      <c r="CA94" s="48">
        <v>0</v>
      </c>
      <c r="CB94" s="48">
        <v>0</v>
      </c>
      <c r="CC94" s="48">
        <v>0</v>
      </c>
      <c r="CD94" s="48">
        <v>0</v>
      </c>
      <c r="CE94" s="48">
        <v>0</v>
      </c>
      <c r="CF94" s="48">
        <v>0</v>
      </c>
      <c r="CG94" s="48">
        <v>0</v>
      </c>
      <c r="CH94" s="48">
        <v>0</v>
      </c>
      <c r="CI94" s="48">
        <v>0</v>
      </c>
      <c r="CJ94" s="48">
        <v>0</v>
      </c>
      <c r="CK94" s="48">
        <v>0</v>
      </c>
      <c r="CL94" s="48">
        <v>0</v>
      </c>
    </row>
    <row r="95" spans="1:90">
      <c r="A95" s="4" t="s">
        <v>92</v>
      </c>
      <c r="B95" s="48">
        <v>9228506.5899999999</v>
      </c>
      <c r="C95" s="48">
        <v>10686138.02</v>
      </c>
      <c r="D95" s="48">
        <v>10518980.310000001</v>
      </c>
      <c r="E95" s="48">
        <v>9676689.0999999996</v>
      </c>
      <c r="F95" s="48">
        <v>10108157.33</v>
      </c>
      <c r="G95" s="48">
        <v>10313683.810000001</v>
      </c>
      <c r="H95" s="48">
        <v>9975294.5600000005</v>
      </c>
      <c r="I95" s="48">
        <v>9720622.4700000007</v>
      </c>
      <c r="J95" s="48">
        <v>10006355.1</v>
      </c>
      <c r="K95" s="48">
        <v>10447557.050000001</v>
      </c>
      <c r="L95" s="48">
        <v>9803979.8900000006</v>
      </c>
      <c r="M95" s="48">
        <v>9923266.0700000003</v>
      </c>
      <c r="N95" s="48">
        <v>7711188.0499999998</v>
      </c>
      <c r="O95" s="48">
        <v>9181367.3699999992</v>
      </c>
      <c r="P95" s="48">
        <v>8122985.5700000003</v>
      </c>
      <c r="Q95" s="48">
        <v>8122985.5700000003</v>
      </c>
      <c r="R95" s="48">
        <v>0</v>
      </c>
      <c r="S95" s="48">
        <v>7595223.2199999997</v>
      </c>
      <c r="T95" s="48">
        <v>0</v>
      </c>
      <c r="U95" s="48">
        <v>6102812.6600000001</v>
      </c>
      <c r="V95" s="48">
        <v>0</v>
      </c>
      <c r="W95" s="48">
        <v>6460515.2800000003</v>
      </c>
      <c r="X95" s="48">
        <v>5530696.96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48">
        <v>0</v>
      </c>
      <c r="AF95" s="48">
        <v>0</v>
      </c>
      <c r="AG95" s="48">
        <v>0</v>
      </c>
      <c r="AH95" s="48">
        <v>0</v>
      </c>
      <c r="AI95" s="48">
        <v>0</v>
      </c>
      <c r="AJ95" s="48">
        <v>0</v>
      </c>
      <c r="AK95" s="48">
        <v>0</v>
      </c>
      <c r="AL95" s="48">
        <v>0</v>
      </c>
      <c r="AM95" s="48">
        <v>0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  <c r="AS95" s="48">
        <v>0</v>
      </c>
      <c r="AT95" s="48">
        <v>0</v>
      </c>
      <c r="AU95" s="48">
        <v>0</v>
      </c>
      <c r="AV95" s="48">
        <v>0</v>
      </c>
      <c r="AW95" s="48">
        <v>0</v>
      </c>
      <c r="AX95" s="48">
        <v>0</v>
      </c>
      <c r="AY95" s="48">
        <v>0</v>
      </c>
      <c r="AZ95" s="48">
        <v>0</v>
      </c>
      <c r="BA95" s="48">
        <v>0</v>
      </c>
      <c r="BB95" s="48">
        <v>0</v>
      </c>
      <c r="BC95" s="48">
        <v>0</v>
      </c>
      <c r="BD95" s="48">
        <v>0</v>
      </c>
      <c r="BE95" s="48">
        <v>0</v>
      </c>
      <c r="BF95" s="48">
        <v>0</v>
      </c>
      <c r="BG95" s="48">
        <v>0</v>
      </c>
      <c r="BH95" s="48">
        <v>0</v>
      </c>
      <c r="BI95" s="48">
        <v>0</v>
      </c>
      <c r="BJ95" s="48">
        <v>0</v>
      </c>
      <c r="BK95" s="48">
        <v>0</v>
      </c>
      <c r="BL95" s="48">
        <v>0</v>
      </c>
      <c r="BM95" s="48">
        <v>0</v>
      </c>
      <c r="BN95" s="48">
        <v>0</v>
      </c>
      <c r="BO95" s="48">
        <v>0</v>
      </c>
      <c r="BP95" s="48">
        <v>0</v>
      </c>
      <c r="BQ95" s="48">
        <v>0</v>
      </c>
      <c r="BR95" s="48">
        <v>0</v>
      </c>
      <c r="BS95" s="48">
        <v>0</v>
      </c>
      <c r="BT95" s="48">
        <v>0</v>
      </c>
      <c r="BU95" s="48">
        <v>0</v>
      </c>
      <c r="BV95" s="48">
        <v>0</v>
      </c>
      <c r="BW95" s="48">
        <v>0</v>
      </c>
      <c r="BX95" s="48">
        <v>0</v>
      </c>
      <c r="BY95" s="48">
        <v>0</v>
      </c>
      <c r="BZ95" s="48">
        <v>0</v>
      </c>
      <c r="CA95" s="48">
        <v>0</v>
      </c>
      <c r="CB95" s="48">
        <v>0</v>
      </c>
      <c r="CC95" s="48">
        <v>0</v>
      </c>
      <c r="CD95" s="48">
        <v>0</v>
      </c>
      <c r="CE95" s="48">
        <v>0</v>
      </c>
      <c r="CF95" s="48">
        <v>0</v>
      </c>
      <c r="CG95" s="48">
        <v>0</v>
      </c>
      <c r="CH95" s="48">
        <v>0</v>
      </c>
      <c r="CI95" s="48">
        <v>0</v>
      </c>
      <c r="CJ95" s="48">
        <v>0</v>
      </c>
      <c r="CK95" s="48">
        <v>0</v>
      </c>
      <c r="CL95" s="48">
        <v>0</v>
      </c>
    </row>
    <row r="96" spans="1:90">
      <c r="A96" s="4" t="s">
        <v>93</v>
      </c>
      <c r="B96" s="48">
        <v>1320646920.6600001</v>
      </c>
      <c r="C96" s="48">
        <v>1320646920.6600001</v>
      </c>
      <c r="D96" s="48">
        <v>1320646920.6600001</v>
      </c>
      <c r="E96" s="48">
        <v>1320646920.6600001</v>
      </c>
      <c r="F96" s="48">
        <v>1320646920.6600001</v>
      </c>
      <c r="G96" s="48">
        <v>1320646920.6600001</v>
      </c>
      <c r="H96" s="48">
        <v>1320646920.6600001</v>
      </c>
      <c r="I96" s="48">
        <v>1320646920.6600001</v>
      </c>
      <c r="J96" s="48">
        <v>1320646920.6600001</v>
      </c>
      <c r="K96" s="48">
        <v>1320646920.6600001</v>
      </c>
      <c r="L96" s="48">
        <v>1320646920.6600001</v>
      </c>
      <c r="M96" s="48">
        <v>1320646920.6600001</v>
      </c>
      <c r="N96" s="48">
        <v>1320646920.6600001</v>
      </c>
      <c r="O96" s="48">
        <v>1320646920.6600001</v>
      </c>
      <c r="P96" s="48">
        <v>1320646920.6600001</v>
      </c>
      <c r="Q96" s="48">
        <v>1320646920.6600001</v>
      </c>
      <c r="R96" s="48">
        <v>1321118748.78</v>
      </c>
      <c r="S96" s="48">
        <v>1321118748.78</v>
      </c>
      <c r="T96" s="48">
        <v>1320646920.6600001</v>
      </c>
      <c r="U96" s="48">
        <v>1320646920.6600001</v>
      </c>
      <c r="V96" s="48">
        <v>1306295323.8699999</v>
      </c>
      <c r="W96" s="48">
        <v>1306295323.8699999</v>
      </c>
      <c r="X96" s="48">
        <v>1306295323.8699999</v>
      </c>
      <c r="Y96" s="48">
        <v>1306295323.8699999</v>
      </c>
      <c r="Z96" s="48">
        <v>1219623867.3599999</v>
      </c>
      <c r="AA96" s="48">
        <v>1219623867.3599999</v>
      </c>
      <c r="AB96" s="48">
        <v>1234599718.03</v>
      </c>
      <c r="AC96" s="48">
        <v>1234599718.03</v>
      </c>
      <c r="AD96" s="48">
        <v>1155823454.77</v>
      </c>
      <c r="AE96" s="48">
        <v>1155823454.77</v>
      </c>
      <c r="AF96" s="48">
        <v>1157766101.1500001</v>
      </c>
      <c r="AG96" s="48">
        <v>1157766101.1500001</v>
      </c>
      <c r="AH96" s="48">
        <v>1003506333.84</v>
      </c>
      <c r="AI96" s="48">
        <v>1003506333.84</v>
      </c>
      <c r="AJ96" s="48">
        <v>1003506333.84</v>
      </c>
      <c r="AK96" s="48">
        <v>1003506333.84</v>
      </c>
      <c r="AL96" s="48">
        <v>870530104.05999994</v>
      </c>
      <c r="AM96" s="48">
        <v>870530104.05999994</v>
      </c>
      <c r="AN96" s="48">
        <v>870313024.05999994</v>
      </c>
      <c r="AO96" s="48">
        <v>870313024.05999994</v>
      </c>
      <c r="AP96" s="48">
        <v>747142301.03999996</v>
      </c>
      <c r="AQ96" s="48">
        <v>747142301.03999996</v>
      </c>
      <c r="AR96" s="48">
        <v>747153162.12</v>
      </c>
      <c r="AS96" s="48">
        <v>747153162.12</v>
      </c>
      <c r="AT96" s="48">
        <v>396808306.86000001</v>
      </c>
      <c r="AU96" s="48">
        <v>826758649.22000003</v>
      </c>
      <c r="AV96" s="48">
        <v>826864618.09000003</v>
      </c>
      <c r="AW96" s="48">
        <v>838333509.35000002</v>
      </c>
      <c r="AX96" s="48">
        <v>748346692.34000003</v>
      </c>
      <c r="AY96" s="48">
        <v>748346692.34000003</v>
      </c>
      <c r="AZ96" s="48">
        <v>748197550.34000003</v>
      </c>
      <c r="BA96" s="48">
        <v>748197550.34000003</v>
      </c>
      <c r="BB96" s="48">
        <v>668527882.49000001</v>
      </c>
      <c r="BC96" s="48">
        <v>668527882.49000001</v>
      </c>
      <c r="BD96" s="48">
        <v>665605093.65999997</v>
      </c>
      <c r="BE96" s="48">
        <v>666815227.25</v>
      </c>
      <c r="BF96" s="48">
        <v>567984565.92999995</v>
      </c>
      <c r="BG96" s="48">
        <v>567984565.92999995</v>
      </c>
      <c r="BH96" s="48">
        <v>567984565.94000006</v>
      </c>
      <c r="BI96" s="48">
        <v>567244885.92999995</v>
      </c>
      <c r="BJ96" s="48">
        <v>419337334.51999998</v>
      </c>
      <c r="BK96" s="48">
        <v>418925284.51999998</v>
      </c>
      <c r="BL96" s="48">
        <v>417678847.70999998</v>
      </c>
      <c r="BM96" s="48">
        <v>417678847.70999998</v>
      </c>
      <c r="BN96" s="48">
        <v>284703861.92000002</v>
      </c>
      <c r="BO96" s="48">
        <v>284703861.92000002</v>
      </c>
      <c r="BP96" s="48">
        <v>284703861.92000002</v>
      </c>
      <c r="BQ96" s="48">
        <v>284703861.92000002</v>
      </c>
      <c r="BR96" s="48">
        <v>176995325.03999999</v>
      </c>
      <c r="BS96" s="48">
        <v>175028150.86000001</v>
      </c>
      <c r="BT96" s="48">
        <v>166077140.02000001</v>
      </c>
      <c r="BU96" s="48">
        <v>163213138.47</v>
      </c>
      <c r="BV96" s="48">
        <v>163539774.94999999</v>
      </c>
      <c r="BW96" s="48">
        <v>143804245.41</v>
      </c>
      <c r="BX96" s="48">
        <v>143505737.25</v>
      </c>
      <c r="BY96" s="48">
        <v>144024016.50999999</v>
      </c>
      <c r="BZ96" s="48">
        <v>132232212.09999999</v>
      </c>
      <c r="CA96" s="48">
        <v>130443089.94</v>
      </c>
      <c r="CB96" s="48">
        <v>137978409.43000001</v>
      </c>
      <c r="CC96" s="48">
        <v>127164283.31</v>
      </c>
      <c r="CD96" s="48">
        <v>69601738.090000004</v>
      </c>
      <c r="CE96" s="48">
        <v>34778000</v>
      </c>
      <c r="CF96" s="48">
        <v>10546287.800000001</v>
      </c>
      <c r="CG96" s="48">
        <v>1136843.69</v>
      </c>
      <c r="CH96" s="48">
        <v>0</v>
      </c>
      <c r="CI96" s="48">
        <v>0</v>
      </c>
      <c r="CJ96" s="48">
        <v>0</v>
      </c>
      <c r="CK96" s="48">
        <v>0</v>
      </c>
      <c r="CL96" s="48">
        <v>0</v>
      </c>
    </row>
    <row r="97" spans="1:90">
      <c r="A97" s="4" t="s">
        <v>94</v>
      </c>
      <c r="B97" s="48">
        <v>0</v>
      </c>
      <c r="C97" s="48">
        <v>0</v>
      </c>
      <c r="D97" s="48">
        <v>0</v>
      </c>
      <c r="E97" s="48">
        <v>0</v>
      </c>
      <c r="F97" s="48">
        <v>0</v>
      </c>
      <c r="G97" s="48">
        <v>0</v>
      </c>
      <c r="H97" s="48">
        <v>0</v>
      </c>
      <c r="I97" s="48">
        <v>0</v>
      </c>
      <c r="J97" s="48">
        <v>0</v>
      </c>
      <c r="K97" s="48">
        <v>0</v>
      </c>
      <c r="L97" s="48">
        <v>0</v>
      </c>
      <c r="M97" s="48">
        <v>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48">
        <v>0</v>
      </c>
      <c r="AF97" s="48">
        <v>0</v>
      </c>
      <c r="AG97" s="48">
        <v>0</v>
      </c>
      <c r="AH97" s="48">
        <v>0</v>
      </c>
      <c r="AI97" s="48">
        <v>0</v>
      </c>
      <c r="AJ97" s="48">
        <v>0</v>
      </c>
      <c r="AK97" s="48">
        <v>0</v>
      </c>
      <c r="AL97" s="48">
        <v>0</v>
      </c>
      <c r="AM97" s="48">
        <v>0</v>
      </c>
      <c r="AN97" s="48">
        <v>0</v>
      </c>
      <c r="AO97" s="48">
        <v>0</v>
      </c>
      <c r="AP97" s="48">
        <v>0</v>
      </c>
      <c r="AQ97" s="48">
        <v>0</v>
      </c>
      <c r="AR97" s="48">
        <v>0</v>
      </c>
      <c r="AS97" s="48">
        <v>0</v>
      </c>
      <c r="AT97" s="48">
        <v>0</v>
      </c>
      <c r="AU97" s="48">
        <v>0</v>
      </c>
      <c r="AV97" s="48">
        <v>0</v>
      </c>
      <c r="AW97" s="48">
        <v>0</v>
      </c>
      <c r="AX97" s="48">
        <v>0</v>
      </c>
      <c r="AY97" s="48">
        <v>0</v>
      </c>
      <c r="AZ97" s="48">
        <v>0</v>
      </c>
      <c r="BA97" s="48">
        <v>0</v>
      </c>
      <c r="BB97" s="48">
        <v>0</v>
      </c>
      <c r="BC97" s="48">
        <v>0</v>
      </c>
      <c r="BD97" s="48">
        <v>0</v>
      </c>
      <c r="BE97" s="48">
        <v>0</v>
      </c>
      <c r="BF97" s="48">
        <v>0</v>
      </c>
      <c r="BG97" s="48">
        <v>0</v>
      </c>
      <c r="BH97" s="48">
        <v>0</v>
      </c>
      <c r="BI97" s="48">
        <v>0</v>
      </c>
      <c r="BJ97" s="48">
        <v>0</v>
      </c>
      <c r="BK97" s="48">
        <v>0</v>
      </c>
      <c r="BL97" s="48">
        <v>0</v>
      </c>
      <c r="BM97" s="48">
        <v>0</v>
      </c>
      <c r="BN97" s="48">
        <v>0</v>
      </c>
      <c r="BO97" s="48">
        <v>0</v>
      </c>
      <c r="BP97" s="48">
        <v>0</v>
      </c>
      <c r="BQ97" s="48">
        <v>0</v>
      </c>
      <c r="BR97" s="48">
        <v>0</v>
      </c>
      <c r="BS97" s="48">
        <v>0</v>
      </c>
      <c r="BT97" s="48">
        <v>0</v>
      </c>
      <c r="BU97" s="48">
        <v>0</v>
      </c>
      <c r="BV97" s="48">
        <v>0</v>
      </c>
      <c r="BW97" s="48">
        <v>0</v>
      </c>
      <c r="BX97" s="48">
        <v>0</v>
      </c>
      <c r="BY97" s="48">
        <v>0</v>
      </c>
      <c r="BZ97" s="48">
        <v>0</v>
      </c>
      <c r="CA97" s="48">
        <v>0</v>
      </c>
      <c r="CB97" s="48">
        <v>0</v>
      </c>
      <c r="CC97" s="48">
        <v>0</v>
      </c>
      <c r="CD97" s="48">
        <v>0</v>
      </c>
      <c r="CE97" s="48">
        <v>0</v>
      </c>
      <c r="CF97" s="48">
        <v>0</v>
      </c>
      <c r="CG97" s="48">
        <v>0</v>
      </c>
      <c r="CH97" s="48">
        <v>0</v>
      </c>
      <c r="CI97" s="48">
        <v>0</v>
      </c>
      <c r="CJ97" s="48">
        <v>0</v>
      </c>
      <c r="CK97" s="48">
        <v>0</v>
      </c>
      <c r="CL97" s="48">
        <v>0</v>
      </c>
    </row>
    <row r="98" spans="1:90">
      <c r="A98" s="4" t="s">
        <v>95</v>
      </c>
      <c r="B98" s="48">
        <v>6268215598.3400002</v>
      </c>
      <c r="C98" s="48">
        <v>5868614909.8299999</v>
      </c>
      <c r="D98" s="48">
        <v>5965940979.4300003</v>
      </c>
      <c r="E98" s="48">
        <v>5577151227.1899996</v>
      </c>
      <c r="F98" s="48">
        <v>5311163331.9200001</v>
      </c>
      <c r="G98" s="48">
        <v>4896807682.0500002</v>
      </c>
      <c r="H98" s="48">
        <v>4945628537.3100004</v>
      </c>
      <c r="I98" s="48">
        <v>4706636692.1599998</v>
      </c>
      <c r="J98" s="48">
        <v>4482064685.4499998</v>
      </c>
      <c r="K98" s="48">
        <v>4081461765.5700002</v>
      </c>
      <c r="L98" s="48">
        <v>3825332919.0599999</v>
      </c>
      <c r="M98" s="48">
        <v>3605977097.1999998</v>
      </c>
      <c r="N98" s="48">
        <v>3472895693.0100002</v>
      </c>
      <c r="O98" s="48">
        <v>2449011020.0900002</v>
      </c>
      <c r="P98" s="48">
        <v>2387834552.3699999</v>
      </c>
      <c r="Q98" s="48">
        <v>2245638061.9099998</v>
      </c>
      <c r="R98" s="48">
        <v>2209874647.98</v>
      </c>
      <c r="S98" s="48">
        <v>1929639224.1600001</v>
      </c>
      <c r="T98" s="48">
        <v>1926794884.0599999</v>
      </c>
      <c r="U98" s="48">
        <v>1755367292.51</v>
      </c>
      <c r="V98" s="48">
        <v>1525522712.6099999</v>
      </c>
      <c r="W98" s="48">
        <v>1187407491.71</v>
      </c>
      <c r="X98" s="48">
        <v>1206017366.04</v>
      </c>
      <c r="Y98" s="48">
        <v>1118011764.1300001</v>
      </c>
      <c r="Z98" s="48">
        <v>1190436982.6500001</v>
      </c>
      <c r="AA98" s="48">
        <v>2458630791.4000001</v>
      </c>
      <c r="AB98" s="48">
        <v>2505863990.2399998</v>
      </c>
      <c r="AC98" s="48">
        <v>892086351.51999998</v>
      </c>
      <c r="AD98" s="48">
        <v>2262280196.29</v>
      </c>
      <c r="AE98" s="48">
        <v>2063057777.46</v>
      </c>
      <c r="AF98" s="48">
        <v>2025245485.3199999</v>
      </c>
      <c r="AG98" s="48">
        <v>1835178732.7</v>
      </c>
      <c r="AH98" s="48">
        <v>1888951064.6700001</v>
      </c>
      <c r="AI98" s="48">
        <v>1712125791.28</v>
      </c>
      <c r="AJ98" s="48">
        <v>1631238047.0899999</v>
      </c>
      <c r="AK98" s="48">
        <v>1461790072.1400001</v>
      </c>
      <c r="AL98" s="48">
        <v>1647612547.3800001</v>
      </c>
      <c r="AM98" s="48">
        <v>1489433745.72</v>
      </c>
      <c r="AN98" s="48">
        <v>1393782064.77</v>
      </c>
      <c r="AO98" s="48">
        <v>1257123188.75</v>
      </c>
      <c r="AP98" s="48">
        <v>1230328682.04</v>
      </c>
      <c r="AQ98" s="48">
        <v>1088674614.52</v>
      </c>
      <c r="AR98" s="48">
        <v>980521327.10000002</v>
      </c>
      <c r="AS98" s="48">
        <v>848115182.62</v>
      </c>
      <c r="AT98" s="48">
        <v>1118613055.72</v>
      </c>
      <c r="AU98" s="48">
        <v>525357157.43000001</v>
      </c>
      <c r="AV98" s="48">
        <v>403461761.73000002</v>
      </c>
      <c r="AW98" s="48">
        <v>371544386</v>
      </c>
      <c r="AX98" s="48">
        <v>363429189.26999998</v>
      </c>
      <c r="AY98" s="48">
        <v>244467864.97999999</v>
      </c>
      <c r="AZ98" s="48">
        <v>254618309.40000001</v>
      </c>
      <c r="BA98" s="48">
        <v>192812684.94999999</v>
      </c>
      <c r="BB98" s="48">
        <v>292526515.91000003</v>
      </c>
      <c r="BC98" s="48">
        <v>281230052.56999999</v>
      </c>
      <c r="BD98" s="48">
        <v>406650004.85000002</v>
      </c>
      <c r="BE98" s="48">
        <v>334116866.01999998</v>
      </c>
      <c r="BF98" s="48">
        <v>445681844.19</v>
      </c>
      <c r="BG98" s="48">
        <v>455559933.64999998</v>
      </c>
      <c r="BH98" s="48">
        <v>344656493.63999999</v>
      </c>
      <c r="BI98" s="48">
        <v>264614110.94</v>
      </c>
      <c r="BJ98" s="48">
        <v>363358290.55000001</v>
      </c>
      <c r="BK98" s="48">
        <v>278089580.66000003</v>
      </c>
      <c r="BL98" s="48">
        <v>133770782.09999999</v>
      </c>
      <c r="BM98" s="48">
        <v>119842474.04000001</v>
      </c>
      <c r="BN98" s="48">
        <v>257284974.88</v>
      </c>
      <c r="BO98" s="48">
        <v>170190260.5</v>
      </c>
      <c r="BP98" s="48">
        <v>105853126.12</v>
      </c>
      <c r="BQ98" s="48">
        <v>36818416.619999997</v>
      </c>
      <c r="BR98" s="48">
        <v>164751884.61000001</v>
      </c>
      <c r="BS98" s="48">
        <v>24363807.969999999</v>
      </c>
      <c r="BT98" s="48">
        <v>241854991.44</v>
      </c>
      <c r="BU98" s="48">
        <v>99358862.480000004</v>
      </c>
      <c r="BV98" s="48">
        <v>189774679.28999999</v>
      </c>
      <c r="BW98" s="48">
        <v>110559227.73</v>
      </c>
      <c r="BX98" s="48">
        <v>92578090.409999996</v>
      </c>
      <c r="BY98" s="48">
        <v>105677677.75</v>
      </c>
      <c r="BZ98" s="48">
        <v>51885677.789999999</v>
      </c>
      <c r="CA98" s="48">
        <v>42717718.460000001</v>
      </c>
      <c r="CB98" s="48">
        <v>75980140.25</v>
      </c>
      <c r="CC98" s="48">
        <v>35630191.829999998</v>
      </c>
      <c r="CD98" s="48">
        <v>91994293.900000006</v>
      </c>
      <c r="CE98" s="48">
        <v>129889000</v>
      </c>
      <c r="CF98" s="48">
        <v>81321459.170000002</v>
      </c>
      <c r="CG98" s="48">
        <v>12975517.09</v>
      </c>
      <c r="CH98" s="48">
        <v>0</v>
      </c>
      <c r="CI98" s="48">
        <v>0</v>
      </c>
      <c r="CJ98" s="48">
        <v>0</v>
      </c>
      <c r="CK98" s="48">
        <v>0</v>
      </c>
      <c r="CL98" s="48">
        <v>0</v>
      </c>
    </row>
    <row r="99" spans="1:90">
      <c r="A99" s="4" t="s">
        <v>96</v>
      </c>
      <c r="B99" s="48">
        <v>321055.48</v>
      </c>
      <c r="C99" s="48">
        <v>732312430.88</v>
      </c>
      <c r="D99" s="48">
        <v>187956.68</v>
      </c>
      <c r="E99" s="48">
        <v>870410.19</v>
      </c>
      <c r="F99" s="48">
        <v>113743123.98999999</v>
      </c>
      <c r="G99" s="48">
        <v>764495069.66999996</v>
      </c>
      <c r="H99" s="48">
        <v>1289662.4099999999</v>
      </c>
      <c r="I99" s="48">
        <v>1289662.4099999999</v>
      </c>
      <c r="J99" s="48">
        <v>137726582.41</v>
      </c>
      <c r="K99" s="48">
        <v>787037342.40999997</v>
      </c>
      <c r="L99" s="48">
        <v>1289662.4099999999</v>
      </c>
      <c r="M99" s="48">
        <v>1289662.4099999999</v>
      </c>
      <c r="N99" s="48">
        <v>63204319.649999999</v>
      </c>
      <c r="O99" s="48">
        <v>831611565</v>
      </c>
      <c r="P99" s="48">
        <v>452685</v>
      </c>
      <c r="Q99" s="48">
        <v>692085.14</v>
      </c>
      <c r="R99" s="48">
        <v>52775274.240000002</v>
      </c>
      <c r="S99" s="48">
        <v>1052135840.48</v>
      </c>
      <c r="T99" s="48">
        <v>1176562.24</v>
      </c>
      <c r="U99" s="48">
        <v>2086462.24</v>
      </c>
      <c r="V99" s="48">
        <v>53741976.670000002</v>
      </c>
      <c r="W99" s="48">
        <v>732407882.01999998</v>
      </c>
      <c r="X99" s="48">
        <v>1774387.34</v>
      </c>
      <c r="Y99" s="48">
        <v>1774387.34</v>
      </c>
      <c r="Z99" s="48">
        <v>68820877.079999998</v>
      </c>
      <c r="AA99" s="48">
        <v>714449869.48000002</v>
      </c>
      <c r="AB99" s="48">
        <v>988096.67</v>
      </c>
      <c r="AC99" s="48">
        <v>1059437.08</v>
      </c>
      <c r="AD99" s="48">
        <v>6202112.1500000004</v>
      </c>
      <c r="AE99" s="48">
        <v>263132112.15000001</v>
      </c>
      <c r="AF99" s="48">
        <v>992882.86</v>
      </c>
      <c r="AG99" s="48">
        <v>1176637.77</v>
      </c>
      <c r="AH99" s="48">
        <v>69439313.459999993</v>
      </c>
      <c r="AI99" s="48">
        <v>281325447.45999998</v>
      </c>
      <c r="AJ99" s="48">
        <v>25184072.84</v>
      </c>
      <c r="AK99" s="48">
        <v>25306407.460000001</v>
      </c>
      <c r="AL99" s="48">
        <v>108325652.86</v>
      </c>
      <c r="AM99" s="48">
        <v>420451983.66000003</v>
      </c>
      <c r="AN99" s="48">
        <v>65010950.859999999</v>
      </c>
      <c r="AO99" s="48">
        <v>65010950.859999999</v>
      </c>
      <c r="AP99" s="48">
        <v>84632530.930000007</v>
      </c>
      <c r="AQ99" s="48">
        <v>372318905.47000003</v>
      </c>
      <c r="AR99" s="48">
        <v>43213634.93</v>
      </c>
      <c r="AS99" s="48">
        <v>44288109.770000003</v>
      </c>
      <c r="AT99" s="48">
        <v>54341932.829999998</v>
      </c>
      <c r="AU99" s="48">
        <v>319264432.52999997</v>
      </c>
      <c r="AV99" s="48">
        <v>33902616.829999998</v>
      </c>
      <c r="AW99" s="48">
        <v>33902616.829999998</v>
      </c>
      <c r="AX99" s="48">
        <v>179475468.03</v>
      </c>
      <c r="AY99" s="48">
        <v>299373482.26999998</v>
      </c>
      <c r="AZ99" s="48">
        <v>15082286.01</v>
      </c>
      <c r="BA99" s="48">
        <v>10591636.66</v>
      </c>
      <c r="BB99" s="48">
        <v>27228651.460000001</v>
      </c>
      <c r="BC99" s="48">
        <v>215651038.53999999</v>
      </c>
      <c r="BD99" s="48">
        <v>25537143.440000001</v>
      </c>
      <c r="BE99" s="48">
        <v>19472806.489999998</v>
      </c>
      <c r="BF99" s="48">
        <v>19698608.93</v>
      </c>
      <c r="BG99" s="48">
        <v>232494010.44</v>
      </c>
      <c r="BH99" s="48">
        <v>19179643.98</v>
      </c>
      <c r="BI99" s="48">
        <v>16065471.57</v>
      </c>
      <c r="BJ99" s="48">
        <v>43569214.75</v>
      </c>
      <c r="BK99" s="48">
        <v>246368290.06999999</v>
      </c>
      <c r="BL99" s="48">
        <v>91578714.030000001</v>
      </c>
      <c r="BM99" s="48">
        <v>27851089.530000001</v>
      </c>
      <c r="BN99" s="48">
        <v>39662609.43</v>
      </c>
      <c r="BO99" s="48">
        <v>283532691.08999997</v>
      </c>
      <c r="BP99" s="48">
        <v>82394943.739999995</v>
      </c>
      <c r="BQ99" s="48">
        <v>94133175.359999999</v>
      </c>
      <c r="BR99" s="48">
        <v>262523853.59999999</v>
      </c>
      <c r="BS99" s="48">
        <v>175655544.66</v>
      </c>
      <c r="BT99" s="48">
        <v>172517845.40000001</v>
      </c>
      <c r="BU99" s="48">
        <v>67785291.349999994</v>
      </c>
      <c r="BV99" s="48">
        <v>51135992.259999998</v>
      </c>
      <c r="BW99" s="48">
        <v>13917863.050000001</v>
      </c>
      <c r="BX99" s="48">
        <v>0</v>
      </c>
      <c r="BY99" s="48">
        <v>0</v>
      </c>
      <c r="BZ99" s="48">
        <v>0</v>
      </c>
      <c r="CA99" s="48">
        <v>12394176.439999999</v>
      </c>
      <c r="CB99" s="48">
        <v>0</v>
      </c>
      <c r="CC99" s="48">
        <v>116006110.2</v>
      </c>
      <c r="CD99" s="48">
        <v>0</v>
      </c>
      <c r="CE99" s="48">
        <v>0</v>
      </c>
      <c r="CF99" s="48">
        <v>0</v>
      </c>
      <c r="CG99" s="48">
        <v>0</v>
      </c>
      <c r="CH99" s="48">
        <v>0</v>
      </c>
      <c r="CI99" s="48">
        <v>0</v>
      </c>
      <c r="CJ99" s="48">
        <v>0</v>
      </c>
      <c r="CK99" s="48">
        <v>0</v>
      </c>
      <c r="CL99" s="48">
        <v>0</v>
      </c>
    </row>
    <row r="100" spans="1:90">
      <c r="A100" s="4" t="s">
        <v>357</v>
      </c>
      <c r="B100" s="48"/>
      <c r="C100" s="48"/>
      <c r="D100" s="48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48"/>
    </row>
    <row r="101" spans="1:90">
      <c r="A101" s="4" t="s">
        <v>97</v>
      </c>
      <c r="B101" s="48">
        <v>0</v>
      </c>
      <c r="C101" s="48">
        <v>0</v>
      </c>
      <c r="D101" s="48">
        <v>0</v>
      </c>
      <c r="E101" s="48">
        <v>0</v>
      </c>
      <c r="F101" s="48">
        <v>0</v>
      </c>
      <c r="G101" s="48">
        <v>0</v>
      </c>
      <c r="H101" s="48">
        <v>0</v>
      </c>
      <c r="I101" s="48">
        <v>0</v>
      </c>
      <c r="J101" s="48">
        <v>0</v>
      </c>
      <c r="K101" s="48">
        <v>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T101" s="48">
        <v>0</v>
      </c>
      <c r="U101" s="48">
        <v>0</v>
      </c>
      <c r="V101" s="48">
        <v>0</v>
      </c>
      <c r="W101" s="48">
        <v>0</v>
      </c>
      <c r="X101" s="48">
        <v>0</v>
      </c>
      <c r="Y101" s="48">
        <v>0</v>
      </c>
      <c r="Z101" s="48">
        <v>0</v>
      </c>
      <c r="AA101" s="48">
        <v>0</v>
      </c>
      <c r="AB101" s="48">
        <v>0</v>
      </c>
      <c r="AC101" s="48">
        <v>0</v>
      </c>
      <c r="AD101" s="48">
        <v>0</v>
      </c>
      <c r="AE101" s="48">
        <v>0</v>
      </c>
      <c r="AF101" s="48">
        <v>0</v>
      </c>
      <c r="AG101" s="48">
        <v>0</v>
      </c>
      <c r="AH101" s="48">
        <v>0</v>
      </c>
      <c r="AI101" s="48">
        <v>0</v>
      </c>
      <c r="AJ101" s="48">
        <v>0</v>
      </c>
      <c r="AK101" s="48">
        <v>0</v>
      </c>
      <c r="AL101" s="48">
        <v>0</v>
      </c>
      <c r="AM101" s="48">
        <v>0</v>
      </c>
      <c r="AN101" s="48">
        <v>0</v>
      </c>
      <c r="AO101" s="48">
        <v>0</v>
      </c>
      <c r="AP101" s="48">
        <v>0</v>
      </c>
      <c r="AQ101" s="48">
        <v>0</v>
      </c>
      <c r="AR101" s="48">
        <v>0</v>
      </c>
      <c r="AS101" s="48">
        <v>0</v>
      </c>
      <c r="AT101" s="48">
        <v>0</v>
      </c>
      <c r="AU101" s="48">
        <v>0</v>
      </c>
      <c r="AV101" s="48">
        <v>0</v>
      </c>
      <c r="AW101" s="48">
        <v>0</v>
      </c>
      <c r="AX101" s="48">
        <v>0</v>
      </c>
      <c r="AY101" s="48">
        <v>0</v>
      </c>
      <c r="AZ101" s="48">
        <v>0</v>
      </c>
      <c r="BA101" s="48">
        <v>0</v>
      </c>
      <c r="BB101" s="48">
        <v>0</v>
      </c>
      <c r="BC101" s="48">
        <v>0</v>
      </c>
      <c r="BD101" s="48">
        <v>0</v>
      </c>
      <c r="BE101" s="48">
        <v>0</v>
      </c>
      <c r="BF101" s="48">
        <v>0</v>
      </c>
      <c r="BG101" s="48">
        <v>0</v>
      </c>
      <c r="BH101" s="48">
        <v>0</v>
      </c>
      <c r="BI101" s="48">
        <v>0</v>
      </c>
      <c r="BJ101" s="48">
        <v>0</v>
      </c>
      <c r="BK101" s="48">
        <v>0</v>
      </c>
      <c r="BL101" s="48">
        <v>0</v>
      </c>
      <c r="BM101" s="48">
        <v>0</v>
      </c>
      <c r="BN101" s="48">
        <v>0</v>
      </c>
      <c r="BO101" s="48">
        <v>0</v>
      </c>
      <c r="BP101" s="48">
        <v>0</v>
      </c>
      <c r="BQ101" s="48">
        <v>0</v>
      </c>
      <c r="BR101" s="48">
        <v>0</v>
      </c>
      <c r="BS101" s="48">
        <v>0</v>
      </c>
      <c r="BT101" s="48">
        <v>0</v>
      </c>
      <c r="BU101" s="48">
        <v>0</v>
      </c>
      <c r="BV101" s="48">
        <v>0</v>
      </c>
      <c r="BW101" s="48"/>
      <c r="BX101" s="48"/>
      <c r="BY101" s="48"/>
      <c r="BZ101" s="48"/>
      <c r="CA101" s="48"/>
      <c r="CB101" s="48"/>
      <c r="CC101" s="48"/>
      <c r="CD101" s="48"/>
      <c r="CE101" s="48"/>
      <c r="CF101" s="48"/>
      <c r="CG101" s="48"/>
      <c r="CH101" s="48"/>
      <c r="CI101" s="48"/>
      <c r="CJ101" s="48"/>
      <c r="CK101" s="48"/>
      <c r="CL101" s="48"/>
    </row>
    <row r="102" spans="1:90">
      <c r="A102" s="4" t="s">
        <v>98</v>
      </c>
      <c r="B102" s="48">
        <v>10660467617.889999</v>
      </c>
      <c r="C102" s="48">
        <v>10262324560.99</v>
      </c>
      <c r="D102" s="48">
        <v>10359277689.799999</v>
      </c>
      <c r="E102" s="48">
        <v>10035844241.190001</v>
      </c>
      <c r="F102" s="48">
        <v>9818321388.7299995</v>
      </c>
      <c r="G102" s="48">
        <v>9411904938.7800007</v>
      </c>
      <c r="H102" s="48">
        <v>9462627249.5200005</v>
      </c>
      <c r="I102" s="48">
        <v>9214584464.0799999</v>
      </c>
      <c r="J102" s="48">
        <v>8962914633.5799999</v>
      </c>
      <c r="K102" s="48">
        <v>8564246118.2600002</v>
      </c>
      <c r="L102" s="48">
        <v>8316793497.4700003</v>
      </c>
      <c r="M102" s="48">
        <v>8119111431.1700001</v>
      </c>
      <c r="N102" s="48">
        <v>7972159225.5799999</v>
      </c>
      <c r="O102" s="48">
        <v>6890582918.9300003</v>
      </c>
      <c r="P102" s="48">
        <v>6419303426.3599997</v>
      </c>
      <c r="Q102" s="48">
        <v>6260615425.8900003</v>
      </c>
      <c r="R102" s="48">
        <v>6225947085.6499996</v>
      </c>
      <c r="S102" s="48">
        <v>5920010876.6199999</v>
      </c>
      <c r="T102" s="48">
        <v>5932471151.8199997</v>
      </c>
      <c r="U102" s="48">
        <v>5754430707.2799997</v>
      </c>
      <c r="V102" s="48">
        <v>5509307337.1700001</v>
      </c>
      <c r="W102" s="48">
        <v>5128803585.04</v>
      </c>
      <c r="X102" s="48">
        <v>5193939340.8599997</v>
      </c>
      <c r="Y102" s="48">
        <v>5104562436.54</v>
      </c>
      <c r="Z102" s="48">
        <v>5165480694.8100004</v>
      </c>
      <c r="AA102" s="48">
        <v>6178068019.9300003</v>
      </c>
      <c r="AB102" s="48">
        <v>6244642446.8900003</v>
      </c>
      <c r="AC102" s="48">
        <v>5486019637.04</v>
      </c>
      <c r="AD102" s="48">
        <v>5917144480.3400002</v>
      </c>
      <c r="AE102" s="48">
        <v>5712726115.2200003</v>
      </c>
      <c r="AF102" s="48">
        <v>5676981940.2200003</v>
      </c>
      <c r="AG102" s="48">
        <v>5487077682.7700005</v>
      </c>
      <c r="AH102" s="48">
        <v>5387724412.0600004</v>
      </c>
      <c r="AI102" s="48">
        <v>5209489129.7700005</v>
      </c>
      <c r="AJ102" s="48">
        <v>5118843967.54</v>
      </c>
      <c r="AK102" s="48">
        <v>4950057722.3900003</v>
      </c>
      <c r="AL102" s="48">
        <v>5001722265.6700001</v>
      </c>
      <c r="AM102" s="48">
        <v>4816975925.0699997</v>
      </c>
      <c r="AN102" s="48">
        <v>4708998614.4499998</v>
      </c>
      <c r="AO102" s="48">
        <v>4564542108.1999998</v>
      </c>
      <c r="AP102" s="48">
        <v>4422815579.9300003</v>
      </c>
      <c r="AQ102" s="48">
        <v>4280982623.73</v>
      </c>
      <c r="AR102" s="48">
        <v>4190628054.0300002</v>
      </c>
      <c r="AS102" s="48">
        <v>4064286599.1199999</v>
      </c>
      <c r="AT102" s="48">
        <v>3989341897.48</v>
      </c>
      <c r="AU102" s="48">
        <v>3813591525.6199999</v>
      </c>
      <c r="AV102" s="48">
        <v>3659883322.9499998</v>
      </c>
      <c r="AW102" s="48">
        <v>3638341267.0599999</v>
      </c>
      <c r="AX102" s="48">
        <v>3539015570.1799998</v>
      </c>
      <c r="AY102" s="48">
        <v>3421458575.0700002</v>
      </c>
      <c r="AZ102" s="48">
        <v>3431964940.5599999</v>
      </c>
      <c r="BA102" s="48">
        <v>3370999396.0100002</v>
      </c>
      <c r="BB102" s="48">
        <v>3396914722.2199998</v>
      </c>
      <c r="BC102" s="48">
        <v>3385596561.1399999</v>
      </c>
      <c r="BD102" s="48">
        <v>3507956785.8600001</v>
      </c>
      <c r="BE102" s="48">
        <v>3436633780.6199999</v>
      </c>
      <c r="BF102" s="48">
        <v>3437811344.4899998</v>
      </c>
      <c r="BG102" s="48">
        <v>3446282917.3200002</v>
      </c>
      <c r="BH102" s="48">
        <v>3334183281.0999999</v>
      </c>
      <c r="BI102" s="48">
        <v>3253401218.4899998</v>
      </c>
      <c r="BJ102" s="48">
        <v>3188136701.4200001</v>
      </c>
      <c r="BK102" s="48">
        <v>3102411840.3600001</v>
      </c>
      <c r="BL102" s="48">
        <v>2956796260.9899998</v>
      </c>
      <c r="BM102" s="48">
        <v>2939782965.54</v>
      </c>
      <c r="BN102" s="48">
        <v>2938700204.0999999</v>
      </c>
      <c r="BO102" s="48">
        <v>2850988639.3499999</v>
      </c>
      <c r="BP102" s="48">
        <v>2784318534.5599999</v>
      </c>
      <c r="BQ102" s="48">
        <v>2714715040.6300001</v>
      </c>
      <c r="BR102" s="48">
        <v>2728596644.7199998</v>
      </c>
      <c r="BS102" s="48">
        <v>2591080115.2800002</v>
      </c>
      <c r="BT102" s="48">
        <v>2791716742.6399999</v>
      </c>
      <c r="BU102" s="48">
        <v>2645724841.4299998</v>
      </c>
      <c r="BV102" s="48">
        <v>1347281958.8599999</v>
      </c>
      <c r="BW102" s="48">
        <v>1248311269.76</v>
      </c>
      <c r="BX102" s="48">
        <v>1229599139.29</v>
      </c>
      <c r="BY102" s="48">
        <v>1243135953.28</v>
      </c>
      <c r="BZ102" s="48">
        <v>1174616352.97</v>
      </c>
      <c r="CA102" s="48">
        <v>1161133968.48</v>
      </c>
      <c r="CB102" s="48">
        <v>1183711862.5699999</v>
      </c>
      <c r="CC102" s="48">
        <v>1077817608.03</v>
      </c>
      <c r="CD102" s="48">
        <v>1076619164.8800001</v>
      </c>
      <c r="CE102" s="48">
        <v>1079642000</v>
      </c>
      <c r="CF102" s="48">
        <v>1003922431.86</v>
      </c>
      <c r="CG102" s="48">
        <v>492362941.67000002</v>
      </c>
      <c r="CH102" s="48">
        <v>203800000</v>
      </c>
      <c r="CI102" s="48">
        <v>162870000</v>
      </c>
      <c r="CJ102" s="48">
        <v>92660000</v>
      </c>
      <c r="CK102" s="48">
        <v>75420000</v>
      </c>
      <c r="CL102" s="48">
        <v>0</v>
      </c>
    </row>
    <row r="103" spans="1:90">
      <c r="A103" s="4" t="s">
        <v>99</v>
      </c>
      <c r="B103" s="48">
        <v>2244051146.8699999</v>
      </c>
      <c r="C103" s="48">
        <v>1959109894.6099999</v>
      </c>
      <c r="D103" s="48">
        <v>2553284588.4499998</v>
      </c>
      <c r="E103" s="48">
        <v>2394753281.9299998</v>
      </c>
      <c r="F103" s="48">
        <v>2211425925.4400001</v>
      </c>
      <c r="G103" s="48">
        <v>1922634220.1800001</v>
      </c>
      <c r="H103" s="48">
        <v>2528794110.1700001</v>
      </c>
      <c r="I103" s="48">
        <v>2375877753.6300001</v>
      </c>
      <c r="J103" s="48">
        <v>2191416637.96</v>
      </c>
      <c r="K103" s="48">
        <v>1909620092.4400001</v>
      </c>
      <c r="L103" s="48">
        <v>2519441588.1399999</v>
      </c>
      <c r="M103" s="48">
        <v>2367373968.4099998</v>
      </c>
      <c r="N103" s="48">
        <v>2177843076.8600001</v>
      </c>
      <c r="O103" s="48">
        <v>1903108664.8399999</v>
      </c>
      <c r="P103" s="48">
        <v>2501480299.1900001</v>
      </c>
      <c r="Q103" s="48">
        <v>2351289238.6700001</v>
      </c>
      <c r="R103" s="48">
        <v>2167148043.1599998</v>
      </c>
      <c r="S103" s="48">
        <v>1892340227.0999999</v>
      </c>
      <c r="T103" s="48">
        <v>2453439654.48</v>
      </c>
      <c r="U103" s="48">
        <v>2312404169.9200001</v>
      </c>
      <c r="V103" s="48">
        <v>2132506315.79</v>
      </c>
      <c r="W103" s="48">
        <v>1834841345.1400001</v>
      </c>
      <c r="X103" s="48">
        <v>2154003498.3499999</v>
      </c>
      <c r="Y103" s="48">
        <v>2025837953.23</v>
      </c>
      <c r="Z103" s="48">
        <v>1909507064.76</v>
      </c>
      <c r="AA103" s="48">
        <v>1734834229.3099999</v>
      </c>
      <c r="AB103" s="48">
        <v>1984471239.49</v>
      </c>
      <c r="AC103" s="48">
        <v>1892215724.51</v>
      </c>
      <c r="AD103" s="48">
        <v>1847976734.77</v>
      </c>
      <c r="AE103" s="48">
        <v>1711994607.6199999</v>
      </c>
      <c r="AF103" s="48">
        <v>2007564210.8399999</v>
      </c>
      <c r="AG103" s="48">
        <v>1907296357.9000001</v>
      </c>
      <c r="AH103" s="48">
        <v>1847687653.48</v>
      </c>
      <c r="AI103" s="48">
        <v>1762845301.25</v>
      </c>
      <c r="AJ103" s="48">
        <v>1901347610.3399999</v>
      </c>
      <c r="AK103" s="48">
        <v>1817967112.54</v>
      </c>
      <c r="AL103" s="48">
        <v>1795308549.03</v>
      </c>
      <c r="AM103" s="48">
        <v>1565552095.71</v>
      </c>
      <c r="AN103" s="48">
        <v>1716204343.9100001</v>
      </c>
      <c r="AO103" s="48">
        <v>1630200752.8099999</v>
      </c>
      <c r="AP103" s="48">
        <v>1595216201.5799999</v>
      </c>
      <c r="AQ103" s="48">
        <v>1508466195.24</v>
      </c>
      <c r="AR103" s="48">
        <v>1665777839.47</v>
      </c>
      <c r="AS103" s="48">
        <v>1594466336.1900001</v>
      </c>
      <c r="AT103" s="48">
        <v>1568055288.3199999</v>
      </c>
      <c r="AU103" s="48">
        <v>1480593596.3399999</v>
      </c>
      <c r="AV103" s="48">
        <v>1616917142.97</v>
      </c>
      <c r="AW103" s="48">
        <v>1543511977.0999999</v>
      </c>
      <c r="AX103" s="48">
        <v>1472896083.49</v>
      </c>
      <c r="AY103" s="48">
        <v>1398817616.9100001</v>
      </c>
      <c r="AZ103" s="48">
        <v>1578373162.75</v>
      </c>
      <c r="BA103" s="48">
        <v>1524310184.53</v>
      </c>
      <c r="BB103" s="48">
        <v>1491655606.1900001</v>
      </c>
      <c r="BC103" s="48">
        <v>1422004901.4200001</v>
      </c>
      <c r="BD103" s="48">
        <v>1560864241.5899999</v>
      </c>
      <c r="BE103" s="48">
        <v>1490119769.49</v>
      </c>
      <c r="BF103" s="48">
        <v>1370488198.45</v>
      </c>
      <c r="BG103" s="48">
        <v>1305115860.6900001</v>
      </c>
      <c r="BH103" s="48">
        <v>1471670374.79</v>
      </c>
      <c r="BI103" s="48">
        <v>1394732453.79</v>
      </c>
      <c r="BJ103" s="48">
        <v>1300805778.96</v>
      </c>
      <c r="BK103" s="48">
        <v>1190501693.0799999</v>
      </c>
      <c r="BL103" s="48">
        <v>1333793293.0699999</v>
      </c>
      <c r="BM103" s="48">
        <v>1265998167.1800001</v>
      </c>
      <c r="BN103" s="48">
        <v>1186619907.7</v>
      </c>
      <c r="BO103" s="48">
        <v>1103039324.54</v>
      </c>
      <c r="BP103" s="48">
        <v>1204158783.23</v>
      </c>
      <c r="BQ103" s="48">
        <v>1161214127.53</v>
      </c>
      <c r="BR103" s="48">
        <v>1066774809.54</v>
      </c>
      <c r="BS103" s="48">
        <v>1008461505.29</v>
      </c>
      <c r="BT103" s="48">
        <v>938966019.15999997</v>
      </c>
      <c r="BU103" s="48">
        <v>952340253.22000003</v>
      </c>
      <c r="BV103" s="48">
        <v>843905400.62</v>
      </c>
      <c r="BW103" s="48">
        <v>860297515.53999996</v>
      </c>
      <c r="BX103" s="48">
        <v>0</v>
      </c>
      <c r="BY103" s="48">
        <v>0</v>
      </c>
      <c r="BZ103" s="48">
        <v>0</v>
      </c>
      <c r="CA103" s="48">
        <v>0</v>
      </c>
      <c r="CB103" s="48">
        <v>0</v>
      </c>
      <c r="CC103" s="48">
        <v>0</v>
      </c>
      <c r="CD103" s="48">
        <v>-21919.05</v>
      </c>
      <c r="CE103" s="48">
        <v>96000</v>
      </c>
      <c r="CF103" s="48">
        <v>305920.90000000002</v>
      </c>
      <c r="CG103" s="48">
        <v>326958.7</v>
      </c>
      <c r="CH103" s="48">
        <v>0</v>
      </c>
      <c r="CI103" s="48">
        <v>0</v>
      </c>
      <c r="CJ103" s="48">
        <v>0</v>
      </c>
      <c r="CK103" s="48">
        <v>0</v>
      </c>
      <c r="CL103" s="48">
        <v>0</v>
      </c>
    </row>
    <row r="104" spans="1:90" hidden="1">
      <c r="A104" s="4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0"/>
    </row>
    <row r="105" spans="1:90" hidden="1">
      <c r="A105" s="4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0"/>
    </row>
    <row r="106" spans="1:90" hidden="1">
      <c r="A106" s="4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0"/>
    </row>
    <row r="107" spans="1:90" s="6" customFormat="1">
      <c r="A107" s="8" t="s">
        <v>100</v>
      </c>
      <c r="B107" s="41">
        <f>B102+B103</f>
        <v>12904518764.759998</v>
      </c>
      <c r="C107" s="41">
        <f t="shared" ref="C107:D107" si="17">C102+C103</f>
        <v>12221434455.6</v>
      </c>
      <c r="D107" s="41">
        <f t="shared" si="17"/>
        <v>12912562278.25</v>
      </c>
      <c r="E107" s="41">
        <f>E102+E103</f>
        <v>12430597523.120001</v>
      </c>
      <c r="F107" s="41">
        <f t="shared" ref="F107:BQ107" si="18">F102+F103</f>
        <v>12029747314.17</v>
      </c>
      <c r="G107" s="41">
        <f t="shared" si="18"/>
        <v>11334539158.960001</v>
      </c>
      <c r="H107" s="41">
        <f t="shared" si="18"/>
        <v>11991421359.690001</v>
      </c>
      <c r="I107" s="41">
        <f t="shared" si="18"/>
        <v>11590462217.709999</v>
      </c>
      <c r="J107" s="41">
        <f t="shared" si="18"/>
        <v>11154331271.540001</v>
      </c>
      <c r="K107" s="41">
        <f t="shared" si="18"/>
        <v>10473866210.700001</v>
      </c>
      <c r="L107" s="41">
        <f t="shared" si="18"/>
        <v>10836235085.610001</v>
      </c>
      <c r="M107" s="41">
        <f t="shared" si="18"/>
        <v>10486485399.58</v>
      </c>
      <c r="N107" s="41">
        <f t="shared" si="18"/>
        <v>10150002302.440001</v>
      </c>
      <c r="O107" s="41">
        <f t="shared" si="18"/>
        <v>8793691583.7700005</v>
      </c>
      <c r="P107" s="41">
        <f t="shared" si="18"/>
        <v>8920783725.5499992</v>
      </c>
      <c r="Q107" s="41">
        <f t="shared" si="18"/>
        <v>8611904664.5600014</v>
      </c>
      <c r="R107" s="41">
        <f t="shared" si="18"/>
        <v>8393095128.8099995</v>
      </c>
      <c r="S107" s="41">
        <f t="shared" si="18"/>
        <v>7812351103.7199993</v>
      </c>
      <c r="T107" s="41">
        <f t="shared" si="18"/>
        <v>8385910806.2999992</v>
      </c>
      <c r="U107" s="41">
        <f t="shared" si="18"/>
        <v>8066834877.1999998</v>
      </c>
      <c r="V107" s="41">
        <f t="shared" si="18"/>
        <v>7641813652.96</v>
      </c>
      <c r="W107" s="41">
        <f t="shared" si="18"/>
        <v>6963644930.1800003</v>
      </c>
      <c r="X107" s="41">
        <f t="shared" si="18"/>
        <v>7347942839.2099991</v>
      </c>
      <c r="Y107" s="41">
        <f t="shared" si="18"/>
        <v>7130400389.7700005</v>
      </c>
      <c r="Z107" s="41">
        <f t="shared" si="18"/>
        <v>7074987759.5700006</v>
      </c>
      <c r="AA107" s="41">
        <f t="shared" si="18"/>
        <v>7912902249.2399998</v>
      </c>
      <c r="AB107" s="41">
        <f t="shared" si="18"/>
        <v>8229113686.3800001</v>
      </c>
      <c r="AC107" s="41">
        <f t="shared" si="18"/>
        <v>7378235361.5500002</v>
      </c>
      <c r="AD107" s="41">
        <f t="shared" si="18"/>
        <v>7765121215.1100006</v>
      </c>
      <c r="AE107" s="41">
        <f t="shared" si="18"/>
        <v>7424720722.8400002</v>
      </c>
      <c r="AF107" s="41">
        <f t="shared" si="18"/>
        <v>7684546151.0600004</v>
      </c>
      <c r="AG107" s="41">
        <f t="shared" si="18"/>
        <v>7394374040.6700001</v>
      </c>
      <c r="AH107" s="41">
        <f t="shared" si="18"/>
        <v>7235412065.5400009</v>
      </c>
      <c r="AI107" s="41">
        <f t="shared" si="18"/>
        <v>6972334431.0200005</v>
      </c>
      <c r="AJ107" s="41">
        <f t="shared" si="18"/>
        <v>7020191577.8800001</v>
      </c>
      <c r="AK107" s="41">
        <f t="shared" si="18"/>
        <v>6768024834.9300003</v>
      </c>
      <c r="AL107" s="41">
        <f t="shared" si="18"/>
        <v>6797030814.6999998</v>
      </c>
      <c r="AM107" s="41">
        <f t="shared" si="18"/>
        <v>6382528020.7799997</v>
      </c>
      <c r="AN107" s="41">
        <f t="shared" si="18"/>
        <v>6425202958.3599997</v>
      </c>
      <c r="AO107" s="41">
        <f t="shared" si="18"/>
        <v>6194742861.0100002</v>
      </c>
      <c r="AP107" s="41">
        <f t="shared" si="18"/>
        <v>6018031781.5100002</v>
      </c>
      <c r="AQ107" s="41">
        <f t="shared" si="18"/>
        <v>5789448818.9700003</v>
      </c>
      <c r="AR107" s="41">
        <f t="shared" si="18"/>
        <v>5856405893.5</v>
      </c>
      <c r="AS107" s="41">
        <f t="shared" si="18"/>
        <v>5658752935.3099995</v>
      </c>
      <c r="AT107" s="41">
        <f t="shared" si="18"/>
        <v>5557397185.8000002</v>
      </c>
      <c r="AU107" s="41">
        <f t="shared" si="18"/>
        <v>5294185121.96</v>
      </c>
      <c r="AV107" s="41">
        <f t="shared" si="18"/>
        <v>5276800465.9200001</v>
      </c>
      <c r="AW107" s="41">
        <f t="shared" si="18"/>
        <v>5181853244.1599998</v>
      </c>
      <c r="AX107" s="41">
        <f t="shared" si="18"/>
        <v>5011911653.6700001</v>
      </c>
      <c r="AY107" s="41">
        <f t="shared" si="18"/>
        <v>4820276191.9800005</v>
      </c>
      <c r="AZ107" s="41">
        <f t="shared" si="18"/>
        <v>5010338103.3099995</v>
      </c>
      <c r="BA107" s="41">
        <f t="shared" si="18"/>
        <v>4895309580.54</v>
      </c>
      <c r="BB107" s="41">
        <f t="shared" si="18"/>
        <v>4888570328.4099998</v>
      </c>
      <c r="BC107" s="41">
        <f t="shared" si="18"/>
        <v>4807601462.5599995</v>
      </c>
      <c r="BD107" s="41">
        <f t="shared" si="18"/>
        <v>5068821027.4499998</v>
      </c>
      <c r="BE107" s="41">
        <f t="shared" si="18"/>
        <v>4926753550.1099997</v>
      </c>
      <c r="BF107" s="41">
        <f t="shared" si="18"/>
        <v>4808299542.9399996</v>
      </c>
      <c r="BG107" s="41">
        <f t="shared" si="18"/>
        <v>4751398778.0100002</v>
      </c>
      <c r="BH107" s="41">
        <f t="shared" si="18"/>
        <v>4805853655.8899994</v>
      </c>
      <c r="BI107" s="41">
        <f t="shared" si="18"/>
        <v>4648133672.2799997</v>
      </c>
      <c r="BJ107" s="41">
        <f t="shared" si="18"/>
        <v>4488942480.3800001</v>
      </c>
      <c r="BK107" s="41">
        <f t="shared" si="18"/>
        <v>4292913533.4400001</v>
      </c>
      <c r="BL107" s="41">
        <f t="shared" si="18"/>
        <v>4290589554.0599995</v>
      </c>
      <c r="BM107" s="41">
        <f t="shared" si="18"/>
        <v>4205781132.7200003</v>
      </c>
      <c r="BN107" s="41">
        <f t="shared" si="18"/>
        <v>4125320111.8000002</v>
      </c>
      <c r="BO107" s="41">
        <f t="shared" si="18"/>
        <v>3954027963.8899999</v>
      </c>
      <c r="BP107" s="41">
        <f t="shared" si="18"/>
        <v>3988477317.79</v>
      </c>
      <c r="BQ107" s="41">
        <f t="shared" si="18"/>
        <v>3875929168.1599998</v>
      </c>
      <c r="BR107" s="41">
        <f t="shared" ref="BR107:CK107" si="19">BR102+BR103</f>
        <v>3795371454.2599998</v>
      </c>
      <c r="BS107" s="41">
        <f t="shared" si="19"/>
        <v>3599541620.5700002</v>
      </c>
      <c r="BT107" s="41">
        <f t="shared" si="19"/>
        <v>3730682761.7999997</v>
      </c>
      <c r="BU107" s="41">
        <f t="shared" si="19"/>
        <v>3598065094.6499996</v>
      </c>
      <c r="BV107" s="41">
        <f t="shared" si="19"/>
        <v>2191187359.48</v>
      </c>
      <c r="BW107" s="41">
        <f t="shared" si="19"/>
        <v>2108608785.3</v>
      </c>
      <c r="BX107" s="41">
        <f t="shared" si="19"/>
        <v>1229599139.29</v>
      </c>
      <c r="BY107" s="41">
        <f t="shared" si="19"/>
        <v>1243135953.28</v>
      </c>
      <c r="BZ107" s="41">
        <f t="shared" si="19"/>
        <v>1174616352.97</v>
      </c>
      <c r="CA107" s="41">
        <f t="shared" si="19"/>
        <v>1161133968.48</v>
      </c>
      <c r="CB107" s="41">
        <f t="shared" si="19"/>
        <v>1183711862.5699999</v>
      </c>
      <c r="CC107" s="41">
        <f t="shared" si="19"/>
        <v>1077817608.03</v>
      </c>
      <c r="CD107" s="41">
        <f t="shared" si="19"/>
        <v>1076597245.8300002</v>
      </c>
      <c r="CE107" s="41">
        <f t="shared" si="19"/>
        <v>1079738000</v>
      </c>
      <c r="CF107" s="41">
        <f t="shared" si="19"/>
        <v>1004228352.76</v>
      </c>
      <c r="CG107" s="41">
        <f t="shared" si="19"/>
        <v>492689900.37</v>
      </c>
      <c r="CH107" s="41">
        <f t="shared" si="19"/>
        <v>203800000</v>
      </c>
      <c r="CI107" s="41">
        <f t="shared" si="19"/>
        <v>162870000</v>
      </c>
      <c r="CJ107" s="41">
        <f t="shared" si="19"/>
        <v>92660000</v>
      </c>
      <c r="CK107" s="41">
        <f t="shared" si="19"/>
        <v>75420000</v>
      </c>
      <c r="CL107" s="41">
        <f t="shared" ref="CL107" si="20">CL102+CL103</f>
        <v>0</v>
      </c>
    </row>
    <row r="108" spans="1:90" s="11" customFormat="1">
      <c r="A108" s="10" t="s">
        <v>101</v>
      </c>
      <c r="B108" s="46">
        <f>SUM(B89+B107)</f>
        <v>12943765949.759998</v>
      </c>
      <c r="C108" s="46">
        <f t="shared" ref="C108:BN108" si="21">SUM(C89+C107)</f>
        <v>12260681640.6</v>
      </c>
      <c r="D108" s="46">
        <f t="shared" si="21"/>
        <v>12952558869.389999</v>
      </c>
      <c r="E108" s="46">
        <f>E107-E89</f>
        <v>12395100931.960001</v>
      </c>
      <c r="F108" s="46">
        <f t="shared" si="21"/>
        <v>12065854975.51</v>
      </c>
      <c r="G108" s="46">
        <f t="shared" si="21"/>
        <v>11365651268.970001</v>
      </c>
      <c r="H108" s="46">
        <f t="shared" si="21"/>
        <v>12022542267.25</v>
      </c>
      <c r="I108" s="46">
        <f t="shared" si="21"/>
        <v>11621855302.9</v>
      </c>
      <c r="J108" s="46">
        <f t="shared" si="21"/>
        <v>11203999200.67</v>
      </c>
      <c r="K108" s="46">
        <f t="shared" si="21"/>
        <v>10514398775.290001</v>
      </c>
      <c r="L108" s="46">
        <f t="shared" si="21"/>
        <v>10881290033.84</v>
      </c>
      <c r="M108" s="46">
        <f t="shared" si="21"/>
        <v>10537815509.24</v>
      </c>
      <c r="N108" s="46">
        <f t="shared" si="21"/>
        <v>10202767026.440001</v>
      </c>
      <c r="O108" s="46">
        <f t="shared" si="21"/>
        <v>8908668993.1599998</v>
      </c>
      <c r="P108" s="46">
        <f t="shared" si="21"/>
        <v>10553921873.019999</v>
      </c>
      <c r="Q108" s="46">
        <f t="shared" si="21"/>
        <v>10214512746.500002</v>
      </c>
      <c r="R108" s="46">
        <f t="shared" si="21"/>
        <v>10142375510.129999</v>
      </c>
      <c r="S108" s="46">
        <f t="shared" si="21"/>
        <v>9565011634.6199989</v>
      </c>
      <c r="T108" s="46">
        <f t="shared" si="21"/>
        <v>10151841978.24</v>
      </c>
      <c r="U108" s="46">
        <f t="shared" si="21"/>
        <v>9813133452.9200001</v>
      </c>
      <c r="V108" s="46">
        <f t="shared" si="21"/>
        <v>9710116798.7700005</v>
      </c>
      <c r="W108" s="46">
        <f t="shared" si="21"/>
        <v>9033063973.2000008</v>
      </c>
      <c r="X108" s="46">
        <f t="shared" si="21"/>
        <v>9480378291.5099983</v>
      </c>
      <c r="Y108" s="46">
        <f t="shared" si="21"/>
        <v>10692699556.540001</v>
      </c>
      <c r="Z108" s="46">
        <f t="shared" si="21"/>
        <v>9249926968.0800018</v>
      </c>
      <c r="AA108" s="46">
        <f t="shared" si="21"/>
        <v>8229210899.2399998</v>
      </c>
      <c r="AB108" s="46">
        <f t="shared" si="21"/>
        <v>8543362336.3800001</v>
      </c>
      <c r="AC108" s="46">
        <f t="shared" si="21"/>
        <v>9237458813.1399994</v>
      </c>
      <c r="AD108" s="46">
        <f t="shared" si="21"/>
        <v>8080874119.3300009</v>
      </c>
      <c r="AE108" s="46">
        <f t="shared" si="21"/>
        <v>7810473627.0600004</v>
      </c>
      <c r="AF108" s="46">
        <f t="shared" si="21"/>
        <v>7980299055.2800007</v>
      </c>
      <c r="AG108" s="46">
        <f t="shared" si="21"/>
        <v>7694761480.8900003</v>
      </c>
      <c r="AH108" s="46">
        <f t="shared" si="21"/>
        <v>7610231423.4300013</v>
      </c>
      <c r="AI108" s="46">
        <f t="shared" si="21"/>
        <v>7425054401.9100008</v>
      </c>
      <c r="AJ108" s="46">
        <f t="shared" si="21"/>
        <v>7613612383.4200001</v>
      </c>
      <c r="AK108" s="46">
        <f t="shared" si="21"/>
        <v>7385448328.1800003</v>
      </c>
      <c r="AL108" s="46">
        <f t="shared" si="21"/>
        <v>7426791713.3899994</v>
      </c>
      <c r="AM108" s="46">
        <f t="shared" si="21"/>
        <v>6669349965.46</v>
      </c>
      <c r="AN108" s="46">
        <f t="shared" si="21"/>
        <v>6767216884.4699993</v>
      </c>
      <c r="AO108" s="46">
        <f t="shared" si="21"/>
        <v>6560089086.4899998</v>
      </c>
      <c r="AP108" s="46">
        <f t="shared" si="21"/>
        <v>6353397648.4000006</v>
      </c>
      <c r="AQ108" s="46">
        <f t="shared" si="21"/>
        <v>6195892034.1800003</v>
      </c>
      <c r="AR108" s="46">
        <f t="shared" si="21"/>
        <v>6233831860.5200005</v>
      </c>
      <c r="AS108" s="46">
        <f t="shared" si="21"/>
        <v>6039459197.1299992</v>
      </c>
      <c r="AT108" s="46">
        <f t="shared" si="21"/>
        <v>5899907971.3699999</v>
      </c>
      <c r="AU108" s="46">
        <f t="shared" si="21"/>
        <v>5660208586.1400003</v>
      </c>
      <c r="AV108" s="46">
        <f t="shared" si="21"/>
        <v>5668339471.5699997</v>
      </c>
      <c r="AW108" s="46">
        <f t="shared" si="21"/>
        <v>5567215420.5299997</v>
      </c>
      <c r="AX108" s="46">
        <f t="shared" si="21"/>
        <v>5447526315.4899998</v>
      </c>
      <c r="AY108" s="46">
        <f t="shared" si="21"/>
        <v>5313670730.7200003</v>
      </c>
      <c r="AZ108" s="46">
        <f t="shared" si="21"/>
        <v>5577699249.5099993</v>
      </c>
      <c r="BA108" s="46">
        <f t="shared" si="21"/>
        <v>5512041941.1800003</v>
      </c>
      <c r="BB108" s="46">
        <f t="shared" si="21"/>
        <v>5497713635.6800003</v>
      </c>
      <c r="BC108" s="46">
        <f t="shared" si="21"/>
        <v>5467029835.3099995</v>
      </c>
      <c r="BD108" s="46">
        <f t="shared" si="21"/>
        <v>5819594932.5999994</v>
      </c>
      <c r="BE108" s="46">
        <f t="shared" si="21"/>
        <v>5636860455.2599993</v>
      </c>
      <c r="BF108" s="46">
        <f t="shared" si="21"/>
        <v>5473330550.2099991</v>
      </c>
      <c r="BG108" s="46">
        <f t="shared" si="21"/>
        <v>5519749285.2800007</v>
      </c>
      <c r="BH108" s="46">
        <f t="shared" si="21"/>
        <v>5640794163.1599998</v>
      </c>
      <c r="BI108" s="46">
        <f t="shared" si="21"/>
        <v>5498685182.8400002</v>
      </c>
      <c r="BJ108" s="46">
        <f t="shared" si="21"/>
        <v>5430049720.3999996</v>
      </c>
      <c r="BK108" s="46">
        <f t="shared" si="21"/>
        <v>5660119711.46</v>
      </c>
      <c r="BL108" s="46">
        <f t="shared" si="21"/>
        <v>5775031672.1999998</v>
      </c>
      <c r="BM108" s="46">
        <f t="shared" si="21"/>
        <v>5597030926.0799999</v>
      </c>
      <c r="BN108" s="46">
        <f t="shared" si="21"/>
        <v>5396598196.1200008</v>
      </c>
      <c r="BO108" s="46">
        <f t="shared" ref="BO108:CK108" si="22">SUM(BO89+BO107)</f>
        <v>5187856848.21</v>
      </c>
      <c r="BP108" s="46">
        <f t="shared" si="22"/>
        <v>5165404447.0799999</v>
      </c>
      <c r="BQ108" s="46">
        <f t="shared" si="22"/>
        <v>4945811987.2799997</v>
      </c>
      <c r="BR108" s="46">
        <f t="shared" si="22"/>
        <v>4842073770.79</v>
      </c>
      <c r="BS108" s="46">
        <f t="shared" si="22"/>
        <v>4457330331.7600002</v>
      </c>
      <c r="BT108" s="46">
        <f t="shared" si="22"/>
        <v>4654314198.9299994</v>
      </c>
      <c r="BU108" s="46">
        <f t="shared" si="22"/>
        <v>4468103121.7799997</v>
      </c>
      <c r="BV108" s="46">
        <f t="shared" si="22"/>
        <v>2943073357.0799999</v>
      </c>
      <c r="BW108" s="46">
        <f t="shared" si="22"/>
        <v>2843169630.9699998</v>
      </c>
      <c r="BX108" s="46">
        <f t="shared" si="22"/>
        <v>1844800534.29</v>
      </c>
      <c r="BY108" s="46">
        <f t="shared" si="22"/>
        <v>1887670982.0599999</v>
      </c>
      <c r="BZ108" s="46">
        <f t="shared" si="22"/>
        <v>1174616352.97</v>
      </c>
      <c r="CA108" s="46">
        <f t="shared" si="22"/>
        <v>1699946345.95</v>
      </c>
      <c r="CB108" s="46">
        <f t="shared" si="22"/>
        <v>1183711862.5699999</v>
      </c>
      <c r="CC108" s="46">
        <f t="shared" si="22"/>
        <v>1409915325.3899999</v>
      </c>
      <c r="CD108" s="46">
        <f t="shared" si="22"/>
        <v>1076597245.8300002</v>
      </c>
      <c r="CE108" s="46">
        <f t="shared" si="22"/>
        <v>1270942000</v>
      </c>
      <c r="CF108" s="46">
        <f t="shared" si="22"/>
        <v>1004228352.76</v>
      </c>
      <c r="CG108" s="46">
        <f t="shared" si="22"/>
        <v>783050324.68000007</v>
      </c>
      <c r="CH108" s="46">
        <f t="shared" si="22"/>
        <v>203800000</v>
      </c>
      <c r="CI108" s="46">
        <f t="shared" si="22"/>
        <v>162870000</v>
      </c>
      <c r="CJ108" s="46">
        <f t="shared" si="22"/>
        <v>92660000</v>
      </c>
      <c r="CK108" s="46">
        <f t="shared" si="22"/>
        <v>75420000</v>
      </c>
    </row>
    <row r="110" spans="1:90">
      <c r="E110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topLeftCell="A19" workbookViewId="0">
      <selection activeCell="E53" sqref="E53"/>
    </sheetView>
  </sheetViews>
  <sheetFormatPr defaultRowHeight="13.5"/>
  <cols>
    <col min="1" max="1" width="56" style="23" bestFit="1" customWidth="1"/>
    <col min="2" max="3" width="22" hidden="1" customWidth="1"/>
    <col min="4" max="4" width="20.75" hidden="1" customWidth="1"/>
    <col min="5" max="5" width="22" bestFit="1" customWidth="1"/>
    <col min="6" max="7" width="22" hidden="1" customWidth="1"/>
    <col min="8" max="8" width="20.75" hidden="1" customWidth="1"/>
    <col min="9" max="9" width="22" bestFit="1" customWidth="1"/>
    <col min="10" max="11" width="22" hidden="1" customWidth="1"/>
    <col min="12" max="12" width="23.25" hidden="1" customWidth="1"/>
    <col min="13" max="13" width="23.25" bestFit="1" customWidth="1"/>
    <col min="14" max="16" width="23.25" hidden="1" customWidth="1"/>
    <col min="17" max="17" width="23.25" bestFit="1" customWidth="1"/>
    <col min="18" max="20" width="23.25" hidden="1" customWidth="1"/>
    <col min="21" max="21" width="23.25" bestFit="1" customWidth="1"/>
    <col min="22" max="24" width="23.25" hidden="1" customWidth="1"/>
    <col min="25" max="25" width="23.25" bestFit="1" customWidth="1"/>
    <col min="26" max="27" width="23.25" hidden="1" customWidth="1"/>
    <col min="28" max="28" width="20.75" hidden="1" customWidth="1"/>
    <col min="29" max="29" width="23.25" bestFit="1" customWidth="1"/>
    <col min="30" max="31" width="23.25" hidden="1" customWidth="1"/>
    <col min="32" max="32" width="20.75" hidden="1" customWidth="1"/>
    <col min="33" max="33" width="23.25" bestFit="1" customWidth="1"/>
    <col min="34" max="35" width="23.25" hidden="1" customWidth="1"/>
    <col min="36" max="36" width="20.75" hidden="1" customWidth="1"/>
    <col min="37" max="37" width="23.25" bestFit="1" customWidth="1"/>
    <col min="38" max="38" width="23.25" hidden="1" customWidth="1"/>
    <col min="39" max="40" width="20.75" hidden="1" customWidth="1"/>
    <col min="41" max="41" width="23.25" bestFit="1" customWidth="1"/>
    <col min="42" max="42" width="23.25" hidden="1" customWidth="1"/>
    <col min="43" max="44" width="20.75" hidden="1" customWidth="1"/>
    <col min="45" max="45" width="23.25" bestFit="1" customWidth="1"/>
    <col min="46" max="46" width="23.25" hidden="1" customWidth="1"/>
    <col min="47" max="48" width="20.75" hidden="1" customWidth="1"/>
    <col min="49" max="49" width="23.25" bestFit="1" customWidth="1"/>
    <col min="50" max="50" width="23.25" hidden="1" customWidth="1"/>
    <col min="51" max="52" width="20.75" hidden="1" customWidth="1"/>
    <col min="53" max="53" width="23.25" bestFit="1" customWidth="1"/>
    <col min="54" max="54" width="23.25" hidden="1" customWidth="1"/>
    <col min="55" max="56" width="20.75" hidden="1" customWidth="1"/>
    <col min="57" max="57" width="23.25" bestFit="1" customWidth="1"/>
    <col min="58" max="58" width="23.25" hidden="1" customWidth="1"/>
    <col min="59" max="60" width="20.75" hidden="1" customWidth="1"/>
    <col min="61" max="61" width="23.25" bestFit="1" customWidth="1"/>
    <col min="62" max="64" width="20.75" hidden="1" customWidth="1"/>
    <col min="65" max="65" width="23.25" bestFit="1" customWidth="1"/>
    <col min="66" max="68" width="20.75" hidden="1" customWidth="1"/>
    <col min="69" max="69" width="23.25" bestFit="1" customWidth="1"/>
    <col min="70" max="70" width="20.75" hidden="1" customWidth="1"/>
    <col min="71" max="71" width="23.25" bestFit="1" customWidth="1"/>
    <col min="72" max="72" width="20.75" hidden="1" customWidth="1"/>
    <col min="73" max="73" width="20.75" bestFit="1" customWidth="1"/>
    <col min="74" max="74" width="20.75" hidden="1" customWidth="1"/>
    <col min="75" max="75" width="20.75" bestFit="1" customWidth="1"/>
    <col min="76" max="76" width="20.75" hidden="1" customWidth="1"/>
    <col min="77" max="77" width="20.75" bestFit="1" customWidth="1"/>
    <col min="78" max="78" width="19.5" hidden="1" customWidth="1"/>
    <col min="79" max="79" width="20.75" bestFit="1" customWidth="1"/>
    <col min="80" max="80" width="20.75" hidden="1" customWidth="1"/>
    <col min="81" max="81" width="20.75" bestFit="1" customWidth="1"/>
    <col min="82" max="82" width="20.75" hidden="1" customWidth="1"/>
    <col min="83" max="83" width="20.75" bestFit="1" customWidth="1"/>
    <col min="84" max="84" width="20.75" hidden="1" customWidth="1"/>
    <col min="85" max="85" width="19.5" hidden="1" customWidth="1"/>
    <col min="86" max="88" width="19.5" bestFit="1" customWidth="1"/>
    <col min="89" max="89" width="9.625" hidden="1" customWidth="1"/>
  </cols>
  <sheetData>
    <row r="1" spans="1:89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23" t="s">
        <v>110</v>
      </c>
    </row>
    <row r="3" spans="1:89" s="7" customFormat="1">
      <c r="A3" s="24" t="s">
        <v>111</v>
      </c>
    </row>
    <row r="4" spans="1:89">
      <c r="A4" s="23" t="s">
        <v>112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25" t="s">
        <v>113</v>
      </c>
      <c r="B5" s="48">
        <v>12769312772.200001</v>
      </c>
      <c r="C5" s="48">
        <v>8246400053.1499996</v>
      </c>
      <c r="D5" s="48">
        <v>3170883561.7199998</v>
      </c>
      <c r="E5" s="48">
        <v>15226925132.92</v>
      </c>
      <c r="F5" s="48">
        <v>11628814912.92</v>
      </c>
      <c r="G5" s="48">
        <v>7633692655.8699999</v>
      </c>
      <c r="H5" s="48">
        <v>2976584444.52</v>
      </c>
      <c r="I5" s="48">
        <v>14780967899.440001</v>
      </c>
      <c r="J5" s="48">
        <v>11180763428.889999</v>
      </c>
      <c r="K5" s="48">
        <v>7291362019.0100002</v>
      </c>
      <c r="L5" s="48">
        <v>2979672630.1999998</v>
      </c>
      <c r="M5" s="48">
        <v>15117878402.59</v>
      </c>
      <c r="N5" s="48">
        <v>11642318913.57</v>
      </c>
      <c r="O5" s="48">
        <v>7801959717</v>
      </c>
      <c r="P5" s="48">
        <v>3312008819.9899998</v>
      </c>
      <c r="Q5" s="48">
        <v>16242127953.23</v>
      </c>
      <c r="R5" s="48">
        <v>12274014787.58</v>
      </c>
      <c r="S5" s="48">
        <v>8038090291.4700003</v>
      </c>
      <c r="T5" s="48">
        <v>3269606314.1599998</v>
      </c>
      <c r="U5" s="48">
        <v>15670770649.25</v>
      </c>
      <c r="V5" s="48">
        <v>11611711540.879999</v>
      </c>
      <c r="W5" s="48">
        <v>7542876267.8199997</v>
      </c>
      <c r="X5" s="48">
        <v>3154730635.73</v>
      </c>
      <c r="Y5" s="48">
        <v>14295199209.41</v>
      </c>
      <c r="Z5" s="48">
        <v>10906926142.75</v>
      </c>
      <c r="AA5" s="48">
        <v>5793795568.4099998</v>
      </c>
      <c r="AB5" s="48">
        <v>2541452950.0500002</v>
      </c>
      <c r="AC5" s="48">
        <v>11654694217.540001</v>
      </c>
      <c r="AD5" s="48">
        <v>9194752912.6000004</v>
      </c>
      <c r="AE5" s="48">
        <v>5952172825.3299999</v>
      </c>
      <c r="AF5" s="48">
        <v>2595919278.0100002</v>
      </c>
      <c r="AG5" s="48">
        <v>10700275731.110001</v>
      </c>
      <c r="AH5" s="48">
        <v>7867784014.79</v>
      </c>
      <c r="AI5" s="48">
        <v>5088515339.8000002</v>
      </c>
      <c r="AJ5" s="48">
        <v>2199896810.4400001</v>
      </c>
      <c r="AK5" s="48">
        <v>8888158950.1800003</v>
      </c>
      <c r="AL5" s="48">
        <v>6534738603.1199999</v>
      </c>
      <c r="AM5" s="48">
        <v>4183817454.4899998</v>
      </c>
      <c r="AN5" s="48">
        <v>1873897756.1900001</v>
      </c>
      <c r="AO5" s="48">
        <v>8489100178.8299999</v>
      </c>
      <c r="AP5" s="48">
        <v>6394198410.4899998</v>
      </c>
      <c r="AQ5" s="48">
        <v>4175419382.9099998</v>
      </c>
      <c r="AR5" s="48">
        <v>1861863686.0699999</v>
      </c>
      <c r="AS5" s="48">
        <v>7277254140.21</v>
      </c>
      <c r="AT5" s="48">
        <v>5289137929.5200005</v>
      </c>
      <c r="AU5" s="48">
        <v>3333026643.5900002</v>
      </c>
      <c r="AV5" s="48">
        <v>1538991169.55</v>
      </c>
      <c r="AW5" s="48">
        <v>5756865497.54</v>
      </c>
      <c r="AX5" s="48">
        <v>4211090083.77</v>
      </c>
      <c r="AY5" s="48">
        <v>2765887880.8899999</v>
      </c>
      <c r="AZ5" s="48">
        <v>1249190096.8199999</v>
      </c>
      <c r="BA5" s="48">
        <v>5403366370.7799997</v>
      </c>
      <c r="BB5" s="48">
        <v>3924222586.1799998</v>
      </c>
      <c r="BC5" s="48">
        <v>2567321061.1799998</v>
      </c>
      <c r="BD5" s="48">
        <v>1175375812.9400001</v>
      </c>
      <c r="BE5" s="48">
        <v>4942282576.8999996</v>
      </c>
      <c r="BF5" s="48">
        <v>3660508261.8899999</v>
      </c>
      <c r="BG5" s="48">
        <v>2517586186.9499998</v>
      </c>
      <c r="BH5" s="48">
        <v>1226508689.25</v>
      </c>
      <c r="BI5" s="48">
        <v>4011958308.4299998</v>
      </c>
      <c r="BJ5" s="48">
        <v>2944267467</v>
      </c>
      <c r="BK5" s="48">
        <v>1952850787.5</v>
      </c>
      <c r="BL5" s="48">
        <v>915105404.87</v>
      </c>
      <c r="BM5" s="48">
        <v>2881983316.8499999</v>
      </c>
      <c r="BN5" s="48">
        <v>2314903460.3000002</v>
      </c>
      <c r="BO5" s="48">
        <v>1596717736.3499999</v>
      </c>
      <c r="BP5" s="48">
        <v>773737089.95000005</v>
      </c>
      <c r="BQ5" s="48">
        <v>2554268178.5100002</v>
      </c>
      <c r="BR5" s="48">
        <v>1304874733.9300001</v>
      </c>
      <c r="BS5" s="48">
        <v>2483197627.2600002</v>
      </c>
      <c r="BT5" s="48">
        <v>1254158982.9400001</v>
      </c>
      <c r="BU5" s="48">
        <v>2461372469.0999999</v>
      </c>
      <c r="BV5" s="48">
        <v>1156607381.01</v>
      </c>
      <c r="BW5" s="48">
        <v>405519122.69999999</v>
      </c>
      <c r="BX5" s="48">
        <v>157687789.38</v>
      </c>
      <c r="BY5" s="48">
        <v>738657178.74000001</v>
      </c>
      <c r="BZ5" s="48">
        <v>0</v>
      </c>
      <c r="CA5" s="48">
        <v>1121670089.03</v>
      </c>
      <c r="CB5" s="48">
        <v>0</v>
      </c>
      <c r="CC5" s="48">
        <v>1522442725.4100001</v>
      </c>
      <c r="CD5" s="48">
        <v>0</v>
      </c>
      <c r="CE5" s="48">
        <v>0</v>
      </c>
      <c r="CF5" s="48">
        <v>0</v>
      </c>
      <c r="CG5" s="48">
        <v>482620000</v>
      </c>
      <c r="CH5" s="48">
        <v>622550000</v>
      </c>
      <c r="CI5" s="48">
        <v>511020000</v>
      </c>
      <c r="CJ5" s="48">
        <v>438350000</v>
      </c>
      <c r="CK5" s="48">
        <v>0</v>
      </c>
    </row>
    <row r="6" spans="1:89" s="4" customFormat="1">
      <c r="A6" s="26" t="s">
        <v>114</v>
      </c>
      <c r="B6" s="34">
        <f>B4-B5</f>
        <v>3140510356.0999985</v>
      </c>
      <c r="C6" s="34">
        <f t="shared" ref="C6:J6" si="0">C4-C5</f>
        <v>2062032810.1300011</v>
      </c>
      <c r="D6" s="34">
        <f t="shared" si="0"/>
        <v>810774603.64000034</v>
      </c>
      <c r="E6" s="34">
        <f t="shared" si="0"/>
        <v>4244221278.1299992</v>
      </c>
      <c r="F6" s="34">
        <f t="shared" si="0"/>
        <v>3064712693.5</v>
      </c>
      <c r="G6" s="34">
        <f t="shared" si="0"/>
        <v>1979526800.1999998</v>
      </c>
      <c r="H6" s="34">
        <f t="shared" si="0"/>
        <v>817963385.90999985</v>
      </c>
      <c r="I6" s="34">
        <f t="shared" si="0"/>
        <v>4157583994.2699986</v>
      </c>
      <c r="J6" s="34">
        <f t="shared" si="0"/>
        <v>3037687477.210001</v>
      </c>
      <c r="K6" s="34">
        <f t="shared" ref="K6" si="1">K4-K5</f>
        <v>1979953210.1399994</v>
      </c>
    </row>
    <row r="7" spans="1:89" s="31" customFormat="1">
      <c r="A7" s="31" t="s">
        <v>123</v>
      </c>
      <c r="B7" s="35">
        <f>B6/B4*100</f>
        <v>19.739442297845137</v>
      </c>
      <c r="C7" s="35">
        <f t="shared" ref="C7:K7" si="2">C6/C4*100</f>
        <v>20.003358778958869</v>
      </c>
      <c r="D7" s="35">
        <f t="shared" si="2"/>
        <v>20.36273758238848</v>
      </c>
      <c r="E7" s="35">
        <f t="shared" si="2"/>
        <v>21.797490443199464</v>
      </c>
      <c r="F7" s="35">
        <f t="shared" si="2"/>
        <v>20.857569234503934</v>
      </c>
      <c r="G7" s="35">
        <f t="shared" si="2"/>
        <v>20.591715493918976</v>
      </c>
      <c r="H7" s="35">
        <f t="shared" si="2"/>
        <v>21.556280812971277</v>
      </c>
      <c r="I7" s="35">
        <f t="shared" si="2"/>
        <v>21.953019521259403</v>
      </c>
      <c r="J7" s="35">
        <f t="shared" si="2"/>
        <v>21.364405287686946</v>
      </c>
      <c r="K7" s="35">
        <f t="shared" si="2"/>
        <v>21.35568860731664</v>
      </c>
    </row>
    <row r="8" spans="1:89">
      <c r="A8" s="23" t="s">
        <v>115</v>
      </c>
      <c r="B8" s="48">
        <v>72077164.099999994</v>
      </c>
      <c r="C8" s="48">
        <v>53440398.829999998</v>
      </c>
      <c r="D8" s="48">
        <v>24680489.940000001</v>
      </c>
      <c r="E8" s="48">
        <v>118281818.69</v>
      </c>
      <c r="F8" s="48">
        <v>85319248.390000001</v>
      </c>
      <c r="G8" s="48">
        <v>65982482.200000003</v>
      </c>
      <c r="H8" s="48">
        <v>29384721.870000001</v>
      </c>
      <c r="I8" s="48">
        <v>148289534.94999999</v>
      </c>
      <c r="J8" s="48">
        <v>103667800.89</v>
      </c>
      <c r="K8" s="48">
        <v>82012392.040000007</v>
      </c>
      <c r="L8" s="48">
        <v>42992139.280000001</v>
      </c>
      <c r="M8" s="48">
        <v>151298695.34999999</v>
      </c>
      <c r="N8" s="48">
        <v>121435065.36</v>
      </c>
      <c r="O8" s="48">
        <v>77594340.980000004</v>
      </c>
      <c r="P8" s="48">
        <v>37283240.600000001</v>
      </c>
      <c r="Q8" s="48">
        <v>154535099.59</v>
      </c>
      <c r="R8" s="48">
        <v>129833994.84999999</v>
      </c>
      <c r="S8" s="48">
        <v>84670343.25</v>
      </c>
      <c r="T8" s="48">
        <v>40893605.850000001</v>
      </c>
      <c r="U8" s="48">
        <v>137698423</v>
      </c>
      <c r="V8" s="48">
        <v>108324837.53</v>
      </c>
      <c r="W8" s="48">
        <v>71322030.209999993</v>
      </c>
      <c r="X8" s="48">
        <v>30607092.649999999</v>
      </c>
      <c r="Y8" s="48">
        <v>151094119.47</v>
      </c>
      <c r="Z8" s="48">
        <v>108281857.06999999</v>
      </c>
      <c r="AA8" s="48">
        <v>66375802.159999996</v>
      </c>
      <c r="AB8" s="48">
        <v>24932592.219999999</v>
      </c>
      <c r="AC8" s="48">
        <v>94762721.609999999</v>
      </c>
      <c r="AD8" s="48">
        <v>81594878.359999999</v>
      </c>
      <c r="AE8" s="48">
        <v>50935124.369999997</v>
      </c>
      <c r="AF8" s="48">
        <v>14073529.74</v>
      </c>
      <c r="AG8" s="48">
        <v>47049591.960000001</v>
      </c>
      <c r="AH8" s="48">
        <v>36252827.310000002</v>
      </c>
      <c r="AI8" s="48">
        <v>23807994.210000001</v>
      </c>
      <c r="AJ8" s="48">
        <v>12045757.27</v>
      </c>
      <c r="AK8" s="48">
        <v>36433124.130000003</v>
      </c>
      <c r="AL8" s="48">
        <v>27332568.32</v>
      </c>
      <c r="AM8" s="48">
        <v>18394534.010000002</v>
      </c>
      <c r="AN8" s="48">
        <v>8894401.1799999997</v>
      </c>
      <c r="AO8" s="48">
        <v>30051094.940000001</v>
      </c>
      <c r="AP8" s="48">
        <v>21453805.739999998</v>
      </c>
      <c r="AQ8" s="48">
        <v>14258088.619999999</v>
      </c>
      <c r="AR8" s="48">
        <v>6704249.0499999998</v>
      </c>
      <c r="AS8" s="48">
        <v>29132541.030000001</v>
      </c>
      <c r="AT8" s="48">
        <v>21674399.34</v>
      </c>
      <c r="AU8" s="48">
        <v>14030629.800000001</v>
      </c>
      <c r="AV8" s="48">
        <v>6026209.2300000004</v>
      </c>
      <c r="AW8" s="48">
        <v>23752289.66</v>
      </c>
      <c r="AX8" s="48">
        <v>19284640.84</v>
      </c>
      <c r="AY8" s="48">
        <v>11539457.869999999</v>
      </c>
      <c r="AZ8" s="48">
        <v>5355209.1900000004</v>
      </c>
      <c r="BA8" s="48">
        <v>18167645.329999998</v>
      </c>
      <c r="BB8" s="48">
        <v>13000135.689999999</v>
      </c>
      <c r="BC8" s="48">
        <v>8146628.9400000004</v>
      </c>
      <c r="BD8" s="48">
        <v>3962995.23</v>
      </c>
      <c r="BE8" s="48">
        <v>16086266.32</v>
      </c>
      <c r="BF8" s="48">
        <v>11113213.24</v>
      </c>
      <c r="BG8" s="48">
        <v>7490047.04</v>
      </c>
      <c r="BH8" s="48">
        <v>3860914.82</v>
      </c>
      <c r="BI8" s="48">
        <v>13609027.49</v>
      </c>
      <c r="BJ8" s="48">
        <v>14003668.35</v>
      </c>
      <c r="BK8" s="48">
        <v>6332369.0800000001</v>
      </c>
      <c r="BL8" s="48">
        <v>3138194.45</v>
      </c>
      <c r="BM8" s="48">
        <v>13058660.060000001</v>
      </c>
      <c r="BN8" s="48">
        <v>9502722.4000000004</v>
      </c>
      <c r="BO8" s="48">
        <v>7358392.9500000002</v>
      </c>
      <c r="BP8" s="48">
        <v>3574226.91</v>
      </c>
      <c r="BQ8" s="48">
        <v>8993988.4600000009</v>
      </c>
      <c r="BR8" s="48">
        <v>4245879.2</v>
      </c>
      <c r="BS8" s="48">
        <v>8228819.0300000003</v>
      </c>
      <c r="BT8" s="48">
        <v>4186741.08</v>
      </c>
      <c r="BU8" s="48">
        <v>7988472.2599999998</v>
      </c>
      <c r="BV8" s="48">
        <v>3979167.01</v>
      </c>
      <c r="BW8" s="48">
        <v>4178453.65</v>
      </c>
      <c r="BX8" s="48">
        <v>706418.24</v>
      </c>
      <c r="BY8" s="48">
        <v>9634697.4700000007</v>
      </c>
      <c r="BZ8" s="48">
        <v>0</v>
      </c>
      <c r="CA8" s="48">
        <v>2962011.87</v>
      </c>
      <c r="CB8" s="48">
        <v>0</v>
      </c>
      <c r="CC8" s="48">
        <v>5920842.5199999996</v>
      </c>
      <c r="CD8" s="48">
        <v>0</v>
      </c>
      <c r="CE8" s="48">
        <v>0</v>
      </c>
      <c r="CF8" s="48">
        <v>0</v>
      </c>
      <c r="CG8" s="48">
        <v>45960000</v>
      </c>
      <c r="CH8" s="48">
        <v>71370000</v>
      </c>
      <c r="CI8" s="48">
        <v>52680000</v>
      </c>
      <c r="CJ8" s="48">
        <v>34650000</v>
      </c>
      <c r="CK8" s="48">
        <v>0</v>
      </c>
    </row>
    <row r="9" spans="1:89">
      <c r="A9" s="23" t="s">
        <v>150</v>
      </c>
      <c r="B9" s="48">
        <v>491311861.5</v>
      </c>
      <c r="C9" s="48">
        <v>339030182.24000001</v>
      </c>
      <c r="D9" s="48">
        <v>172332071.94999999</v>
      </c>
      <c r="E9" s="48">
        <v>706517294.04999995</v>
      </c>
      <c r="F9" s="48">
        <v>529202614.25</v>
      </c>
      <c r="G9" s="48">
        <v>373089927.08999997</v>
      </c>
      <c r="H9" s="48">
        <v>213695958.05000001</v>
      </c>
      <c r="I9" s="48">
        <v>689775545.35000002</v>
      </c>
      <c r="J9" s="48">
        <v>495531408.82999998</v>
      </c>
      <c r="K9" s="48">
        <v>347131879.60000002</v>
      </c>
      <c r="L9" s="48">
        <v>145371900.63999999</v>
      </c>
      <c r="M9" s="48">
        <v>772143600.40999997</v>
      </c>
      <c r="N9" s="48">
        <v>616311011.03999996</v>
      </c>
      <c r="O9" s="48">
        <v>438084366.19</v>
      </c>
      <c r="P9" s="48">
        <v>208163069.53999999</v>
      </c>
      <c r="Q9" s="48">
        <v>983815921.95000005</v>
      </c>
      <c r="R9" s="48">
        <v>759160445.75</v>
      </c>
      <c r="S9" s="48">
        <v>514231780.66000003</v>
      </c>
      <c r="T9" s="48">
        <v>247375429.66999999</v>
      </c>
      <c r="U9" s="48">
        <v>938233144.64999998</v>
      </c>
      <c r="V9" s="48">
        <v>705962389.58000004</v>
      </c>
      <c r="W9" s="48">
        <v>447350690.70999998</v>
      </c>
      <c r="X9" s="48">
        <v>192717975.55000001</v>
      </c>
      <c r="Y9" s="48">
        <v>858629127.98000002</v>
      </c>
      <c r="Z9" s="48">
        <v>626435048.36000001</v>
      </c>
      <c r="AA9" s="48">
        <v>311434096.91000003</v>
      </c>
      <c r="AB9" s="48">
        <v>174620991.75</v>
      </c>
      <c r="AC9" s="48">
        <v>648436356.85000002</v>
      </c>
      <c r="AD9" s="48">
        <v>507216885.31</v>
      </c>
      <c r="AE9" s="48">
        <v>339288086.79000002</v>
      </c>
      <c r="AF9" s="48">
        <v>199457623.34</v>
      </c>
      <c r="AG9" s="48">
        <v>572442492.40999997</v>
      </c>
      <c r="AH9" s="48">
        <v>433458555.19</v>
      </c>
      <c r="AI9" s="48">
        <v>284133934.61000001</v>
      </c>
      <c r="AJ9" s="48">
        <v>123275317.18000001</v>
      </c>
      <c r="AK9" s="48">
        <v>520564229.83999997</v>
      </c>
      <c r="AL9" s="48">
        <v>393129860.58999997</v>
      </c>
      <c r="AM9" s="48">
        <v>257251654.05000001</v>
      </c>
      <c r="AN9" s="48">
        <v>127798549.45</v>
      </c>
      <c r="AO9" s="48">
        <v>450800611.77999997</v>
      </c>
      <c r="AP9" s="48">
        <v>375411125.95999998</v>
      </c>
      <c r="AQ9" s="48">
        <v>213375019.44</v>
      </c>
      <c r="AR9" s="48">
        <v>131402491.89</v>
      </c>
      <c r="AS9" s="48">
        <v>492053156.49000001</v>
      </c>
      <c r="AT9" s="48">
        <v>355914981.87</v>
      </c>
      <c r="AU9" s="48">
        <v>228683868.50999999</v>
      </c>
      <c r="AV9" s="48">
        <v>94632357.790000007</v>
      </c>
      <c r="AW9" s="48">
        <v>360255683.31999999</v>
      </c>
      <c r="AX9" s="48">
        <v>267027956.16</v>
      </c>
      <c r="AY9" s="48">
        <v>170509771.09</v>
      </c>
      <c r="AZ9" s="48">
        <v>85898121.189999998</v>
      </c>
      <c r="BA9" s="48">
        <v>345423417.47000003</v>
      </c>
      <c r="BB9" s="48">
        <v>253245321.00999999</v>
      </c>
      <c r="BC9" s="48">
        <v>162518431.43000001</v>
      </c>
      <c r="BD9" s="48">
        <v>79442511.939999998</v>
      </c>
      <c r="BE9" s="48">
        <v>321429749.67000002</v>
      </c>
      <c r="BF9" s="48">
        <v>229591779.19</v>
      </c>
      <c r="BG9" s="48">
        <v>133740621.19</v>
      </c>
      <c r="BH9" s="48">
        <v>65436244.530000001</v>
      </c>
      <c r="BI9" s="48">
        <v>323599708.75</v>
      </c>
      <c r="BJ9" s="48">
        <v>239973112.84999999</v>
      </c>
      <c r="BK9" s="48">
        <v>157358942.06999999</v>
      </c>
      <c r="BL9" s="48">
        <v>82777207.959999993</v>
      </c>
      <c r="BM9" s="48">
        <v>317593510.41000003</v>
      </c>
      <c r="BN9" s="48">
        <v>228508007.62</v>
      </c>
      <c r="BO9" s="48">
        <v>148225737.93000001</v>
      </c>
      <c r="BP9" s="48">
        <v>72043847.859999999</v>
      </c>
      <c r="BQ9" s="48">
        <v>290137966.11000001</v>
      </c>
      <c r="BR9" s="48">
        <v>134119448.56</v>
      </c>
      <c r="BS9" s="48">
        <v>245249626.66</v>
      </c>
      <c r="BT9" s="48">
        <v>127462441.63</v>
      </c>
      <c r="BU9" s="48">
        <v>214680939.50999999</v>
      </c>
      <c r="BV9" s="48">
        <v>98544459.200000003</v>
      </c>
      <c r="BW9" s="48">
        <v>5778042.5199999996</v>
      </c>
      <c r="BX9" s="48">
        <v>14938744.029999999</v>
      </c>
      <c r="BY9" s="48">
        <v>24044238.5</v>
      </c>
      <c r="BZ9" s="48">
        <v>0</v>
      </c>
      <c r="CA9" s="48">
        <v>50761337.530000001</v>
      </c>
      <c r="CB9" s="48">
        <v>0</v>
      </c>
      <c r="CC9" s="48">
        <v>26810633.800000001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23" t="s">
        <v>116</v>
      </c>
      <c r="B10" s="48">
        <v>490305615.76999998</v>
      </c>
      <c r="C10" s="48">
        <v>711397610.64999998</v>
      </c>
      <c r="D10" s="48">
        <v>256091440.58000001</v>
      </c>
      <c r="E10" s="48">
        <v>1297812456.3199999</v>
      </c>
      <c r="F10" s="48">
        <v>897288688.38</v>
      </c>
      <c r="G10" s="48">
        <v>651720570.57000005</v>
      </c>
      <c r="H10" s="48">
        <v>246324752.13</v>
      </c>
      <c r="I10" s="48">
        <v>1348474399.55</v>
      </c>
      <c r="J10" s="48">
        <v>953494349.96000004</v>
      </c>
      <c r="K10" s="48">
        <v>663893559.29999995</v>
      </c>
      <c r="L10" s="48">
        <v>288924674.19999999</v>
      </c>
      <c r="M10" s="48">
        <v>1782457942.6800001</v>
      </c>
      <c r="N10" s="48">
        <v>1246319073.75</v>
      </c>
      <c r="O10" s="48">
        <v>916950550.39999998</v>
      </c>
      <c r="P10" s="48">
        <v>382675273.56999999</v>
      </c>
      <c r="Q10" s="48">
        <v>1876778470.8299999</v>
      </c>
      <c r="R10" s="48">
        <v>1311561912.96</v>
      </c>
      <c r="S10" s="48">
        <v>887189511.44000006</v>
      </c>
      <c r="T10" s="48">
        <v>384622815.70999998</v>
      </c>
      <c r="U10" s="48">
        <v>1839728726</v>
      </c>
      <c r="V10" s="48">
        <v>1166382034.47</v>
      </c>
      <c r="W10" s="48">
        <v>776169353.77999997</v>
      </c>
      <c r="X10" s="48">
        <v>359530187.44999999</v>
      </c>
      <c r="Y10" s="48">
        <v>1482340908.6500001</v>
      </c>
      <c r="Z10" s="48">
        <v>1173732261.54</v>
      </c>
      <c r="AA10" s="48">
        <v>534231845.31</v>
      </c>
      <c r="AB10" s="48">
        <v>235862570.50999999</v>
      </c>
      <c r="AC10" s="48">
        <v>1217841360</v>
      </c>
      <c r="AD10" s="48">
        <v>853202817.29999995</v>
      </c>
      <c r="AE10" s="48">
        <v>521332474.60000002</v>
      </c>
      <c r="AF10" s="48">
        <v>238303364.31</v>
      </c>
      <c r="AG10" s="48">
        <v>1077062088.3699999</v>
      </c>
      <c r="AH10" s="48">
        <v>775436485.40999997</v>
      </c>
      <c r="AI10" s="48">
        <v>478880324.41000003</v>
      </c>
      <c r="AJ10" s="48">
        <v>217513666.13</v>
      </c>
      <c r="AK10" s="48">
        <v>899709500.05999994</v>
      </c>
      <c r="AL10" s="48">
        <v>554972324.38</v>
      </c>
      <c r="AM10" s="48">
        <v>340190388.22000003</v>
      </c>
      <c r="AN10" s="48">
        <v>163726144.58000001</v>
      </c>
      <c r="AO10" s="48">
        <v>759141352.00999999</v>
      </c>
      <c r="AP10" s="48">
        <v>528160805.45999998</v>
      </c>
      <c r="AQ10" s="48">
        <v>342386795.98000002</v>
      </c>
      <c r="AR10" s="48">
        <v>144957146.94999999</v>
      </c>
      <c r="AS10" s="48">
        <v>638911611.90999997</v>
      </c>
      <c r="AT10" s="48">
        <v>434563880.16000003</v>
      </c>
      <c r="AU10" s="48">
        <v>280669108.04000002</v>
      </c>
      <c r="AV10" s="48">
        <v>123108354.90000001</v>
      </c>
      <c r="AW10" s="48">
        <v>564132285.63</v>
      </c>
      <c r="AX10" s="48">
        <v>362108855.76999998</v>
      </c>
      <c r="AY10" s="48">
        <v>241592698</v>
      </c>
      <c r="AZ10" s="48">
        <v>100067356.54000001</v>
      </c>
      <c r="BA10" s="48">
        <v>516323877.29000002</v>
      </c>
      <c r="BB10" s="48">
        <v>363413451.38</v>
      </c>
      <c r="BC10" s="48">
        <v>265771022.94</v>
      </c>
      <c r="BD10" s="48">
        <v>117285447.89</v>
      </c>
      <c r="BE10" s="48">
        <v>584589106.21000004</v>
      </c>
      <c r="BF10" s="48">
        <v>387049001.74000001</v>
      </c>
      <c r="BG10" s="48">
        <v>266947677.38</v>
      </c>
      <c r="BH10" s="48">
        <v>128116416.59</v>
      </c>
      <c r="BI10" s="48">
        <v>450852411.87</v>
      </c>
      <c r="BJ10" s="48">
        <v>303466718.38999999</v>
      </c>
      <c r="BK10" s="48">
        <v>196504881.38999999</v>
      </c>
      <c r="BL10" s="48">
        <v>100897170.67</v>
      </c>
      <c r="BM10" s="48">
        <v>601321222.13999999</v>
      </c>
      <c r="BN10" s="48">
        <v>362501878.05000001</v>
      </c>
      <c r="BO10" s="48">
        <v>219744265.62</v>
      </c>
      <c r="BP10" s="48">
        <v>74400649.650000006</v>
      </c>
      <c r="BQ10" s="48">
        <v>438597820</v>
      </c>
      <c r="BR10" s="48">
        <v>164511244.80000001</v>
      </c>
      <c r="BS10" s="48">
        <v>434314834.51999998</v>
      </c>
      <c r="BT10" s="48">
        <v>131075063.06999999</v>
      </c>
      <c r="BU10" s="48">
        <v>377039988.44999999</v>
      </c>
      <c r="BV10" s="48">
        <v>118137266.47</v>
      </c>
      <c r="BW10" s="48">
        <v>67592013.680000007</v>
      </c>
      <c r="BX10" s="48">
        <v>33930334.380000003</v>
      </c>
      <c r="BY10" s="48">
        <v>79345908.530000001</v>
      </c>
      <c r="BZ10" s="48">
        <v>0</v>
      </c>
      <c r="CA10" s="48">
        <v>120362071.26000001</v>
      </c>
      <c r="CB10" s="48">
        <v>0</v>
      </c>
      <c r="CC10" s="48">
        <v>168183396.69999999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23" t="s">
        <v>117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 s="9" customFormat="1">
      <c r="A12" s="27" t="s">
        <v>118</v>
      </c>
      <c r="B12" s="36">
        <f>B55</f>
        <v>463</v>
      </c>
      <c r="C12" s="36">
        <f t="shared" ref="C12:BN12" si="3">C55</f>
        <v>603</v>
      </c>
      <c r="D12" s="36">
        <f t="shared" si="3"/>
        <v>653</v>
      </c>
      <c r="E12" s="36">
        <f t="shared" si="3"/>
        <v>4634933.82</v>
      </c>
      <c r="F12" s="36">
        <f t="shared" si="3"/>
        <v>1204</v>
      </c>
      <c r="G12" s="36">
        <f t="shared" si="3"/>
        <v>868</v>
      </c>
      <c r="H12" s="36">
        <f t="shared" si="3"/>
        <v>644</v>
      </c>
      <c r="I12" s="36">
        <f t="shared" si="3"/>
        <v>6030893.5800000001</v>
      </c>
      <c r="J12" s="36">
        <f t="shared" si="3"/>
        <v>0</v>
      </c>
      <c r="K12" s="36">
        <f t="shared" si="3"/>
        <v>0</v>
      </c>
      <c r="L12" s="36">
        <f t="shared" si="3"/>
        <v>0</v>
      </c>
      <c r="M12" s="36">
        <f t="shared" si="3"/>
        <v>0</v>
      </c>
      <c r="N12" s="36">
        <f t="shared" si="3"/>
        <v>0</v>
      </c>
      <c r="O12" s="36">
        <f t="shared" si="3"/>
        <v>0</v>
      </c>
      <c r="P12" s="36">
        <f t="shared" si="3"/>
        <v>0</v>
      </c>
      <c r="Q12" s="36">
        <f t="shared" si="3"/>
        <v>0</v>
      </c>
      <c r="R12" s="36">
        <f t="shared" si="3"/>
        <v>0</v>
      </c>
      <c r="S12" s="36">
        <f t="shared" si="3"/>
        <v>0</v>
      </c>
      <c r="T12" s="36">
        <f t="shared" si="3"/>
        <v>0</v>
      </c>
      <c r="U12" s="36">
        <f t="shared" si="3"/>
        <v>0</v>
      </c>
      <c r="V12" s="36">
        <f t="shared" si="3"/>
        <v>0</v>
      </c>
      <c r="W12" s="36">
        <f t="shared" si="3"/>
        <v>0</v>
      </c>
      <c r="X12" s="36">
        <f t="shared" si="3"/>
        <v>0</v>
      </c>
      <c r="Y12" s="36">
        <f t="shared" si="3"/>
        <v>0</v>
      </c>
      <c r="Z12" s="36">
        <f t="shared" si="3"/>
        <v>0</v>
      </c>
      <c r="AA12" s="36">
        <f t="shared" si="3"/>
        <v>0</v>
      </c>
      <c r="AB12" s="36">
        <f t="shared" si="3"/>
        <v>0</v>
      </c>
      <c r="AC12" s="36">
        <f t="shared" si="3"/>
        <v>0</v>
      </c>
      <c r="AD12" s="36">
        <f t="shared" si="3"/>
        <v>0</v>
      </c>
      <c r="AE12" s="36">
        <f t="shared" si="3"/>
        <v>0</v>
      </c>
      <c r="AF12" s="36">
        <f t="shared" si="3"/>
        <v>0</v>
      </c>
      <c r="AG12" s="36">
        <f t="shared" si="3"/>
        <v>0</v>
      </c>
      <c r="AH12" s="36">
        <f t="shared" si="3"/>
        <v>0</v>
      </c>
      <c r="AI12" s="36">
        <f t="shared" si="3"/>
        <v>0</v>
      </c>
      <c r="AJ12" s="36">
        <f t="shared" si="3"/>
        <v>0</v>
      </c>
      <c r="AK12" s="36">
        <f t="shared" si="3"/>
        <v>0</v>
      </c>
      <c r="AL12" s="36">
        <f t="shared" si="3"/>
        <v>0</v>
      </c>
      <c r="AM12" s="36">
        <f t="shared" si="3"/>
        <v>0</v>
      </c>
      <c r="AN12" s="36">
        <f t="shared" si="3"/>
        <v>0</v>
      </c>
      <c r="AO12" s="36">
        <f t="shared" si="3"/>
        <v>0</v>
      </c>
      <c r="AP12" s="36">
        <f t="shared" si="3"/>
        <v>0</v>
      </c>
      <c r="AQ12" s="36">
        <f t="shared" si="3"/>
        <v>0</v>
      </c>
      <c r="AR12" s="36">
        <f t="shared" si="3"/>
        <v>0</v>
      </c>
      <c r="AS12" s="36">
        <f t="shared" si="3"/>
        <v>0</v>
      </c>
      <c r="AT12" s="36">
        <f t="shared" si="3"/>
        <v>0</v>
      </c>
      <c r="AU12" s="36">
        <f t="shared" si="3"/>
        <v>0</v>
      </c>
      <c r="AV12" s="36">
        <f t="shared" si="3"/>
        <v>0</v>
      </c>
      <c r="AW12" s="36">
        <f t="shared" si="3"/>
        <v>0</v>
      </c>
      <c r="AX12" s="36">
        <f t="shared" si="3"/>
        <v>0</v>
      </c>
      <c r="AY12" s="36">
        <f t="shared" si="3"/>
        <v>0</v>
      </c>
      <c r="AZ12" s="36">
        <f t="shared" si="3"/>
        <v>0</v>
      </c>
      <c r="BA12" s="36">
        <f t="shared" si="3"/>
        <v>0</v>
      </c>
      <c r="BB12" s="36">
        <f t="shared" si="3"/>
        <v>0</v>
      </c>
      <c r="BC12" s="36">
        <f t="shared" si="3"/>
        <v>0</v>
      </c>
      <c r="BD12" s="36">
        <f t="shared" si="3"/>
        <v>0</v>
      </c>
      <c r="BE12" s="36">
        <f t="shared" si="3"/>
        <v>0</v>
      </c>
      <c r="BF12" s="36">
        <f t="shared" si="3"/>
        <v>0</v>
      </c>
      <c r="BG12" s="36">
        <f t="shared" si="3"/>
        <v>0</v>
      </c>
      <c r="BH12" s="36">
        <f t="shared" si="3"/>
        <v>0</v>
      </c>
      <c r="BI12" s="36">
        <f t="shared" si="3"/>
        <v>0</v>
      </c>
      <c r="BJ12" s="36">
        <f t="shared" si="3"/>
        <v>0</v>
      </c>
      <c r="BK12" s="36">
        <f t="shared" si="3"/>
        <v>0</v>
      </c>
      <c r="BL12" s="36">
        <f t="shared" si="3"/>
        <v>0</v>
      </c>
      <c r="BM12" s="36">
        <f t="shared" si="3"/>
        <v>0</v>
      </c>
      <c r="BN12" s="36">
        <f t="shared" si="3"/>
        <v>0</v>
      </c>
      <c r="BO12" s="36">
        <f t="shared" ref="BO12:CJ12" si="4">BO55</f>
        <v>0</v>
      </c>
      <c r="BP12" s="36">
        <f t="shared" si="4"/>
        <v>0</v>
      </c>
      <c r="BQ12" s="36">
        <f t="shared" si="4"/>
        <v>0</v>
      </c>
      <c r="BR12" s="36">
        <f t="shared" si="4"/>
        <v>0</v>
      </c>
      <c r="BS12" s="36">
        <f t="shared" si="4"/>
        <v>0</v>
      </c>
      <c r="BT12" s="36">
        <f t="shared" si="4"/>
        <v>0</v>
      </c>
      <c r="BU12" s="36">
        <f t="shared" si="4"/>
        <v>0</v>
      </c>
      <c r="BV12" s="36">
        <f t="shared" si="4"/>
        <v>0</v>
      </c>
      <c r="BW12" s="36">
        <f t="shared" si="4"/>
        <v>0</v>
      </c>
      <c r="BX12" s="36">
        <f t="shared" si="4"/>
        <v>0</v>
      </c>
      <c r="BY12" s="36">
        <f t="shared" si="4"/>
        <v>0</v>
      </c>
      <c r="BZ12" s="36">
        <f t="shared" si="4"/>
        <v>0</v>
      </c>
      <c r="CA12" s="36">
        <f t="shared" si="4"/>
        <v>0</v>
      </c>
      <c r="CB12" s="36">
        <f t="shared" si="4"/>
        <v>0</v>
      </c>
      <c r="CC12" s="36">
        <f t="shared" si="4"/>
        <v>0</v>
      </c>
      <c r="CD12" s="36">
        <f t="shared" si="4"/>
        <v>0</v>
      </c>
      <c r="CE12" s="36">
        <f t="shared" si="4"/>
        <v>0</v>
      </c>
      <c r="CF12" s="36">
        <f t="shared" si="4"/>
        <v>0</v>
      </c>
      <c r="CG12" s="36">
        <f t="shared" si="4"/>
        <v>0</v>
      </c>
      <c r="CH12" s="36">
        <f t="shared" si="4"/>
        <v>0</v>
      </c>
      <c r="CI12" s="36">
        <f t="shared" si="4"/>
        <v>0</v>
      </c>
      <c r="CJ12" s="36">
        <f t="shared" si="4"/>
        <v>0</v>
      </c>
    </row>
    <row r="13" spans="1:89">
      <c r="A13" s="23" t="s">
        <v>119</v>
      </c>
      <c r="B13" s="48">
        <v>3105809.44</v>
      </c>
      <c r="C13" s="48">
        <v>2198030.2200000002</v>
      </c>
      <c r="D13" s="48">
        <v>3095736.49</v>
      </c>
      <c r="E13" s="48">
        <v>75784142.760000005</v>
      </c>
      <c r="F13" s="48">
        <v>2350795.5</v>
      </c>
      <c r="G13" s="48">
        <v>2277869.4300000002</v>
      </c>
      <c r="H13" s="48">
        <v>2184879.2599999998</v>
      </c>
      <c r="I13" s="48">
        <v>139649188.27000001</v>
      </c>
      <c r="J13" s="48">
        <v>12798105.23</v>
      </c>
      <c r="K13" s="48">
        <v>9764258.7599999998</v>
      </c>
      <c r="L13" s="48">
        <v>6117942.0300000003</v>
      </c>
      <c r="M13" s="48">
        <v>521979291.27999997</v>
      </c>
      <c r="N13" s="48">
        <v>177972519.06999999</v>
      </c>
      <c r="O13" s="48">
        <v>169167409.21000001</v>
      </c>
      <c r="P13" s="48">
        <v>29058164.510000002</v>
      </c>
      <c r="Q13" s="48">
        <v>201808816.63</v>
      </c>
      <c r="R13" s="48">
        <v>91903690.239999995</v>
      </c>
      <c r="S13" s="48">
        <v>46909124.68</v>
      </c>
      <c r="T13" s="48">
        <v>24371840.620000001</v>
      </c>
      <c r="U13" s="48">
        <v>362666621.55000001</v>
      </c>
      <c r="V13" s="48">
        <v>98242502.209999993</v>
      </c>
      <c r="W13" s="48">
        <v>19174584.199999999</v>
      </c>
      <c r="X13" s="48">
        <v>10118244.640000001</v>
      </c>
      <c r="Y13" s="48">
        <v>192673637.22999999</v>
      </c>
      <c r="Z13" s="48">
        <v>92056767.439999998</v>
      </c>
      <c r="AA13" s="48">
        <v>18947273.460000001</v>
      </c>
      <c r="AB13" s="48">
        <v>8176435.25</v>
      </c>
      <c r="AC13" s="48">
        <v>80151438.879999995</v>
      </c>
      <c r="AD13" s="48">
        <v>31589007.170000002</v>
      </c>
      <c r="AE13" s="48">
        <v>15536528.57</v>
      </c>
      <c r="AF13" s="48">
        <v>13408910.380000001</v>
      </c>
      <c r="AG13" s="48">
        <v>127993009.16</v>
      </c>
      <c r="AH13" s="48">
        <v>38574102.659999996</v>
      </c>
      <c r="AI13" s="48">
        <v>12726212.710000001</v>
      </c>
      <c r="AJ13" s="48">
        <v>5580313.0499999998</v>
      </c>
      <c r="AK13" s="48">
        <v>86850035.859999999</v>
      </c>
      <c r="AL13" s="48">
        <v>37492688.969999999</v>
      </c>
      <c r="AM13" s="48">
        <v>22757448.739999998</v>
      </c>
      <c r="AN13" s="48">
        <v>7468249.1100000003</v>
      </c>
      <c r="AO13" s="48">
        <v>51388300.159999996</v>
      </c>
      <c r="AP13" s="48">
        <v>28336316.5</v>
      </c>
      <c r="AQ13" s="48">
        <v>18177502.109999999</v>
      </c>
      <c r="AR13" s="48">
        <v>3090159.25</v>
      </c>
      <c r="AS13" s="48">
        <v>48660223.009999998</v>
      </c>
      <c r="AT13" s="48">
        <v>12381006.789999999</v>
      </c>
      <c r="AU13" s="48">
        <v>5637303.6399999997</v>
      </c>
      <c r="AV13" s="48">
        <v>2129932.0699999998</v>
      </c>
      <c r="AW13" s="48">
        <v>15491563.83</v>
      </c>
      <c r="AX13" s="48">
        <v>9534264.9399999995</v>
      </c>
      <c r="AY13" s="48">
        <v>7664168.3700000001</v>
      </c>
      <c r="AZ13" s="48">
        <v>3366617.27</v>
      </c>
      <c r="BA13" s="48">
        <v>23617149.719999999</v>
      </c>
      <c r="BB13" s="48">
        <v>10395023.369999999</v>
      </c>
      <c r="BC13" s="48">
        <v>3173845.6</v>
      </c>
      <c r="BD13" s="48">
        <v>3600168.2</v>
      </c>
      <c r="BE13" s="48">
        <v>20826106.280000001</v>
      </c>
      <c r="BF13" s="48">
        <v>9893568.7799999993</v>
      </c>
      <c r="BG13" s="48">
        <v>6688522.2000000002</v>
      </c>
      <c r="BH13" s="48">
        <v>2456710.35</v>
      </c>
      <c r="BI13" s="48">
        <v>98100545.469999999</v>
      </c>
      <c r="BJ13" s="48">
        <v>9567937.5899999999</v>
      </c>
      <c r="BK13" s="48">
        <v>4272892.42</v>
      </c>
      <c r="BL13" s="48">
        <v>1214075.9099999999</v>
      </c>
      <c r="BM13" s="48">
        <v>9515790.7400000002</v>
      </c>
      <c r="BN13" s="48">
        <v>5760858.5599999996</v>
      </c>
      <c r="BO13" s="48">
        <v>3321180.24</v>
      </c>
      <c r="BP13" s="48">
        <v>2460654.1</v>
      </c>
      <c r="BQ13" s="48">
        <v>23022268.890000001</v>
      </c>
      <c r="BR13" s="48">
        <v>1334574.96</v>
      </c>
      <c r="BS13" s="48">
        <v>5601648.5300000003</v>
      </c>
      <c r="BT13" s="48">
        <v>1886648.34</v>
      </c>
      <c r="BU13" s="48">
        <v>6357306.6100000003</v>
      </c>
      <c r="BV13" s="48">
        <v>307361.53000000003</v>
      </c>
      <c r="BW13" s="48">
        <v>8109854.0499999998</v>
      </c>
      <c r="BX13" s="48">
        <v>441262.35</v>
      </c>
      <c r="BY13" s="48">
        <v>237833.84</v>
      </c>
      <c r="BZ13" s="48">
        <v>0</v>
      </c>
      <c r="CA13" s="48">
        <v>1274108.6000000001</v>
      </c>
      <c r="CB13" s="48">
        <v>0</v>
      </c>
      <c r="CC13" s="48">
        <v>6279436.8899999997</v>
      </c>
      <c r="CD13" s="48">
        <v>0</v>
      </c>
      <c r="CE13" s="48">
        <v>0</v>
      </c>
      <c r="CF13" s="48">
        <v>1977985.59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23" t="s">
        <v>120</v>
      </c>
      <c r="B14" s="48">
        <v>14373448.109999999</v>
      </c>
      <c r="C14" s="48">
        <v>14250267.470000001</v>
      </c>
      <c r="D14" s="48">
        <v>3833044.71</v>
      </c>
      <c r="E14" s="48">
        <v>549308.51</v>
      </c>
      <c r="F14" s="48">
        <v>3733005.66</v>
      </c>
      <c r="G14" s="48">
        <v>857917.97</v>
      </c>
      <c r="H14" s="48">
        <v>276000.09999999998</v>
      </c>
      <c r="I14" s="48">
        <v>15064470.039999999</v>
      </c>
      <c r="J14" s="48">
        <v>9998188.6300000008</v>
      </c>
      <c r="K14" s="48">
        <v>9682131.8000000007</v>
      </c>
      <c r="L14" s="48">
        <v>663923.23</v>
      </c>
      <c r="M14" s="48">
        <v>24684135.059999999</v>
      </c>
      <c r="N14" s="48">
        <v>57799306.109999999</v>
      </c>
      <c r="O14" s="48">
        <v>10949979.810000001</v>
      </c>
      <c r="P14" s="48">
        <v>3026171.33</v>
      </c>
      <c r="Q14" s="48">
        <v>16909244.280000001</v>
      </c>
      <c r="R14" s="48">
        <v>4247524.62</v>
      </c>
      <c r="S14" s="48">
        <v>4031634.47</v>
      </c>
      <c r="T14" s="48">
        <v>1141529.33</v>
      </c>
      <c r="U14" s="48">
        <v>7624440.9100000001</v>
      </c>
      <c r="V14" s="48">
        <v>3228543.71</v>
      </c>
      <c r="W14" s="48">
        <v>2792955.05</v>
      </c>
      <c r="X14" s="48">
        <v>1099705.82</v>
      </c>
      <c r="Y14" s="48">
        <v>13071322.82</v>
      </c>
      <c r="Z14" s="48">
        <v>2316865.27</v>
      </c>
      <c r="AA14" s="48">
        <v>1720391.52</v>
      </c>
      <c r="AB14" s="48">
        <v>268699.33</v>
      </c>
      <c r="AC14" s="48">
        <v>6808784.1200000001</v>
      </c>
      <c r="AD14" s="48">
        <v>11910425.74</v>
      </c>
      <c r="AE14" s="48">
        <v>4492054.79</v>
      </c>
      <c r="AF14" s="48">
        <v>1395314.79</v>
      </c>
      <c r="AG14" s="48">
        <v>7170436.9199999999</v>
      </c>
      <c r="AH14" s="48">
        <v>4103621.35</v>
      </c>
      <c r="AI14" s="48">
        <v>1742479.98</v>
      </c>
      <c r="AJ14" s="48">
        <v>725776.18</v>
      </c>
      <c r="AK14" s="48">
        <v>8930671.6400000006</v>
      </c>
      <c r="AL14" s="48">
        <v>4062623.89</v>
      </c>
      <c r="AM14" s="48">
        <v>3092799.68</v>
      </c>
      <c r="AN14" s="48">
        <v>1012822.63</v>
      </c>
      <c r="AO14" s="48">
        <v>27081278.960000001</v>
      </c>
      <c r="AP14" s="48">
        <v>13648879.35</v>
      </c>
      <c r="AQ14" s="48">
        <v>7296709.0999999996</v>
      </c>
      <c r="AR14" s="48">
        <v>1233006.0800000001</v>
      </c>
      <c r="AS14" s="48">
        <v>10027439.890000001</v>
      </c>
      <c r="AT14" s="48">
        <v>5819916.1500000004</v>
      </c>
      <c r="AU14" s="48">
        <v>2744676.31</v>
      </c>
      <c r="AV14" s="48">
        <v>1020668.76</v>
      </c>
      <c r="AW14" s="48">
        <v>8818687.5099999998</v>
      </c>
      <c r="AX14" s="48">
        <v>5408324.4900000002</v>
      </c>
      <c r="AY14" s="48">
        <v>4572684.83</v>
      </c>
      <c r="AZ14" s="48">
        <v>402376.27</v>
      </c>
      <c r="BA14" s="48">
        <v>53805873.270000003</v>
      </c>
      <c r="BB14" s="48">
        <v>41598754.82</v>
      </c>
      <c r="BC14" s="48">
        <v>22003811.780000001</v>
      </c>
      <c r="BD14" s="48">
        <v>7547256.25</v>
      </c>
      <c r="BE14" s="48">
        <v>104276870.45999999</v>
      </c>
      <c r="BF14" s="48">
        <v>19046226.969999999</v>
      </c>
      <c r="BG14" s="48">
        <v>11698550.699999999</v>
      </c>
      <c r="BH14" s="48">
        <v>4970596.67</v>
      </c>
      <c r="BI14" s="48">
        <v>50026700.240000002</v>
      </c>
      <c r="BJ14" s="48">
        <v>34191043.439999998</v>
      </c>
      <c r="BK14" s="48">
        <v>6074649.96</v>
      </c>
      <c r="BL14" s="48">
        <v>1515391.71</v>
      </c>
      <c r="BM14" s="48">
        <v>20818857.329999998</v>
      </c>
      <c r="BN14" s="48">
        <v>8767398.9000000004</v>
      </c>
      <c r="BO14" s="48">
        <v>7355051.3399999999</v>
      </c>
      <c r="BP14" s="48">
        <v>4385698.42</v>
      </c>
      <c r="BQ14" s="48">
        <v>13003709.07</v>
      </c>
      <c r="BR14" s="48">
        <v>3714354.94</v>
      </c>
      <c r="BS14" s="48">
        <v>116829524.23999999</v>
      </c>
      <c r="BT14" s="48">
        <v>1600821.46</v>
      </c>
      <c r="BU14" s="48">
        <v>6018287.25</v>
      </c>
      <c r="BV14" s="48">
        <v>1688374.88</v>
      </c>
      <c r="BW14" s="48">
        <v>1187969.6599999999</v>
      </c>
      <c r="BX14" s="48">
        <v>524526.84</v>
      </c>
      <c r="BY14" s="48">
        <v>1877884.51</v>
      </c>
      <c r="BZ14" s="48">
        <v>0</v>
      </c>
      <c r="CA14" s="48">
        <v>1824215.68</v>
      </c>
      <c r="CB14" s="48">
        <v>0</v>
      </c>
      <c r="CC14" s="48">
        <v>3170951.5</v>
      </c>
      <c r="CD14" s="48">
        <v>0</v>
      </c>
      <c r="CE14" s="48">
        <v>0</v>
      </c>
      <c r="CF14" s="48">
        <v>12347969.720000001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 s="2" customFormat="1">
      <c r="A15" s="26" t="s">
        <v>121</v>
      </c>
      <c r="B15" s="35">
        <f>B6-(B8+B9+B10+B11+B12)+B13-B14</f>
        <v>2075693962.6299987</v>
      </c>
      <c r="C15" s="35">
        <f t="shared" ref="C15:BN15" si="5">C6-(C8+C9+C10+C11+C12)+C13-C14</f>
        <v>950179957.07000113</v>
      </c>
      <c r="D15" s="35">
        <f t="shared" si="5"/>
        <v>367791074.14000034</v>
      </c>
      <c r="E15" s="35">
        <f t="shared" si="5"/>
        <v>2107315932.1699991</v>
      </c>
      <c r="F15" s="35">
        <f t="shared" si="5"/>
        <v>1567745317.8899999</v>
      </c>
      <c r="G15" s="35">
        <f t="shared" si="5"/>
        <v>899170478.30999959</v>
      </c>
      <c r="H15" s="35">
        <f t="shared" si="5"/>
        <v>334578995.05999982</v>
      </c>
      <c r="I15" s="35">
        <f t="shared" si="5"/>
        <v>1903363759.4799986</v>
      </c>
      <c r="J15" s="35">
        <f t="shared" si="5"/>
        <v>1423150204.4200008</v>
      </c>
      <c r="K15" s="35">
        <f t="shared" si="5"/>
        <v>811950773.78999949</v>
      </c>
      <c r="L15" s="35">
        <f t="shared" si="5"/>
        <v>-487482220.01000005</v>
      </c>
      <c r="M15" s="35">
        <f t="shared" si="5"/>
        <v>-2452087740.2500005</v>
      </c>
      <c r="N15" s="35">
        <f t="shared" si="5"/>
        <v>-1929738307.3700001</v>
      </c>
      <c r="O15" s="35">
        <f t="shared" si="5"/>
        <v>-1289094370.7599998</v>
      </c>
      <c r="P15" s="35">
        <f t="shared" si="5"/>
        <v>-615339941.58000004</v>
      </c>
      <c r="Q15" s="35">
        <f t="shared" si="5"/>
        <v>-2954271622.6100001</v>
      </c>
      <c r="R15" s="35">
        <f t="shared" si="5"/>
        <v>-2092635516.8299997</v>
      </c>
      <c r="S15" s="35">
        <f t="shared" si="5"/>
        <v>-1385626753.0500002</v>
      </c>
      <c r="T15" s="35">
        <f t="shared" si="5"/>
        <v>-642601023.96000004</v>
      </c>
      <c r="U15" s="35">
        <f t="shared" si="5"/>
        <v>-2656826669.9499998</v>
      </c>
      <c r="V15" s="35">
        <f t="shared" si="5"/>
        <v>-1897332004.25</v>
      </c>
      <c r="W15" s="35">
        <f t="shared" si="5"/>
        <v>-1259634074.3299997</v>
      </c>
      <c r="X15" s="35">
        <f t="shared" si="5"/>
        <v>-572273812.25999999</v>
      </c>
      <c r="Y15" s="35">
        <f t="shared" si="5"/>
        <v>-2365491861.8600006</v>
      </c>
      <c r="Z15" s="35">
        <f t="shared" si="5"/>
        <v>-1875580645.73</v>
      </c>
      <c r="AA15" s="35">
        <f t="shared" si="5"/>
        <v>-908919538.59000003</v>
      </c>
      <c r="AB15" s="35">
        <f t="shared" si="5"/>
        <v>-434565129.53000003</v>
      </c>
      <c r="AC15" s="35">
        <f t="shared" si="5"/>
        <v>-1980963941.21</v>
      </c>
      <c r="AD15" s="35">
        <f t="shared" si="5"/>
        <v>-1396485924.0199997</v>
      </c>
      <c r="AE15" s="35">
        <f t="shared" si="5"/>
        <v>-891934197.23999989</v>
      </c>
      <c r="AF15" s="35">
        <f t="shared" si="5"/>
        <v>-408407976.84000003</v>
      </c>
      <c r="AG15" s="35">
        <f t="shared" si="5"/>
        <v>-1757642747.4499998</v>
      </c>
      <c r="AH15" s="35">
        <f t="shared" si="5"/>
        <v>-1223873879.9099996</v>
      </c>
      <c r="AI15" s="35">
        <f t="shared" si="5"/>
        <v>-783321301.84000003</v>
      </c>
      <c r="AJ15" s="35">
        <f t="shared" si="5"/>
        <v>-335307663.34000003</v>
      </c>
      <c r="AK15" s="35">
        <f t="shared" si="5"/>
        <v>-1493473573.4300003</v>
      </c>
      <c r="AL15" s="35">
        <f t="shared" si="5"/>
        <v>-922473230.77999997</v>
      </c>
      <c r="AM15" s="35">
        <f t="shared" si="5"/>
        <v>-565534860.89999986</v>
      </c>
      <c r="AN15" s="35">
        <f t="shared" si="5"/>
        <v>-273132230.56</v>
      </c>
      <c r="AO15" s="35">
        <f t="shared" si="5"/>
        <v>-1330987364.25</v>
      </c>
      <c r="AP15" s="35">
        <f t="shared" si="5"/>
        <v>-909160714.55999994</v>
      </c>
      <c r="AQ15" s="35">
        <f t="shared" si="5"/>
        <v>-596055812.04999995</v>
      </c>
      <c r="AR15" s="35">
        <f t="shared" si="5"/>
        <v>-261139970.27000001</v>
      </c>
      <c r="AS15" s="35">
        <f t="shared" si="5"/>
        <v>-1164872709.4199998</v>
      </c>
      <c r="AT15" s="35">
        <f t="shared" si="5"/>
        <v>-786904781.95000005</v>
      </c>
      <c r="AU15" s="35">
        <f t="shared" si="5"/>
        <v>-508123508.84000003</v>
      </c>
      <c r="AV15" s="35">
        <f t="shared" si="5"/>
        <v>-208789678.26000002</v>
      </c>
      <c r="AW15" s="35">
        <f t="shared" si="5"/>
        <v>-941467382.28999996</v>
      </c>
      <c r="AX15" s="35">
        <f t="shared" si="5"/>
        <v>-644295512.31999993</v>
      </c>
      <c r="AY15" s="35">
        <f t="shared" si="5"/>
        <v>-420550443.42000002</v>
      </c>
      <c r="AZ15" s="35">
        <f t="shared" si="5"/>
        <v>-188356445.92000002</v>
      </c>
      <c r="BA15" s="35">
        <f t="shared" si="5"/>
        <v>-910103663.63999999</v>
      </c>
      <c r="BB15" s="35">
        <f t="shared" si="5"/>
        <v>-660862639.52999997</v>
      </c>
      <c r="BC15" s="35">
        <f t="shared" si="5"/>
        <v>-455266049.49000001</v>
      </c>
      <c r="BD15" s="35">
        <f t="shared" si="5"/>
        <v>-204638043.11000001</v>
      </c>
      <c r="BE15" s="35">
        <f t="shared" si="5"/>
        <v>-1005555886.3800001</v>
      </c>
      <c r="BF15" s="35">
        <f t="shared" si="5"/>
        <v>-636906652.36000013</v>
      </c>
      <c r="BG15" s="35">
        <f t="shared" si="5"/>
        <v>-413188374.11000001</v>
      </c>
      <c r="BH15" s="35">
        <f t="shared" si="5"/>
        <v>-199927462.25999999</v>
      </c>
      <c r="BI15" s="35">
        <f t="shared" si="5"/>
        <v>-739987302.88</v>
      </c>
      <c r="BJ15" s="35">
        <f t="shared" si="5"/>
        <v>-582066605.43999982</v>
      </c>
      <c r="BK15" s="35">
        <f t="shared" si="5"/>
        <v>-361997950.07999992</v>
      </c>
      <c r="BL15" s="35">
        <f t="shared" si="5"/>
        <v>-187113888.88</v>
      </c>
      <c r="BM15" s="35">
        <f t="shared" si="5"/>
        <v>-943276459.20000005</v>
      </c>
      <c r="BN15" s="35">
        <f t="shared" si="5"/>
        <v>-603519148.41000009</v>
      </c>
      <c r="BO15" s="35">
        <f t="shared" ref="BO15:CJ15" si="6">BO6-(BO8+BO9+BO10+BO11+BO12)+BO13-BO14</f>
        <v>-379362267.59999996</v>
      </c>
      <c r="BP15" s="35">
        <f t="shared" si="6"/>
        <v>-151943768.74000001</v>
      </c>
      <c r="BQ15" s="35">
        <f t="shared" si="6"/>
        <v>-727711214.75</v>
      </c>
      <c r="BR15" s="35">
        <f t="shared" si="6"/>
        <v>-305256352.54000002</v>
      </c>
      <c r="BS15" s="35">
        <f t="shared" si="6"/>
        <v>-800481482.18000007</v>
      </c>
      <c r="BT15" s="35">
        <f t="shared" si="6"/>
        <v>-262841709.51999998</v>
      </c>
      <c r="BU15" s="35">
        <f t="shared" si="6"/>
        <v>-604750618.96000004</v>
      </c>
      <c r="BV15" s="35">
        <f t="shared" si="6"/>
        <v>-222041906.03</v>
      </c>
      <c r="BW15" s="35">
        <f t="shared" si="6"/>
        <v>-73645323.940000013</v>
      </c>
      <c r="BX15" s="35">
        <f t="shared" si="6"/>
        <v>-49658761.140000008</v>
      </c>
      <c r="BY15" s="35">
        <f t="shared" si="6"/>
        <v>-114664895.17</v>
      </c>
      <c r="BZ15" s="35">
        <f t="shared" si="6"/>
        <v>0</v>
      </c>
      <c r="CA15" s="35">
        <f t="shared" si="6"/>
        <v>-174635527.74000001</v>
      </c>
      <c r="CB15" s="35">
        <f t="shared" si="6"/>
        <v>0</v>
      </c>
      <c r="CC15" s="35">
        <f t="shared" si="6"/>
        <v>-197806387.63</v>
      </c>
      <c r="CD15" s="35">
        <f t="shared" si="6"/>
        <v>0</v>
      </c>
      <c r="CE15" s="35">
        <f t="shared" si="6"/>
        <v>0</v>
      </c>
      <c r="CF15" s="35">
        <f t="shared" si="6"/>
        <v>-10369984.130000001</v>
      </c>
      <c r="CG15" s="35">
        <f t="shared" si="6"/>
        <v>-45960000</v>
      </c>
      <c r="CH15" s="35">
        <f t="shared" si="6"/>
        <v>-71370000</v>
      </c>
      <c r="CI15" s="35">
        <f t="shared" si="6"/>
        <v>-52680000</v>
      </c>
      <c r="CJ15" s="35">
        <f t="shared" si="6"/>
        <v>-34650000</v>
      </c>
    </row>
    <row r="16" spans="1:89" s="30" customFormat="1">
      <c r="A16" s="30" t="s">
        <v>122</v>
      </c>
      <c r="B16" s="33">
        <f>B15*B41</f>
        <v>188794452.51814556</v>
      </c>
      <c r="C16" s="33">
        <f t="shared" ref="C16:BN16" si="7">C15*C41</f>
        <v>99998992.855293781</v>
      </c>
      <c r="D16" s="33">
        <f t="shared" si="7"/>
        <v>48011300.603242248</v>
      </c>
      <c r="E16" s="33">
        <f t="shared" si="7"/>
        <v>277432322.28904164</v>
      </c>
      <c r="F16" s="33">
        <f t="shared" si="7"/>
        <v>189825783.82995316</v>
      </c>
      <c r="G16" s="33">
        <f t="shared" si="7"/>
        <v>100497172.56909353</v>
      </c>
      <c r="H16" s="33">
        <f t="shared" si="7"/>
        <v>41734100.787941657</v>
      </c>
      <c r="I16" s="33">
        <f t="shared" si="7"/>
        <v>236888402.92017746</v>
      </c>
      <c r="J16" s="33">
        <f t="shared" si="7"/>
        <v>163699885.49130899</v>
      </c>
      <c r="K16" s="33">
        <f t="shared" si="7"/>
        <v>84112794.469030768</v>
      </c>
      <c r="L16" s="33">
        <f t="shared" si="7"/>
        <v>71992776.016225815</v>
      </c>
      <c r="M16" s="33">
        <f t="shared" si="7"/>
        <v>989893674.78070998</v>
      </c>
      <c r="N16" s="33">
        <f t="shared" si="7"/>
        <v>965637062.84410071</v>
      </c>
      <c r="O16" s="33">
        <f t="shared" si="7"/>
        <v>207915272.83165482</v>
      </c>
      <c r="P16" s="33">
        <f t="shared" si="7"/>
        <v>78626957.857578784</v>
      </c>
      <c r="Q16" s="33">
        <f t="shared" si="7"/>
        <v>402850957.34148335</v>
      </c>
      <c r="R16" s="33">
        <f t="shared" si="7"/>
        <v>335445889.03759241</v>
      </c>
      <c r="S16" s="33">
        <f t="shared" si="7"/>
        <v>192766993.29303479</v>
      </c>
      <c r="T16" s="33">
        <f t="shared" si="7"/>
        <v>67822078.098892748</v>
      </c>
      <c r="U16" s="33">
        <f t="shared" si="7"/>
        <v>298013414.73103988</v>
      </c>
      <c r="V16" s="33">
        <f t="shared" si="7"/>
        <v>218896672.16349339</v>
      </c>
      <c r="W16" s="33">
        <f t="shared" si="7"/>
        <v>110658014.21440923</v>
      </c>
      <c r="X16" s="33">
        <f t="shared" si="7"/>
        <v>56391594.554269269</v>
      </c>
      <c r="Y16" s="33">
        <f t="shared" si="7"/>
        <v>477996456.16648525</v>
      </c>
      <c r="Z16" s="33">
        <f t="shared" si="7"/>
        <v>223438280.76100039</v>
      </c>
      <c r="AA16" s="33">
        <f t="shared" si="7"/>
        <v>173494613.10164633</v>
      </c>
      <c r="AB16" s="33">
        <f t="shared" si="7"/>
        <v>96144708.348285362</v>
      </c>
      <c r="AC16" s="33">
        <f t="shared" si="7"/>
        <v>230891849.06631425</v>
      </c>
      <c r="AD16" s="33">
        <f t="shared" si="7"/>
        <v>204488657.44854632</v>
      </c>
      <c r="AE16" s="33">
        <f t="shared" si="7"/>
        <v>134364452.31802019</v>
      </c>
      <c r="AF16" s="33">
        <f t="shared" si="7"/>
        <v>63423443.33910758</v>
      </c>
      <c r="AG16" s="33">
        <f t="shared" si="7"/>
        <v>217297514.95819011</v>
      </c>
      <c r="AH16" s="33">
        <f t="shared" si="7"/>
        <v>165989068.23735264</v>
      </c>
      <c r="AI16" s="33">
        <f t="shared" si="7"/>
        <v>109355890.96615981</v>
      </c>
      <c r="AJ16" s="33">
        <f t="shared" si="7"/>
        <v>48363981.738866001</v>
      </c>
      <c r="AK16" s="33">
        <f t="shared" si="7"/>
        <v>184557252.5262287</v>
      </c>
      <c r="AL16" s="33">
        <f t="shared" si="7"/>
        <v>143438226.18764314</v>
      </c>
      <c r="AM16" s="33">
        <f t="shared" si="7"/>
        <v>93264334.291019782</v>
      </c>
      <c r="AN16" s="33">
        <f t="shared" si="7"/>
        <v>41381806.998489626</v>
      </c>
      <c r="AO16" s="33">
        <f t="shared" si="7"/>
        <v>243550562.15212688</v>
      </c>
      <c r="AP16" s="33">
        <f t="shared" si="7"/>
        <v>195904239.17638242</v>
      </c>
      <c r="AQ16" s="33">
        <f t="shared" si="7"/>
        <v>141469192.23998398</v>
      </c>
      <c r="AR16" s="33">
        <f t="shared" si="7"/>
        <v>57874130.008407414</v>
      </c>
      <c r="AS16" s="33">
        <f t="shared" si="7"/>
        <v>185055636.1227265</v>
      </c>
      <c r="AT16" s="33">
        <f t="shared" si="7"/>
        <v>190598688.94771469</v>
      </c>
      <c r="AU16" s="33">
        <f t="shared" si="7"/>
        <v>122251128.43374957</v>
      </c>
      <c r="AV16" s="33">
        <f t="shared" si="7"/>
        <v>35495321.360642985</v>
      </c>
      <c r="AW16" s="33">
        <f t="shared" si="7"/>
        <v>129912471.07313071</v>
      </c>
      <c r="AX16" s="33">
        <f t="shared" si="7"/>
        <v>79411200.455700323</v>
      </c>
      <c r="AY16" s="33">
        <f t="shared" si="7"/>
        <v>45652177.643415183</v>
      </c>
      <c r="AZ16" s="33">
        <f t="shared" si="7"/>
        <v>22497177.740294233</v>
      </c>
      <c r="BA16" s="33">
        <f t="shared" si="7"/>
        <v>103592433.77192496</v>
      </c>
      <c r="BB16" s="33">
        <f t="shared" si="7"/>
        <v>87813093.731357902</v>
      </c>
      <c r="BC16" s="33">
        <f t="shared" si="7"/>
        <v>67505969.957748711</v>
      </c>
      <c r="BD16" s="33">
        <f t="shared" si="7"/>
        <v>31661659.698397219</v>
      </c>
      <c r="BE16" s="33">
        <f t="shared" si="7"/>
        <v>144961388.47103611</v>
      </c>
      <c r="BF16" s="33">
        <f t="shared" si="7"/>
        <v>103513531.82778709</v>
      </c>
      <c r="BG16" s="33">
        <f t="shared" si="7"/>
        <v>74455687.504033744</v>
      </c>
      <c r="BH16" s="33">
        <f t="shared" si="7"/>
        <v>35730523.865756795</v>
      </c>
      <c r="BI16" s="33">
        <f t="shared" si="7"/>
        <v>186312301.28211921</v>
      </c>
      <c r="BJ16" s="33">
        <f t="shared" si="7"/>
        <v>134066440.73285295</v>
      </c>
      <c r="BK16" s="33">
        <f t="shared" si="7"/>
        <v>89422377.527394593</v>
      </c>
      <c r="BL16" s="33">
        <f t="shared" si="7"/>
        <v>30388656.95978485</v>
      </c>
      <c r="BM16" s="33">
        <f t="shared" si="7"/>
        <v>155758440.96687028</v>
      </c>
      <c r="BN16" s="33">
        <f t="shared" si="7"/>
        <v>109613012.87592451</v>
      </c>
      <c r="BO16" s="33">
        <f t="shared" ref="BO16:CK16" si="8">BO15*BO41</f>
        <v>72298978.539238304</v>
      </c>
      <c r="BP16" s="33">
        <f t="shared" si="8"/>
        <v>28135908.352945734</v>
      </c>
      <c r="BQ16" s="33">
        <f t="shared" si="8"/>
        <v>120339943.73535343</v>
      </c>
      <c r="BR16" s="33">
        <f t="shared" si="8"/>
        <v>60193129.243853152</v>
      </c>
      <c r="BS16" s="33">
        <f t="shared" si="8"/>
        <v>116381232.34091599</v>
      </c>
      <c r="BT16" s="33">
        <f t="shared" si="8"/>
        <v>59895191.598194867</v>
      </c>
      <c r="BU16" s="33">
        <f t="shared" si="8"/>
        <v>106014227.17229374</v>
      </c>
      <c r="BV16" s="33">
        <f t="shared" si="8"/>
        <v>36843380.533184797</v>
      </c>
      <c r="BW16" s="33">
        <f t="shared" si="8"/>
        <v>6845627.9536107546</v>
      </c>
      <c r="BX16" s="33">
        <f t="shared" si="8"/>
        <v>0</v>
      </c>
      <c r="BY16" s="33">
        <f t="shared" si="8"/>
        <v>9978472.3286805358</v>
      </c>
      <c r="BZ16" s="33">
        <f t="shared" si="8"/>
        <v>0</v>
      </c>
      <c r="CA16" s="33">
        <f t="shared" si="8"/>
        <v>1433521.9510949543</v>
      </c>
      <c r="CB16" s="33">
        <f t="shared" si="8"/>
        <v>0</v>
      </c>
      <c r="CC16" s="33">
        <f t="shared" si="8"/>
        <v>26533781.598819915</v>
      </c>
      <c r="CD16" s="33">
        <f t="shared" si="8"/>
        <v>0</v>
      </c>
      <c r="CE16" s="33">
        <f t="shared" si="8"/>
        <v>0</v>
      </c>
      <c r="CF16" s="33">
        <f t="shared" si="8"/>
        <v>20605090.983848747</v>
      </c>
      <c r="CG16" s="33">
        <f t="shared" si="8"/>
        <v>4330000</v>
      </c>
      <c r="CH16" s="33">
        <f t="shared" si="8"/>
        <v>4220000</v>
      </c>
      <c r="CI16" s="33">
        <f t="shared" si="8"/>
        <v>12510000</v>
      </c>
      <c r="CJ16" s="33">
        <f t="shared" si="8"/>
        <v>3630000</v>
      </c>
      <c r="CK16" s="33">
        <f t="shared" si="8"/>
        <v>0</v>
      </c>
    </row>
    <row r="17" spans="1:89" s="32" customFormat="1">
      <c r="A17" s="31" t="s">
        <v>129</v>
      </c>
      <c r="B17" s="34">
        <f>B15-B16</f>
        <v>1886899510.1118531</v>
      </c>
      <c r="C17" s="34">
        <f t="shared" ref="C17:BN17" si="9">C15-C16</f>
        <v>850180964.21470737</v>
      </c>
      <c r="D17" s="34">
        <f t="shared" si="9"/>
        <v>319779773.53675807</v>
      </c>
      <c r="E17" s="34">
        <f t="shared" si="9"/>
        <v>1829883609.8809576</v>
      </c>
      <c r="F17" s="34">
        <f t="shared" si="9"/>
        <v>1377919534.0600467</v>
      </c>
      <c r="G17" s="34">
        <f t="shared" si="9"/>
        <v>798673305.740906</v>
      </c>
      <c r="H17" s="34">
        <f t="shared" si="9"/>
        <v>292844894.27205819</v>
      </c>
      <c r="I17" s="34">
        <f t="shared" si="9"/>
        <v>1666475356.5598211</v>
      </c>
      <c r="J17" s="34">
        <f t="shared" si="9"/>
        <v>1259450318.9286919</v>
      </c>
      <c r="K17" s="34">
        <f t="shared" si="9"/>
        <v>727837979.32096875</v>
      </c>
      <c r="L17" s="34">
        <f t="shared" si="9"/>
        <v>-559474996.02622581</v>
      </c>
      <c r="M17" s="34">
        <f t="shared" si="9"/>
        <v>-3441981415.0307102</v>
      </c>
      <c r="N17" s="34">
        <f t="shared" si="9"/>
        <v>-2895375370.2141008</v>
      </c>
      <c r="O17" s="34">
        <f t="shared" si="9"/>
        <v>-1497009643.5916545</v>
      </c>
      <c r="P17" s="34">
        <f t="shared" si="9"/>
        <v>-693966899.4375788</v>
      </c>
      <c r="Q17" s="34">
        <f t="shared" si="9"/>
        <v>-3357122579.9514837</v>
      </c>
      <c r="R17" s="34">
        <f t="shared" si="9"/>
        <v>-2428081405.8675919</v>
      </c>
      <c r="S17" s="34">
        <f t="shared" si="9"/>
        <v>-1578393746.343035</v>
      </c>
      <c r="T17" s="34">
        <f t="shared" si="9"/>
        <v>-710423102.05889273</v>
      </c>
      <c r="U17" s="34">
        <f t="shared" si="9"/>
        <v>-2954840084.6810398</v>
      </c>
      <c r="V17" s="34">
        <f t="shared" si="9"/>
        <v>-2116228676.4134934</v>
      </c>
      <c r="W17" s="34">
        <f t="shared" si="9"/>
        <v>-1370292088.5444088</v>
      </c>
      <c r="X17" s="34">
        <f t="shared" si="9"/>
        <v>-628665406.8142693</v>
      </c>
      <c r="Y17" s="34">
        <f t="shared" si="9"/>
        <v>-2843488318.0264859</v>
      </c>
      <c r="Z17" s="34">
        <f t="shared" si="9"/>
        <v>-2099018926.4910004</v>
      </c>
      <c r="AA17" s="34">
        <f t="shared" si="9"/>
        <v>-1082414151.6916463</v>
      </c>
      <c r="AB17" s="34">
        <f t="shared" si="9"/>
        <v>-530709837.87828541</v>
      </c>
      <c r="AC17" s="34">
        <f t="shared" si="9"/>
        <v>-2211855790.2763143</v>
      </c>
      <c r="AD17" s="34">
        <f t="shared" si="9"/>
        <v>-1600974581.4685462</v>
      </c>
      <c r="AE17" s="34">
        <f t="shared" si="9"/>
        <v>-1026298649.5580201</v>
      </c>
      <c r="AF17" s="34">
        <f t="shared" si="9"/>
        <v>-471831420.17910761</v>
      </c>
      <c r="AG17" s="34">
        <f t="shared" si="9"/>
        <v>-1974940262.40819</v>
      </c>
      <c r="AH17" s="34">
        <f t="shared" si="9"/>
        <v>-1389862948.1473522</v>
      </c>
      <c r="AI17" s="34">
        <f t="shared" si="9"/>
        <v>-892677192.80615985</v>
      </c>
      <c r="AJ17" s="34">
        <f t="shared" si="9"/>
        <v>-383671645.078866</v>
      </c>
      <c r="AK17" s="34">
        <f t="shared" si="9"/>
        <v>-1678030825.956229</v>
      </c>
      <c r="AL17" s="34">
        <f t="shared" si="9"/>
        <v>-1065911456.9676431</v>
      </c>
      <c r="AM17" s="34">
        <f t="shared" si="9"/>
        <v>-658799195.19101965</v>
      </c>
      <c r="AN17" s="34">
        <f t="shared" si="9"/>
        <v>-314514037.55848962</v>
      </c>
      <c r="AO17" s="34">
        <f t="shared" si="9"/>
        <v>-1574537926.4021268</v>
      </c>
      <c r="AP17" s="34">
        <f t="shared" si="9"/>
        <v>-1105064953.7363825</v>
      </c>
      <c r="AQ17" s="34">
        <f t="shared" si="9"/>
        <v>-737525004.28998399</v>
      </c>
      <c r="AR17" s="34">
        <f t="shared" si="9"/>
        <v>-319014100.27840745</v>
      </c>
      <c r="AS17" s="34">
        <f t="shared" si="9"/>
        <v>-1349928345.5427263</v>
      </c>
      <c r="AT17" s="34">
        <f t="shared" si="9"/>
        <v>-977503470.89771473</v>
      </c>
      <c r="AU17" s="34">
        <f t="shared" si="9"/>
        <v>-630374637.27374959</v>
      </c>
      <c r="AV17" s="34">
        <f t="shared" si="9"/>
        <v>-244284999.62064302</v>
      </c>
      <c r="AW17" s="34">
        <f t="shared" si="9"/>
        <v>-1071379853.3631307</v>
      </c>
      <c r="AX17" s="34">
        <f t="shared" si="9"/>
        <v>-723706712.77570021</v>
      </c>
      <c r="AY17" s="34">
        <f t="shared" si="9"/>
        <v>-466202621.06341517</v>
      </c>
      <c r="AZ17" s="34">
        <f t="shared" si="9"/>
        <v>-210853623.66029423</v>
      </c>
      <c r="BA17" s="34">
        <f t="shared" si="9"/>
        <v>-1013696097.411925</v>
      </c>
      <c r="BB17" s="34">
        <f t="shared" si="9"/>
        <v>-748675733.2613579</v>
      </c>
      <c r="BC17" s="34">
        <f t="shared" si="9"/>
        <v>-522772019.44774872</v>
      </c>
      <c r="BD17" s="34">
        <f t="shared" si="9"/>
        <v>-236299702.80839723</v>
      </c>
      <c r="BE17" s="34">
        <f t="shared" si="9"/>
        <v>-1150517274.8510363</v>
      </c>
      <c r="BF17" s="34">
        <f t="shared" si="9"/>
        <v>-740420184.18778718</v>
      </c>
      <c r="BG17" s="34">
        <f t="shared" si="9"/>
        <v>-487644061.61403376</v>
      </c>
      <c r="BH17" s="34">
        <f t="shared" si="9"/>
        <v>-235657986.1257568</v>
      </c>
      <c r="BI17" s="34">
        <f t="shared" si="9"/>
        <v>-926299604.16211915</v>
      </c>
      <c r="BJ17" s="34">
        <f t="shared" si="9"/>
        <v>-716133046.17285275</v>
      </c>
      <c r="BK17" s="34">
        <f t="shared" si="9"/>
        <v>-451420327.60739452</v>
      </c>
      <c r="BL17" s="34">
        <f t="shared" si="9"/>
        <v>-217502545.83978486</v>
      </c>
      <c r="BM17" s="34">
        <f t="shared" si="9"/>
        <v>-1099034900.1668704</v>
      </c>
      <c r="BN17" s="34">
        <f t="shared" si="9"/>
        <v>-713132161.28592455</v>
      </c>
      <c r="BO17" s="34">
        <f t="shared" ref="BO17:CJ17" si="10">BO15-BO16</f>
        <v>-451661246.13923824</v>
      </c>
      <c r="BP17" s="34">
        <f t="shared" si="10"/>
        <v>-180079677.09294575</v>
      </c>
      <c r="BQ17" s="34">
        <f t="shared" si="10"/>
        <v>-848051158.48535347</v>
      </c>
      <c r="BR17" s="34">
        <f t="shared" si="10"/>
        <v>-365449481.78385317</v>
      </c>
      <c r="BS17" s="34">
        <f t="shared" si="10"/>
        <v>-916862714.5209161</v>
      </c>
      <c r="BT17" s="34">
        <f t="shared" si="10"/>
        <v>-322736901.11819482</v>
      </c>
      <c r="BU17" s="34">
        <f t="shared" si="10"/>
        <v>-710764846.13229382</v>
      </c>
      <c r="BV17" s="34">
        <f t="shared" si="10"/>
        <v>-258885286.5631848</v>
      </c>
      <c r="BW17" s="34">
        <f t="shared" si="10"/>
        <v>-80490951.893610761</v>
      </c>
      <c r="BX17" s="34">
        <f t="shared" si="10"/>
        <v>-49658761.140000008</v>
      </c>
      <c r="BY17" s="34">
        <f t="shared" si="10"/>
        <v>-124643367.49868053</v>
      </c>
      <c r="BZ17" s="34">
        <f t="shared" si="10"/>
        <v>0</v>
      </c>
      <c r="CA17" s="34">
        <f t="shared" si="10"/>
        <v>-176069049.69109496</v>
      </c>
      <c r="CB17" s="34">
        <f t="shared" si="10"/>
        <v>0</v>
      </c>
      <c r="CC17" s="34">
        <f t="shared" si="10"/>
        <v>-224340169.22881991</v>
      </c>
      <c r="CD17" s="34">
        <f t="shared" si="10"/>
        <v>0</v>
      </c>
      <c r="CE17" s="34">
        <f t="shared" si="10"/>
        <v>0</v>
      </c>
      <c r="CF17" s="34">
        <f t="shared" si="10"/>
        <v>-30975075.113848746</v>
      </c>
      <c r="CG17" s="34">
        <f t="shared" si="10"/>
        <v>-50290000</v>
      </c>
      <c r="CH17" s="34">
        <f t="shared" si="10"/>
        <v>-75590000</v>
      </c>
      <c r="CI17" s="34">
        <f t="shared" si="10"/>
        <v>-65190000</v>
      </c>
      <c r="CJ17" s="34">
        <f t="shared" si="10"/>
        <v>-38280000</v>
      </c>
    </row>
    <row r="18" spans="1:89" s="31" customFormat="1">
      <c r="A18" s="31" t="s">
        <v>130</v>
      </c>
      <c r="B18" s="35">
        <f>B17/B4*100</f>
        <v>11.859965349052077</v>
      </c>
      <c r="C18" s="35">
        <f t="shared" ref="C18:BN18" si="11">C17/C4*100</f>
        <v>8.2474317434143085</v>
      </c>
      <c r="D18" s="35">
        <f t="shared" si="11"/>
        <v>8.0313216317464882</v>
      </c>
      <c r="E18" s="35">
        <f t="shared" si="11"/>
        <v>9.3979243504762877</v>
      </c>
      <c r="F18" s="35">
        <f t="shared" si="11"/>
        <v>9.3777312771236527</v>
      </c>
      <c r="G18" s="35">
        <f t="shared" si="11"/>
        <v>8.308073163112967</v>
      </c>
      <c r="H18" s="35">
        <f t="shared" si="11"/>
        <v>7.7175175372311191</v>
      </c>
      <c r="I18" s="35">
        <f t="shared" si="11"/>
        <v>8.799381103226283</v>
      </c>
      <c r="J18" s="35">
        <f t="shared" si="11"/>
        <v>8.8578588993007834</v>
      </c>
      <c r="K18" s="35">
        <f t="shared" si="11"/>
        <v>7.850428567379188</v>
      </c>
      <c r="L18" s="35">
        <f t="shared" si="11"/>
        <v>-14.819117022568934</v>
      </c>
      <c r="M18" s="35">
        <f t="shared" si="11"/>
        <v>-17.838227727109494</v>
      </c>
      <c r="N18" s="35">
        <f t="shared" si="11"/>
        <v>-19.625280995184387</v>
      </c>
      <c r="O18" s="35">
        <f t="shared" si="11"/>
        <v>-15.22976732116447</v>
      </c>
      <c r="P18" s="35">
        <f t="shared" si="11"/>
        <v>-16.716874811840899</v>
      </c>
      <c r="Q18" s="35">
        <f t="shared" si="11"/>
        <v>-16.156376000266441</v>
      </c>
      <c r="R18" s="35">
        <f t="shared" si="11"/>
        <v>-15.589424283210507</v>
      </c>
      <c r="S18" s="35">
        <f t="shared" si="11"/>
        <v>-15.571669698187593</v>
      </c>
      <c r="T18" s="35">
        <f t="shared" si="11"/>
        <v>-17.188042746686069</v>
      </c>
      <c r="U18" s="35">
        <f t="shared" si="11"/>
        <v>-14.843163933772594</v>
      </c>
      <c r="V18" s="35">
        <f t="shared" si="11"/>
        <v>-14.476106614295617</v>
      </c>
      <c r="W18" s="35">
        <f t="shared" si="11"/>
        <v>-14.606259567538265</v>
      </c>
      <c r="X18" s="35">
        <f t="shared" si="11"/>
        <v>-16.186599970913505</v>
      </c>
      <c r="Y18" s="35">
        <f t="shared" si="11"/>
        <v>-16.025745999561686</v>
      </c>
      <c r="Z18" s="35">
        <f t="shared" si="11"/>
        <v>-15.601291872650799</v>
      </c>
      <c r="AA18" s="35">
        <f t="shared" si="11"/>
        <v>-15.04172665945536</v>
      </c>
      <c r="AB18" s="35">
        <f t="shared" si="11"/>
        <v>-16.590639859450231</v>
      </c>
      <c r="AC18" s="35">
        <f t="shared" si="11"/>
        <v>-15.251675503956333</v>
      </c>
      <c r="AD18" s="35">
        <f t="shared" si="11"/>
        <v>-14.004843599251235</v>
      </c>
      <c r="AE18" s="35">
        <f t="shared" si="11"/>
        <v>-13.93286713749621</v>
      </c>
      <c r="AF18" s="35">
        <f t="shared" si="11"/>
        <v>-14.615536018860103</v>
      </c>
      <c r="AG18" s="35">
        <f t="shared" si="11"/>
        <v>-14.893992574015829</v>
      </c>
      <c r="AH18" s="35">
        <f t="shared" si="11"/>
        <v>-14.263120084935132</v>
      </c>
      <c r="AI18" s="35">
        <f t="shared" si="11"/>
        <v>-14.145013978695129</v>
      </c>
      <c r="AJ18" s="35">
        <f t="shared" si="11"/>
        <v>-14.007265679407569</v>
      </c>
      <c r="AK18" s="35">
        <f t="shared" si="11"/>
        <v>-15.273938500428924</v>
      </c>
      <c r="AL18" s="35">
        <f t="shared" si="11"/>
        <v>-13.214503368816599</v>
      </c>
      <c r="AM18" s="35">
        <f t="shared" si="11"/>
        <v>-12.716412654208616</v>
      </c>
      <c r="AN18" s="35">
        <f t="shared" si="11"/>
        <v>-13.415116261102639</v>
      </c>
      <c r="AO18" s="35">
        <f t="shared" si="11"/>
        <v>-15.07112271818492</v>
      </c>
      <c r="AP18" s="35">
        <f t="shared" si="11"/>
        <v>-13.954745742498734</v>
      </c>
      <c r="AQ18" s="35">
        <f t="shared" si="11"/>
        <v>-14.205793477380317</v>
      </c>
      <c r="AR18" s="35">
        <f t="shared" si="11"/>
        <v>-13.771434617845438</v>
      </c>
      <c r="AS18" s="35">
        <f t="shared" si="11"/>
        <v>-14.69518894729546</v>
      </c>
      <c r="AT18" s="35">
        <f t="shared" si="11"/>
        <v>-14.661135852538361</v>
      </c>
      <c r="AU18" s="35">
        <f t="shared" si="11"/>
        <v>-14.970603364710211</v>
      </c>
      <c r="AV18" s="35">
        <f t="shared" si="11"/>
        <v>-12.901334648803406</v>
      </c>
      <c r="AW18" s="35">
        <f t="shared" si="11"/>
        <v>-14.7041863408549</v>
      </c>
      <c r="AX18" s="35">
        <f t="shared" si="11"/>
        <v>-13.795637288157833</v>
      </c>
      <c r="AY18" s="35">
        <f t="shared" si="11"/>
        <v>-13.621683557581211</v>
      </c>
      <c r="AZ18" s="35">
        <f t="shared" si="11"/>
        <v>-13.538955965615553</v>
      </c>
      <c r="BA18" s="35">
        <f t="shared" si="11"/>
        <v>-14.838485879312783</v>
      </c>
      <c r="BB18" s="35">
        <f t="shared" si="11"/>
        <v>-14.797943527534896</v>
      </c>
      <c r="BC18" s="35">
        <f t="shared" si="11"/>
        <v>-15.573227178332976</v>
      </c>
      <c r="BD18" s="35">
        <f t="shared" si="11"/>
        <v>-15.434779918491653</v>
      </c>
      <c r="BE18" s="35">
        <f t="shared" si="11"/>
        <v>-17.551009744023201</v>
      </c>
      <c r="BF18" s="35">
        <f t="shared" si="11"/>
        <v>-15.417749830390919</v>
      </c>
      <c r="BG18" s="35">
        <f t="shared" si="11"/>
        <v>-14.775285753317604</v>
      </c>
      <c r="BH18" s="35">
        <f t="shared" si="11"/>
        <v>-14.732046615359046</v>
      </c>
      <c r="BI18" s="35">
        <f t="shared" si="11"/>
        <v>-16.660859559635096</v>
      </c>
      <c r="BJ18" s="35">
        <f t="shared" si="11"/>
        <v>-17.580985877158056</v>
      </c>
      <c r="BK18" s="35">
        <f t="shared" si="11"/>
        <v>-16.935318176211375</v>
      </c>
      <c r="BL18" s="35">
        <f t="shared" si="11"/>
        <v>-17.356007854615658</v>
      </c>
      <c r="BM18" s="35">
        <f t="shared" si="11"/>
        <v>-24.596061492967465</v>
      </c>
      <c r="BN18" s="35">
        <f t="shared" si="11"/>
        <v>-20.852599125290219</v>
      </c>
      <c r="BO18" s="35">
        <f t="shared" ref="BO18:CK18" si="12">BO17/BO4*100</f>
        <v>-19.727089177747697</v>
      </c>
      <c r="BP18" s="35">
        <f t="shared" si="12"/>
        <v>-16.944934692391584</v>
      </c>
      <c r="BQ18" s="35">
        <f t="shared" si="12"/>
        <v>-22.057269136150463</v>
      </c>
      <c r="BR18" s="35">
        <f t="shared" si="12"/>
        <v>-19.349497385985259</v>
      </c>
      <c r="BS18" s="35">
        <f t="shared" si="12"/>
        <v>-25.296705891664807</v>
      </c>
      <c r="BT18" s="35">
        <f t="shared" si="12"/>
        <v>-18.338647764768783</v>
      </c>
      <c r="BU18" s="35">
        <f t="shared" si="12"/>
        <v>-20.289210930251528</v>
      </c>
      <c r="BV18" s="35">
        <f t="shared" si="12"/>
        <v>-15.776364079921933</v>
      </c>
      <c r="BW18" s="35">
        <f t="shared" si="12"/>
        <v>-18.115412381570955</v>
      </c>
      <c r="BX18" s="35">
        <f t="shared" si="12"/>
        <v>-24.572381608495512</v>
      </c>
      <c r="BY18" s="35">
        <f t="shared" si="12"/>
        <v>-13.564583178240024</v>
      </c>
      <c r="BZ18" s="35">
        <f t="shared" si="12"/>
        <v>0</v>
      </c>
      <c r="CA18" s="35">
        <f t="shared" si="12"/>
        <v>-13.034464750293861</v>
      </c>
      <c r="CB18" s="35">
        <f t="shared" si="12"/>
        <v>0</v>
      </c>
      <c r="CC18" s="35">
        <f t="shared" si="12"/>
        <v>-11.656634637246398</v>
      </c>
      <c r="CD18" s="35">
        <f t="shared" si="12"/>
        <v>0</v>
      </c>
      <c r="CE18" s="35">
        <f t="shared" si="12"/>
        <v>0</v>
      </c>
      <c r="CF18" s="35">
        <f t="shared" si="12"/>
        <v>-4.0378346188401757</v>
      </c>
      <c r="CG18" s="35">
        <f t="shared" si="12"/>
        <v>-8.5933495095861385</v>
      </c>
      <c r="CH18" s="35">
        <f t="shared" si="12"/>
        <v>-9.7741055380994872</v>
      </c>
      <c r="CI18" s="35">
        <f t="shared" si="12"/>
        <v>-10.333840593494388</v>
      </c>
      <c r="CJ18" s="35">
        <f t="shared" si="12"/>
        <v>-7.0620791439904078</v>
      </c>
      <c r="CK18" s="35" t="e">
        <f t="shared" si="12"/>
        <v>#DIV/0!</v>
      </c>
    </row>
    <row r="19" spans="1:89" s="22" customFormat="1">
      <c r="A19" s="24" t="s">
        <v>124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</row>
    <row r="20" spans="1:89">
      <c r="A20" s="23" t="s">
        <v>125</v>
      </c>
      <c r="B20" s="48">
        <v>212373726.52000001</v>
      </c>
      <c r="C20" s="48">
        <v>141509882.56</v>
      </c>
      <c r="D20" s="48">
        <v>56228697.509999998</v>
      </c>
      <c r="E20" s="48">
        <v>280139998.44999999</v>
      </c>
      <c r="F20" s="48">
        <v>234266318.96000001</v>
      </c>
      <c r="G20" s="48">
        <v>154141558.41</v>
      </c>
      <c r="H20" s="48">
        <v>66598248.350000001</v>
      </c>
      <c r="I20" s="48">
        <v>275673512.30000001</v>
      </c>
      <c r="J20" s="48">
        <v>212366929.50999999</v>
      </c>
      <c r="K20" s="48">
        <v>135412552.55000001</v>
      </c>
      <c r="L20" s="48">
        <v>51533212.600000001</v>
      </c>
      <c r="M20" s="48">
        <v>216718386.62</v>
      </c>
      <c r="N20" s="48">
        <v>215475533.71000001</v>
      </c>
      <c r="O20" s="48">
        <v>160132633.30000001</v>
      </c>
      <c r="P20" s="48">
        <v>69799508.150000006</v>
      </c>
      <c r="Q20" s="48">
        <v>308344285.94</v>
      </c>
      <c r="R20" s="48">
        <v>267878359.22999999</v>
      </c>
      <c r="S20" s="48">
        <v>181016731.13</v>
      </c>
      <c r="T20" s="48">
        <v>90165233.569999993</v>
      </c>
      <c r="U20" s="48">
        <v>367880015.48000002</v>
      </c>
      <c r="V20" s="48">
        <v>300622194.08999997</v>
      </c>
      <c r="W20" s="48">
        <v>210398153.75999999</v>
      </c>
      <c r="X20" s="48">
        <v>90435164.069999993</v>
      </c>
      <c r="Y20" s="48">
        <v>280633741.67000002</v>
      </c>
      <c r="Z20" s="48">
        <v>228566939.72999999</v>
      </c>
      <c r="AA20" s="48">
        <v>164164241.12</v>
      </c>
      <c r="AB20" s="48">
        <v>78989878.340000004</v>
      </c>
      <c r="AC20" s="48">
        <v>342563567.56999999</v>
      </c>
      <c r="AD20" s="48">
        <v>279997039.87</v>
      </c>
      <c r="AE20" s="48">
        <v>202217265.75999999</v>
      </c>
      <c r="AF20" s="48">
        <v>95149442.810000002</v>
      </c>
      <c r="AG20" s="48">
        <v>366534973.06</v>
      </c>
      <c r="AH20" s="48">
        <v>273398414.92000002</v>
      </c>
      <c r="AI20" s="48">
        <v>178068309.30000001</v>
      </c>
      <c r="AJ20" s="48">
        <v>80554286.239999995</v>
      </c>
      <c r="AK20" s="48">
        <v>247042330.38</v>
      </c>
      <c r="AL20" s="48">
        <v>197074394.38</v>
      </c>
      <c r="AM20" s="48">
        <v>126588071.23999999</v>
      </c>
      <c r="AN20" s="48">
        <v>48014654.869999997</v>
      </c>
      <c r="AO20" s="48">
        <v>236135104.5</v>
      </c>
      <c r="AP20" s="48">
        <v>197168703.81</v>
      </c>
      <c r="AQ20" s="48">
        <v>142283418.91</v>
      </c>
      <c r="AR20" s="48">
        <v>47837272.439999998</v>
      </c>
      <c r="AS20" s="48">
        <v>250408277.59</v>
      </c>
      <c r="AT20" s="48">
        <v>214420749.16999999</v>
      </c>
      <c r="AU20" s="48">
        <v>145953407.36000001</v>
      </c>
      <c r="AV20" s="48">
        <v>28092424.260000002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48">
        <v>0</v>
      </c>
      <c r="CB20" s="48">
        <v>0</v>
      </c>
      <c r="CC20" s="48">
        <v>0</v>
      </c>
      <c r="CD20" s="48">
        <v>0</v>
      </c>
      <c r="CE20" s="48">
        <v>0</v>
      </c>
      <c r="CF20" s="48">
        <v>0</v>
      </c>
      <c r="CG20" s="48">
        <v>0</v>
      </c>
      <c r="CH20" s="48">
        <v>0</v>
      </c>
      <c r="CI20" s="48">
        <v>0</v>
      </c>
      <c r="CJ20" s="48">
        <v>0</v>
      </c>
      <c r="CK20" s="48">
        <v>0</v>
      </c>
    </row>
    <row r="21" spans="1:89" s="22" customFormat="1">
      <c r="A21" s="24" t="s">
        <v>126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</row>
    <row r="22" spans="1:89">
      <c r="A22" s="23" t="s">
        <v>160</v>
      </c>
      <c r="B22" s="48">
        <v>-10127393.300000001</v>
      </c>
      <c r="C22" s="48">
        <v>-18242348.899999999</v>
      </c>
      <c r="D22" s="48">
        <v>-340582.65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</row>
    <row r="23" spans="1:89" s="9" customFormat="1">
      <c r="A23" s="27" t="s">
        <v>162</v>
      </c>
      <c r="B23" s="36">
        <f>-B52</f>
        <v>25636</v>
      </c>
      <c r="C23" s="36">
        <f t="shared" ref="C23:BN23" si="13">-C52</f>
        <v>27718</v>
      </c>
      <c r="D23" s="36">
        <f t="shared" si="13"/>
        <v>35317</v>
      </c>
      <c r="E23" s="36">
        <f t="shared" si="13"/>
        <v>256369789.46000001</v>
      </c>
      <c r="F23" s="36">
        <f t="shared" si="13"/>
        <v>34414</v>
      </c>
      <c r="G23" s="36">
        <f t="shared" si="13"/>
        <v>23309</v>
      </c>
      <c r="H23" s="36">
        <f t="shared" si="13"/>
        <v>16814</v>
      </c>
      <c r="I23" s="36">
        <f t="shared" si="13"/>
        <v>277179369.72000003</v>
      </c>
      <c r="J23" s="36">
        <f t="shared" si="13"/>
        <v>0</v>
      </c>
      <c r="K23" s="36">
        <f t="shared" si="13"/>
        <v>0</v>
      </c>
      <c r="L23" s="36">
        <f t="shared" si="13"/>
        <v>0</v>
      </c>
      <c r="M23" s="36">
        <f t="shared" si="13"/>
        <v>0</v>
      </c>
      <c r="N23" s="36">
        <f t="shared" si="13"/>
        <v>0</v>
      </c>
      <c r="O23" s="36">
        <f t="shared" si="13"/>
        <v>0</v>
      </c>
      <c r="P23" s="36">
        <f t="shared" si="13"/>
        <v>0</v>
      </c>
      <c r="Q23" s="36">
        <f t="shared" si="13"/>
        <v>0</v>
      </c>
      <c r="R23" s="36">
        <f t="shared" si="13"/>
        <v>0</v>
      </c>
      <c r="S23" s="36">
        <f t="shared" si="13"/>
        <v>0</v>
      </c>
      <c r="T23" s="36">
        <f t="shared" si="13"/>
        <v>0</v>
      </c>
      <c r="U23" s="36">
        <f t="shared" si="13"/>
        <v>0</v>
      </c>
      <c r="V23" s="36">
        <f t="shared" si="13"/>
        <v>0</v>
      </c>
      <c r="W23" s="36">
        <f t="shared" si="13"/>
        <v>0</v>
      </c>
      <c r="X23" s="36">
        <f t="shared" si="13"/>
        <v>0</v>
      </c>
      <c r="Y23" s="36">
        <f t="shared" si="13"/>
        <v>0</v>
      </c>
      <c r="Z23" s="36">
        <f t="shared" si="13"/>
        <v>0</v>
      </c>
      <c r="AA23" s="36">
        <f t="shared" si="13"/>
        <v>0</v>
      </c>
      <c r="AB23" s="36">
        <f t="shared" si="13"/>
        <v>0</v>
      </c>
      <c r="AC23" s="36">
        <f t="shared" si="13"/>
        <v>0</v>
      </c>
      <c r="AD23" s="36">
        <f t="shared" si="13"/>
        <v>0</v>
      </c>
      <c r="AE23" s="36">
        <f t="shared" si="13"/>
        <v>0</v>
      </c>
      <c r="AF23" s="36">
        <f t="shared" si="13"/>
        <v>0</v>
      </c>
      <c r="AG23" s="36">
        <f t="shared" si="13"/>
        <v>0</v>
      </c>
      <c r="AH23" s="36">
        <f t="shared" si="13"/>
        <v>0</v>
      </c>
      <c r="AI23" s="36">
        <f t="shared" si="13"/>
        <v>0</v>
      </c>
      <c r="AJ23" s="36">
        <f t="shared" si="13"/>
        <v>0</v>
      </c>
      <c r="AK23" s="36">
        <f t="shared" si="13"/>
        <v>0</v>
      </c>
      <c r="AL23" s="36">
        <f t="shared" si="13"/>
        <v>0</v>
      </c>
      <c r="AM23" s="36">
        <f t="shared" si="13"/>
        <v>0</v>
      </c>
      <c r="AN23" s="36">
        <f t="shared" si="13"/>
        <v>0</v>
      </c>
      <c r="AO23" s="36">
        <f t="shared" si="13"/>
        <v>0</v>
      </c>
      <c r="AP23" s="36">
        <f t="shared" si="13"/>
        <v>0</v>
      </c>
      <c r="AQ23" s="36">
        <f t="shared" si="13"/>
        <v>0</v>
      </c>
      <c r="AR23" s="36">
        <f t="shared" si="13"/>
        <v>0</v>
      </c>
      <c r="AS23" s="36">
        <f t="shared" si="13"/>
        <v>0</v>
      </c>
      <c r="AT23" s="36">
        <f t="shared" si="13"/>
        <v>0</v>
      </c>
      <c r="AU23" s="36">
        <f t="shared" si="13"/>
        <v>0</v>
      </c>
      <c r="AV23" s="36">
        <f t="shared" si="13"/>
        <v>0</v>
      </c>
      <c r="AW23" s="36">
        <f t="shared" si="13"/>
        <v>0</v>
      </c>
      <c r="AX23" s="36">
        <f t="shared" si="13"/>
        <v>0</v>
      </c>
      <c r="AY23" s="36">
        <f t="shared" si="13"/>
        <v>0</v>
      </c>
      <c r="AZ23" s="36">
        <f t="shared" si="13"/>
        <v>0</v>
      </c>
      <c r="BA23" s="36">
        <f t="shared" si="13"/>
        <v>0</v>
      </c>
      <c r="BB23" s="36">
        <f t="shared" si="13"/>
        <v>0</v>
      </c>
      <c r="BC23" s="36">
        <f t="shared" si="13"/>
        <v>0</v>
      </c>
      <c r="BD23" s="36">
        <f t="shared" si="13"/>
        <v>0</v>
      </c>
      <c r="BE23" s="36">
        <f t="shared" si="13"/>
        <v>0</v>
      </c>
      <c r="BF23" s="36">
        <f t="shared" si="13"/>
        <v>0</v>
      </c>
      <c r="BG23" s="36">
        <f t="shared" si="13"/>
        <v>0</v>
      </c>
      <c r="BH23" s="36">
        <f t="shared" si="13"/>
        <v>0</v>
      </c>
      <c r="BI23" s="36">
        <f t="shared" si="13"/>
        <v>0</v>
      </c>
      <c r="BJ23" s="36">
        <f t="shared" si="13"/>
        <v>0</v>
      </c>
      <c r="BK23" s="36">
        <f t="shared" si="13"/>
        <v>0</v>
      </c>
      <c r="BL23" s="36">
        <f t="shared" si="13"/>
        <v>0</v>
      </c>
      <c r="BM23" s="36">
        <f t="shared" si="13"/>
        <v>0</v>
      </c>
      <c r="BN23" s="36">
        <f t="shared" si="13"/>
        <v>0</v>
      </c>
      <c r="BO23" s="36">
        <f t="shared" ref="BO23:CK23" si="14">-BO52</f>
        <v>0</v>
      </c>
      <c r="BP23" s="36">
        <f t="shared" si="14"/>
        <v>0</v>
      </c>
      <c r="BQ23" s="36">
        <f t="shared" si="14"/>
        <v>0</v>
      </c>
      <c r="BR23" s="36">
        <f t="shared" si="14"/>
        <v>0</v>
      </c>
      <c r="BS23" s="36">
        <f t="shared" si="14"/>
        <v>0</v>
      </c>
      <c r="BT23" s="36">
        <f t="shared" si="14"/>
        <v>0</v>
      </c>
      <c r="BU23" s="36">
        <f t="shared" si="14"/>
        <v>0</v>
      </c>
      <c r="BV23" s="36">
        <f t="shared" si="14"/>
        <v>0</v>
      </c>
      <c r="BW23" s="36">
        <f t="shared" si="14"/>
        <v>0</v>
      </c>
      <c r="BX23" s="36">
        <f t="shared" si="14"/>
        <v>0</v>
      </c>
      <c r="BY23" s="36">
        <f t="shared" si="14"/>
        <v>0</v>
      </c>
      <c r="BZ23" s="36">
        <f t="shared" si="14"/>
        <v>0</v>
      </c>
      <c r="CA23" s="36">
        <f t="shared" si="14"/>
        <v>0</v>
      </c>
      <c r="CB23" s="36">
        <f t="shared" si="14"/>
        <v>0</v>
      </c>
      <c r="CC23" s="36">
        <f t="shared" si="14"/>
        <v>0</v>
      </c>
      <c r="CD23" s="36">
        <f t="shared" si="14"/>
        <v>0</v>
      </c>
      <c r="CE23" s="36">
        <f t="shared" si="14"/>
        <v>0</v>
      </c>
      <c r="CF23" s="36">
        <f t="shared" si="14"/>
        <v>0</v>
      </c>
      <c r="CG23" s="36">
        <f t="shared" si="14"/>
        <v>0</v>
      </c>
      <c r="CH23" s="36">
        <f t="shared" si="14"/>
        <v>0</v>
      </c>
      <c r="CI23" s="36">
        <f t="shared" si="14"/>
        <v>0</v>
      </c>
      <c r="CJ23" s="36">
        <f t="shared" si="14"/>
        <v>0</v>
      </c>
      <c r="CK23" s="36">
        <f t="shared" si="14"/>
        <v>0</v>
      </c>
    </row>
    <row r="24" spans="1:89">
      <c r="A24" s="23" t="s">
        <v>163</v>
      </c>
      <c r="B24" s="33">
        <f>B67</f>
        <v>1834389.2599999905</v>
      </c>
      <c r="C24" s="33">
        <f t="shared" ref="C24:BN24" si="15">C67</f>
        <v>925673.07999998331</v>
      </c>
      <c r="D24" s="33">
        <f t="shared" si="15"/>
        <v>0</v>
      </c>
      <c r="E24" s="33">
        <f t="shared" si="15"/>
        <v>55020129.629999995</v>
      </c>
      <c r="F24" s="33">
        <f t="shared" si="15"/>
        <v>2234606.9099999964</v>
      </c>
      <c r="G24" s="33">
        <f t="shared" si="15"/>
        <v>1005519.3700000048</v>
      </c>
      <c r="H24" s="33">
        <f t="shared" si="15"/>
        <v>0</v>
      </c>
      <c r="I24" s="33">
        <f t="shared" si="15"/>
        <v>289157870.09999996</v>
      </c>
      <c r="J24" s="33">
        <f t="shared" si="15"/>
        <v>213180522.73000002</v>
      </c>
      <c r="K24" s="33">
        <f t="shared" si="15"/>
        <v>190825180.55000001</v>
      </c>
      <c r="L24" s="33">
        <f t="shared" si="15"/>
        <v>0</v>
      </c>
      <c r="M24" s="33">
        <f t="shared" si="15"/>
        <v>934487706.18999994</v>
      </c>
      <c r="N24" s="33">
        <f t="shared" si="15"/>
        <v>927982151.03999996</v>
      </c>
      <c r="O24" s="33">
        <f t="shared" si="15"/>
        <v>79983204.839999974</v>
      </c>
      <c r="P24" s="33">
        <f t="shared" si="15"/>
        <v>0</v>
      </c>
      <c r="Q24" s="33">
        <f t="shared" si="15"/>
        <v>7967386.7099999785</v>
      </c>
      <c r="R24" s="33">
        <f t="shared" si="15"/>
        <v>5952926.2199999988</v>
      </c>
      <c r="S24" s="33">
        <f t="shared" si="15"/>
        <v>1265414</v>
      </c>
      <c r="T24" s="33">
        <f t="shared" si="15"/>
        <v>0</v>
      </c>
      <c r="U24" s="33">
        <f t="shared" si="15"/>
        <v>-124623073.77000001</v>
      </c>
      <c r="V24" s="33">
        <f t="shared" si="15"/>
        <v>-165451603.54999998</v>
      </c>
      <c r="W24" s="33">
        <f t="shared" si="15"/>
        <v>-157412474.31</v>
      </c>
      <c r="X24" s="33">
        <f t="shared" si="15"/>
        <v>1489054.4200000018</v>
      </c>
      <c r="Y24" s="33">
        <f t="shared" si="15"/>
        <v>156426642.10999995</v>
      </c>
      <c r="Z24" s="33">
        <f t="shared" si="15"/>
        <v>152814403.46000001</v>
      </c>
      <c r="AA24" s="33">
        <f t="shared" si="15"/>
        <v>152614767.44999999</v>
      </c>
      <c r="AB24" s="33">
        <f t="shared" si="15"/>
        <v>151747645.91</v>
      </c>
      <c r="AC24" s="33">
        <f t="shared" si="15"/>
        <v>2884505.1999999881</v>
      </c>
      <c r="AD24" s="33">
        <f t="shared" si="15"/>
        <v>-13941498.210000008</v>
      </c>
      <c r="AE24" s="33">
        <f t="shared" si="15"/>
        <v>3937500</v>
      </c>
      <c r="AF24" s="33">
        <f t="shared" si="15"/>
        <v>37710</v>
      </c>
      <c r="AG24" s="33">
        <f t="shared" si="15"/>
        <v>-8047922.6299999952</v>
      </c>
      <c r="AH24" s="33">
        <f t="shared" si="15"/>
        <v>-8173224.6100000143</v>
      </c>
      <c r="AI24" s="33">
        <f t="shared" si="15"/>
        <v>-6583661.7199999988</v>
      </c>
      <c r="AJ24" s="33">
        <f t="shared" si="15"/>
        <v>-21430.629999995232</v>
      </c>
      <c r="AK24" s="33">
        <f t="shared" si="15"/>
        <v>4466039.2100000083</v>
      </c>
      <c r="AL24" s="33">
        <f t="shared" si="15"/>
        <v>3937500</v>
      </c>
      <c r="AM24" s="33">
        <f t="shared" si="15"/>
        <v>3937500</v>
      </c>
      <c r="AN24" s="33">
        <f t="shared" si="15"/>
        <v>0</v>
      </c>
      <c r="AO24" s="33">
        <f t="shared" si="15"/>
        <v>175967870.43000001</v>
      </c>
      <c r="AP24" s="33">
        <f t="shared" si="15"/>
        <v>5029496.2899999917</v>
      </c>
      <c r="AQ24" s="33">
        <f t="shared" si="15"/>
        <v>4736035.099999994</v>
      </c>
      <c r="AR24" s="33">
        <f t="shared" si="15"/>
        <v>4868227.6099999994</v>
      </c>
      <c r="AS24" s="33">
        <f t="shared" si="15"/>
        <v>1021045.0499999821</v>
      </c>
      <c r="AT24" s="33">
        <f t="shared" si="15"/>
        <v>3145948.9100000262</v>
      </c>
      <c r="AU24" s="33">
        <f t="shared" si="15"/>
        <v>3221938.3999999762</v>
      </c>
      <c r="AV24" s="33">
        <f t="shared" si="15"/>
        <v>0</v>
      </c>
      <c r="AW24" s="33">
        <f t="shared" si="15"/>
        <v>106002085.7</v>
      </c>
      <c r="AX24" s="33">
        <f t="shared" si="15"/>
        <v>78146813.989999995</v>
      </c>
      <c r="AY24" s="33">
        <f t="shared" si="15"/>
        <v>31508275.550000001</v>
      </c>
      <c r="AZ24" s="33">
        <f t="shared" si="15"/>
        <v>6818330.1399999997</v>
      </c>
      <c r="BA24" s="33">
        <f t="shared" si="15"/>
        <v>-52414533.450000003</v>
      </c>
      <c r="BB24" s="33">
        <f t="shared" si="15"/>
        <v>-47415743.689999998</v>
      </c>
      <c r="BC24" s="33">
        <f t="shared" si="15"/>
        <v>-4476487.08</v>
      </c>
      <c r="BD24" s="33">
        <f t="shared" si="15"/>
        <v>13731417.210000001</v>
      </c>
      <c r="BE24" s="33">
        <f t="shared" si="15"/>
        <v>74080792.579999998</v>
      </c>
      <c r="BF24" s="33">
        <f t="shared" si="15"/>
        <v>53634658.140000001</v>
      </c>
      <c r="BG24" s="33">
        <f t="shared" si="15"/>
        <v>44718368.039999999</v>
      </c>
      <c r="BH24" s="33">
        <f t="shared" si="15"/>
        <v>13012623.23</v>
      </c>
      <c r="BI24" s="33">
        <f t="shared" si="15"/>
        <v>129351232.81999999</v>
      </c>
      <c r="BJ24" s="33">
        <f t="shared" si="15"/>
        <v>126231548.87</v>
      </c>
      <c r="BK24" s="33">
        <f t="shared" si="15"/>
        <v>99137772.019999996</v>
      </c>
      <c r="BL24" s="33">
        <f t="shared" si="15"/>
        <v>21058739.870000001</v>
      </c>
      <c r="BM24" s="33">
        <f t="shared" si="15"/>
        <v>80579243.650000006</v>
      </c>
      <c r="BN24" s="33">
        <f t="shared" si="15"/>
        <v>68017088.620000005</v>
      </c>
      <c r="BO24" s="33">
        <f t="shared" ref="BO24:CJ24" si="16">BO67</f>
        <v>47536007.049999997</v>
      </c>
      <c r="BP24" s="33">
        <f t="shared" si="16"/>
        <v>23536334.48</v>
      </c>
      <c r="BQ24" s="33">
        <f t="shared" si="16"/>
        <v>47111894.539999999</v>
      </c>
      <c r="BR24" s="33">
        <f t="shared" si="16"/>
        <v>43130624.329999998</v>
      </c>
      <c r="BS24" s="33">
        <f t="shared" si="16"/>
        <v>110636895.03</v>
      </c>
      <c r="BT24" s="33">
        <f t="shared" si="16"/>
        <v>55492097.759999998</v>
      </c>
      <c r="BU24" s="33">
        <f t="shared" si="16"/>
        <v>42252799.109999999</v>
      </c>
      <c r="BV24" s="33">
        <f t="shared" si="16"/>
        <v>-8467811.9100000001</v>
      </c>
      <c r="BW24" s="33">
        <f t="shared" si="16"/>
        <v>44423828.259999998</v>
      </c>
      <c r="BX24" s="33">
        <f t="shared" si="16"/>
        <v>-2405395.41</v>
      </c>
      <c r="BY24" s="33">
        <f t="shared" si="16"/>
        <v>43588942.600000001</v>
      </c>
      <c r="BZ24" s="33">
        <f t="shared" si="16"/>
        <v>2100000</v>
      </c>
      <c r="CA24" s="33">
        <f t="shared" si="16"/>
        <v>5299206.3</v>
      </c>
      <c r="CB24" s="33">
        <f t="shared" si="16"/>
        <v>3033836.53</v>
      </c>
      <c r="CC24" s="33">
        <f t="shared" si="16"/>
        <v>10641347.550000001</v>
      </c>
      <c r="CD24" s="33">
        <f t="shared" si="16"/>
        <v>5790000</v>
      </c>
      <c r="CE24" s="33">
        <f t="shared" si="16"/>
        <v>7729000</v>
      </c>
      <c r="CF24" s="33">
        <f t="shared" si="16"/>
        <v>2092581.44</v>
      </c>
      <c r="CG24" s="33">
        <f t="shared" si="16"/>
        <v>0</v>
      </c>
      <c r="CH24" s="33">
        <f t="shared" si="16"/>
        <v>0</v>
      </c>
      <c r="CI24" s="33">
        <f t="shared" si="16"/>
        <v>0</v>
      </c>
      <c r="CJ24" s="33">
        <f t="shared" si="16"/>
        <v>0</v>
      </c>
    </row>
    <row r="25" spans="1:89" s="9" customFormat="1">
      <c r="A25" s="27" t="s">
        <v>161</v>
      </c>
      <c r="B25" s="36">
        <f>-B54</f>
        <v>-3104</v>
      </c>
      <c r="C25" s="36">
        <f t="shared" ref="C25:BN25" si="17">-C54</f>
        <v>1424</v>
      </c>
      <c r="D25" s="36">
        <f t="shared" si="17"/>
        <v>340</v>
      </c>
      <c r="E25" s="36">
        <f t="shared" si="17"/>
        <v>-31036899.960000001</v>
      </c>
      <c r="F25" s="36">
        <f t="shared" si="17"/>
        <v>-2684</v>
      </c>
      <c r="G25" s="36">
        <f t="shared" si="17"/>
        <v>377</v>
      </c>
      <c r="H25" s="36">
        <f t="shared" si="17"/>
        <v>-1008</v>
      </c>
      <c r="I25" s="36">
        <f t="shared" si="17"/>
        <v>14236468.01</v>
      </c>
      <c r="J25" s="36">
        <f t="shared" si="17"/>
        <v>0</v>
      </c>
      <c r="K25" s="36">
        <f t="shared" si="17"/>
        <v>0</v>
      </c>
      <c r="L25" s="36">
        <f t="shared" si="17"/>
        <v>0</v>
      </c>
      <c r="M25" s="36">
        <f t="shared" si="17"/>
        <v>0</v>
      </c>
      <c r="N25" s="36">
        <f t="shared" si="17"/>
        <v>0</v>
      </c>
      <c r="O25" s="36">
        <f t="shared" si="17"/>
        <v>0</v>
      </c>
      <c r="P25" s="36">
        <f t="shared" si="17"/>
        <v>0</v>
      </c>
      <c r="Q25" s="36">
        <f t="shared" si="17"/>
        <v>0</v>
      </c>
      <c r="R25" s="36">
        <f t="shared" si="17"/>
        <v>0</v>
      </c>
      <c r="S25" s="36">
        <f t="shared" si="17"/>
        <v>0</v>
      </c>
      <c r="T25" s="36">
        <f t="shared" si="17"/>
        <v>0</v>
      </c>
      <c r="U25" s="36">
        <f t="shared" si="17"/>
        <v>0</v>
      </c>
      <c r="V25" s="36">
        <f t="shared" si="17"/>
        <v>0</v>
      </c>
      <c r="W25" s="36">
        <f t="shared" si="17"/>
        <v>0</v>
      </c>
      <c r="X25" s="36">
        <f t="shared" si="17"/>
        <v>0</v>
      </c>
      <c r="Y25" s="36">
        <f t="shared" si="17"/>
        <v>0</v>
      </c>
      <c r="Z25" s="36">
        <f t="shared" si="17"/>
        <v>0</v>
      </c>
      <c r="AA25" s="36">
        <f t="shared" si="17"/>
        <v>0</v>
      </c>
      <c r="AB25" s="36">
        <f t="shared" si="17"/>
        <v>0</v>
      </c>
      <c r="AC25" s="36">
        <f t="shared" si="17"/>
        <v>0</v>
      </c>
      <c r="AD25" s="36">
        <f t="shared" si="17"/>
        <v>0</v>
      </c>
      <c r="AE25" s="36">
        <f t="shared" si="17"/>
        <v>0</v>
      </c>
      <c r="AF25" s="36">
        <f t="shared" si="17"/>
        <v>0</v>
      </c>
      <c r="AG25" s="36">
        <f t="shared" si="17"/>
        <v>0</v>
      </c>
      <c r="AH25" s="36">
        <f t="shared" si="17"/>
        <v>0</v>
      </c>
      <c r="AI25" s="36">
        <f t="shared" si="17"/>
        <v>0</v>
      </c>
      <c r="AJ25" s="36">
        <f t="shared" si="17"/>
        <v>0</v>
      </c>
      <c r="AK25" s="36">
        <f t="shared" si="17"/>
        <v>0</v>
      </c>
      <c r="AL25" s="36">
        <f t="shared" si="17"/>
        <v>0</v>
      </c>
      <c r="AM25" s="36">
        <f t="shared" si="17"/>
        <v>0</v>
      </c>
      <c r="AN25" s="36">
        <f t="shared" si="17"/>
        <v>0</v>
      </c>
      <c r="AO25" s="36">
        <f t="shared" si="17"/>
        <v>0</v>
      </c>
      <c r="AP25" s="36">
        <f t="shared" si="17"/>
        <v>0</v>
      </c>
      <c r="AQ25" s="36">
        <f t="shared" si="17"/>
        <v>0</v>
      </c>
      <c r="AR25" s="36">
        <f t="shared" si="17"/>
        <v>0</v>
      </c>
      <c r="AS25" s="36">
        <f t="shared" si="17"/>
        <v>0</v>
      </c>
      <c r="AT25" s="36">
        <f t="shared" si="17"/>
        <v>0</v>
      </c>
      <c r="AU25" s="36">
        <f t="shared" si="17"/>
        <v>0</v>
      </c>
      <c r="AV25" s="36">
        <f t="shared" si="17"/>
        <v>0</v>
      </c>
      <c r="AW25" s="36">
        <f t="shared" si="17"/>
        <v>0</v>
      </c>
      <c r="AX25" s="36">
        <f t="shared" si="17"/>
        <v>0</v>
      </c>
      <c r="AY25" s="36">
        <f t="shared" si="17"/>
        <v>0</v>
      </c>
      <c r="AZ25" s="36">
        <f t="shared" si="17"/>
        <v>0</v>
      </c>
      <c r="BA25" s="36">
        <f t="shared" si="17"/>
        <v>0</v>
      </c>
      <c r="BB25" s="36">
        <f t="shared" si="17"/>
        <v>0</v>
      </c>
      <c r="BC25" s="36">
        <f t="shared" si="17"/>
        <v>0</v>
      </c>
      <c r="BD25" s="36">
        <f t="shared" si="17"/>
        <v>0</v>
      </c>
      <c r="BE25" s="36">
        <f t="shared" si="17"/>
        <v>0</v>
      </c>
      <c r="BF25" s="36">
        <f t="shared" si="17"/>
        <v>0</v>
      </c>
      <c r="BG25" s="36">
        <f t="shared" si="17"/>
        <v>0</v>
      </c>
      <c r="BH25" s="36">
        <f t="shared" si="17"/>
        <v>0</v>
      </c>
      <c r="BI25" s="36">
        <f t="shared" si="17"/>
        <v>0</v>
      </c>
      <c r="BJ25" s="36">
        <f t="shared" si="17"/>
        <v>0</v>
      </c>
      <c r="BK25" s="36">
        <f t="shared" si="17"/>
        <v>0</v>
      </c>
      <c r="BL25" s="36">
        <f t="shared" si="17"/>
        <v>0</v>
      </c>
      <c r="BM25" s="36">
        <f t="shared" si="17"/>
        <v>0</v>
      </c>
      <c r="BN25" s="36">
        <f t="shared" si="17"/>
        <v>0</v>
      </c>
      <c r="BO25" s="36">
        <f t="shared" ref="BO25:CK25" si="18">-BO54</f>
        <v>0</v>
      </c>
      <c r="BP25" s="36">
        <f t="shared" si="18"/>
        <v>0</v>
      </c>
      <c r="BQ25" s="36">
        <f t="shared" si="18"/>
        <v>0</v>
      </c>
      <c r="BR25" s="36">
        <f t="shared" si="18"/>
        <v>0</v>
      </c>
      <c r="BS25" s="36">
        <f t="shared" si="18"/>
        <v>0</v>
      </c>
      <c r="BT25" s="36">
        <f t="shared" si="18"/>
        <v>0</v>
      </c>
      <c r="BU25" s="36">
        <f t="shared" si="18"/>
        <v>0</v>
      </c>
      <c r="BV25" s="36">
        <f t="shared" si="18"/>
        <v>0</v>
      </c>
      <c r="BW25" s="36">
        <f t="shared" si="18"/>
        <v>0</v>
      </c>
      <c r="BX25" s="36">
        <f t="shared" si="18"/>
        <v>0</v>
      </c>
      <c r="BY25" s="36">
        <f t="shared" si="18"/>
        <v>0</v>
      </c>
      <c r="BZ25" s="36">
        <f t="shared" si="18"/>
        <v>0</v>
      </c>
      <c r="CA25" s="36">
        <f t="shared" si="18"/>
        <v>0</v>
      </c>
      <c r="CB25" s="36">
        <f t="shared" si="18"/>
        <v>0</v>
      </c>
      <c r="CC25" s="36">
        <f t="shared" si="18"/>
        <v>0</v>
      </c>
      <c r="CD25" s="36">
        <f t="shared" si="18"/>
        <v>0</v>
      </c>
      <c r="CE25" s="36">
        <f t="shared" si="18"/>
        <v>0</v>
      </c>
      <c r="CF25" s="36">
        <f t="shared" si="18"/>
        <v>0</v>
      </c>
      <c r="CG25" s="36">
        <f t="shared" si="18"/>
        <v>0</v>
      </c>
      <c r="CH25" s="36">
        <f t="shared" si="18"/>
        <v>0</v>
      </c>
      <c r="CI25" s="36">
        <f t="shared" si="18"/>
        <v>0</v>
      </c>
      <c r="CJ25" s="36">
        <f t="shared" si="18"/>
        <v>0</v>
      </c>
      <c r="CK25" s="36">
        <f t="shared" si="18"/>
        <v>0</v>
      </c>
    </row>
    <row r="26" spans="1:89">
      <c r="A26" s="23" t="s">
        <v>358</v>
      </c>
      <c r="B26" s="48">
        <v>205783.08</v>
      </c>
      <c r="C26" s="48">
        <v>205783.08</v>
      </c>
      <c r="D26" s="48">
        <v>0</v>
      </c>
      <c r="E26" s="48">
        <v>-48098590.850000001</v>
      </c>
      <c r="F26" s="48">
        <v>-1177249.97</v>
      </c>
      <c r="G26" s="48">
        <v>6556423.4699999997</v>
      </c>
      <c r="H26" s="48">
        <v>8796268.1999999993</v>
      </c>
      <c r="I26" s="48">
        <v>-982788.02</v>
      </c>
      <c r="J26" s="48">
        <v>-28366344.449999999</v>
      </c>
      <c r="K26" s="48">
        <v>-26873141.84</v>
      </c>
      <c r="L26" s="48">
        <v>-21554469.379999999</v>
      </c>
      <c r="M26" s="48">
        <v>5618539.7599999998</v>
      </c>
      <c r="N26" s="48">
        <v>79127152.640000001</v>
      </c>
      <c r="O26" s="48">
        <v>21161153.059999999</v>
      </c>
      <c r="P26" s="48">
        <v>16491510.01</v>
      </c>
      <c r="Q26" s="48">
        <v>12678499.35</v>
      </c>
      <c r="R26" s="48">
        <v>7106429.5199999996</v>
      </c>
      <c r="S26" s="48">
        <v>-10656000.99</v>
      </c>
      <c r="T26" s="48">
        <v>-2020226.36</v>
      </c>
      <c r="U26" s="48">
        <v>-25554739.649999999</v>
      </c>
      <c r="V26" s="48">
        <v>36708517.380000003</v>
      </c>
      <c r="W26" s="48">
        <v>11909951.199999999</v>
      </c>
      <c r="X26" s="48">
        <v>-570456.94999999995</v>
      </c>
      <c r="Y26" s="48">
        <v>-33989737.82</v>
      </c>
      <c r="Z26" s="48">
        <v>-31340267.109999999</v>
      </c>
      <c r="AA26" s="48">
        <v>2509863.6</v>
      </c>
      <c r="AB26" s="48">
        <v>6875241.0499999998</v>
      </c>
      <c r="AC26" s="48">
        <v>5177803.7</v>
      </c>
      <c r="AD26" s="48">
        <v>4907980.3600000003</v>
      </c>
      <c r="AE26" s="48">
        <v>-287965.93</v>
      </c>
      <c r="AF26" s="48">
        <v>-162495.17000000001</v>
      </c>
      <c r="AG26" s="48">
        <v>4196643.5</v>
      </c>
      <c r="AH26" s="48">
        <v>5330808.12</v>
      </c>
      <c r="AI26" s="48">
        <v>3920799.22</v>
      </c>
      <c r="AJ26" s="48">
        <v>-661729.80000000005</v>
      </c>
      <c r="AK26" s="48">
        <v>57148842.609999999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23" t="s">
        <v>127</v>
      </c>
      <c r="B27" s="33">
        <f>SUM(B22:B26)</f>
        <v>-8064688.9600000102</v>
      </c>
      <c r="C27" s="33">
        <f t="shared" ref="C27:BN27" si="19">SUM(C22:C26)</f>
        <v>-17081750.740000017</v>
      </c>
      <c r="D27" s="33">
        <f t="shared" si="19"/>
        <v>-304925.65000000002</v>
      </c>
      <c r="E27" s="33">
        <f t="shared" si="19"/>
        <v>232254428.28000006</v>
      </c>
      <c r="F27" s="33">
        <f t="shared" si="19"/>
        <v>1089086.9399999965</v>
      </c>
      <c r="G27" s="33">
        <f t="shared" si="19"/>
        <v>7585628.8400000045</v>
      </c>
      <c r="H27" s="33">
        <f t="shared" si="19"/>
        <v>8812074.1999999993</v>
      </c>
      <c r="I27" s="33">
        <f t="shared" si="19"/>
        <v>579590919.80999994</v>
      </c>
      <c r="J27" s="33">
        <f t="shared" si="19"/>
        <v>184814178.28000003</v>
      </c>
      <c r="K27" s="33">
        <f t="shared" si="19"/>
        <v>163952038.71000001</v>
      </c>
      <c r="L27" s="33">
        <f t="shared" si="19"/>
        <v>-21554469.379999999</v>
      </c>
      <c r="M27" s="33">
        <f t="shared" si="19"/>
        <v>940106245.94999993</v>
      </c>
      <c r="N27" s="33">
        <f t="shared" si="19"/>
        <v>1007109303.6799999</v>
      </c>
      <c r="O27" s="33">
        <f t="shared" si="19"/>
        <v>101144357.89999998</v>
      </c>
      <c r="P27" s="33">
        <f t="shared" si="19"/>
        <v>16491510.01</v>
      </c>
      <c r="Q27" s="33">
        <f t="shared" si="19"/>
        <v>20645886.05999998</v>
      </c>
      <c r="R27" s="33">
        <f t="shared" si="19"/>
        <v>13059355.739999998</v>
      </c>
      <c r="S27" s="33">
        <f t="shared" si="19"/>
        <v>-9390586.9900000002</v>
      </c>
      <c r="T27" s="33">
        <f t="shared" si="19"/>
        <v>-2020226.36</v>
      </c>
      <c r="U27" s="33">
        <f t="shared" si="19"/>
        <v>-150177813.42000002</v>
      </c>
      <c r="V27" s="33">
        <f t="shared" si="19"/>
        <v>-128743086.16999999</v>
      </c>
      <c r="W27" s="33">
        <f t="shared" si="19"/>
        <v>-145502523.11000001</v>
      </c>
      <c r="X27" s="33">
        <f t="shared" si="19"/>
        <v>918597.47000000183</v>
      </c>
      <c r="Y27" s="33">
        <f t="shared" si="19"/>
        <v>122436904.28999996</v>
      </c>
      <c r="Z27" s="33">
        <f t="shared" si="19"/>
        <v>121474136.35000001</v>
      </c>
      <c r="AA27" s="33">
        <f t="shared" si="19"/>
        <v>155124631.04999998</v>
      </c>
      <c r="AB27" s="33">
        <f t="shared" si="19"/>
        <v>158622886.96000001</v>
      </c>
      <c r="AC27" s="33">
        <f t="shared" si="19"/>
        <v>8062308.8999999883</v>
      </c>
      <c r="AD27" s="33">
        <f t="shared" si="19"/>
        <v>-9033517.8500000089</v>
      </c>
      <c r="AE27" s="33">
        <f t="shared" si="19"/>
        <v>3649534.07</v>
      </c>
      <c r="AF27" s="33">
        <f t="shared" si="19"/>
        <v>-124785.17000000001</v>
      </c>
      <c r="AG27" s="33">
        <f t="shared" si="19"/>
        <v>-3851279.1299999952</v>
      </c>
      <c r="AH27" s="33">
        <f t="shared" si="19"/>
        <v>-2842416.4900000142</v>
      </c>
      <c r="AI27" s="33">
        <f t="shared" si="19"/>
        <v>-2662862.4999999986</v>
      </c>
      <c r="AJ27" s="33">
        <f t="shared" si="19"/>
        <v>-683160.42999999528</v>
      </c>
      <c r="AK27" s="33">
        <f t="shared" si="19"/>
        <v>61614881.820000008</v>
      </c>
      <c r="AL27" s="33">
        <f t="shared" si="19"/>
        <v>3937500</v>
      </c>
      <c r="AM27" s="33">
        <f t="shared" si="19"/>
        <v>3937500</v>
      </c>
      <c r="AN27" s="33">
        <f t="shared" si="19"/>
        <v>0</v>
      </c>
      <c r="AO27" s="33">
        <f t="shared" si="19"/>
        <v>175967870.43000001</v>
      </c>
      <c r="AP27" s="33">
        <f t="shared" si="19"/>
        <v>5029496.2899999917</v>
      </c>
      <c r="AQ27" s="33">
        <f t="shared" si="19"/>
        <v>4736035.099999994</v>
      </c>
      <c r="AR27" s="33">
        <f t="shared" si="19"/>
        <v>4868227.6099999994</v>
      </c>
      <c r="AS27" s="33">
        <f t="shared" si="19"/>
        <v>1021045.0499999821</v>
      </c>
      <c r="AT27" s="33">
        <f t="shared" si="19"/>
        <v>3145948.9100000262</v>
      </c>
      <c r="AU27" s="33">
        <f t="shared" si="19"/>
        <v>3221938.3999999762</v>
      </c>
      <c r="AV27" s="33">
        <f t="shared" si="19"/>
        <v>0</v>
      </c>
      <c r="AW27" s="33">
        <f t="shared" si="19"/>
        <v>106002085.7</v>
      </c>
      <c r="AX27" s="33">
        <f t="shared" si="19"/>
        <v>78146813.989999995</v>
      </c>
      <c r="AY27" s="33">
        <f t="shared" si="19"/>
        <v>31508275.550000001</v>
      </c>
      <c r="AZ27" s="33">
        <f t="shared" si="19"/>
        <v>6818330.1399999997</v>
      </c>
      <c r="BA27" s="33">
        <f t="shared" si="19"/>
        <v>-52414533.450000003</v>
      </c>
      <c r="BB27" s="33">
        <f t="shared" si="19"/>
        <v>-47415743.689999998</v>
      </c>
      <c r="BC27" s="33">
        <f t="shared" si="19"/>
        <v>-4476487.08</v>
      </c>
      <c r="BD27" s="33">
        <f t="shared" si="19"/>
        <v>13731417.210000001</v>
      </c>
      <c r="BE27" s="33">
        <f t="shared" si="19"/>
        <v>74080792.579999998</v>
      </c>
      <c r="BF27" s="33">
        <f t="shared" si="19"/>
        <v>53634658.140000001</v>
      </c>
      <c r="BG27" s="33">
        <f t="shared" si="19"/>
        <v>44718368.039999999</v>
      </c>
      <c r="BH27" s="33">
        <f t="shared" si="19"/>
        <v>13012623.23</v>
      </c>
      <c r="BI27" s="33">
        <f t="shared" si="19"/>
        <v>129351232.81999999</v>
      </c>
      <c r="BJ27" s="33">
        <f t="shared" si="19"/>
        <v>126231548.87</v>
      </c>
      <c r="BK27" s="33">
        <f t="shared" si="19"/>
        <v>99137772.019999996</v>
      </c>
      <c r="BL27" s="33">
        <f t="shared" si="19"/>
        <v>21058739.870000001</v>
      </c>
      <c r="BM27" s="33">
        <f t="shared" si="19"/>
        <v>80579243.650000006</v>
      </c>
      <c r="BN27" s="33">
        <f t="shared" si="19"/>
        <v>68017088.620000005</v>
      </c>
      <c r="BO27" s="33">
        <f t="shared" ref="BO27:CJ27" si="20">SUM(BO22:BO26)</f>
        <v>47536007.049999997</v>
      </c>
      <c r="BP27" s="33">
        <f t="shared" si="20"/>
        <v>23536334.48</v>
      </c>
      <c r="BQ27" s="33">
        <f t="shared" si="20"/>
        <v>47111894.539999999</v>
      </c>
      <c r="BR27" s="33">
        <f t="shared" si="20"/>
        <v>43130624.329999998</v>
      </c>
      <c r="BS27" s="33">
        <f t="shared" si="20"/>
        <v>110636895.03</v>
      </c>
      <c r="BT27" s="33">
        <f t="shared" si="20"/>
        <v>55492097.759999998</v>
      </c>
      <c r="BU27" s="33">
        <f t="shared" si="20"/>
        <v>42252799.109999999</v>
      </c>
      <c r="BV27" s="33">
        <f t="shared" si="20"/>
        <v>-8467811.9100000001</v>
      </c>
      <c r="BW27" s="33">
        <f t="shared" si="20"/>
        <v>44423828.259999998</v>
      </c>
      <c r="BX27" s="33">
        <f t="shared" si="20"/>
        <v>-2405395.41</v>
      </c>
      <c r="BY27" s="33">
        <f t="shared" si="20"/>
        <v>43588942.600000001</v>
      </c>
      <c r="BZ27" s="33">
        <f t="shared" si="20"/>
        <v>2100000</v>
      </c>
      <c r="CA27" s="33">
        <f t="shared" si="20"/>
        <v>5299206.3</v>
      </c>
      <c r="CB27" s="33">
        <f t="shared" si="20"/>
        <v>3033836.53</v>
      </c>
      <c r="CC27" s="33">
        <f t="shared" si="20"/>
        <v>10641347.550000001</v>
      </c>
      <c r="CD27" s="33">
        <f t="shared" si="20"/>
        <v>5790000</v>
      </c>
      <c r="CE27" s="33">
        <f t="shared" si="20"/>
        <v>7729000</v>
      </c>
      <c r="CF27" s="33">
        <f t="shared" si="20"/>
        <v>2092581.44</v>
      </c>
      <c r="CG27" s="33">
        <f t="shared" si="20"/>
        <v>0</v>
      </c>
      <c r="CH27" s="33">
        <f t="shared" si="20"/>
        <v>0</v>
      </c>
      <c r="CI27" s="33">
        <f t="shared" si="20"/>
        <v>0</v>
      </c>
      <c r="CJ27" s="33">
        <f t="shared" si="20"/>
        <v>0</v>
      </c>
    </row>
    <row r="28" spans="1:89">
      <c r="A28" s="23" t="s">
        <v>128</v>
      </c>
      <c r="B28" s="33">
        <f>SUM(B22:B25)*B41</f>
        <v>-752239.62152881315</v>
      </c>
      <c r="C28" s="33">
        <f t="shared" ref="C28:BN28" si="21">SUM(C22:C25)*C41</f>
        <v>-1819377.4327576905</v>
      </c>
      <c r="D28" s="33">
        <f t="shared" si="21"/>
        <v>-39804.873128096471</v>
      </c>
      <c r="E28" s="33">
        <f t="shared" si="21"/>
        <v>36909031.043051749</v>
      </c>
      <c r="F28" s="33">
        <f t="shared" si="21"/>
        <v>274412.67114898108</v>
      </c>
      <c r="G28" s="33">
        <f t="shared" si="21"/>
        <v>115030.72239685872</v>
      </c>
      <c r="H28" s="33">
        <f t="shared" si="21"/>
        <v>1971.579826569541</v>
      </c>
      <c r="I28" s="33">
        <f t="shared" si="21"/>
        <v>72256907.141527221</v>
      </c>
      <c r="J28" s="33">
        <f t="shared" si="21"/>
        <v>24521394.194016777</v>
      </c>
      <c r="K28" s="33">
        <f t="shared" si="21"/>
        <v>19768241.757066395</v>
      </c>
      <c r="L28" s="33">
        <f t="shared" si="21"/>
        <v>0</v>
      </c>
      <c r="M28" s="33">
        <f t="shared" si="21"/>
        <v>-377247295.98113954</v>
      </c>
      <c r="N28" s="33">
        <f t="shared" si="21"/>
        <v>-464360351.49412763</v>
      </c>
      <c r="O28" s="33">
        <f t="shared" si="21"/>
        <v>-12900319.971496336</v>
      </c>
      <c r="P28" s="33">
        <f t="shared" si="21"/>
        <v>0</v>
      </c>
      <c r="Q28" s="33">
        <f t="shared" si="21"/>
        <v>-1086450.3246988736</v>
      </c>
      <c r="R28" s="33">
        <f t="shared" si="21"/>
        <v>-954243.87676839565</v>
      </c>
      <c r="S28" s="33">
        <f t="shared" si="21"/>
        <v>-176043.11659974864</v>
      </c>
      <c r="T28" s="33">
        <f t="shared" si="21"/>
        <v>0</v>
      </c>
      <c r="U28" s="33">
        <f t="shared" si="21"/>
        <v>13978837.305624809</v>
      </c>
      <c r="V28" s="33">
        <f t="shared" si="21"/>
        <v>19088280.459130734</v>
      </c>
      <c r="W28" s="33">
        <f t="shared" si="21"/>
        <v>13828580.994037068</v>
      </c>
      <c r="X28" s="33">
        <f t="shared" si="21"/>
        <v>-146730.72805877877</v>
      </c>
      <c r="Y28" s="33">
        <f t="shared" si="21"/>
        <v>-31609231.798333004</v>
      </c>
      <c r="Z28" s="33">
        <f t="shared" si="21"/>
        <v>-18204809.087977532</v>
      </c>
      <c r="AA28" s="33">
        <f t="shared" si="21"/>
        <v>-29131115.470804323</v>
      </c>
      <c r="AB28" s="33">
        <f t="shared" si="21"/>
        <v>-33573179.638999619</v>
      </c>
      <c r="AC28" s="33">
        <f t="shared" si="21"/>
        <v>-336204.37273713754</v>
      </c>
      <c r="AD28" s="33">
        <f t="shared" si="21"/>
        <v>2041465.7983644558</v>
      </c>
      <c r="AE28" s="33">
        <f t="shared" si="21"/>
        <v>-593160.38407242065</v>
      </c>
      <c r="AF28" s="33">
        <f t="shared" si="21"/>
        <v>-5856.1492036056152</v>
      </c>
      <c r="AG28" s="33">
        <f t="shared" si="21"/>
        <v>994965.3253551909</v>
      </c>
      <c r="AH28" s="33">
        <f t="shared" si="21"/>
        <v>1108501.4230455412</v>
      </c>
      <c r="AI28" s="33">
        <f t="shared" si="21"/>
        <v>919114.78919216013</v>
      </c>
      <c r="AJ28" s="33">
        <f t="shared" si="21"/>
        <v>3091.1032203913219</v>
      </c>
      <c r="AK28" s="33">
        <f t="shared" si="21"/>
        <v>-551894.55035284755</v>
      </c>
      <c r="AL28" s="33">
        <f t="shared" si="21"/>
        <v>-612254.09775445377</v>
      </c>
      <c r="AM28" s="33">
        <f t="shared" si="21"/>
        <v>-649346.91326804901</v>
      </c>
      <c r="AN28" s="33">
        <f t="shared" si="21"/>
        <v>0</v>
      </c>
      <c r="AO28" s="33">
        <f t="shared" si="21"/>
        <v>-32199459.525364257</v>
      </c>
      <c r="AP28" s="33">
        <f t="shared" si="21"/>
        <v>-1083746.3919783807</v>
      </c>
      <c r="AQ28" s="33">
        <f t="shared" si="21"/>
        <v>-1124060.946093095</v>
      </c>
      <c r="AR28" s="33">
        <f t="shared" si="21"/>
        <v>-1078902.0053895039</v>
      </c>
      <c r="AS28" s="33">
        <f t="shared" si="21"/>
        <v>-162206.68551140465</v>
      </c>
      <c r="AT28" s="33">
        <f t="shared" si="21"/>
        <v>-761990.20707005507</v>
      </c>
      <c r="AU28" s="33">
        <f t="shared" si="21"/>
        <v>-775176.89752877573</v>
      </c>
      <c r="AV28" s="33">
        <f t="shared" si="21"/>
        <v>0</v>
      </c>
      <c r="AW28" s="33">
        <f t="shared" si="21"/>
        <v>-14627158.785572134</v>
      </c>
      <c r="AX28" s="33">
        <f t="shared" si="21"/>
        <v>-9631810.5466673449</v>
      </c>
      <c r="AY28" s="33">
        <f t="shared" si="21"/>
        <v>-3420330.2247139388</v>
      </c>
      <c r="AZ28" s="33">
        <f t="shared" si="21"/>
        <v>-814377.14702227607</v>
      </c>
      <c r="BA28" s="33">
        <f t="shared" si="21"/>
        <v>5966077.6041587926</v>
      </c>
      <c r="BB28" s="33">
        <f t="shared" si="21"/>
        <v>6300436.5747672115</v>
      </c>
      <c r="BC28" s="33">
        <f t="shared" si="21"/>
        <v>663764.85283110908</v>
      </c>
      <c r="BD28" s="33">
        <f t="shared" si="21"/>
        <v>-2124529.008743681</v>
      </c>
      <c r="BE28" s="33">
        <f t="shared" si="21"/>
        <v>-10679520.349775378</v>
      </c>
      <c r="BF28" s="33">
        <f t="shared" si="21"/>
        <v>-8716996.2377928663</v>
      </c>
      <c r="BG28" s="33">
        <f t="shared" si="21"/>
        <v>-8058157.1145324921</v>
      </c>
      <c r="BH28" s="33">
        <f t="shared" si="21"/>
        <v>-2325582.6869395501</v>
      </c>
      <c r="BI28" s="33">
        <f t="shared" si="21"/>
        <v>-32567755.91497077</v>
      </c>
      <c r="BJ28" s="33">
        <f t="shared" si="21"/>
        <v>-29074704.350034341</v>
      </c>
      <c r="BK28" s="33">
        <f t="shared" si="21"/>
        <v>-24489462.647062123</v>
      </c>
      <c r="BL28" s="33">
        <f t="shared" si="21"/>
        <v>-3420092.5743421717</v>
      </c>
      <c r="BM28" s="33">
        <f t="shared" si="21"/>
        <v>-13305640.401392072</v>
      </c>
      <c r="BN28" s="33">
        <f t="shared" si="21"/>
        <v>-12353473.838119274</v>
      </c>
      <c r="BO28" s="33">
        <f t="shared" ref="BO28:CJ28" si="22">SUM(BO22:BO25)*BO41</f>
        <v>-9059426.9569603093</v>
      </c>
      <c r="BP28" s="33">
        <f t="shared" si="22"/>
        <v>-4358297.5161470035</v>
      </c>
      <c r="BQ28" s="33">
        <f t="shared" si="22"/>
        <v>-7790786.5418251129</v>
      </c>
      <c r="BR28" s="33">
        <f t="shared" si="22"/>
        <v>-8504875.4041034151</v>
      </c>
      <c r="BS28" s="33">
        <f t="shared" si="22"/>
        <v>-16085391.695630245</v>
      </c>
      <c r="BT28" s="33">
        <f t="shared" si="22"/>
        <v>-12645290.709722973</v>
      </c>
      <c r="BU28" s="33">
        <f t="shared" si="22"/>
        <v>-7407016.5504189599</v>
      </c>
      <c r="BV28" s="33">
        <f t="shared" si="22"/>
        <v>1405062.7742378167</v>
      </c>
      <c r="BW28" s="33">
        <f t="shared" si="22"/>
        <v>-4129372.8409806667</v>
      </c>
      <c r="BX28" s="33">
        <f t="shared" si="22"/>
        <v>0</v>
      </c>
      <c r="BY28" s="33">
        <f t="shared" si="22"/>
        <v>-3793236.4297346105</v>
      </c>
      <c r="BZ28" s="33">
        <f t="shared" si="22"/>
        <v>1624615.5</v>
      </c>
      <c r="CA28" s="33">
        <f t="shared" si="22"/>
        <v>-43499.330592916347</v>
      </c>
      <c r="CB28" s="33">
        <f t="shared" si="22"/>
        <v>9698012.9700000007</v>
      </c>
      <c r="CC28" s="33">
        <f t="shared" si="22"/>
        <v>-1427432.1228543303</v>
      </c>
      <c r="CD28" s="33">
        <f t="shared" si="22"/>
        <v>19730000</v>
      </c>
      <c r="CE28" s="33">
        <f t="shared" si="22"/>
        <v>27810000</v>
      </c>
      <c r="CF28" s="33">
        <f t="shared" si="22"/>
        <v>-4157945.7038487508</v>
      </c>
      <c r="CG28" s="33">
        <f t="shared" si="22"/>
        <v>0</v>
      </c>
      <c r="CH28" s="33">
        <f t="shared" si="22"/>
        <v>0</v>
      </c>
      <c r="CI28" s="33">
        <f t="shared" si="22"/>
        <v>0</v>
      </c>
      <c r="CJ28" s="33">
        <f t="shared" si="22"/>
        <v>0</v>
      </c>
    </row>
    <row r="29" spans="1:89" s="2" customFormat="1">
      <c r="A29" s="26" t="s">
        <v>131</v>
      </c>
      <c r="B29" s="35">
        <f>B27-B28</f>
        <v>-7312449.3384711966</v>
      </c>
      <c r="C29" s="35">
        <f t="shared" ref="C29:BN29" si="23">C27-C28</f>
        <v>-15262373.307242326</v>
      </c>
      <c r="D29" s="35">
        <f t="shared" si="23"/>
        <v>-265120.77687190357</v>
      </c>
      <c r="E29" s="35">
        <f t="shared" si="23"/>
        <v>195345397.23694831</v>
      </c>
      <c r="F29" s="35">
        <f t="shared" si="23"/>
        <v>814674.26885101537</v>
      </c>
      <c r="G29" s="35">
        <f t="shared" si="23"/>
        <v>7470598.1176031455</v>
      </c>
      <c r="H29" s="35">
        <f t="shared" si="23"/>
        <v>8810102.6201734301</v>
      </c>
      <c r="I29" s="35">
        <f t="shared" si="23"/>
        <v>507334012.66847271</v>
      </c>
      <c r="J29" s="35">
        <f t="shared" si="23"/>
        <v>160292784.08598325</v>
      </c>
      <c r="K29" s="35">
        <f t="shared" si="23"/>
        <v>144183796.95293361</v>
      </c>
      <c r="L29" s="35">
        <f t="shared" si="23"/>
        <v>-21554469.379999999</v>
      </c>
      <c r="M29" s="35">
        <f t="shared" si="23"/>
        <v>1317353541.9311395</v>
      </c>
      <c r="N29" s="35">
        <f t="shared" si="23"/>
        <v>1471469655.1741276</v>
      </c>
      <c r="O29" s="35">
        <f t="shared" si="23"/>
        <v>114044677.87149632</v>
      </c>
      <c r="P29" s="35">
        <f t="shared" si="23"/>
        <v>16491510.01</v>
      </c>
      <c r="Q29" s="35">
        <f t="shared" si="23"/>
        <v>21732336.384698853</v>
      </c>
      <c r="R29" s="35">
        <f t="shared" si="23"/>
        <v>14013599.616768394</v>
      </c>
      <c r="S29" s="35">
        <f t="shared" si="23"/>
        <v>-9214543.8734002523</v>
      </c>
      <c r="T29" s="35">
        <f t="shared" si="23"/>
        <v>-2020226.36</v>
      </c>
      <c r="U29" s="35">
        <f t="shared" si="23"/>
        <v>-164156650.72562483</v>
      </c>
      <c r="V29" s="35">
        <f t="shared" si="23"/>
        <v>-147831366.62913072</v>
      </c>
      <c r="W29" s="35">
        <f t="shared" si="23"/>
        <v>-159331104.10403708</v>
      </c>
      <c r="X29" s="35">
        <f t="shared" si="23"/>
        <v>1065328.1980587805</v>
      </c>
      <c r="Y29" s="35">
        <f t="shared" si="23"/>
        <v>154046136.08833295</v>
      </c>
      <c r="Z29" s="35">
        <f t="shared" si="23"/>
        <v>139678945.43797755</v>
      </c>
      <c r="AA29" s="35">
        <f t="shared" si="23"/>
        <v>184255746.52080432</v>
      </c>
      <c r="AB29" s="35">
        <f t="shared" si="23"/>
        <v>192196066.59899962</v>
      </c>
      <c r="AC29" s="35">
        <f t="shared" si="23"/>
        <v>8398513.2727371249</v>
      </c>
      <c r="AD29" s="35">
        <f t="shared" si="23"/>
        <v>-11074983.648364466</v>
      </c>
      <c r="AE29" s="35">
        <f t="shared" si="23"/>
        <v>4242694.4540724205</v>
      </c>
      <c r="AF29" s="35">
        <f t="shared" si="23"/>
        <v>-118929.0207963944</v>
      </c>
      <c r="AG29" s="35">
        <f t="shared" si="23"/>
        <v>-4846244.455355186</v>
      </c>
      <c r="AH29" s="35">
        <f t="shared" si="23"/>
        <v>-3950917.9130455554</v>
      </c>
      <c r="AI29" s="35">
        <f t="shared" si="23"/>
        <v>-3581977.2891921587</v>
      </c>
      <c r="AJ29" s="35">
        <f t="shared" si="23"/>
        <v>-686251.5332203866</v>
      </c>
      <c r="AK29" s="35">
        <f t="shared" si="23"/>
        <v>62166776.370352857</v>
      </c>
      <c r="AL29" s="35">
        <f t="shared" si="23"/>
        <v>4549754.0977544542</v>
      </c>
      <c r="AM29" s="35">
        <f t="shared" si="23"/>
        <v>4586846.9132680492</v>
      </c>
      <c r="AN29" s="35">
        <f t="shared" si="23"/>
        <v>0</v>
      </c>
      <c r="AO29" s="35">
        <f t="shared" si="23"/>
        <v>208167329.95536426</v>
      </c>
      <c r="AP29" s="35">
        <f t="shared" si="23"/>
        <v>6113242.6819783729</v>
      </c>
      <c r="AQ29" s="35">
        <f t="shared" si="23"/>
        <v>5860096.0460930895</v>
      </c>
      <c r="AR29" s="35">
        <f t="shared" si="23"/>
        <v>5947129.6153895035</v>
      </c>
      <c r="AS29" s="35">
        <f t="shared" si="23"/>
        <v>1183251.7355113868</v>
      </c>
      <c r="AT29" s="35">
        <f t="shared" si="23"/>
        <v>3907939.1170700812</v>
      </c>
      <c r="AU29" s="35">
        <f t="shared" si="23"/>
        <v>3997115.2975287521</v>
      </c>
      <c r="AV29" s="35">
        <f t="shared" si="23"/>
        <v>0</v>
      </c>
      <c r="AW29" s="35">
        <f t="shared" si="23"/>
        <v>120629244.48557213</v>
      </c>
      <c r="AX29" s="35">
        <f t="shared" si="23"/>
        <v>87778624.536667347</v>
      </c>
      <c r="AY29" s="35">
        <f t="shared" si="23"/>
        <v>34928605.774713941</v>
      </c>
      <c r="AZ29" s="35">
        <f t="shared" si="23"/>
        <v>7632707.2870222759</v>
      </c>
      <c r="BA29" s="35">
        <f t="shared" si="23"/>
        <v>-58380611.054158792</v>
      </c>
      <c r="BB29" s="35">
        <f t="shared" si="23"/>
        <v>-53716180.264767207</v>
      </c>
      <c r="BC29" s="35">
        <f t="shared" si="23"/>
        <v>-5140251.9328311095</v>
      </c>
      <c r="BD29" s="35">
        <f t="shared" si="23"/>
        <v>15855946.218743682</v>
      </c>
      <c r="BE29" s="35">
        <f t="shared" si="23"/>
        <v>84760312.929775372</v>
      </c>
      <c r="BF29" s="35">
        <f t="shared" si="23"/>
        <v>62351654.377792865</v>
      </c>
      <c r="BG29" s="35">
        <f t="shared" si="23"/>
        <v>52776525.154532492</v>
      </c>
      <c r="BH29" s="35">
        <f t="shared" si="23"/>
        <v>15338205.916939551</v>
      </c>
      <c r="BI29" s="35">
        <f t="shared" si="23"/>
        <v>161918988.73497075</v>
      </c>
      <c r="BJ29" s="35">
        <f t="shared" si="23"/>
        <v>155306253.22003436</v>
      </c>
      <c r="BK29" s="35">
        <f t="shared" si="23"/>
        <v>123627234.66706212</v>
      </c>
      <c r="BL29" s="35">
        <f t="shared" si="23"/>
        <v>24478832.444342174</v>
      </c>
      <c r="BM29" s="35">
        <f t="shared" si="23"/>
        <v>93884884.051392078</v>
      </c>
      <c r="BN29" s="35">
        <f t="shared" si="23"/>
        <v>80370562.458119273</v>
      </c>
      <c r="BO29" s="35">
        <f t="shared" ref="BO29:CK29" si="24">BO27-BO28</f>
        <v>56595434.006960303</v>
      </c>
      <c r="BP29" s="35">
        <f t="shared" si="24"/>
        <v>27894631.996147003</v>
      </c>
      <c r="BQ29" s="35">
        <f t="shared" si="24"/>
        <v>54902681.081825115</v>
      </c>
      <c r="BR29" s="35">
        <f t="shared" si="24"/>
        <v>51635499.734103411</v>
      </c>
      <c r="BS29" s="35">
        <f t="shared" si="24"/>
        <v>126722286.72563025</v>
      </c>
      <c r="BT29" s="35">
        <f t="shared" si="24"/>
        <v>68137388.469722971</v>
      </c>
      <c r="BU29" s="35">
        <f t="shared" si="24"/>
        <v>49659815.660418957</v>
      </c>
      <c r="BV29" s="35">
        <f t="shared" si="24"/>
        <v>-9872874.6842378173</v>
      </c>
      <c r="BW29" s="35">
        <f t="shared" si="24"/>
        <v>48553201.100980662</v>
      </c>
      <c r="BX29" s="35">
        <f t="shared" si="24"/>
        <v>-2405395.41</v>
      </c>
      <c r="BY29" s="35">
        <f t="shared" si="24"/>
        <v>47382179.029734612</v>
      </c>
      <c r="BZ29" s="35">
        <f t="shared" si="24"/>
        <v>475384.5</v>
      </c>
      <c r="CA29" s="35">
        <f t="shared" si="24"/>
        <v>5342705.6305929162</v>
      </c>
      <c r="CB29" s="35">
        <f t="shared" si="24"/>
        <v>-6664176.4400000013</v>
      </c>
      <c r="CC29" s="35">
        <f t="shared" si="24"/>
        <v>12068779.67285433</v>
      </c>
      <c r="CD29" s="35">
        <f t="shared" si="24"/>
        <v>-13940000</v>
      </c>
      <c r="CE29" s="35">
        <f t="shared" si="24"/>
        <v>-20081000</v>
      </c>
      <c r="CF29" s="35">
        <f t="shared" si="24"/>
        <v>6250527.1438487507</v>
      </c>
      <c r="CG29" s="35">
        <f t="shared" si="24"/>
        <v>0</v>
      </c>
      <c r="CH29" s="35">
        <f t="shared" si="24"/>
        <v>0</v>
      </c>
      <c r="CI29" s="35">
        <f t="shared" si="24"/>
        <v>0</v>
      </c>
      <c r="CJ29" s="35">
        <f t="shared" si="24"/>
        <v>0</v>
      </c>
      <c r="CK29" s="35">
        <f t="shared" si="24"/>
        <v>0</v>
      </c>
    </row>
    <row r="30" spans="1:89" s="22" customFormat="1">
      <c r="A30" s="24" t="s">
        <v>132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</row>
    <row r="31" spans="1:89">
      <c r="A31" s="23" t="s">
        <v>133</v>
      </c>
      <c r="B31" s="33">
        <f>B15+B20+B27</f>
        <v>2280003000.1899986</v>
      </c>
      <c r="C31" s="33">
        <f t="shared" ref="C31:BN31" si="25">C15+C20+C27</f>
        <v>1074608088.8900011</v>
      </c>
      <c r="D31" s="33">
        <f t="shared" si="25"/>
        <v>423714846.00000036</v>
      </c>
      <c r="E31" s="33">
        <f t="shared" si="25"/>
        <v>2619710358.8999991</v>
      </c>
      <c r="F31" s="33">
        <f t="shared" si="25"/>
        <v>1803100723.79</v>
      </c>
      <c r="G31" s="33">
        <f t="shared" si="25"/>
        <v>1060897665.5599996</v>
      </c>
      <c r="H31" s="33">
        <f t="shared" si="25"/>
        <v>409989317.60999984</v>
      </c>
      <c r="I31" s="33">
        <f t="shared" si="25"/>
        <v>2758628191.5899987</v>
      </c>
      <c r="J31" s="33">
        <f t="shared" si="25"/>
        <v>1820331312.2100008</v>
      </c>
      <c r="K31" s="33">
        <f t="shared" si="25"/>
        <v>1111315365.0499995</v>
      </c>
      <c r="L31" s="33">
        <f t="shared" si="25"/>
        <v>-457503476.79000002</v>
      </c>
      <c r="M31" s="33">
        <f t="shared" si="25"/>
        <v>-1295263107.6800008</v>
      </c>
      <c r="N31" s="33">
        <f t="shared" si="25"/>
        <v>-707153469.98000014</v>
      </c>
      <c r="O31" s="33">
        <f t="shared" si="25"/>
        <v>-1027817379.5599998</v>
      </c>
      <c r="P31" s="33">
        <f t="shared" si="25"/>
        <v>-529048923.42000008</v>
      </c>
      <c r="Q31" s="33">
        <f t="shared" si="25"/>
        <v>-2625281450.6100001</v>
      </c>
      <c r="R31" s="33">
        <f t="shared" si="25"/>
        <v>-1811697801.8599997</v>
      </c>
      <c r="S31" s="33">
        <f t="shared" si="25"/>
        <v>-1214000608.9100001</v>
      </c>
      <c r="T31" s="33">
        <f t="shared" si="25"/>
        <v>-554456016.75000012</v>
      </c>
      <c r="U31" s="33">
        <f t="shared" si="25"/>
        <v>-2439124467.8899999</v>
      </c>
      <c r="V31" s="33">
        <f t="shared" si="25"/>
        <v>-1725452896.3300002</v>
      </c>
      <c r="W31" s="33">
        <f t="shared" si="25"/>
        <v>-1194738443.6799998</v>
      </c>
      <c r="X31" s="33">
        <f t="shared" si="25"/>
        <v>-480920050.71999997</v>
      </c>
      <c r="Y31" s="33">
        <f t="shared" si="25"/>
        <v>-1962421215.9000006</v>
      </c>
      <c r="Z31" s="33">
        <f t="shared" si="25"/>
        <v>-1525539569.6500001</v>
      </c>
      <c r="AA31" s="33">
        <f t="shared" si="25"/>
        <v>-589630666.42000008</v>
      </c>
      <c r="AB31" s="33">
        <f t="shared" si="25"/>
        <v>-196952364.23000005</v>
      </c>
      <c r="AC31" s="33">
        <f t="shared" si="25"/>
        <v>-1630338064.74</v>
      </c>
      <c r="AD31" s="33">
        <f t="shared" si="25"/>
        <v>-1125522401.9999995</v>
      </c>
      <c r="AE31" s="33">
        <f t="shared" si="25"/>
        <v>-686067397.40999985</v>
      </c>
      <c r="AF31" s="33">
        <f t="shared" si="25"/>
        <v>-313383319.20000005</v>
      </c>
      <c r="AG31" s="33">
        <f t="shared" si="25"/>
        <v>-1394959053.52</v>
      </c>
      <c r="AH31" s="33">
        <f t="shared" si="25"/>
        <v>-953317881.47999954</v>
      </c>
      <c r="AI31" s="33">
        <f t="shared" si="25"/>
        <v>-607915855.03999996</v>
      </c>
      <c r="AJ31" s="33">
        <f t="shared" si="25"/>
        <v>-255436537.53000003</v>
      </c>
      <c r="AK31" s="33">
        <f t="shared" si="25"/>
        <v>-1184816361.2300003</v>
      </c>
      <c r="AL31" s="33">
        <f t="shared" si="25"/>
        <v>-721461336.39999998</v>
      </c>
      <c r="AM31" s="33">
        <f t="shared" si="25"/>
        <v>-435009289.65999985</v>
      </c>
      <c r="AN31" s="33">
        <f t="shared" si="25"/>
        <v>-225117575.69</v>
      </c>
      <c r="AO31" s="33">
        <f t="shared" si="25"/>
        <v>-918884389.31999993</v>
      </c>
      <c r="AP31" s="33">
        <f t="shared" si="25"/>
        <v>-706962514.46000004</v>
      </c>
      <c r="AQ31" s="33">
        <f t="shared" si="25"/>
        <v>-449036358.03999996</v>
      </c>
      <c r="AR31" s="33">
        <f t="shared" si="25"/>
        <v>-208434470.22000003</v>
      </c>
      <c r="AS31" s="33">
        <f t="shared" si="25"/>
        <v>-913443386.77999985</v>
      </c>
      <c r="AT31" s="33">
        <f t="shared" si="25"/>
        <v>-569338083.87000012</v>
      </c>
      <c r="AU31" s="33">
        <f t="shared" si="25"/>
        <v>-358948163.08000004</v>
      </c>
      <c r="AV31" s="33">
        <f t="shared" si="25"/>
        <v>-180697254.00000003</v>
      </c>
      <c r="AW31" s="33">
        <f t="shared" si="25"/>
        <v>-835465296.58999991</v>
      </c>
      <c r="AX31" s="33">
        <f t="shared" si="25"/>
        <v>-566148698.32999992</v>
      </c>
      <c r="AY31" s="33">
        <f t="shared" si="25"/>
        <v>-389042167.87</v>
      </c>
      <c r="AZ31" s="33">
        <f t="shared" si="25"/>
        <v>-181538115.78000003</v>
      </c>
      <c r="BA31" s="33">
        <f t="shared" si="25"/>
        <v>-962518197.09000003</v>
      </c>
      <c r="BB31" s="33">
        <f t="shared" si="25"/>
        <v>-708278383.22000003</v>
      </c>
      <c r="BC31" s="33">
        <f t="shared" si="25"/>
        <v>-459742536.56999999</v>
      </c>
      <c r="BD31" s="33">
        <f t="shared" si="25"/>
        <v>-190906625.90000001</v>
      </c>
      <c r="BE31" s="33">
        <f t="shared" si="25"/>
        <v>-931475093.80000007</v>
      </c>
      <c r="BF31" s="33">
        <f t="shared" si="25"/>
        <v>-583271994.22000015</v>
      </c>
      <c r="BG31" s="33">
        <f t="shared" si="25"/>
        <v>-368470006.06999999</v>
      </c>
      <c r="BH31" s="33">
        <f t="shared" si="25"/>
        <v>-186914839.03</v>
      </c>
      <c r="BI31" s="33">
        <f t="shared" si="25"/>
        <v>-610636070.05999994</v>
      </c>
      <c r="BJ31" s="33">
        <f t="shared" si="25"/>
        <v>-455835056.56999981</v>
      </c>
      <c r="BK31" s="33">
        <f t="shared" si="25"/>
        <v>-262860178.05999994</v>
      </c>
      <c r="BL31" s="33">
        <f t="shared" si="25"/>
        <v>-166055149.00999999</v>
      </c>
      <c r="BM31" s="33">
        <f t="shared" si="25"/>
        <v>-862697215.55000007</v>
      </c>
      <c r="BN31" s="33">
        <f t="shared" si="25"/>
        <v>-535502059.79000008</v>
      </c>
      <c r="BO31" s="33">
        <f t="shared" ref="BO31:CJ31" si="26">BO15+BO20+BO27</f>
        <v>-331826260.54999995</v>
      </c>
      <c r="BP31" s="33">
        <f t="shared" si="26"/>
        <v>-128407434.26000001</v>
      </c>
      <c r="BQ31" s="33">
        <f t="shared" si="26"/>
        <v>-680599320.21000004</v>
      </c>
      <c r="BR31" s="33">
        <f t="shared" si="26"/>
        <v>-262125728.21000004</v>
      </c>
      <c r="BS31" s="33">
        <f t="shared" si="26"/>
        <v>-689844587.1500001</v>
      </c>
      <c r="BT31" s="33">
        <f t="shared" si="26"/>
        <v>-207349611.75999999</v>
      </c>
      <c r="BU31" s="33">
        <f t="shared" si="26"/>
        <v>-562497819.85000002</v>
      </c>
      <c r="BV31" s="33">
        <f t="shared" si="26"/>
        <v>-230509717.94</v>
      </c>
      <c r="BW31" s="33">
        <f t="shared" si="26"/>
        <v>-29221495.680000015</v>
      </c>
      <c r="BX31" s="33">
        <f t="shared" si="26"/>
        <v>-52064156.550000012</v>
      </c>
      <c r="BY31" s="33">
        <f t="shared" si="26"/>
        <v>-71075952.569999993</v>
      </c>
      <c r="BZ31" s="33">
        <f t="shared" si="26"/>
        <v>2100000</v>
      </c>
      <c r="CA31" s="33">
        <f t="shared" si="26"/>
        <v>-169336321.44</v>
      </c>
      <c r="CB31" s="33">
        <f t="shared" si="26"/>
        <v>3033836.53</v>
      </c>
      <c r="CC31" s="33">
        <f t="shared" si="26"/>
        <v>-187165040.07999998</v>
      </c>
      <c r="CD31" s="33">
        <f t="shared" si="26"/>
        <v>5790000</v>
      </c>
      <c r="CE31" s="33">
        <f t="shared" si="26"/>
        <v>7729000</v>
      </c>
      <c r="CF31" s="33">
        <f t="shared" si="26"/>
        <v>-8277402.6900000013</v>
      </c>
      <c r="CG31" s="33">
        <f t="shared" si="26"/>
        <v>-45960000</v>
      </c>
      <c r="CH31" s="33">
        <f t="shared" si="26"/>
        <v>-71370000</v>
      </c>
      <c r="CI31" s="33">
        <f t="shared" si="26"/>
        <v>-52680000</v>
      </c>
      <c r="CJ31" s="33">
        <f t="shared" si="26"/>
        <v>-34650000</v>
      </c>
    </row>
    <row r="32" spans="1:89" s="31" customFormat="1">
      <c r="A32" s="31" t="s">
        <v>134</v>
      </c>
      <c r="B32" s="35">
        <f>B31/B4*100</f>
        <v>14.330787852282189</v>
      </c>
      <c r="C32" s="35">
        <f t="shared" ref="C32:BN32" si="27">C31/C4*100</f>
        <v>10.424553403436297</v>
      </c>
      <c r="D32" s="35">
        <f t="shared" si="27"/>
        <v>10.641668079049934</v>
      </c>
      <c r="E32" s="35">
        <f t="shared" si="27"/>
        <v>13.454320067221603</v>
      </c>
      <c r="F32" s="35">
        <f t="shared" si="27"/>
        <v>12.271394399546208</v>
      </c>
      <c r="G32" s="35">
        <f t="shared" si="27"/>
        <v>11.035820730069002</v>
      </c>
      <c r="H32" s="35">
        <f t="shared" si="27"/>
        <v>10.80469494473442</v>
      </c>
      <c r="I32" s="35">
        <f t="shared" si="27"/>
        <v>14.566204465222143</v>
      </c>
      <c r="J32" s="35">
        <f t="shared" si="27"/>
        <v>12.802599412774581</v>
      </c>
      <c r="K32" s="35">
        <f t="shared" si="27"/>
        <v>11.986598854452774</v>
      </c>
      <c r="L32" s="35">
        <f t="shared" si="27"/>
        <v>-12.118142202847171</v>
      </c>
      <c r="M32" s="35">
        <f t="shared" si="27"/>
        <v>-6.7127609058032212</v>
      </c>
      <c r="N32" s="35">
        <f t="shared" si="27"/>
        <v>-4.7931904435765649</v>
      </c>
      <c r="O32" s="35">
        <f t="shared" si="27"/>
        <v>-10.456458718456748</v>
      </c>
      <c r="P32" s="35">
        <f t="shared" si="27"/>
        <v>-12.744187985506148</v>
      </c>
      <c r="Q32" s="35">
        <f t="shared" si="27"/>
        <v>-12.634341824716167</v>
      </c>
      <c r="R32" s="35">
        <f t="shared" si="27"/>
        <v>-11.631951728596839</v>
      </c>
      <c r="S32" s="35">
        <f t="shared" si="27"/>
        <v>-11.976743153692587</v>
      </c>
      <c r="T32" s="35">
        <f t="shared" si="27"/>
        <v>-13.414560547703399</v>
      </c>
      <c r="U32" s="35">
        <f t="shared" si="27"/>
        <v>-12.252549476184322</v>
      </c>
      <c r="V32" s="35">
        <f t="shared" si="27"/>
        <v>-11.802996700502977</v>
      </c>
      <c r="W32" s="35">
        <f t="shared" si="27"/>
        <v>-12.734992757816851</v>
      </c>
      <c r="X32" s="35">
        <f t="shared" si="27"/>
        <v>-12.382517623235291</v>
      </c>
      <c r="Y32" s="35">
        <f t="shared" si="27"/>
        <v>-11.060099579375686</v>
      </c>
      <c r="Z32" s="35">
        <f t="shared" si="27"/>
        <v>-11.338815381324666</v>
      </c>
      <c r="AA32" s="35">
        <f t="shared" si="27"/>
        <v>-8.1937798951179346</v>
      </c>
      <c r="AB32" s="35">
        <f t="shared" si="27"/>
        <v>-6.156972249601659</v>
      </c>
      <c r="AC32" s="35">
        <f t="shared" si="27"/>
        <v>-11.241866325316057</v>
      </c>
      <c r="AD32" s="35">
        <f t="shared" si="27"/>
        <v>-9.8457310877507229</v>
      </c>
      <c r="AE32" s="35">
        <f t="shared" si="27"/>
        <v>-9.3139418039748119</v>
      </c>
      <c r="AF32" s="35">
        <f t="shared" si="27"/>
        <v>-9.707418780501861</v>
      </c>
      <c r="AG32" s="35">
        <f t="shared" si="27"/>
        <v>-10.520069988774599</v>
      </c>
      <c r="AH32" s="35">
        <f t="shared" si="27"/>
        <v>-9.7831857743887536</v>
      </c>
      <c r="AI32" s="35">
        <f t="shared" si="27"/>
        <v>-9.6327970925078006</v>
      </c>
      <c r="AJ32" s="35">
        <f t="shared" si="27"/>
        <v>-9.3255977899414493</v>
      </c>
      <c r="AK32" s="35">
        <f t="shared" si="27"/>
        <v>-10.784552915120916</v>
      </c>
      <c r="AL32" s="35">
        <f t="shared" si="27"/>
        <v>-8.9442262750893136</v>
      </c>
      <c r="AM32" s="35">
        <f t="shared" si="27"/>
        <v>-8.396727980408027</v>
      </c>
      <c r="AN32" s="35">
        <f t="shared" si="27"/>
        <v>-9.602046616877324</v>
      </c>
      <c r="AO32" s="35">
        <f t="shared" si="27"/>
        <v>-8.7953546008959584</v>
      </c>
      <c r="AP32" s="35">
        <f t="shared" si="27"/>
        <v>-8.9275133605588355</v>
      </c>
      <c r="AQ32" s="35">
        <f t="shared" si="27"/>
        <v>-8.6490867822064317</v>
      </c>
      <c r="AR32" s="35">
        <f t="shared" si="27"/>
        <v>-8.9978520580592303</v>
      </c>
      <c r="AS32" s="35">
        <f t="shared" si="27"/>
        <v>-9.943656050864611</v>
      </c>
      <c r="AT32" s="35">
        <f t="shared" si="27"/>
        <v>-8.5392463987633143</v>
      </c>
      <c r="AU32" s="35">
        <f t="shared" si="27"/>
        <v>-8.5245665993195754</v>
      </c>
      <c r="AV32" s="35">
        <f t="shared" si="27"/>
        <v>-9.5430982155845481</v>
      </c>
      <c r="AW32" s="35">
        <f t="shared" si="27"/>
        <v>-11.466369620274325</v>
      </c>
      <c r="AX32" s="35">
        <f t="shared" si="27"/>
        <v>-10.792192410883514</v>
      </c>
      <c r="AY32" s="35">
        <f t="shared" si="27"/>
        <v>-11.367180410081128</v>
      </c>
      <c r="AZ32" s="35">
        <f t="shared" si="27"/>
        <v>-11.656600977301926</v>
      </c>
      <c r="BA32" s="35">
        <f t="shared" si="27"/>
        <v>-14.08934365296053</v>
      </c>
      <c r="BB32" s="35">
        <f t="shared" si="27"/>
        <v>-13.999470065639763</v>
      </c>
      <c r="BC32" s="35">
        <f t="shared" si="27"/>
        <v>-13.695597123027122</v>
      </c>
      <c r="BD32" s="35">
        <f t="shared" si="27"/>
        <v>-12.469764966812338</v>
      </c>
      <c r="BE32" s="35">
        <f t="shared" si="27"/>
        <v>-14.209546266669863</v>
      </c>
      <c r="BF32" s="35">
        <f t="shared" si="27"/>
        <v>-12.145457244418422</v>
      </c>
      <c r="BG32" s="35">
        <f t="shared" si="27"/>
        <v>-11.164392350418902</v>
      </c>
      <c r="BH32" s="35">
        <f t="shared" si="27"/>
        <v>-11.684892020688141</v>
      </c>
      <c r="BI32" s="35">
        <f t="shared" si="27"/>
        <v>-10.983187037545761</v>
      </c>
      <c r="BJ32" s="35">
        <f t="shared" si="27"/>
        <v>-11.190699458290837</v>
      </c>
      <c r="BK32" s="35">
        <f t="shared" si="27"/>
        <v>-9.861365293175945</v>
      </c>
      <c r="BL32" s="35">
        <f t="shared" si="27"/>
        <v>-13.250670052569829</v>
      </c>
      <c r="BM32" s="35">
        <f t="shared" si="27"/>
        <v>-19.306897133346595</v>
      </c>
      <c r="BN32" s="35">
        <f t="shared" si="27"/>
        <v>-15.658541838068786</v>
      </c>
      <c r="BO32" s="35">
        <f t="shared" ref="BO32:CJ32" si="28">BO31/BO4*100</f>
        <v>-14.493088103844979</v>
      </c>
      <c r="BP32" s="35">
        <f t="shared" si="28"/>
        <v>-12.08273816722931</v>
      </c>
      <c r="BQ32" s="35">
        <f t="shared" si="28"/>
        <v>-17.70195374364587</v>
      </c>
      <c r="BR32" s="35">
        <f t="shared" si="28"/>
        <v>-13.87880225754086</v>
      </c>
      <c r="BS32" s="35">
        <f t="shared" si="28"/>
        <v>-19.033160969152252</v>
      </c>
      <c r="BT32" s="35">
        <f t="shared" si="28"/>
        <v>-11.782078470275756</v>
      </c>
      <c r="BU32" s="35">
        <f t="shared" si="28"/>
        <v>-16.056839300433065</v>
      </c>
      <c r="BV32" s="35">
        <f t="shared" si="28"/>
        <v>-14.047168467776114</v>
      </c>
      <c r="BW32" s="35">
        <f t="shared" si="28"/>
        <v>-6.5766329282473572</v>
      </c>
      <c r="BX32" s="35">
        <f t="shared" si="28"/>
        <v>-25.762630671842235</v>
      </c>
      <c r="BY32" s="35">
        <f t="shared" si="28"/>
        <v>-7.7349937662636865</v>
      </c>
      <c r="BZ32" s="35">
        <f t="shared" si="28"/>
        <v>0.53372364329878319</v>
      </c>
      <c r="CA32" s="35">
        <f t="shared" si="28"/>
        <v>-12.536038086344851</v>
      </c>
      <c r="CB32" s="35">
        <f t="shared" si="28"/>
        <v>0.31831390819566979</v>
      </c>
      <c r="CC32" s="35">
        <f t="shared" si="28"/>
        <v>-9.7250282754884534</v>
      </c>
      <c r="CD32" s="35">
        <f t="shared" si="28"/>
        <v>0.5265168048886949</v>
      </c>
      <c r="CE32" s="35">
        <f t="shared" si="28"/>
        <v>0.53892324126524593</v>
      </c>
      <c r="CF32" s="35">
        <f t="shared" si="28"/>
        <v>-1.0790218591211649</v>
      </c>
      <c r="CG32" s="35">
        <f t="shared" si="28"/>
        <v>-7.8534568196575645</v>
      </c>
      <c r="CH32" s="35">
        <f t="shared" si="28"/>
        <v>-9.2284417549167923</v>
      </c>
      <c r="CI32" s="35">
        <f t="shared" si="28"/>
        <v>-8.3507704013696014</v>
      </c>
      <c r="CJ32" s="35">
        <f t="shared" si="28"/>
        <v>-6.3923992251637305</v>
      </c>
    </row>
    <row r="33" spans="1:89">
      <c r="A33" s="23" t="s">
        <v>136</v>
      </c>
      <c r="B33" s="33">
        <f>B17+B20+B29</f>
        <v>2091960787.2933819</v>
      </c>
      <c r="C33" s="33">
        <f t="shared" ref="C33:BN33" si="29">C17+C20+C29</f>
        <v>976428473.46746504</v>
      </c>
      <c r="D33" s="33">
        <f t="shared" si="29"/>
        <v>375743350.26988614</v>
      </c>
      <c r="E33" s="33">
        <f t="shared" si="29"/>
        <v>2305369005.5679059</v>
      </c>
      <c r="F33" s="33">
        <f t="shared" si="29"/>
        <v>1613000527.2888978</v>
      </c>
      <c r="G33" s="33">
        <f t="shared" si="29"/>
        <v>960285462.26850915</v>
      </c>
      <c r="H33" s="33">
        <f t="shared" si="29"/>
        <v>368253245.24223167</v>
      </c>
      <c r="I33" s="33">
        <f t="shared" si="29"/>
        <v>2449482881.5282936</v>
      </c>
      <c r="J33" s="33">
        <f t="shared" si="29"/>
        <v>1632110032.5246751</v>
      </c>
      <c r="K33" s="33">
        <f t="shared" si="29"/>
        <v>1007434328.8239024</v>
      </c>
      <c r="L33" s="33">
        <f t="shared" si="29"/>
        <v>-529496252.80622578</v>
      </c>
      <c r="M33" s="33">
        <f t="shared" si="29"/>
        <v>-1907909486.4795709</v>
      </c>
      <c r="N33" s="33">
        <f t="shared" si="29"/>
        <v>-1208430181.3299732</v>
      </c>
      <c r="O33" s="33">
        <f t="shared" si="29"/>
        <v>-1222832332.4201584</v>
      </c>
      <c r="P33" s="33">
        <f t="shared" si="29"/>
        <v>-607675881.27757883</v>
      </c>
      <c r="Q33" s="33">
        <f t="shared" si="29"/>
        <v>-3027045957.6267848</v>
      </c>
      <c r="R33" s="33">
        <f t="shared" si="29"/>
        <v>-2146189447.0208235</v>
      </c>
      <c r="S33" s="33">
        <f t="shared" si="29"/>
        <v>-1406591559.0864353</v>
      </c>
      <c r="T33" s="33">
        <f t="shared" si="29"/>
        <v>-622278094.84889281</v>
      </c>
      <c r="U33" s="33">
        <f t="shared" si="29"/>
        <v>-2751116719.9266648</v>
      </c>
      <c r="V33" s="33">
        <f t="shared" si="29"/>
        <v>-1963437848.9526243</v>
      </c>
      <c r="W33" s="33">
        <f t="shared" si="29"/>
        <v>-1319225038.8884459</v>
      </c>
      <c r="X33" s="33">
        <f t="shared" si="29"/>
        <v>-537164914.54621065</v>
      </c>
      <c r="Y33" s="33">
        <f t="shared" si="29"/>
        <v>-2408808440.2681527</v>
      </c>
      <c r="Z33" s="33">
        <f t="shared" si="29"/>
        <v>-1730773041.3230228</v>
      </c>
      <c r="AA33" s="33">
        <f t="shared" si="29"/>
        <v>-733994164.05084205</v>
      </c>
      <c r="AB33" s="33">
        <f t="shared" si="29"/>
        <v>-259523892.93928576</v>
      </c>
      <c r="AC33" s="33">
        <f t="shared" si="29"/>
        <v>-1860893709.4335773</v>
      </c>
      <c r="AD33" s="33">
        <f t="shared" si="29"/>
        <v>-1332052525.2469106</v>
      </c>
      <c r="AE33" s="33">
        <f t="shared" si="29"/>
        <v>-819838689.34394765</v>
      </c>
      <c r="AF33" s="33">
        <f t="shared" si="29"/>
        <v>-376800906.38990402</v>
      </c>
      <c r="AG33" s="33">
        <f t="shared" si="29"/>
        <v>-1613251533.8035452</v>
      </c>
      <c r="AH33" s="33">
        <f t="shared" si="29"/>
        <v>-1120415451.1403978</v>
      </c>
      <c r="AI33" s="33">
        <f t="shared" si="29"/>
        <v>-718190860.79535198</v>
      </c>
      <c r="AJ33" s="33">
        <f t="shared" si="29"/>
        <v>-303803610.37208641</v>
      </c>
      <c r="AK33" s="33">
        <f t="shared" si="29"/>
        <v>-1368821719.2058764</v>
      </c>
      <c r="AL33" s="33">
        <f t="shared" si="29"/>
        <v>-864287308.48988867</v>
      </c>
      <c r="AM33" s="33">
        <f t="shared" si="29"/>
        <v>-527624277.03775162</v>
      </c>
      <c r="AN33" s="33">
        <f t="shared" si="29"/>
        <v>-266499382.68848962</v>
      </c>
      <c r="AO33" s="33">
        <f t="shared" si="29"/>
        <v>-1130235491.9467626</v>
      </c>
      <c r="AP33" s="33">
        <f t="shared" si="29"/>
        <v>-901783007.2444042</v>
      </c>
      <c r="AQ33" s="33">
        <f t="shared" si="29"/>
        <v>-589381489.33389091</v>
      </c>
      <c r="AR33" s="33">
        <f t="shared" si="29"/>
        <v>-265229698.22301796</v>
      </c>
      <c r="AS33" s="33">
        <f t="shared" si="29"/>
        <v>-1098336816.2172151</v>
      </c>
      <c r="AT33" s="33">
        <f t="shared" si="29"/>
        <v>-759174782.6106447</v>
      </c>
      <c r="AU33" s="33">
        <f t="shared" si="29"/>
        <v>-480424114.61622083</v>
      </c>
      <c r="AV33" s="33">
        <f t="shared" si="29"/>
        <v>-216192575.36064303</v>
      </c>
      <c r="AW33" s="33">
        <f t="shared" si="29"/>
        <v>-950750608.87755859</v>
      </c>
      <c r="AX33" s="33">
        <f t="shared" si="29"/>
        <v>-635928088.23903286</v>
      </c>
      <c r="AY33" s="33">
        <f t="shared" si="29"/>
        <v>-431274015.28870124</v>
      </c>
      <c r="AZ33" s="33">
        <f t="shared" si="29"/>
        <v>-203220916.37327197</v>
      </c>
      <c r="BA33" s="33">
        <f t="shared" si="29"/>
        <v>-1072076708.4660838</v>
      </c>
      <c r="BB33" s="33">
        <f t="shared" si="29"/>
        <v>-802391913.52612507</v>
      </c>
      <c r="BC33" s="33">
        <f t="shared" si="29"/>
        <v>-527912271.38057983</v>
      </c>
      <c r="BD33" s="33">
        <f t="shared" si="29"/>
        <v>-220443756.58965355</v>
      </c>
      <c r="BE33" s="33">
        <f t="shared" si="29"/>
        <v>-1065756961.921261</v>
      </c>
      <c r="BF33" s="33">
        <f t="shared" si="29"/>
        <v>-678068529.80999434</v>
      </c>
      <c r="BG33" s="33">
        <f t="shared" si="29"/>
        <v>-434867536.45950127</v>
      </c>
      <c r="BH33" s="33">
        <f t="shared" si="29"/>
        <v>-220319780.20881724</v>
      </c>
      <c r="BI33" s="33">
        <f t="shared" si="29"/>
        <v>-764380615.42714834</v>
      </c>
      <c r="BJ33" s="33">
        <f t="shared" si="29"/>
        <v>-560826792.95281839</v>
      </c>
      <c r="BK33" s="33">
        <f t="shared" si="29"/>
        <v>-327793092.94033241</v>
      </c>
      <c r="BL33" s="33">
        <f t="shared" si="29"/>
        <v>-193023713.39544269</v>
      </c>
      <c r="BM33" s="33">
        <f t="shared" si="29"/>
        <v>-1005150016.1154783</v>
      </c>
      <c r="BN33" s="33">
        <f t="shared" si="29"/>
        <v>-632761598.82780528</v>
      </c>
      <c r="BO33" s="33">
        <f t="shared" ref="BO33:CJ33" si="30">BO17+BO20+BO29</f>
        <v>-395065812.13227797</v>
      </c>
      <c r="BP33" s="33">
        <f t="shared" si="30"/>
        <v>-152185045.09679875</v>
      </c>
      <c r="BQ33" s="33">
        <f t="shared" si="30"/>
        <v>-793148477.40352833</v>
      </c>
      <c r="BR33" s="33">
        <f t="shared" si="30"/>
        <v>-313813982.04974973</v>
      </c>
      <c r="BS33" s="33">
        <f t="shared" si="30"/>
        <v>-790140427.79528582</v>
      </c>
      <c r="BT33" s="33">
        <f t="shared" si="30"/>
        <v>-254599512.64847183</v>
      </c>
      <c r="BU33" s="33">
        <f t="shared" si="30"/>
        <v>-661105030.47187483</v>
      </c>
      <c r="BV33" s="33">
        <f t="shared" si="30"/>
        <v>-268758161.24742264</v>
      </c>
      <c r="BW33" s="33">
        <f t="shared" si="30"/>
        <v>-31937750.792630099</v>
      </c>
      <c r="BX33" s="33">
        <f t="shared" si="30"/>
        <v>-52064156.550000012</v>
      </c>
      <c r="BY33" s="33">
        <f t="shared" si="30"/>
        <v>-77261188.46894592</v>
      </c>
      <c r="BZ33" s="33">
        <f t="shared" si="30"/>
        <v>475384.5</v>
      </c>
      <c r="CA33" s="33">
        <f t="shared" si="30"/>
        <v>-170726344.06050205</v>
      </c>
      <c r="CB33" s="33">
        <f t="shared" si="30"/>
        <v>-6664176.4400000013</v>
      </c>
      <c r="CC33" s="33">
        <f t="shared" si="30"/>
        <v>-212271389.55596557</v>
      </c>
      <c r="CD33" s="33">
        <f t="shared" si="30"/>
        <v>-13940000</v>
      </c>
      <c r="CE33" s="33">
        <f t="shared" si="30"/>
        <v>-20081000</v>
      </c>
      <c r="CF33" s="33">
        <f t="shared" si="30"/>
        <v>-24724547.969999995</v>
      </c>
      <c r="CG33" s="33">
        <f t="shared" si="30"/>
        <v>-50290000</v>
      </c>
      <c r="CH33" s="33">
        <f t="shared" si="30"/>
        <v>-75590000</v>
      </c>
      <c r="CI33" s="33">
        <f t="shared" si="30"/>
        <v>-65190000</v>
      </c>
      <c r="CJ33" s="33">
        <f t="shared" si="30"/>
        <v>-38280000</v>
      </c>
    </row>
    <row r="34" spans="1:89" s="31" customFormat="1">
      <c r="A34" s="31" t="s">
        <v>135</v>
      </c>
      <c r="B34" s="35">
        <f>B33/B4*100</f>
        <v>13.148862626714273</v>
      </c>
      <c r="C34" s="35">
        <f t="shared" ref="C34:BN34" si="31">C33/C4*100</f>
        <v>9.4721330236881318</v>
      </c>
      <c r="D34" s="35">
        <f t="shared" si="31"/>
        <v>9.4368560701371376</v>
      </c>
      <c r="E34" s="35">
        <f t="shared" si="31"/>
        <v>11.839924352166518</v>
      </c>
      <c r="F34" s="35">
        <f t="shared" si="31"/>
        <v>10.977626139172557</v>
      </c>
      <c r="G34" s="35">
        <f t="shared" si="31"/>
        <v>9.9892181454586844</v>
      </c>
      <c r="H34" s="35">
        <f t="shared" si="31"/>
        <v>9.7047991407319021</v>
      </c>
      <c r="I34" s="35">
        <f t="shared" si="31"/>
        <v>12.933844653359333</v>
      </c>
      <c r="J34" s="35">
        <f t="shared" si="31"/>
        <v>11.478817511860361</v>
      </c>
      <c r="K34" s="35">
        <f t="shared" si="31"/>
        <v>10.866142547461031</v>
      </c>
      <c r="L34" s="35">
        <f t="shared" si="31"/>
        <v>-14.025053825603647</v>
      </c>
      <c r="M34" s="35">
        <f t="shared" si="31"/>
        <v>-9.8878290724970306</v>
      </c>
      <c r="N34" s="35">
        <f t="shared" si="31"/>
        <v>-8.1909178739434605</v>
      </c>
      <c r="O34" s="35">
        <f t="shared" si="31"/>
        <v>-12.440435487692724</v>
      </c>
      <c r="P34" s="35">
        <f t="shared" si="31"/>
        <v>-14.638222142475707</v>
      </c>
      <c r="Q34" s="35">
        <f t="shared" si="31"/>
        <v>-14.567860272236979</v>
      </c>
      <c r="R34" s="35">
        <f t="shared" si="31"/>
        <v>-13.779545364872778</v>
      </c>
      <c r="S34" s="35">
        <f t="shared" si="31"/>
        <v>-13.876752368728962</v>
      </c>
      <c r="T34" s="35">
        <f t="shared" si="31"/>
        <v>-15.055454226631387</v>
      </c>
      <c r="U34" s="35">
        <f t="shared" si="31"/>
        <v>-13.819792376081223</v>
      </c>
      <c r="V34" s="35">
        <f t="shared" si="31"/>
        <v>-13.430937756760574</v>
      </c>
      <c r="W34" s="35">
        <f t="shared" si="31"/>
        <v>-14.061924101502196</v>
      </c>
      <c r="X34" s="35">
        <f t="shared" si="31"/>
        <v>-13.830685601471679</v>
      </c>
      <c r="Y34" s="35">
        <f t="shared" si="31"/>
        <v>-13.575913774855961</v>
      </c>
      <c r="Z34" s="35">
        <f t="shared" si="31"/>
        <v>-12.864245787500646</v>
      </c>
      <c r="AA34" s="35">
        <f t="shared" si="31"/>
        <v>-10.199921691742059</v>
      </c>
      <c r="AB34" s="35">
        <f t="shared" si="31"/>
        <v>-8.1130349116793337</v>
      </c>
      <c r="AC34" s="35">
        <f t="shared" si="31"/>
        <v>-12.831644417509224</v>
      </c>
      <c r="AD34" s="35">
        <f t="shared" si="31"/>
        <v>-11.652394421502033</v>
      </c>
      <c r="AE34" s="35">
        <f t="shared" si="31"/>
        <v>-11.129999574419676</v>
      </c>
      <c r="AF34" s="35">
        <f t="shared" si="31"/>
        <v>-11.671853513253227</v>
      </c>
      <c r="AG34" s="35">
        <f t="shared" si="31"/>
        <v>-12.166320582877194</v>
      </c>
      <c r="AH34" s="35">
        <f t="shared" si="31"/>
        <v>-11.497982693857676</v>
      </c>
      <c r="AI34" s="35">
        <f t="shared" si="31"/>
        <v>-11.380171743143523</v>
      </c>
      <c r="AJ34" s="35">
        <f t="shared" si="31"/>
        <v>-11.091405735678748</v>
      </c>
      <c r="AK34" s="35">
        <f t="shared" si="31"/>
        <v>-12.459424722002876</v>
      </c>
      <c r="AL34" s="35">
        <f t="shared" si="31"/>
        <v>-10.714893319710106</v>
      </c>
      <c r="AM34" s="35">
        <f t="shared" si="31"/>
        <v>-10.184420506532515</v>
      </c>
      <c r="AN34" s="35">
        <f t="shared" si="31"/>
        <v>-11.367124437532661</v>
      </c>
      <c r="AO34" s="35">
        <f t="shared" si="31"/>
        <v>-10.818359795562911</v>
      </c>
      <c r="AP34" s="35">
        <f t="shared" si="31"/>
        <v>-11.387703988306514</v>
      </c>
      <c r="AQ34" s="35">
        <f t="shared" si="31"/>
        <v>-11.352336081036905</v>
      </c>
      <c r="AR34" s="35">
        <f t="shared" si="31"/>
        <v>-11.449630109144096</v>
      </c>
      <c r="AS34" s="35">
        <f t="shared" si="31"/>
        <v>-11.956387978203285</v>
      </c>
      <c r="AT34" s="35">
        <f t="shared" si="31"/>
        <v>-11.386521843706694</v>
      </c>
      <c r="AU34" s="35">
        <f t="shared" si="31"/>
        <v>-11.409467388895251</v>
      </c>
      <c r="AV34" s="35">
        <f t="shared" si="31"/>
        <v>-11.417699685390792</v>
      </c>
      <c r="AW34" s="35">
        <f t="shared" si="31"/>
        <v>-13.048606498183352</v>
      </c>
      <c r="AX34" s="35">
        <f t="shared" si="31"/>
        <v>-12.122359917112401</v>
      </c>
      <c r="AY34" s="35">
        <f t="shared" si="31"/>
        <v>-12.601126414669011</v>
      </c>
      <c r="AZ34" s="35">
        <f t="shared" si="31"/>
        <v>-13.048858209344994</v>
      </c>
      <c r="BA34" s="35">
        <f t="shared" si="31"/>
        <v>-15.69306140245477</v>
      </c>
      <c r="BB34" s="35">
        <f t="shared" si="31"/>
        <v>-15.859670209405882</v>
      </c>
      <c r="BC34" s="35">
        <f t="shared" si="31"/>
        <v>-15.726353795913637</v>
      </c>
      <c r="BD34" s="35">
        <f t="shared" si="31"/>
        <v>-14.399090760286533</v>
      </c>
      <c r="BE34" s="35">
        <f t="shared" si="31"/>
        <v>-16.258000842153777</v>
      </c>
      <c r="BF34" s="35">
        <f t="shared" si="31"/>
        <v>-14.119402987290819</v>
      </c>
      <c r="BG34" s="35">
        <f t="shared" si="31"/>
        <v>-13.17619268194013</v>
      </c>
      <c r="BH34" s="35">
        <f t="shared" si="31"/>
        <v>-13.773185987382083</v>
      </c>
      <c r="BI34" s="35">
        <f t="shared" si="31"/>
        <v>-13.748508610514602</v>
      </c>
      <c r="BJ34" s="35">
        <f t="shared" si="31"/>
        <v>-13.768234798168312</v>
      </c>
      <c r="BK34" s="35">
        <f t="shared" si="31"/>
        <v>-12.297364530152413</v>
      </c>
      <c r="BL34" s="35">
        <f t="shared" si="31"/>
        <v>-15.402675278505139</v>
      </c>
      <c r="BM34" s="35">
        <f t="shared" si="31"/>
        <v>-22.494946795847703</v>
      </c>
      <c r="BN34" s="35">
        <f t="shared" si="31"/>
        <v>-18.502494598534334</v>
      </c>
      <c r="BO34" s="35">
        <f t="shared" ref="BO34:CK34" si="32">BO33/BO4*100</f>
        <v>-17.255185326682167</v>
      </c>
      <c r="BP34" s="35">
        <f t="shared" si="32"/>
        <v>-14.320137019086983</v>
      </c>
      <c r="BQ34" s="35">
        <f t="shared" si="32"/>
        <v>-20.629285457570337</v>
      </c>
      <c r="BR34" s="35">
        <f t="shared" si="32"/>
        <v>-16.615546410731142</v>
      </c>
      <c r="BS34" s="35">
        <f t="shared" si="32"/>
        <v>-21.800373925659926</v>
      </c>
      <c r="BT34" s="35">
        <f t="shared" si="32"/>
        <v>-14.466925744670899</v>
      </c>
      <c r="BU34" s="35">
        <f t="shared" si="32"/>
        <v>-18.871641560896261</v>
      </c>
      <c r="BV34" s="35">
        <f t="shared" si="32"/>
        <v>-16.378013048087475</v>
      </c>
      <c r="BW34" s="35">
        <f t="shared" si="32"/>
        <v>-7.1879573111902086</v>
      </c>
      <c r="BX34" s="35">
        <f t="shared" si="32"/>
        <v>-25.762630671842235</v>
      </c>
      <c r="BY34" s="35">
        <f t="shared" si="32"/>
        <v>-8.4081153972977365</v>
      </c>
      <c r="BZ34" s="35">
        <f t="shared" si="32"/>
        <v>0.12082092728941449</v>
      </c>
      <c r="CA34" s="35">
        <f t="shared" si="32"/>
        <v>-12.638942037271109</v>
      </c>
      <c r="CB34" s="35">
        <f t="shared" si="32"/>
        <v>-0.69921369412804391</v>
      </c>
      <c r="CC34" s="35">
        <f t="shared" si="32"/>
        <v>-11.029545179092347</v>
      </c>
      <c r="CD34" s="35">
        <f t="shared" si="32"/>
        <v>-1.2676414957078421</v>
      </c>
      <c r="CE34" s="35">
        <f t="shared" si="32"/>
        <v>-1.4001963524191232</v>
      </c>
      <c r="CF34" s="35">
        <f t="shared" si="32"/>
        <v>-3.2230312714820708</v>
      </c>
      <c r="CG34" s="35">
        <f t="shared" si="32"/>
        <v>-8.5933495095861385</v>
      </c>
      <c r="CH34" s="35">
        <f t="shared" si="32"/>
        <v>-9.7741055380994872</v>
      </c>
      <c r="CI34" s="35">
        <f t="shared" si="32"/>
        <v>-10.333840593494388</v>
      </c>
      <c r="CJ34" s="35">
        <f t="shared" si="32"/>
        <v>-7.0620791439904078</v>
      </c>
      <c r="CK34" s="35" t="e">
        <f t="shared" si="32"/>
        <v>#DIV/0!</v>
      </c>
    </row>
    <row r="35" spans="1:89">
      <c r="A35" s="23" t="s">
        <v>137</v>
      </c>
      <c r="B35" s="33">
        <f>B23+B68</f>
        <v>-222977765.37</v>
      </c>
      <c r="C35" s="33">
        <f t="shared" ref="C35:BN35" si="33">C23+C68</f>
        <v>-139359825.87</v>
      </c>
      <c r="D35" s="33">
        <f t="shared" si="33"/>
        <v>-29986781.690000001</v>
      </c>
      <c r="E35" s="33">
        <f t="shared" si="33"/>
        <v>37844710.960000008</v>
      </c>
      <c r="F35" s="33">
        <f t="shared" si="33"/>
        <v>-185028643.88999999</v>
      </c>
      <c r="G35" s="33">
        <f t="shared" si="33"/>
        <v>-126157811.72</v>
      </c>
      <c r="H35" s="33">
        <f t="shared" si="33"/>
        <v>-47601533.409999996</v>
      </c>
      <c r="I35" s="33">
        <f t="shared" si="33"/>
        <v>-6320416.8199999928</v>
      </c>
      <c r="J35" s="33">
        <f t="shared" si="33"/>
        <v>-235356508.59</v>
      </c>
      <c r="K35" s="33">
        <f t="shared" si="33"/>
        <v>-158272204.97999999</v>
      </c>
      <c r="L35" s="33">
        <f t="shared" si="33"/>
        <v>-69286065.950000003</v>
      </c>
      <c r="M35" s="33">
        <f t="shared" si="33"/>
        <v>-318083164.19</v>
      </c>
      <c r="N35" s="33">
        <f t="shared" si="33"/>
        <v>-232714382.28</v>
      </c>
      <c r="O35" s="33">
        <f t="shared" si="33"/>
        <v>-138132029.40000001</v>
      </c>
      <c r="P35" s="33">
        <f t="shared" si="33"/>
        <v>-58736729.450000003</v>
      </c>
      <c r="Q35" s="33">
        <f t="shared" si="33"/>
        <v>-227863780.55000001</v>
      </c>
      <c r="R35" s="33">
        <f t="shared" si="33"/>
        <v>-190844994.93000001</v>
      </c>
      <c r="S35" s="33">
        <f t="shared" si="33"/>
        <v>-119308104.13</v>
      </c>
      <c r="T35" s="33">
        <f t="shared" si="33"/>
        <v>-54076508.649999999</v>
      </c>
      <c r="U35" s="33">
        <f t="shared" si="33"/>
        <v>-258834817.97999999</v>
      </c>
      <c r="V35" s="33">
        <f t="shared" si="33"/>
        <v>-194751671.66999999</v>
      </c>
      <c r="W35" s="33">
        <f t="shared" si="33"/>
        <v>-111189186.41</v>
      </c>
      <c r="X35" s="33">
        <f t="shared" si="33"/>
        <v>-13005963.01</v>
      </c>
      <c r="Y35" s="33">
        <f t="shared" si="33"/>
        <v>-159518248.33000001</v>
      </c>
      <c r="Z35" s="33">
        <f t="shared" si="33"/>
        <v>-147003306.55000001</v>
      </c>
      <c r="AA35" s="33">
        <f t="shared" si="33"/>
        <v>-103599118.69</v>
      </c>
      <c r="AB35" s="33">
        <f t="shared" si="33"/>
        <v>-7717898.0800000001</v>
      </c>
      <c r="AC35" s="33">
        <f t="shared" si="33"/>
        <v>-139850915.75</v>
      </c>
      <c r="AD35" s="33">
        <f t="shared" si="33"/>
        <v>-86436407.409999996</v>
      </c>
      <c r="AE35" s="33">
        <f t="shared" si="33"/>
        <v>-60403988.409999996</v>
      </c>
      <c r="AF35" s="33">
        <f t="shared" si="33"/>
        <v>-17185715.280000001</v>
      </c>
      <c r="AG35" s="33">
        <f t="shared" si="33"/>
        <v>-87600537.700000003</v>
      </c>
      <c r="AH35" s="33">
        <f t="shared" si="33"/>
        <v>-52935929.310000002</v>
      </c>
      <c r="AI35" s="33">
        <f t="shared" si="33"/>
        <v>-28857004.609999999</v>
      </c>
      <c r="AJ35" s="33">
        <f t="shared" si="33"/>
        <v>-7999584.46</v>
      </c>
      <c r="AK35" s="33">
        <f t="shared" si="33"/>
        <v>-86387668.629999995</v>
      </c>
      <c r="AL35" s="33">
        <f t="shared" si="33"/>
        <v>-63976100.18</v>
      </c>
      <c r="AM35" s="33">
        <f t="shared" si="33"/>
        <v>-31004034.359999999</v>
      </c>
      <c r="AN35" s="33">
        <f t="shared" si="33"/>
        <v>-10473263.51</v>
      </c>
      <c r="AO35" s="33">
        <f t="shared" si="33"/>
        <v>-81025713.319999993</v>
      </c>
      <c r="AP35" s="33">
        <f t="shared" si="33"/>
        <v>-50001404.32</v>
      </c>
      <c r="AQ35" s="33">
        <f t="shared" si="33"/>
        <v>-29987967.289999999</v>
      </c>
      <c r="AR35" s="33">
        <f t="shared" si="33"/>
        <v>-9773908.9499999993</v>
      </c>
      <c r="AS35" s="33">
        <f t="shared" si="33"/>
        <v>-36694705.93</v>
      </c>
      <c r="AT35" s="33">
        <f t="shared" si="33"/>
        <v>-22649401.350000001</v>
      </c>
      <c r="AU35" s="33">
        <f t="shared" si="33"/>
        <v>-8345207.46</v>
      </c>
      <c r="AV35" s="33">
        <f t="shared" si="33"/>
        <v>-6288958.1900000004</v>
      </c>
      <c r="AW35" s="33">
        <f t="shared" si="33"/>
        <v>-22650844.379999999</v>
      </c>
      <c r="AX35" s="33">
        <f t="shared" si="33"/>
        <v>-13369914.74</v>
      </c>
      <c r="AY35" s="33">
        <f t="shared" si="33"/>
        <v>-8061296.04</v>
      </c>
      <c r="AZ35" s="33">
        <f t="shared" si="33"/>
        <v>-3526988.6</v>
      </c>
      <c r="BA35" s="33">
        <f t="shared" si="33"/>
        <v>-8333112.9000000004</v>
      </c>
      <c r="BB35" s="33">
        <f t="shared" si="33"/>
        <v>-821838.79</v>
      </c>
      <c r="BC35" s="33">
        <f t="shared" si="33"/>
        <v>-2071650.69</v>
      </c>
      <c r="BD35" s="33">
        <f t="shared" si="33"/>
        <v>-3633490.4</v>
      </c>
      <c r="BE35" s="33">
        <f t="shared" si="33"/>
        <v>-12576168.560000001</v>
      </c>
      <c r="BF35" s="33">
        <f t="shared" si="33"/>
        <v>-7133253.9900000002</v>
      </c>
      <c r="BG35" s="33">
        <f t="shared" si="33"/>
        <v>-2940819.66</v>
      </c>
      <c r="BH35" s="33">
        <f t="shared" si="33"/>
        <v>-2516879.5699999998</v>
      </c>
      <c r="BI35" s="33">
        <f t="shared" si="33"/>
        <v>8744950.6500000004</v>
      </c>
      <c r="BJ35" s="33">
        <f t="shared" si="33"/>
        <v>14650393.49</v>
      </c>
      <c r="BK35" s="33">
        <f t="shared" si="33"/>
        <v>15927037.050000001</v>
      </c>
      <c r="BL35" s="33">
        <f t="shared" si="33"/>
        <v>6393201.8399999999</v>
      </c>
      <c r="BM35" s="33">
        <f t="shared" si="33"/>
        <v>7360831.6900000004</v>
      </c>
      <c r="BN35" s="33">
        <f t="shared" si="33"/>
        <v>8294311.9100000001</v>
      </c>
      <c r="BO35" s="33">
        <f t="shared" ref="BO35:CJ35" si="34">BO23+BO68</f>
        <v>4854831.74</v>
      </c>
      <c r="BP35" s="33">
        <f t="shared" si="34"/>
        <v>8338188.3899999997</v>
      </c>
      <c r="BQ35" s="33">
        <f t="shared" si="34"/>
        <v>5508116.9500000002</v>
      </c>
      <c r="BR35" s="33">
        <f t="shared" si="34"/>
        <v>3768713.32</v>
      </c>
      <c r="BS35" s="33">
        <f t="shared" si="34"/>
        <v>3410802.03</v>
      </c>
      <c r="BT35" s="33">
        <f t="shared" si="34"/>
        <v>-87429.7</v>
      </c>
      <c r="BU35" s="33">
        <f t="shared" si="34"/>
        <v>-6568664.4100000001</v>
      </c>
      <c r="BV35" s="33">
        <f t="shared" si="34"/>
        <v>5932455.8700000001</v>
      </c>
      <c r="BW35" s="33">
        <f t="shared" si="34"/>
        <v>868607.39</v>
      </c>
      <c r="BX35" s="33">
        <f t="shared" si="34"/>
        <v>17436730.539999999</v>
      </c>
      <c r="BY35" s="33">
        <f t="shared" si="34"/>
        <v>22884335.809999999</v>
      </c>
      <c r="BZ35" s="33">
        <f t="shared" si="34"/>
        <v>0</v>
      </c>
      <c r="CA35" s="33">
        <f t="shared" si="34"/>
        <v>49930619.770000003</v>
      </c>
      <c r="CB35" s="33">
        <f t="shared" si="34"/>
        <v>0</v>
      </c>
      <c r="CC35" s="33">
        <f t="shared" si="34"/>
        <v>24077630.73</v>
      </c>
      <c r="CD35" s="33">
        <f t="shared" si="34"/>
        <v>0</v>
      </c>
      <c r="CE35" s="33">
        <f t="shared" si="34"/>
        <v>0</v>
      </c>
      <c r="CF35" s="33">
        <f t="shared" si="34"/>
        <v>0</v>
      </c>
      <c r="CG35" s="33">
        <f t="shared" si="34"/>
        <v>0</v>
      </c>
      <c r="CH35" s="33">
        <f t="shared" si="34"/>
        <v>0</v>
      </c>
      <c r="CI35" s="33">
        <f t="shared" si="34"/>
        <v>0</v>
      </c>
      <c r="CJ35" s="33">
        <f t="shared" si="34"/>
        <v>0</v>
      </c>
    </row>
    <row r="36" spans="1:89" s="30" customFormat="1">
      <c r="A36" s="30" t="s">
        <v>138</v>
      </c>
      <c r="B36" s="33">
        <f>B35*B41</f>
        <v>-20280911.297448639</v>
      </c>
      <c r="C36" s="33">
        <f t="shared" ref="C36:BN36" si="35">C35*C41</f>
        <v>-14666529.353515338</v>
      </c>
      <c r="D36" s="33">
        <f t="shared" si="35"/>
        <v>-3914462.5605959226</v>
      </c>
      <c r="E36" s="33">
        <f t="shared" si="35"/>
        <v>4982331.2621087125</v>
      </c>
      <c r="F36" s="33">
        <f t="shared" si="35"/>
        <v>-22403643.599895556</v>
      </c>
      <c r="G36" s="33">
        <f t="shared" si="35"/>
        <v>-14100222.017067811</v>
      </c>
      <c r="H36" s="33">
        <f t="shared" si="35"/>
        <v>-5937632.7334513478</v>
      </c>
      <c r="I36" s="33">
        <f t="shared" si="35"/>
        <v>-786624.9626864132</v>
      </c>
      <c r="J36" s="33">
        <f t="shared" si="35"/>
        <v>-27072218.649976689</v>
      </c>
      <c r="K36" s="33">
        <f t="shared" si="35"/>
        <v>-16395966.20556483</v>
      </c>
      <c r="L36" s="33">
        <f t="shared" si="35"/>
        <v>10232365.45300355</v>
      </c>
      <c r="M36" s="33">
        <f t="shared" si="35"/>
        <v>128408338.37936521</v>
      </c>
      <c r="N36" s="33">
        <f t="shared" si="35"/>
        <v>116449796.18645877</v>
      </c>
      <c r="O36" s="33">
        <f t="shared" si="35"/>
        <v>22279019.465858899</v>
      </c>
      <c r="P36" s="33">
        <f t="shared" si="35"/>
        <v>7505266.6649573175</v>
      </c>
      <c r="Q36" s="33">
        <f t="shared" si="35"/>
        <v>31072004.833773289</v>
      </c>
      <c r="R36" s="33">
        <f t="shared" si="35"/>
        <v>30592125.803945888</v>
      </c>
      <c r="S36" s="33">
        <f t="shared" si="35"/>
        <v>16598022.849954672</v>
      </c>
      <c r="T36" s="33">
        <f t="shared" si="35"/>
        <v>5707400.169353053</v>
      </c>
      <c r="U36" s="33">
        <f t="shared" si="35"/>
        <v>29033225.550599664</v>
      </c>
      <c r="V36" s="33">
        <f t="shared" si="35"/>
        <v>22468652.15542062</v>
      </c>
      <c r="W36" s="33">
        <f t="shared" si="35"/>
        <v>9767895.947710745</v>
      </c>
      <c r="X36" s="33">
        <f t="shared" si="35"/>
        <v>1281601.5290850443</v>
      </c>
      <c r="Y36" s="33">
        <f t="shared" si="35"/>
        <v>32233954.648091745</v>
      </c>
      <c r="Z36" s="33">
        <f t="shared" si="35"/>
        <v>17512532.002552286</v>
      </c>
      <c r="AA36" s="33">
        <f t="shared" si="35"/>
        <v>19775005.65415927</v>
      </c>
      <c r="AB36" s="33">
        <f t="shared" si="35"/>
        <v>1707534.7503513061</v>
      </c>
      <c r="AC36" s="33">
        <f t="shared" si="35"/>
        <v>16300365.624732871</v>
      </c>
      <c r="AD36" s="33">
        <f t="shared" si="35"/>
        <v>12656958.872213699</v>
      </c>
      <c r="AE36" s="33">
        <f t="shared" si="35"/>
        <v>9099492.8164524809</v>
      </c>
      <c r="AF36" s="33">
        <f t="shared" si="35"/>
        <v>2668844.1487765806</v>
      </c>
      <c r="AG36" s="33">
        <f t="shared" si="35"/>
        <v>10830061.557633318</v>
      </c>
      <c r="AH36" s="33">
        <f t="shared" si="35"/>
        <v>7179486.1600375213</v>
      </c>
      <c r="AI36" s="33">
        <f t="shared" si="35"/>
        <v>4028593.9400965068</v>
      </c>
      <c r="AJ36" s="33">
        <f t="shared" si="35"/>
        <v>1153841.081018331</v>
      </c>
      <c r="AK36" s="33">
        <f t="shared" si="35"/>
        <v>10675428.784375709</v>
      </c>
      <c r="AL36" s="33">
        <f t="shared" si="35"/>
        <v>9947842.4110614471</v>
      </c>
      <c r="AM36" s="33">
        <f t="shared" si="35"/>
        <v>5112983.8756882623</v>
      </c>
      <c r="AN36" s="33">
        <f t="shared" si="35"/>
        <v>1586786.6209950524</v>
      </c>
      <c r="AO36" s="33">
        <f t="shared" si="35"/>
        <v>14826480.369318107</v>
      </c>
      <c r="AP36" s="33">
        <f t="shared" si="35"/>
        <v>10774208.469622374</v>
      </c>
      <c r="AQ36" s="33">
        <f t="shared" si="35"/>
        <v>7117409.8526858948</v>
      </c>
      <c r="AR36" s="33">
        <f t="shared" si="35"/>
        <v>2166104.5479854671</v>
      </c>
      <c r="AS36" s="33">
        <f t="shared" si="35"/>
        <v>5829445.6495539444</v>
      </c>
      <c r="AT36" s="33">
        <f t="shared" si="35"/>
        <v>5485982.9318395201</v>
      </c>
      <c r="AU36" s="33">
        <f t="shared" si="35"/>
        <v>2007801.2751816865</v>
      </c>
      <c r="AV36" s="33">
        <f t="shared" si="35"/>
        <v>1069155.3042182347</v>
      </c>
      <c r="AW36" s="33">
        <f t="shared" si="35"/>
        <v>3125575.2675585719</v>
      </c>
      <c r="AX36" s="33">
        <f t="shared" si="35"/>
        <v>1647878.8990329662</v>
      </c>
      <c r="AY36" s="33">
        <f t="shared" si="35"/>
        <v>875081.03870123683</v>
      </c>
      <c r="AZ36" s="33">
        <f t="shared" si="35"/>
        <v>421261.34327196016</v>
      </c>
      <c r="BA36" s="33">
        <f t="shared" si="35"/>
        <v>948515.51608376915</v>
      </c>
      <c r="BB36" s="33">
        <f t="shared" si="35"/>
        <v>109203.03612511851</v>
      </c>
      <c r="BC36" s="33">
        <f t="shared" si="35"/>
        <v>307180.36057982221</v>
      </c>
      <c r="BD36" s="33">
        <f t="shared" si="35"/>
        <v>562174.72965353739</v>
      </c>
      <c r="BE36" s="33">
        <f t="shared" si="35"/>
        <v>1812986.111260708</v>
      </c>
      <c r="BF36" s="33">
        <f t="shared" si="35"/>
        <v>1159335.2199942062</v>
      </c>
      <c r="BG36" s="33">
        <f t="shared" si="35"/>
        <v>529929.59950123494</v>
      </c>
      <c r="BH36" s="33">
        <f t="shared" si="35"/>
        <v>449810.26881724742</v>
      </c>
      <c r="BI36" s="33">
        <f t="shared" si="35"/>
        <v>-2201783.5628515892</v>
      </c>
      <c r="BJ36" s="33">
        <f t="shared" si="35"/>
        <v>-3374400.9571813932</v>
      </c>
      <c r="BK36" s="33">
        <f t="shared" si="35"/>
        <v>-3934369.0196675202</v>
      </c>
      <c r="BL36" s="33">
        <f t="shared" si="35"/>
        <v>-1038302.4945573207</v>
      </c>
      <c r="BM36" s="33">
        <f t="shared" si="35"/>
        <v>-1215456.6745218027</v>
      </c>
      <c r="BN36" s="33">
        <f t="shared" si="35"/>
        <v>-1506438.562194756</v>
      </c>
      <c r="BO36" s="33">
        <f t="shared" ref="BO36:CJ36" si="36">BO35*BO41</f>
        <v>-925235.33772200858</v>
      </c>
      <c r="BP36" s="33">
        <f t="shared" si="36"/>
        <v>-1544008.7232012679</v>
      </c>
      <c r="BQ36" s="33">
        <f t="shared" si="36"/>
        <v>-910864.73647168232</v>
      </c>
      <c r="BR36" s="33">
        <f t="shared" si="36"/>
        <v>-743148.00025026489</v>
      </c>
      <c r="BS36" s="33">
        <f t="shared" si="36"/>
        <v>-495893.22471426899</v>
      </c>
      <c r="BT36" s="33">
        <f t="shared" si="36"/>
        <v>19923.08847190113</v>
      </c>
      <c r="BU36" s="33">
        <f t="shared" si="36"/>
        <v>1151502.5518747934</v>
      </c>
      <c r="BV36" s="33">
        <f t="shared" si="36"/>
        <v>-984371.52257738565</v>
      </c>
      <c r="BW36" s="33">
        <f t="shared" si="36"/>
        <v>-80740.537369912447</v>
      </c>
      <c r="BX36" s="33">
        <f t="shared" si="36"/>
        <v>0</v>
      </c>
      <c r="BY36" s="33">
        <f t="shared" si="36"/>
        <v>-1991461.3910540764</v>
      </c>
      <c r="BZ36" s="33">
        <f t="shared" si="36"/>
        <v>0</v>
      </c>
      <c r="CA36" s="33">
        <f t="shared" si="36"/>
        <v>-409862.98949796217</v>
      </c>
      <c r="CB36" s="33">
        <f t="shared" si="36"/>
        <v>0</v>
      </c>
      <c r="CC36" s="33">
        <f t="shared" si="36"/>
        <v>-3229777.374034415</v>
      </c>
      <c r="CD36" s="33">
        <f t="shared" si="36"/>
        <v>0</v>
      </c>
      <c r="CE36" s="33">
        <f t="shared" si="36"/>
        <v>0</v>
      </c>
      <c r="CF36" s="33">
        <f t="shared" si="36"/>
        <v>0</v>
      </c>
      <c r="CG36" s="33">
        <f t="shared" si="36"/>
        <v>0</v>
      </c>
      <c r="CH36" s="33">
        <f t="shared" si="36"/>
        <v>0</v>
      </c>
      <c r="CI36" s="33">
        <f t="shared" si="36"/>
        <v>0</v>
      </c>
      <c r="CJ36" s="33">
        <f t="shared" si="36"/>
        <v>0</v>
      </c>
    </row>
    <row r="37" spans="1:89" s="30" customFormat="1">
      <c r="A37" s="30" t="s">
        <v>139</v>
      </c>
      <c r="B37" s="33">
        <f>B35-B36</f>
        <v>-202696854.07255137</v>
      </c>
      <c r="C37" s="33">
        <f t="shared" ref="C37:BN37" si="37">C35-C36</f>
        <v>-124693296.51648466</v>
      </c>
      <c r="D37" s="33">
        <f t="shared" si="37"/>
        <v>-26072319.129404079</v>
      </c>
      <c r="E37" s="33">
        <f t="shared" si="37"/>
        <v>32862379.697891295</v>
      </c>
      <c r="F37" s="33">
        <f t="shared" si="37"/>
        <v>-162625000.29010442</v>
      </c>
      <c r="G37" s="33">
        <f t="shared" si="37"/>
        <v>-112057589.70293219</v>
      </c>
      <c r="H37" s="33">
        <f t="shared" si="37"/>
        <v>-41663900.676548645</v>
      </c>
      <c r="I37" s="33">
        <f t="shared" si="37"/>
        <v>-5533791.8573135799</v>
      </c>
      <c r="J37" s="33">
        <f t="shared" si="37"/>
        <v>-208284289.9400233</v>
      </c>
      <c r="K37" s="33">
        <f t="shared" si="37"/>
        <v>-141876238.77443516</v>
      </c>
      <c r="L37" s="33">
        <f t="shared" si="37"/>
        <v>-79518431.403003559</v>
      </c>
      <c r="M37" s="33">
        <f t="shared" si="37"/>
        <v>-446491502.5693652</v>
      </c>
      <c r="N37" s="33">
        <f t="shared" si="37"/>
        <v>-349164178.4664588</v>
      </c>
      <c r="O37" s="33">
        <f t="shared" si="37"/>
        <v>-160411048.86585891</v>
      </c>
      <c r="P37" s="33">
        <f t="shared" si="37"/>
        <v>-66241996.114957318</v>
      </c>
      <c r="Q37" s="33">
        <f t="shared" si="37"/>
        <v>-258935785.3837733</v>
      </c>
      <c r="R37" s="33">
        <f t="shared" si="37"/>
        <v>-221437120.73394591</v>
      </c>
      <c r="S37" s="33">
        <f t="shared" si="37"/>
        <v>-135906126.97995466</v>
      </c>
      <c r="T37" s="33">
        <f t="shared" si="37"/>
        <v>-59783908.819353051</v>
      </c>
      <c r="U37" s="33">
        <f t="shared" si="37"/>
        <v>-287868043.53059965</v>
      </c>
      <c r="V37" s="33">
        <f t="shared" si="37"/>
        <v>-217220323.82542062</v>
      </c>
      <c r="W37" s="33">
        <f t="shared" si="37"/>
        <v>-120957082.35771075</v>
      </c>
      <c r="X37" s="33">
        <f t="shared" si="37"/>
        <v>-14287564.539085044</v>
      </c>
      <c r="Y37" s="33">
        <f t="shared" si="37"/>
        <v>-191752202.97809175</v>
      </c>
      <c r="Z37" s="33">
        <f t="shared" si="37"/>
        <v>-164515838.55255228</v>
      </c>
      <c r="AA37" s="33">
        <f t="shared" si="37"/>
        <v>-123374124.34415928</v>
      </c>
      <c r="AB37" s="33">
        <f t="shared" si="37"/>
        <v>-9425432.8303513061</v>
      </c>
      <c r="AC37" s="33">
        <f t="shared" si="37"/>
        <v>-156151281.37473288</v>
      </c>
      <c r="AD37" s="33">
        <f t="shared" si="37"/>
        <v>-99093366.282213688</v>
      </c>
      <c r="AE37" s="33">
        <f t="shared" si="37"/>
        <v>-69503481.22645247</v>
      </c>
      <c r="AF37" s="33">
        <f t="shared" si="37"/>
        <v>-19854559.428776581</v>
      </c>
      <c r="AG37" s="33">
        <f t="shared" si="37"/>
        <v>-98430599.257633328</v>
      </c>
      <c r="AH37" s="33">
        <f t="shared" si="37"/>
        <v>-60115415.47003752</v>
      </c>
      <c r="AI37" s="33">
        <f t="shared" si="37"/>
        <v>-32885598.550096504</v>
      </c>
      <c r="AJ37" s="33">
        <f t="shared" si="37"/>
        <v>-9153425.5410183314</v>
      </c>
      <c r="AK37" s="33">
        <f t="shared" si="37"/>
        <v>-97063097.414375708</v>
      </c>
      <c r="AL37" s="33">
        <f t="shared" si="37"/>
        <v>-73923942.591061443</v>
      </c>
      <c r="AM37" s="33">
        <f t="shared" si="37"/>
        <v>-36117018.235688262</v>
      </c>
      <c r="AN37" s="33">
        <f t="shared" si="37"/>
        <v>-12060050.130995052</v>
      </c>
      <c r="AO37" s="33">
        <f t="shared" si="37"/>
        <v>-95852193.689318106</v>
      </c>
      <c r="AP37" s="33">
        <f t="shared" si="37"/>
        <v>-60775612.789622374</v>
      </c>
      <c r="AQ37" s="33">
        <f t="shared" si="37"/>
        <v>-37105377.14268589</v>
      </c>
      <c r="AR37" s="33">
        <f t="shared" si="37"/>
        <v>-11940013.497985467</v>
      </c>
      <c r="AS37" s="33">
        <f t="shared" si="37"/>
        <v>-42524151.579553947</v>
      </c>
      <c r="AT37" s="33">
        <f t="shared" si="37"/>
        <v>-28135384.28183952</v>
      </c>
      <c r="AU37" s="33">
        <f t="shared" si="37"/>
        <v>-10353008.735181686</v>
      </c>
      <c r="AV37" s="33">
        <f t="shared" si="37"/>
        <v>-7358113.4942182349</v>
      </c>
      <c r="AW37" s="33">
        <f t="shared" si="37"/>
        <v>-25776419.64755857</v>
      </c>
      <c r="AX37" s="33">
        <f t="shared" si="37"/>
        <v>-15017793.639032967</v>
      </c>
      <c r="AY37" s="33">
        <f t="shared" si="37"/>
        <v>-8936377.0787012372</v>
      </c>
      <c r="AZ37" s="33">
        <f t="shared" si="37"/>
        <v>-3948249.9432719601</v>
      </c>
      <c r="BA37" s="33">
        <f t="shared" si="37"/>
        <v>-9281628.4160837699</v>
      </c>
      <c r="BB37" s="33">
        <f t="shared" si="37"/>
        <v>-931041.82612511853</v>
      </c>
      <c r="BC37" s="33">
        <f t="shared" si="37"/>
        <v>-2378831.0505798222</v>
      </c>
      <c r="BD37" s="33">
        <f t="shared" si="37"/>
        <v>-4195665.1296535376</v>
      </c>
      <c r="BE37" s="33">
        <f t="shared" si="37"/>
        <v>-14389154.671260709</v>
      </c>
      <c r="BF37" s="33">
        <f t="shared" si="37"/>
        <v>-8292589.2099942062</v>
      </c>
      <c r="BG37" s="33">
        <f t="shared" si="37"/>
        <v>-3470749.2595012351</v>
      </c>
      <c r="BH37" s="33">
        <f t="shared" si="37"/>
        <v>-2966689.8388172472</v>
      </c>
      <c r="BI37" s="33">
        <f t="shared" si="37"/>
        <v>10946734.21285159</v>
      </c>
      <c r="BJ37" s="33">
        <f t="shared" si="37"/>
        <v>18024794.447181392</v>
      </c>
      <c r="BK37" s="33">
        <f t="shared" si="37"/>
        <v>19861406.069667522</v>
      </c>
      <c r="BL37" s="33">
        <f t="shared" si="37"/>
        <v>7431504.3345573209</v>
      </c>
      <c r="BM37" s="33">
        <f t="shared" si="37"/>
        <v>8576288.3645218033</v>
      </c>
      <c r="BN37" s="33">
        <f t="shared" si="37"/>
        <v>9800750.4721947554</v>
      </c>
      <c r="BO37" s="33">
        <f t="shared" ref="BO37:CJ37" si="38">BO35-BO36</f>
        <v>5780067.0777220093</v>
      </c>
      <c r="BP37" s="33">
        <f t="shared" si="38"/>
        <v>9882197.113201268</v>
      </c>
      <c r="BQ37" s="33">
        <f t="shared" si="38"/>
        <v>6418981.686471682</v>
      </c>
      <c r="BR37" s="33">
        <f t="shared" si="38"/>
        <v>4511861.3202502644</v>
      </c>
      <c r="BS37" s="33">
        <f t="shared" si="38"/>
        <v>3906695.2547142687</v>
      </c>
      <c r="BT37" s="33">
        <f t="shared" si="38"/>
        <v>-107352.78847190112</v>
      </c>
      <c r="BU37" s="33">
        <f t="shared" si="38"/>
        <v>-7720166.9618747933</v>
      </c>
      <c r="BV37" s="33">
        <f t="shared" si="38"/>
        <v>6916827.3925773855</v>
      </c>
      <c r="BW37" s="33">
        <f t="shared" si="38"/>
        <v>949347.9273699125</v>
      </c>
      <c r="BX37" s="33">
        <f t="shared" si="38"/>
        <v>17436730.539999999</v>
      </c>
      <c r="BY37" s="33">
        <f t="shared" si="38"/>
        <v>24875797.201054074</v>
      </c>
      <c r="BZ37" s="33">
        <f t="shared" si="38"/>
        <v>0</v>
      </c>
      <c r="CA37" s="33">
        <f t="shared" si="38"/>
        <v>50340482.759497963</v>
      </c>
      <c r="CB37" s="33">
        <f t="shared" si="38"/>
        <v>0</v>
      </c>
      <c r="CC37" s="33">
        <f t="shared" si="38"/>
        <v>27307408.104034416</v>
      </c>
      <c r="CD37" s="33">
        <f t="shared" si="38"/>
        <v>0</v>
      </c>
      <c r="CE37" s="33">
        <f t="shared" si="38"/>
        <v>0</v>
      </c>
      <c r="CF37" s="33">
        <f t="shared" si="38"/>
        <v>0</v>
      </c>
      <c r="CG37" s="33">
        <f t="shared" si="38"/>
        <v>0</v>
      </c>
      <c r="CH37" s="33">
        <f t="shared" si="38"/>
        <v>0</v>
      </c>
      <c r="CI37" s="33">
        <f t="shared" si="38"/>
        <v>0</v>
      </c>
      <c r="CJ37" s="33">
        <f t="shared" si="38"/>
        <v>0</v>
      </c>
    </row>
    <row r="38" spans="1:89" s="2" customFormat="1">
      <c r="A38" s="26" t="s">
        <v>140</v>
      </c>
      <c r="B38" s="35">
        <f>B31-B35</f>
        <v>2502980765.5599985</v>
      </c>
      <c r="C38" s="35">
        <f t="shared" ref="C38:BN38" si="39">C31-C35</f>
        <v>1213967914.7600012</v>
      </c>
      <c r="D38" s="35">
        <f t="shared" si="39"/>
        <v>453701627.69000036</v>
      </c>
      <c r="E38" s="35">
        <f t="shared" si="39"/>
        <v>2581865647.9399991</v>
      </c>
      <c r="F38" s="35">
        <f t="shared" si="39"/>
        <v>1988129367.6799998</v>
      </c>
      <c r="G38" s="35">
        <f t="shared" si="39"/>
        <v>1187055477.2799995</v>
      </c>
      <c r="H38" s="35">
        <f t="shared" si="39"/>
        <v>457590851.01999986</v>
      </c>
      <c r="I38" s="35">
        <f t="shared" si="39"/>
        <v>2764948608.4099989</v>
      </c>
      <c r="J38" s="35">
        <f t="shared" si="39"/>
        <v>2055687820.8000007</v>
      </c>
      <c r="K38" s="35">
        <f t="shared" si="39"/>
        <v>1269587570.0299995</v>
      </c>
      <c r="L38" s="35">
        <f t="shared" si="39"/>
        <v>-388217410.84000003</v>
      </c>
      <c r="M38" s="35">
        <f t="shared" si="39"/>
        <v>-977179943.49000072</v>
      </c>
      <c r="N38" s="35">
        <f t="shared" si="39"/>
        <v>-474439087.70000017</v>
      </c>
      <c r="O38" s="35">
        <f t="shared" si="39"/>
        <v>-889685350.15999985</v>
      </c>
      <c r="P38" s="35">
        <f t="shared" si="39"/>
        <v>-470312193.97000009</v>
      </c>
      <c r="Q38" s="35">
        <f t="shared" si="39"/>
        <v>-2397417670.0599999</v>
      </c>
      <c r="R38" s="35">
        <f t="shared" si="39"/>
        <v>-1620852806.9299996</v>
      </c>
      <c r="S38" s="35">
        <f t="shared" si="39"/>
        <v>-1094692504.7800002</v>
      </c>
      <c r="T38" s="35">
        <f t="shared" si="39"/>
        <v>-500379508.10000014</v>
      </c>
      <c r="U38" s="35">
        <f t="shared" si="39"/>
        <v>-2180289649.9099998</v>
      </c>
      <c r="V38" s="35">
        <f t="shared" si="39"/>
        <v>-1530701224.6600001</v>
      </c>
      <c r="W38" s="35">
        <f t="shared" si="39"/>
        <v>-1083549257.2699997</v>
      </c>
      <c r="X38" s="35">
        <f t="shared" si="39"/>
        <v>-467914087.70999998</v>
      </c>
      <c r="Y38" s="35">
        <f t="shared" si="39"/>
        <v>-1802902967.5700006</v>
      </c>
      <c r="Z38" s="35">
        <f t="shared" si="39"/>
        <v>-1378536263.1000001</v>
      </c>
      <c r="AA38" s="35">
        <f t="shared" si="39"/>
        <v>-486031547.73000008</v>
      </c>
      <c r="AB38" s="35">
        <f t="shared" si="39"/>
        <v>-189234466.15000004</v>
      </c>
      <c r="AC38" s="35">
        <f t="shared" si="39"/>
        <v>-1490487148.99</v>
      </c>
      <c r="AD38" s="35">
        <f t="shared" si="39"/>
        <v>-1039085994.5899996</v>
      </c>
      <c r="AE38" s="35">
        <f t="shared" si="39"/>
        <v>-625663408.99999988</v>
      </c>
      <c r="AF38" s="35">
        <f t="shared" si="39"/>
        <v>-296197603.92000008</v>
      </c>
      <c r="AG38" s="35">
        <f t="shared" si="39"/>
        <v>-1307358515.8199999</v>
      </c>
      <c r="AH38" s="35">
        <f t="shared" si="39"/>
        <v>-900381952.1699996</v>
      </c>
      <c r="AI38" s="35">
        <f t="shared" si="39"/>
        <v>-579058850.42999995</v>
      </c>
      <c r="AJ38" s="35">
        <f t="shared" si="39"/>
        <v>-247436953.07000002</v>
      </c>
      <c r="AK38" s="35">
        <f t="shared" si="39"/>
        <v>-1098428692.6000004</v>
      </c>
      <c r="AL38" s="35">
        <f t="shared" si="39"/>
        <v>-657485236.22000003</v>
      </c>
      <c r="AM38" s="35">
        <f t="shared" si="39"/>
        <v>-404005255.29999983</v>
      </c>
      <c r="AN38" s="35">
        <f t="shared" si="39"/>
        <v>-214644312.18000001</v>
      </c>
      <c r="AO38" s="35">
        <f t="shared" si="39"/>
        <v>-837858676</v>
      </c>
      <c r="AP38" s="35">
        <f t="shared" si="39"/>
        <v>-656961110.13999999</v>
      </c>
      <c r="AQ38" s="35">
        <f t="shared" si="39"/>
        <v>-419048390.74999994</v>
      </c>
      <c r="AR38" s="35">
        <f t="shared" si="39"/>
        <v>-198660561.27000004</v>
      </c>
      <c r="AS38" s="35">
        <f t="shared" si="39"/>
        <v>-876748680.8499999</v>
      </c>
      <c r="AT38" s="35">
        <f t="shared" si="39"/>
        <v>-546688682.5200001</v>
      </c>
      <c r="AU38" s="35">
        <f t="shared" si="39"/>
        <v>-350602955.62000006</v>
      </c>
      <c r="AV38" s="35">
        <f t="shared" si="39"/>
        <v>-174408295.81000003</v>
      </c>
      <c r="AW38" s="35">
        <f t="shared" si="39"/>
        <v>-812814452.20999992</v>
      </c>
      <c r="AX38" s="35">
        <f t="shared" si="39"/>
        <v>-552778783.58999991</v>
      </c>
      <c r="AY38" s="35">
        <f t="shared" si="39"/>
        <v>-380980871.82999998</v>
      </c>
      <c r="AZ38" s="35">
        <f t="shared" si="39"/>
        <v>-178011127.18000004</v>
      </c>
      <c r="BA38" s="35">
        <f t="shared" si="39"/>
        <v>-954185084.19000006</v>
      </c>
      <c r="BB38" s="35">
        <f t="shared" si="39"/>
        <v>-707456544.43000007</v>
      </c>
      <c r="BC38" s="35">
        <f t="shared" si="39"/>
        <v>-457670885.88</v>
      </c>
      <c r="BD38" s="35">
        <f t="shared" si="39"/>
        <v>-187273135.5</v>
      </c>
      <c r="BE38" s="35">
        <f t="shared" si="39"/>
        <v>-918898925.24000013</v>
      </c>
      <c r="BF38" s="35">
        <f t="shared" si="39"/>
        <v>-576138740.23000014</v>
      </c>
      <c r="BG38" s="35">
        <f t="shared" si="39"/>
        <v>-365529186.40999997</v>
      </c>
      <c r="BH38" s="35">
        <f t="shared" si="39"/>
        <v>-184397959.46000001</v>
      </c>
      <c r="BI38" s="35">
        <f t="shared" si="39"/>
        <v>-619381020.70999992</v>
      </c>
      <c r="BJ38" s="35">
        <f t="shared" si="39"/>
        <v>-470485450.05999982</v>
      </c>
      <c r="BK38" s="35">
        <f t="shared" si="39"/>
        <v>-278787215.10999995</v>
      </c>
      <c r="BL38" s="35">
        <f t="shared" si="39"/>
        <v>-172448350.84999999</v>
      </c>
      <c r="BM38" s="35">
        <f t="shared" si="39"/>
        <v>-870058047.24000013</v>
      </c>
      <c r="BN38" s="35">
        <f t="shared" si="39"/>
        <v>-543796371.70000005</v>
      </c>
      <c r="BO38" s="35">
        <f t="shared" ref="BO38:CJ38" si="40">BO31-BO35</f>
        <v>-336681092.28999996</v>
      </c>
      <c r="BP38" s="35">
        <f t="shared" si="40"/>
        <v>-136745622.65000001</v>
      </c>
      <c r="BQ38" s="35">
        <f t="shared" si="40"/>
        <v>-686107437.16000009</v>
      </c>
      <c r="BR38" s="35">
        <f t="shared" si="40"/>
        <v>-265894441.53000003</v>
      </c>
      <c r="BS38" s="35">
        <f t="shared" si="40"/>
        <v>-693255389.18000007</v>
      </c>
      <c r="BT38" s="35">
        <f t="shared" si="40"/>
        <v>-207262182.06</v>
      </c>
      <c r="BU38" s="35">
        <f t="shared" si="40"/>
        <v>-555929155.44000006</v>
      </c>
      <c r="BV38" s="35">
        <f t="shared" si="40"/>
        <v>-236442173.81</v>
      </c>
      <c r="BW38" s="35">
        <f t="shared" si="40"/>
        <v>-30090103.070000015</v>
      </c>
      <c r="BX38" s="35">
        <f t="shared" si="40"/>
        <v>-69500887.090000004</v>
      </c>
      <c r="BY38" s="35">
        <f t="shared" si="40"/>
        <v>-93960288.379999995</v>
      </c>
      <c r="BZ38" s="35">
        <f t="shared" si="40"/>
        <v>2100000</v>
      </c>
      <c r="CA38" s="35">
        <f t="shared" si="40"/>
        <v>-219266941.21000001</v>
      </c>
      <c r="CB38" s="35">
        <f t="shared" si="40"/>
        <v>3033836.53</v>
      </c>
      <c r="CC38" s="35">
        <f t="shared" si="40"/>
        <v>-211242670.80999997</v>
      </c>
      <c r="CD38" s="35">
        <f t="shared" si="40"/>
        <v>5790000</v>
      </c>
      <c r="CE38" s="35">
        <f t="shared" si="40"/>
        <v>7729000</v>
      </c>
      <c r="CF38" s="35">
        <f t="shared" si="40"/>
        <v>-8277402.6900000013</v>
      </c>
      <c r="CG38" s="35">
        <f t="shared" si="40"/>
        <v>-45960000</v>
      </c>
      <c r="CH38" s="35">
        <f t="shared" si="40"/>
        <v>-71370000</v>
      </c>
      <c r="CI38" s="35">
        <f t="shared" si="40"/>
        <v>-52680000</v>
      </c>
      <c r="CJ38" s="35">
        <f t="shared" si="40"/>
        <v>-34650000</v>
      </c>
    </row>
    <row r="39" spans="1:89" s="32" customFormat="1">
      <c r="A39" s="31" t="s">
        <v>141</v>
      </c>
      <c r="B39" s="34">
        <f>B38/B4*100</f>
        <v>15.732297872675643</v>
      </c>
      <c r="C39" s="34">
        <f t="shared" ref="C39:BN39" si="41">C38/C4*100</f>
        <v>11.776454586849134</v>
      </c>
      <c r="D39" s="34">
        <f t="shared" si="41"/>
        <v>11.394791035482553</v>
      </c>
      <c r="E39" s="34">
        <f t="shared" si="41"/>
        <v>13.259957033011544</v>
      </c>
      <c r="F39" s="34">
        <f t="shared" si="41"/>
        <v>13.530647104860865</v>
      </c>
      <c r="G39" s="34">
        <f t="shared" si="41"/>
        <v>12.34815747944323</v>
      </c>
      <c r="H39" s="34">
        <f t="shared" si="41"/>
        <v>12.059166769500056</v>
      </c>
      <c r="I39" s="34">
        <f t="shared" si="41"/>
        <v>14.599577749808383</v>
      </c>
      <c r="J39" s="34">
        <f t="shared" si="41"/>
        <v>14.457888797984802</v>
      </c>
      <c r="K39" s="34">
        <f t="shared" si="41"/>
        <v>13.693715925419959</v>
      </c>
      <c r="L39" s="34">
        <f t="shared" si="41"/>
        <v>-10.282924674558652</v>
      </c>
      <c r="M39" s="34">
        <f t="shared" si="41"/>
        <v>-5.0642802097126074</v>
      </c>
      <c r="N39" s="34">
        <f t="shared" si="41"/>
        <v>-3.2158180617951864</v>
      </c>
      <c r="O39" s="34">
        <f t="shared" si="41"/>
        <v>-9.0511780802405717</v>
      </c>
      <c r="P39" s="34">
        <f t="shared" si="41"/>
        <v>-11.329286851362157</v>
      </c>
      <c r="Q39" s="34">
        <f t="shared" si="41"/>
        <v>-11.537732205099235</v>
      </c>
      <c r="R39" s="34">
        <f t="shared" si="41"/>
        <v>-10.406637127899645</v>
      </c>
      <c r="S39" s="34">
        <f t="shared" si="41"/>
        <v>-10.799707072465257</v>
      </c>
      <c r="T39" s="34">
        <f t="shared" si="41"/>
        <v>-12.106228457187166</v>
      </c>
      <c r="U39" s="34">
        <f t="shared" si="41"/>
        <v>-10.952334396876555</v>
      </c>
      <c r="V39" s="34">
        <f t="shared" si="41"/>
        <v>-10.470793808712866</v>
      </c>
      <c r="W39" s="34">
        <f t="shared" si="41"/>
        <v>-11.549801562899415</v>
      </c>
      <c r="X39" s="34">
        <f t="shared" si="41"/>
        <v>-12.047645816710769</v>
      </c>
      <c r="Y39" s="34">
        <f t="shared" si="41"/>
        <v>-10.161063380132271</v>
      </c>
      <c r="Z39" s="34">
        <f t="shared" si="41"/>
        <v>-10.246189934842711</v>
      </c>
      <c r="AA39" s="34">
        <f t="shared" si="41"/>
        <v>-6.7541187237815699</v>
      </c>
      <c r="AB39" s="34">
        <f t="shared" si="41"/>
        <v>-5.9157012981734161</v>
      </c>
      <c r="AC39" s="34">
        <f t="shared" si="41"/>
        <v>-10.277535470055517</v>
      </c>
      <c r="AD39" s="34">
        <f t="shared" si="41"/>
        <v>-9.0896114209738705</v>
      </c>
      <c r="AE39" s="34">
        <f t="shared" si="41"/>
        <v>-8.4939068702312763</v>
      </c>
      <c r="AF39" s="34">
        <f t="shared" si="41"/>
        <v>-9.175070933490387</v>
      </c>
      <c r="AG39" s="34">
        <f t="shared" si="41"/>
        <v>-9.8594313948797883</v>
      </c>
      <c r="AH39" s="34">
        <f t="shared" si="41"/>
        <v>-9.2399440701886366</v>
      </c>
      <c r="AI39" s="34">
        <f t="shared" si="41"/>
        <v>-9.1755402734906308</v>
      </c>
      <c r="AJ39" s="34">
        <f t="shared" si="41"/>
        <v>-9.0335451811721796</v>
      </c>
      <c r="AK39" s="34">
        <f t="shared" si="41"/>
        <v>-9.998226515486305</v>
      </c>
      <c r="AL39" s="34">
        <f t="shared" si="41"/>
        <v>-8.1510906109344035</v>
      </c>
      <c r="AM39" s="34">
        <f t="shared" si="41"/>
        <v>-7.79827537490248</v>
      </c>
      <c r="AN39" s="34">
        <f t="shared" si="41"/>
        <v>-9.1553255461407446</v>
      </c>
      <c r="AO39" s="34">
        <f t="shared" si="41"/>
        <v>-8.0197947059593186</v>
      </c>
      <c r="AP39" s="34">
        <f t="shared" si="41"/>
        <v>-8.2960962825904652</v>
      </c>
      <c r="AQ39" s="34">
        <f t="shared" si="41"/>
        <v>-8.0714753552714367</v>
      </c>
      <c r="AR39" s="34">
        <f t="shared" si="41"/>
        <v>-8.5759247891760317</v>
      </c>
      <c r="AS39" s="34">
        <f t="shared" si="41"/>
        <v>-9.5442010436508777</v>
      </c>
      <c r="AT39" s="34">
        <f t="shared" si="41"/>
        <v>-8.1995381930563251</v>
      </c>
      <c r="AU39" s="34">
        <f t="shared" si="41"/>
        <v>-8.3263784370860954</v>
      </c>
      <c r="AV39" s="34">
        <f t="shared" si="41"/>
        <v>-9.2109617588740615</v>
      </c>
      <c r="AW39" s="34">
        <f t="shared" si="41"/>
        <v>-11.155497397415438</v>
      </c>
      <c r="AX39" s="34">
        <f t="shared" si="41"/>
        <v>-10.537328816183376</v>
      </c>
      <c r="AY39" s="34">
        <f t="shared" si="41"/>
        <v>-11.13164242989906</v>
      </c>
      <c r="AZ39" s="34">
        <f t="shared" si="41"/>
        <v>-11.430132290078602</v>
      </c>
      <c r="BA39" s="34">
        <f t="shared" si="41"/>
        <v>-13.967363526556706</v>
      </c>
      <c r="BB39" s="34">
        <f t="shared" si="41"/>
        <v>-13.983226018366882</v>
      </c>
      <c r="BC39" s="34">
        <f t="shared" si="41"/>
        <v>-13.633883248471248</v>
      </c>
      <c r="BD39" s="34">
        <f t="shared" si="41"/>
        <v>-12.232430243182041</v>
      </c>
      <c r="BE39" s="34">
        <f t="shared" si="41"/>
        <v>-14.017698250335108</v>
      </c>
      <c r="BF39" s="34">
        <f t="shared" si="41"/>
        <v>-11.996921686038013</v>
      </c>
      <c r="BG39" s="34">
        <f t="shared" si="41"/>
        <v>-11.075287500701966</v>
      </c>
      <c r="BH39" s="34">
        <f t="shared" si="41"/>
        <v>-11.527550494690807</v>
      </c>
      <c r="BI39" s="34">
        <f t="shared" si="41"/>
        <v>-11.140477825516442</v>
      </c>
      <c r="BJ39" s="34">
        <f t="shared" si="41"/>
        <v>-11.550364973545287</v>
      </c>
      <c r="BK39" s="34">
        <f t="shared" si="41"/>
        <v>-10.458878128886445</v>
      </c>
      <c r="BL39" s="34">
        <f t="shared" si="41"/>
        <v>-13.760827121871069</v>
      </c>
      <c r="BM39" s="34">
        <f t="shared" si="41"/>
        <v>-19.471630272266147</v>
      </c>
      <c r="BN39" s="34">
        <f t="shared" si="41"/>
        <v>-15.901074668122995</v>
      </c>
      <c r="BO39" s="34">
        <f t="shared" ref="BO39:CJ39" si="42">BO38/BO4*100</f>
        <v>-14.705131309890634</v>
      </c>
      <c r="BP39" s="34">
        <f t="shared" si="42"/>
        <v>-12.867335629876264</v>
      </c>
      <c r="BQ39" s="34">
        <f t="shared" si="42"/>
        <v>-17.845216348482747</v>
      </c>
      <c r="BR39" s="34">
        <f t="shared" si="42"/>
        <v>-14.078344772084627</v>
      </c>
      <c r="BS39" s="34">
        <f t="shared" si="42"/>
        <v>-19.127266721781407</v>
      </c>
      <c r="BT39" s="34">
        <f t="shared" si="42"/>
        <v>-11.777110515056121</v>
      </c>
      <c r="BU39" s="34">
        <f t="shared" si="42"/>
        <v>-15.869332815735987</v>
      </c>
      <c r="BV39" s="34">
        <f t="shared" si="42"/>
        <v>-14.408689915888026</v>
      </c>
      <c r="BW39" s="34">
        <f t="shared" si="42"/>
        <v>-6.772122988898249</v>
      </c>
      <c r="BX39" s="34">
        <f t="shared" si="42"/>
        <v>-34.390755639065041</v>
      </c>
      <c r="BY39" s="34">
        <f t="shared" si="42"/>
        <v>-10.225430945576962</v>
      </c>
      <c r="BZ39" s="34">
        <f t="shared" si="42"/>
        <v>0.53372364329878319</v>
      </c>
      <c r="CA39" s="34">
        <f t="shared" si="42"/>
        <v>-16.232422570126769</v>
      </c>
      <c r="CB39" s="34">
        <f t="shared" si="42"/>
        <v>0.31831390819566979</v>
      </c>
      <c r="CC39" s="34">
        <f t="shared" si="42"/>
        <v>-10.976093322443454</v>
      </c>
      <c r="CD39" s="34">
        <f t="shared" si="42"/>
        <v>0.5265168048886949</v>
      </c>
      <c r="CE39" s="34">
        <f t="shared" si="42"/>
        <v>0.53892324126524593</v>
      </c>
      <c r="CF39" s="34">
        <f t="shared" si="42"/>
        <v>-1.0790218591211649</v>
      </c>
      <c r="CG39" s="34">
        <f t="shared" si="42"/>
        <v>-7.8534568196575645</v>
      </c>
      <c r="CH39" s="34">
        <f t="shared" si="42"/>
        <v>-9.2284417549167923</v>
      </c>
      <c r="CI39" s="34">
        <f t="shared" si="42"/>
        <v>-8.3507704013696014</v>
      </c>
      <c r="CJ39" s="34">
        <f t="shared" si="42"/>
        <v>-6.3923992251637305</v>
      </c>
    </row>
    <row r="40" spans="1:89">
      <c r="A40" s="23" t="s">
        <v>142</v>
      </c>
      <c r="B40" s="33">
        <f>B60</f>
        <v>227658263.59999999</v>
      </c>
      <c r="C40" s="33">
        <f t="shared" ref="C40:BN40" si="43">C60</f>
        <v>127760607.8</v>
      </c>
      <c r="D40" s="33">
        <f t="shared" si="43"/>
        <v>59226030.109999999</v>
      </c>
      <c r="E40" s="33">
        <f t="shared" si="43"/>
        <v>339907733.63</v>
      </c>
      <c r="F40" s="33">
        <f t="shared" si="43"/>
        <v>240726737.47999999</v>
      </c>
      <c r="G40" s="33">
        <f t="shared" si="43"/>
        <v>132673082.61</v>
      </c>
      <c r="H40" s="33">
        <f t="shared" si="43"/>
        <v>57078127.969999999</v>
      </c>
      <c r="I40" s="33">
        <f t="shared" si="43"/>
        <v>344119329.13</v>
      </c>
      <c r="J40" s="33">
        <f t="shared" si="43"/>
        <v>236458428.50999999</v>
      </c>
      <c r="K40" s="33">
        <f t="shared" si="43"/>
        <v>131520976.13</v>
      </c>
      <c r="L40" s="33">
        <f t="shared" si="43"/>
        <v>57333063.560000002</v>
      </c>
      <c r="M40" s="33">
        <f t="shared" si="43"/>
        <v>394481905.88999999</v>
      </c>
      <c r="N40" s="33">
        <f t="shared" si="43"/>
        <v>237408339.46000001</v>
      </c>
      <c r="O40" s="33">
        <f t="shared" si="43"/>
        <v>143495446.5</v>
      </c>
      <c r="P40" s="33">
        <f t="shared" si="43"/>
        <v>60095590.350000001</v>
      </c>
      <c r="Q40" s="33">
        <f t="shared" si="43"/>
        <v>326917131.16000003</v>
      </c>
      <c r="R40" s="33">
        <f t="shared" si="43"/>
        <v>259819928.72</v>
      </c>
      <c r="S40" s="33">
        <f t="shared" si="43"/>
        <v>152292514.75</v>
      </c>
      <c r="T40" s="33">
        <f t="shared" si="43"/>
        <v>52811584.189999998</v>
      </c>
      <c r="U40" s="33">
        <f t="shared" si="43"/>
        <v>244560765.30000001</v>
      </c>
      <c r="V40" s="33">
        <f t="shared" si="43"/>
        <v>176598193.36000001</v>
      </c>
      <c r="W40" s="33">
        <f t="shared" si="43"/>
        <v>95189080.349999994</v>
      </c>
      <c r="X40" s="33">
        <f t="shared" si="43"/>
        <v>46108035.969999999</v>
      </c>
      <c r="Y40" s="33">
        <f t="shared" si="43"/>
        <v>364313757.82999998</v>
      </c>
      <c r="Z40" s="33">
        <f t="shared" si="43"/>
        <v>164225288.47</v>
      </c>
      <c r="AA40" s="33">
        <f t="shared" si="43"/>
        <v>92773729.409999996</v>
      </c>
      <c r="AB40" s="33">
        <f t="shared" si="43"/>
        <v>41866894.789999999</v>
      </c>
      <c r="AC40" s="33">
        <f t="shared" si="43"/>
        <v>173724178.75999999</v>
      </c>
      <c r="AD40" s="33">
        <f t="shared" si="43"/>
        <v>152154272.63</v>
      </c>
      <c r="AE40" s="33">
        <f t="shared" si="43"/>
        <v>94252380.439999998</v>
      </c>
      <c r="AF40" s="33">
        <f t="shared" si="43"/>
        <v>45997808.600000001</v>
      </c>
      <c r="AG40" s="33">
        <f t="shared" si="43"/>
        <v>161628839</v>
      </c>
      <c r="AH40" s="33">
        <f t="shared" si="43"/>
        <v>122115165.42</v>
      </c>
      <c r="AI40" s="33">
        <f t="shared" si="43"/>
        <v>80839747.829999998</v>
      </c>
      <c r="AJ40" s="33">
        <f t="shared" si="43"/>
        <v>35689718.990000002</v>
      </c>
      <c r="AK40" s="33">
        <f t="shared" si="43"/>
        <v>135739249.22999999</v>
      </c>
      <c r="AL40" s="33">
        <f t="shared" si="43"/>
        <v>102234420.34</v>
      </c>
      <c r="AM40" s="33">
        <f t="shared" si="43"/>
        <v>66625921.390000001</v>
      </c>
      <c r="AN40" s="33">
        <f t="shared" si="43"/>
        <v>32520400.399999999</v>
      </c>
      <c r="AO40" s="33">
        <f t="shared" si="43"/>
        <v>153315468.66999999</v>
      </c>
      <c r="AP40" s="33">
        <f t="shared" si="43"/>
        <v>141560743.21000001</v>
      </c>
      <c r="AQ40" s="33">
        <f t="shared" si="43"/>
        <v>99457863.090000004</v>
      </c>
      <c r="AR40" s="33">
        <f t="shared" si="43"/>
        <v>44027374.049999997</v>
      </c>
      <c r="AS40" s="33">
        <f t="shared" si="43"/>
        <v>139283274.08000001</v>
      </c>
      <c r="AT40" s="33">
        <f t="shared" si="43"/>
        <v>132415189.92</v>
      </c>
      <c r="AU40" s="33">
        <f t="shared" si="43"/>
        <v>84352733.560000002</v>
      </c>
      <c r="AV40" s="33">
        <f t="shared" si="43"/>
        <v>29650309.149999999</v>
      </c>
      <c r="AW40" s="33">
        <f t="shared" si="43"/>
        <v>112159737.02</v>
      </c>
      <c r="AX40" s="33">
        <f t="shared" si="43"/>
        <v>68131511.010000005</v>
      </c>
      <c r="AY40" s="33">
        <f t="shared" si="43"/>
        <v>41356766.380000003</v>
      </c>
      <c r="AZ40" s="33">
        <f t="shared" si="43"/>
        <v>21261539.25</v>
      </c>
      <c r="BA40" s="33">
        <f t="shared" si="43"/>
        <v>108609995.86</v>
      </c>
      <c r="BB40" s="33">
        <f t="shared" si="43"/>
        <v>94004327.269999996</v>
      </c>
      <c r="BC40" s="33">
        <f t="shared" si="43"/>
        <v>67862554.450000003</v>
      </c>
      <c r="BD40" s="33">
        <f t="shared" si="43"/>
        <v>28974955.960000001</v>
      </c>
      <c r="BE40" s="33">
        <f t="shared" si="43"/>
        <v>132468882.01000001</v>
      </c>
      <c r="BF40" s="33">
        <f t="shared" si="43"/>
        <v>93637200.370000005</v>
      </c>
      <c r="BG40" s="33">
        <f t="shared" si="43"/>
        <v>65867600.789999999</v>
      </c>
      <c r="BH40" s="33">
        <f t="shared" si="43"/>
        <v>32955130.91</v>
      </c>
      <c r="BI40" s="33">
        <f t="shared" si="43"/>
        <v>155946328.93000001</v>
      </c>
      <c r="BJ40" s="33">
        <f t="shared" si="43"/>
        <v>108366137.34</v>
      </c>
      <c r="BK40" s="33">
        <f t="shared" si="43"/>
        <v>68867283.900000006</v>
      </c>
      <c r="BL40" s="33">
        <f t="shared" si="43"/>
        <v>28006866.879999999</v>
      </c>
      <c r="BM40" s="33">
        <f t="shared" si="43"/>
        <v>143668257.24000001</v>
      </c>
      <c r="BN40" s="33">
        <f t="shared" si="43"/>
        <v>98765977.599999994</v>
      </c>
      <c r="BO40" s="33">
        <f t="shared" ref="BO40:CJ40" si="44">BO60</f>
        <v>64164786.920000002</v>
      </c>
      <c r="BP40" s="33">
        <f t="shared" si="44"/>
        <v>25321619.559999999</v>
      </c>
      <c r="BQ40" s="33">
        <f t="shared" si="44"/>
        <v>113460021.93000001</v>
      </c>
      <c r="BR40" s="33">
        <f t="shared" si="44"/>
        <v>52431401.840000004</v>
      </c>
      <c r="BS40" s="33">
        <f t="shared" si="44"/>
        <v>100791733.87</v>
      </c>
      <c r="BT40" s="33">
        <f t="shared" si="44"/>
        <v>47229977.799999997</v>
      </c>
      <c r="BU40" s="33">
        <f t="shared" si="44"/>
        <v>97455708.069999993</v>
      </c>
      <c r="BV40" s="33">
        <f t="shared" si="44"/>
        <v>39232814.829999998</v>
      </c>
      <c r="BW40" s="33">
        <f t="shared" si="44"/>
        <v>2796995.65</v>
      </c>
      <c r="BX40" s="33">
        <f t="shared" si="44"/>
        <v>0</v>
      </c>
      <c r="BY40" s="33">
        <f t="shared" si="44"/>
        <v>8176697.29</v>
      </c>
      <c r="BZ40" s="33">
        <f t="shared" si="44"/>
        <v>1624615.5</v>
      </c>
      <c r="CA40" s="33">
        <f t="shared" si="44"/>
        <v>1799885.61</v>
      </c>
      <c r="CB40" s="33">
        <f t="shared" si="44"/>
        <v>9698012.9700000007</v>
      </c>
      <c r="CC40" s="33">
        <f t="shared" si="44"/>
        <v>28336126.850000001</v>
      </c>
      <c r="CD40" s="33">
        <f t="shared" si="44"/>
        <v>19730000</v>
      </c>
      <c r="CE40" s="33">
        <f t="shared" si="44"/>
        <v>27810000</v>
      </c>
      <c r="CF40" s="33">
        <f t="shared" si="44"/>
        <v>16447145.279999999</v>
      </c>
      <c r="CG40" s="33">
        <f t="shared" si="44"/>
        <v>4330000</v>
      </c>
      <c r="CH40" s="33">
        <f t="shared" si="44"/>
        <v>4220000</v>
      </c>
      <c r="CI40" s="33">
        <f t="shared" si="44"/>
        <v>12510000</v>
      </c>
      <c r="CJ40" s="33">
        <f t="shared" si="44"/>
        <v>3630000</v>
      </c>
    </row>
    <row r="41" spans="1:89" s="4" customFormat="1">
      <c r="A41" s="26" t="s">
        <v>143</v>
      </c>
      <c r="B41" s="39">
        <f>B40/B38</f>
        <v>9.0954859395040305E-2</v>
      </c>
      <c r="C41" s="39">
        <f t="shared" ref="C41:BN41" si="45">C40/C38</f>
        <v>0.10524216187810696</v>
      </c>
      <c r="D41" s="39">
        <f t="shared" si="45"/>
        <v>0.13053960245094653</v>
      </c>
      <c r="E41" s="39">
        <f t="shared" si="45"/>
        <v>0.13165198347993173</v>
      </c>
      <c r="F41" s="39">
        <f t="shared" si="45"/>
        <v>0.12108202886259374</v>
      </c>
      <c r="G41" s="39">
        <f t="shared" si="45"/>
        <v>0.11176653926403259</v>
      </c>
      <c r="H41" s="39">
        <f t="shared" si="45"/>
        <v>0.12473616516320012</v>
      </c>
      <c r="I41" s="39">
        <f t="shared" si="45"/>
        <v>0.12445776680380616</v>
      </c>
      <c r="J41" s="39">
        <f t="shared" si="45"/>
        <v>0.11502642868116948</v>
      </c>
      <c r="K41" s="39">
        <f t="shared" si="45"/>
        <v>0.10359346549595806</v>
      </c>
      <c r="L41" s="39">
        <f t="shared" si="45"/>
        <v>-0.14768287552056561</v>
      </c>
      <c r="M41" s="39">
        <f t="shared" si="45"/>
        <v>-0.40369423105544594</v>
      </c>
      <c r="N41" s="39">
        <f t="shared" si="45"/>
        <v>-0.5003979343500452</v>
      </c>
      <c r="O41" s="39">
        <f t="shared" si="45"/>
        <v>-0.16128786033645937</v>
      </c>
      <c r="P41" s="39">
        <f t="shared" si="45"/>
        <v>-0.12777808255984394</v>
      </c>
      <c r="Q41" s="39">
        <f t="shared" si="45"/>
        <v>-0.13636219305575498</v>
      </c>
      <c r="R41" s="39">
        <f t="shared" si="45"/>
        <v>-0.1602982871789054</v>
      </c>
      <c r="S41" s="39">
        <f t="shared" si="45"/>
        <v>-0.13911898920017374</v>
      </c>
      <c r="T41" s="39">
        <f t="shared" si="45"/>
        <v>-0.10554305948805097</v>
      </c>
      <c r="U41" s="39">
        <f t="shared" si="45"/>
        <v>-0.11216893375157527</v>
      </c>
      <c r="V41" s="39">
        <f t="shared" si="45"/>
        <v>-0.11537077942772671</v>
      </c>
      <c r="W41" s="39">
        <f t="shared" si="45"/>
        <v>-8.7849333762480442E-2</v>
      </c>
      <c r="X41" s="39">
        <f t="shared" si="45"/>
        <v>-9.853953360467417E-2</v>
      </c>
      <c r="Y41" s="39">
        <f t="shared" si="45"/>
        <v>-0.2020706407295072</v>
      </c>
      <c r="Z41" s="39">
        <f t="shared" si="45"/>
        <v>-0.11913019110625091</v>
      </c>
      <c r="AA41" s="39">
        <f t="shared" si="45"/>
        <v>-0.19088005674384248</v>
      </c>
      <c r="AB41" s="39">
        <f t="shared" si="45"/>
        <v>-0.22124349565799217</v>
      </c>
      <c r="AC41" s="39">
        <f t="shared" si="45"/>
        <v>-0.11655530131723768</v>
      </c>
      <c r="AD41" s="39">
        <f t="shared" si="45"/>
        <v>-0.14643087619522455</v>
      </c>
      <c r="AE41" s="39">
        <f t="shared" si="45"/>
        <v>-0.15064390706601161</v>
      </c>
      <c r="AF41" s="39">
        <f t="shared" si="45"/>
        <v>-0.15529433051194949</v>
      </c>
      <c r="AG41" s="39">
        <f t="shared" si="45"/>
        <v>-0.12363008084176767</v>
      </c>
      <c r="AH41" s="39">
        <f t="shared" si="45"/>
        <v>-0.13562595865642546</v>
      </c>
      <c r="AI41" s="39">
        <f t="shared" si="45"/>
        <v>-0.1396054093119718</v>
      </c>
      <c r="AJ41" s="39">
        <f t="shared" si="45"/>
        <v>-0.14423762719024172</v>
      </c>
      <c r="AK41" s="39">
        <f t="shared" si="45"/>
        <v>-0.12357584078462368</v>
      </c>
      <c r="AL41" s="39">
        <f t="shared" si="45"/>
        <v>-0.15549310419160731</v>
      </c>
      <c r="AM41" s="39">
        <f t="shared" si="45"/>
        <v>-0.16491350178236167</v>
      </c>
      <c r="AN41" s="39">
        <f t="shared" si="45"/>
        <v>-0.15150832588905733</v>
      </c>
      <c r="AO41" s="39">
        <f t="shared" si="45"/>
        <v>-0.18298487926620216</v>
      </c>
      <c r="AP41" s="39">
        <f t="shared" si="45"/>
        <v>-0.21547811738785128</v>
      </c>
      <c r="AQ41" s="39">
        <f t="shared" si="45"/>
        <v>-0.23734219074793098</v>
      </c>
      <c r="AR41" s="39">
        <f t="shared" si="45"/>
        <v>-0.22162110973884891</v>
      </c>
      <c r="AS41" s="39">
        <f t="shared" si="45"/>
        <v>-0.15886339737057389</v>
      </c>
      <c r="AT41" s="39">
        <f t="shared" si="45"/>
        <v>-0.24221315376353289</v>
      </c>
      <c r="AU41" s="39">
        <f t="shared" si="45"/>
        <v>-0.24059333273683367</v>
      </c>
      <c r="AV41" s="39">
        <f t="shared" si="45"/>
        <v>-0.17000515378179587</v>
      </c>
      <c r="AW41" s="39">
        <f t="shared" si="45"/>
        <v>-0.13798934887912431</v>
      </c>
      <c r="AX41" s="39">
        <f t="shared" si="45"/>
        <v>-0.1232527604759405</v>
      </c>
      <c r="AY41" s="39">
        <f t="shared" si="45"/>
        <v>-0.10855339319621821</v>
      </c>
      <c r="AZ41" s="39">
        <f t="shared" si="45"/>
        <v>-0.11943938329484823</v>
      </c>
      <c r="BA41" s="39">
        <f t="shared" si="45"/>
        <v>-0.11382487282558827</v>
      </c>
      <c r="BB41" s="39">
        <f t="shared" si="45"/>
        <v>-0.1328764685408905</v>
      </c>
      <c r="BC41" s="39">
        <f t="shared" si="45"/>
        <v>-0.14827806737043214</v>
      </c>
      <c r="BD41" s="39">
        <f t="shared" si="45"/>
        <v>-0.15472030135363435</v>
      </c>
      <c r="BE41" s="39">
        <f t="shared" si="45"/>
        <v>-0.14416044939371486</v>
      </c>
      <c r="BF41" s="39">
        <f t="shared" si="45"/>
        <v>-0.16252543672487488</v>
      </c>
      <c r="BG41" s="39">
        <f t="shared" si="45"/>
        <v>-0.18019792464976753</v>
      </c>
      <c r="BH41" s="39">
        <f t="shared" si="45"/>
        <v>-0.17871743812408453</v>
      </c>
      <c r="BI41" s="39">
        <f t="shared" si="45"/>
        <v>-0.25177770018079965</v>
      </c>
      <c r="BJ41" s="39">
        <f t="shared" si="45"/>
        <v>-0.23032834984839667</v>
      </c>
      <c r="BK41" s="39">
        <f t="shared" si="45"/>
        <v>-0.24702454118216044</v>
      </c>
      <c r="BL41" s="39">
        <f t="shared" si="45"/>
        <v>-0.16240727581304093</v>
      </c>
      <c r="BM41" s="39">
        <f t="shared" si="45"/>
        <v>-0.16512491056860487</v>
      </c>
      <c r="BN41" s="39">
        <f t="shared" si="45"/>
        <v>-0.1816230904432862</v>
      </c>
      <c r="BO41" s="39">
        <f t="shared" ref="BO41:CJ41" si="46">BO40/BO38</f>
        <v>-0.19058030994128924</v>
      </c>
      <c r="BP41" s="39">
        <f t="shared" si="46"/>
        <v>-0.18517316363983807</v>
      </c>
      <c r="BQ41" s="39">
        <f t="shared" si="46"/>
        <v>-0.16536771908441092</v>
      </c>
      <c r="BR41" s="39">
        <f t="shared" si="46"/>
        <v>-0.19718878491141506</v>
      </c>
      <c r="BS41" s="39">
        <f t="shared" si="46"/>
        <v>-0.14538903763765762</v>
      </c>
      <c r="BT41" s="39">
        <f t="shared" si="46"/>
        <v>-0.22787552138347875</v>
      </c>
      <c r="BU41" s="39">
        <f t="shared" si="46"/>
        <v>-0.17530238721310978</v>
      </c>
      <c r="BV41" s="39">
        <f t="shared" si="46"/>
        <v>-0.16592985167496671</v>
      </c>
      <c r="BW41" s="39">
        <f t="shared" si="46"/>
        <v>-9.2954006953489585E-2</v>
      </c>
      <c r="BX41" s="39">
        <f t="shared" si="46"/>
        <v>0</v>
      </c>
      <c r="BY41" s="39">
        <f t="shared" si="46"/>
        <v>-8.7022905431402009E-2</v>
      </c>
      <c r="BZ41" s="39">
        <f t="shared" si="46"/>
        <v>0.7736264285714286</v>
      </c>
      <c r="CA41" s="39">
        <f t="shared" si="46"/>
        <v>-8.2086501506681009E-3</v>
      </c>
      <c r="CB41" s="39">
        <f t="shared" si="46"/>
        <v>3.1966168493593825</v>
      </c>
      <c r="CC41" s="39">
        <f t="shared" si="46"/>
        <v>-0.13414016562726871</v>
      </c>
      <c r="CD41" s="39">
        <f t="shared" si="46"/>
        <v>3.4075993091537131</v>
      </c>
      <c r="CE41" s="39">
        <f t="shared" si="46"/>
        <v>3.5981368870487773</v>
      </c>
      <c r="CF41" s="39">
        <f t="shared" si="46"/>
        <v>-1.9869934925202963</v>
      </c>
      <c r="CG41" s="39">
        <f t="shared" si="46"/>
        <v>-9.4212358572671892E-2</v>
      </c>
      <c r="CH41" s="39">
        <f t="shared" si="46"/>
        <v>-5.9128485357993553E-2</v>
      </c>
      <c r="CI41" s="39">
        <f t="shared" si="46"/>
        <v>-0.23747152619589978</v>
      </c>
      <c r="CJ41" s="39">
        <f t="shared" si="46"/>
        <v>-0.10476190476190476</v>
      </c>
    </row>
    <row r="42" spans="1:89" s="2" customFormat="1">
      <c r="A42" s="26" t="s">
        <v>144</v>
      </c>
      <c r="B42" s="35">
        <f>B38-B40</f>
        <v>2275322501.9599986</v>
      </c>
      <c r="C42" s="35">
        <f t="shared" ref="C42:BN42" si="47">C38-C40</f>
        <v>1086207306.9600012</v>
      </c>
      <c r="D42" s="35">
        <f t="shared" si="47"/>
        <v>394475597.58000034</v>
      </c>
      <c r="E42" s="35">
        <f t="shared" si="47"/>
        <v>2241957914.309999</v>
      </c>
      <c r="F42" s="35">
        <f t="shared" si="47"/>
        <v>1747402630.1999998</v>
      </c>
      <c r="G42" s="35">
        <f t="shared" si="47"/>
        <v>1054382394.6699995</v>
      </c>
      <c r="H42" s="35">
        <f t="shared" si="47"/>
        <v>400512723.04999983</v>
      </c>
      <c r="I42" s="35">
        <f t="shared" si="47"/>
        <v>2420829279.2799988</v>
      </c>
      <c r="J42" s="35">
        <f t="shared" si="47"/>
        <v>1819229392.2900007</v>
      </c>
      <c r="K42" s="35">
        <f t="shared" si="47"/>
        <v>1138066593.8999996</v>
      </c>
      <c r="L42" s="35">
        <f t="shared" si="47"/>
        <v>-445550474.40000004</v>
      </c>
      <c r="M42" s="35">
        <f t="shared" si="47"/>
        <v>-1371661849.3800006</v>
      </c>
      <c r="N42" s="35">
        <f t="shared" si="47"/>
        <v>-711847427.16000021</v>
      </c>
      <c r="O42" s="35">
        <f t="shared" si="47"/>
        <v>-1033180796.6599998</v>
      </c>
      <c r="P42" s="35">
        <f t="shared" si="47"/>
        <v>-530407784.32000011</v>
      </c>
      <c r="Q42" s="35">
        <f t="shared" si="47"/>
        <v>-2724334801.2199998</v>
      </c>
      <c r="R42" s="35">
        <f t="shared" si="47"/>
        <v>-1880672735.6499996</v>
      </c>
      <c r="S42" s="35">
        <f t="shared" si="47"/>
        <v>-1246985019.5300002</v>
      </c>
      <c r="T42" s="35">
        <f t="shared" si="47"/>
        <v>-553191092.2900002</v>
      </c>
      <c r="U42" s="35">
        <f t="shared" si="47"/>
        <v>-2424850415.21</v>
      </c>
      <c r="V42" s="35">
        <f t="shared" si="47"/>
        <v>-1707299418.02</v>
      </c>
      <c r="W42" s="35">
        <f t="shared" si="47"/>
        <v>-1178738337.6199996</v>
      </c>
      <c r="X42" s="35">
        <f t="shared" si="47"/>
        <v>-514022123.67999995</v>
      </c>
      <c r="Y42" s="35">
        <f t="shared" si="47"/>
        <v>-2167216725.4000006</v>
      </c>
      <c r="Z42" s="35">
        <f t="shared" si="47"/>
        <v>-1542761551.5700002</v>
      </c>
      <c r="AA42" s="35">
        <f t="shared" si="47"/>
        <v>-578805277.1400001</v>
      </c>
      <c r="AB42" s="35">
        <f t="shared" si="47"/>
        <v>-231101360.94000003</v>
      </c>
      <c r="AC42" s="35">
        <f t="shared" si="47"/>
        <v>-1664211327.75</v>
      </c>
      <c r="AD42" s="35">
        <f t="shared" si="47"/>
        <v>-1191240267.2199996</v>
      </c>
      <c r="AE42" s="35">
        <f t="shared" si="47"/>
        <v>-719915789.43999982</v>
      </c>
      <c r="AF42" s="35">
        <f t="shared" si="47"/>
        <v>-342195412.5200001</v>
      </c>
      <c r="AG42" s="35">
        <f t="shared" si="47"/>
        <v>-1468987354.8199999</v>
      </c>
      <c r="AH42" s="35">
        <f t="shared" si="47"/>
        <v>-1022497117.5899996</v>
      </c>
      <c r="AI42" s="35">
        <f t="shared" si="47"/>
        <v>-659898598.25999999</v>
      </c>
      <c r="AJ42" s="35">
        <f t="shared" si="47"/>
        <v>-283126672.06</v>
      </c>
      <c r="AK42" s="35">
        <f t="shared" si="47"/>
        <v>-1234167941.8300004</v>
      </c>
      <c r="AL42" s="35">
        <f t="shared" si="47"/>
        <v>-759719656.56000006</v>
      </c>
      <c r="AM42" s="35">
        <f t="shared" si="47"/>
        <v>-470631176.68999982</v>
      </c>
      <c r="AN42" s="35">
        <f t="shared" si="47"/>
        <v>-247164712.58000001</v>
      </c>
      <c r="AO42" s="35">
        <f t="shared" si="47"/>
        <v>-991174144.66999996</v>
      </c>
      <c r="AP42" s="35">
        <f t="shared" si="47"/>
        <v>-798521853.35000002</v>
      </c>
      <c r="AQ42" s="35">
        <f t="shared" si="47"/>
        <v>-518506253.83999991</v>
      </c>
      <c r="AR42" s="35">
        <f t="shared" si="47"/>
        <v>-242687935.32000005</v>
      </c>
      <c r="AS42" s="35">
        <f t="shared" si="47"/>
        <v>-1016031954.9299999</v>
      </c>
      <c r="AT42" s="35">
        <f t="shared" si="47"/>
        <v>-679103872.44000006</v>
      </c>
      <c r="AU42" s="35">
        <f t="shared" si="47"/>
        <v>-434955689.18000007</v>
      </c>
      <c r="AV42" s="35">
        <f t="shared" si="47"/>
        <v>-204058604.96000004</v>
      </c>
      <c r="AW42" s="35">
        <f t="shared" si="47"/>
        <v>-924974189.2299999</v>
      </c>
      <c r="AX42" s="35">
        <f t="shared" si="47"/>
        <v>-620910294.5999999</v>
      </c>
      <c r="AY42" s="35">
        <f t="shared" si="47"/>
        <v>-422337638.20999998</v>
      </c>
      <c r="AZ42" s="35">
        <f t="shared" si="47"/>
        <v>-199272666.43000004</v>
      </c>
      <c r="BA42" s="35">
        <f t="shared" si="47"/>
        <v>-1062795080.0500001</v>
      </c>
      <c r="BB42" s="35">
        <f t="shared" si="47"/>
        <v>-801460871.70000005</v>
      </c>
      <c r="BC42" s="35">
        <f t="shared" si="47"/>
        <v>-525533440.32999998</v>
      </c>
      <c r="BD42" s="35">
        <f t="shared" si="47"/>
        <v>-216248091.46000001</v>
      </c>
      <c r="BE42" s="35">
        <f t="shared" si="47"/>
        <v>-1051367807.2500001</v>
      </c>
      <c r="BF42" s="35">
        <f t="shared" si="47"/>
        <v>-669775940.60000014</v>
      </c>
      <c r="BG42" s="35">
        <f t="shared" si="47"/>
        <v>-431396787.19999999</v>
      </c>
      <c r="BH42" s="35">
        <f t="shared" si="47"/>
        <v>-217353090.37</v>
      </c>
      <c r="BI42" s="35">
        <f t="shared" si="47"/>
        <v>-775327349.63999987</v>
      </c>
      <c r="BJ42" s="35">
        <f t="shared" si="47"/>
        <v>-578851587.39999986</v>
      </c>
      <c r="BK42" s="35">
        <f t="shared" si="47"/>
        <v>-347654499.00999999</v>
      </c>
      <c r="BL42" s="35">
        <f t="shared" si="47"/>
        <v>-200455217.72999999</v>
      </c>
      <c r="BM42" s="35">
        <f t="shared" si="47"/>
        <v>-1013726304.4800001</v>
      </c>
      <c r="BN42" s="35">
        <f t="shared" si="47"/>
        <v>-642562349.30000007</v>
      </c>
      <c r="BO42" s="35">
        <f t="shared" ref="BO42:CK42" si="48">BO38-BO40</f>
        <v>-400845879.20999998</v>
      </c>
      <c r="BP42" s="35">
        <f t="shared" si="48"/>
        <v>-162067242.21000001</v>
      </c>
      <c r="BQ42" s="35">
        <f t="shared" si="48"/>
        <v>-799567459.09000015</v>
      </c>
      <c r="BR42" s="35">
        <f t="shared" si="48"/>
        <v>-318325843.37</v>
      </c>
      <c r="BS42" s="35">
        <f t="shared" si="48"/>
        <v>-794047123.05000007</v>
      </c>
      <c r="BT42" s="35">
        <f t="shared" si="48"/>
        <v>-254492159.86000001</v>
      </c>
      <c r="BU42" s="35">
        <f t="shared" si="48"/>
        <v>-653384863.50999999</v>
      </c>
      <c r="BV42" s="35">
        <f t="shared" si="48"/>
        <v>-275674988.63999999</v>
      </c>
      <c r="BW42" s="35">
        <f t="shared" si="48"/>
        <v>-32887098.720000014</v>
      </c>
      <c r="BX42" s="35">
        <f t="shared" si="48"/>
        <v>-69500887.090000004</v>
      </c>
      <c r="BY42" s="35">
        <f t="shared" si="48"/>
        <v>-102136985.67</v>
      </c>
      <c r="BZ42" s="35">
        <f t="shared" si="48"/>
        <v>475384.5</v>
      </c>
      <c r="CA42" s="35">
        <f t="shared" si="48"/>
        <v>-221066826.82000002</v>
      </c>
      <c r="CB42" s="35">
        <f t="shared" si="48"/>
        <v>-6664176.4400000013</v>
      </c>
      <c r="CC42" s="35">
        <f t="shared" si="48"/>
        <v>-239578797.65999997</v>
      </c>
      <c r="CD42" s="35">
        <f t="shared" si="48"/>
        <v>-13940000</v>
      </c>
      <c r="CE42" s="35">
        <f t="shared" si="48"/>
        <v>-20081000</v>
      </c>
      <c r="CF42" s="35">
        <f t="shared" si="48"/>
        <v>-24724547.969999999</v>
      </c>
      <c r="CG42" s="35">
        <f t="shared" si="48"/>
        <v>-50290000</v>
      </c>
      <c r="CH42" s="35">
        <f t="shared" si="48"/>
        <v>-75590000</v>
      </c>
      <c r="CI42" s="35">
        <f t="shared" si="48"/>
        <v>-65190000</v>
      </c>
      <c r="CJ42" s="35">
        <f t="shared" si="48"/>
        <v>-38280000</v>
      </c>
      <c r="CK42" s="35">
        <f t="shared" si="48"/>
        <v>0</v>
      </c>
    </row>
    <row r="43" spans="1:89" s="4" customFormat="1">
      <c r="A43" s="26" t="s">
        <v>145</v>
      </c>
      <c r="B43" s="34">
        <f>B42/B4*100</f>
        <v>14.301368931705541</v>
      </c>
      <c r="C43" s="34">
        <f t="shared" ref="C43:BN43" si="49">C42/C4*100</f>
        <v>10.537075046869782</v>
      </c>
      <c r="D43" s="34">
        <f t="shared" si="49"/>
        <v>9.9073195436990495</v>
      </c>
      <c r="E43" s="34">
        <f t="shared" si="49"/>
        <v>11.514257388756903</v>
      </c>
      <c r="F43" s="34">
        <f t="shared" si="49"/>
        <v>11.892328901580532</v>
      </c>
      <c r="G43" s="34">
        <f t="shared" si="49"/>
        <v>10.968046651678581</v>
      </c>
      <c r="H43" s="34">
        <f t="shared" si="49"/>
        <v>10.554952551609121</v>
      </c>
      <c r="I43" s="34">
        <f t="shared" si="49"/>
        <v>12.782546906788692</v>
      </c>
      <c r="J43" s="34">
        <f t="shared" si="49"/>
        <v>12.794849483283125</v>
      </c>
      <c r="K43" s="34">
        <f t="shared" si="49"/>
        <v>12.275136437188516</v>
      </c>
      <c r="L43" s="34">
        <f t="shared" si="49"/>
        <v>-11.801536559258849</v>
      </c>
      <c r="M43" s="34">
        <f t="shared" si="49"/>
        <v>-7.1087009148218501</v>
      </c>
      <c r="N43" s="34">
        <f t="shared" si="49"/>
        <v>-4.8250067771630638</v>
      </c>
      <c r="O43" s="34">
        <f t="shared" si="49"/>
        <v>-10.511023226326836</v>
      </c>
      <c r="P43" s="34">
        <f t="shared" si="49"/>
        <v>-12.776921401999667</v>
      </c>
      <c r="Q43" s="34">
        <f t="shared" si="49"/>
        <v>-13.111042671476577</v>
      </c>
      <c r="R43" s="34">
        <f t="shared" si="49"/>
        <v>-12.074803234794361</v>
      </c>
      <c r="S43" s="34">
        <f t="shared" si="49"/>
        <v>-12.30215140404459</v>
      </c>
      <c r="T43" s="34">
        <f t="shared" si="49"/>
        <v>-13.383956847420009</v>
      </c>
      <c r="U43" s="34">
        <f t="shared" si="49"/>
        <v>-12.180846068264902</v>
      </c>
      <c r="V43" s="34">
        <f t="shared" si="49"/>
        <v>-11.678817451651083</v>
      </c>
      <c r="W43" s="34">
        <f t="shared" si="49"/>
        <v>-12.564443935288983</v>
      </c>
      <c r="X43" s="34">
        <f t="shared" si="49"/>
        <v>-13.234815216523751</v>
      </c>
      <c r="Y43" s="34">
        <f t="shared" si="49"/>
        <v>-12.21431596784873</v>
      </c>
      <c r="Z43" s="34">
        <f t="shared" si="49"/>
        <v>-11.466820499891467</v>
      </c>
      <c r="AA43" s="34">
        <f t="shared" si="49"/>
        <v>-8.0433452890316453</v>
      </c>
      <c r="AB43" s="34">
        <f t="shared" si="49"/>
        <v>-7.224511732649824</v>
      </c>
      <c r="AC43" s="34">
        <f t="shared" si="49"/>
        <v>-11.475436713566435</v>
      </c>
      <c r="AD43" s="34">
        <f t="shared" si="49"/>
        <v>-10.420611185621192</v>
      </c>
      <c r="AE43" s="34">
        <f t="shared" si="49"/>
        <v>-9.7734621874177545</v>
      </c>
      <c r="AF43" s="34">
        <f t="shared" si="49"/>
        <v>-10.599907431506425</v>
      </c>
      <c r="AG43" s="34">
        <f t="shared" si="49"/>
        <v>-11.078353695282638</v>
      </c>
      <c r="AH43" s="34">
        <f t="shared" si="49"/>
        <v>-10.493120342639726</v>
      </c>
      <c r="AI43" s="34">
        <f t="shared" si="49"/>
        <v>-10.456495329029774</v>
      </c>
      <c r="AJ43" s="34">
        <f t="shared" si="49"/>
        <v>-10.336522303220297</v>
      </c>
      <c r="AK43" s="34">
        <f t="shared" si="49"/>
        <v>-11.233765763492643</v>
      </c>
      <c r="AL43" s="34">
        <f t="shared" si="49"/>
        <v>-9.418528992575661</v>
      </c>
      <c r="AM43" s="34">
        <f t="shared" si="49"/>
        <v>-9.0843162748408073</v>
      </c>
      <c r="AN43" s="34">
        <f t="shared" si="49"/>
        <v>-10.542433592605848</v>
      </c>
      <c r="AO43" s="34">
        <f t="shared" si="49"/>
        <v>-9.4872958719690104</v>
      </c>
      <c r="AP43" s="34">
        <f t="shared" si="49"/>
        <v>-10.08372349123141</v>
      </c>
      <c r="AQ43" s="34">
        <f t="shared" si="49"/>
        <v>-9.9871769986594927</v>
      </c>
      <c r="AR43" s="34">
        <f t="shared" si="49"/>
        <v>-10.476530757990128</v>
      </c>
      <c r="AS43" s="34">
        <f t="shared" si="49"/>
        <v>-11.060425246633034</v>
      </c>
      <c r="AT43" s="34">
        <f t="shared" si="49"/>
        <v>-10.185574198201037</v>
      </c>
      <c r="AU43" s="34">
        <f t="shared" si="49"/>
        <v>-10.329649574892748</v>
      </c>
      <c r="AV43" s="34">
        <f t="shared" si="49"/>
        <v>-10.776872729169687</v>
      </c>
      <c r="AW43" s="34">
        <f t="shared" si="49"/>
        <v>-12.694837219707559</v>
      </c>
      <c r="AX43" s="34">
        <f t="shared" si="49"/>
        <v>-11.836083680820652</v>
      </c>
      <c r="AY43" s="34">
        <f t="shared" si="49"/>
        <v>-12.340019987511596</v>
      </c>
      <c r="AZ43" s="34">
        <f t="shared" si="49"/>
        <v>-12.795340241784119</v>
      </c>
      <c r="BA43" s="34">
        <f t="shared" si="49"/>
        <v>-15.557196903675782</v>
      </c>
      <c r="BB43" s="34">
        <f t="shared" si="49"/>
        <v>-15.841267710496568</v>
      </c>
      <c r="BC43" s="34">
        <f t="shared" si="49"/>
        <v>-15.655489107308673</v>
      </c>
      <c r="BD43" s="34">
        <f t="shared" si="49"/>
        <v>-14.125035536694478</v>
      </c>
      <c r="BE43" s="34">
        <f t="shared" si="49"/>
        <v>-16.03849592956891</v>
      </c>
      <c r="BF43" s="34">
        <f t="shared" si="49"/>
        <v>-13.946726622415461</v>
      </c>
      <c r="BG43" s="34">
        <f t="shared" si="49"/>
        <v>-13.071031323227972</v>
      </c>
      <c r="BH43" s="34">
        <f t="shared" si="49"/>
        <v>-13.587724786947971</v>
      </c>
      <c r="BI43" s="34">
        <f t="shared" si="49"/>
        <v>-13.945401711340166</v>
      </c>
      <c r="BJ43" s="34">
        <f t="shared" si="49"/>
        <v>-14.210741478048694</v>
      </c>
      <c r="BK43" s="34">
        <f t="shared" si="49"/>
        <v>-13.042477699954752</v>
      </c>
      <c r="BL43" s="34">
        <f t="shared" si="49"/>
        <v>-15.995685567668358</v>
      </c>
      <c r="BM43" s="34">
        <f t="shared" si="49"/>
        <v>-22.686881479599034</v>
      </c>
      <c r="BN43" s="34">
        <f t="shared" si="49"/>
        <v>-18.789076990716943</v>
      </c>
      <c r="BO43" s="34">
        <f t="shared" ref="BO43:CK43" si="50">BO42/BO4*100</f>
        <v>-17.507639792656949</v>
      </c>
      <c r="BP43" s="34">
        <f t="shared" si="50"/>
        <v>-15.250020876076059</v>
      </c>
      <c r="BQ43" s="34">
        <f t="shared" si="50"/>
        <v>-20.796239072599182</v>
      </c>
      <c r="BR43" s="34">
        <f t="shared" si="50"/>
        <v>-16.854436471255969</v>
      </c>
      <c r="BS43" s="34">
        <f t="shared" si="50"/>
        <v>-21.9081616231</v>
      </c>
      <c r="BT43" s="34">
        <f t="shared" si="50"/>
        <v>-14.460825714065384</v>
      </c>
      <c r="BU43" s="34">
        <f t="shared" si="50"/>
        <v>-18.651264741813844</v>
      </c>
      <c r="BV43" s="34">
        <f t="shared" si="50"/>
        <v>-16.799521696461913</v>
      </c>
      <c r="BW43" s="34">
        <f t="shared" si="50"/>
        <v>-7.4016189562981838</v>
      </c>
      <c r="BX43" s="34">
        <f t="shared" si="50"/>
        <v>-34.390755639065041</v>
      </c>
      <c r="BY43" s="34">
        <f t="shared" si="50"/>
        <v>-11.115277655749239</v>
      </c>
      <c r="BZ43" s="34">
        <f t="shared" si="50"/>
        <v>0.12082092728941449</v>
      </c>
      <c r="CA43" s="34">
        <f t="shared" si="50"/>
        <v>-16.36566884810275</v>
      </c>
      <c r="CB43" s="34">
        <f t="shared" si="50"/>
        <v>-0.69921369412804391</v>
      </c>
      <c r="CC43" s="34">
        <f t="shared" si="50"/>
        <v>-12.448428298656376</v>
      </c>
      <c r="CD43" s="34">
        <f t="shared" si="50"/>
        <v>-1.2676414957078421</v>
      </c>
      <c r="CE43" s="34">
        <f t="shared" si="50"/>
        <v>-1.4001963524191232</v>
      </c>
      <c r="CF43" s="34">
        <f t="shared" si="50"/>
        <v>-3.2230312714820708</v>
      </c>
      <c r="CG43" s="34">
        <f t="shared" si="50"/>
        <v>-8.5933495095861385</v>
      </c>
      <c r="CH43" s="34">
        <f t="shared" si="50"/>
        <v>-9.7741055380994872</v>
      </c>
      <c r="CI43" s="34">
        <f t="shared" si="50"/>
        <v>-10.333840593494388</v>
      </c>
      <c r="CJ43" s="34">
        <f t="shared" si="50"/>
        <v>-7.0620791439904078</v>
      </c>
      <c r="CK43" s="34" t="e">
        <f t="shared" si="50"/>
        <v>#DIV/0!</v>
      </c>
    </row>
    <row r="44" spans="1:89" s="22" customFormat="1">
      <c r="A44" s="24" t="s">
        <v>146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</row>
    <row r="45" spans="1:89">
      <c r="A45" s="23" t="s">
        <v>147</v>
      </c>
      <c r="B45" s="33">
        <f>B70*B69</f>
        <v>1032361501.1808001</v>
      </c>
      <c r="C45" s="33">
        <f t="shared" ref="C45:BN45" si="51">C70*C69</f>
        <v>977714756.44800007</v>
      </c>
      <c r="D45" s="33">
        <f t="shared" si="51"/>
        <v>1033004982.26</v>
      </c>
      <c r="E45" s="33">
        <f t="shared" si="51"/>
        <v>994447801.84960008</v>
      </c>
      <c r="F45" s="33">
        <f t="shared" si="51"/>
        <v>962379785.1336</v>
      </c>
      <c r="G45" s="33">
        <f t="shared" si="51"/>
        <v>906763132.71679997</v>
      </c>
      <c r="H45" s="33">
        <f t="shared" si="51"/>
        <v>959313708.77520001</v>
      </c>
      <c r="I45" s="33">
        <f t="shared" si="51"/>
        <v>927236977.4167999</v>
      </c>
      <c r="J45" s="33">
        <f t="shared" si="51"/>
        <v>892346501.72320008</v>
      </c>
      <c r="K45" s="33">
        <f t="shared" si="51"/>
        <v>837909296.85600007</v>
      </c>
      <c r="L45" s="33">
        <f t="shared" si="51"/>
        <v>866898806.84880006</v>
      </c>
      <c r="M45" s="33">
        <f t="shared" si="51"/>
        <v>838918831.96640003</v>
      </c>
      <c r="N45" s="33">
        <f t="shared" si="51"/>
        <v>812000184.19520009</v>
      </c>
      <c r="O45" s="33">
        <f t="shared" si="51"/>
        <v>703495326.70160007</v>
      </c>
      <c r="P45" s="33">
        <f t="shared" si="51"/>
        <v>713662698.04399991</v>
      </c>
      <c r="Q45" s="33">
        <f t="shared" si="51"/>
        <v>688952373.16479993</v>
      </c>
      <c r="R45" s="33">
        <f t="shared" si="51"/>
        <v>671447610.30480003</v>
      </c>
      <c r="S45" s="33">
        <f t="shared" si="51"/>
        <v>624988088.29760003</v>
      </c>
      <c r="T45" s="33">
        <f t="shared" si="51"/>
        <v>670872864.50400007</v>
      </c>
      <c r="U45" s="33">
        <f t="shared" si="51"/>
        <v>645346790.176</v>
      </c>
      <c r="V45" s="33">
        <f t="shared" si="51"/>
        <v>611345092.23680007</v>
      </c>
      <c r="W45" s="33">
        <f t="shared" si="51"/>
        <v>557091594.41439998</v>
      </c>
      <c r="X45" s="33">
        <f t="shared" si="51"/>
        <v>587835427.13680005</v>
      </c>
      <c r="Y45" s="33">
        <f t="shared" si="51"/>
        <v>570432031.18160009</v>
      </c>
      <c r="Z45" s="33">
        <f t="shared" si="51"/>
        <v>565999020.76559997</v>
      </c>
      <c r="AA45" s="33">
        <f t="shared" si="51"/>
        <v>633032179.93920004</v>
      </c>
      <c r="AB45" s="33">
        <f t="shared" si="51"/>
        <v>658329094.91040003</v>
      </c>
      <c r="AC45" s="33">
        <f t="shared" si="51"/>
        <v>590258828.92400002</v>
      </c>
      <c r="AD45" s="33">
        <f t="shared" si="51"/>
        <v>621209697.20879996</v>
      </c>
      <c r="AE45" s="33">
        <f t="shared" si="51"/>
        <v>593977657.82720006</v>
      </c>
      <c r="AF45" s="33">
        <f t="shared" si="51"/>
        <v>614763692.0848</v>
      </c>
      <c r="AG45" s="33">
        <f t="shared" si="51"/>
        <v>591549923.2536</v>
      </c>
      <c r="AH45" s="33">
        <f t="shared" si="51"/>
        <v>578832965.24320006</v>
      </c>
      <c r="AI45" s="33">
        <f t="shared" si="51"/>
        <v>557786754.48160005</v>
      </c>
      <c r="AJ45" s="33">
        <f t="shared" si="51"/>
        <v>561615326.23039997</v>
      </c>
      <c r="AK45" s="33">
        <f t="shared" si="51"/>
        <v>541441986.79439998</v>
      </c>
      <c r="AL45" s="33">
        <f t="shared" si="51"/>
        <v>543762465.176</v>
      </c>
      <c r="AM45" s="33">
        <f t="shared" si="51"/>
        <v>510602241.66240001</v>
      </c>
      <c r="AN45" s="33">
        <f t="shared" si="51"/>
        <v>514016236.6688</v>
      </c>
      <c r="AO45" s="33">
        <f t="shared" si="51"/>
        <v>495579428.88080001</v>
      </c>
      <c r="AP45" s="33">
        <f t="shared" si="51"/>
        <v>481442542.52080005</v>
      </c>
      <c r="AQ45" s="33">
        <f t="shared" si="51"/>
        <v>463155905.51760006</v>
      </c>
      <c r="AR45" s="33">
        <f t="shared" si="51"/>
        <v>468512471.48000002</v>
      </c>
      <c r="AS45" s="33">
        <f t="shared" si="51"/>
        <v>452700234.82480001</v>
      </c>
      <c r="AT45" s="33">
        <f t="shared" si="51"/>
        <v>444591774.86400002</v>
      </c>
      <c r="AU45" s="33">
        <f t="shared" si="51"/>
        <v>423534809.7568</v>
      </c>
      <c r="AV45" s="33">
        <f t="shared" si="51"/>
        <v>422144037.27360004</v>
      </c>
      <c r="AW45" s="33">
        <f t="shared" si="51"/>
        <v>414548259.53280002</v>
      </c>
      <c r="AX45" s="33">
        <f t="shared" si="51"/>
        <v>400952932.29360002</v>
      </c>
      <c r="AY45" s="33">
        <f t="shared" si="51"/>
        <v>385622095.35839999</v>
      </c>
      <c r="AZ45" s="33">
        <f t="shared" si="51"/>
        <v>400827048.26480007</v>
      </c>
      <c r="BA45" s="33">
        <f t="shared" si="51"/>
        <v>391624766.44319999</v>
      </c>
      <c r="BB45" s="33">
        <f t="shared" si="51"/>
        <v>391085626.27279997</v>
      </c>
      <c r="BC45" s="33">
        <f t="shared" si="51"/>
        <v>384608117.00480002</v>
      </c>
      <c r="BD45" s="33">
        <f t="shared" si="51"/>
        <v>405505682.19599998</v>
      </c>
      <c r="BE45" s="33">
        <f t="shared" si="51"/>
        <v>394140284.00879997</v>
      </c>
      <c r="BF45" s="33">
        <f t="shared" si="51"/>
        <v>384663963.43519998</v>
      </c>
      <c r="BG45" s="33">
        <f t="shared" si="51"/>
        <v>380111902.24080002</v>
      </c>
      <c r="BH45" s="33">
        <f t="shared" si="51"/>
        <v>384468292.47120005</v>
      </c>
      <c r="BI45" s="33">
        <f t="shared" si="51"/>
        <v>371850693.78240001</v>
      </c>
      <c r="BJ45" s="33">
        <f t="shared" si="51"/>
        <v>359115398.43040001</v>
      </c>
      <c r="BK45" s="33">
        <f t="shared" si="51"/>
        <v>343433082.67519999</v>
      </c>
      <c r="BL45" s="33">
        <f t="shared" si="51"/>
        <v>343247164.32480001</v>
      </c>
      <c r="BM45" s="33">
        <f t="shared" si="51"/>
        <v>336462490.61759996</v>
      </c>
      <c r="BN45" s="33">
        <f t="shared" si="51"/>
        <v>330025608.94400001</v>
      </c>
      <c r="BO45" s="33">
        <f t="shared" ref="BO45:CJ45" si="52">BO70*BO69</f>
        <v>316322237.11119998</v>
      </c>
      <c r="BP45" s="33">
        <f t="shared" si="52"/>
        <v>319078185.42320001</v>
      </c>
      <c r="BQ45" s="33">
        <f t="shared" si="52"/>
        <v>310074333.45279998</v>
      </c>
      <c r="BR45" s="33">
        <f t="shared" si="52"/>
        <v>303629716.34080005</v>
      </c>
      <c r="BS45" s="33">
        <f t="shared" si="52"/>
        <v>287963329.64560002</v>
      </c>
      <c r="BT45" s="33">
        <f t="shared" si="52"/>
        <v>298454620.94400001</v>
      </c>
      <c r="BU45" s="33">
        <f t="shared" si="52"/>
        <v>287845207.57200003</v>
      </c>
      <c r="BV45" s="33">
        <f t="shared" si="52"/>
        <v>175294988.75839999</v>
      </c>
      <c r="BW45" s="33">
        <f t="shared" si="52"/>
        <v>168688702.824</v>
      </c>
      <c r="BX45" s="33">
        <f t="shared" si="52"/>
        <v>98367931.143199995</v>
      </c>
      <c r="BY45" s="33">
        <f t="shared" si="52"/>
        <v>99450876.262400001</v>
      </c>
      <c r="BZ45" s="33">
        <f t="shared" si="52"/>
        <v>93969308.237599999</v>
      </c>
      <c r="CA45" s="33">
        <f t="shared" si="52"/>
        <v>92890717.478400007</v>
      </c>
      <c r="CB45" s="33">
        <f t="shared" si="52"/>
        <v>94696949.00559999</v>
      </c>
      <c r="CC45" s="33">
        <f t="shared" si="52"/>
        <v>86225408.642399997</v>
      </c>
      <c r="CD45" s="33">
        <f t="shared" si="52"/>
        <v>86127779.6664</v>
      </c>
      <c r="CE45" s="33">
        <f t="shared" si="52"/>
        <v>86379040</v>
      </c>
      <c r="CF45" s="33">
        <f t="shared" si="52"/>
        <v>80338268.220799997</v>
      </c>
      <c r="CG45" s="33">
        <f t="shared" si="52"/>
        <v>39415192.029600002</v>
      </c>
      <c r="CH45" s="33">
        <f t="shared" si="52"/>
        <v>0</v>
      </c>
      <c r="CI45" s="33">
        <f t="shared" si="52"/>
        <v>0</v>
      </c>
      <c r="CJ45" s="33">
        <f t="shared" si="52"/>
        <v>0</v>
      </c>
    </row>
    <row r="46" spans="1:89">
      <c r="A46" s="23" t="s">
        <v>148</v>
      </c>
      <c r="B46" s="33">
        <f>B69</f>
        <v>0.08</v>
      </c>
      <c r="C46" s="33">
        <f t="shared" ref="C46:BN46" si="53">C69</f>
        <v>0.08</v>
      </c>
      <c r="D46" s="33">
        <f t="shared" si="53"/>
        <v>0.08</v>
      </c>
      <c r="E46" s="33">
        <f t="shared" si="53"/>
        <v>0.08</v>
      </c>
      <c r="F46" s="33">
        <f t="shared" si="53"/>
        <v>0.08</v>
      </c>
      <c r="G46" s="33">
        <f t="shared" si="53"/>
        <v>0.08</v>
      </c>
      <c r="H46" s="33">
        <f t="shared" si="53"/>
        <v>0.08</v>
      </c>
      <c r="I46" s="33">
        <f t="shared" si="53"/>
        <v>0.08</v>
      </c>
      <c r="J46" s="33">
        <f t="shared" si="53"/>
        <v>0.08</v>
      </c>
      <c r="K46" s="33">
        <f t="shared" si="53"/>
        <v>0.08</v>
      </c>
      <c r="L46" s="33">
        <f t="shared" si="53"/>
        <v>0.08</v>
      </c>
      <c r="M46" s="33">
        <f t="shared" si="53"/>
        <v>0.08</v>
      </c>
      <c r="N46" s="33">
        <f t="shared" si="53"/>
        <v>0.08</v>
      </c>
      <c r="O46" s="33">
        <f t="shared" si="53"/>
        <v>0.08</v>
      </c>
      <c r="P46" s="33">
        <f t="shared" si="53"/>
        <v>0.08</v>
      </c>
      <c r="Q46" s="33">
        <f t="shared" si="53"/>
        <v>0.08</v>
      </c>
      <c r="R46" s="33">
        <f t="shared" si="53"/>
        <v>0.08</v>
      </c>
      <c r="S46" s="33">
        <f t="shared" si="53"/>
        <v>0.08</v>
      </c>
      <c r="T46" s="33">
        <f t="shared" si="53"/>
        <v>0.08</v>
      </c>
      <c r="U46" s="33">
        <f t="shared" si="53"/>
        <v>0.08</v>
      </c>
      <c r="V46" s="33">
        <f t="shared" si="53"/>
        <v>0.08</v>
      </c>
      <c r="W46" s="33">
        <f t="shared" si="53"/>
        <v>0.08</v>
      </c>
      <c r="X46" s="33">
        <f t="shared" si="53"/>
        <v>0.08</v>
      </c>
      <c r="Y46" s="33">
        <f t="shared" si="53"/>
        <v>0.08</v>
      </c>
      <c r="Z46" s="33">
        <f t="shared" si="53"/>
        <v>0.08</v>
      </c>
      <c r="AA46" s="33">
        <f t="shared" si="53"/>
        <v>0.08</v>
      </c>
      <c r="AB46" s="33">
        <f t="shared" si="53"/>
        <v>0.08</v>
      </c>
      <c r="AC46" s="33">
        <f t="shared" si="53"/>
        <v>0.08</v>
      </c>
      <c r="AD46" s="33">
        <f t="shared" si="53"/>
        <v>0.08</v>
      </c>
      <c r="AE46" s="33">
        <f t="shared" si="53"/>
        <v>0.08</v>
      </c>
      <c r="AF46" s="33">
        <f t="shared" si="53"/>
        <v>0.08</v>
      </c>
      <c r="AG46" s="33">
        <f t="shared" si="53"/>
        <v>0.08</v>
      </c>
      <c r="AH46" s="33">
        <f t="shared" si="53"/>
        <v>0.08</v>
      </c>
      <c r="AI46" s="33">
        <f t="shared" si="53"/>
        <v>0.08</v>
      </c>
      <c r="AJ46" s="33">
        <f t="shared" si="53"/>
        <v>0.08</v>
      </c>
      <c r="AK46" s="33">
        <f t="shared" si="53"/>
        <v>0.08</v>
      </c>
      <c r="AL46" s="33">
        <f t="shared" si="53"/>
        <v>0.08</v>
      </c>
      <c r="AM46" s="33">
        <f t="shared" si="53"/>
        <v>0.08</v>
      </c>
      <c r="AN46" s="33">
        <f t="shared" si="53"/>
        <v>0.08</v>
      </c>
      <c r="AO46" s="33">
        <f t="shared" si="53"/>
        <v>0.08</v>
      </c>
      <c r="AP46" s="33">
        <f t="shared" si="53"/>
        <v>0.08</v>
      </c>
      <c r="AQ46" s="33">
        <f t="shared" si="53"/>
        <v>0.08</v>
      </c>
      <c r="AR46" s="33">
        <f t="shared" si="53"/>
        <v>0.08</v>
      </c>
      <c r="AS46" s="33">
        <f t="shared" si="53"/>
        <v>0.08</v>
      </c>
      <c r="AT46" s="33">
        <f t="shared" si="53"/>
        <v>0.08</v>
      </c>
      <c r="AU46" s="33">
        <f t="shared" si="53"/>
        <v>0.08</v>
      </c>
      <c r="AV46" s="33">
        <f t="shared" si="53"/>
        <v>0.08</v>
      </c>
      <c r="AW46" s="33">
        <f t="shared" si="53"/>
        <v>0.08</v>
      </c>
      <c r="AX46" s="33">
        <f t="shared" si="53"/>
        <v>0.08</v>
      </c>
      <c r="AY46" s="33">
        <f t="shared" si="53"/>
        <v>0.08</v>
      </c>
      <c r="AZ46" s="33">
        <f t="shared" si="53"/>
        <v>0.08</v>
      </c>
      <c r="BA46" s="33">
        <f t="shared" si="53"/>
        <v>0.08</v>
      </c>
      <c r="BB46" s="33">
        <f t="shared" si="53"/>
        <v>0.08</v>
      </c>
      <c r="BC46" s="33">
        <f t="shared" si="53"/>
        <v>0.08</v>
      </c>
      <c r="BD46" s="33">
        <f t="shared" si="53"/>
        <v>0.08</v>
      </c>
      <c r="BE46" s="33">
        <f t="shared" si="53"/>
        <v>0.08</v>
      </c>
      <c r="BF46" s="33">
        <f t="shared" si="53"/>
        <v>0.08</v>
      </c>
      <c r="BG46" s="33">
        <f t="shared" si="53"/>
        <v>0.08</v>
      </c>
      <c r="BH46" s="33">
        <f t="shared" si="53"/>
        <v>0.08</v>
      </c>
      <c r="BI46" s="33">
        <f t="shared" si="53"/>
        <v>0.08</v>
      </c>
      <c r="BJ46" s="33">
        <f t="shared" si="53"/>
        <v>0.08</v>
      </c>
      <c r="BK46" s="33">
        <f t="shared" si="53"/>
        <v>0.08</v>
      </c>
      <c r="BL46" s="33">
        <f t="shared" si="53"/>
        <v>0.08</v>
      </c>
      <c r="BM46" s="33">
        <f t="shared" si="53"/>
        <v>0.08</v>
      </c>
      <c r="BN46" s="33">
        <f t="shared" si="53"/>
        <v>0.08</v>
      </c>
      <c r="BO46" s="33">
        <f t="shared" ref="BO46:CJ46" si="54">BO69</f>
        <v>0.08</v>
      </c>
      <c r="BP46" s="33">
        <f t="shared" si="54"/>
        <v>0.08</v>
      </c>
      <c r="BQ46" s="33">
        <f t="shared" si="54"/>
        <v>0.08</v>
      </c>
      <c r="BR46" s="33">
        <f t="shared" si="54"/>
        <v>0.08</v>
      </c>
      <c r="BS46" s="33">
        <f t="shared" si="54"/>
        <v>0.08</v>
      </c>
      <c r="BT46" s="33">
        <f t="shared" si="54"/>
        <v>0.08</v>
      </c>
      <c r="BU46" s="33">
        <f t="shared" si="54"/>
        <v>0.08</v>
      </c>
      <c r="BV46" s="33">
        <f t="shared" si="54"/>
        <v>0.08</v>
      </c>
      <c r="BW46" s="33">
        <f t="shared" si="54"/>
        <v>0.08</v>
      </c>
      <c r="BX46" s="33">
        <f t="shared" si="54"/>
        <v>0.08</v>
      </c>
      <c r="BY46" s="33">
        <f t="shared" si="54"/>
        <v>0.08</v>
      </c>
      <c r="BZ46" s="33">
        <f t="shared" si="54"/>
        <v>0.08</v>
      </c>
      <c r="CA46" s="33">
        <f t="shared" si="54"/>
        <v>0.08</v>
      </c>
      <c r="CB46" s="33">
        <f t="shared" si="54"/>
        <v>0.08</v>
      </c>
      <c r="CC46" s="33">
        <f t="shared" si="54"/>
        <v>0.08</v>
      </c>
      <c r="CD46" s="33">
        <f t="shared" si="54"/>
        <v>0.08</v>
      </c>
      <c r="CE46" s="33">
        <f t="shared" si="54"/>
        <v>0.08</v>
      </c>
      <c r="CF46" s="33">
        <f t="shared" si="54"/>
        <v>0.08</v>
      </c>
      <c r="CG46" s="33">
        <f t="shared" si="54"/>
        <v>0.08</v>
      </c>
      <c r="CH46" s="33">
        <f t="shared" si="54"/>
        <v>0.08</v>
      </c>
      <c r="CI46" s="33">
        <f t="shared" si="54"/>
        <v>0.08</v>
      </c>
      <c r="CJ46" s="33">
        <f t="shared" si="54"/>
        <v>0.08</v>
      </c>
    </row>
    <row r="47" spans="1:89" s="2" customFormat="1">
      <c r="A47" s="26" t="s">
        <v>149</v>
      </c>
      <c r="B47" s="35">
        <f>B42-B45</f>
        <v>1242961000.7791986</v>
      </c>
      <c r="C47" s="35">
        <f t="shared" ref="C47:BN47" si="55">C42-C45</f>
        <v>108492550.51200116</v>
      </c>
      <c r="D47" s="35">
        <f t="shared" si="55"/>
        <v>-638529384.67999959</v>
      </c>
      <c r="E47" s="35">
        <f t="shared" si="55"/>
        <v>1247510112.4603989</v>
      </c>
      <c r="F47" s="35">
        <f t="shared" si="55"/>
        <v>785022845.06639981</v>
      </c>
      <c r="G47" s="35">
        <f t="shared" si="55"/>
        <v>147619261.95319951</v>
      </c>
      <c r="H47" s="35">
        <f t="shared" si="55"/>
        <v>-558800985.72520018</v>
      </c>
      <c r="I47" s="35">
        <f t="shared" si="55"/>
        <v>1493592301.8631988</v>
      </c>
      <c r="J47" s="35">
        <f t="shared" si="55"/>
        <v>926882890.56680059</v>
      </c>
      <c r="K47" s="35">
        <f t="shared" si="55"/>
        <v>300157297.04399955</v>
      </c>
      <c r="L47" s="35">
        <f t="shared" si="55"/>
        <v>-1312449281.2488</v>
      </c>
      <c r="M47" s="35">
        <f t="shared" si="55"/>
        <v>-2210580681.3464007</v>
      </c>
      <c r="N47" s="35">
        <f t="shared" si="55"/>
        <v>-1523847611.3552003</v>
      </c>
      <c r="O47" s="35">
        <f t="shared" si="55"/>
        <v>-1736676123.3615999</v>
      </c>
      <c r="P47" s="35">
        <f t="shared" si="55"/>
        <v>-1244070482.3640001</v>
      </c>
      <c r="Q47" s="35">
        <f t="shared" si="55"/>
        <v>-3413287174.3848</v>
      </c>
      <c r="R47" s="35">
        <f t="shared" si="55"/>
        <v>-2552120345.9547997</v>
      </c>
      <c r="S47" s="35">
        <f t="shared" si="55"/>
        <v>-1871973107.8276002</v>
      </c>
      <c r="T47" s="35">
        <f t="shared" si="55"/>
        <v>-1224063956.7940001</v>
      </c>
      <c r="U47" s="35">
        <f t="shared" si="55"/>
        <v>-3070197205.3860002</v>
      </c>
      <c r="V47" s="35">
        <f t="shared" si="55"/>
        <v>-2318644510.2568002</v>
      </c>
      <c r="W47" s="35">
        <f t="shared" si="55"/>
        <v>-1735829932.0343995</v>
      </c>
      <c r="X47" s="35">
        <f t="shared" si="55"/>
        <v>-1101857550.8168001</v>
      </c>
      <c r="Y47" s="35">
        <f t="shared" si="55"/>
        <v>-2737648756.5816007</v>
      </c>
      <c r="Z47" s="35">
        <f t="shared" si="55"/>
        <v>-2108760572.3356001</v>
      </c>
      <c r="AA47" s="35">
        <f t="shared" si="55"/>
        <v>-1211837457.0792003</v>
      </c>
      <c r="AB47" s="35">
        <f t="shared" si="55"/>
        <v>-889430455.85040009</v>
      </c>
      <c r="AC47" s="35">
        <f t="shared" si="55"/>
        <v>-2254470156.6739998</v>
      </c>
      <c r="AD47" s="35">
        <f t="shared" si="55"/>
        <v>-1812449964.4287996</v>
      </c>
      <c r="AE47" s="35">
        <f t="shared" si="55"/>
        <v>-1313893447.2672</v>
      </c>
      <c r="AF47" s="35">
        <f t="shared" si="55"/>
        <v>-956959104.60480011</v>
      </c>
      <c r="AG47" s="35">
        <f t="shared" si="55"/>
        <v>-2060537278.0735998</v>
      </c>
      <c r="AH47" s="35">
        <f t="shared" si="55"/>
        <v>-1601330082.8331995</v>
      </c>
      <c r="AI47" s="35">
        <f t="shared" si="55"/>
        <v>-1217685352.7416</v>
      </c>
      <c r="AJ47" s="35">
        <f t="shared" si="55"/>
        <v>-844741998.29040003</v>
      </c>
      <c r="AK47" s="35">
        <f t="shared" si="55"/>
        <v>-1775609928.6244004</v>
      </c>
      <c r="AL47" s="35">
        <f t="shared" si="55"/>
        <v>-1303482121.7360001</v>
      </c>
      <c r="AM47" s="35">
        <f t="shared" si="55"/>
        <v>-981233418.35239983</v>
      </c>
      <c r="AN47" s="35">
        <f t="shared" si="55"/>
        <v>-761180949.24880004</v>
      </c>
      <c r="AO47" s="35">
        <f t="shared" si="55"/>
        <v>-1486753573.5507998</v>
      </c>
      <c r="AP47" s="35">
        <f t="shared" si="55"/>
        <v>-1279964395.8708</v>
      </c>
      <c r="AQ47" s="35">
        <f t="shared" si="55"/>
        <v>-981662159.35759997</v>
      </c>
      <c r="AR47" s="35">
        <f t="shared" si="55"/>
        <v>-711200406.80000007</v>
      </c>
      <c r="AS47" s="35">
        <f t="shared" si="55"/>
        <v>-1468732189.7547998</v>
      </c>
      <c r="AT47" s="35">
        <f t="shared" si="55"/>
        <v>-1123695647.3040001</v>
      </c>
      <c r="AU47" s="35">
        <f t="shared" si="55"/>
        <v>-858490498.9368</v>
      </c>
      <c r="AV47" s="35">
        <f t="shared" si="55"/>
        <v>-626202642.23360014</v>
      </c>
      <c r="AW47" s="35">
        <f t="shared" si="55"/>
        <v>-1339522448.7628</v>
      </c>
      <c r="AX47" s="35">
        <f t="shared" si="55"/>
        <v>-1021863226.8936</v>
      </c>
      <c r="AY47" s="35">
        <f t="shared" si="55"/>
        <v>-807959733.56839991</v>
      </c>
      <c r="AZ47" s="35">
        <f t="shared" si="55"/>
        <v>-600099714.69480014</v>
      </c>
      <c r="BA47" s="35">
        <f t="shared" si="55"/>
        <v>-1454419846.4932001</v>
      </c>
      <c r="BB47" s="35">
        <f t="shared" si="55"/>
        <v>-1192546497.9728</v>
      </c>
      <c r="BC47" s="35">
        <f t="shared" si="55"/>
        <v>-910141557.3348</v>
      </c>
      <c r="BD47" s="35">
        <f t="shared" si="55"/>
        <v>-621753773.65600002</v>
      </c>
      <c r="BE47" s="35">
        <f t="shared" si="55"/>
        <v>-1445508091.2588</v>
      </c>
      <c r="BF47" s="35">
        <f t="shared" si="55"/>
        <v>-1054439904.0352001</v>
      </c>
      <c r="BG47" s="35">
        <f t="shared" si="55"/>
        <v>-811508689.44079995</v>
      </c>
      <c r="BH47" s="35">
        <f t="shared" si="55"/>
        <v>-601821382.84120011</v>
      </c>
      <c r="BI47" s="35">
        <f t="shared" si="55"/>
        <v>-1147178043.4224</v>
      </c>
      <c r="BJ47" s="35">
        <f t="shared" si="55"/>
        <v>-937966985.83039987</v>
      </c>
      <c r="BK47" s="35">
        <f t="shared" si="55"/>
        <v>-691087581.68519998</v>
      </c>
      <c r="BL47" s="35">
        <f t="shared" si="55"/>
        <v>-543702382.05480003</v>
      </c>
      <c r="BM47" s="35">
        <f t="shared" si="55"/>
        <v>-1350188795.0976</v>
      </c>
      <c r="BN47" s="35">
        <f t="shared" si="55"/>
        <v>-972587958.24400008</v>
      </c>
      <c r="BO47" s="35">
        <f t="shared" ref="BO47:CJ47" si="56">BO42-BO45</f>
        <v>-717168116.32119989</v>
      </c>
      <c r="BP47" s="35">
        <f t="shared" si="56"/>
        <v>-481145427.63320005</v>
      </c>
      <c r="BQ47" s="35">
        <f t="shared" si="56"/>
        <v>-1109641792.5428002</v>
      </c>
      <c r="BR47" s="35">
        <f t="shared" si="56"/>
        <v>-621955559.71080005</v>
      </c>
      <c r="BS47" s="35">
        <f t="shared" si="56"/>
        <v>-1082010452.6956</v>
      </c>
      <c r="BT47" s="35">
        <f t="shared" si="56"/>
        <v>-552946780.80400002</v>
      </c>
      <c r="BU47" s="35">
        <f t="shared" si="56"/>
        <v>-941230071.08200002</v>
      </c>
      <c r="BV47" s="35">
        <f t="shared" si="56"/>
        <v>-450969977.39839995</v>
      </c>
      <c r="BW47" s="35">
        <f t="shared" si="56"/>
        <v>-201575801.54400003</v>
      </c>
      <c r="BX47" s="35">
        <f t="shared" si="56"/>
        <v>-167868818.23320001</v>
      </c>
      <c r="BY47" s="35">
        <f t="shared" si="56"/>
        <v>-201587861.93239999</v>
      </c>
      <c r="BZ47" s="35">
        <f t="shared" si="56"/>
        <v>-93493923.737599999</v>
      </c>
      <c r="CA47" s="35">
        <f t="shared" si="56"/>
        <v>-313957544.29840004</v>
      </c>
      <c r="CB47" s="35">
        <f t="shared" si="56"/>
        <v>-101361125.44559999</v>
      </c>
      <c r="CC47" s="35">
        <f t="shared" si="56"/>
        <v>-325804206.30239999</v>
      </c>
      <c r="CD47" s="35">
        <f t="shared" si="56"/>
        <v>-100067779.6664</v>
      </c>
      <c r="CE47" s="35">
        <f t="shared" si="56"/>
        <v>-106460040</v>
      </c>
      <c r="CF47" s="35">
        <f t="shared" si="56"/>
        <v>-105062816.1908</v>
      </c>
      <c r="CG47" s="35">
        <f t="shared" si="56"/>
        <v>-89705192.029599994</v>
      </c>
      <c r="CH47" s="35">
        <f t="shared" si="56"/>
        <v>-75590000</v>
      </c>
      <c r="CI47" s="35">
        <f t="shared" si="56"/>
        <v>-65190000</v>
      </c>
      <c r="CJ47" s="35">
        <f t="shared" si="56"/>
        <v>-38280000</v>
      </c>
    </row>
    <row r="49" spans="1:89" ht="14.25" customHeight="1"/>
    <row r="50" spans="1:89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 s="78" customFormat="1">
      <c r="A51" s="77" t="s">
        <v>170</v>
      </c>
      <c r="B51" s="78">
        <v>20180930</v>
      </c>
      <c r="C51" s="78">
        <v>20180630</v>
      </c>
      <c r="D51" s="78">
        <v>20180331</v>
      </c>
      <c r="E51" s="78">
        <v>20171231</v>
      </c>
      <c r="F51" s="78">
        <v>20170930</v>
      </c>
      <c r="G51" s="78">
        <v>20170630</v>
      </c>
      <c r="H51" s="78">
        <v>20170331</v>
      </c>
      <c r="I51" s="78">
        <v>20161231</v>
      </c>
      <c r="J51" s="78">
        <v>20160930</v>
      </c>
      <c r="K51" s="78">
        <v>20160630</v>
      </c>
      <c r="L51" s="78">
        <v>20160331</v>
      </c>
      <c r="M51" s="78">
        <v>20151231</v>
      </c>
      <c r="N51" s="78">
        <v>20150930</v>
      </c>
      <c r="O51" s="78">
        <v>20150630</v>
      </c>
      <c r="P51" s="78">
        <v>20150331</v>
      </c>
      <c r="Q51" s="78">
        <v>20141231</v>
      </c>
      <c r="R51" s="78">
        <v>20140930</v>
      </c>
      <c r="S51" s="78">
        <v>20140630</v>
      </c>
      <c r="T51" s="78">
        <v>20140331</v>
      </c>
      <c r="U51" s="78">
        <v>20131231</v>
      </c>
      <c r="V51" s="78">
        <v>20130930</v>
      </c>
      <c r="W51" s="78">
        <v>20130630</v>
      </c>
      <c r="X51" s="78">
        <v>20130331</v>
      </c>
      <c r="Y51" s="78">
        <v>20121231</v>
      </c>
      <c r="Z51" s="78">
        <v>20120930</v>
      </c>
      <c r="AA51" s="78">
        <v>20120630</v>
      </c>
      <c r="AB51" s="78">
        <v>20120331</v>
      </c>
      <c r="AC51" s="78">
        <v>20111231</v>
      </c>
      <c r="AD51" s="78">
        <v>20110930</v>
      </c>
      <c r="AE51" s="78">
        <v>20110630</v>
      </c>
      <c r="AF51" s="78">
        <v>20110331</v>
      </c>
      <c r="AG51" s="78">
        <v>20101231</v>
      </c>
      <c r="AH51" s="78">
        <v>20100930</v>
      </c>
      <c r="AI51" s="78">
        <v>20100630</v>
      </c>
      <c r="AJ51" s="78">
        <v>20100331</v>
      </c>
      <c r="AK51" s="78">
        <v>20091231</v>
      </c>
      <c r="AL51" s="78">
        <v>20090930</v>
      </c>
      <c r="AM51" s="78">
        <v>20090630</v>
      </c>
      <c r="AN51" s="78">
        <v>20090331</v>
      </c>
      <c r="AO51" s="78">
        <v>20081231</v>
      </c>
      <c r="AP51" s="78">
        <v>20080930</v>
      </c>
      <c r="AQ51" s="78">
        <v>20080630</v>
      </c>
      <c r="AR51" s="78">
        <v>20080331</v>
      </c>
      <c r="AS51" s="78">
        <v>20071231</v>
      </c>
      <c r="AT51" s="78">
        <v>20070930</v>
      </c>
      <c r="AU51" s="78">
        <v>20070630</v>
      </c>
      <c r="AV51" s="78">
        <v>20070331</v>
      </c>
      <c r="AW51" s="78">
        <v>20061231</v>
      </c>
      <c r="AX51" s="78">
        <v>20060930</v>
      </c>
      <c r="AY51" s="78">
        <v>20060630</v>
      </c>
      <c r="AZ51" s="78">
        <v>20060331</v>
      </c>
      <c r="BA51" s="78">
        <v>20051231</v>
      </c>
      <c r="BB51" s="78">
        <v>20050930</v>
      </c>
      <c r="BC51" s="78">
        <v>20050630</v>
      </c>
      <c r="BD51" s="78">
        <v>20050331</v>
      </c>
      <c r="BE51" s="78">
        <v>20041231</v>
      </c>
      <c r="BF51" s="78">
        <v>20040930</v>
      </c>
      <c r="BG51" s="78">
        <v>20040630</v>
      </c>
      <c r="BH51" s="78">
        <v>20040331</v>
      </c>
      <c r="BI51" s="78">
        <v>20031231</v>
      </c>
      <c r="BJ51" s="78">
        <v>20030930</v>
      </c>
      <c r="BK51" s="78">
        <v>20030630</v>
      </c>
      <c r="BL51" s="78">
        <v>20030331</v>
      </c>
      <c r="BM51" s="78">
        <v>20021231</v>
      </c>
      <c r="BN51" s="78">
        <v>20020930</v>
      </c>
      <c r="BO51" s="78">
        <v>20020630</v>
      </c>
      <c r="BP51" s="78">
        <v>20020331</v>
      </c>
      <c r="BQ51" s="78">
        <v>20011231</v>
      </c>
      <c r="BR51" s="78">
        <v>20010630</v>
      </c>
      <c r="BS51" s="78">
        <v>20001231</v>
      </c>
      <c r="BT51" s="78">
        <v>20000630</v>
      </c>
      <c r="BU51" s="78">
        <v>19991231</v>
      </c>
      <c r="BV51" s="78">
        <v>19990630</v>
      </c>
      <c r="BW51" s="78">
        <v>19981231</v>
      </c>
      <c r="BX51" s="78">
        <v>19980630</v>
      </c>
      <c r="BY51" s="78">
        <v>19971231</v>
      </c>
      <c r="BZ51" s="78">
        <v>19970630</v>
      </c>
      <c r="CA51" s="78">
        <v>19961231</v>
      </c>
      <c r="CB51" s="78">
        <v>19960630</v>
      </c>
      <c r="CC51" s="78">
        <v>19951231</v>
      </c>
      <c r="CD51" s="78">
        <v>19950630</v>
      </c>
      <c r="CE51" s="78">
        <v>19941231</v>
      </c>
      <c r="CF51" s="78">
        <v>19940630</v>
      </c>
      <c r="CG51" s="78">
        <v>19930630</v>
      </c>
      <c r="CH51" s="78">
        <v>19921231</v>
      </c>
      <c r="CI51" s="78">
        <v>19911231</v>
      </c>
      <c r="CJ51" s="78">
        <v>19901231</v>
      </c>
      <c r="CK51" s="78">
        <v>19700101</v>
      </c>
    </row>
    <row r="52" spans="1:89" s="52" customFormat="1">
      <c r="A52" s="50" t="s">
        <v>151</v>
      </c>
      <c r="B52" s="50">
        <v>-25636</v>
      </c>
      <c r="C52" s="50">
        <v>-27718</v>
      </c>
      <c r="D52" s="50">
        <v>-35317</v>
      </c>
      <c r="E52" s="50">
        <v>-256369789.46000001</v>
      </c>
      <c r="F52" s="50">
        <v>-34414</v>
      </c>
      <c r="G52" s="50">
        <v>-23309</v>
      </c>
      <c r="H52" s="50">
        <v>-16814</v>
      </c>
      <c r="I52" s="50">
        <v>-277179369.72000003</v>
      </c>
      <c r="J52" s="50"/>
      <c r="K52" s="50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</row>
    <row r="53" spans="1:89" s="52" customFormat="1">
      <c r="A53" s="50" t="s">
        <v>152</v>
      </c>
      <c r="B53" s="50">
        <v>217</v>
      </c>
      <c r="C53" s="50">
        <v>189</v>
      </c>
      <c r="D53" s="50"/>
      <c r="E53" s="50">
        <v>2172877.1800000002</v>
      </c>
      <c r="F53" s="50"/>
      <c r="G53" s="50"/>
      <c r="H53" s="50"/>
      <c r="I53" s="50">
        <v>1885157.62</v>
      </c>
      <c r="J53" s="50"/>
      <c r="K53" s="50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</row>
    <row r="54" spans="1:89" s="52" customFormat="1">
      <c r="A54" s="50" t="s">
        <v>153</v>
      </c>
      <c r="B54" s="50">
        <v>3104</v>
      </c>
      <c r="C54" s="50">
        <v>-1424</v>
      </c>
      <c r="D54" s="50">
        <v>-340</v>
      </c>
      <c r="E54" s="50">
        <v>31036899.960000001</v>
      </c>
      <c r="F54" s="50">
        <v>2684</v>
      </c>
      <c r="G54" s="50">
        <v>-377</v>
      </c>
      <c r="H54" s="50">
        <v>1008</v>
      </c>
      <c r="I54" s="50">
        <v>-14236468.01</v>
      </c>
      <c r="J54" s="50"/>
      <c r="K54" s="50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</row>
    <row r="55" spans="1:89" s="52" customFormat="1">
      <c r="A55" s="50" t="s">
        <v>154</v>
      </c>
      <c r="B55" s="50">
        <v>463</v>
      </c>
      <c r="C55" s="50">
        <v>603</v>
      </c>
      <c r="D55" s="50">
        <v>653</v>
      </c>
      <c r="E55" s="50">
        <v>4634933.82</v>
      </c>
      <c r="F55" s="50">
        <v>1204</v>
      </c>
      <c r="G55" s="50">
        <v>868</v>
      </c>
      <c r="H55" s="50">
        <v>644</v>
      </c>
      <c r="I55" s="50">
        <v>6030893.5800000001</v>
      </c>
      <c r="J55" s="50"/>
      <c r="K55" s="50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</row>
    <row r="56" spans="1:89" s="33" customFormat="1">
      <c r="A56" s="53" t="s">
        <v>155</v>
      </c>
      <c r="B56" s="53">
        <f>SUM(B52:B55)</f>
        <v>-21852</v>
      </c>
      <c r="C56" s="53">
        <f t="shared" ref="C56:K56" si="57">SUM(C52:C55)</f>
        <v>-28350</v>
      </c>
      <c r="D56" s="53">
        <f t="shared" si="57"/>
        <v>-35004</v>
      </c>
      <c r="E56" s="53">
        <f t="shared" si="57"/>
        <v>-218525078.5</v>
      </c>
      <c r="F56" s="53">
        <f t="shared" si="57"/>
        <v>-30526</v>
      </c>
      <c r="G56" s="53">
        <f t="shared" si="57"/>
        <v>-22818</v>
      </c>
      <c r="H56" s="53">
        <f t="shared" si="57"/>
        <v>-15162</v>
      </c>
      <c r="I56" s="53">
        <f t="shared" si="57"/>
        <v>-283499786.53000003</v>
      </c>
      <c r="J56" s="53">
        <f t="shared" si="57"/>
        <v>0</v>
      </c>
      <c r="K56" s="53">
        <f t="shared" si="57"/>
        <v>0</v>
      </c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</row>
    <row r="57" spans="1:89" ht="12" customHeight="1"/>
    <row r="58" spans="1:89" ht="27">
      <c r="A58" s="29" t="s">
        <v>159</v>
      </c>
    </row>
    <row r="59" spans="1:89">
      <c r="A59" s="28" t="s">
        <v>158</v>
      </c>
      <c r="B59" s="48">
        <v>1736056863.8199999</v>
      </c>
      <c r="C59" s="48">
        <v>1090083643.6700001</v>
      </c>
      <c r="D59" s="48">
        <v>394993455.75</v>
      </c>
      <c r="E59" s="48">
        <v>2361167577.8600001</v>
      </c>
      <c r="F59" s="48">
        <v>1759077461.28</v>
      </c>
      <c r="G59" s="48">
        <v>1055685539.9400001</v>
      </c>
      <c r="H59" s="48">
        <v>391718106.85000002</v>
      </c>
      <c r="I59" s="48">
        <v>2413606492.8699999</v>
      </c>
      <c r="J59" s="48">
        <v>1847595736.74</v>
      </c>
      <c r="K59" s="48">
        <v>1164939735.74</v>
      </c>
      <c r="L59" s="48">
        <v>371691227.13999999</v>
      </c>
      <c r="M59" s="48">
        <v>2800375875.0900002</v>
      </c>
      <c r="N59" s="48">
        <v>2320000336.79</v>
      </c>
      <c r="O59" s="48">
        <v>973196132.04999995</v>
      </c>
      <c r="P59" s="48">
        <v>292387550.98000002</v>
      </c>
      <c r="Q59" s="48">
        <v>1799791966.72</v>
      </c>
      <c r="R59" s="48">
        <v>1413389336.6199999</v>
      </c>
      <c r="S59" s="48">
        <v>861897327.41999996</v>
      </c>
      <c r="T59" s="48">
        <v>312463076.11000001</v>
      </c>
      <c r="U59" s="48">
        <v>1837010750.3</v>
      </c>
      <c r="V59" s="48">
        <v>1263050147.3399999</v>
      </c>
      <c r="W59" s="48">
        <v>648015475.62</v>
      </c>
      <c r="X59" s="48">
        <v>215680942.09999999</v>
      </c>
      <c r="Y59" s="48">
        <v>1314824682.5899999</v>
      </c>
      <c r="Z59" s="48">
        <v>1035787933.02</v>
      </c>
      <c r="AA59" s="48">
        <v>820965753.33000004</v>
      </c>
      <c r="AB59" s="48">
        <v>419421380.62</v>
      </c>
      <c r="AC59" s="48">
        <v>1178295682.76</v>
      </c>
      <c r="AD59" s="48">
        <v>1040676565.9299999</v>
      </c>
      <c r="AE59" s="48">
        <v>694225592.77999997</v>
      </c>
      <c r="AF59" s="48">
        <v>290334605.55000001</v>
      </c>
      <c r="AG59" s="48">
        <v>1086519101.5899999</v>
      </c>
      <c r="AH59" s="48">
        <v>848840464.51999998</v>
      </c>
      <c r="AI59" s="48">
        <v>558561767.66999996</v>
      </c>
      <c r="AJ59" s="48">
        <v>256728472.75999999</v>
      </c>
      <c r="AK59" s="48">
        <v>806759583.20000005</v>
      </c>
      <c r="AL59" s="48">
        <v>771765851.95000005</v>
      </c>
      <c r="AM59" s="48">
        <v>526251406.68000001</v>
      </c>
      <c r="AN59" s="48">
        <v>223412461.13</v>
      </c>
      <c r="AO59" s="48">
        <v>967108766.96000004</v>
      </c>
      <c r="AP59" s="48">
        <v>726198318.61000001</v>
      </c>
      <c r="AQ59" s="48">
        <v>497794244.75</v>
      </c>
      <c r="AR59" s="48">
        <v>211939790.94999999</v>
      </c>
      <c r="AS59" s="48">
        <v>892906408.98000002</v>
      </c>
      <c r="AT59" s="48">
        <v>699068839.78999996</v>
      </c>
      <c r="AU59" s="48">
        <v>442767373.94999999</v>
      </c>
      <c r="AV59" s="48">
        <v>150436490.83000001</v>
      </c>
      <c r="AW59" s="48">
        <v>661894846.55999994</v>
      </c>
      <c r="AX59" s="48">
        <v>442220913.52999997</v>
      </c>
      <c r="AY59" s="48">
        <v>249181122.63</v>
      </c>
      <c r="AZ59" s="48">
        <v>117433380.18000001</v>
      </c>
      <c r="BA59" s="48">
        <v>408855812.80000001</v>
      </c>
      <c r="BB59" s="48">
        <v>363177252.94999999</v>
      </c>
      <c r="BC59" s="48">
        <v>282713755.29000002</v>
      </c>
      <c r="BD59" s="48">
        <v>147020050.63</v>
      </c>
      <c r="BE59" s="48">
        <v>607620845.73000002</v>
      </c>
      <c r="BF59" s="48">
        <v>495471891.30000001</v>
      </c>
      <c r="BG59" s="48">
        <v>366331659.75999999</v>
      </c>
      <c r="BH59" s="48">
        <v>161911242.52000001</v>
      </c>
      <c r="BI59" s="48">
        <v>766766029.89999998</v>
      </c>
      <c r="BJ59" s="48">
        <v>568543919.35000002</v>
      </c>
      <c r="BK59" s="48">
        <v>378714531.06</v>
      </c>
      <c r="BL59" s="48">
        <v>142874579.83000001</v>
      </c>
      <c r="BM59" s="48">
        <v>584393737.67999995</v>
      </c>
      <c r="BN59" s="48">
        <v>471720857.67000002</v>
      </c>
      <c r="BO59" s="48">
        <v>294803013.56</v>
      </c>
      <c r="BP59" s="48">
        <v>133029002.59999999</v>
      </c>
      <c r="BQ59" s="48">
        <v>504683812.25999999</v>
      </c>
      <c r="BR59" s="48">
        <v>272607143.80000001</v>
      </c>
      <c r="BS59" s="48">
        <v>360763391.07999998</v>
      </c>
      <c r="BT59" s="48">
        <v>256533748.41999999</v>
      </c>
      <c r="BU59" s="48">
        <v>431018039.22000003</v>
      </c>
      <c r="BV59" s="48">
        <v>210412674.16999999</v>
      </c>
      <c r="BW59" s="48">
        <v>5992842.8899999997</v>
      </c>
      <c r="BX59" s="48">
        <v>-13617866.6</v>
      </c>
      <c r="BY59" s="48">
        <v>76540885.859999999</v>
      </c>
      <c r="BZ59" s="48">
        <v>10957081.49</v>
      </c>
      <c r="CA59" s="48">
        <v>10366333.26</v>
      </c>
      <c r="CB59" s="48">
        <v>51164074.539999999</v>
      </c>
      <c r="CC59" s="48">
        <v>164727249.21000001</v>
      </c>
      <c r="CD59" s="48">
        <v>109540000</v>
      </c>
      <c r="CE59" s="48">
        <v>162135000</v>
      </c>
      <c r="CF59" s="48">
        <v>90056788.769999996</v>
      </c>
      <c r="CG59" s="48">
        <v>54430000</v>
      </c>
      <c r="CH59" s="48">
        <v>80440000</v>
      </c>
      <c r="CI59" s="48">
        <v>58950000</v>
      </c>
      <c r="CJ59" s="48">
        <v>67670000</v>
      </c>
      <c r="CK59" s="48">
        <v>0</v>
      </c>
    </row>
    <row r="60" spans="1:89">
      <c r="A60" s="28" t="s">
        <v>157</v>
      </c>
      <c r="B60" s="48">
        <v>227658263.59999999</v>
      </c>
      <c r="C60" s="48">
        <v>127760607.8</v>
      </c>
      <c r="D60" s="48">
        <v>59226030.109999999</v>
      </c>
      <c r="E60" s="48">
        <v>339907733.63</v>
      </c>
      <c r="F60" s="48">
        <v>240726737.47999999</v>
      </c>
      <c r="G60" s="48">
        <v>132673082.61</v>
      </c>
      <c r="H60" s="48">
        <v>57078127.969999999</v>
      </c>
      <c r="I60" s="48">
        <v>344119329.13</v>
      </c>
      <c r="J60" s="48">
        <v>236458428.50999999</v>
      </c>
      <c r="K60" s="48">
        <v>131520976.13</v>
      </c>
      <c r="L60" s="48">
        <v>57333063.560000002</v>
      </c>
      <c r="M60" s="48">
        <v>394481905.88999999</v>
      </c>
      <c r="N60" s="48">
        <v>237408339.46000001</v>
      </c>
      <c r="O60" s="48">
        <v>143495446.5</v>
      </c>
      <c r="P60" s="48">
        <v>60095590.350000001</v>
      </c>
      <c r="Q60" s="48">
        <v>326917131.16000003</v>
      </c>
      <c r="R60" s="48">
        <v>259819928.72</v>
      </c>
      <c r="S60" s="48">
        <v>152292514.75</v>
      </c>
      <c r="T60" s="48">
        <v>52811584.189999998</v>
      </c>
      <c r="U60" s="48">
        <v>244560765.30000001</v>
      </c>
      <c r="V60" s="48">
        <v>176598193.36000001</v>
      </c>
      <c r="W60" s="48">
        <v>95189080.349999994</v>
      </c>
      <c r="X60" s="48">
        <v>46108035.969999999</v>
      </c>
      <c r="Y60" s="48">
        <v>364313757.82999998</v>
      </c>
      <c r="Z60" s="48">
        <v>164225288.47</v>
      </c>
      <c r="AA60" s="48">
        <v>92773729.409999996</v>
      </c>
      <c r="AB60" s="48">
        <v>41866894.789999999</v>
      </c>
      <c r="AC60" s="48">
        <v>173724178.75999999</v>
      </c>
      <c r="AD60" s="48">
        <v>152154272.63</v>
      </c>
      <c r="AE60" s="48">
        <v>94252380.439999998</v>
      </c>
      <c r="AF60" s="48">
        <v>45997808.600000001</v>
      </c>
      <c r="AG60" s="48">
        <v>161628839</v>
      </c>
      <c r="AH60" s="48">
        <v>122115165.42</v>
      </c>
      <c r="AI60" s="48">
        <v>80839747.829999998</v>
      </c>
      <c r="AJ60" s="48">
        <v>35689718.990000002</v>
      </c>
      <c r="AK60" s="48">
        <v>135739249.22999999</v>
      </c>
      <c r="AL60" s="48">
        <v>102234420.34</v>
      </c>
      <c r="AM60" s="48">
        <v>66625921.390000001</v>
      </c>
      <c r="AN60" s="48">
        <v>32520400.399999999</v>
      </c>
      <c r="AO60" s="48">
        <v>153315468.66999999</v>
      </c>
      <c r="AP60" s="48">
        <v>141560743.21000001</v>
      </c>
      <c r="AQ60" s="48">
        <v>99457863.090000004</v>
      </c>
      <c r="AR60" s="48">
        <v>44027374.049999997</v>
      </c>
      <c r="AS60" s="48">
        <v>139283274.08000001</v>
      </c>
      <c r="AT60" s="48">
        <v>132415189.92</v>
      </c>
      <c r="AU60" s="48">
        <v>84352733.560000002</v>
      </c>
      <c r="AV60" s="48">
        <v>29650309.149999999</v>
      </c>
      <c r="AW60" s="48">
        <v>112159737.02</v>
      </c>
      <c r="AX60" s="48">
        <v>68131511.010000005</v>
      </c>
      <c r="AY60" s="48">
        <v>41356766.380000003</v>
      </c>
      <c r="AZ60" s="48">
        <v>21261539.25</v>
      </c>
      <c r="BA60" s="48">
        <v>108609995.86</v>
      </c>
      <c r="BB60" s="48">
        <v>94004327.269999996</v>
      </c>
      <c r="BC60" s="48">
        <v>67862554.450000003</v>
      </c>
      <c r="BD60" s="48">
        <v>28974955.960000001</v>
      </c>
      <c r="BE60" s="48">
        <v>132468882.01000001</v>
      </c>
      <c r="BF60" s="48">
        <v>93637200.370000005</v>
      </c>
      <c r="BG60" s="48">
        <v>65867600.789999999</v>
      </c>
      <c r="BH60" s="48">
        <v>32955130.91</v>
      </c>
      <c r="BI60" s="48">
        <v>155946328.93000001</v>
      </c>
      <c r="BJ60" s="48">
        <v>108366137.34</v>
      </c>
      <c r="BK60" s="48">
        <v>68867283.900000006</v>
      </c>
      <c r="BL60" s="48">
        <v>28006866.879999999</v>
      </c>
      <c r="BM60" s="48">
        <v>143668257.24000001</v>
      </c>
      <c r="BN60" s="48">
        <v>98765977.599999994</v>
      </c>
      <c r="BO60" s="48">
        <v>64164786.920000002</v>
      </c>
      <c r="BP60" s="48">
        <v>25321619.559999999</v>
      </c>
      <c r="BQ60" s="48">
        <v>113460021.93000001</v>
      </c>
      <c r="BR60" s="48">
        <v>52431401.840000004</v>
      </c>
      <c r="BS60" s="48">
        <v>100791733.87</v>
      </c>
      <c r="BT60" s="48">
        <v>47229977.799999997</v>
      </c>
      <c r="BU60" s="48">
        <v>97455708.069999993</v>
      </c>
      <c r="BV60" s="48">
        <v>39232814.829999998</v>
      </c>
      <c r="BW60" s="48">
        <v>2796995.65</v>
      </c>
      <c r="BX60" s="48">
        <v>0</v>
      </c>
      <c r="BY60" s="48">
        <v>8176697.29</v>
      </c>
      <c r="BZ60" s="48">
        <v>1624615.5</v>
      </c>
      <c r="CA60" s="48">
        <v>1799885.61</v>
      </c>
      <c r="CB60" s="48">
        <v>9698012.9700000007</v>
      </c>
      <c r="CC60" s="48">
        <v>28336126.850000001</v>
      </c>
      <c r="CD60" s="48">
        <v>19730000</v>
      </c>
      <c r="CE60" s="48">
        <v>27810000</v>
      </c>
      <c r="CF60" s="48">
        <v>16447145.279999999</v>
      </c>
      <c r="CG60" s="48">
        <v>4330000</v>
      </c>
      <c r="CH60" s="48">
        <v>4220000</v>
      </c>
      <c r="CI60" s="48">
        <v>12510000</v>
      </c>
      <c r="CJ60" s="48">
        <v>3630000</v>
      </c>
      <c r="CK60" s="48">
        <v>0</v>
      </c>
    </row>
    <row r="61" spans="1:89">
      <c r="A61" s="28" t="s">
        <v>156</v>
      </c>
      <c r="B61" s="48">
        <v>1963715127.4200001</v>
      </c>
      <c r="C61" s="48">
        <v>1217844251.47</v>
      </c>
      <c r="D61" s="48">
        <v>454219485.86000001</v>
      </c>
      <c r="E61" s="48">
        <v>2701075311.4899998</v>
      </c>
      <c r="F61" s="48">
        <v>1999804198.76</v>
      </c>
      <c r="G61" s="48">
        <v>1188358622.55</v>
      </c>
      <c r="H61" s="48">
        <v>448796234.81999999</v>
      </c>
      <c r="I61" s="48">
        <v>2757725822</v>
      </c>
      <c r="J61" s="48">
        <v>2084054165.25</v>
      </c>
      <c r="K61" s="48">
        <v>1296460711.8699999</v>
      </c>
      <c r="L61" s="48">
        <v>429024290.69999999</v>
      </c>
      <c r="M61" s="48">
        <v>3194857780.98</v>
      </c>
      <c r="N61" s="48">
        <v>2557408676.25</v>
      </c>
      <c r="O61" s="48">
        <v>1116691578.55</v>
      </c>
      <c r="P61" s="48">
        <v>352483141.32999998</v>
      </c>
      <c r="Q61" s="48">
        <v>2126709097.8800001</v>
      </c>
      <c r="R61" s="48">
        <v>1673209265.3399999</v>
      </c>
      <c r="S61" s="48">
        <v>1014189842.17</v>
      </c>
      <c r="T61" s="48">
        <v>365274660.30000001</v>
      </c>
      <c r="U61" s="48">
        <v>2081571515.5999999</v>
      </c>
      <c r="V61" s="48">
        <v>1439648340.7</v>
      </c>
      <c r="W61" s="48">
        <v>743204555.97000003</v>
      </c>
      <c r="X61" s="48">
        <v>261788978.06999999</v>
      </c>
      <c r="Y61" s="48">
        <v>1679138440.4200001</v>
      </c>
      <c r="Z61" s="48">
        <v>1200013221.49</v>
      </c>
      <c r="AA61" s="48">
        <v>913739482.74000001</v>
      </c>
      <c r="AB61" s="48">
        <v>461288275.41000003</v>
      </c>
      <c r="AC61" s="48">
        <v>1352019861.52</v>
      </c>
      <c r="AD61" s="48">
        <v>1192830838.5599999</v>
      </c>
      <c r="AE61" s="48">
        <v>788477973.22000003</v>
      </c>
      <c r="AF61" s="48">
        <v>336332414.14999998</v>
      </c>
      <c r="AG61" s="48">
        <v>1248147940.5899999</v>
      </c>
      <c r="AH61" s="48">
        <v>970955629.94000006</v>
      </c>
      <c r="AI61" s="48">
        <v>639401515.5</v>
      </c>
      <c r="AJ61" s="48">
        <v>292418191.75</v>
      </c>
      <c r="AK61" s="48">
        <v>942498832.42999995</v>
      </c>
      <c r="AL61" s="48">
        <v>874000272.28999996</v>
      </c>
      <c r="AM61" s="48">
        <v>592877328.07000005</v>
      </c>
      <c r="AN61" s="48">
        <v>255932861.53</v>
      </c>
      <c r="AO61" s="48">
        <v>1120424235.6300001</v>
      </c>
      <c r="AP61" s="48">
        <v>867759061.82000005</v>
      </c>
      <c r="AQ61" s="48">
        <v>597252107.84000003</v>
      </c>
      <c r="AR61" s="48">
        <v>255967165</v>
      </c>
      <c r="AS61" s="48">
        <v>1032189683.0599999</v>
      </c>
      <c r="AT61" s="48">
        <v>831484029.71000004</v>
      </c>
      <c r="AU61" s="48">
        <v>527120107.50999999</v>
      </c>
      <c r="AV61" s="48">
        <v>180086799.97999999</v>
      </c>
      <c r="AW61" s="48">
        <v>774054583.58000004</v>
      </c>
      <c r="AX61" s="48">
        <v>510352424.54000002</v>
      </c>
      <c r="AY61" s="48">
        <v>290537889.00999999</v>
      </c>
      <c r="AZ61" s="48">
        <v>138694919.43000001</v>
      </c>
      <c r="BA61" s="48">
        <v>517465808.66000003</v>
      </c>
      <c r="BB61" s="48">
        <v>457181580.22000003</v>
      </c>
      <c r="BC61" s="48">
        <v>350576309.74000001</v>
      </c>
      <c r="BD61" s="48">
        <v>175995006.59</v>
      </c>
      <c r="BE61" s="48">
        <v>740089727.74000001</v>
      </c>
      <c r="BF61" s="48">
        <v>589109091.66999996</v>
      </c>
      <c r="BG61" s="48">
        <v>432199260.55000001</v>
      </c>
      <c r="BH61" s="48">
        <v>194866373.43000001</v>
      </c>
      <c r="BI61" s="48">
        <v>922712358.83000004</v>
      </c>
      <c r="BJ61" s="48">
        <v>676910056.69000006</v>
      </c>
      <c r="BK61" s="48">
        <v>447581814.95999998</v>
      </c>
      <c r="BL61" s="48">
        <v>170881446.71000001</v>
      </c>
      <c r="BM61" s="48">
        <v>728061994.91999996</v>
      </c>
      <c r="BN61" s="48">
        <v>570486835.26999998</v>
      </c>
      <c r="BO61" s="48">
        <v>358967800.48000002</v>
      </c>
      <c r="BP61" s="48">
        <v>158350622.16</v>
      </c>
      <c r="BQ61" s="48">
        <v>618143834.19000006</v>
      </c>
      <c r="BR61" s="48">
        <v>325038545.63999999</v>
      </c>
      <c r="BS61" s="48">
        <v>461555124.94999999</v>
      </c>
      <c r="BT61" s="48">
        <v>303763726.22000003</v>
      </c>
      <c r="BU61" s="48">
        <v>528473747.29000002</v>
      </c>
      <c r="BV61" s="48">
        <v>249645489</v>
      </c>
      <c r="BW61" s="48">
        <v>8789838.5399999991</v>
      </c>
      <c r="BX61" s="48">
        <v>-13617866.6</v>
      </c>
      <c r="BY61" s="48">
        <v>84717583.150000006</v>
      </c>
      <c r="BZ61" s="48">
        <v>12581696.99</v>
      </c>
      <c r="CA61" s="48">
        <v>12166218.869999999</v>
      </c>
      <c r="CB61" s="48">
        <v>60862087.509999998</v>
      </c>
      <c r="CC61" s="48">
        <v>193063376.06</v>
      </c>
      <c r="CD61" s="48">
        <v>129270000</v>
      </c>
      <c r="CE61" s="48">
        <v>189945000</v>
      </c>
      <c r="CF61" s="48">
        <v>106503934.05</v>
      </c>
      <c r="CG61" s="48">
        <v>58750000</v>
      </c>
      <c r="CH61" s="48">
        <v>84660000</v>
      </c>
      <c r="CI61" s="48">
        <v>71460000</v>
      </c>
      <c r="CJ61" s="48">
        <v>71300000</v>
      </c>
      <c r="CK61" s="48">
        <v>0</v>
      </c>
    </row>
    <row r="62" spans="1:89">
      <c r="A62" s="28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</row>
    <row r="64" spans="1:89">
      <c r="A64"/>
    </row>
    <row r="65" spans="1:89">
      <c r="A65" s="28" t="s">
        <v>164</v>
      </c>
      <c r="B65" s="48">
        <v>214208115.78</v>
      </c>
      <c r="C65" s="48">
        <v>142435555.63999999</v>
      </c>
      <c r="D65" s="48">
        <v>56228697.509999998</v>
      </c>
      <c r="E65" s="48">
        <v>335160128.07999998</v>
      </c>
      <c r="F65" s="48">
        <v>236500925.87</v>
      </c>
      <c r="G65" s="48">
        <v>155147077.78</v>
      </c>
      <c r="H65" s="48">
        <v>66598248.350000001</v>
      </c>
      <c r="I65" s="48">
        <v>564831382.39999998</v>
      </c>
      <c r="J65" s="48">
        <v>425547452.24000001</v>
      </c>
      <c r="K65" s="48">
        <v>326237733.10000002</v>
      </c>
      <c r="L65" s="48">
        <v>51533212.600000001</v>
      </c>
      <c r="M65" s="48">
        <v>1151206092.8099999</v>
      </c>
      <c r="N65" s="48">
        <v>1143457684.75</v>
      </c>
      <c r="O65" s="48">
        <v>240115838.13999999</v>
      </c>
      <c r="P65" s="48">
        <v>69799508.150000006</v>
      </c>
      <c r="Q65" s="48">
        <v>316311672.64999998</v>
      </c>
      <c r="R65" s="48">
        <v>273831285.44999999</v>
      </c>
      <c r="S65" s="48">
        <v>182282145.13</v>
      </c>
      <c r="T65" s="48">
        <v>90165233.569999993</v>
      </c>
      <c r="U65" s="48">
        <v>243256941.71000001</v>
      </c>
      <c r="V65" s="48">
        <v>135170590.53999999</v>
      </c>
      <c r="W65" s="48">
        <v>52985679.450000003</v>
      </c>
      <c r="X65" s="48">
        <v>91924218.489999995</v>
      </c>
      <c r="Y65" s="48">
        <v>437060383.77999997</v>
      </c>
      <c r="Z65" s="48">
        <v>381381343.19</v>
      </c>
      <c r="AA65" s="48">
        <v>316779008.56999999</v>
      </c>
      <c r="AB65" s="48">
        <v>230737524.25</v>
      </c>
      <c r="AC65" s="48">
        <v>345448072.76999998</v>
      </c>
      <c r="AD65" s="48">
        <v>266055541.66</v>
      </c>
      <c r="AE65" s="48">
        <v>206154765.75999999</v>
      </c>
      <c r="AF65" s="48">
        <v>95187152.810000002</v>
      </c>
      <c r="AG65" s="48">
        <v>358487050.43000001</v>
      </c>
      <c r="AH65" s="48">
        <v>265225190.31</v>
      </c>
      <c r="AI65" s="48">
        <v>171484647.58000001</v>
      </c>
      <c r="AJ65" s="48">
        <v>80532855.609999999</v>
      </c>
      <c r="AK65" s="48">
        <v>251508369.59</v>
      </c>
      <c r="AL65" s="48">
        <v>201011894.38</v>
      </c>
      <c r="AM65" s="48">
        <v>130525571.23999999</v>
      </c>
      <c r="AN65" s="48">
        <v>48014654.869999997</v>
      </c>
      <c r="AO65" s="48">
        <v>412102974.93000001</v>
      </c>
      <c r="AP65" s="48">
        <v>202198200.09999999</v>
      </c>
      <c r="AQ65" s="48">
        <v>147019454.00999999</v>
      </c>
      <c r="AR65" s="48">
        <v>52705500.049999997</v>
      </c>
      <c r="AS65" s="48">
        <v>251429322.63999999</v>
      </c>
      <c r="AT65" s="48">
        <v>217566698.08000001</v>
      </c>
      <c r="AU65" s="48">
        <v>149175345.75999999</v>
      </c>
      <c r="AV65" s="48">
        <v>28092424.260000002</v>
      </c>
      <c r="AW65" s="48">
        <v>106002085.7</v>
      </c>
      <c r="AX65" s="48">
        <v>78146813.989999995</v>
      </c>
      <c r="AY65" s="48">
        <v>31508275.550000001</v>
      </c>
      <c r="AZ65" s="48">
        <v>6818330.1399999997</v>
      </c>
      <c r="BA65" s="48">
        <v>-52414533.450000003</v>
      </c>
      <c r="BB65" s="48">
        <v>-47415743.689999998</v>
      </c>
      <c r="BC65" s="48">
        <v>-4476487.08</v>
      </c>
      <c r="BD65" s="48">
        <v>13731417.210000001</v>
      </c>
      <c r="BE65" s="48">
        <v>74080792.579999998</v>
      </c>
      <c r="BF65" s="48">
        <v>53634658.140000001</v>
      </c>
      <c r="BG65" s="48">
        <v>44718368.039999999</v>
      </c>
      <c r="BH65" s="48">
        <v>13012623.23</v>
      </c>
      <c r="BI65" s="48">
        <v>129351232.81999999</v>
      </c>
      <c r="BJ65" s="48">
        <v>126231548.87</v>
      </c>
      <c r="BK65" s="48">
        <v>99137772.019999996</v>
      </c>
      <c r="BL65" s="48">
        <v>21058739.870000001</v>
      </c>
      <c r="BM65" s="48">
        <v>80579243.650000006</v>
      </c>
      <c r="BN65" s="48">
        <v>68017088.620000005</v>
      </c>
      <c r="BO65" s="48">
        <v>47536007.049999997</v>
      </c>
      <c r="BP65" s="48">
        <v>23536334.48</v>
      </c>
      <c r="BQ65" s="48">
        <v>47111894.539999999</v>
      </c>
      <c r="BR65" s="48">
        <v>43130624.329999998</v>
      </c>
      <c r="BS65" s="48">
        <v>110636895.03</v>
      </c>
      <c r="BT65" s="48">
        <v>55492097.759999998</v>
      </c>
      <c r="BU65" s="48">
        <v>42252799.109999999</v>
      </c>
      <c r="BV65" s="48">
        <v>-8467811.9100000001</v>
      </c>
      <c r="BW65" s="48">
        <v>44423828.259999998</v>
      </c>
      <c r="BX65" s="48">
        <v>-2405395.41</v>
      </c>
      <c r="BY65" s="48">
        <v>43588942.600000001</v>
      </c>
      <c r="BZ65" s="48">
        <v>2100000</v>
      </c>
      <c r="CA65" s="48">
        <v>5299206.3</v>
      </c>
      <c r="CB65" s="48">
        <v>3033836.53</v>
      </c>
      <c r="CC65" s="48">
        <v>10641347.550000001</v>
      </c>
      <c r="CD65" s="48">
        <v>5790000</v>
      </c>
      <c r="CE65" s="48">
        <v>7729000</v>
      </c>
      <c r="CF65" s="48">
        <v>2092581.44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</row>
    <row r="66" spans="1:89">
      <c r="A66" s="28" t="s">
        <v>165</v>
      </c>
      <c r="B66" s="48">
        <v>212373726.52000001</v>
      </c>
      <c r="C66" s="48">
        <v>141509882.56</v>
      </c>
      <c r="D66" s="48">
        <v>56228697.509999998</v>
      </c>
      <c r="E66" s="48">
        <v>280139998.44999999</v>
      </c>
      <c r="F66" s="48">
        <v>234266318.96000001</v>
      </c>
      <c r="G66" s="48">
        <v>154141558.41</v>
      </c>
      <c r="H66" s="48">
        <v>66598248.350000001</v>
      </c>
      <c r="I66" s="48">
        <v>275673512.30000001</v>
      </c>
      <c r="J66" s="48">
        <v>212366929.50999999</v>
      </c>
      <c r="K66" s="48">
        <v>135412552.55000001</v>
      </c>
      <c r="L66" s="48">
        <v>51533212.600000001</v>
      </c>
      <c r="M66" s="48">
        <v>216718386.62</v>
      </c>
      <c r="N66" s="48">
        <v>215475533.71000001</v>
      </c>
      <c r="O66" s="48">
        <v>160132633.30000001</v>
      </c>
      <c r="P66" s="48">
        <v>69799508.150000006</v>
      </c>
      <c r="Q66" s="48">
        <v>308344285.94</v>
      </c>
      <c r="R66" s="48">
        <v>267878359.22999999</v>
      </c>
      <c r="S66" s="48">
        <v>181016731.13</v>
      </c>
      <c r="T66" s="48">
        <v>90165233.569999993</v>
      </c>
      <c r="U66" s="48">
        <v>367880015.48000002</v>
      </c>
      <c r="V66" s="48">
        <v>300622194.08999997</v>
      </c>
      <c r="W66" s="48">
        <v>210398153.75999999</v>
      </c>
      <c r="X66" s="48">
        <v>90435164.069999993</v>
      </c>
      <c r="Y66" s="48">
        <v>280633741.67000002</v>
      </c>
      <c r="Z66" s="48">
        <v>228566939.72999999</v>
      </c>
      <c r="AA66" s="48">
        <v>164164241.12</v>
      </c>
      <c r="AB66" s="48">
        <v>78989878.340000004</v>
      </c>
      <c r="AC66" s="48">
        <v>342563567.56999999</v>
      </c>
      <c r="AD66" s="48">
        <v>279997039.87</v>
      </c>
      <c r="AE66" s="48">
        <v>202217265.75999999</v>
      </c>
      <c r="AF66" s="48">
        <v>95149442.810000002</v>
      </c>
      <c r="AG66" s="48">
        <v>366534973.06</v>
      </c>
      <c r="AH66" s="48">
        <v>273398414.92000002</v>
      </c>
      <c r="AI66" s="48">
        <v>178068309.30000001</v>
      </c>
      <c r="AJ66" s="48">
        <v>80554286.239999995</v>
      </c>
      <c r="AK66" s="48">
        <v>247042330.38</v>
      </c>
      <c r="AL66" s="48">
        <v>197074394.38</v>
      </c>
      <c r="AM66" s="48">
        <v>126588071.23999999</v>
      </c>
      <c r="AN66" s="48">
        <v>48014654.869999997</v>
      </c>
      <c r="AO66" s="48">
        <v>236135104.5</v>
      </c>
      <c r="AP66" s="48">
        <v>197168703.81</v>
      </c>
      <c r="AQ66" s="48">
        <v>142283418.91</v>
      </c>
      <c r="AR66" s="48">
        <v>47837272.439999998</v>
      </c>
      <c r="AS66" s="48">
        <v>250408277.59</v>
      </c>
      <c r="AT66" s="48">
        <v>214420749.16999999</v>
      </c>
      <c r="AU66" s="48">
        <v>145953407.36000001</v>
      </c>
      <c r="AV66" s="48">
        <v>28092424.260000002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</row>
    <row r="67" spans="1:89">
      <c r="A67" s="28" t="s">
        <v>166</v>
      </c>
      <c r="B67" s="5">
        <f>B65-B66</f>
        <v>1834389.2599999905</v>
      </c>
      <c r="C67" s="5">
        <f t="shared" ref="C67:BN67" si="58">C65-C66</f>
        <v>925673.07999998331</v>
      </c>
      <c r="D67" s="5">
        <f t="shared" si="58"/>
        <v>0</v>
      </c>
      <c r="E67" s="5">
        <f t="shared" si="58"/>
        <v>55020129.629999995</v>
      </c>
      <c r="F67" s="5">
        <f t="shared" si="58"/>
        <v>2234606.9099999964</v>
      </c>
      <c r="G67" s="5">
        <f t="shared" si="58"/>
        <v>1005519.3700000048</v>
      </c>
      <c r="H67" s="5">
        <f t="shared" si="58"/>
        <v>0</v>
      </c>
      <c r="I67" s="5">
        <f t="shared" si="58"/>
        <v>289157870.09999996</v>
      </c>
      <c r="J67" s="5">
        <f t="shared" si="58"/>
        <v>213180522.73000002</v>
      </c>
      <c r="K67" s="5">
        <f t="shared" si="58"/>
        <v>190825180.55000001</v>
      </c>
      <c r="L67" s="5">
        <f t="shared" si="58"/>
        <v>0</v>
      </c>
      <c r="M67" s="5">
        <f t="shared" si="58"/>
        <v>934487706.18999994</v>
      </c>
      <c r="N67" s="5">
        <f t="shared" si="58"/>
        <v>927982151.03999996</v>
      </c>
      <c r="O67" s="5">
        <f t="shared" si="58"/>
        <v>79983204.839999974</v>
      </c>
      <c r="P67" s="5">
        <f t="shared" si="58"/>
        <v>0</v>
      </c>
      <c r="Q67" s="5">
        <f t="shared" si="58"/>
        <v>7967386.7099999785</v>
      </c>
      <c r="R67" s="5">
        <f t="shared" si="58"/>
        <v>5952926.2199999988</v>
      </c>
      <c r="S67" s="5">
        <f t="shared" si="58"/>
        <v>1265414</v>
      </c>
      <c r="T67" s="5">
        <f t="shared" si="58"/>
        <v>0</v>
      </c>
      <c r="U67" s="5">
        <f t="shared" si="58"/>
        <v>-124623073.77000001</v>
      </c>
      <c r="V67" s="5">
        <f t="shared" si="58"/>
        <v>-165451603.54999998</v>
      </c>
      <c r="W67" s="5">
        <f t="shared" si="58"/>
        <v>-157412474.31</v>
      </c>
      <c r="X67" s="5">
        <f t="shared" si="58"/>
        <v>1489054.4200000018</v>
      </c>
      <c r="Y67" s="5">
        <f t="shared" si="58"/>
        <v>156426642.10999995</v>
      </c>
      <c r="Z67" s="5">
        <f t="shared" si="58"/>
        <v>152814403.46000001</v>
      </c>
      <c r="AA67" s="5">
        <f t="shared" si="58"/>
        <v>152614767.44999999</v>
      </c>
      <c r="AB67" s="5">
        <f t="shared" si="58"/>
        <v>151747645.91</v>
      </c>
      <c r="AC67" s="5">
        <f t="shared" si="58"/>
        <v>2884505.1999999881</v>
      </c>
      <c r="AD67" s="5">
        <f t="shared" si="58"/>
        <v>-13941498.210000008</v>
      </c>
      <c r="AE67" s="5">
        <f t="shared" si="58"/>
        <v>3937500</v>
      </c>
      <c r="AF67" s="5">
        <f t="shared" si="58"/>
        <v>37710</v>
      </c>
      <c r="AG67" s="5">
        <f t="shared" si="58"/>
        <v>-8047922.6299999952</v>
      </c>
      <c r="AH67" s="5">
        <f t="shared" si="58"/>
        <v>-8173224.6100000143</v>
      </c>
      <c r="AI67" s="5">
        <f t="shared" si="58"/>
        <v>-6583661.7199999988</v>
      </c>
      <c r="AJ67" s="5">
        <f t="shared" si="58"/>
        <v>-21430.629999995232</v>
      </c>
      <c r="AK67" s="5">
        <f t="shared" si="58"/>
        <v>4466039.2100000083</v>
      </c>
      <c r="AL67" s="5">
        <f t="shared" si="58"/>
        <v>3937500</v>
      </c>
      <c r="AM67" s="5">
        <f t="shared" si="58"/>
        <v>3937500</v>
      </c>
      <c r="AN67" s="5">
        <f t="shared" si="58"/>
        <v>0</v>
      </c>
      <c r="AO67" s="5">
        <f t="shared" si="58"/>
        <v>175967870.43000001</v>
      </c>
      <c r="AP67" s="5">
        <f t="shared" si="58"/>
        <v>5029496.2899999917</v>
      </c>
      <c r="AQ67" s="5">
        <f t="shared" si="58"/>
        <v>4736035.099999994</v>
      </c>
      <c r="AR67" s="5">
        <f t="shared" si="58"/>
        <v>4868227.6099999994</v>
      </c>
      <c r="AS67" s="5">
        <f t="shared" si="58"/>
        <v>1021045.0499999821</v>
      </c>
      <c r="AT67" s="5">
        <f t="shared" si="58"/>
        <v>3145948.9100000262</v>
      </c>
      <c r="AU67" s="5">
        <f t="shared" si="58"/>
        <v>3221938.3999999762</v>
      </c>
      <c r="AV67" s="5">
        <f t="shared" si="58"/>
        <v>0</v>
      </c>
      <c r="AW67" s="5">
        <f t="shared" si="58"/>
        <v>106002085.7</v>
      </c>
      <c r="AX67" s="5">
        <f t="shared" si="58"/>
        <v>78146813.989999995</v>
      </c>
      <c r="AY67" s="5">
        <f t="shared" si="58"/>
        <v>31508275.550000001</v>
      </c>
      <c r="AZ67" s="5">
        <f t="shared" si="58"/>
        <v>6818330.1399999997</v>
      </c>
      <c r="BA67" s="5">
        <f t="shared" si="58"/>
        <v>-52414533.450000003</v>
      </c>
      <c r="BB67" s="5">
        <f t="shared" si="58"/>
        <v>-47415743.689999998</v>
      </c>
      <c r="BC67" s="5">
        <f t="shared" si="58"/>
        <v>-4476487.08</v>
      </c>
      <c r="BD67" s="5">
        <f t="shared" si="58"/>
        <v>13731417.210000001</v>
      </c>
      <c r="BE67" s="5">
        <f t="shared" si="58"/>
        <v>74080792.579999998</v>
      </c>
      <c r="BF67" s="5">
        <f t="shared" si="58"/>
        <v>53634658.140000001</v>
      </c>
      <c r="BG67" s="5">
        <f t="shared" si="58"/>
        <v>44718368.039999999</v>
      </c>
      <c r="BH67" s="5">
        <f t="shared" si="58"/>
        <v>13012623.23</v>
      </c>
      <c r="BI67" s="5">
        <f t="shared" si="58"/>
        <v>129351232.81999999</v>
      </c>
      <c r="BJ67" s="5">
        <f t="shared" si="58"/>
        <v>126231548.87</v>
      </c>
      <c r="BK67" s="5">
        <f t="shared" si="58"/>
        <v>99137772.019999996</v>
      </c>
      <c r="BL67" s="5">
        <f t="shared" si="58"/>
        <v>21058739.870000001</v>
      </c>
      <c r="BM67" s="5">
        <f t="shared" si="58"/>
        <v>80579243.650000006</v>
      </c>
      <c r="BN67" s="5">
        <f t="shared" si="58"/>
        <v>68017088.620000005</v>
      </c>
      <c r="BO67" s="5">
        <f t="shared" ref="BO67:CJ67" si="59">BO65-BO66</f>
        <v>47536007.049999997</v>
      </c>
      <c r="BP67" s="5">
        <f t="shared" si="59"/>
        <v>23536334.48</v>
      </c>
      <c r="BQ67" s="5">
        <f t="shared" si="59"/>
        <v>47111894.539999999</v>
      </c>
      <c r="BR67" s="5">
        <f t="shared" si="59"/>
        <v>43130624.329999998</v>
      </c>
      <c r="BS67" s="5">
        <f t="shared" si="59"/>
        <v>110636895.03</v>
      </c>
      <c r="BT67" s="5">
        <f t="shared" si="59"/>
        <v>55492097.759999998</v>
      </c>
      <c r="BU67" s="5">
        <f t="shared" si="59"/>
        <v>42252799.109999999</v>
      </c>
      <c r="BV67" s="5">
        <f t="shared" si="59"/>
        <v>-8467811.9100000001</v>
      </c>
      <c r="BW67" s="5">
        <f t="shared" si="59"/>
        <v>44423828.259999998</v>
      </c>
      <c r="BX67" s="5">
        <f t="shared" si="59"/>
        <v>-2405395.41</v>
      </c>
      <c r="BY67" s="5">
        <f t="shared" si="59"/>
        <v>43588942.600000001</v>
      </c>
      <c r="BZ67" s="5">
        <f t="shared" si="59"/>
        <v>2100000</v>
      </c>
      <c r="CA67" s="5">
        <f t="shared" si="59"/>
        <v>5299206.3</v>
      </c>
      <c r="CB67" s="5">
        <f t="shared" si="59"/>
        <v>3033836.53</v>
      </c>
      <c r="CC67" s="5">
        <f t="shared" si="59"/>
        <v>10641347.550000001</v>
      </c>
      <c r="CD67" s="5">
        <f t="shared" si="59"/>
        <v>5790000</v>
      </c>
      <c r="CE67" s="5">
        <f t="shared" si="59"/>
        <v>7729000</v>
      </c>
      <c r="CF67" s="5">
        <f t="shared" si="59"/>
        <v>2092581.44</v>
      </c>
      <c r="CG67" s="5">
        <f t="shared" si="59"/>
        <v>0</v>
      </c>
      <c r="CH67" s="5">
        <f t="shared" si="59"/>
        <v>0</v>
      </c>
      <c r="CI67" s="5">
        <f t="shared" si="59"/>
        <v>0</v>
      </c>
      <c r="CJ67" s="5">
        <f t="shared" si="59"/>
        <v>0</v>
      </c>
      <c r="CK67" s="5"/>
    </row>
    <row r="68" spans="1:89">
      <c r="A68" s="28" t="s">
        <v>167</v>
      </c>
      <c r="B68" s="48">
        <v>-223003401.37</v>
      </c>
      <c r="C68" s="48">
        <v>-139387543.87</v>
      </c>
      <c r="D68" s="48">
        <v>-30022098.690000001</v>
      </c>
      <c r="E68" s="48">
        <v>-218525078.5</v>
      </c>
      <c r="F68" s="48">
        <v>-185063057.88999999</v>
      </c>
      <c r="G68" s="48">
        <v>-126181120.72</v>
      </c>
      <c r="H68" s="48">
        <v>-47618347.409999996</v>
      </c>
      <c r="I68" s="48">
        <v>-283499786.54000002</v>
      </c>
      <c r="J68" s="48">
        <v>-235356508.59</v>
      </c>
      <c r="K68" s="48">
        <v>-158272204.97999999</v>
      </c>
      <c r="L68" s="48">
        <v>-69286065.950000003</v>
      </c>
      <c r="M68" s="48">
        <v>-318083164.19</v>
      </c>
      <c r="N68" s="48">
        <v>-232714382.28</v>
      </c>
      <c r="O68" s="48">
        <v>-138132029.40000001</v>
      </c>
      <c r="P68" s="48">
        <v>-58736729.450000003</v>
      </c>
      <c r="Q68" s="48">
        <v>-227863780.55000001</v>
      </c>
      <c r="R68" s="48">
        <v>-190844994.93000001</v>
      </c>
      <c r="S68" s="48">
        <v>-119308104.13</v>
      </c>
      <c r="T68" s="48">
        <v>-54076508.649999999</v>
      </c>
      <c r="U68" s="48">
        <v>-258834817.97999999</v>
      </c>
      <c r="V68" s="48">
        <v>-194751671.66999999</v>
      </c>
      <c r="W68" s="48">
        <v>-111189186.41</v>
      </c>
      <c r="X68" s="48">
        <v>-13005963.01</v>
      </c>
      <c r="Y68" s="48">
        <v>-159518248.33000001</v>
      </c>
      <c r="Z68" s="48">
        <v>-147003306.55000001</v>
      </c>
      <c r="AA68" s="48">
        <v>-103599118.69</v>
      </c>
      <c r="AB68" s="48">
        <v>-7717898.0800000001</v>
      </c>
      <c r="AC68" s="48">
        <v>-139850915.75</v>
      </c>
      <c r="AD68" s="48">
        <v>-86436407.409999996</v>
      </c>
      <c r="AE68" s="48">
        <v>-60403988.409999996</v>
      </c>
      <c r="AF68" s="48">
        <v>-17185715.280000001</v>
      </c>
      <c r="AG68" s="48">
        <v>-87600537.700000003</v>
      </c>
      <c r="AH68" s="48">
        <v>-52935929.310000002</v>
      </c>
      <c r="AI68" s="48">
        <v>-28857004.609999999</v>
      </c>
      <c r="AJ68" s="48">
        <v>-7999584.46</v>
      </c>
      <c r="AK68" s="48">
        <v>-86387668.629999995</v>
      </c>
      <c r="AL68" s="48">
        <v>-63976100.18</v>
      </c>
      <c r="AM68" s="48">
        <v>-31004034.359999999</v>
      </c>
      <c r="AN68" s="48">
        <v>-10473263.51</v>
      </c>
      <c r="AO68" s="48">
        <v>-81025713.319999993</v>
      </c>
      <c r="AP68" s="48">
        <v>-50001404.32</v>
      </c>
      <c r="AQ68" s="48">
        <v>-29987967.289999999</v>
      </c>
      <c r="AR68" s="48">
        <v>-9773908.9499999993</v>
      </c>
      <c r="AS68" s="48">
        <v>-36694705.93</v>
      </c>
      <c r="AT68" s="48">
        <v>-22649401.350000001</v>
      </c>
      <c r="AU68" s="48">
        <v>-8345207.46</v>
      </c>
      <c r="AV68" s="48">
        <v>-6288958.1900000004</v>
      </c>
      <c r="AW68" s="48">
        <v>-22650844.379999999</v>
      </c>
      <c r="AX68" s="48">
        <v>-13369914.74</v>
      </c>
      <c r="AY68" s="48">
        <v>-8061296.04</v>
      </c>
      <c r="AZ68" s="48">
        <v>-3526988.6</v>
      </c>
      <c r="BA68" s="48">
        <v>-8333112.9000000004</v>
      </c>
      <c r="BB68" s="48">
        <v>-821838.79</v>
      </c>
      <c r="BC68" s="48">
        <v>-2071650.69</v>
      </c>
      <c r="BD68" s="48">
        <v>-3633490.4</v>
      </c>
      <c r="BE68" s="48">
        <v>-12576168.560000001</v>
      </c>
      <c r="BF68" s="48">
        <v>-7133253.9900000002</v>
      </c>
      <c r="BG68" s="48">
        <v>-2940819.66</v>
      </c>
      <c r="BH68" s="48">
        <v>-2516879.5699999998</v>
      </c>
      <c r="BI68" s="48">
        <v>8744950.6500000004</v>
      </c>
      <c r="BJ68" s="48">
        <v>14650393.49</v>
      </c>
      <c r="BK68" s="48">
        <v>15927037.050000001</v>
      </c>
      <c r="BL68" s="48">
        <v>6393201.8399999999</v>
      </c>
      <c r="BM68" s="48">
        <v>7360831.6900000004</v>
      </c>
      <c r="BN68" s="48">
        <v>8294311.9100000001</v>
      </c>
      <c r="BO68" s="48">
        <v>4854831.74</v>
      </c>
      <c r="BP68" s="48">
        <v>8338188.3899999997</v>
      </c>
      <c r="BQ68" s="48">
        <v>5508116.9500000002</v>
      </c>
      <c r="BR68" s="48">
        <v>3768713.32</v>
      </c>
      <c r="BS68" s="48">
        <v>3410802.03</v>
      </c>
      <c r="BT68" s="48">
        <v>-87429.7</v>
      </c>
      <c r="BU68" s="48">
        <v>-6568664.4100000001</v>
      </c>
      <c r="BV68" s="48">
        <v>5932455.8700000001</v>
      </c>
      <c r="BW68" s="48">
        <v>868607.39</v>
      </c>
      <c r="BX68" s="48">
        <v>17436730.539999999</v>
      </c>
      <c r="BY68" s="48">
        <v>22884335.809999999</v>
      </c>
      <c r="BZ68" s="48">
        <v>0</v>
      </c>
      <c r="CA68" s="48">
        <v>49930619.770000003</v>
      </c>
      <c r="CB68" s="48">
        <v>0</v>
      </c>
      <c r="CC68" s="48">
        <v>24077630.73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</row>
    <row r="69" spans="1:89">
      <c r="A69" s="28" t="s">
        <v>168</v>
      </c>
      <c r="B69" s="38">
        <v>0.08</v>
      </c>
      <c r="C69" s="38">
        <v>0.08</v>
      </c>
      <c r="D69" s="38">
        <v>0.08</v>
      </c>
      <c r="E69" s="38">
        <v>0.08</v>
      </c>
      <c r="F69" s="38">
        <v>0.08</v>
      </c>
      <c r="G69" s="38">
        <v>0.08</v>
      </c>
      <c r="H69" s="38">
        <v>0.08</v>
      </c>
      <c r="I69" s="38">
        <v>0.08</v>
      </c>
      <c r="J69" s="38">
        <v>0.08</v>
      </c>
      <c r="K69" s="38">
        <v>0.08</v>
      </c>
      <c r="L69" s="38">
        <v>0.08</v>
      </c>
      <c r="M69" s="38">
        <v>0.08</v>
      </c>
      <c r="N69" s="38">
        <v>0.08</v>
      </c>
      <c r="O69" s="38">
        <v>0.08</v>
      </c>
      <c r="P69" s="38">
        <v>0.08</v>
      </c>
      <c r="Q69" s="38">
        <v>0.08</v>
      </c>
      <c r="R69" s="38">
        <v>0.08</v>
      </c>
      <c r="S69" s="38">
        <v>0.08</v>
      </c>
      <c r="T69" s="38">
        <v>0.08</v>
      </c>
      <c r="U69" s="38">
        <v>0.08</v>
      </c>
      <c r="V69" s="38">
        <v>0.08</v>
      </c>
      <c r="W69" s="38">
        <v>0.08</v>
      </c>
      <c r="X69" s="38">
        <v>0.08</v>
      </c>
      <c r="Y69" s="38">
        <v>0.08</v>
      </c>
      <c r="Z69" s="38">
        <v>0.08</v>
      </c>
      <c r="AA69" s="38">
        <v>0.08</v>
      </c>
      <c r="AB69" s="38">
        <v>0.08</v>
      </c>
      <c r="AC69" s="38">
        <v>0.08</v>
      </c>
      <c r="AD69" s="38">
        <v>0.08</v>
      </c>
      <c r="AE69" s="38">
        <v>0.08</v>
      </c>
      <c r="AF69" s="38">
        <v>0.08</v>
      </c>
      <c r="AG69" s="38">
        <v>0.08</v>
      </c>
      <c r="AH69" s="38">
        <v>0.08</v>
      </c>
      <c r="AI69" s="38">
        <v>0.08</v>
      </c>
      <c r="AJ69" s="38">
        <v>0.08</v>
      </c>
      <c r="AK69" s="38">
        <v>0.08</v>
      </c>
      <c r="AL69" s="38">
        <v>0.08</v>
      </c>
      <c r="AM69" s="38">
        <v>0.08</v>
      </c>
      <c r="AN69" s="38">
        <v>0.08</v>
      </c>
      <c r="AO69" s="38">
        <v>0.08</v>
      </c>
      <c r="AP69" s="38">
        <v>0.08</v>
      </c>
      <c r="AQ69" s="38">
        <v>0.08</v>
      </c>
      <c r="AR69" s="38">
        <v>0.08</v>
      </c>
      <c r="AS69" s="38">
        <v>0.08</v>
      </c>
      <c r="AT69" s="38">
        <v>0.08</v>
      </c>
      <c r="AU69" s="38">
        <v>0.08</v>
      </c>
      <c r="AV69" s="38">
        <v>0.08</v>
      </c>
      <c r="AW69" s="38">
        <v>0.08</v>
      </c>
      <c r="AX69" s="38">
        <v>0.08</v>
      </c>
      <c r="AY69" s="38">
        <v>0.08</v>
      </c>
      <c r="AZ69" s="38">
        <v>0.08</v>
      </c>
      <c r="BA69" s="38">
        <v>0.08</v>
      </c>
      <c r="BB69" s="38">
        <v>0.08</v>
      </c>
      <c r="BC69" s="38">
        <v>0.08</v>
      </c>
      <c r="BD69" s="38">
        <v>0.08</v>
      </c>
      <c r="BE69" s="38">
        <v>0.08</v>
      </c>
      <c r="BF69" s="38">
        <v>0.08</v>
      </c>
      <c r="BG69" s="38">
        <v>0.08</v>
      </c>
      <c r="BH69" s="38">
        <v>0.08</v>
      </c>
      <c r="BI69" s="38">
        <v>0.08</v>
      </c>
      <c r="BJ69" s="38">
        <v>0.08</v>
      </c>
      <c r="BK69" s="38">
        <v>0.08</v>
      </c>
      <c r="BL69" s="38">
        <v>0.08</v>
      </c>
      <c r="BM69" s="38">
        <v>0.08</v>
      </c>
      <c r="BN69" s="38">
        <v>0.08</v>
      </c>
      <c r="BO69" s="38">
        <v>0.08</v>
      </c>
      <c r="BP69" s="38">
        <v>0.08</v>
      </c>
      <c r="BQ69" s="38">
        <v>0.08</v>
      </c>
      <c r="BR69" s="38">
        <v>0.08</v>
      </c>
      <c r="BS69" s="38">
        <v>0.08</v>
      </c>
      <c r="BT69" s="38">
        <v>0.08</v>
      </c>
      <c r="BU69" s="38">
        <v>0.08</v>
      </c>
      <c r="BV69" s="38">
        <v>0.08</v>
      </c>
      <c r="BW69" s="38">
        <v>0.08</v>
      </c>
      <c r="BX69" s="38">
        <v>0.08</v>
      </c>
      <c r="BY69" s="38">
        <v>0.08</v>
      </c>
      <c r="BZ69" s="38">
        <v>0.08</v>
      </c>
      <c r="CA69" s="38">
        <v>0.08</v>
      </c>
      <c r="CB69" s="38">
        <v>0.08</v>
      </c>
      <c r="CC69" s="38">
        <v>0.08</v>
      </c>
      <c r="CD69" s="38">
        <v>0.08</v>
      </c>
      <c r="CE69" s="38">
        <v>0.08</v>
      </c>
      <c r="CF69" s="38">
        <v>0.08</v>
      </c>
      <c r="CG69" s="38">
        <v>0.08</v>
      </c>
      <c r="CH69" s="38">
        <v>0.08</v>
      </c>
      <c r="CI69" s="38">
        <v>0.08</v>
      </c>
      <c r="CJ69" s="38">
        <v>0.08</v>
      </c>
      <c r="CK69" s="5"/>
    </row>
    <row r="70" spans="1:89">
      <c r="A70" s="28" t="s">
        <v>169</v>
      </c>
      <c r="B70" s="48">
        <v>12904518764.76</v>
      </c>
      <c r="C70" s="48">
        <v>12221434455.6</v>
      </c>
      <c r="D70" s="48">
        <v>12912562278.25</v>
      </c>
      <c r="E70" s="48">
        <v>12430597523.120001</v>
      </c>
      <c r="F70" s="48">
        <v>12029747314.17</v>
      </c>
      <c r="G70" s="48">
        <v>11334539158.959999</v>
      </c>
      <c r="H70" s="48">
        <v>11991421359.690001</v>
      </c>
      <c r="I70" s="48">
        <v>11590462217.709999</v>
      </c>
      <c r="J70" s="48">
        <v>11154331271.540001</v>
      </c>
      <c r="K70" s="48">
        <v>10473866210.700001</v>
      </c>
      <c r="L70" s="48">
        <v>10836235085.610001</v>
      </c>
      <c r="M70" s="48">
        <v>10486485399.58</v>
      </c>
      <c r="N70" s="48">
        <v>10150002302.440001</v>
      </c>
      <c r="O70" s="48">
        <v>8793691583.7700005</v>
      </c>
      <c r="P70" s="48">
        <v>8920783725.5499992</v>
      </c>
      <c r="Q70" s="48">
        <v>8611904664.5599995</v>
      </c>
      <c r="R70" s="48">
        <v>8393095128.8100004</v>
      </c>
      <c r="S70" s="48">
        <v>7812351103.7200003</v>
      </c>
      <c r="T70" s="48">
        <v>8385910806.3000002</v>
      </c>
      <c r="U70" s="48">
        <v>8066834877.1999998</v>
      </c>
      <c r="V70" s="48">
        <v>7641813652.96</v>
      </c>
      <c r="W70" s="48">
        <v>6963644930.1800003</v>
      </c>
      <c r="X70" s="48">
        <v>7347942839.21</v>
      </c>
      <c r="Y70" s="48">
        <v>7130400389.7700005</v>
      </c>
      <c r="Z70" s="48">
        <v>7074987759.5699997</v>
      </c>
      <c r="AA70" s="48">
        <v>7912902249.2399998</v>
      </c>
      <c r="AB70" s="48">
        <v>8229113686.3800001</v>
      </c>
      <c r="AC70" s="48">
        <v>7378235361.5500002</v>
      </c>
      <c r="AD70" s="48">
        <v>7765121215.1099997</v>
      </c>
      <c r="AE70" s="48">
        <v>7424720722.8400002</v>
      </c>
      <c r="AF70" s="48">
        <v>7684546151.0600004</v>
      </c>
      <c r="AG70" s="48">
        <v>7394374040.6700001</v>
      </c>
      <c r="AH70" s="48">
        <v>7235412065.54</v>
      </c>
      <c r="AI70" s="48">
        <v>6972334431.0200005</v>
      </c>
      <c r="AJ70" s="48">
        <v>7020191577.8800001</v>
      </c>
      <c r="AK70" s="48">
        <v>6768024834.9300003</v>
      </c>
      <c r="AL70" s="48">
        <v>6797030814.6999998</v>
      </c>
      <c r="AM70" s="48">
        <v>6382528020.7799997</v>
      </c>
      <c r="AN70" s="48">
        <v>6425202958.3599997</v>
      </c>
      <c r="AO70" s="48">
        <v>6194742861.0100002</v>
      </c>
      <c r="AP70" s="48">
        <v>6018031781.5100002</v>
      </c>
      <c r="AQ70" s="48">
        <v>5789448818.9700003</v>
      </c>
      <c r="AR70" s="48">
        <v>5856405893.5</v>
      </c>
      <c r="AS70" s="48">
        <v>5658752935.3100004</v>
      </c>
      <c r="AT70" s="48">
        <v>5557397185.8000002</v>
      </c>
      <c r="AU70" s="48">
        <v>5294185121.96</v>
      </c>
      <c r="AV70" s="48">
        <v>5276800465.9200001</v>
      </c>
      <c r="AW70" s="48">
        <v>5181853244.1599998</v>
      </c>
      <c r="AX70" s="48">
        <v>5011911653.6700001</v>
      </c>
      <c r="AY70" s="48">
        <v>4820276191.9799995</v>
      </c>
      <c r="AZ70" s="48">
        <v>5010338103.3100004</v>
      </c>
      <c r="BA70" s="48">
        <v>4895309580.54</v>
      </c>
      <c r="BB70" s="48">
        <v>4888570328.4099998</v>
      </c>
      <c r="BC70" s="48">
        <v>4807601462.5600004</v>
      </c>
      <c r="BD70" s="48">
        <v>5068821027.4499998</v>
      </c>
      <c r="BE70" s="48">
        <v>4926753550.1099997</v>
      </c>
      <c r="BF70" s="48">
        <v>4808299542.9399996</v>
      </c>
      <c r="BG70" s="48">
        <v>4751398778.0100002</v>
      </c>
      <c r="BH70" s="48">
        <v>4805853655.8900003</v>
      </c>
      <c r="BI70" s="48">
        <v>4648133672.2799997</v>
      </c>
      <c r="BJ70" s="48">
        <v>4488942480.3800001</v>
      </c>
      <c r="BK70" s="48">
        <v>4292913533.4400001</v>
      </c>
      <c r="BL70" s="48">
        <v>4290589554.0599999</v>
      </c>
      <c r="BM70" s="48">
        <v>4205781132.7199998</v>
      </c>
      <c r="BN70" s="48">
        <v>4125320111.8000002</v>
      </c>
      <c r="BO70" s="48">
        <v>3954027963.8899999</v>
      </c>
      <c r="BP70" s="48">
        <v>3988477317.79</v>
      </c>
      <c r="BQ70" s="48">
        <v>3875929168.1599998</v>
      </c>
      <c r="BR70" s="48">
        <v>3795371454.2600002</v>
      </c>
      <c r="BS70" s="48">
        <v>3599541620.5700002</v>
      </c>
      <c r="BT70" s="48">
        <v>3730682761.8000002</v>
      </c>
      <c r="BU70" s="48">
        <v>3598065094.6500001</v>
      </c>
      <c r="BV70" s="48">
        <v>2191187359.48</v>
      </c>
      <c r="BW70" s="48">
        <v>2108608785.3</v>
      </c>
      <c r="BX70" s="48">
        <v>1229599139.29</v>
      </c>
      <c r="BY70" s="48">
        <v>1243135953.28</v>
      </c>
      <c r="BZ70" s="48">
        <v>1174616352.97</v>
      </c>
      <c r="CA70" s="48">
        <v>1161133968.48</v>
      </c>
      <c r="CB70" s="48">
        <v>1183711862.5699999</v>
      </c>
      <c r="CC70" s="48">
        <v>1077817608.03</v>
      </c>
      <c r="CD70" s="48">
        <v>1076597245.8299999</v>
      </c>
      <c r="CE70" s="48">
        <v>1079738000</v>
      </c>
      <c r="CF70" s="48">
        <v>1004228352.76</v>
      </c>
      <c r="CG70" s="48">
        <v>492689900.37</v>
      </c>
      <c r="CH70" s="48">
        <v>0</v>
      </c>
      <c r="CI70" s="48">
        <v>0</v>
      </c>
      <c r="CJ70" s="48">
        <v>0</v>
      </c>
      <c r="CK70" s="48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投资和筹资活动现金流表"/>
  <dimension ref="A1:BV48"/>
  <sheetViews>
    <sheetView topLeftCell="A26" workbookViewId="0">
      <selection activeCell="A51" sqref="A51"/>
    </sheetView>
  </sheetViews>
  <sheetFormatPr defaultRowHeight="13.5"/>
  <cols>
    <col min="1" max="1" width="55.875" style="23" bestFit="1" customWidth="1"/>
    <col min="2" max="2" width="22" hidden="1" customWidth="1"/>
    <col min="3" max="3" width="19.5" hidden="1" customWidth="1"/>
    <col min="4" max="4" width="19.37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5" width="19.5" hidden="1" customWidth="1"/>
    <col min="36" max="36" width="19.375" hidden="1" customWidth="1"/>
    <col min="37" max="37" width="19.5" bestFit="1" customWidth="1"/>
    <col min="38" max="38" width="19.5" hidden="1" customWidth="1"/>
    <col min="39" max="40" width="19.375" hidden="1" customWidth="1"/>
    <col min="41" max="41" width="19.5" bestFit="1" customWidth="1"/>
    <col min="42" max="42" width="19.5" hidden="1" customWidth="1"/>
    <col min="43" max="44" width="19.375" hidden="1" customWidth="1"/>
    <col min="45" max="45" width="19.5" bestFit="1" customWidth="1"/>
    <col min="46" max="46" width="19.5" hidden="1" customWidth="1"/>
    <col min="47" max="48" width="19.375" hidden="1" customWidth="1"/>
    <col min="49" max="49" width="19.5" bestFit="1" customWidth="1"/>
    <col min="50" max="50" width="19.5" hidden="1" customWidth="1"/>
    <col min="51" max="52" width="19.375" hidden="1" customWidth="1"/>
    <col min="53" max="53" width="19.5" bestFit="1" customWidth="1"/>
    <col min="54" max="55" width="19.5" hidden="1" customWidth="1"/>
    <col min="56" max="56" width="19.375" hidden="1" customWidth="1"/>
    <col min="57" max="57" width="19.5" bestFit="1" customWidth="1"/>
    <col min="58" max="58" width="19.5" hidden="1" customWidth="1"/>
    <col min="59" max="60" width="19.375" hidden="1" customWidth="1"/>
    <col min="61" max="61" width="19.5" bestFit="1" customWidth="1"/>
    <col min="62" max="63" width="19.5" hidden="1" customWidth="1"/>
    <col min="64" max="64" width="19.375" hidden="1" customWidth="1"/>
    <col min="65" max="65" width="19.5" bestFit="1" customWidth="1"/>
    <col min="66" max="66" width="19.375" hidden="1" customWidth="1"/>
    <col min="67" max="67" width="19.5" bestFit="1" customWidth="1"/>
    <col min="68" max="68" width="19.375" hidden="1" customWidth="1"/>
    <col min="69" max="69" width="19.5" bestFit="1" customWidth="1"/>
    <col min="70" max="70" width="19.5" hidden="1" customWidth="1"/>
    <col min="71" max="71" width="19.5" bestFit="1" customWidth="1"/>
    <col min="72" max="72" width="19.5" hidden="1" customWidth="1"/>
    <col min="73" max="73" width="19.375" bestFit="1" customWidth="1"/>
    <col min="74" max="74" width="19.375" hidden="1" customWidth="1"/>
  </cols>
  <sheetData>
    <row r="1" spans="1:74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54" customFormat="1">
      <c r="A2" s="55" t="s">
        <v>359</v>
      </c>
    </row>
    <row r="3" spans="1:74">
      <c r="A3" s="23" t="s">
        <v>389</v>
      </c>
      <c r="B3" s="48">
        <v>107022.23</v>
      </c>
      <c r="C3" s="48">
        <v>106722.23</v>
      </c>
      <c r="D3" s="48">
        <v>18705.3</v>
      </c>
      <c r="E3" s="48">
        <v>3295447.09</v>
      </c>
      <c r="F3" s="48">
        <v>2467600</v>
      </c>
      <c r="G3" s="48">
        <v>2457600</v>
      </c>
      <c r="H3" s="48">
        <v>1351100</v>
      </c>
      <c r="I3" s="48">
        <v>5600043.7300000004</v>
      </c>
      <c r="J3" s="48">
        <v>5251465.7300000004</v>
      </c>
      <c r="K3" s="48">
        <v>4927285.6399999997</v>
      </c>
      <c r="L3" s="48">
        <v>4716285.6399999997</v>
      </c>
      <c r="M3" s="48">
        <v>96734648.75</v>
      </c>
      <c r="N3" s="48">
        <v>86174108.109999999</v>
      </c>
      <c r="O3" s="48">
        <v>82772701.129999995</v>
      </c>
      <c r="P3" s="48">
        <v>802433.81</v>
      </c>
      <c r="Q3" s="48">
        <v>94986586.040000007</v>
      </c>
      <c r="R3" s="48">
        <v>11811362.74</v>
      </c>
      <c r="S3" s="48">
        <v>8770246.2100000009</v>
      </c>
      <c r="T3" s="48">
        <v>1405004.24</v>
      </c>
      <c r="U3" s="48">
        <v>23413496.690000001</v>
      </c>
      <c r="V3" s="48">
        <v>6178017.9100000001</v>
      </c>
      <c r="W3" s="48">
        <v>5842778.5899999999</v>
      </c>
      <c r="X3" s="48">
        <v>846571.14</v>
      </c>
      <c r="Y3" s="48">
        <v>22232931.359999999</v>
      </c>
      <c r="Z3" s="48">
        <v>77109303.209999993</v>
      </c>
      <c r="AA3" s="48">
        <v>32523194.649999999</v>
      </c>
      <c r="AB3" s="48">
        <v>28588075</v>
      </c>
      <c r="AC3" s="48">
        <v>15598358.300000001</v>
      </c>
      <c r="AD3" s="48">
        <v>9670513.25</v>
      </c>
      <c r="AE3" s="48">
        <v>4023185.12</v>
      </c>
      <c r="AF3" s="48">
        <v>957559.99</v>
      </c>
      <c r="AG3" s="48">
        <v>91689355.269999996</v>
      </c>
      <c r="AH3" s="48">
        <v>21816753.629999999</v>
      </c>
      <c r="AI3" s="48">
        <v>14575555.6</v>
      </c>
      <c r="AJ3" s="48">
        <v>40392350</v>
      </c>
      <c r="AK3" s="48">
        <v>43380552.960000001</v>
      </c>
      <c r="AL3" s="48">
        <v>15083092.1</v>
      </c>
      <c r="AM3" s="48">
        <v>14785914.1</v>
      </c>
      <c r="AN3" s="48">
        <v>551779</v>
      </c>
      <c r="AO3" s="48">
        <v>17318218.550000001</v>
      </c>
      <c r="AP3" s="48">
        <v>4778366.91</v>
      </c>
      <c r="AQ3" s="48">
        <v>617627.93000000005</v>
      </c>
      <c r="AR3" s="48">
        <v>121437</v>
      </c>
      <c r="AS3" s="48">
        <v>4960461.82</v>
      </c>
      <c r="AT3" s="48">
        <v>543776</v>
      </c>
      <c r="AU3" s="48">
        <v>557603.34</v>
      </c>
      <c r="AV3" s="48">
        <v>309913</v>
      </c>
      <c r="AW3" s="48">
        <v>61630536.399999999</v>
      </c>
      <c r="AX3" s="48">
        <v>63966253.140000001</v>
      </c>
      <c r="AY3" s="48">
        <v>63791840.140000001</v>
      </c>
      <c r="AZ3" s="48">
        <v>1842210</v>
      </c>
      <c r="BA3" s="48">
        <v>40651686.079999998</v>
      </c>
      <c r="BB3" s="48">
        <v>10256240</v>
      </c>
      <c r="BC3" s="48">
        <v>517921</v>
      </c>
      <c r="BD3" s="48">
        <v>88000</v>
      </c>
      <c r="BE3" s="48">
        <v>71474742.049999997</v>
      </c>
      <c r="BF3" s="48">
        <v>38868434.75</v>
      </c>
      <c r="BG3" s="48">
        <v>38416702</v>
      </c>
      <c r="BH3" s="48">
        <v>274402</v>
      </c>
      <c r="BI3" s="48">
        <v>41365363.460000001</v>
      </c>
      <c r="BJ3" s="48">
        <v>2491931.35</v>
      </c>
      <c r="BK3" s="48">
        <v>1992514.85</v>
      </c>
      <c r="BL3" s="48">
        <v>1162020.5</v>
      </c>
      <c r="BM3" s="48">
        <v>2987939.02</v>
      </c>
      <c r="BN3" s="48">
        <v>1058594</v>
      </c>
      <c r="BO3" s="48">
        <v>6827460.8499999996</v>
      </c>
      <c r="BP3" s="48">
        <v>261643</v>
      </c>
      <c r="BQ3" s="48">
        <v>1346419</v>
      </c>
      <c r="BR3" s="48">
        <v>481330</v>
      </c>
      <c r="BS3" s="48">
        <v>1785585.16</v>
      </c>
      <c r="BT3" s="48">
        <v>121328</v>
      </c>
      <c r="BU3" s="48">
        <v>1920433.63</v>
      </c>
      <c r="BV3" s="48">
        <v>0</v>
      </c>
    </row>
    <row r="4" spans="1:74">
      <c r="A4" s="23" t="s">
        <v>373</v>
      </c>
      <c r="B4" s="48">
        <v>194787493.34</v>
      </c>
      <c r="C4" s="48">
        <v>124779699.81999999</v>
      </c>
      <c r="D4" s="48">
        <v>69487989.120000005</v>
      </c>
      <c r="E4" s="48">
        <v>170487002.40000001</v>
      </c>
      <c r="F4" s="48">
        <v>106370490.7</v>
      </c>
      <c r="G4" s="48">
        <v>75033359.260000005</v>
      </c>
      <c r="H4" s="48">
        <v>26341863.579999998</v>
      </c>
      <c r="I4" s="48">
        <v>500609308.82999998</v>
      </c>
      <c r="J4" s="48">
        <v>506053651.13</v>
      </c>
      <c r="K4" s="48">
        <v>467892105.51999998</v>
      </c>
      <c r="L4" s="48">
        <v>331928681.10000002</v>
      </c>
      <c r="M4" s="48">
        <v>382726741.54000002</v>
      </c>
      <c r="N4" s="48">
        <v>235688552.78</v>
      </c>
      <c r="O4" s="48">
        <v>175824016.66999999</v>
      </c>
      <c r="P4" s="48">
        <v>91439220.260000005</v>
      </c>
      <c r="Q4" s="48">
        <v>478732141.14999998</v>
      </c>
      <c r="R4" s="48">
        <v>301442605.58999997</v>
      </c>
      <c r="S4" s="48">
        <v>141598042.44</v>
      </c>
      <c r="T4" s="48">
        <v>73014905.510000005</v>
      </c>
      <c r="U4" s="48">
        <v>338010590.17000002</v>
      </c>
      <c r="V4" s="48">
        <v>204949931.97999999</v>
      </c>
      <c r="W4" s="48">
        <v>144699280.11000001</v>
      </c>
      <c r="X4" s="48">
        <v>65920338.539999999</v>
      </c>
      <c r="Y4" s="48">
        <v>509898004.13999999</v>
      </c>
      <c r="Z4" s="48">
        <v>176057238.34</v>
      </c>
      <c r="AA4" s="48">
        <v>154938344.13999999</v>
      </c>
      <c r="AB4" s="48">
        <v>56666351.909999996</v>
      </c>
      <c r="AC4" s="48">
        <v>186359526.97999999</v>
      </c>
      <c r="AD4" s="48">
        <v>123961273.81</v>
      </c>
      <c r="AE4" s="48">
        <v>93124807.310000002</v>
      </c>
      <c r="AF4" s="48">
        <v>55242032.75</v>
      </c>
      <c r="AG4" s="48">
        <v>291699748.41000003</v>
      </c>
      <c r="AH4" s="48">
        <v>231005153.43000001</v>
      </c>
      <c r="AI4" s="48">
        <v>143855996.90000001</v>
      </c>
      <c r="AJ4" s="48">
        <v>72247652.370000005</v>
      </c>
      <c r="AK4" s="48">
        <v>204457321.28999999</v>
      </c>
      <c r="AL4" s="48">
        <v>151200628.47</v>
      </c>
      <c r="AM4" s="48">
        <v>111639208</v>
      </c>
      <c r="AN4" s="48">
        <v>62593595.009999998</v>
      </c>
      <c r="AO4" s="48">
        <v>345652483.20999998</v>
      </c>
      <c r="AP4" s="48">
        <v>199681821.16999999</v>
      </c>
      <c r="AQ4" s="48">
        <v>139663042.84999999</v>
      </c>
      <c r="AR4" s="48">
        <v>88049770.170000002</v>
      </c>
      <c r="AS4" s="48">
        <v>203188800.21000001</v>
      </c>
      <c r="AT4" s="48">
        <v>136073823.53999999</v>
      </c>
      <c r="AU4" s="48">
        <v>69585030.430000007</v>
      </c>
      <c r="AV4" s="48">
        <v>30403694.079999998</v>
      </c>
      <c r="AW4" s="48">
        <v>160167896.80000001</v>
      </c>
      <c r="AX4" s="48">
        <v>123603970.64</v>
      </c>
      <c r="AY4" s="48">
        <v>79998360.459999993</v>
      </c>
      <c r="AZ4" s="48">
        <v>41913112.189999998</v>
      </c>
      <c r="BA4" s="48">
        <v>195376724.21000001</v>
      </c>
      <c r="BB4" s="48">
        <v>136856093.28999999</v>
      </c>
      <c r="BC4" s="48">
        <v>109754391.25</v>
      </c>
      <c r="BD4" s="48">
        <v>11621109.43</v>
      </c>
      <c r="BE4" s="48">
        <v>179871623.03999999</v>
      </c>
      <c r="BF4" s="48">
        <v>60186089.049999997</v>
      </c>
      <c r="BG4" s="48">
        <v>35360561.850000001</v>
      </c>
      <c r="BH4" s="48">
        <v>22426882.170000002</v>
      </c>
      <c r="BI4" s="48">
        <v>238481768.24000001</v>
      </c>
      <c r="BJ4" s="48">
        <v>76763229.650000006</v>
      </c>
      <c r="BK4" s="48">
        <v>62749809.329999998</v>
      </c>
      <c r="BL4" s="48">
        <v>15069822.77</v>
      </c>
      <c r="BM4" s="48">
        <v>104045321.84</v>
      </c>
      <c r="BN4" s="48">
        <v>21510169.949999999</v>
      </c>
      <c r="BO4" s="48">
        <v>58085745.119999997</v>
      </c>
      <c r="BP4" s="48">
        <v>18871331.609999999</v>
      </c>
      <c r="BQ4" s="48">
        <v>107928539.29000001</v>
      </c>
      <c r="BR4" s="48">
        <v>41474775.710000001</v>
      </c>
      <c r="BS4" s="48">
        <v>77554299.430000007</v>
      </c>
      <c r="BT4" s="48">
        <v>5948169.1900000004</v>
      </c>
      <c r="BU4" s="48">
        <v>1672351.66</v>
      </c>
      <c r="BV4" s="48">
        <v>0</v>
      </c>
    </row>
    <row r="5" spans="1:74" s="57" customFormat="1">
      <c r="A5" s="56" t="s">
        <v>362</v>
      </c>
      <c r="E5" s="60">
        <f>E4-E3</f>
        <v>167191555.31</v>
      </c>
      <c r="F5" s="60">
        <f t="shared" ref="F5:BQ5" si="0">F4-F3</f>
        <v>103902890.7</v>
      </c>
      <c r="G5" s="60">
        <f t="shared" si="0"/>
        <v>72575759.260000005</v>
      </c>
      <c r="H5" s="60">
        <f t="shared" si="0"/>
        <v>24990763.579999998</v>
      </c>
      <c r="I5" s="60">
        <f t="shared" si="0"/>
        <v>495009265.09999996</v>
      </c>
      <c r="J5" s="60">
        <f t="shared" si="0"/>
        <v>500802185.39999998</v>
      </c>
      <c r="K5" s="60">
        <f t="shared" si="0"/>
        <v>462964819.88</v>
      </c>
      <c r="L5" s="60">
        <f t="shared" si="0"/>
        <v>327212395.46000004</v>
      </c>
      <c r="M5" s="60">
        <f t="shared" si="0"/>
        <v>285992092.79000002</v>
      </c>
      <c r="N5" s="60">
        <f t="shared" si="0"/>
        <v>149514444.67000002</v>
      </c>
      <c r="O5" s="60">
        <f t="shared" si="0"/>
        <v>93051315.539999992</v>
      </c>
      <c r="P5" s="60">
        <f t="shared" si="0"/>
        <v>90636786.450000003</v>
      </c>
      <c r="Q5" s="60">
        <f t="shared" si="0"/>
        <v>383745555.10999995</v>
      </c>
      <c r="R5" s="60">
        <f t="shared" si="0"/>
        <v>289631242.84999996</v>
      </c>
      <c r="S5" s="60">
        <f t="shared" si="0"/>
        <v>132827796.22999999</v>
      </c>
      <c r="T5" s="60">
        <f t="shared" si="0"/>
        <v>71609901.270000011</v>
      </c>
      <c r="U5" s="60">
        <f t="shared" si="0"/>
        <v>314597093.48000002</v>
      </c>
      <c r="V5" s="60">
        <f t="shared" si="0"/>
        <v>198771914.06999999</v>
      </c>
      <c r="W5" s="60">
        <f t="shared" si="0"/>
        <v>138856501.52000001</v>
      </c>
      <c r="X5" s="60">
        <f t="shared" si="0"/>
        <v>65073767.399999999</v>
      </c>
      <c r="Y5" s="60">
        <f t="shared" si="0"/>
        <v>487665072.77999997</v>
      </c>
      <c r="Z5" s="60">
        <f t="shared" si="0"/>
        <v>98947935.13000001</v>
      </c>
      <c r="AA5" s="60">
        <f t="shared" si="0"/>
        <v>122415149.48999998</v>
      </c>
      <c r="AB5" s="60">
        <f t="shared" si="0"/>
        <v>28078276.909999996</v>
      </c>
      <c r="AC5" s="60">
        <f t="shared" si="0"/>
        <v>170761168.67999998</v>
      </c>
      <c r="AD5" s="60">
        <f t="shared" si="0"/>
        <v>114290760.56</v>
      </c>
      <c r="AE5" s="60">
        <f t="shared" si="0"/>
        <v>89101622.189999998</v>
      </c>
      <c r="AF5" s="60">
        <f t="shared" si="0"/>
        <v>54284472.759999998</v>
      </c>
      <c r="AG5" s="60">
        <f t="shared" si="0"/>
        <v>200010393.14000005</v>
      </c>
      <c r="AH5" s="60">
        <f t="shared" si="0"/>
        <v>209188399.80000001</v>
      </c>
      <c r="AI5" s="60">
        <f t="shared" si="0"/>
        <v>129280441.30000001</v>
      </c>
      <c r="AJ5" s="60">
        <f t="shared" si="0"/>
        <v>31855302.370000005</v>
      </c>
      <c r="AK5" s="60">
        <f t="shared" si="0"/>
        <v>161076768.32999998</v>
      </c>
      <c r="AL5" s="60">
        <f t="shared" si="0"/>
        <v>136117536.37</v>
      </c>
      <c r="AM5" s="60">
        <f t="shared" si="0"/>
        <v>96853293.900000006</v>
      </c>
      <c r="AN5" s="60">
        <f t="shared" si="0"/>
        <v>62041816.009999998</v>
      </c>
      <c r="AO5" s="60">
        <f t="shared" si="0"/>
        <v>328334264.65999997</v>
      </c>
      <c r="AP5" s="60">
        <f t="shared" si="0"/>
        <v>194903454.25999999</v>
      </c>
      <c r="AQ5" s="60">
        <f t="shared" si="0"/>
        <v>139045414.91999999</v>
      </c>
      <c r="AR5" s="60">
        <f t="shared" si="0"/>
        <v>87928333.170000002</v>
      </c>
      <c r="AS5" s="60">
        <f t="shared" si="0"/>
        <v>198228338.39000002</v>
      </c>
      <c r="AT5" s="60">
        <f t="shared" si="0"/>
        <v>135530047.53999999</v>
      </c>
      <c r="AU5" s="60">
        <f t="shared" si="0"/>
        <v>69027427.090000004</v>
      </c>
      <c r="AV5" s="60">
        <f t="shared" si="0"/>
        <v>30093781.079999998</v>
      </c>
      <c r="AW5" s="60">
        <f t="shared" si="0"/>
        <v>98537360.400000006</v>
      </c>
      <c r="AX5" s="60">
        <f t="shared" si="0"/>
        <v>59637717.5</v>
      </c>
      <c r="AY5" s="60">
        <f t="shared" si="0"/>
        <v>16206520.319999993</v>
      </c>
      <c r="AZ5" s="60">
        <f t="shared" si="0"/>
        <v>40070902.189999998</v>
      </c>
      <c r="BA5" s="60">
        <f t="shared" si="0"/>
        <v>154725038.13</v>
      </c>
      <c r="BB5" s="60">
        <f t="shared" si="0"/>
        <v>126599853.28999999</v>
      </c>
      <c r="BC5" s="60">
        <f t="shared" si="0"/>
        <v>109236470.25</v>
      </c>
      <c r="BD5" s="60">
        <f t="shared" si="0"/>
        <v>11533109.43</v>
      </c>
      <c r="BE5" s="60">
        <f t="shared" si="0"/>
        <v>108396880.98999999</v>
      </c>
      <c r="BF5" s="60">
        <f t="shared" si="0"/>
        <v>21317654.299999997</v>
      </c>
      <c r="BG5" s="60">
        <f t="shared" si="0"/>
        <v>-3056140.1499999985</v>
      </c>
      <c r="BH5" s="60">
        <f t="shared" si="0"/>
        <v>22152480.170000002</v>
      </c>
      <c r="BI5" s="60">
        <f t="shared" si="0"/>
        <v>197116404.78</v>
      </c>
      <c r="BJ5" s="60">
        <f t="shared" si="0"/>
        <v>74271298.300000012</v>
      </c>
      <c r="BK5" s="60">
        <f t="shared" si="0"/>
        <v>60757294.479999997</v>
      </c>
      <c r="BL5" s="60">
        <f t="shared" si="0"/>
        <v>13907802.27</v>
      </c>
      <c r="BM5" s="60">
        <f t="shared" si="0"/>
        <v>101057382.82000001</v>
      </c>
      <c r="BN5" s="60">
        <f t="shared" si="0"/>
        <v>20451575.949999999</v>
      </c>
      <c r="BO5" s="60">
        <f t="shared" si="0"/>
        <v>51258284.269999996</v>
      </c>
      <c r="BP5" s="60">
        <f t="shared" si="0"/>
        <v>18609688.609999999</v>
      </c>
      <c r="BQ5" s="60">
        <f t="shared" si="0"/>
        <v>106582120.29000001</v>
      </c>
      <c r="BR5" s="60">
        <f t="shared" ref="BR5:BU5" si="1">BR4-BR3</f>
        <v>40993445.710000001</v>
      </c>
      <c r="BS5" s="60">
        <f t="shared" si="1"/>
        <v>75768714.270000011</v>
      </c>
      <c r="BT5" s="60">
        <f t="shared" si="1"/>
        <v>5826841.1900000004</v>
      </c>
      <c r="BU5" s="60">
        <f t="shared" si="1"/>
        <v>-248081.96999999997</v>
      </c>
    </row>
    <row r="6" spans="1:74" s="59" customFormat="1">
      <c r="A6" s="58" t="s">
        <v>374</v>
      </c>
      <c r="B6" s="48">
        <v>0</v>
      </c>
      <c r="C6" s="48">
        <v>104345762.37</v>
      </c>
      <c r="D6" s="48">
        <v>0</v>
      </c>
      <c r="E6" s="48">
        <v>216291451.30000001</v>
      </c>
      <c r="F6" s="48">
        <v>0</v>
      </c>
      <c r="G6" s="48">
        <v>108325102.36</v>
      </c>
      <c r="H6" s="48">
        <v>0</v>
      </c>
      <c r="I6" s="48">
        <v>203128375.74000001</v>
      </c>
      <c r="J6" s="48">
        <v>0</v>
      </c>
      <c r="K6" s="48">
        <v>96679162.939999998</v>
      </c>
      <c r="L6" s="48">
        <v>0</v>
      </c>
      <c r="M6" s="48">
        <v>222847806.49000001</v>
      </c>
      <c r="N6" s="48">
        <v>0</v>
      </c>
      <c r="O6" s="48">
        <v>119450542.08</v>
      </c>
      <c r="P6" s="48">
        <v>0</v>
      </c>
      <c r="Q6" s="48">
        <v>206709237.77000001</v>
      </c>
      <c r="R6" s="48">
        <v>0</v>
      </c>
      <c r="S6" s="48">
        <v>100964149.67</v>
      </c>
      <c r="T6" s="48">
        <v>0</v>
      </c>
      <c r="U6" s="48">
        <v>190840526.88</v>
      </c>
      <c r="V6" s="48">
        <v>0</v>
      </c>
      <c r="W6" s="48">
        <v>94240872.510000005</v>
      </c>
      <c r="X6" s="48">
        <v>0</v>
      </c>
      <c r="Y6" s="48">
        <v>211656428.75</v>
      </c>
      <c r="Z6" s="48">
        <v>0</v>
      </c>
      <c r="AA6" s="48">
        <v>75401710.290000007</v>
      </c>
      <c r="AB6" s="48">
        <v>0</v>
      </c>
      <c r="AC6" s="48">
        <v>179708807.44</v>
      </c>
      <c r="AD6" s="48">
        <v>0</v>
      </c>
      <c r="AE6" s="48">
        <v>93353490.260000005</v>
      </c>
      <c r="AF6" s="48">
        <v>0</v>
      </c>
      <c r="AG6" s="48">
        <v>183797295.69</v>
      </c>
      <c r="AH6" s="48">
        <v>0</v>
      </c>
      <c r="AI6" s="48">
        <v>96421944.840000004</v>
      </c>
      <c r="AJ6" s="48">
        <v>0</v>
      </c>
      <c r="AK6" s="48">
        <v>173832101</v>
      </c>
      <c r="AL6" s="48">
        <v>0</v>
      </c>
      <c r="AM6" s="48">
        <v>74238264.670000002</v>
      </c>
      <c r="AN6" s="48">
        <v>0</v>
      </c>
      <c r="AO6" s="48">
        <v>149697083.86000001</v>
      </c>
      <c r="AP6" s="48">
        <v>0</v>
      </c>
      <c r="AQ6" s="48">
        <v>76707133.730000004</v>
      </c>
      <c r="AR6" s="48">
        <v>0</v>
      </c>
      <c r="AS6" s="48">
        <v>149095466.41</v>
      </c>
      <c r="AT6" s="48">
        <v>0</v>
      </c>
      <c r="AU6" s="48">
        <v>70480885.659999996</v>
      </c>
      <c r="AV6" s="48">
        <v>0</v>
      </c>
      <c r="AW6" s="48">
        <v>135970339.59</v>
      </c>
      <c r="AX6" s="48">
        <v>99638377.700000003</v>
      </c>
      <c r="AY6" s="48">
        <v>66467900.159999996</v>
      </c>
      <c r="AZ6" s="48">
        <v>32543624.02</v>
      </c>
      <c r="BA6" s="48">
        <v>127237559.11</v>
      </c>
      <c r="BB6" s="48">
        <v>102527567.28</v>
      </c>
      <c r="BC6" s="48">
        <v>60330594.689999998</v>
      </c>
      <c r="BD6" s="48">
        <v>32978661.32</v>
      </c>
      <c r="BE6" s="48">
        <v>126409348.19</v>
      </c>
      <c r="BF6" s="48">
        <v>100643777.94</v>
      </c>
      <c r="BG6" s="48">
        <v>67804503.920000002</v>
      </c>
      <c r="BH6" s="48">
        <v>33559333.810000002</v>
      </c>
      <c r="BI6" s="48">
        <v>109899974.7</v>
      </c>
      <c r="BJ6" s="48">
        <v>84496337.579999998</v>
      </c>
      <c r="BK6" s="48">
        <v>52892178.280000001</v>
      </c>
      <c r="BL6" s="48">
        <v>31403755.149999999</v>
      </c>
      <c r="BM6" s="48">
        <v>107782040.09</v>
      </c>
      <c r="BN6" s="48">
        <v>44246118.780000001</v>
      </c>
      <c r="BO6" s="48">
        <v>88222126.709999993</v>
      </c>
      <c r="BP6" s="48">
        <v>41275585.07</v>
      </c>
      <c r="BQ6" s="48">
        <v>95503651.379999995</v>
      </c>
      <c r="BR6" s="48">
        <v>40994058.859999999</v>
      </c>
      <c r="BS6" s="48">
        <v>89520764.239999995</v>
      </c>
      <c r="BT6" s="48">
        <v>41116374.049999997</v>
      </c>
      <c r="BU6" s="48">
        <v>26243609.890000001</v>
      </c>
      <c r="BV6" s="48">
        <v>0</v>
      </c>
    </row>
    <row r="7" spans="1:74">
      <c r="A7" s="23" t="s">
        <v>375</v>
      </c>
      <c r="B7" s="48">
        <v>0</v>
      </c>
      <c r="C7" s="48">
        <v>6355119.8399999999</v>
      </c>
      <c r="D7" s="48">
        <v>0</v>
      </c>
      <c r="E7" s="48">
        <v>12100977.699999999</v>
      </c>
      <c r="F7" s="48">
        <v>0</v>
      </c>
      <c r="G7" s="48">
        <v>5621280.7300000004</v>
      </c>
      <c r="H7" s="48">
        <v>0</v>
      </c>
      <c r="I7" s="48">
        <v>11766445.74</v>
      </c>
      <c r="J7" s="48">
        <v>0</v>
      </c>
      <c r="K7" s="48">
        <v>7042826.4699999997</v>
      </c>
      <c r="L7" s="48">
        <v>0</v>
      </c>
      <c r="M7" s="48">
        <v>10836222.99</v>
      </c>
      <c r="N7" s="48">
        <v>0</v>
      </c>
      <c r="O7" s="48">
        <v>5389341.1500000004</v>
      </c>
      <c r="P7" s="48">
        <v>0</v>
      </c>
      <c r="Q7" s="48">
        <v>29509235.420000002</v>
      </c>
      <c r="R7" s="48">
        <v>0</v>
      </c>
      <c r="S7" s="48">
        <v>5904966.6299999999</v>
      </c>
      <c r="T7" s="48">
        <v>0</v>
      </c>
      <c r="U7" s="48">
        <v>18250433.190000001</v>
      </c>
      <c r="V7" s="48">
        <v>0</v>
      </c>
      <c r="W7" s="48">
        <v>7194405.1900000004</v>
      </c>
      <c r="X7" s="48">
        <v>0</v>
      </c>
      <c r="Y7" s="48">
        <v>11104598.15</v>
      </c>
      <c r="Z7" s="48">
        <v>0</v>
      </c>
      <c r="AA7" s="48">
        <v>3637111.92</v>
      </c>
      <c r="AB7" s="48">
        <v>0</v>
      </c>
      <c r="AC7" s="48">
        <v>11362406.59</v>
      </c>
      <c r="AD7" s="48">
        <v>0</v>
      </c>
      <c r="AE7" s="48">
        <v>5885056.0300000003</v>
      </c>
      <c r="AF7" s="48">
        <v>0</v>
      </c>
      <c r="AG7" s="48">
        <v>13455764.949999999</v>
      </c>
      <c r="AH7" s="48">
        <v>0</v>
      </c>
      <c r="AI7" s="48">
        <v>7770726.2400000002</v>
      </c>
      <c r="AJ7" s="48">
        <v>0</v>
      </c>
      <c r="AK7" s="48">
        <v>10476796.07</v>
      </c>
      <c r="AL7" s="48">
        <v>0</v>
      </c>
      <c r="AM7" s="48">
        <v>3985898.22</v>
      </c>
      <c r="AN7" s="48">
        <v>0</v>
      </c>
      <c r="AO7" s="48">
        <v>8281692.7300000004</v>
      </c>
      <c r="AP7" s="48">
        <v>0</v>
      </c>
      <c r="AQ7" s="48">
        <v>4287664.18</v>
      </c>
      <c r="AR7" s="48">
        <v>0</v>
      </c>
      <c r="AS7" s="48">
        <v>9182599.4299999997</v>
      </c>
      <c r="AT7" s="48">
        <v>0</v>
      </c>
      <c r="AU7" s="48">
        <v>4229515.78</v>
      </c>
      <c r="AV7" s="48">
        <v>0</v>
      </c>
      <c r="AW7" s="48">
        <v>7588614.3200000003</v>
      </c>
      <c r="AX7" s="48">
        <v>5366158.8</v>
      </c>
      <c r="AY7" s="48">
        <v>3936162.12</v>
      </c>
      <c r="AZ7" s="48">
        <v>1714130.86</v>
      </c>
      <c r="BA7" s="48">
        <v>8559224.7200000007</v>
      </c>
      <c r="BB7" s="48">
        <v>6334941.6399999997</v>
      </c>
      <c r="BC7" s="48">
        <v>3852457.77</v>
      </c>
      <c r="BD7" s="48">
        <v>1902642.2</v>
      </c>
      <c r="BE7" s="48">
        <v>10406698.82</v>
      </c>
      <c r="BF7" s="48">
        <v>6792565.9699999997</v>
      </c>
      <c r="BG7" s="48">
        <v>4751764.13</v>
      </c>
      <c r="BH7" s="48">
        <v>2335835.9500000002</v>
      </c>
      <c r="BI7" s="48">
        <v>8782625.9000000004</v>
      </c>
      <c r="BJ7" s="48">
        <v>7089526.9800000004</v>
      </c>
      <c r="BK7" s="48">
        <v>1620462.95</v>
      </c>
      <c r="BL7" s="48">
        <v>1763517.7</v>
      </c>
      <c r="BM7" s="48">
        <v>2443610.4700000002</v>
      </c>
      <c r="BN7" s="48">
        <v>1123455.74</v>
      </c>
      <c r="BO7" s="48">
        <v>1595400.12</v>
      </c>
      <c r="BP7" s="48">
        <v>600708.37</v>
      </c>
      <c r="BQ7" s="48">
        <v>11702335.1</v>
      </c>
      <c r="BR7" s="48">
        <v>-80152.47</v>
      </c>
      <c r="BS7" s="48">
        <v>5482118.0300000003</v>
      </c>
      <c r="BT7" s="48">
        <v>2729291.5</v>
      </c>
      <c r="BU7" s="48">
        <v>2377808.85</v>
      </c>
      <c r="BV7" s="48">
        <v>0</v>
      </c>
    </row>
    <row r="8" spans="1:74">
      <c r="A8" s="23" t="s">
        <v>376</v>
      </c>
      <c r="B8" s="48">
        <v>0</v>
      </c>
      <c r="C8" s="48">
        <v>562767.42000000004</v>
      </c>
      <c r="D8" s="48">
        <v>0</v>
      </c>
      <c r="E8" s="48">
        <v>3834444.51</v>
      </c>
      <c r="F8" s="48">
        <v>0</v>
      </c>
      <c r="G8" s="48">
        <v>1032693.37</v>
      </c>
      <c r="H8" s="48">
        <v>0</v>
      </c>
      <c r="I8" s="48">
        <v>3574635.55</v>
      </c>
      <c r="J8" s="48">
        <v>0</v>
      </c>
      <c r="K8" s="48">
        <v>1371001.43</v>
      </c>
      <c r="L8" s="48">
        <v>0</v>
      </c>
      <c r="M8" s="48">
        <v>2948250.25</v>
      </c>
      <c r="N8" s="48">
        <v>0</v>
      </c>
      <c r="O8" s="48">
        <v>2774819.35</v>
      </c>
      <c r="P8" s="48">
        <v>0</v>
      </c>
      <c r="Q8" s="48">
        <v>3947946.12</v>
      </c>
      <c r="R8" s="48">
        <v>0</v>
      </c>
      <c r="S8" s="48">
        <v>1449728.46</v>
      </c>
      <c r="T8" s="48">
        <v>0</v>
      </c>
      <c r="U8" s="48">
        <v>3549047</v>
      </c>
      <c r="V8" s="48">
        <v>0</v>
      </c>
      <c r="W8" s="48">
        <v>1015878.84</v>
      </c>
      <c r="X8" s="48">
        <v>0</v>
      </c>
      <c r="Y8" s="48">
        <v>3261544.59</v>
      </c>
      <c r="Z8" s="48">
        <v>0</v>
      </c>
      <c r="AA8" s="48">
        <v>1055298.78</v>
      </c>
      <c r="AB8" s="48">
        <v>0</v>
      </c>
      <c r="AC8" s="48">
        <v>2420528.16</v>
      </c>
      <c r="AD8" s="48">
        <v>0</v>
      </c>
      <c r="AE8" s="48">
        <v>1236152.3999999999</v>
      </c>
      <c r="AF8" s="48">
        <v>0</v>
      </c>
      <c r="AG8" s="48">
        <v>2160991.79</v>
      </c>
      <c r="AH8" s="48">
        <v>0</v>
      </c>
      <c r="AI8" s="48">
        <v>1515130.74</v>
      </c>
      <c r="AJ8" s="48">
        <v>0</v>
      </c>
      <c r="AK8" s="48">
        <v>3888307.08</v>
      </c>
      <c r="AL8" s="48">
        <v>0</v>
      </c>
      <c r="AM8" s="48">
        <v>2222649.63</v>
      </c>
      <c r="AN8" s="48">
        <v>0</v>
      </c>
      <c r="AO8" s="48">
        <v>3255932.87</v>
      </c>
      <c r="AP8" s="48">
        <v>0</v>
      </c>
      <c r="AQ8" s="48">
        <v>521360.08</v>
      </c>
      <c r="AR8" s="48">
        <v>0</v>
      </c>
      <c r="AS8" s="48">
        <v>549249.48</v>
      </c>
      <c r="AT8" s="48">
        <v>0</v>
      </c>
      <c r="AU8" s="48">
        <v>320435.40000000002</v>
      </c>
      <c r="AV8" s="48">
        <v>0</v>
      </c>
      <c r="AW8" s="48">
        <v>472638.68</v>
      </c>
      <c r="AX8" s="48">
        <v>0</v>
      </c>
      <c r="AY8" s="48">
        <v>217166.64</v>
      </c>
      <c r="AZ8" s="48">
        <v>108583.32</v>
      </c>
      <c r="BA8" s="48">
        <v>3725414.18</v>
      </c>
      <c r="BB8" s="48">
        <v>1042249.97</v>
      </c>
      <c r="BC8" s="48">
        <v>1864638.85</v>
      </c>
      <c r="BD8" s="48">
        <v>214083.35</v>
      </c>
      <c r="BE8" s="48">
        <v>805724.4</v>
      </c>
      <c r="BF8" s="48">
        <v>650441.05000000005</v>
      </c>
      <c r="BG8" s="48">
        <v>150594.06</v>
      </c>
      <c r="BH8" s="48">
        <v>75297.03</v>
      </c>
      <c r="BI8" s="48">
        <v>815521.44</v>
      </c>
      <c r="BJ8" s="48">
        <v>270000</v>
      </c>
      <c r="BK8" s="48">
        <v>0</v>
      </c>
      <c r="BL8" s="48">
        <v>0</v>
      </c>
      <c r="BM8" s="48">
        <v>11111469.439999999</v>
      </c>
      <c r="BN8" s="48">
        <v>6254422.8600000003</v>
      </c>
      <c r="BO8" s="48">
        <v>16627329</v>
      </c>
      <c r="BP8" s="48">
        <v>715497.66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</row>
    <row r="9" spans="1:74">
      <c r="A9" s="23" t="s">
        <v>377</v>
      </c>
      <c r="B9" s="48">
        <v>0</v>
      </c>
      <c r="C9" s="48">
        <v>1151235.1499999999</v>
      </c>
      <c r="D9" s="48">
        <v>0</v>
      </c>
      <c r="E9" s="48">
        <v>2634605.08</v>
      </c>
      <c r="F9" s="48">
        <v>0</v>
      </c>
      <c r="G9" s="48">
        <v>177407.02</v>
      </c>
      <c r="H9" s="48">
        <v>0</v>
      </c>
      <c r="I9" s="48">
        <v>-2583506.83</v>
      </c>
      <c r="J9" s="48">
        <v>0</v>
      </c>
      <c r="K9" s="48">
        <v>-1475420.23</v>
      </c>
      <c r="L9" s="48">
        <v>0</v>
      </c>
      <c r="M9" s="48">
        <v>-7584455.8499999996</v>
      </c>
      <c r="N9" s="48">
        <v>0</v>
      </c>
      <c r="O9" s="48">
        <v>494174.06</v>
      </c>
      <c r="P9" s="48">
        <v>0</v>
      </c>
      <c r="Q9" s="48">
        <v>-43590900.140000001</v>
      </c>
      <c r="R9" s="48">
        <v>0</v>
      </c>
      <c r="S9" s="48">
        <v>-635067.56999999995</v>
      </c>
      <c r="T9" s="48">
        <v>0</v>
      </c>
      <c r="U9" s="48">
        <v>-11109.1</v>
      </c>
      <c r="V9" s="48">
        <v>0</v>
      </c>
      <c r="W9" s="48">
        <v>-2781848.42</v>
      </c>
      <c r="X9" s="48">
        <v>0</v>
      </c>
      <c r="Y9" s="48">
        <v>-15580237.02</v>
      </c>
      <c r="Z9" s="48">
        <v>0</v>
      </c>
      <c r="AA9" s="48">
        <v>-5509407.6799999997</v>
      </c>
      <c r="AB9" s="48">
        <v>0</v>
      </c>
      <c r="AC9" s="48">
        <v>-1028767.17</v>
      </c>
      <c r="AD9" s="48">
        <v>0</v>
      </c>
      <c r="AE9" s="48">
        <v>2470634.19</v>
      </c>
      <c r="AF9" s="48">
        <v>0</v>
      </c>
      <c r="AG9" s="48">
        <v>-16473816.779999999</v>
      </c>
      <c r="AH9" s="48">
        <v>0</v>
      </c>
      <c r="AI9" s="48">
        <v>297735.53999999998</v>
      </c>
      <c r="AJ9" s="48">
        <v>0</v>
      </c>
      <c r="AK9" s="48">
        <v>-15148984.42</v>
      </c>
      <c r="AL9" s="48">
        <v>0</v>
      </c>
      <c r="AM9" s="48">
        <v>818666.38</v>
      </c>
      <c r="AN9" s="48">
        <v>0</v>
      </c>
      <c r="AO9" s="48">
        <v>2982227.09</v>
      </c>
      <c r="AP9" s="48">
        <v>0</v>
      </c>
      <c r="AQ9" s="48">
        <v>3814238.88</v>
      </c>
      <c r="AR9" s="48">
        <v>0</v>
      </c>
      <c r="AS9" s="48">
        <v>-877676.99</v>
      </c>
      <c r="AT9" s="48">
        <v>0</v>
      </c>
      <c r="AU9" s="48">
        <v>737015.48</v>
      </c>
      <c r="AV9" s="48">
        <v>0</v>
      </c>
      <c r="AW9" s="48">
        <v>-4208975.4400000004</v>
      </c>
      <c r="AX9" s="48">
        <v>-4371197.1399999997</v>
      </c>
      <c r="AY9" s="48">
        <v>-3444912.78</v>
      </c>
      <c r="AZ9" s="48">
        <v>-825342.77</v>
      </c>
      <c r="BA9" s="48">
        <v>-3771127.98</v>
      </c>
      <c r="BB9" s="48">
        <v>-3964748.61</v>
      </c>
      <c r="BC9" s="48">
        <v>-34907.67</v>
      </c>
      <c r="BD9" s="48">
        <v>20651.740000000002</v>
      </c>
      <c r="BE9" s="48">
        <v>-1203819.48</v>
      </c>
      <c r="BF9" s="48">
        <v>-1449535.52</v>
      </c>
      <c r="BG9" s="48">
        <v>-1646497.44</v>
      </c>
      <c r="BH9" s="48">
        <v>-1167774.18</v>
      </c>
      <c r="BI9" s="48">
        <v>109793000.17</v>
      </c>
      <c r="BJ9" s="48">
        <v>17882960.59</v>
      </c>
      <c r="BK9" s="48">
        <v>876509.65</v>
      </c>
      <c r="BL9" s="48">
        <v>-611768.49</v>
      </c>
      <c r="BM9" s="48">
        <v>4354770.18</v>
      </c>
      <c r="BN9" s="48">
        <v>486335.56</v>
      </c>
      <c r="BO9" s="48">
        <v>403950.03</v>
      </c>
      <c r="BP9" s="48">
        <v>62125.15</v>
      </c>
      <c r="BQ9" s="48">
        <v>1766643.97</v>
      </c>
      <c r="BR9" s="48">
        <v>-26839.89</v>
      </c>
      <c r="BS9" s="48">
        <v>2926130.13</v>
      </c>
      <c r="BT9" s="48">
        <v>497243.51</v>
      </c>
      <c r="BU9" s="48">
        <v>-4723976.24</v>
      </c>
      <c r="BV9" s="48">
        <v>0</v>
      </c>
    </row>
    <row r="10" spans="1:74">
      <c r="A10" s="23" t="s">
        <v>378</v>
      </c>
      <c r="B10" s="48">
        <v>0</v>
      </c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-785626.86</v>
      </c>
      <c r="X10" s="48">
        <v>0</v>
      </c>
      <c r="Y10" s="48">
        <v>0</v>
      </c>
      <c r="Z10" s="48">
        <v>0</v>
      </c>
      <c r="AA10" s="48">
        <v>43481.42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126562.73</v>
      </c>
      <c r="AJ10" s="48">
        <v>0</v>
      </c>
      <c r="AK10" s="48">
        <v>4696280.87</v>
      </c>
      <c r="AL10" s="48">
        <v>0</v>
      </c>
      <c r="AM10" s="48">
        <v>544578.19999999995</v>
      </c>
      <c r="AN10" s="48">
        <v>0</v>
      </c>
      <c r="AO10" s="48">
        <v>45788.21</v>
      </c>
      <c r="AP10" s="48">
        <v>0</v>
      </c>
      <c r="AQ10" s="48">
        <v>159435.85999999999</v>
      </c>
      <c r="AR10" s="48">
        <v>0</v>
      </c>
      <c r="AS10" s="48">
        <v>1332829.3400000001</v>
      </c>
      <c r="AT10" s="48">
        <v>0</v>
      </c>
      <c r="AU10" s="48">
        <v>815529.13</v>
      </c>
      <c r="AV10" s="48">
        <v>0</v>
      </c>
      <c r="AW10" s="48">
        <v>1794685</v>
      </c>
      <c r="AX10" s="48">
        <v>1115687</v>
      </c>
      <c r="AY10" s="48">
        <v>0</v>
      </c>
      <c r="AZ10" s="48">
        <v>2650</v>
      </c>
      <c r="BA10" s="48">
        <v>72072.160000000003</v>
      </c>
      <c r="BB10" s="48">
        <v>147194.41</v>
      </c>
      <c r="BC10" s="48">
        <v>47824.41</v>
      </c>
      <c r="BD10" s="48">
        <v>142236.41</v>
      </c>
      <c r="BE10" s="48">
        <v>1465303.32</v>
      </c>
      <c r="BF10" s="48">
        <v>4084502.1</v>
      </c>
      <c r="BG10" s="48">
        <v>2197201.34</v>
      </c>
      <c r="BH10" s="48">
        <v>1952404.56</v>
      </c>
      <c r="BI10" s="48">
        <v>927280.99</v>
      </c>
      <c r="BJ10" s="48">
        <v>859864.72</v>
      </c>
      <c r="BK10" s="48">
        <v>648703.48</v>
      </c>
      <c r="BL10" s="48">
        <v>8525</v>
      </c>
      <c r="BM10" s="48">
        <v>550805.42000000004</v>
      </c>
      <c r="BN10" s="48">
        <v>38757.050000000003</v>
      </c>
      <c r="BO10" s="48">
        <v>253471</v>
      </c>
      <c r="BP10" s="48">
        <v>568103.55000000005</v>
      </c>
      <c r="BQ10" s="48">
        <v>198046.58</v>
      </c>
      <c r="BR10" s="48">
        <v>20412.77</v>
      </c>
      <c r="BS10" s="48">
        <v>20588.57</v>
      </c>
      <c r="BT10" s="48">
        <v>11000</v>
      </c>
      <c r="BU10" s="48">
        <v>443143.48</v>
      </c>
      <c r="BV10" s="48">
        <v>0</v>
      </c>
    </row>
    <row r="11" spans="1:74">
      <c r="A11" s="23" t="s">
        <v>363</v>
      </c>
      <c r="E11" s="33">
        <f>E5-E6-E7-E8-E9-E10</f>
        <v>-67669923.280000016</v>
      </c>
      <c r="F11" s="33">
        <f t="shared" ref="F11:BQ11" si="2">F5-F6-F7-F8-F9-F10</f>
        <v>103902890.7</v>
      </c>
      <c r="G11" s="33">
        <f t="shared" si="2"/>
        <v>-42580724.219999999</v>
      </c>
      <c r="H11" s="33">
        <f t="shared" si="2"/>
        <v>24990763.579999998</v>
      </c>
      <c r="I11" s="33">
        <f t="shared" si="2"/>
        <v>279123314.89999992</v>
      </c>
      <c r="J11" s="33">
        <f t="shared" si="2"/>
        <v>500802185.39999998</v>
      </c>
      <c r="K11" s="33">
        <f t="shared" si="2"/>
        <v>359347249.26999998</v>
      </c>
      <c r="L11" s="33">
        <f t="shared" si="2"/>
        <v>327212395.46000004</v>
      </c>
      <c r="M11" s="33">
        <f t="shared" si="2"/>
        <v>56944268.910000011</v>
      </c>
      <c r="N11" s="33">
        <f t="shared" si="2"/>
        <v>149514444.67000002</v>
      </c>
      <c r="O11" s="33">
        <f t="shared" si="2"/>
        <v>-35057561.100000009</v>
      </c>
      <c r="P11" s="33">
        <f t="shared" si="2"/>
        <v>90636786.450000003</v>
      </c>
      <c r="Q11" s="33">
        <f t="shared" si="2"/>
        <v>187170035.93999994</v>
      </c>
      <c r="R11" s="33">
        <f t="shared" si="2"/>
        <v>289631242.84999996</v>
      </c>
      <c r="S11" s="33">
        <f t="shared" si="2"/>
        <v>25144019.039999988</v>
      </c>
      <c r="T11" s="33">
        <f t="shared" si="2"/>
        <v>71609901.270000011</v>
      </c>
      <c r="U11" s="33">
        <f t="shared" si="2"/>
        <v>101968195.51000002</v>
      </c>
      <c r="V11" s="33">
        <f t="shared" si="2"/>
        <v>198771914.06999999</v>
      </c>
      <c r="W11" s="33">
        <f t="shared" si="2"/>
        <v>39972820.260000005</v>
      </c>
      <c r="X11" s="33">
        <f t="shared" si="2"/>
        <v>65073767.399999999</v>
      </c>
      <c r="Y11" s="33">
        <f t="shared" si="2"/>
        <v>277222738.30999994</v>
      </c>
      <c r="Z11" s="33">
        <f t="shared" si="2"/>
        <v>98947935.13000001</v>
      </c>
      <c r="AA11" s="33">
        <f t="shared" si="2"/>
        <v>47786954.759999968</v>
      </c>
      <c r="AB11" s="33">
        <f t="shared" si="2"/>
        <v>28078276.909999996</v>
      </c>
      <c r="AC11" s="33">
        <f t="shared" si="2"/>
        <v>-21701806.340000018</v>
      </c>
      <c r="AD11" s="33">
        <f t="shared" si="2"/>
        <v>114290760.56</v>
      </c>
      <c r="AE11" s="33">
        <f t="shared" si="2"/>
        <v>-13843710.690000009</v>
      </c>
      <c r="AF11" s="33">
        <f t="shared" si="2"/>
        <v>54284472.759999998</v>
      </c>
      <c r="AG11" s="33">
        <f t="shared" si="2"/>
        <v>17070157.490000047</v>
      </c>
      <c r="AH11" s="33">
        <f t="shared" si="2"/>
        <v>209188399.80000001</v>
      </c>
      <c r="AI11" s="33">
        <f t="shared" si="2"/>
        <v>23148341.210000008</v>
      </c>
      <c r="AJ11" s="33">
        <f t="shared" si="2"/>
        <v>31855302.370000005</v>
      </c>
      <c r="AK11" s="33">
        <f t="shared" si="2"/>
        <v>-16667732.270000014</v>
      </c>
      <c r="AL11" s="33">
        <f t="shared" si="2"/>
        <v>136117536.37</v>
      </c>
      <c r="AM11" s="33">
        <f t="shared" si="2"/>
        <v>15043236.800000006</v>
      </c>
      <c r="AN11" s="33">
        <f t="shared" si="2"/>
        <v>62041816.009999998</v>
      </c>
      <c r="AO11" s="33">
        <f t="shared" si="2"/>
        <v>164071539.89999995</v>
      </c>
      <c r="AP11" s="33">
        <f t="shared" si="2"/>
        <v>194903454.25999999</v>
      </c>
      <c r="AQ11" s="33">
        <f t="shared" si="2"/>
        <v>53555582.189999983</v>
      </c>
      <c r="AR11" s="33">
        <f t="shared" si="2"/>
        <v>87928333.170000002</v>
      </c>
      <c r="AS11" s="33">
        <f t="shared" si="2"/>
        <v>38945870.720000021</v>
      </c>
      <c r="AT11" s="33">
        <f t="shared" si="2"/>
        <v>135530047.53999999</v>
      </c>
      <c r="AU11" s="33">
        <f t="shared" si="2"/>
        <v>-7555954.3599999929</v>
      </c>
      <c r="AV11" s="33">
        <f t="shared" si="2"/>
        <v>30093781.079999998</v>
      </c>
      <c r="AW11" s="33">
        <f t="shared" si="2"/>
        <v>-43079941.75</v>
      </c>
      <c r="AX11" s="33">
        <f t="shared" si="2"/>
        <v>-42111308.859999999</v>
      </c>
      <c r="AY11" s="33">
        <f t="shared" si="2"/>
        <v>-50969795.82</v>
      </c>
      <c r="AZ11" s="33">
        <f t="shared" si="2"/>
        <v>6527256.7599999979</v>
      </c>
      <c r="BA11" s="33">
        <f t="shared" si="2"/>
        <v>18901895.939999998</v>
      </c>
      <c r="BB11" s="33">
        <f t="shared" si="2"/>
        <v>20512648.59999999</v>
      </c>
      <c r="BC11" s="33">
        <f t="shared" si="2"/>
        <v>43175862.200000003</v>
      </c>
      <c r="BD11" s="33">
        <f t="shared" si="2"/>
        <v>-23725165.59</v>
      </c>
      <c r="BE11" s="33">
        <f t="shared" si="2"/>
        <v>-29486374.260000002</v>
      </c>
      <c r="BF11" s="33">
        <f t="shared" si="2"/>
        <v>-89404097.239999995</v>
      </c>
      <c r="BG11" s="33">
        <f t="shared" si="2"/>
        <v>-76313706.159999996</v>
      </c>
      <c r="BH11" s="33">
        <f t="shared" si="2"/>
        <v>-14602617</v>
      </c>
      <c r="BI11" s="33">
        <f t="shared" si="2"/>
        <v>-33101998.420000006</v>
      </c>
      <c r="BJ11" s="33">
        <f t="shared" si="2"/>
        <v>-36327391.569999985</v>
      </c>
      <c r="BK11" s="33">
        <f t="shared" si="2"/>
        <v>4719440.1199999955</v>
      </c>
      <c r="BL11" s="33">
        <f t="shared" si="2"/>
        <v>-18656227.09</v>
      </c>
      <c r="BM11" s="33">
        <f t="shared" si="2"/>
        <v>-25185312.779999997</v>
      </c>
      <c r="BN11" s="33">
        <f t="shared" si="2"/>
        <v>-31697514.039999999</v>
      </c>
      <c r="BO11" s="33">
        <f t="shared" si="2"/>
        <v>-55843992.589999996</v>
      </c>
      <c r="BP11" s="33">
        <f t="shared" si="2"/>
        <v>-24612331.190000001</v>
      </c>
      <c r="BQ11" s="33">
        <f t="shared" si="2"/>
        <v>-2588556.7399999881</v>
      </c>
      <c r="BR11" s="33">
        <f t="shared" ref="BR11:BV11" si="3">BR5-BR6-BR7-BR8-BR9-BR10</f>
        <v>85966.440000001487</v>
      </c>
      <c r="BS11" s="33">
        <f t="shared" si="3"/>
        <v>-22180886.699999984</v>
      </c>
      <c r="BT11" s="33">
        <f t="shared" si="3"/>
        <v>-38527067.869999997</v>
      </c>
      <c r="BU11" s="33">
        <f t="shared" si="3"/>
        <v>-24588667.949999999</v>
      </c>
      <c r="BV11" s="48">
        <f t="shared" si="3"/>
        <v>0</v>
      </c>
    </row>
    <row r="12" spans="1:74">
      <c r="A12" s="23" t="s">
        <v>364</v>
      </c>
      <c r="E12" s="33">
        <f>I34</f>
        <v>4714598065.0799999</v>
      </c>
      <c r="F12" s="33">
        <f t="shared" ref="F12:J12" si="4">J34</f>
        <v>4883791948.3400002</v>
      </c>
      <c r="G12" s="33">
        <f t="shared" si="4"/>
        <v>4832115636.5800009</v>
      </c>
      <c r="H12" s="33">
        <f t="shared" si="4"/>
        <v>4530138757.170001</v>
      </c>
      <c r="I12" s="33">
        <f t="shared" si="4"/>
        <v>4461861570.9700003</v>
      </c>
      <c r="J12" s="33">
        <f t="shared" si="4"/>
        <v>4707834292.8500004</v>
      </c>
      <c r="K12" s="33">
        <f t="shared" ref="K12" si="5">O34</f>
        <v>4822722997.5100002</v>
      </c>
      <c r="L12" s="33">
        <f t="shared" ref="L12" si="6">P34</f>
        <v>4983771659.75</v>
      </c>
      <c r="M12" s="33">
        <f t="shared" ref="M12" si="7">Q34</f>
        <v>4937762061.8200006</v>
      </c>
      <c r="N12" s="33">
        <f t="shared" ref="N12:O12" si="8">R34</f>
        <v>4968243436.2800007</v>
      </c>
      <c r="O12" s="33">
        <f t="shared" si="8"/>
        <v>4924374690.3300009</v>
      </c>
      <c r="P12" s="33">
        <f t="shared" ref="P12" si="9">T34</f>
        <v>4877722271.1900005</v>
      </c>
      <c r="Q12" s="33">
        <f t="shared" ref="Q12" si="10">U34</f>
        <v>4774072272.250001</v>
      </c>
      <c r="R12" s="33">
        <f t="shared" ref="R12" si="11">V34</f>
        <v>4838075633.4300013</v>
      </c>
      <c r="S12" s="33">
        <f t="shared" ref="S12:T12" si="12">W34</f>
        <v>4729669078.0900011</v>
      </c>
      <c r="T12" s="33">
        <f t="shared" si="12"/>
        <v>4691048245.6000013</v>
      </c>
      <c r="U12" s="33">
        <f t="shared" ref="U12" si="13">Y34</f>
        <v>4736853134.0600004</v>
      </c>
      <c r="V12" s="33">
        <f t="shared" ref="V12" si="14">Z34</f>
        <v>4704851584.3800011</v>
      </c>
      <c r="W12" s="33">
        <f t="shared" ref="W12" si="15">AA34</f>
        <v>4032584821.77</v>
      </c>
      <c r="X12" s="33">
        <f t="shared" ref="X12:Y12" si="16">AB34</f>
        <v>3985363605.1400003</v>
      </c>
      <c r="Y12" s="33">
        <f t="shared" si="16"/>
        <v>3953900167.9700003</v>
      </c>
      <c r="Z12" s="33">
        <f t="shared" ref="Z12" si="17">AD34</f>
        <v>3563040202.4100003</v>
      </c>
      <c r="AA12" s="33">
        <f t="shared" ref="AA12" si="18">AE34</f>
        <v>3608868644.75</v>
      </c>
      <c r="AB12" s="33">
        <f t="shared" ref="AB12" si="19">AF34</f>
        <v>3553208002.1100001</v>
      </c>
      <c r="AC12" s="33">
        <f t="shared" ref="AC12:AD12" si="20">AG34</f>
        <v>3466409669.9799995</v>
      </c>
      <c r="AD12" s="33">
        <f t="shared" si="20"/>
        <v>3458537440.5599999</v>
      </c>
      <c r="AE12" s="33">
        <f t="shared" ref="AE12" si="21">AI34</f>
        <v>3436019820.2999997</v>
      </c>
      <c r="AF12" s="33">
        <f t="shared" ref="AF12" si="22">AJ34</f>
        <v>3371165646.8799996</v>
      </c>
      <c r="AG12" s="33">
        <f t="shared" ref="AG12" si="23">AK34</f>
        <v>3288843991.4399996</v>
      </c>
      <c r="AH12" s="33">
        <f t="shared" ref="AH12:AI12" si="24">AL34</f>
        <v>3418986086.3299999</v>
      </c>
      <c r="AI12" s="33">
        <f t="shared" si="24"/>
        <v>2955845529.1199999</v>
      </c>
      <c r="AJ12" s="33">
        <f t="shared" ref="AJ12" si="25">AN34</f>
        <v>2921007878.7599998</v>
      </c>
      <c r="AK12" s="33">
        <f t="shared" ref="AK12" si="26">AO34</f>
        <v>2870323809.3599997</v>
      </c>
      <c r="AL12" s="33">
        <f t="shared" ref="AL12" si="27">AP34</f>
        <v>2822938661.9400001</v>
      </c>
      <c r="AM12" s="33">
        <f t="shared" ref="AM12:AN12" si="28">AQ34</f>
        <v>2879065791.0599995</v>
      </c>
      <c r="AN12" s="33">
        <f t="shared" si="28"/>
        <v>2899757502.9699998</v>
      </c>
      <c r="AO12" s="33">
        <f t="shared" ref="AO12" si="29">AS34</f>
        <v>2837394920.8799996</v>
      </c>
      <c r="AP12" s="33">
        <f t="shared" ref="AP12" si="30">AT34</f>
        <v>2933770006.6399999</v>
      </c>
      <c r="AQ12" s="33">
        <f t="shared" ref="AQ12" si="31">AU34</f>
        <v>2872445122.8000002</v>
      </c>
      <c r="AR12" s="33">
        <f t="shared" ref="AR12:AS12" si="32">AV34</f>
        <v>2575923002.7900004</v>
      </c>
      <c r="AS12" s="33">
        <f t="shared" si="32"/>
        <v>2597468323.4099998</v>
      </c>
      <c r="AT12" s="33">
        <f t="shared" ref="AT12" si="33">AX34</f>
        <v>2410763534.8400002</v>
      </c>
      <c r="AU12" s="33">
        <f t="shared" ref="AU12" si="34">AY34</f>
        <v>2483820863.0900002</v>
      </c>
      <c r="AV12" s="33">
        <f t="shared" ref="AV12" si="35">AZ34</f>
        <v>2554486005</v>
      </c>
      <c r="AW12" s="33">
        <f t="shared" ref="AW12:AX12" si="36">BA34</f>
        <v>2574247298.3200002</v>
      </c>
      <c r="AX12" s="33">
        <f t="shared" si="36"/>
        <v>2609201305.6399999</v>
      </c>
      <c r="AY12" s="33">
        <f t="shared" ref="AY12" si="37">BC34</f>
        <v>2683968901.46</v>
      </c>
      <c r="AZ12" s="33">
        <f t="shared" ref="AZ12" si="38">BD34</f>
        <v>2689101232.8800001</v>
      </c>
      <c r="BA12" s="33">
        <f t="shared" ref="BA12" si="39">BE34</f>
        <v>2676403110.5799999</v>
      </c>
      <c r="BB12" s="33">
        <f t="shared" ref="BB12:BC12" si="40">BF34</f>
        <v>2633768248.5900002</v>
      </c>
      <c r="BC12" s="33">
        <f t="shared" si="40"/>
        <v>2540908104.8800001</v>
      </c>
      <c r="BD12" s="33">
        <f t="shared" ref="BD12" si="41">BH34</f>
        <v>2627501543.46</v>
      </c>
      <c r="BE12" s="33">
        <f t="shared" ref="BE12" si="42">BI34</f>
        <v>2633995522.4200001</v>
      </c>
      <c r="BF12" s="33">
        <f t="shared" ref="BF12" si="43">BJ34</f>
        <v>2697608030.8499999</v>
      </c>
      <c r="BG12" s="33">
        <f t="shared" ref="BG12:BH12" si="44">BK34</f>
        <v>2506061093.3600001</v>
      </c>
      <c r="BH12" s="33">
        <f t="shared" si="44"/>
        <v>2449347773.48</v>
      </c>
      <c r="BI12" s="33">
        <f t="shared" ref="BI12" si="45">BM34</f>
        <v>2441134555.5</v>
      </c>
      <c r="BJ12" s="33">
        <f t="shared" ref="BJ12" si="46">BN34</f>
        <v>2120830735.96</v>
      </c>
      <c r="BK12" s="33">
        <f t="shared" ref="BK12" si="47">BO34</f>
        <v>2152380109.23</v>
      </c>
      <c r="BL12" s="33">
        <f t="shared" ref="BL12" si="48">BP34</f>
        <v>2117283926.8199999</v>
      </c>
      <c r="BM12" s="33">
        <f>BO34</f>
        <v>2152380109.23</v>
      </c>
      <c r="BN12" s="33">
        <f t="shared" ref="BN12:BU12" si="49">BP34</f>
        <v>2117283926.8199999</v>
      </c>
      <c r="BO12" s="33">
        <f t="shared" si="49"/>
        <v>2007899852.48</v>
      </c>
      <c r="BP12" s="33">
        <f t="shared" si="49"/>
        <v>2214134485.5799999</v>
      </c>
      <c r="BQ12" s="33">
        <f t="shared" si="49"/>
        <v>1814339827.5999999</v>
      </c>
      <c r="BR12" s="33">
        <f t="shared" si="49"/>
        <v>2086744304.6300001</v>
      </c>
      <c r="BS12" s="33">
        <f t="shared" si="49"/>
        <v>1960182316.27</v>
      </c>
      <c r="BT12" s="33">
        <f t="shared" si="49"/>
        <v>0</v>
      </c>
      <c r="BU12" s="33">
        <f t="shared" si="49"/>
        <v>0</v>
      </c>
      <c r="BV12" s="33">
        <f t="shared" ref="BV12" si="50">BZ34</f>
        <v>0</v>
      </c>
    </row>
    <row r="13" spans="1:74">
      <c r="A13" s="23" t="s">
        <v>365</v>
      </c>
      <c r="E13" s="33">
        <f>E11/E12*100</f>
        <v>-1.4353275156416065</v>
      </c>
      <c r="F13" s="33">
        <f t="shared" ref="F13:BQ13" si="51">F11/F12*100</f>
        <v>2.127504443249606</v>
      </c>
      <c r="G13" s="33">
        <f t="shared" si="51"/>
        <v>-0.88120250884842466</v>
      </c>
      <c r="H13" s="33">
        <f t="shared" si="51"/>
        <v>0.55165558760084965</v>
      </c>
      <c r="I13" s="33">
        <f t="shared" si="51"/>
        <v>6.2557591816843168</v>
      </c>
      <c r="J13" s="33">
        <f t="shared" si="51"/>
        <v>10.637634084967493</v>
      </c>
      <c r="K13" s="33">
        <f t="shared" si="51"/>
        <v>7.4511277022448326</v>
      </c>
      <c r="L13" s="33">
        <f t="shared" si="51"/>
        <v>6.5655575295039483</v>
      </c>
      <c r="M13" s="33">
        <f t="shared" si="51"/>
        <v>1.1532404396377705</v>
      </c>
      <c r="N13" s="33">
        <f t="shared" si="51"/>
        <v>3.0094025501687125</v>
      </c>
      <c r="O13" s="33">
        <f t="shared" si="51"/>
        <v>-0.7119190415961355</v>
      </c>
      <c r="P13" s="33">
        <f t="shared" si="51"/>
        <v>1.8581784982991185</v>
      </c>
      <c r="Q13" s="33">
        <f t="shared" si="51"/>
        <v>3.9205530470904968</v>
      </c>
      <c r="R13" s="33">
        <f t="shared" si="51"/>
        <v>5.9864967973777423</v>
      </c>
      <c r="S13" s="33">
        <f t="shared" si="51"/>
        <v>0.53162321982479976</v>
      </c>
      <c r="T13" s="33">
        <f t="shared" si="51"/>
        <v>1.5265223788130291</v>
      </c>
      <c r="U13" s="33">
        <f t="shared" si="51"/>
        <v>2.1526568931767183</v>
      </c>
      <c r="V13" s="33">
        <f t="shared" si="51"/>
        <v>4.2248285733373221</v>
      </c>
      <c r="W13" s="33">
        <f t="shared" si="51"/>
        <v>0.99124561606753658</v>
      </c>
      <c r="X13" s="33">
        <f t="shared" si="51"/>
        <v>1.6328188302837185</v>
      </c>
      <c r="Y13" s="33">
        <f t="shared" si="51"/>
        <v>7.0113742515742583</v>
      </c>
      <c r="Z13" s="33">
        <f t="shared" si="51"/>
        <v>2.777064796043355</v>
      </c>
      <c r="AA13" s="33">
        <f t="shared" si="51"/>
        <v>1.3241533417825559</v>
      </c>
      <c r="AB13" s="33">
        <f t="shared" si="51"/>
        <v>0.79022328254710339</v>
      </c>
      <c r="AC13" s="33">
        <f t="shared" si="51"/>
        <v>-0.62606005654620833</v>
      </c>
      <c r="AD13" s="33">
        <f t="shared" si="51"/>
        <v>3.3045980425036037</v>
      </c>
      <c r="AE13" s="33">
        <f t="shared" si="51"/>
        <v>-0.40289961682442538</v>
      </c>
      <c r="AF13" s="33">
        <f t="shared" si="51"/>
        <v>1.6102582443624527</v>
      </c>
      <c r="AG13" s="33">
        <f t="shared" si="51"/>
        <v>0.51903214425582977</v>
      </c>
      <c r="AH13" s="33">
        <f t="shared" si="51"/>
        <v>6.1184337846939458</v>
      </c>
      <c r="AI13" s="33">
        <f t="shared" si="51"/>
        <v>0.78313771751433914</v>
      </c>
      <c r="AJ13" s="33">
        <f t="shared" si="51"/>
        <v>1.0905585911504947</v>
      </c>
      <c r="AK13" s="33">
        <f t="shared" si="51"/>
        <v>-0.58069170508384016</v>
      </c>
      <c r="AL13" s="33">
        <f t="shared" si="51"/>
        <v>4.8218382568913611</v>
      </c>
      <c r="AM13" s="33">
        <f t="shared" si="51"/>
        <v>0.52250410000048886</v>
      </c>
      <c r="AN13" s="33">
        <f t="shared" si="51"/>
        <v>2.1395518744741695</v>
      </c>
      <c r="AO13" s="33">
        <f t="shared" si="51"/>
        <v>5.782471050914344</v>
      </c>
      <c r="AP13" s="33">
        <f t="shared" si="51"/>
        <v>6.6434469579713173</v>
      </c>
      <c r="AQ13" s="33">
        <f t="shared" si="51"/>
        <v>1.8644597163894678</v>
      </c>
      <c r="AR13" s="33">
        <f t="shared" si="51"/>
        <v>3.4134690002288193</v>
      </c>
      <c r="AS13" s="33">
        <f t="shared" si="51"/>
        <v>1.4993780816880657</v>
      </c>
      <c r="AT13" s="33">
        <f t="shared" si="51"/>
        <v>5.6218723064846339</v>
      </c>
      <c r="AU13" s="33">
        <f t="shared" si="51"/>
        <v>-0.30420689641039572</v>
      </c>
      <c r="AV13" s="33">
        <f t="shared" si="51"/>
        <v>1.1780757859348694</v>
      </c>
      <c r="AW13" s="33">
        <f t="shared" si="51"/>
        <v>-1.6734966286306192</v>
      </c>
      <c r="AX13" s="33">
        <f t="shared" si="51"/>
        <v>-1.6139540007500761</v>
      </c>
      <c r="AY13" s="33">
        <f t="shared" si="51"/>
        <v>-1.8990456928272879</v>
      </c>
      <c r="AZ13" s="33">
        <f t="shared" si="51"/>
        <v>0.2427300497352185</v>
      </c>
      <c r="BA13" s="33">
        <f t="shared" si="51"/>
        <v>0.70624248885676233</v>
      </c>
      <c r="BB13" s="33">
        <f t="shared" si="51"/>
        <v>0.77883270902751334</v>
      </c>
      <c r="BC13" s="33">
        <f t="shared" si="51"/>
        <v>1.6992295831981328</v>
      </c>
      <c r="BD13" s="33">
        <f t="shared" si="51"/>
        <v>-0.90295534360591634</v>
      </c>
      <c r="BE13" s="33">
        <f t="shared" si="51"/>
        <v>-1.1194542287190075</v>
      </c>
      <c r="BF13" s="33">
        <f t="shared" si="51"/>
        <v>-3.3141989576532103</v>
      </c>
      <c r="BG13" s="33">
        <f t="shared" si="51"/>
        <v>-3.0451654336041121</v>
      </c>
      <c r="BH13" s="33">
        <f t="shared" si="51"/>
        <v>-0.59618389671356475</v>
      </c>
      <c r="BI13" s="33">
        <f t="shared" si="51"/>
        <v>-1.3560087601652078</v>
      </c>
      <c r="BJ13" s="33">
        <f t="shared" si="51"/>
        <v>-1.7128850008652996</v>
      </c>
      <c r="BK13" s="33">
        <f t="shared" si="51"/>
        <v>0.21926610916732286</v>
      </c>
      <c r="BL13" s="33">
        <f t="shared" si="51"/>
        <v>-0.88113959841088674</v>
      </c>
      <c r="BM13" s="33">
        <f t="shared" si="51"/>
        <v>-1.1701145477045818</v>
      </c>
      <c r="BN13" s="33">
        <f t="shared" si="51"/>
        <v>-1.4970837703192346</v>
      </c>
      <c r="BO13" s="33">
        <f t="shared" si="51"/>
        <v>-2.7812140391875566</v>
      </c>
      <c r="BP13" s="33">
        <f t="shared" si="51"/>
        <v>-1.1116005531864845</v>
      </c>
      <c r="BQ13" s="33">
        <f t="shared" si="51"/>
        <v>-0.14267210037626293</v>
      </c>
      <c r="BR13" s="33">
        <f t="shared" ref="BR13:BU13" si="52">BR11/BR12*100</f>
        <v>4.1196441657591664E-3</v>
      </c>
      <c r="BS13" s="33">
        <f t="shared" si="52"/>
        <v>-1.1315726356621585</v>
      </c>
      <c r="BT13" s="33" t="e">
        <f t="shared" si="52"/>
        <v>#DIV/0!</v>
      </c>
      <c r="BU13" s="33" t="e">
        <f t="shared" si="52"/>
        <v>#DIV/0!</v>
      </c>
    </row>
    <row r="14" spans="1:74" s="54" customFormat="1">
      <c r="A14" s="55" t="s">
        <v>360</v>
      </c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</row>
    <row r="15" spans="1:74">
      <c r="A15" s="23" t="s">
        <v>382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134709287.94</v>
      </c>
      <c r="J15" s="48">
        <v>134717409.28999999</v>
      </c>
      <c r="K15" s="48">
        <v>234709287.94</v>
      </c>
      <c r="L15" s="48">
        <v>0</v>
      </c>
      <c r="M15" s="48">
        <v>0</v>
      </c>
      <c r="N15" s="48">
        <v>17817886.559999999</v>
      </c>
      <c r="O15" s="48">
        <v>17817886.559999999</v>
      </c>
      <c r="P15" s="48">
        <v>29259105.09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4641535.3899999997</v>
      </c>
      <c r="Z15" s="48">
        <v>0</v>
      </c>
      <c r="AA15" s="48">
        <v>1868513.55</v>
      </c>
      <c r="AB15" s="48">
        <v>0</v>
      </c>
      <c r="AC15" s="48">
        <v>129131878.27</v>
      </c>
      <c r="AD15" s="48">
        <v>142540908.24000001</v>
      </c>
      <c r="AE15" s="48">
        <v>0</v>
      </c>
      <c r="AF15" s="48">
        <v>0</v>
      </c>
      <c r="AG15" s="48">
        <v>38933536.32</v>
      </c>
      <c r="AH15" s="48">
        <v>36177645.030000001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3861514.16</v>
      </c>
      <c r="AP15" s="48">
        <v>0</v>
      </c>
      <c r="AQ15" s="48">
        <v>0</v>
      </c>
      <c r="AR15" s="48">
        <v>0</v>
      </c>
      <c r="AS15" s="48">
        <v>5512469.4500000002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</row>
    <row r="16" spans="1:74">
      <c r="A16" s="23" t="s">
        <v>383</v>
      </c>
      <c r="B16" s="48">
        <v>0</v>
      </c>
      <c r="C16" s="48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64294076.009999998</v>
      </c>
      <c r="N16" s="48">
        <v>0</v>
      </c>
      <c r="O16" s="48">
        <v>0</v>
      </c>
      <c r="P16" s="48">
        <v>0</v>
      </c>
      <c r="Q16" s="48">
        <v>2406835.14</v>
      </c>
      <c r="R16" s="48">
        <v>0</v>
      </c>
      <c r="S16" s="48">
        <v>0</v>
      </c>
      <c r="T16" s="48">
        <v>0</v>
      </c>
      <c r="U16" s="48">
        <v>61910349.130000003</v>
      </c>
      <c r="V16" s="48">
        <v>67399978.109999999</v>
      </c>
      <c r="W16" s="48">
        <v>60105353.490000002</v>
      </c>
      <c r="X16" s="48">
        <v>0</v>
      </c>
      <c r="Y16" s="48">
        <v>97835647.530000001</v>
      </c>
      <c r="Z16" s="48">
        <v>571060000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227256611.59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231337646.5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</row>
    <row r="17" spans="1:74" s="57" customFormat="1">
      <c r="A17" s="56" t="s">
        <v>366</v>
      </c>
      <c r="E17" s="60">
        <f>E16-E15</f>
        <v>0</v>
      </c>
      <c r="F17" s="60">
        <f t="shared" ref="F17:BQ17" si="53">F16-F15</f>
        <v>0</v>
      </c>
      <c r="G17" s="60">
        <f t="shared" si="53"/>
        <v>0</v>
      </c>
      <c r="H17" s="60">
        <f t="shared" si="53"/>
        <v>0</v>
      </c>
      <c r="I17" s="60">
        <f t="shared" si="53"/>
        <v>-134709287.94</v>
      </c>
      <c r="J17" s="60">
        <f t="shared" si="53"/>
        <v>-134717409.28999999</v>
      </c>
      <c r="K17" s="60">
        <f t="shared" si="53"/>
        <v>-234709287.94</v>
      </c>
      <c r="L17" s="60">
        <f t="shared" si="53"/>
        <v>0</v>
      </c>
      <c r="M17" s="60">
        <f t="shared" si="53"/>
        <v>64294076.009999998</v>
      </c>
      <c r="N17" s="60">
        <f t="shared" si="53"/>
        <v>-17817886.559999999</v>
      </c>
      <c r="O17" s="60">
        <f t="shared" si="53"/>
        <v>-17817886.559999999</v>
      </c>
      <c r="P17" s="60">
        <f t="shared" si="53"/>
        <v>-29259105.09</v>
      </c>
      <c r="Q17" s="60">
        <f t="shared" si="53"/>
        <v>2406835.14</v>
      </c>
      <c r="R17" s="60">
        <f t="shared" si="53"/>
        <v>0</v>
      </c>
      <c r="S17" s="60">
        <f t="shared" si="53"/>
        <v>0</v>
      </c>
      <c r="T17" s="60">
        <f t="shared" si="53"/>
        <v>0</v>
      </c>
      <c r="U17" s="60">
        <f t="shared" si="53"/>
        <v>61910349.130000003</v>
      </c>
      <c r="V17" s="60">
        <f t="shared" si="53"/>
        <v>67399978.109999999</v>
      </c>
      <c r="W17" s="60">
        <f t="shared" si="53"/>
        <v>60105353.490000002</v>
      </c>
      <c r="X17" s="60">
        <f t="shared" si="53"/>
        <v>0</v>
      </c>
      <c r="Y17" s="60">
        <f t="shared" si="53"/>
        <v>93194112.140000001</v>
      </c>
      <c r="Z17" s="60">
        <f t="shared" si="53"/>
        <v>571060000</v>
      </c>
      <c r="AA17" s="60">
        <f t="shared" si="53"/>
        <v>-1868513.55</v>
      </c>
      <c r="AB17" s="60">
        <f t="shared" si="53"/>
        <v>0</v>
      </c>
      <c r="AC17" s="60">
        <f t="shared" si="53"/>
        <v>-129131878.27</v>
      </c>
      <c r="AD17" s="60">
        <f t="shared" si="53"/>
        <v>-142540908.24000001</v>
      </c>
      <c r="AE17" s="60">
        <f t="shared" si="53"/>
        <v>0</v>
      </c>
      <c r="AF17" s="60">
        <f t="shared" si="53"/>
        <v>0</v>
      </c>
      <c r="AG17" s="60">
        <f t="shared" si="53"/>
        <v>-38933536.32</v>
      </c>
      <c r="AH17" s="60">
        <f t="shared" si="53"/>
        <v>-36177645.030000001</v>
      </c>
      <c r="AI17" s="60">
        <f t="shared" si="53"/>
        <v>0</v>
      </c>
      <c r="AJ17" s="60">
        <f t="shared" si="53"/>
        <v>0</v>
      </c>
      <c r="AK17" s="60">
        <f t="shared" si="53"/>
        <v>227256611.59</v>
      </c>
      <c r="AL17" s="60">
        <f t="shared" si="53"/>
        <v>0</v>
      </c>
      <c r="AM17" s="60">
        <f t="shared" si="53"/>
        <v>0</v>
      </c>
      <c r="AN17" s="60">
        <f t="shared" si="53"/>
        <v>0</v>
      </c>
      <c r="AO17" s="60">
        <f t="shared" si="53"/>
        <v>-3861514.16</v>
      </c>
      <c r="AP17" s="60">
        <f t="shared" si="53"/>
        <v>0</v>
      </c>
      <c r="AQ17" s="60">
        <f t="shared" si="53"/>
        <v>0</v>
      </c>
      <c r="AR17" s="60">
        <f t="shared" si="53"/>
        <v>0</v>
      </c>
      <c r="AS17" s="60">
        <f t="shared" si="53"/>
        <v>-5512469.4500000002</v>
      </c>
      <c r="AT17" s="60">
        <f t="shared" si="53"/>
        <v>0</v>
      </c>
      <c r="AU17" s="60">
        <f t="shared" si="53"/>
        <v>231337646.5</v>
      </c>
      <c r="AV17" s="60">
        <f t="shared" si="53"/>
        <v>0</v>
      </c>
      <c r="AW17" s="60">
        <f t="shared" si="53"/>
        <v>0</v>
      </c>
      <c r="AX17" s="60">
        <f t="shared" si="53"/>
        <v>0</v>
      </c>
      <c r="AY17" s="60">
        <f t="shared" si="53"/>
        <v>0</v>
      </c>
      <c r="AZ17" s="60">
        <f t="shared" si="53"/>
        <v>0</v>
      </c>
      <c r="BA17" s="60">
        <f t="shared" si="53"/>
        <v>0</v>
      </c>
      <c r="BB17" s="60">
        <f t="shared" si="53"/>
        <v>0</v>
      </c>
      <c r="BC17" s="60">
        <f t="shared" si="53"/>
        <v>0</v>
      </c>
      <c r="BD17" s="60">
        <f t="shared" si="53"/>
        <v>0</v>
      </c>
      <c r="BE17" s="60">
        <f t="shared" si="53"/>
        <v>0</v>
      </c>
      <c r="BF17" s="60">
        <f t="shared" si="53"/>
        <v>0</v>
      </c>
      <c r="BG17" s="60">
        <f t="shared" si="53"/>
        <v>0</v>
      </c>
      <c r="BH17" s="60">
        <f t="shared" si="53"/>
        <v>0</v>
      </c>
      <c r="BI17" s="60">
        <f t="shared" si="53"/>
        <v>0</v>
      </c>
      <c r="BJ17" s="60">
        <f t="shared" si="53"/>
        <v>0</v>
      </c>
      <c r="BK17" s="60">
        <f t="shared" si="53"/>
        <v>0</v>
      </c>
      <c r="BL17" s="60">
        <f t="shared" si="53"/>
        <v>0</v>
      </c>
      <c r="BM17" s="60">
        <f t="shared" si="53"/>
        <v>0</v>
      </c>
      <c r="BN17" s="60">
        <f t="shared" si="53"/>
        <v>0</v>
      </c>
      <c r="BO17" s="60">
        <f t="shared" si="53"/>
        <v>0</v>
      </c>
      <c r="BP17" s="60">
        <f t="shared" si="53"/>
        <v>0</v>
      </c>
      <c r="BQ17" s="60">
        <f t="shared" si="53"/>
        <v>0</v>
      </c>
      <c r="BR17" s="60">
        <f t="shared" ref="BR17:BU17" si="54">BR16-BR15</f>
        <v>0</v>
      </c>
      <c r="BS17" s="60">
        <f t="shared" si="54"/>
        <v>0</v>
      </c>
      <c r="BT17" s="60">
        <f t="shared" si="54"/>
        <v>0</v>
      </c>
      <c r="BU17" s="60">
        <f t="shared" si="54"/>
        <v>0</v>
      </c>
    </row>
    <row r="18" spans="1:74" s="54" customFormat="1">
      <c r="A18" s="55" t="s">
        <v>361</v>
      </c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</row>
    <row r="19" spans="1:74">
      <c r="A19" s="23" t="s">
        <v>367</v>
      </c>
      <c r="E19" s="33">
        <f>E5+E17</f>
        <v>167191555.31</v>
      </c>
      <c r="F19" s="33">
        <f t="shared" ref="F19:BQ19" si="55">F5+F17</f>
        <v>103902890.7</v>
      </c>
      <c r="G19" s="33">
        <f t="shared" si="55"/>
        <v>72575759.260000005</v>
      </c>
      <c r="H19" s="33">
        <f t="shared" si="55"/>
        <v>24990763.579999998</v>
      </c>
      <c r="I19" s="33">
        <f t="shared" si="55"/>
        <v>360299977.15999997</v>
      </c>
      <c r="J19" s="33">
        <f t="shared" si="55"/>
        <v>366084776.11000001</v>
      </c>
      <c r="K19" s="33">
        <f t="shared" si="55"/>
        <v>228255531.94</v>
      </c>
      <c r="L19" s="33">
        <f t="shared" si="55"/>
        <v>327212395.46000004</v>
      </c>
      <c r="M19" s="33">
        <f t="shared" si="55"/>
        <v>350286168.80000001</v>
      </c>
      <c r="N19" s="33">
        <f t="shared" si="55"/>
        <v>131696558.11000001</v>
      </c>
      <c r="O19" s="33">
        <f t="shared" si="55"/>
        <v>75233428.979999989</v>
      </c>
      <c r="P19" s="33">
        <f t="shared" si="55"/>
        <v>61377681.359999999</v>
      </c>
      <c r="Q19" s="33">
        <f t="shared" si="55"/>
        <v>386152390.24999994</v>
      </c>
      <c r="R19" s="33">
        <f t="shared" si="55"/>
        <v>289631242.84999996</v>
      </c>
      <c r="S19" s="33">
        <f t="shared" si="55"/>
        <v>132827796.22999999</v>
      </c>
      <c r="T19" s="33">
        <f t="shared" si="55"/>
        <v>71609901.270000011</v>
      </c>
      <c r="U19" s="33">
        <f t="shared" si="55"/>
        <v>376507442.61000001</v>
      </c>
      <c r="V19" s="33">
        <f t="shared" si="55"/>
        <v>266171892.18000001</v>
      </c>
      <c r="W19" s="33">
        <f t="shared" si="55"/>
        <v>198961855.01000002</v>
      </c>
      <c r="X19" s="33">
        <f t="shared" si="55"/>
        <v>65073767.399999999</v>
      </c>
      <c r="Y19" s="33">
        <f t="shared" si="55"/>
        <v>580859184.91999996</v>
      </c>
      <c r="Z19" s="33">
        <f t="shared" si="55"/>
        <v>670007935.13</v>
      </c>
      <c r="AA19" s="33">
        <f t="shared" si="55"/>
        <v>120546635.93999998</v>
      </c>
      <c r="AB19" s="33">
        <f t="shared" si="55"/>
        <v>28078276.909999996</v>
      </c>
      <c r="AC19" s="33">
        <f t="shared" si="55"/>
        <v>41629290.409999982</v>
      </c>
      <c r="AD19" s="33">
        <f t="shared" si="55"/>
        <v>-28250147.680000007</v>
      </c>
      <c r="AE19" s="33">
        <f t="shared" si="55"/>
        <v>89101622.189999998</v>
      </c>
      <c r="AF19" s="33">
        <f t="shared" si="55"/>
        <v>54284472.759999998</v>
      </c>
      <c r="AG19" s="33">
        <f t="shared" si="55"/>
        <v>161076856.82000005</v>
      </c>
      <c r="AH19" s="33">
        <f t="shared" si="55"/>
        <v>173010754.77000001</v>
      </c>
      <c r="AI19" s="33">
        <f t="shared" si="55"/>
        <v>129280441.30000001</v>
      </c>
      <c r="AJ19" s="33">
        <f t="shared" si="55"/>
        <v>31855302.370000005</v>
      </c>
      <c r="AK19" s="33">
        <f t="shared" si="55"/>
        <v>388333379.91999996</v>
      </c>
      <c r="AL19" s="33">
        <f t="shared" si="55"/>
        <v>136117536.37</v>
      </c>
      <c r="AM19" s="33">
        <f t="shared" si="55"/>
        <v>96853293.900000006</v>
      </c>
      <c r="AN19" s="33">
        <f t="shared" si="55"/>
        <v>62041816.009999998</v>
      </c>
      <c r="AO19" s="33">
        <f t="shared" si="55"/>
        <v>324472750.49999994</v>
      </c>
      <c r="AP19" s="33">
        <f t="shared" si="55"/>
        <v>194903454.25999999</v>
      </c>
      <c r="AQ19" s="33">
        <f t="shared" si="55"/>
        <v>139045414.91999999</v>
      </c>
      <c r="AR19" s="33">
        <f t="shared" si="55"/>
        <v>87928333.170000002</v>
      </c>
      <c r="AS19" s="33">
        <f t="shared" si="55"/>
        <v>192715868.94000003</v>
      </c>
      <c r="AT19" s="33">
        <f t="shared" si="55"/>
        <v>135530047.53999999</v>
      </c>
      <c r="AU19" s="33">
        <f t="shared" si="55"/>
        <v>300365073.59000003</v>
      </c>
      <c r="AV19" s="33">
        <f t="shared" si="55"/>
        <v>30093781.079999998</v>
      </c>
      <c r="AW19" s="33">
        <f t="shared" si="55"/>
        <v>98537360.400000006</v>
      </c>
      <c r="AX19" s="33">
        <f t="shared" si="55"/>
        <v>59637717.5</v>
      </c>
      <c r="AY19" s="33">
        <f t="shared" si="55"/>
        <v>16206520.319999993</v>
      </c>
      <c r="AZ19" s="33">
        <f t="shared" si="55"/>
        <v>40070902.189999998</v>
      </c>
      <c r="BA19" s="33">
        <f t="shared" si="55"/>
        <v>154725038.13</v>
      </c>
      <c r="BB19" s="33">
        <f t="shared" si="55"/>
        <v>126599853.28999999</v>
      </c>
      <c r="BC19" s="33">
        <f t="shared" si="55"/>
        <v>109236470.25</v>
      </c>
      <c r="BD19" s="33">
        <f t="shared" si="55"/>
        <v>11533109.43</v>
      </c>
      <c r="BE19" s="33">
        <f t="shared" si="55"/>
        <v>108396880.98999999</v>
      </c>
      <c r="BF19" s="33">
        <f t="shared" si="55"/>
        <v>21317654.299999997</v>
      </c>
      <c r="BG19" s="33">
        <f t="shared" si="55"/>
        <v>-3056140.1499999985</v>
      </c>
      <c r="BH19" s="33">
        <f t="shared" si="55"/>
        <v>22152480.170000002</v>
      </c>
      <c r="BI19" s="33">
        <f t="shared" si="55"/>
        <v>197116404.78</v>
      </c>
      <c r="BJ19" s="33">
        <f t="shared" si="55"/>
        <v>74271298.300000012</v>
      </c>
      <c r="BK19" s="33">
        <f t="shared" si="55"/>
        <v>60757294.479999997</v>
      </c>
      <c r="BL19" s="33">
        <f t="shared" si="55"/>
        <v>13907802.27</v>
      </c>
      <c r="BM19" s="33">
        <f t="shared" si="55"/>
        <v>101057382.82000001</v>
      </c>
      <c r="BN19" s="33">
        <f t="shared" si="55"/>
        <v>20451575.949999999</v>
      </c>
      <c r="BO19" s="33">
        <f t="shared" si="55"/>
        <v>51258284.269999996</v>
      </c>
      <c r="BP19" s="33">
        <f t="shared" si="55"/>
        <v>18609688.609999999</v>
      </c>
      <c r="BQ19" s="33">
        <f t="shared" si="55"/>
        <v>106582120.29000001</v>
      </c>
      <c r="BR19" s="33">
        <f t="shared" ref="BR19:BV19" si="56">BR5+BR17</f>
        <v>40993445.710000001</v>
      </c>
      <c r="BS19" s="33">
        <f t="shared" si="56"/>
        <v>75768714.270000011</v>
      </c>
      <c r="BT19" s="33">
        <f t="shared" si="56"/>
        <v>5826841.1900000004</v>
      </c>
      <c r="BU19" s="33">
        <f t="shared" si="56"/>
        <v>-248081.96999999997</v>
      </c>
      <c r="BV19" s="33">
        <f t="shared" si="56"/>
        <v>0</v>
      </c>
    </row>
    <row r="20" spans="1:74" s="33" customFormat="1">
      <c r="A20" s="33" t="s">
        <v>368</v>
      </c>
      <c r="B20" s="48">
        <v>-220844288.34999999</v>
      </c>
      <c r="C20" s="48">
        <v>-360888706.42000002</v>
      </c>
      <c r="D20" s="48">
        <v>-1182456308.27</v>
      </c>
      <c r="E20" s="48">
        <v>1930118454.01</v>
      </c>
      <c r="F20" s="48">
        <v>1405689604.1400001</v>
      </c>
      <c r="G20" s="48">
        <v>436621687.81999999</v>
      </c>
      <c r="H20" s="48">
        <v>-277228251.38999999</v>
      </c>
      <c r="I20" s="48">
        <v>1999573702.98</v>
      </c>
      <c r="J20" s="48">
        <v>1929645382.1800001</v>
      </c>
      <c r="K20" s="48">
        <v>1316392351.1300001</v>
      </c>
      <c r="L20" s="48">
        <v>319139035.18000001</v>
      </c>
      <c r="M20" s="48">
        <v>1338774524.46</v>
      </c>
      <c r="N20" s="48">
        <v>1508101907.8</v>
      </c>
      <c r="O20" s="48">
        <v>563731554.65999997</v>
      </c>
      <c r="P20" s="48">
        <v>-139849646.09999999</v>
      </c>
      <c r="Q20" s="48">
        <v>2011963265.6500001</v>
      </c>
      <c r="R20" s="48">
        <v>1767169251.03</v>
      </c>
      <c r="S20" s="48">
        <v>972053307.75999999</v>
      </c>
      <c r="T20" s="48">
        <v>-47720877.789999999</v>
      </c>
      <c r="U20" s="48">
        <v>1758892889.23</v>
      </c>
      <c r="V20" s="48">
        <v>1503864105.3</v>
      </c>
      <c r="W20" s="48">
        <v>928841205.42999995</v>
      </c>
      <c r="X20" s="48">
        <v>-633039859.49000001</v>
      </c>
      <c r="Y20" s="48">
        <v>3120058762.9099998</v>
      </c>
      <c r="Z20" s="48">
        <v>2266334969.25</v>
      </c>
      <c r="AA20" s="48">
        <v>1506595920.0599999</v>
      </c>
      <c r="AB20" s="48">
        <v>-125661126.05</v>
      </c>
      <c r="AC20" s="48">
        <v>1542378253.03</v>
      </c>
      <c r="AD20" s="48">
        <v>1434505205.8599999</v>
      </c>
      <c r="AE20" s="48">
        <v>884143463.00999999</v>
      </c>
      <c r="AF20" s="48">
        <v>-223539526.56</v>
      </c>
      <c r="AG20" s="48">
        <v>1787464327.6600001</v>
      </c>
      <c r="AH20" s="48">
        <v>1718131912.98</v>
      </c>
      <c r="AI20" s="48">
        <v>1122202879.6700001</v>
      </c>
      <c r="AJ20" s="48">
        <v>30469639.280000001</v>
      </c>
      <c r="AK20" s="48">
        <v>2028598332.1700001</v>
      </c>
      <c r="AL20" s="48">
        <v>1616122875.99</v>
      </c>
      <c r="AM20" s="48">
        <v>943480103.27999997</v>
      </c>
      <c r="AN20" s="48">
        <v>378297459.14999998</v>
      </c>
      <c r="AO20" s="48">
        <v>516497097.97000003</v>
      </c>
      <c r="AP20" s="48">
        <v>381218783.56</v>
      </c>
      <c r="AQ20" s="48">
        <v>4084610.3</v>
      </c>
      <c r="AR20" s="48">
        <v>-286208499.70999998</v>
      </c>
      <c r="AS20" s="48">
        <v>1057878881.39</v>
      </c>
      <c r="AT20" s="48">
        <v>769860088.14999998</v>
      </c>
      <c r="AU20" s="48">
        <v>295608189.13</v>
      </c>
      <c r="AV20" s="48">
        <v>-30549097.199999999</v>
      </c>
      <c r="AW20" s="48">
        <v>846957120.55999994</v>
      </c>
      <c r="AX20" s="48">
        <v>485240091.43000001</v>
      </c>
      <c r="AY20" s="48">
        <v>199309444.03</v>
      </c>
      <c r="AZ20" s="48">
        <v>-80113359.060000002</v>
      </c>
      <c r="BA20" s="48">
        <v>243530780.69999999</v>
      </c>
      <c r="BB20" s="48">
        <v>-165370697.12</v>
      </c>
      <c r="BC20" s="48">
        <v>-157379247.44</v>
      </c>
      <c r="BD20" s="48">
        <v>-233545765.58000001</v>
      </c>
      <c r="BE20" s="48">
        <v>604667760.59000003</v>
      </c>
      <c r="BF20" s="48">
        <v>337453098.12</v>
      </c>
      <c r="BG20" s="48">
        <v>76753462.159999996</v>
      </c>
      <c r="BH20" s="48">
        <v>56748815.079999998</v>
      </c>
      <c r="BI20" s="48">
        <v>292170476.75999999</v>
      </c>
      <c r="BJ20" s="48">
        <v>456723497.52999997</v>
      </c>
      <c r="BK20" s="48">
        <v>156973179.36000001</v>
      </c>
      <c r="BL20" s="48">
        <v>-5871214.5800000001</v>
      </c>
      <c r="BM20" s="48">
        <v>690591617.23000002</v>
      </c>
      <c r="BN20" s="48">
        <v>318591291.69999999</v>
      </c>
      <c r="BO20" s="48">
        <v>887186030.29999995</v>
      </c>
      <c r="BP20" s="48">
        <v>200224002.99000001</v>
      </c>
      <c r="BQ20" s="48">
        <v>678152932.48000002</v>
      </c>
      <c r="BR20" s="48">
        <v>131692296.48</v>
      </c>
      <c r="BS20" s="48">
        <v>247433107.97999999</v>
      </c>
      <c r="BT20" s="48">
        <v>43070537.390000001</v>
      </c>
      <c r="BU20" s="48">
        <v>-154941375.38999999</v>
      </c>
      <c r="BV20" s="48">
        <v>0</v>
      </c>
    </row>
    <row r="21" spans="1:74">
      <c r="A21" s="23" t="s">
        <v>369</v>
      </c>
      <c r="E21" s="33">
        <f>E20/E19*100</f>
        <v>1154.4353723076804</v>
      </c>
      <c r="F21" s="33">
        <f t="shared" ref="F21:BQ21" si="57">F20/F19*100</f>
        <v>1352.8878693073746</v>
      </c>
      <c r="G21" s="33">
        <f t="shared" si="57"/>
        <v>601.60815714764863</v>
      </c>
      <c r="H21" s="33">
        <f t="shared" si="57"/>
        <v>-1109.322852431226</v>
      </c>
      <c r="I21" s="33">
        <f t="shared" si="57"/>
        <v>554.97469601338355</v>
      </c>
      <c r="J21" s="33">
        <f t="shared" si="57"/>
        <v>527.10342196808165</v>
      </c>
      <c r="K21" s="33">
        <f t="shared" si="57"/>
        <v>576.71870641717078</v>
      </c>
      <c r="L21" s="33">
        <f t="shared" si="57"/>
        <v>97.532685071832205</v>
      </c>
      <c r="M21" s="33">
        <f t="shared" si="57"/>
        <v>382.19451514352795</v>
      </c>
      <c r="N21" s="33">
        <f t="shared" si="57"/>
        <v>1145.1338815858442</v>
      </c>
      <c r="O21" s="33">
        <f t="shared" si="57"/>
        <v>749.30993084186298</v>
      </c>
      <c r="P21" s="33">
        <f t="shared" si="57"/>
        <v>-227.85097612230817</v>
      </c>
      <c r="Q21" s="33">
        <f t="shared" si="57"/>
        <v>521.02830811106196</v>
      </c>
      <c r="R21" s="33">
        <f t="shared" si="57"/>
        <v>610.14455265284244</v>
      </c>
      <c r="S21" s="33">
        <f t="shared" si="57"/>
        <v>731.8146768593723</v>
      </c>
      <c r="T21" s="33">
        <f t="shared" si="57"/>
        <v>-66.640055276814081</v>
      </c>
      <c r="U21" s="33">
        <f t="shared" si="57"/>
        <v>467.1601913197569</v>
      </c>
      <c r="V21" s="33">
        <f t="shared" si="57"/>
        <v>564.99733799202386</v>
      </c>
      <c r="W21" s="33">
        <f t="shared" si="57"/>
        <v>466.84386079096186</v>
      </c>
      <c r="X21" s="33">
        <f t="shared" si="57"/>
        <v>-972.80345795685412</v>
      </c>
      <c r="Y21" s="33">
        <f t="shared" si="57"/>
        <v>537.14546380801687</v>
      </c>
      <c r="Z21" s="33">
        <f t="shared" si="57"/>
        <v>338.25494451946582</v>
      </c>
      <c r="AA21" s="33">
        <f t="shared" si="57"/>
        <v>1249.8033713772668</v>
      </c>
      <c r="AB21" s="33">
        <f t="shared" si="57"/>
        <v>-447.53859523782296</v>
      </c>
      <c r="AC21" s="33">
        <f t="shared" si="57"/>
        <v>3705.0313321206586</v>
      </c>
      <c r="AD21" s="33">
        <f t="shared" si="57"/>
        <v>-5077.8679889010746</v>
      </c>
      <c r="AE21" s="33">
        <f t="shared" si="57"/>
        <v>992.28660632536571</v>
      </c>
      <c r="AF21" s="33">
        <f t="shared" si="57"/>
        <v>-411.79275618702718</v>
      </c>
      <c r="AG21" s="33">
        <f t="shared" si="57"/>
        <v>1109.6965529054576</v>
      </c>
      <c r="AH21" s="33">
        <f t="shared" si="57"/>
        <v>993.07809810094147</v>
      </c>
      <c r="AI21" s="33">
        <f t="shared" si="57"/>
        <v>868.03763073943026</v>
      </c>
      <c r="AJ21" s="33">
        <f t="shared" si="57"/>
        <v>95.650133613847089</v>
      </c>
      <c r="AK21" s="33">
        <f t="shared" si="57"/>
        <v>522.38577394194363</v>
      </c>
      <c r="AL21" s="33">
        <f t="shared" si="57"/>
        <v>1187.2995347175486</v>
      </c>
      <c r="AM21" s="33">
        <f t="shared" si="57"/>
        <v>974.13321249985893</v>
      </c>
      <c r="AN21" s="33">
        <f t="shared" si="57"/>
        <v>609.74594794102325</v>
      </c>
      <c r="AO21" s="33">
        <f t="shared" si="57"/>
        <v>159.18042337117618</v>
      </c>
      <c r="AP21" s="33">
        <f t="shared" si="57"/>
        <v>195.59365174280416</v>
      </c>
      <c r="AQ21" s="33">
        <f t="shared" si="57"/>
        <v>2.9376087678619873</v>
      </c>
      <c r="AR21" s="33">
        <f t="shared" si="57"/>
        <v>-325.5020189642928</v>
      </c>
      <c r="AS21" s="33">
        <f t="shared" si="57"/>
        <v>548.93190021593864</v>
      </c>
      <c r="AT21" s="33">
        <f t="shared" si="57"/>
        <v>568.03646285358639</v>
      </c>
      <c r="AU21" s="33">
        <f t="shared" si="57"/>
        <v>98.416299071278431</v>
      </c>
      <c r="AV21" s="33">
        <f t="shared" si="57"/>
        <v>-101.51299073649007</v>
      </c>
      <c r="AW21" s="33">
        <f t="shared" si="57"/>
        <v>859.5289310794243</v>
      </c>
      <c r="AX21" s="33">
        <f t="shared" si="57"/>
        <v>813.6463160750576</v>
      </c>
      <c r="AY21" s="33">
        <f t="shared" si="57"/>
        <v>1229.81022511068</v>
      </c>
      <c r="AZ21" s="33">
        <f t="shared" si="57"/>
        <v>-199.92901252917861</v>
      </c>
      <c r="BA21" s="33">
        <f t="shared" si="57"/>
        <v>157.39584468247821</v>
      </c>
      <c r="BB21" s="33">
        <f t="shared" si="57"/>
        <v>-130.62471465996751</v>
      </c>
      <c r="BC21" s="33">
        <f t="shared" si="57"/>
        <v>-144.0720732552231</v>
      </c>
      <c r="BD21" s="33">
        <f t="shared" si="57"/>
        <v>-2025.0025979333834</v>
      </c>
      <c r="BE21" s="33">
        <f t="shared" si="57"/>
        <v>557.82763772122075</v>
      </c>
      <c r="BF21" s="33">
        <f t="shared" si="57"/>
        <v>1582.974812195918</v>
      </c>
      <c r="BG21" s="33">
        <f t="shared" si="57"/>
        <v>-2511.4509935023771</v>
      </c>
      <c r="BH21" s="33">
        <f t="shared" si="57"/>
        <v>256.17364125598942</v>
      </c>
      <c r="BI21" s="33">
        <f t="shared" si="57"/>
        <v>148.22230401680116</v>
      </c>
      <c r="BJ21" s="33">
        <f t="shared" si="57"/>
        <v>614.93942880220254</v>
      </c>
      <c r="BK21" s="33">
        <f t="shared" si="57"/>
        <v>258.3610424122362</v>
      </c>
      <c r="BL21" s="33">
        <f t="shared" si="57"/>
        <v>-42.21525778134319</v>
      </c>
      <c r="BM21" s="33">
        <f t="shared" si="57"/>
        <v>683.36582440499024</v>
      </c>
      <c r="BN21" s="33">
        <f t="shared" si="57"/>
        <v>1557.7835785315117</v>
      </c>
      <c r="BO21" s="33">
        <f t="shared" si="57"/>
        <v>1730.814916915283</v>
      </c>
      <c r="BP21" s="33">
        <f t="shared" si="57"/>
        <v>1075.9126989497759</v>
      </c>
      <c r="BQ21" s="33">
        <f t="shared" si="57"/>
        <v>636.27269811747897</v>
      </c>
      <c r="BR21" s="33">
        <f t="shared" ref="BR21:BU21" si="58">BR20/BR19*100</f>
        <v>321.25207871431701</v>
      </c>
      <c r="BS21" s="33">
        <f t="shared" si="58"/>
        <v>326.56368840875143</v>
      </c>
      <c r="BT21" s="33">
        <f t="shared" si="58"/>
        <v>739.17472581743721</v>
      </c>
      <c r="BU21" s="33">
        <f t="shared" si="58"/>
        <v>62455.717918557319</v>
      </c>
    </row>
    <row r="22" spans="1:74">
      <c r="A22" s="23" t="s">
        <v>370</v>
      </c>
      <c r="E22" s="33">
        <f>I35</f>
        <v>14275473213.59</v>
      </c>
      <c r="F22" s="33">
        <f t="shared" ref="F22:BQ22" si="59">J35</f>
        <v>14010826273.18</v>
      </c>
      <c r="G22" s="33">
        <f t="shared" si="59"/>
        <v>13992012186.15</v>
      </c>
      <c r="H22" s="33">
        <f t="shared" si="59"/>
        <v>13069370981.500002</v>
      </c>
      <c r="I22" s="33">
        <f t="shared" si="59"/>
        <v>13164991889.75</v>
      </c>
      <c r="J22" s="33">
        <f t="shared" si="59"/>
        <v>13156834853.140001</v>
      </c>
      <c r="K22" s="33">
        <f t="shared" si="59"/>
        <v>13014263358.420002</v>
      </c>
      <c r="L22" s="33">
        <f t="shared" si="59"/>
        <v>12205058055.74</v>
      </c>
      <c r="M22" s="33">
        <f t="shared" si="59"/>
        <v>12434878623.889999</v>
      </c>
      <c r="N22" s="33">
        <f t="shared" si="59"/>
        <v>12190331692.82</v>
      </c>
      <c r="O22" s="33">
        <f t="shared" si="59"/>
        <v>12363790058.57</v>
      </c>
      <c r="P22" s="33">
        <f t="shared" si="59"/>
        <v>11466788667.09</v>
      </c>
      <c r="Q22" s="33">
        <f t="shared" si="59"/>
        <v>11484574718.470001</v>
      </c>
      <c r="R22" s="33">
        <f t="shared" si="59"/>
        <v>11405015753.559999</v>
      </c>
      <c r="S22" s="33">
        <f t="shared" si="59"/>
        <v>11454610284.490002</v>
      </c>
      <c r="T22" s="33">
        <f t="shared" si="59"/>
        <v>9909528542.4100018</v>
      </c>
      <c r="U22" s="33">
        <f t="shared" si="59"/>
        <v>12011450390.950001</v>
      </c>
      <c r="V22" s="33">
        <f t="shared" si="59"/>
        <v>9862876295.6299992</v>
      </c>
      <c r="W22" s="33">
        <f t="shared" si="59"/>
        <v>9763362936.3100014</v>
      </c>
      <c r="X22" s="33">
        <f t="shared" si="59"/>
        <v>8173263798.6800003</v>
      </c>
      <c r="Y22" s="33">
        <f t="shared" si="59"/>
        <v>8731807551.2200012</v>
      </c>
      <c r="Z22" s="33">
        <f t="shared" si="59"/>
        <v>8113865174.4499998</v>
      </c>
      <c r="AA22" s="33">
        <f t="shared" si="59"/>
        <v>7682217112.3500004</v>
      </c>
      <c r="AB22" s="33">
        <f t="shared" si="59"/>
        <v>6903824401.8699999</v>
      </c>
      <c r="AC22" s="33">
        <f t="shared" si="59"/>
        <v>7191770043.21</v>
      </c>
      <c r="AD22" s="33">
        <f t="shared" si="59"/>
        <v>7210473366.1399994</v>
      </c>
      <c r="AE22" s="33">
        <f t="shared" si="59"/>
        <v>6879750868.5100002</v>
      </c>
      <c r="AF22" s="33">
        <f t="shared" si="59"/>
        <v>6035642828.6200008</v>
      </c>
      <c r="AG22" s="33">
        <f t="shared" si="59"/>
        <v>6069062475.9499998</v>
      </c>
      <c r="AH22" s="33">
        <f t="shared" si="59"/>
        <v>5617400744.4400005</v>
      </c>
      <c r="AI22" s="33">
        <f t="shared" si="59"/>
        <v>5171072680.79</v>
      </c>
      <c r="AJ22" s="33">
        <f t="shared" si="59"/>
        <v>4758643148.7600002</v>
      </c>
      <c r="AK22" s="33">
        <f t="shared" si="59"/>
        <v>4241062781.4899998</v>
      </c>
      <c r="AL22" s="33">
        <f t="shared" si="59"/>
        <v>4249003640.8099999</v>
      </c>
      <c r="AM22" s="33">
        <f t="shared" si="59"/>
        <v>4136857769.8700004</v>
      </c>
      <c r="AN22" s="33">
        <f t="shared" si="59"/>
        <v>3824988726.54</v>
      </c>
      <c r="AO22" s="33">
        <f t="shared" si="59"/>
        <v>4179106892.4000001</v>
      </c>
      <c r="AP22" s="33">
        <f t="shared" si="59"/>
        <v>3758950800.6599998</v>
      </c>
      <c r="AQ22" s="33">
        <f t="shared" si="59"/>
        <v>3623164252.6900001</v>
      </c>
      <c r="AR22" s="33">
        <f t="shared" si="59"/>
        <v>3511557256.1199999</v>
      </c>
      <c r="AS22" s="33">
        <f t="shared" si="59"/>
        <v>3558892134.8800001</v>
      </c>
      <c r="AT22" s="33">
        <f t="shared" si="59"/>
        <v>3598739905.7000003</v>
      </c>
      <c r="AU22" s="33">
        <f t="shared" si="59"/>
        <v>3351576316.8400002</v>
      </c>
      <c r="AV22" s="33">
        <f t="shared" si="59"/>
        <v>3017630885.0699997</v>
      </c>
      <c r="AW22" s="33">
        <f t="shared" si="59"/>
        <v>3103334635.0500002</v>
      </c>
      <c r="AX22" s="33">
        <f t="shared" si="59"/>
        <v>2693729352.6100001</v>
      </c>
      <c r="AY22" s="33">
        <f t="shared" si="59"/>
        <v>2966552559.0599999</v>
      </c>
      <c r="AZ22" s="33">
        <f t="shared" si="59"/>
        <v>3255270815.1100001</v>
      </c>
      <c r="BA22" s="33">
        <f t="shared" si="59"/>
        <v>3427130001.0599999</v>
      </c>
      <c r="BB22" s="33">
        <f t="shared" si="59"/>
        <v>3288662107.8700004</v>
      </c>
      <c r="BC22" s="33">
        <f t="shared" si="59"/>
        <v>3550228729.5799999</v>
      </c>
      <c r="BD22" s="33">
        <f t="shared" si="59"/>
        <v>3612995219.77</v>
      </c>
      <c r="BE22" s="33">
        <f t="shared" si="59"/>
        <v>3600773950.75</v>
      </c>
      <c r="BF22" s="33">
        <f t="shared" si="59"/>
        <v>3444087421</v>
      </c>
      <c r="BG22" s="33">
        <f t="shared" si="59"/>
        <v>3781540091.04</v>
      </c>
      <c r="BH22" s="33">
        <f t="shared" si="59"/>
        <v>3834069903.6999998</v>
      </c>
      <c r="BI22" s="33">
        <f t="shared" si="59"/>
        <v>3828987962.0799999</v>
      </c>
      <c r="BJ22" s="33">
        <f t="shared" si="59"/>
        <v>3635757688.3099999</v>
      </c>
      <c r="BK22" s="33">
        <f t="shared" si="59"/>
        <v>3991868900.9299998</v>
      </c>
      <c r="BL22" s="33">
        <f t="shared" si="59"/>
        <v>3724014751.5800004</v>
      </c>
      <c r="BM22" s="33">
        <f>BO35</f>
        <v>3991868900.9299998</v>
      </c>
      <c r="BN22" s="33">
        <f t="shared" ref="BN22:BU22" si="60">BP35</f>
        <v>3724014751.5800004</v>
      </c>
      <c r="BO22" s="33">
        <f t="shared" si="60"/>
        <v>3581318866.5</v>
      </c>
      <c r="BP22" s="33">
        <f t="shared" si="60"/>
        <v>3401484933.3000002</v>
      </c>
      <c r="BQ22" s="33">
        <f t="shared" si="60"/>
        <v>3275440861.2900004</v>
      </c>
      <c r="BR22" s="33">
        <f t="shared" si="60"/>
        <v>2809961694.96</v>
      </c>
      <c r="BS22" s="33">
        <f t="shared" si="60"/>
        <v>2813364779.0300002</v>
      </c>
      <c r="BT22" s="33">
        <f t="shared" si="60"/>
        <v>1227321597.74</v>
      </c>
      <c r="BU22" s="33">
        <f t="shared" si="60"/>
        <v>0</v>
      </c>
    </row>
    <row r="23" spans="1:74">
      <c r="A23" s="23" t="s">
        <v>371</v>
      </c>
      <c r="E23" s="33">
        <f>E20+E22-E19</f>
        <v>16038400112.290001</v>
      </c>
      <c r="F23" s="33">
        <f t="shared" ref="F23:BQ23" si="61">F20+F22-F19</f>
        <v>15312612986.619999</v>
      </c>
      <c r="G23" s="33">
        <f t="shared" si="61"/>
        <v>14356058114.709999</v>
      </c>
      <c r="H23" s="33">
        <f t="shared" si="61"/>
        <v>12767151966.530003</v>
      </c>
      <c r="I23" s="33">
        <f t="shared" si="61"/>
        <v>14804265615.57</v>
      </c>
      <c r="J23" s="33">
        <f t="shared" si="61"/>
        <v>14720395459.210001</v>
      </c>
      <c r="K23" s="33">
        <f t="shared" si="61"/>
        <v>14102400177.610003</v>
      </c>
      <c r="L23" s="33">
        <f t="shared" si="61"/>
        <v>12196984695.459999</v>
      </c>
      <c r="M23" s="33">
        <f t="shared" si="61"/>
        <v>13423366979.549999</v>
      </c>
      <c r="N23" s="33">
        <f t="shared" si="61"/>
        <v>13566737042.509998</v>
      </c>
      <c r="O23" s="33">
        <f t="shared" si="61"/>
        <v>12852288184.25</v>
      </c>
      <c r="P23" s="33">
        <f t="shared" si="61"/>
        <v>11265561339.629999</v>
      </c>
      <c r="Q23" s="33">
        <f t="shared" si="61"/>
        <v>13110385593.870001</v>
      </c>
      <c r="R23" s="33">
        <f t="shared" si="61"/>
        <v>12882553761.74</v>
      </c>
      <c r="S23" s="33">
        <f t="shared" si="61"/>
        <v>12293835796.020002</v>
      </c>
      <c r="T23" s="33">
        <f t="shared" si="61"/>
        <v>9790197763.3500004</v>
      </c>
      <c r="U23" s="33">
        <f t="shared" si="61"/>
        <v>13393835837.57</v>
      </c>
      <c r="V23" s="33">
        <f t="shared" si="61"/>
        <v>11100568508.749998</v>
      </c>
      <c r="W23" s="33">
        <f t="shared" si="61"/>
        <v>10493242286.730001</v>
      </c>
      <c r="X23" s="33">
        <f t="shared" si="61"/>
        <v>7475150171.7900009</v>
      </c>
      <c r="Y23" s="33">
        <f t="shared" si="61"/>
        <v>11271007129.210001</v>
      </c>
      <c r="Z23" s="33">
        <f t="shared" si="61"/>
        <v>9710192208.5700016</v>
      </c>
      <c r="AA23" s="33">
        <f t="shared" si="61"/>
        <v>9068266396.4699993</v>
      </c>
      <c r="AB23" s="33">
        <f t="shared" si="61"/>
        <v>6750084998.9099998</v>
      </c>
      <c r="AC23" s="33">
        <f t="shared" si="61"/>
        <v>8692519005.8299999</v>
      </c>
      <c r="AD23" s="33">
        <f t="shared" si="61"/>
        <v>8673228719.6800003</v>
      </c>
      <c r="AE23" s="33">
        <f t="shared" si="61"/>
        <v>7674792709.3300009</v>
      </c>
      <c r="AF23" s="33">
        <f t="shared" si="61"/>
        <v>5757818829.3000002</v>
      </c>
      <c r="AG23" s="33">
        <f t="shared" si="61"/>
        <v>7695449946.79</v>
      </c>
      <c r="AH23" s="33">
        <f t="shared" si="61"/>
        <v>7162521902.6499996</v>
      </c>
      <c r="AI23" s="33">
        <f t="shared" si="61"/>
        <v>6163995119.1599998</v>
      </c>
      <c r="AJ23" s="33">
        <f t="shared" si="61"/>
        <v>4757257485.6700001</v>
      </c>
      <c r="AK23" s="33">
        <f t="shared" si="61"/>
        <v>5881327733.7399998</v>
      </c>
      <c r="AL23" s="33">
        <f t="shared" si="61"/>
        <v>5729008980.4300003</v>
      </c>
      <c r="AM23" s="33">
        <f t="shared" si="61"/>
        <v>4983484579.250001</v>
      </c>
      <c r="AN23" s="33">
        <f t="shared" si="61"/>
        <v>4141244369.6799998</v>
      </c>
      <c r="AO23" s="33">
        <f t="shared" si="61"/>
        <v>4371131239.8699999</v>
      </c>
      <c r="AP23" s="33">
        <f t="shared" si="61"/>
        <v>3945266129.96</v>
      </c>
      <c r="AQ23" s="33">
        <f t="shared" si="61"/>
        <v>3488203448.0700002</v>
      </c>
      <c r="AR23" s="33">
        <f t="shared" si="61"/>
        <v>3137420423.2399998</v>
      </c>
      <c r="AS23" s="33">
        <f t="shared" si="61"/>
        <v>4424055147.3300009</v>
      </c>
      <c r="AT23" s="33">
        <f t="shared" si="61"/>
        <v>4233069946.3100004</v>
      </c>
      <c r="AU23" s="33">
        <f t="shared" si="61"/>
        <v>3346819432.3800001</v>
      </c>
      <c r="AV23" s="33">
        <f t="shared" si="61"/>
        <v>2956988006.79</v>
      </c>
      <c r="AW23" s="33">
        <f t="shared" si="61"/>
        <v>3851754395.21</v>
      </c>
      <c r="AX23" s="33">
        <f t="shared" si="61"/>
        <v>3119331726.54</v>
      </c>
      <c r="AY23" s="33">
        <f t="shared" si="61"/>
        <v>3149655482.77</v>
      </c>
      <c r="AZ23" s="33">
        <f t="shared" si="61"/>
        <v>3135086553.8600001</v>
      </c>
      <c r="BA23" s="33">
        <f t="shared" si="61"/>
        <v>3515935743.6299996</v>
      </c>
      <c r="BB23" s="33">
        <f t="shared" si="61"/>
        <v>2996691557.4600005</v>
      </c>
      <c r="BC23" s="33">
        <f t="shared" si="61"/>
        <v>3283613011.8899999</v>
      </c>
      <c r="BD23" s="33">
        <f t="shared" si="61"/>
        <v>3367916344.7600002</v>
      </c>
      <c r="BE23" s="33">
        <f t="shared" si="61"/>
        <v>4097044830.3500004</v>
      </c>
      <c r="BF23" s="33">
        <f t="shared" si="61"/>
        <v>3760222864.8199997</v>
      </c>
      <c r="BG23" s="33">
        <f t="shared" si="61"/>
        <v>3861349693.3499999</v>
      </c>
      <c r="BH23" s="33">
        <f t="shared" si="61"/>
        <v>3868666238.6099997</v>
      </c>
      <c r="BI23" s="33">
        <f t="shared" si="61"/>
        <v>3924042034.0599999</v>
      </c>
      <c r="BJ23" s="33">
        <f t="shared" si="61"/>
        <v>4018209887.54</v>
      </c>
      <c r="BK23" s="33">
        <f t="shared" si="61"/>
        <v>4088084785.8099999</v>
      </c>
      <c r="BL23" s="33">
        <f t="shared" si="61"/>
        <v>3704235734.7300005</v>
      </c>
      <c r="BM23" s="33">
        <f t="shared" si="61"/>
        <v>4581403135.3400002</v>
      </c>
      <c r="BN23" s="33">
        <f t="shared" si="61"/>
        <v>4022154467.3300004</v>
      </c>
      <c r="BO23" s="33">
        <f t="shared" si="61"/>
        <v>4417246612.5299997</v>
      </c>
      <c r="BP23" s="33">
        <f t="shared" si="61"/>
        <v>3583099247.6799998</v>
      </c>
      <c r="BQ23" s="33">
        <f t="shared" si="61"/>
        <v>3847011673.4800005</v>
      </c>
      <c r="BR23" s="33">
        <f t="shared" ref="BR23:BV23" si="62">BR20+BR22-BR19</f>
        <v>2900660545.73</v>
      </c>
      <c r="BS23" s="33">
        <f t="shared" si="62"/>
        <v>2985029172.7400002</v>
      </c>
      <c r="BT23" s="33">
        <f t="shared" si="62"/>
        <v>1264565293.9400001</v>
      </c>
      <c r="BU23" s="33">
        <f t="shared" si="62"/>
        <v>-154693293.41999999</v>
      </c>
      <c r="BV23" s="33">
        <f t="shared" si="62"/>
        <v>0</v>
      </c>
    </row>
    <row r="24" spans="1:74">
      <c r="A24" s="23" t="s">
        <v>372</v>
      </c>
      <c r="B24" s="48">
        <v>-1415147033.29</v>
      </c>
      <c r="C24" s="48">
        <v>-677896282.87</v>
      </c>
      <c r="D24" s="48">
        <v>-68746783.790000007</v>
      </c>
      <c r="E24" s="48">
        <v>-1242146865.5799999</v>
      </c>
      <c r="F24" s="48">
        <v>-1201175778.0999999</v>
      </c>
      <c r="G24" s="48">
        <v>-554575853.34000003</v>
      </c>
      <c r="H24" s="48">
        <v>-276293.09000000003</v>
      </c>
      <c r="I24" s="48">
        <v>-1166560145.71</v>
      </c>
      <c r="J24" s="48">
        <v>-1021612702.46</v>
      </c>
      <c r="K24" s="48">
        <v>-371900537.12</v>
      </c>
      <c r="L24" s="48">
        <v>-6979835.6900000004</v>
      </c>
      <c r="M24" s="48">
        <v>-814202285.13999999</v>
      </c>
      <c r="N24" s="48">
        <v>-741978136.34000003</v>
      </c>
      <c r="O24" s="48">
        <v>-10032924.58</v>
      </c>
      <c r="P24" s="48">
        <v>-1014628.04</v>
      </c>
      <c r="Q24" s="48">
        <v>-1073854823.5999999</v>
      </c>
      <c r="R24" s="48">
        <v>-1076095235.9000001</v>
      </c>
      <c r="S24" s="48">
        <v>-79545090.819999993</v>
      </c>
      <c r="T24" s="48">
        <v>-349316.54</v>
      </c>
      <c r="U24" s="48">
        <v>-2356343028.48</v>
      </c>
      <c r="V24" s="48">
        <v>-2175546261.1799998</v>
      </c>
      <c r="W24" s="48">
        <v>-1495097455.48</v>
      </c>
      <c r="X24" s="48">
        <v>-1421909442.6600001</v>
      </c>
      <c r="Y24" s="48">
        <v>611639170.17999995</v>
      </c>
      <c r="Z24" s="48">
        <v>-717887225.38999999</v>
      </c>
      <c r="AA24" s="48">
        <v>-23844275.93</v>
      </c>
      <c r="AB24" s="48">
        <v>-18894588.039999999</v>
      </c>
      <c r="AC24" s="48">
        <v>-400637118.02999997</v>
      </c>
      <c r="AD24" s="48">
        <v>-426057522.69999999</v>
      </c>
      <c r="AE24" s="48">
        <v>-178500188.06999999</v>
      </c>
      <c r="AF24" s="48">
        <v>13060086.84</v>
      </c>
      <c r="AG24" s="48">
        <v>-709175148.17999995</v>
      </c>
      <c r="AH24" s="48">
        <v>-565949363.11000001</v>
      </c>
      <c r="AI24" s="48">
        <v>-287288490.31999999</v>
      </c>
      <c r="AJ24" s="48">
        <v>-42759542.5</v>
      </c>
      <c r="AK24" s="48">
        <v>-345795857.91000003</v>
      </c>
      <c r="AL24" s="48">
        <v>-272498681.61000001</v>
      </c>
      <c r="AM24" s="48">
        <v>-91406904.189999998</v>
      </c>
      <c r="AN24" s="48">
        <v>-30198654.260000002</v>
      </c>
      <c r="AO24" s="48">
        <v>-358935595.23000002</v>
      </c>
      <c r="AP24" s="48">
        <v>-331576109.47000003</v>
      </c>
      <c r="AQ24" s="48">
        <v>5375950.0899999999</v>
      </c>
      <c r="AR24" s="48">
        <v>19227635.550000001</v>
      </c>
      <c r="AS24" s="48">
        <v>-297582343.05000001</v>
      </c>
      <c r="AT24" s="48">
        <v>-303476628.26999998</v>
      </c>
      <c r="AU24" s="48">
        <v>-6808290.5499999998</v>
      </c>
      <c r="AV24" s="48">
        <v>26159667.93</v>
      </c>
      <c r="AW24" s="48">
        <v>-534097196.27999997</v>
      </c>
      <c r="AX24" s="48">
        <v>-314406450.19999999</v>
      </c>
      <c r="AY24" s="48">
        <v>-190477089.97999999</v>
      </c>
      <c r="AZ24" s="48">
        <v>-43757490.020000003</v>
      </c>
      <c r="BA24" s="48">
        <v>-561335938</v>
      </c>
      <c r="BB24" s="48">
        <v>-535164839.51999998</v>
      </c>
      <c r="BC24" s="48">
        <v>-277379871.54000002</v>
      </c>
      <c r="BD24" s="48">
        <v>31670517.109999999</v>
      </c>
      <c r="BE24" s="48">
        <v>-560234182.36000001</v>
      </c>
      <c r="BF24" s="48">
        <v>-561934038.67999995</v>
      </c>
      <c r="BG24" s="48">
        <v>-149082870.63</v>
      </c>
      <c r="BH24" s="48">
        <v>-26092985.300000001</v>
      </c>
      <c r="BI24" s="48">
        <v>-952217706.23000002</v>
      </c>
      <c r="BJ24" s="48">
        <v>-863140884.26999998</v>
      </c>
      <c r="BK24" s="48">
        <v>-286061241.39999998</v>
      </c>
      <c r="BL24" s="48">
        <v>20219862.699999999</v>
      </c>
      <c r="BM24" s="48">
        <v>-497757747.88999999</v>
      </c>
      <c r="BN24" s="48">
        <v>69180771.329999998</v>
      </c>
      <c r="BO24" s="48">
        <v>-213431258.74000001</v>
      </c>
      <c r="BP24" s="48">
        <v>108990136.8</v>
      </c>
      <c r="BQ24" s="48">
        <v>-216035950.44999999</v>
      </c>
      <c r="BR24" s="48">
        <v>-53663250.100000001</v>
      </c>
      <c r="BS24" s="48">
        <v>1199883182.9300001</v>
      </c>
      <c r="BT24" s="48">
        <v>-240455659.52000001</v>
      </c>
      <c r="BU24" s="48">
        <v>12699187.619999999</v>
      </c>
      <c r="BV24" s="48">
        <v>0</v>
      </c>
    </row>
    <row r="30" spans="1:74" s="73" customFormat="1" ht="12.75" customHeight="1">
      <c r="A30" s="76" t="s">
        <v>384</v>
      </c>
      <c r="B30" s="59">
        <v>20180930</v>
      </c>
      <c r="C30" s="59">
        <v>20180630</v>
      </c>
      <c r="D30" s="59">
        <v>20180331</v>
      </c>
      <c r="E30" s="59">
        <v>20171231</v>
      </c>
      <c r="F30" s="59">
        <v>20170930</v>
      </c>
      <c r="G30" s="59">
        <v>20170630</v>
      </c>
      <c r="H30" s="59">
        <v>20170331</v>
      </c>
      <c r="I30" s="59">
        <v>20161231</v>
      </c>
      <c r="J30" s="59">
        <v>20160930</v>
      </c>
      <c r="K30" s="59">
        <v>20160630</v>
      </c>
      <c r="L30" s="59">
        <v>20160331</v>
      </c>
      <c r="M30" s="59">
        <v>20151231</v>
      </c>
      <c r="N30" s="59">
        <v>20150930</v>
      </c>
      <c r="O30" s="59">
        <v>20150630</v>
      </c>
      <c r="P30" s="59">
        <v>20150331</v>
      </c>
      <c r="Q30" s="59">
        <v>20141231</v>
      </c>
      <c r="R30" s="59">
        <v>20140930</v>
      </c>
      <c r="S30" s="59">
        <v>20140630</v>
      </c>
      <c r="T30" s="59">
        <v>20140331</v>
      </c>
      <c r="U30" s="59">
        <v>20131231</v>
      </c>
      <c r="V30" s="59">
        <v>20130930</v>
      </c>
      <c r="W30" s="59">
        <v>20130630</v>
      </c>
      <c r="X30" s="59">
        <v>20130331</v>
      </c>
      <c r="Y30" s="59">
        <v>20121231</v>
      </c>
      <c r="Z30" s="59">
        <v>20120930</v>
      </c>
      <c r="AA30" s="59">
        <v>20120630</v>
      </c>
      <c r="AB30" s="59">
        <v>20120331</v>
      </c>
      <c r="AC30" s="59">
        <v>20111231</v>
      </c>
      <c r="AD30" s="59">
        <v>20110930</v>
      </c>
      <c r="AE30" s="59">
        <v>20110630</v>
      </c>
      <c r="AF30" s="59">
        <v>20110331</v>
      </c>
      <c r="AG30" s="59">
        <v>20101231</v>
      </c>
      <c r="AH30" s="59">
        <v>20100930</v>
      </c>
      <c r="AI30" s="59">
        <v>20100630</v>
      </c>
      <c r="AJ30" s="59">
        <v>20100331</v>
      </c>
      <c r="AK30" s="59">
        <v>20091231</v>
      </c>
      <c r="AL30" s="59">
        <v>20090930</v>
      </c>
      <c r="AM30" s="59">
        <v>20090630</v>
      </c>
      <c r="AN30" s="59">
        <v>20090331</v>
      </c>
      <c r="AO30" s="59">
        <v>20081231</v>
      </c>
      <c r="AP30" s="59">
        <v>20080930</v>
      </c>
      <c r="AQ30" s="59">
        <v>20080630</v>
      </c>
      <c r="AR30" s="59">
        <v>20080331</v>
      </c>
      <c r="AS30" s="59">
        <v>20071231</v>
      </c>
      <c r="AT30" s="59">
        <v>20070930</v>
      </c>
      <c r="AU30" s="59">
        <v>20070630</v>
      </c>
      <c r="AV30" s="59">
        <v>20070331</v>
      </c>
      <c r="AW30" s="59">
        <v>20061231</v>
      </c>
      <c r="AX30" s="59">
        <v>20060930</v>
      </c>
      <c r="AY30" s="59">
        <v>20060630</v>
      </c>
      <c r="AZ30" s="59">
        <v>20060331</v>
      </c>
      <c r="BA30" s="59">
        <v>20051231</v>
      </c>
      <c r="BB30" s="59">
        <v>20050930</v>
      </c>
      <c r="BC30" s="59">
        <v>20050630</v>
      </c>
      <c r="BD30" s="59">
        <v>20050331</v>
      </c>
      <c r="BE30" s="59">
        <v>20041231</v>
      </c>
      <c r="BF30" s="59">
        <v>20040930</v>
      </c>
      <c r="BG30" s="59">
        <v>20040630</v>
      </c>
      <c r="BH30" s="59">
        <v>20040331</v>
      </c>
      <c r="BI30" s="59">
        <v>20031231</v>
      </c>
      <c r="BJ30" s="59">
        <v>20030930</v>
      </c>
      <c r="BK30" s="59">
        <v>20030630</v>
      </c>
      <c r="BL30" s="59">
        <v>20030331</v>
      </c>
      <c r="BM30" s="59">
        <v>20021231</v>
      </c>
      <c r="BN30" s="59">
        <v>20020630</v>
      </c>
      <c r="BO30" s="59">
        <v>20011231</v>
      </c>
      <c r="BP30" s="59">
        <v>20010630</v>
      </c>
      <c r="BQ30" s="59">
        <v>20001231</v>
      </c>
      <c r="BR30" s="59">
        <v>20000630</v>
      </c>
      <c r="BS30" s="59">
        <v>19991231</v>
      </c>
      <c r="BT30" s="59">
        <v>19990630</v>
      </c>
      <c r="BU30" s="59">
        <v>19981231</v>
      </c>
      <c r="BV30" s="59">
        <v>19700101</v>
      </c>
    </row>
    <row r="31" spans="1:74" s="66" customFormat="1" hidden="1">
      <c r="A31" s="62" t="s">
        <v>379</v>
      </c>
      <c r="B31" s="48">
        <v>5213161338.5</v>
      </c>
      <c r="C31" s="48">
        <v>5175614249.6800003</v>
      </c>
      <c r="D31" s="48">
        <v>5165949387.9499998</v>
      </c>
      <c r="E31" s="48">
        <v>5016213770.0900002</v>
      </c>
      <c r="F31" s="48">
        <v>4968925119.1199999</v>
      </c>
      <c r="G31" s="48">
        <v>4946775772.0299997</v>
      </c>
      <c r="H31" s="48">
        <v>4957879063.1999998</v>
      </c>
      <c r="I31" s="48">
        <v>4943342807.5299997</v>
      </c>
      <c r="J31" s="48">
        <v>5096270040.96</v>
      </c>
      <c r="K31" s="48">
        <v>5028209666.0200005</v>
      </c>
      <c r="L31" s="48">
        <v>4733568852.3100004</v>
      </c>
      <c r="M31" s="48">
        <v>4694030958.6199999</v>
      </c>
      <c r="N31" s="48">
        <v>4905184683.3199997</v>
      </c>
      <c r="O31" s="48">
        <v>5055364334.0900002</v>
      </c>
      <c r="P31" s="48">
        <v>5210795996.04</v>
      </c>
      <c r="Q31" s="48">
        <v>5117961588.0799999</v>
      </c>
      <c r="R31" s="48">
        <v>5117488654.6000004</v>
      </c>
      <c r="S31" s="48">
        <v>5040318625.3800001</v>
      </c>
      <c r="T31" s="48">
        <v>4993490218.1199999</v>
      </c>
      <c r="U31" s="48">
        <v>4893504011.0600004</v>
      </c>
      <c r="V31" s="48">
        <v>5000394171.6000004</v>
      </c>
      <c r="W31" s="48">
        <v>4821206032.3500004</v>
      </c>
      <c r="X31" s="48">
        <v>4768547120.0200005</v>
      </c>
      <c r="Y31" s="48">
        <v>4811045309.25</v>
      </c>
      <c r="Z31" s="48">
        <v>4780453780.1000004</v>
      </c>
      <c r="AA31" s="48">
        <v>4111542900.1199999</v>
      </c>
      <c r="AB31" s="48">
        <v>4070142186.77</v>
      </c>
      <c r="AC31" s="48">
        <v>4029511761.5300002</v>
      </c>
      <c r="AD31" s="48">
        <v>3638292031.23</v>
      </c>
      <c r="AE31" s="48">
        <v>3677151812.02</v>
      </c>
      <c r="AF31" s="48">
        <v>3621686480.3400002</v>
      </c>
      <c r="AG31" s="48">
        <v>3538719383.5999999</v>
      </c>
      <c r="AH31" s="48">
        <v>3593320562.8600001</v>
      </c>
      <c r="AI31" s="48">
        <v>3568951891.7199998</v>
      </c>
      <c r="AJ31" s="48">
        <v>3514187198.9899998</v>
      </c>
      <c r="AK31" s="48">
        <v>3433290746.54</v>
      </c>
      <c r="AL31" s="48">
        <v>3538036887.8499999</v>
      </c>
      <c r="AM31" s="48">
        <v>3019425142.4400001</v>
      </c>
      <c r="AN31" s="48">
        <v>2970633696.7399998</v>
      </c>
      <c r="AO31" s="48">
        <v>2908405033.2399998</v>
      </c>
      <c r="AP31" s="48">
        <v>2870288013.7800002</v>
      </c>
      <c r="AQ31" s="48">
        <v>2928191369.6999998</v>
      </c>
      <c r="AR31" s="48">
        <v>2971069393.8499999</v>
      </c>
      <c r="AS31" s="48">
        <v>2910086787.6199999</v>
      </c>
      <c r="AT31" s="48">
        <v>3009392335.1999998</v>
      </c>
      <c r="AU31" s="48">
        <v>2928996393.5799999</v>
      </c>
      <c r="AV31" s="48">
        <v>2595409724.9000001</v>
      </c>
      <c r="AW31" s="48">
        <v>2597468323.4099998</v>
      </c>
      <c r="AX31" s="48">
        <v>2410763534.8400002</v>
      </c>
      <c r="AY31" s="48">
        <v>2483820863.0900002</v>
      </c>
      <c r="AZ31" s="48">
        <v>2554486005</v>
      </c>
      <c r="BA31" s="48">
        <v>2574247298.3200002</v>
      </c>
      <c r="BB31" s="48">
        <v>2609201305.6399999</v>
      </c>
      <c r="BC31" s="48">
        <v>2683968901.46</v>
      </c>
      <c r="BD31" s="48">
        <v>2689101232.8800001</v>
      </c>
      <c r="BE31" s="48">
        <v>2676403110.5799999</v>
      </c>
      <c r="BF31" s="48">
        <v>2633768248.5900002</v>
      </c>
      <c r="BG31" s="48">
        <v>2540908104.8800001</v>
      </c>
      <c r="BH31" s="48">
        <v>2627501543.46</v>
      </c>
      <c r="BI31" s="48">
        <v>2633995522.4200001</v>
      </c>
      <c r="BJ31" s="48">
        <v>2697608030.8499999</v>
      </c>
      <c r="BK31" s="48">
        <v>2506061093.3600001</v>
      </c>
      <c r="BL31" s="48">
        <v>2449347773.48</v>
      </c>
      <c r="BM31" s="48">
        <v>2441134555.5</v>
      </c>
      <c r="BN31" s="48">
        <v>2120830735.96</v>
      </c>
      <c r="BO31" s="48">
        <v>2152380109.23</v>
      </c>
      <c r="BP31" s="48">
        <v>2117283926.8199999</v>
      </c>
      <c r="BQ31" s="48">
        <v>2007899852.48</v>
      </c>
      <c r="BR31" s="48">
        <v>2214134485.5799999</v>
      </c>
      <c r="BS31" s="48">
        <v>1814339827.5999999</v>
      </c>
      <c r="BT31" s="48">
        <v>2086744304.6300001</v>
      </c>
      <c r="BU31" s="48">
        <v>1960182316.27</v>
      </c>
      <c r="BV31" s="48">
        <v>1207621496.74</v>
      </c>
    </row>
    <row r="32" spans="1:74" s="75" customFormat="1">
      <c r="A32" s="74" t="s">
        <v>380</v>
      </c>
      <c r="B32" s="59">
        <v>12482506.73</v>
      </c>
      <c r="C32" s="59">
        <v>12482506.73</v>
      </c>
      <c r="D32" s="59">
        <v>12482506.73</v>
      </c>
      <c r="E32" s="59">
        <v>12482506.73</v>
      </c>
      <c r="F32" s="59">
        <v>12482506.73</v>
      </c>
      <c r="G32" s="59">
        <v>12482506.73</v>
      </c>
      <c r="H32" s="59">
        <v>12482506.73</v>
      </c>
      <c r="I32" s="59">
        <v>12482506.73</v>
      </c>
      <c r="J32" s="59">
        <v>32734042.199999999</v>
      </c>
      <c r="K32" s="59">
        <v>32734042.199999999</v>
      </c>
      <c r="L32" s="59">
        <v>32734042.199999999</v>
      </c>
      <c r="M32" s="59">
        <v>32734042.199999999</v>
      </c>
      <c r="N32" s="59">
        <v>12482506.73</v>
      </c>
      <c r="O32" s="59">
        <v>12482506.73</v>
      </c>
      <c r="P32" s="59">
        <v>12482506.73</v>
      </c>
      <c r="Q32" s="59">
        <v>12482506.73</v>
      </c>
      <c r="R32" s="59">
        <v>12482506.73</v>
      </c>
      <c r="S32" s="59">
        <v>12482506.73</v>
      </c>
      <c r="T32" s="59">
        <v>12482506.73</v>
      </c>
      <c r="U32" s="59">
        <v>12482506.73</v>
      </c>
      <c r="V32" s="59">
        <v>12482506.73</v>
      </c>
      <c r="W32" s="59">
        <v>12482506.73</v>
      </c>
      <c r="X32" s="59">
        <v>12482506.73</v>
      </c>
      <c r="Y32" s="59">
        <v>12482506.73</v>
      </c>
      <c r="Z32" s="59">
        <v>12482506.74</v>
      </c>
      <c r="AA32" s="59">
        <v>12482506.73</v>
      </c>
      <c r="AB32" s="59">
        <v>12482506.74</v>
      </c>
      <c r="AC32" s="59">
        <v>12482506.74</v>
      </c>
      <c r="AD32" s="59">
        <v>12482506.720000001</v>
      </c>
      <c r="AE32" s="59">
        <v>12482506.73</v>
      </c>
      <c r="AF32" s="59">
        <v>12482506.73</v>
      </c>
      <c r="AG32" s="59">
        <v>16109673.57</v>
      </c>
      <c r="AH32" s="59">
        <v>77068187.049999997</v>
      </c>
      <c r="AI32" s="59">
        <v>77068187.049999997</v>
      </c>
      <c r="AJ32" s="59">
        <v>77068187.049999997</v>
      </c>
      <c r="AK32" s="59">
        <v>77068187.049999997</v>
      </c>
      <c r="AL32" s="59">
        <v>62141595.939999998</v>
      </c>
      <c r="AM32" s="59">
        <v>3627166.84</v>
      </c>
      <c r="AN32" s="59">
        <v>3627166.84</v>
      </c>
      <c r="AO32" s="59">
        <v>3627166.84</v>
      </c>
      <c r="AP32" s="59">
        <v>3627166.84</v>
      </c>
      <c r="AQ32" s="59">
        <v>3627166.84</v>
      </c>
      <c r="AR32" s="59">
        <v>3627166.84</v>
      </c>
      <c r="AS32" s="59">
        <v>3627166.84</v>
      </c>
      <c r="AT32" s="59">
        <v>3415582.14</v>
      </c>
      <c r="AU32" s="59">
        <v>3415582.14</v>
      </c>
      <c r="AV32" s="59">
        <v>3415582.14</v>
      </c>
      <c r="AW32" s="59">
        <v>0</v>
      </c>
      <c r="AX32" s="59">
        <v>0</v>
      </c>
      <c r="AY32" s="59">
        <v>0</v>
      </c>
      <c r="AZ32" s="59">
        <v>0</v>
      </c>
      <c r="BA32" s="59">
        <v>0</v>
      </c>
      <c r="BB32" s="59">
        <v>0</v>
      </c>
      <c r="BC32" s="59">
        <v>0</v>
      </c>
      <c r="BD32" s="59">
        <v>0</v>
      </c>
      <c r="BE32" s="59">
        <v>0</v>
      </c>
      <c r="BF32" s="59">
        <v>0</v>
      </c>
      <c r="BG32" s="59">
        <v>0</v>
      </c>
      <c r="BH32" s="59">
        <v>0</v>
      </c>
      <c r="BI32" s="59">
        <v>0</v>
      </c>
      <c r="BJ32" s="59">
        <v>0</v>
      </c>
      <c r="BK32" s="59">
        <v>0</v>
      </c>
      <c r="BL32" s="59">
        <v>0</v>
      </c>
      <c r="BM32" s="59">
        <v>0</v>
      </c>
      <c r="BN32" s="59">
        <v>0</v>
      </c>
      <c r="BO32" s="59">
        <v>0</v>
      </c>
      <c r="BP32" s="59">
        <v>0</v>
      </c>
      <c r="BQ32" s="59">
        <v>0</v>
      </c>
      <c r="BR32" s="59">
        <v>0</v>
      </c>
      <c r="BS32" s="59">
        <v>0</v>
      </c>
      <c r="BT32" s="59">
        <v>0</v>
      </c>
      <c r="BU32" s="59">
        <v>0</v>
      </c>
      <c r="BV32" s="59">
        <v>0</v>
      </c>
    </row>
    <row r="33" spans="1:74" s="75" customFormat="1">
      <c r="A33" s="74" t="s">
        <v>381</v>
      </c>
      <c r="B33" s="59">
        <v>0</v>
      </c>
      <c r="C33" s="59">
        <v>240846134.41</v>
      </c>
      <c r="D33" s="59">
        <v>258747900.66</v>
      </c>
      <c r="E33" s="59">
        <v>145028659.81</v>
      </c>
      <c r="F33" s="59">
        <v>214556404.59999999</v>
      </c>
      <c r="G33" s="59">
        <v>224867969.15000001</v>
      </c>
      <c r="H33" s="59">
        <v>227990593.31999999</v>
      </c>
      <c r="I33" s="59">
        <v>216262235.72</v>
      </c>
      <c r="J33" s="59">
        <v>179744050.41999999</v>
      </c>
      <c r="K33" s="59">
        <v>163359987.24000001</v>
      </c>
      <c r="L33" s="59">
        <v>170696052.94</v>
      </c>
      <c r="M33" s="59">
        <v>199435345.44999999</v>
      </c>
      <c r="N33" s="59">
        <v>184867883.74000001</v>
      </c>
      <c r="O33" s="59">
        <v>220158829.84999999</v>
      </c>
      <c r="P33" s="59">
        <v>214541829.56</v>
      </c>
      <c r="Q33" s="59">
        <v>167717019.53</v>
      </c>
      <c r="R33" s="59">
        <v>136762711.59</v>
      </c>
      <c r="S33" s="59">
        <v>103461428.31999999</v>
      </c>
      <c r="T33" s="59">
        <v>103285440.2</v>
      </c>
      <c r="U33" s="59">
        <v>106949232.08</v>
      </c>
      <c r="V33" s="59">
        <v>149836031.44</v>
      </c>
      <c r="W33" s="59">
        <v>79054447.530000001</v>
      </c>
      <c r="X33" s="59">
        <v>65016367.689999998</v>
      </c>
      <c r="Y33" s="59">
        <v>61709668.460000001</v>
      </c>
      <c r="Z33" s="59">
        <v>63119688.979999997</v>
      </c>
      <c r="AA33" s="59">
        <v>66475571.619999997</v>
      </c>
      <c r="AB33" s="59">
        <v>72296074.890000001</v>
      </c>
      <c r="AC33" s="59">
        <v>63129086.82</v>
      </c>
      <c r="AD33" s="59">
        <v>62769322.100000001</v>
      </c>
      <c r="AE33" s="59">
        <v>55800660.539999999</v>
      </c>
      <c r="AF33" s="59">
        <v>55995971.5</v>
      </c>
      <c r="AG33" s="59">
        <v>56200040.049999997</v>
      </c>
      <c r="AH33" s="59">
        <v>57714935.25</v>
      </c>
      <c r="AI33" s="59">
        <v>55863884.369999997</v>
      </c>
      <c r="AJ33" s="59">
        <v>65953365.060000002</v>
      </c>
      <c r="AK33" s="59">
        <v>67378568.049999997</v>
      </c>
      <c r="AL33" s="59">
        <v>56909205.579999998</v>
      </c>
      <c r="AM33" s="59">
        <v>59952446.479999997</v>
      </c>
      <c r="AN33" s="59">
        <v>45998651.140000001</v>
      </c>
      <c r="AO33" s="59">
        <v>34454057.039999999</v>
      </c>
      <c r="AP33" s="59">
        <v>43722185</v>
      </c>
      <c r="AQ33" s="59">
        <v>45498411.799999997</v>
      </c>
      <c r="AR33" s="59">
        <v>67684724.040000007</v>
      </c>
      <c r="AS33" s="59">
        <v>69064699.900000006</v>
      </c>
      <c r="AT33" s="59">
        <v>72206746.420000002</v>
      </c>
      <c r="AU33" s="59">
        <v>53135688.640000001</v>
      </c>
      <c r="AV33" s="59">
        <v>16071139.970000001</v>
      </c>
      <c r="AW33" s="59">
        <v>0</v>
      </c>
      <c r="AX33" s="59">
        <v>0</v>
      </c>
      <c r="AY33" s="59">
        <v>0</v>
      </c>
      <c r="AZ33" s="59">
        <v>0</v>
      </c>
      <c r="BA33" s="59">
        <v>0</v>
      </c>
      <c r="BB33" s="59">
        <v>0</v>
      </c>
      <c r="BC33" s="59">
        <v>0</v>
      </c>
      <c r="BD33" s="59">
        <v>0</v>
      </c>
      <c r="BE33" s="59">
        <v>0</v>
      </c>
      <c r="BF33" s="59">
        <v>0</v>
      </c>
      <c r="BG33" s="59">
        <v>0</v>
      </c>
      <c r="BH33" s="59">
        <v>0</v>
      </c>
      <c r="BI33" s="59">
        <v>0</v>
      </c>
      <c r="BJ33" s="59">
        <v>0</v>
      </c>
      <c r="BK33" s="59">
        <v>0</v>
      </c>
      <c r="BL33" s="59">
        <v>0</v>
      </c>
      <c r="BM33" s="59">
        <v>0</v>
      </c>
      <c r="BN33" s="59">
        <v>0</v>
      </c>
      <c r="BO33" s="59">
        <v>0</v>
      </c>
      <c r="BP33" s="59">
        <v>0</v>
      </c>
      <c r="BQ33" s="59">
        <v>0</v>
      </c>
      <c r="BR33" s="59">
        <v>0</v>
      </c>
      <c r="BS33" s="59">
        <v>0</v>
      </c>
      <c r="BT33" s="59">
        <v>0</v>
      </c>
      <c r="BU33" s="59">
        <v>0</v>
      </c>
      <c r="BV33" s="59">
        <v>0</v>
      </c>
    </row>
    <row r="34" spans="1:74" s="53" customFormat="1" ht="14.25" thickBot="1">
      <c r="A34" s="63" t="s">
        <v>384</v>
      </c>
      <c r="B34" s="64"/>
      <c r="C34" s="64"/>
      <c r="D34" s="64"/>
      <c r="E34" s="64">
        <f>E31-E32-E33</f>
        <v>4858702603.5500002</v>
      </c>
      <c r="F34" s="64">
        <f t="shared" ref="F34:BQ34" si="63">F31-F32-F33</f>
        <v>4741886207.79</v>
      </c>
      <c r="G34" s="64">
        <f t="shared" si="63"/>
        <v>4709425296.1500006</v>
      </c>
      <c r="H34" s="64">
        <f t="shared" si="63"/>
        <v>4717405963.1500006</v>
      </c>
      <c r="I34" s="64">
        <f t="shared" si="63"/>
        <v>4714598065.0799999</v>
      </c>
      <c r="J34" s="64">
        <f t="shared" si="63"/>
        <v>4883791948.3400002</v>
      </c>
      <c r="K34" s="64">
        <f t="shared" si="63"/>
        <v>4832115636.5800009</v>
      </c>
      <c r="L34" s="64">
        <f t="shared" si="63"/>
        <v>4530138757.170001</v>
      </c>
      <c r="M34" s="64">
        <f t="shared" si="63"/>
        <v>4461861570.9700003</v>
      </c>
      <c r="N34" s="64">
        <f t="shared" si="63"/>
        <v>4707834292.8500004</v>
      </c>
      <c r="O34" s="64">
        <f t="shared" si="63"/>
        <v>4822722997.5100002</v>
      </c>
      <c r="P34" s="64">
        <f t="shared" si="63"/>
        <v>4983771659.75</v>
      </c>
      <c r="Q34" s="64">
        <f t="shared" si="63"/>
        <v>4937762061.8200006</v>
      </c>
      <c r="R34" s="64">
        <f t="shared" si="63"/>
        <v>4968243436.2800007</v>
      </c>
      <c r="S34" s="64">
        <f t="shared" si="63"/>
        <v>4924374690.3300009</v>
      </c>
      <c r="T34" s="64">
        <f t="shared" si="63"/>
        <v>4877722271.1900005</v>
      </c>
      <c r="U34" s="64">
        <f t="shared" si="63"/>
        <v>4774072272.250001</v>
      </c>
      <c r="V34" s="64">
        <f t="shared" si="63"/>
        <v>4838075633.4300013</v>
      </c>
      <c r="W34" s="64">
        <f t="shared" si="63"/>
        <v>4729669078.0900011</v>
      </c>
      <c r="X34" s="64">
        <f t="shared" si="63"/>
        <v>4691048245.6000013</v>
      </c>
      <c r="Y34" s="64">
        <f t="shared" si="63"/>
        <v>4736853134.0600004</v>
      </c>
      <c r="Z34" s="64">
        <f t="shared" si="63"/>
        <v>4704851584.3800011</v>
      </c>
      <c r="AA34" s="64">
        <f t="shared" si="63"/>
        <v>4032584821.77</v>
      </c>
      <c r="AB34" s="64">
        <f t="shared" si="63"/>
        <v>3985363605.1400003</v>
      </c>
      <c r="AC34" s="64">
        <f t="shared" si="63"/>
        <v>3953900167.9700003</v>
      </c>
      <c r="AD34" s="64">
        <f t="shared" si="63"/>
        <v>3563040202.4100003</v>
      </c>
      <c r="AE34" s="64">
        <f t="shared" si="63"/>
        <v>3608868644.75</v>
      </c>
      <c r="AF34" s="64">
        <f t="shared" si="63"/>
        <v>3553208002.1100001</v>
      </c>
      <c r="AG34" s="64">
        <f t="shared" si="63"/>
        <v>3466409669.9799995</v>
      </c>
      <c r="AH34" s="64">
        <f t="shared" si="63"/>
        <v>3458537440.5599999</v>
      </c>
      <c r="AI34" s="64">
        <f t="shared" si="63"/>
        <v>3436019820.2999997</v>
      </c>
      <c r="AJ34" s="64">
        <f t="shared" si="63"/>
        <v>3371165646.8799996</v>
      </c>
      <c r="AK34" s="64">
        <f t="shared" si="63"/>
        <v>3288843991.4399996</v>
      </c>
      <c r="AL34" s="64">
        <f t="shared" si="63"/>
        <v>3418986086.3299999</v>
      </c>
      <c r="AM34" s="64">
        <f t="shared" si="63"/>
        <v>2955845529.1199999</v>
      </c>
      <c r="AN34" s="64">
        <f t="shared" si="63"/>
        <v>2921007878.7599998</v>
      </c>
      <c r="AO34" s="64">
        <f t="shared" si="63"/>
        <v>2870323809.3599997</v>
      </c>
      <c r="AP34" s="64">
        <f t="shared" si="63"/>
        <v>2822938661.9400001</v>
      </c>
      <c r="AQ34" s="64">
        <f t="shared" si="63"/>
        <v>2879065791.0599995</v>
      </c>
      <c r="AR34" s="64">
        <f t="shared" si="63"/>
        <v>2899757502.9699998</v>
      </c>
      <c r="AS34" s="64">
        <f t="shared" si="63"/>
        <v>2837394920.8799996</v>
      </c>
      <c r="AT34" s="64">
        <f t="shared" si="63"/>
        <v>2933770006.6399999</v>
      </c>
      <c r="AU34" s="64">
        <f t="shared" si="63"/>
        <v>2872445122.8000002</v>
      </c>
      <c r="AV34" s="64">
        <f t="shared" si="63"/>
        <v>2575923002.7900004</v>
      </c>
      <c r="AW34" s="64">
        <f t="shared" si="63"/>
        <v>2597468323.4099998</v>
      </c>
      <c r="AX34" s="64">
        <f t="shared" si="63"/>
        <v>2410763534.8400002</v>
      </c>
      <c r="AY34" s="64">
        <f t="shared" si="63"/>
        <v>2483820863.0900002</v>
      </c>
      <c r="AZ34" s="64">
        <f t="shared" si="63"/>
        <v>2554486005</v>
      </c>
      <c r="BA34" s="64">
        <f t="shared" si="63"/>
        <v>2574247298.3200002</v>
      </c>
      <c r="BB34" s="64">
        <f t="shared" si="63"/>
        <v>2609201305.6399999</v>
      </c>
      <c r="BC34" s="64">
        <f t="shared" si="63"/>
        <v>2683968901.46</v>
      </c>
      <c r="BD34" s="64">
        <f t="shared" si="63"/>
        <v>2689101232.8800001</v>
      </c>
      <c r="BE34" s="64">
        <f t="shared" si="63"/>
        <v>2676403110.5799999</v>
      </c>
      <c r="BF34" s="64">
        <f t="shared" si="63"/>
        <v>2633768248.5900002</v>
      </c>
      <c r="BG34" s="64">
        <f t="shared" si="63"/>
        <v>2540908104.8800001</v>
      </c>
      <c r="BH34" s="64">
        <f t="shared" si="63"/>
        <v>2627501543.46</v>
      </c>
      <c r="BI34" s="64">
        <f t="shared" si="63"/>
        <v>2633995522.4200001</v>
      </c>
      <c r="BJ34" s="64">
        <f t="shared" si="63"/>
        <v>2697608030.8499999</v>
      </c>
      <c r="BK34" s="64">
        <f t="shared" si="63"/>
        <v>2506061093.3600001</v>
      </c>
      <c r="BL34" s="64">
        <f t="shared" si="63"/>
        <v>2449347773.48</v>
      </c>
      <c r="BM34" s="64">
        <f t="shared" si="63"/>
        <v>2441134555.5</v>
      </c>
      <c r="BN34" s="64">
        <f t="shared" si="63"/>
        <v>2120830735.96</v>
      </c>
      <c r="BO34" s="64">
        <f t="shared" si="63"/>
        <v>2152380109.23</v>
      </c>
      <c r="BP34" s="64">
        <f t="shared" si="63"/>
        <v>2117283926.8199999</v>
      </c>
      <c r="BQ34" s="64">
        <f t="shared" si="63"/>
        <v>2007899852.48</v>
      </c>
      <c r="BR34" s="64">
        <f t="shared" ref="BR34:BU34" si="64">BR31-BR32-BR33</f>
        <v>2214134485.5799999</v>
      </c>
      <c r="BS34" s="64">
        <f t="shared" si="64"/>
        <v>1814339827.5999999</v>
      </c>
      <c r="BT34" s="64">
        <f t="shared" si="64"/>
        <v>2086744304.6300001</v>
      </c>
      <c r="BU34" s="65">
        <f t="shared" si="64"/>
        <v>1960182316.27</v>
      </c>
    </row>
    <row r="35" spans="1:74" s="71" customFormat="1" ht="14.25" thickBot="1">
      <c r="A35" s="70" t="s">
        <v>386</v>
      </c>
      <c r="B35" s="41">
        <f>SUM(B22:B31)</f>
        <v>3818195235.21</v>
      </c>
      <c r="C35" s="41">
        <f t="shared" ref="C35:BN35" si="65">SUM(C22:C31)</f>
        <v>4517898596.8100004</v>
      </c>
      <c r="D35" s="41">
        <f t="shared" si="65"/>
        <v>5117382935.1599998</v>
      </c>
      <c r="E35" s="41">
        <f>资产资本表!E17</f>
        <v>14669803853.76</v>
      </c>
      <c r="F35" s="41">
        <f>资产资本表!F17</f>
        <v>14217534449.690001</v>
      </c>
      <c r="G35" s="41">
        <f>资产资本表!G17</f>
        <v>14239294940.849998</v>
      </c>
      <c r="H35" s="41">
        <f>资产资本表!H17</f>
        <v>14065504515.089998</v>
      </c>
      <c r="I35" s="41">
        <f>资产资本表!I17</f>
        <v>14275473213.59</v>
      </c>
      <c r="J35" s="41">
        <f>资产资本表!J17</f>
        <v>14010826273.18</v>
      </c>
      <c r="K35" s="41">
        <f>资产资本表!K17</f>
        <v>13992012186.15</v>
      </c>
      <c r="L35" s="41">
        <f>资产资本表!L17</f>
        <v>13069370981.500002</v>
      </c>
      <c r="M35" s="41">
        <f>资产资本表!M17</f>
        <v>13164991889.75</v>
      </c>
      <c r="N35" s="41">
        <f>资产资本表!N17</f>
        <v>13156834853.140001</v>
      </c>
      <c r="O35" s="41">
        <f>资产资本表!O17</f>
        <v>13014263358.420002</v>
      </c>
      <c r="P35" s="41">
        <f>资产资本表!P17</f>
        <v>12205058055.74</v>
      </c>
      <c r="Q35" s="41">
        <f>资产资本表!Q17</f>
        <v>12434878623.889999</v>
      </c>
      <c r="R35" s="41">
        <f>资产资本表!R17</f>
        <v>12190331692.82</v>
      </c>
      <c r="S35" s="41">
        <f>资产资本表!S17</f>
        <v>12363790058.57</v>
      </c>
      <c r="T35" s="41">
        <f>资产资本表!T17</f>
        <v>11466788667.09</v>
      </c>
      <c r="U35" s="41">
        <f>资产资本表!U17</f>
        <v>11484574718.470001</v>
      </c>
      <c r="V35" s="41">
        <f>资产资本表!V17</f>
        <v>11405015753.559999</v>
      </c>
      <c r="W35" s="41">
        <f>资产资本表!W17</f>
        <v>11454610284.490002</v>
      </c>
      <c r="X35" s="41">
        <f>资产资本表!X17</f>
        <v>9909528542.4100018</v>
      </c>
      <c r="Y35" s="41">
        <f>资产资本表!Y17</f>
        <v>12011450390.950001</v>
      </c>
      <c r="Z35" s="41">
        <f>资产资本表!Z17</f>
        <v>9862876295.6299992</v>
      </c>
      <c r="AA35" s="41">
        <f>资产资本表!AA17</f>
        <v>9763362936.3100014</v>
      </c>
      <c r="AB35" s="41">
        <f>资产资本表!AB17</f>
        <v>8173263798.6800003</v>
      </c>
      <c r="AC35" s="41">
        <f>资产资本表!AC17</f>
        <v>8731807551.2200012</v>
      </c>
      <c r="AD35" s="41">
        <f>资产资本表!AD17</f>
        <v>8113865174.4499998</v>
      </c>
      <c r="AE35" s="41">
        <f>资产资本表!AE17</f>
        <v>7682217112.3500004</v>
      </c>
      <c r="AF35" s="41">
        <f>资产资本表!AF17</f>
        <v>6903824401.8699999</v>
      </c>
      <c r="AG35" s="41">
        <f>资产资本表!AG17</f>
        <v>7191770043.21</v>
      </c>
      <c r="AH35" s="41">
        <f>资产资本表!AH17</f>
        <v>7210473366.1399994</v>
      </c>
      <c r="AI35" s="41">
        <f>资产资本表!AI17</f>
        <v>6879750868.5100002</v>
      </c>
      <c r="AJ35" s="41">
        <f>资产资本表!AJ17</f>
        <v>6035642828.6200008</v>
      </c>
      <c r="AK35" s="41">
        <f>资产资本表!AK17</f>
        <v>6069062475.9499998</v>
      </c>
      <c r="AL35" s="41">
        <f>资产资本表!AL17</f>
        <v>5617400744.4400005</v>
      </c>
      <c r="AM35" s="41">
        <f>资产资本表!AM17</f>
        <v>5171072680.79</v>
      </c>
      <c r="AN35" s="41">
        <f>资产资本表!AN17</f>
        <v>4758643148.7600002</v>
      </c>
      <c r="AO35" s="41">
        <f>资产资本表!AO17</f>
        <v>4241062781.4899998</v>
      </c>
      <c r="AP35" s="41">
        <f>资产资本表!AP17</f>
        <v>4249003640.8099999</v>
      </c>
      <c r="AQ35" s="41">
        <f>资产资本表!AQ17</f>
        <v>4136857769.8700004</v>
      </c>
      <c r="AR35" s="41">
        <f>资产资本表!AR17</f>
        <v>3824988726.54</v>
      </c>
      <c r="AS35" s="41">
        <f>资产资本表!AS17</f>
        <v>4179106892.4000001</v>
      </c>
      <c r="AT35" s="41">
        <f>资产资本表!AT17</f>
        <v>3758950800.6599998</v>
      </c>
      <c r="AU35" s="41">
        <f>资产资本表!AU17</f>
        <v>3623164252.6900001</v>
      </c>
      <c r="AV35" s="41">
        <f>资产资本表!AV17</f>
        <v>3511557256.1199999</v>
      </c>
      <c r="AW35" s="41">
        <f>资产资本表!AW17</f>
        <v>3558892134.8800001</v>
      </c>
      <c r="AX35" s="41">
        <f>资产资本表!AX17</f>
        <v>3598739905.7000003</v>
      </c>
      <c r="AY35" s="41">
        <f>资产资本表!AY17</f>
        <v>3351576316.8400002</v>
      </c>
      <c r="AZ35" s="41">
        <f>资产资本表!AZ17</f>
        <v>3017630885.0699997</v>
      </c>
      <c r="BA35" s="41">
        <f>资产资本表!BA17</f>
        <v>3103334635.0500002</v>
      </c>
      <c r="BB35" s="41">
        <f>资产资本表!BB17</f>
        <v>2693729352.6100001</v>
      </c>
      <c r="BC35" s="41">
        <f>资产资本表!BC17</f>
        <v>2966552559.0599999</v>
      </c>
      <c r="BD35" s="41">
        <f>资产资本表!BD17</f>
        <v>3255270815.1100001</v>
      </c>
      <c r="BE35" s="41">
        <f>资产资本表!BE17</f>
        <v>3427130001.0599999</v>
      </c>
      <c r="BF35" s="41">
        <f>资产资本表!BF17</f>
        <v>3288662107.8700004</v>
      </c>
      <c r="BG35" s="41">
        <f>资产资本表!BG17</f>
        <v>3550228729.5799999</v>
      </c>
      <c r="BH35" s="41">
        <f>资产资本表!BH17</f>
        <v>3612995219.77</v>
      </c>
      <c r="BI35" s="41">
        <f>资产资本表!BI17</f>
        <v>3600773950.75</v>
      </c>
      <c r="BJ35" s="41">
        <f>资产资本表!BJ17</f>
        <v>3444087421</v>
      </c>
      <c r="BK35" s="41">
        <f>资产资本表!BK17</f>
        <v>3781540091.04</v>
      </c>
      <c r="BL35" s="41">
        <f>资产资本表!BL17</f>
        <v>3834069903.6999998</v>
      </c>
      <c r="BM35" s="41">
        <f>资产资本表!BM17</f>
        <v>3828987962.0799999</v>
      </c>
      <c r="BN35" s="41">
        <f>资产资本表!BN17</f>
        <v>3635757688.3099999</v>
      </c>
      <c r="BO35" s="41">
        <f>资产资本表!BO17</f>
        <v>3991868900.9299998</v>
      </c>
      <c r="BP35" s="41">
        <f>资产资本表!BP17</f>
        <v>3724014751.5800004</v>
      </c>
      <c r="BQ35" s="41">
        <f>资产资本表!BQ17</f>
        <v>3581318866.5</v>
      </c>
      <c r="BR35" s="41">
        <f>资产资本表!BR17</f>
        <v>3401484933.3000002</v>
      </c>
      <c r="BS35" s="41">
        <f>资产资本表!BS17</f>
        <v>3275440861.2900004</v>
      </c>
      <c r="BT35" s="41">
        <f>资产资本表!BT17</f>
        <v>2809961694.96</v>
      </c>
      <c r="BU35" s="41">
        <f>资产资本表!BU17</f>
        <v>2813364779.0300002</v>
      </c>
      <c r="BV35" s="41">
        <f t="shared" ref="BO35:BV35" si="66">SUM(BV22:BV31)</f>
        <v>1227321597.74</v>
      </c>
    </row>
    <row r="36" spans="1:74"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</row>
    <row r="38" spans="1:74" s="67" customFormat="1">
      <c r="A38" s="67" t="s">
        <v>387</v>
      </c>
      <c r="B38" s="68">
        <v>20180930</v>
      </c>
      <c r="C38" s="68">
        <v>20180630</v>
      </c>
      <c r="D38" s="68">
        <v>20180331</v>
      </c>
      <c r="E38" s="68">
        <v>20171231</v>
      </c>
      <c r="F38" s="68">
        <v>20170930</v>
      </c>
      <c r="G38" s="68">
        <v>20170630</v>
      </c>
      <c r="H38" s="68">
        <v>20170331</v>
      </c>
      <c r="I38" s="68">
        <v>20161231</v>
      </c>
      <c r="J38" s="68">
        <v>20160930</v>
      </c>
      <c r="K38" s="68">
        <v>20160630</v>
      </c>
      <c r="L38" s="68">
        <v>20160331</v>
      </c>
      <c r="M38" s="68">
        <v>20151231</v>
      </c>
      <c r="N38" s="68">
        <v>20150930</v>
      </c>
      <c r="O38" s="68">
        <v>20150630</v>
      </c>
      <c r="P38" s="68">
        <v>20150331</v>
      </c>
      <c r="Q38" s="68">
        <v>20141231</v>
      </c>
      <c r="R38" s="68">
        <v>20140930</v>
      </c>
      <c r="S38" s="68">
        <v>20140630</v>
      </c>
      <c r="T38" s="68">
        <v>20140331</v>
      </c>
      <c r="U38" s="68">
        <v>20131231</v>
      </c>
      <c r="V38" s="68">
        <v>20130930</v>
      </c>
      <c r="W38" s="68">
        <v>20130630</v>
      </c>
      <c r="X38" s="68">
        <v>20130331</v>
      </c>
      <c r="Y38" s="68">
        <v>20121231</v>
      </c>
      <c r="Z38" s="68">
        <v>20120930</v>
      </c>
      <c r="AA38" s="68">
        <v>20120630</v>
      </c>
      <c r="AB38" s="68">
        <v>20120331</v>
      </c>
      <c r="AC38" s="68">
        <v>20111231</v>
      </c>
      <c r="AD38" s="68">
        <v>20110930</v>
      </c>
      <c r="AE38" s="68">
        <v>20110630</v>
      </c>
      <c r="AF38" s="68">
        <v>20110331</v>
      </c>
      <c r="AG38" s="68">
        <v>20101231</v>
      </c>
      <c r="AH38" s="68">
        <v>20100930</v>
      </c>
      <c r="AI38" s="68">
        <v>20100630</v>
      </c>
      <c r="AJ38" s="68">
        <v>20100331</v>
      </c>
      <c r="AK38" s="68">
        <v>20091231</v>
      </c>
      <c r="AL38" s="68">
        <v>20090930</v>
      </c>
      <c r="AM38" s="68">
        <v>20090630</v>
      </c>
      <c r="AN38" s="68">
        <v>20090331</v>
      </c>
      <c r="AO38" s="68">
        <v>20081231</v>
      </c>
      <c r="AP38" s="68">
        <v>20080930</v>
      </c>
      <c r="AQ38" s="68">
        <v>20080630</v>
      </c>
      <c r="AR38" s="68">
        <v>20080331</v>
      </c>
      <c r="AS38" s="68">
        <v>20071231</v>
      </c>
      <c r="AT38" s="68">
        <v>20070930</v>
      </c>
      <c r="AU38" s="68">
        <v>20070630</v>
      </c>
      <c r="AV38" s="68">
        <v>20070331</v>
      </c>
      <c r="AW38" s="68">
        <v>20061231</v>
      </c>
      <c r="AX38" s="68">
        <v>20060930</v>
      </c>
      <c r="AY38" s="68">
        <v>20060630</v>
      </c>
      <c r="AZ38" s="68">
        <v>20060331</v>
      </c>
      <c r="BA38" s="68">
        <v>20051231</v>
      </c>
      <c r="BB38" s="68">
        <v>20050930</v>
      </c>
      <c r="BC38" s="68">
        <v>20050630</v>
      </c>
      <c r="BD38" s="68">
        <v>20050331</v>
      </c>
      <c r="BE38" s="68">
        <v>20041231</v>
      </c>
      <c r="BF38" s="68">
        <v>20040930</v>
      </c>
      <c r="BG38" s="68">
        <v>20040630</v>
      </c>
      <c r="BH38" s="68">
        <v>20040331</v>
      </c>
      <c r="BI38" s="68">
        <v>20031231</v>
      </c>
      <c r="BJ38" s="68">
        <v>20030930</v>
      </c>
      <c r="BK38" s="68">
        <v>20030630</v>
      </c>
      <c r="BL38" s="68">
        <v>20030331</v>
      </c>
      <c r="BM38" s="68">
        <v>20021231</v>
      </c>
      <c r="BN38" s="68">
        <v>20020630</v>
      </c>
      <c r="BO38" s="68">
        <v>20011231</v>
      </c>
      <c r="BP38" s="68">
        <v>20010630</v>
      </c>
      <c r="BQ38" s="68">
        <v>20001231</v>
      </c>
      <c r="BR38" s="68">
        <v>20000630</v>
      </c>
      <c r="BS38" s="68">
        <v>19991231</v>
      </c>
      <c r="BT38" s="68">
        <v>19990630</v>
      </c>
      <c r="BU38" s="68">
        <v>19981231</v>
      </c>
      <c r="BV38" s="68">
        <v>19700101</v>
      </c>
    </row>
    <row r="39" spans="1:74" s="61" customFormat="1">
      <c r="A39" s="61" t="s">
        <v>388</v>
      </c>
    </row>
    <row r="40" spans="1:74" s="33" customFormat="1">
      <c r="A40" s="33" t="s">
        <v>394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4220946.96</v>
      </c>
      <c r="R40" s="48">
        <v>4220946.96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3681592.75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6252000</v>
      </c>
      <c r="AL40" s="48">
        <v>6252000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>
        <v>0</v>
      </c>
      <c r="AW40" s="48">
        <v>9750000</v>
      </c>
      <c r="AX40" s="48">
        <v>9750000</v>
      </c>
      <c r="AY40" s="48">
        <v>9750000</v>
      </c>
      <c r="AZ40" s="48">
        <v>0</v>
      </c>
      <c r="BA40" s="48">
        <v>4084000</v>
      </c>
      <c r="BB40" s="48">
        <v>4084000</v>
      </c>
      <c r="BC40" s="48">
        <v>4084000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0</v>
      </c>
      <c r="BP40" s="48">
        <v>0</v>
      </c>
      <c r="BQ40" s="48">
        <v>1786060.49</v>
      </c>
      <c r="BR40" s="48">
        <v>0</v>
      </c>
      <c r="BS40" s="48">
        <v>1392020681</v>
      </c>
      <c r="BT40" s="48">
        <v>0</v>
      </c>
      <c r="BU40" s="48">
        <v>0</v>
      </c>
      <c r="BV40" s="48">
        <v>0</v>
      </c>
    </row>
    <row r="41" spans="1:74" s="72" customFormat="1" ht="21.75" customHeight="1">
      <c r="A41" s="72" t="s">
        <v>399</v>
      </c>
      <c r="B41" s="72">
        <v>1419647033.29</v>
      </c>
      <c r="C41" s="72">
        <v>682396282.87</v>
      </c>
      <c r="D41" s="72">
        <v>73246783.790000007</v>
      </c>
      <c r="E41" s="72">
        <v>490914867.83999997</v>
      </c>
      <c r="I41" s="72">
        <v>439777902.44</v>
      </c>
      <c r="M41" s="72">
        <v>265912220.08000001</v>
      </c>
      <c r="AH41" s="72">
        <v>339937208.44</v>
      </c>
      <c r="AI41" s="72">
        <v>120279709.18000001</v>
      </c>
      <c r="AJ41" s="72">
        <v>10759542.5</v>
      </c>
      <c r="AK41" s="72">
        <v>424520415.68000001</v>
      </c>
      <c r="AL41" s="72">
        <v>331750681.61000001</v>
      </c>
      <c r="AM41" s="72">
        <v>12406904.189999999</v>
      </c>
      <c r="AN41" s="72">
        <v>6198654.2599999998</v>
      </c>
      <c r="AO41" s="72">
        <v>340564618.88999999</v>
      </c>
      <c r="AP41" s="72">
        <v>314576109.47000003</v>
      </c>
      <c r="AQ41" s="72">
        <v>20361003.300000001</v>
      </c>
      <c r="AR41" s="72">
        <v>5627802.7300000004</v>
      </c>
      <c r="AS41" s="72">
        <v>323422478.02999997</v>
      </c>
      <c r="AT41" s="72">
        <v>308225237.47000003</v>
      </c>
      <c r="AU41" s="72">
        <v>33795458.359999999</v>
      </c>
      <c r="AV41" s="72">
        <v>3513422.21</v>
      </c>
      <c r="AW41" s="72">
        <v>328317514.82999998</v>
      </c>
      <c r="AX41" s="72">
        <v>101531418.90000001</v>
      </c>
      <c r="AY41" s="72">
        <v>35797954.119999997</v>
      </c>
      <c r="AZ41" s="72">
        <v>7864170.3499999996</v>
      </c>
      <c r="BA41" s="72">
        <v>452382938</v>
      </c>
      <c r="BB41" s="72">
        <v>432027242.73000002</v>
      </c>
      <c r="BC41" s="72">
        <v>231226871.53999999</v>
      </c>
      <c r="BD41" s="72">
        <v>9829482.8900000006</v>
      </c>
      <c r="BE41" s="72">
        <v>372465870.36000001</v>
      </c>
      <c r="BF41" s="72">
        <v>377720268.13</v>
      </c>
      <c r="BG41" s="72">
        <v>66320134.159999996</v>
      </c>
      <c r="BH41" s="72">
        <v>12023185.300000001</v>
      </c>
      <c r="BI41" s="72">
        <v>382008949.44999999</v>
      </c>
      <c r="BJ41" s="72">
        <v>382044218.43000001</v>
      </c>
      <c r="BK41" s="72">
        <v>266573230.11000001</v>
      </c>
      <c r="BL41" s="72">
        <v>64720384.990000002</v>
      </c>
      <c r="BM41" s="72">
        <v>344175606.19</v>
      </c>
      <c r="BN41" s="72">
        <v>45280287.740000002</v>
      </c>
      <c r="BO41" s="72">
        <v>322966108.74000001</v>
      </c>
      <c r="BP41" s="72">
        <v>33441501.010000002</v>
      </c>
      <c r="BQ41" s="72">
        <v>241064266.09</v>
      </c>
      <c r="BR41" s="72">
        <v>101564427.92</v>
      </c>
      <c r="BS41" s="72">
        <v>183690399.66999999</v>
      </c>
      <c r="BT41" s="72">
        <v>295602823.06</v>
      </c>
      <c r="BU41" s="72">
        <v>36498097.030000001</v>
      </c>
      <c r="BV41" s="72">
        <v>0</v>
      </c>
    </row>
    <row r="42" spans="1:74" s="33" customFormat="1">
      <c r="A42" s="33" t="s">
        <v>391</v>
      </c>
      <c r="E42" s="33">
        <f>E40-E41</f>
        <v>-490914867.83999997</v>
      </c>
      <c r="F42" s="33">
        <f t="shared" ref="F42:BQ42" si="67">F40-F41</f>
        <v>0</v>
      </c>
      <c r="G42" s="33">
        <f t="shared" si="67"/>
        <v>0</v>
      </c>
      <c r="H42" s="33">
        <f t="shared" si="67"/>
        <v>0</v>
      </c>
      <c r="I42" s="33">
        <f t="shared" si="67"/>
        <v>-439777902.44</v>
      </c>
      <c r="J42" s="33">
        <f t="shared" si="67"/>
        <v>0</v>
      </c>
      <c r="K42" s="33">
        <f t="shared" si="67"/>
        <v>0</v>
      </c>
      <c r="L42" s="33">
        <f t="shared" si="67"/>
        <v>0</v>
      </c>
      <c r="M42" s="33">
        <f t="shared" si="67"/>
        <v>-265912220.08000001</v>
      </c>
      <c r="N42" s="33">
        <f t="shared" si="67"/>
        <v>0</v>
      </c>
      <c r="O42" s="33">
        <f t="shared" si="67"/>
        <v>0</v>
      </c>
      <c r="P42" s="33">
        <f t="shared" si="67"/>
        <v>0</v>
      </c>
      <c r="Q42" s="33">
        <f t="shared" si="67"/>
        <v>4220946.96</v>
      </c>
      <c r="R42" s="33">
        <f t="shared" si="67"/>
        <v>4220946.96</v>
      </c>
      <c r="S42" s="33">
        <f t="shared" si="67"/>
        <v>0</v>
      </c>
      <c r="T42" s="33">
        <f t="shared" si="67"/>
        <v>0</v>
      </c>
      <c r="U42" s="33">
        <f t="shared" si="67"/>
        <v>0</v>
      </c>
      <c r="V42" s="33">
        <f t="shared" si="67"/>
        <v>0</v>
      </c>
      <c r="W42" s="33">
        <f t="shared" si="67"/>
        <v>0</v>
      </c>
      <c r="X42" s="33">
        <f t="shared" si="67"/>
        <v>0</v>
      </c>
      <c r="Y42" s="33">
        <f t="shared" si="67"/>
        <v>0</v>
      </c>
      <c r="Z42" s="33">
        <f t="shared" si="67"/>
        <v>0</v>
      </c>
      <c r="AA42" s="33">
        <f t="shared" si="67"/>
        <v>0</v>
      </c>
      <c r="AB42" s="33">
        <f t="shared" si="67"/>
        <v>0</v>
      </c>
      <c r="AC42" s="33">
        <f t="shared" si="67"/>
        <v>3681592.75</v>
      </c>
      <c r="AD42" s="33">
        <f t="shared" si="67"/>
        <v>0</v>
      </c>
      <c r="AE42" s="33">
        <f t="shared" si="67"/>
        <v>0</v>
      </c>
      <c r="AF42" s="33">
        <f t="shared" si="67"/>
        <v>0</v>
      </c>
      <c r="AG42" s="33">
        <f t="shared" si="67"/>
        <v>0</v>
      </c>
      <c r="AH42" s="33">
        <f t="shared" si="67"/>
        <v>-339937208.44</v>
      </c>
      <c r="AI42" s="33">
        <f t="shared" si="67"/>
        <v>-120279709.18000001</v>
      </c>
      <c r="AJ42" s="33">
        <f t="shared" si="67"/>
        <v>-10759542.5</v>
      </c>
      <c r="AK42" s="33">
        <f t="shared" si="67"/>
        <v>-418268415.68000001</v>
      </c>
      <c r="AL42" s="33">
        <f t="shared" si="67"/>
        <v>-325498681.61000001</v>
      </c>
      <c r="AM42" s="33">
        <f t="shared" si="67"/>
        <v>-12406904.189999999</v>
      </c>
      <c r="AN42" s="33">
        <f t="shared" si="67"/>
        <v>-6198654.2599999998</v>
      </c>
      <c r="AO42" s="33">
        <f t="shared" si="67"/>
        <v>-340564618.88999999</v>
      </c>
      <c r="AP42" s="33">
        <f t="shared" si="67"/>
        <v>-314576109.47000003</v>
      </c>
      <c r="AQ42" s="33">
        <f t="shared" si="67"/>
        <v>-20361003.300000001</v>
      </c>
      <c r="AR42" s="33">
        <f t="shared" si="67"/>
        <v>-5627802.7300000004</v>
      </c>
      <c r="AS42" s="33">
        <f t="shared" si="67"/>
        <v>-323422478.02999997</v>
      </c>
      <c r="AT42" s="33">
        <f t="shared" si="67"/>
        <v>-308225237.47000003</v>
      </c>
      <c r="AU42" s="33">
        <f t="shared" si="67"/>
        <v>-33795458.359999999</v>
      </c>
      <c r="AV42" s="33">
        <f t="shared" si="67"/>
        <v>-3513422.21</v>
      </c>
      <c r="AW42" s="33">
        <f t="shared" si="67"/>
        <v>-318567514.82999998</v>
      </c>
      <c r="AX42" s="33">
        <f t="shared" si="67"/>
        <v>-91781418.900000006</v>
      </c>
      <c r="AY42" s="33">
        <f t="shared" si="67"/>
        <v>-26047954.119999997</v>
      </c>
      <c r="AZ42" s="33">
        <f t="shared" si="67"/>
        <v>-7864170.3499999996</v>
      </c>
      <c r="BA42" s="33">
        <f t="shared" si="67"/>
        <v>-448298938</v>
      </c>
      <c r="BB42" s="33">
        <f t="shared" si="67"/>
        <v>-427943242.73000002</v>
      </c>
      <c r="BC42" s="33">
        <f t="shared" si="67"/>
        <v>-227142871.53999999</v>
      </c>
      <c r="BD42" s="33">
        <f t="shared" si="67"/>
        <v>-9829482.8900000006</v>
      </c>
      <c r="BE42" s="33">
        <f t="shared" si="67"/>
        <v>-372465870.36000001</v>
      </c>
      <c r="BF42" s="33">
        <f t="shared" si="67"/>
        <v>-377720268.13</v>
      </c>
      <c r="BG42" s="33">
        <f t="shared" si="67"/>
        <v>-66320134.159999996</v>
      </c>
      <c r="BH42" s="33">
        <f t="shared" si="67"/>
        <v>-12023185.300000001</v>
      </c>
      <c r="BI42" s="33">
        <f t="shared" si="67"/>
        <v>-382008949.44999999</v>
      </c>
      <c r="BJ42" s="33">
        <f t="shared" si="67"/>
        <v>-382044218.43000001</v>
      </c>
      <c r="BK42" s="33">
        <f t="shared" si="67"/>
        <v>-266573230.11000001</v>
      </c>
      <c r="BL42" s="33">
        <f t="shared" si="67"/>
        <v>-64720384.990000002</v>
      </c>
      <c r="BM42" s="33">
        <f t="shared" si="67"/>
        <v>-344175606.19</v>
      </c>
      <c r="BN42" s="33">
        <f t="shared" si="67"/>
        <v>-45280287.740000002</v>
      </c>
      <c r="BO42" s="33">
        <f t="shared" si="67"/>
        <v>-322966108.74000001</v>
      </c>
      <c r="BP42" s="33">
        <f t="shared" si="67"/>
        <v>-33441501.010000002</v>
      </c>
      <c r="BQ42" s="33">
        <f t="shared" si="67"/>
        <v>-239278205.59999999</v>
      </c>
      <c r="BR42" s="33">
        <f t="shared" ref="BR42:BU42" si="68">BR40-BR41</f>
        <v>-101564427.92</v>
      </c>
      <c r="BS42" s="33">
        <f t="shared" si="68"/>
        <v>1208330281.3299999</v>
      </c>
      <c r="BT42" s="33">
        <f t="shared" si="68"/>
        <v>-295602823.06</v>
      </c>
      <c r="BU42" s="33">
        <f t="shared" si="68"/>
        <v>-36498097.030000001</v>
      </c>
    </row>
    <row r="43" spans="1:74" s="69" customFormat="1">
      <c r="A43" s="69" t="s">
        <v>390</v>
      </c>
    </row>
    <row r="44" spans="1:74" s="33" customFormat="1">
      <c r="A44" s="33" t="s">
        <v>396</v>
      </c>
      <c r="B44" s="48">
        <v>19500000</v>
      </c>
      <c r="C44" s="48">
        <v>14500000</v>
      </c>
      <c r="D44" s="48">
        <v>14500000</v>
      </c>
      <c r="E44" s="48">
        <v>34500000</v>
      </c>
      <c r="F44" s="48">
        <v>15000000</v>
      </c>
      <c r="G44" s="48">
        <v>10000000</v>
      </c>
      <c r="H44" s="48">
        <v>10000000</v>
      </c>
      <c r="I44" s="48">
        <v>29500000</v>
      </c>
      <c r="J44" s="48">
        <v>10000000</v>
      </c>
      <c r="K44" s="48">
        <v>10000000</v>
      </c>
      <c r="L44" s="48">
        <v>8582780</v>
      </c>
      <c r="M44" s="48">
        <v>52469220</v>
      </c>
      <c r="N44" s="48">
        <v>59310412.549999997</v>
      </c>
      <c r="O44" s="48">
        <v>25310412.550000001</v>
      </c>
      <c r="P44" s="48">
        <v>18322000</v>
      </c>
      <c r="Q44" s="48">
        <v>1575624674.99</v>
      </c>
      <c r="R44" s="48">
        <v>79216000</v>
      </c>
      <c r="S44" s="48">
        <v>64352756.5</v>
      </c>
      <c r="T44" s="48">
        <v>50700000</v>
      </c>
      <c r="U44" s="48">
        <v>340478779.29000002</v>
      </c>
      <c r="V44" s="48">
        <v>212500000</v>
      </c>
      <c r="W44" s="48">
        <v>152500000</v>
      </c>
      <c r="X44" s="48">
        <v>38000000</v>
      </c>
      <c r="Y44" s="48">
        <v>1617752850.48</v>
      </c>
      <c r="Z44" s="48">
        <v>206885000</v>
      </c>
      <c r="AA44" s="48">
        <v>156885000</v>
      </c>
      <c r="AB44" s="48">
        <v>38985000</v>
      </c>
      <c r="AC44" s="48">
        <v>359145000</v>
      </c>
      <c r="AD44" s="48">
        <v>222500000</v>
      </c>
      <c r="AE44" s="48">
        <v>147915464</v>
      </c>
      <c r="AF44" s="48">
        <v>28000000</v>
      </c>
      <c r="AG44" s="48">
        <v>341084536</v>
      </c>
      <c r="AH44" s="48">
        <v>188000000</v>
      </c>
      <c r="AI44" s="48">
        <v>143000000</v>
      </c>
      <c r="AJ44" s="48">
        <v>98000000</v>
      </c>
      <c r="AK44" s="48">
        <v>729500000</v>
      </c>
      <c r="AL44" s="48">
        <v>469500000</v>
      </c>
      <c r="AM44" s="48">
        <v>216500000</v>
      </c>
      <c r="AN44" s="48">
        <v>110000000</v>
      </c>
      <c r="AO44" s="48">
        <v>410500000</v>
      </c>
      <c r="AP44" s="48">
        <v>230000000</v>
      </c>
      <c r="AQ44" s="48">
        <v>254055709</v>
      </c>
      <c r="AR44" s="48">
        <v>115000000</v>
      </c>
      <c r="AS44" s="48">
        <v>501715528</v>
      </c>
      <c r="AT44" s="48">
        <v>452000000</v>
      </c>
      <c r="AU44" s="48">
        <v>378000000</v>
      </c>
      <c r="AV44" s="48">
        <v>111000000</v>
      </c>
      <c r="AW44" s="48">
        <v>483775880</v>
      </c>
      <c r="AX44" s="48">
        <v>346800000</v>
      </c>
      <c r="AY44" s="48">
        <v>293800000</v>
      </c>
      <c r="AZ44" s="48">
        <v>92300000</v>
      </c>
      <c r="BA44" s="48">
        <v>980900000</v>
      </c>
      <c r="BB44" s="48">
        <v>634600000</v>
      </c>
      <c r="BC44" s="48">
        <v>561100000</v>
      </c>
      <c r="BD44" s="48">
        <v>290600000</v>
      </c>
      <c r="BE44" s="48">
        <v>1061540000</v>
      </c>
      <c r="BF44" s="48">
        <v>635600000</v>
      </c>
      <c r="BG44" s="48">
        <v>577100000</v>
      </c>
      <c r="BH44" s="48">
        <v>295100000</v>
      </c>
      <c r="BI44" s="48">
        <v>1233394800</v>
      </c>
      <c r="BJ44" s="48">
        <v>955764800</v>
      </c>
      <c r="BK44" s="48">
        <v>861764800</v>
      </c>
      <c r="BL44" s="48">
        <v>369100000</v>
      </c>
      <c r="BM44" s="48">
        <v>1552612000</v>
      </c>
      <c r="BN44" s="48">
        <v>712640000</v>
      </c>
      <c r="BO44" s="48">
        <v>1014556500</v>
      </c>
      <c r="BP44" s="48">
        <v>558107500</v>
      </c>
      <c r="BQ44" s="48">
        <v>1389655020</v>
      </c>
      <c r="BR44" s="48">
        <v>725073780</v>
      </c>
      <c r="BS44" s="48">
        <v>1114468379.3299999</v>
      </c>
      <c r="BT44" s="48">
        <v>520820580</v>
      </c>
      <c r="BU44" s="48">
        <v>1402441570</v>
      </c>
      <c r="BV44" s="48">
        <v>0</v>
      </c>
    </row>
    <row r="45" spans="1:74" s="33" customFormat="1">
      <c r="A45" s="33" t="s">
        <v>392</v>
      </c>
      <c r="E45" s="33">
        <f>股权价值增加表!E53</f>
        <v>2172877.1800000002</v>
      </c>
      <c r="F45" s="33">
        <f>股权价值增加表!F53</f>
        <v>0</v>
      </c>
      <c r="G45" s="33">
        <f>股权价值增加表!G53</f>
        <v>0</v>
      </c>
      <c r="H45" s="33">
        <f>股权价值增加表!H53</f>
        <v>0</v>
      </c>
      <c r="I45" s="33">
        <f>股权价值增加表!I53</f>
        <v>1885157.62</v>
      </c>
      <c r="J45" s="33">
        <f>股权价值增加表!J53</f>
        <v>0</v>
      </c>
      <c r="K45" s="33">
        <f>股权价值增加表!K53</f>
        <v>0</v>
      </c>
      <c r="L45" s="33">
        <f>股权价值增加表!L53</f>
        <v>0</v>
      </c>
      <c r="M45" s="33">
        <f>股权价值增加表!M53</f>
        <v>0</v>
      </c>
      <c r="N45" s="33">
        <f>股权价值增加表!N53</f>
        <v>0</v>
      </c>
      <c r="O45" s="33">
        <f>股权价值增加表!O53</f>
        <v>0</v>
      </c>
      <c r="P45" s="33">
        <f>股权价值增加表!P53</f>
        <v>0</v>
      </c>
      <c r="Q45" s="33">
        <f>股权价值增加表!Q53</f>
        <v>0</v>
      </c>
      <c r="R45" s="33">
        <f>股权价值增加表!R53</f>
        <v>0</v>
      </c>
      <c r="S45" s="33">
        <f>股权价值增加表!S53</f>
        <v>0</v>
      </c>
      <c r="T45" s="33">
        <f>股权价值增加表!T53</f>
        <v>0</v>
      </c>
      <c r="U45" s="33">
        <f>股权价值增加表!U53</f>
        <v>0</v>
      </c>
      <c r="V45" s="33">
        <f>股权价值增加表!V53</f>
        <v>0</v>
      </c>
      <c r="W45" s="33">
        <f>股权价值增加表!W53</f>
        <v>0</v>
      </c>
      <c r="X45" s="33">
        <f>股权价值增加表!X53</f>
        <v>0</v>
      </c>
      <c r="Y45" s="33">
        <f>股权价值增加表!Y53</f>
        <v>0</v>
      </c>
      <c r="Z45" s="33">
        <f>股权价值增加表!Z53</f>
        <v>0</v>
      </c>
      <c r="AA45" s="33">
        <f>股权价值增加表!AA53</f>
        <v>0</v>
      </c>
      <c r="AB45" s="33">
        <f>股权价值增加表!AB53</f>
        <v>0</v>
      </c>
      <c r="AC45" s="33">
        <f>股权价值增加表!AC53</f>
        <v>0</v>
      </c>
      <c r="AD45" s="33">
        <f>股权价值增加表!AD53</f>
        <v>0</v>
      </c>
      <c r="AE45" s="33">
        <f>股权价值增加表!AE53</f>
        <v>0</v>
      </c>
      <c r="AF45" s="33">
        <f>股权价值增加表!AF53</f>
        <v>0</v>
      </c>
      <c r="AG45" s="33">
        <f>股权价值增加表!AG53</f>
        <v>0</v>
      </c>
      <c r="AH45" s="33">
        <f>股权价值增加表!AH53</f>
        <v>0</v>
      </c>
      <c r="AI45" s="33">
        <f>股权价值增加表!AI53</f>
        <v>0</v>
      </c>
      <c r="AJ45" s="33">
        <f>股权价值增加表!AJ53</f>
        <v>0</v>
      </c>
      <c r="AK45" s="33">
        <f>股权价值增加表!AK53</f>
        <v>0</v>
      </c>
      <c r="AL45" s="33">
        <f>股权价值增加表!AL53</f>
        <v>0</v>
      </c>
      <c r="AM45" s="33">
        <f>股权价值增加表!AM53</f>
        <v>0</v>
      </c>
      <c r="AN45" s="33">
        <f>股权价值增加表!AN53</f>
        <v>0</v>
      </c>
      <c r="AO45" s="33">
        <f>股权价值增加表!AO53</f>
        <v>0</v>
      </c>
      <c r="AP45" s="33">
        <f>股权价值增加表!AP53</f>
        <v>0</v>
      </c>
      <c r="AQ45" s="33">
        <f>股权价值增加表!AQ53</f>
        <v>0</v>
      </c>
      <c r="AR45" s="33">
        <f>股权价值增加表!AR53</f>
        <v>0</v>
      </c>
      <c r="AS45" s="33">
        <f>股权价值增加表!AS53</f>
        <v>0</v>
      </c>
      <c r="AT45" s="33">
        <f>股权价值增加表!AT53</f>
        <v>0</v>
      </c>
      <c r="AU45" s="33">
        <f>股权价值增加表!AU53</f>
        <v>0</v>
      </c>
      <c r="AV45" s="33">
        <f>股权价值增加表!AV53</f>
        <v>0</v>
      </c>
      <c r="AW45" s="33">
        <f>股权价值增加表!AW53</f>
        <v>0</v>
      </c>
      <c r="AX45" s="33">
        <f>股权价值增加表!AX53</f>
        <v>0</v>
      </c>
      <c r="AY45" s="33">
        <f>股权价值增加表!AY53</f>
        <v>0</v>
      </c>
      <c r="AZ45" s="33">
        <f>股权价值增加表!AZ53</f>
        <v>0</v>
      </c>
      <c r="BA45" s="33">
        <f>股权价值增加表!BA53</f>
        <v>0</v>
      </c>
      <c r="BB45" s="33">
        <f>股权价值增加表!BB53</f>
        <v>0</v>
      </c>
      <c r="BC45" s="33">
        <f>股权价值增加表!BC53</f>
        <v>0</v>
      </c>
      <c r="BD45" s="33">
        <f>股权价值增加表!BD53</f>
        <v>0</v>
      </c>
      <c r="BE45" s="33">
        <f>股权价值增加表!BE53</f>
        <v>0</v>
      </c>
      <c r="BF45" s="33">
        <f>股权价值增加表!BF53</f>
        <v>0</v>
      </c>
      <c r="BG45" s="33">
        <f>股权价值增加表!BG53</f>
        <v>0</v>
      </c>
      <c r="BH45" s="33">
        <f>股权价值增加表!BH53</f>
        <v>0</v>
      </c>
      <c r="BI45" s="33">
        <f>股权价值增加表!BI53</f>
        <v>0</v>
      </c>
      <c r="BJ45" s="33">
        <f>股权价值增加表!BJ53</f>
        <v>0</v>
      </c>
      <c r="BK45" s="33">
        <f>股权价值增加表!BK53</f>
        <v>0</v>
      </c>
      <c r="BL45" s="33">
        <f>股权价值增加表!BL53</f>
        <v>0</v>
      </c>
      <c r="BM45" s="33">
        <f>股权价值增加表!BM53</f>
        <v>0</v>
      </c>
      <c r="BN45" s="33">
        <f>股权价值增加表!BN53</f>
        <v>0</v>
      </c>
      <c r="BO45" s="33">
        <f>股权价值增加表!BO53</f>
        <v>0</v>
      </c>
      <c r="BP45" s="33">
        <f>股权价值增加表!BP53</f>
        <v>0</v>
      </c>
      <c r="BQ45" s="33">
        <f>股权价值增加表!BQ53</f>
        <v>0</v>
      </c>
      <c r="BR45" s="33">
        <f>股权价值增加表!BR53</f>
        <v>0</v>
      </c>
      <c r="BS45" s="33">
        <f>股权价值增加表!BS53</f>
        <v>0</v>
      </c>
      <c r="BT45" s="33">
        <f>股权价值增加表!BT53</f>
        <v>0</v>
      </c>
      <c r="BU45" s="33">
        <f>股权价值增加表!BU53</f>
        <v>0</v>
      </c>
    </row>
    <row r="46" spans="1:74" s="33" customFormat="1">
      <c r="A46" s="33" t="s">
        <v>397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2219387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0</v>
      </c>
      <c r="AX46" s="48">
        <v>0</v>
      </c>
      <c r="AY46" s="48">
        <v>0</v>
      </c>
      <c r="AZ46" s="48">
        <v>0</v>
      </c>
      <c r="BA46" s="48">
        <v>0</v>
      </c>
      <c r="BB46" s="48">
        <v>0</v>
      </c>
      <c r="BC46" s="48">
        <v>0</v>
      </c>
      <c r="BD46" s="48">
        <v>0</v>
      </c>
      <c r="BE46" s="48">
        <v>0</v>
      </c>
      <c r="BF46" s="48">
        <v>0</v>
      </c>
      <c r="BG46" s="48">
        <v>0</v>
      </c>
      <c r="BH46" s="48">
        <v>0</v>
      </c>
      <c r="BI46" s="48">
        <v>0</v>
      </c>
      <c r="BJ46" s="48">
        <v>0</v>
      </c>
      <c r="BK46" s="48">
        <v>0</v>
      </c>
      <c r="BL46" s="48">
        <v>0</v>
      </c>
      <c r="BM46" s="48">
        <v>0</v>
      </c>
      <c r="BN46" s="48">
        <v>0</v>
      </c>
      <c r="BO46" s="48">
        <v>0</v>
      </c>
      <c r="BP46" s="48">
        <v>0</v>
      </c>
      <c r="BQ46" s="48">
        <v>0</v>
      </c>
      <c r="BR46" s="48">
        <v>0</v>
      </c>
      <c r="BS46" s="48">
        <v>0</v>
      </c>
      <c r="BT46" s="48">
        <v>0</v>
      </c>
      <c r="BU46" s="48">
        <v>0</v>
      </c>
      <c r="BV46" s="48">
        <v>0</v>
      </c>
    </row>
    <row r="47" spans="1:74" s="33" customFormat="1">
      <c r="A47" s="33" t="s">
        <v>398</v>
      </c>
      <c r="B47" s="48">
        <v>15000000</v>
      </c>
      <c r="C47" s="48">
        <v>10000000</v>
      </c>
      <c r="D47" s="48">
        <v>10000000</v>
      </c>
      <c r="E47" s="48">
        <v>29500000</v>
      </c>
      <c r="F47" s="48">
        <v>10000000</v>
      </c>
      <c r="G47" s="48">
        <v>10000000</v>
      </c>
      <c r="H47" s="48">
        <v>10000000</v>
      </c>
      <c r="I47" s="48">
        <v>48500000</v>
      </c>
      <c r="J47" s="48">
        <v>20917220</v>
      </c>
      <c r="K47" s="48">
        <v>20917220</v>
      </c>
      <c r="L47" s="48">
        <v>15000000</v>
      </c>
      <c r="M47" s="48">
        <v>48500000</v>
      </c>
      <c r="N47" s="48">
        <v>53500000</v>
      </c>
      <c r="O47" s="48">
        <v>19500000</v>
      </c>
      <c r="P47" s="48">
        <v>15000000</v>
      </c>
      <c r="Q47" s="48">
        <v>1580790240</v>
      </c>
      <c r="R47" s="48">
        <v>76170885.579999998</v>
      </c>
      <c r="S47" s="48">
        <v>67228397.480000004</v>
      </c>
      <c r="T47" s="48">
        <v>40578397.479999997</v>
      </c>
      <c r="U47" s="48">
        <v>1879100012</v>
      </c>
      <c r="V47" s="48">
        <v>1634009262.3</v>
      </c>
      <c r="W47" s="48">
        <v>1584009262.3</v>
      </c>
      <c r="X47" s="48">
        <v>1445600012</v>
      </c>
      <c r="Y47" s="48">
        <v>221720506.78999999</v>
      </c>
      <c r="Z47" s="48">
        <v>225030000</v>
      </c>
      <c r="AA47" s="48">
        <v>171130000</v>
      </c>
      <c r="AB47" s="48">
        <v>53000000</v>
      </c>
      <c r="AC47" s="48">
        <v>231000000</v>
      </c>
      <c r="AD47" s="48">
        <v>122500000</v>
      </c>
      <c r="AE47" s="48">
        <v>62500000</v>
      </c>
      <c r="AF47" s="48">
        <v>13000000</v>
      </c>
      <c r="AG47" s="48">
        <v>640512154.66999996</v>
      </c>
      <c r="AH47" s="48">
        <v>419012154.67000002</v>
      </c>
      <c r="AI47" s="48">
        <v>315008781.13999999</v>
      </c>
      <c r="AJ47" s="48">
        <v>130000000</v>
      </c>
      <c r="AK47" s="48">
        <v>657027442.23000002</v>
      </c>
      <c r="AL47" s="48">
        <v>416500000</v>
      </c>
      <c r="AM47" s="48">
        <v>295500000</v>
      </c>
      <c r="AN47" s="48">
        <v>134000000</v>
      </c>
      <c r="AO47" s="48">
        <v>428870976.33999997</v>
      </c>
      <c r="AP47" s="48">
        <v>247000000</v>
      </c>
      <c r="AQ47" s="48">
        <v>228318755.61000001</v>
      </c>
      <c r="AR47" s="48">
        <v>90144561.719999999</v>
      </c>
      <c r="AS47" s="48">
        <v>475875393.01999998</v>
      </c>
      <c r="AT47" s="48">
        <v>448351390.80000001</v>
      </c>
      <c r="AU47" s="48">
        <v>351012832.19</v>
      </c>
      <c r="AV47" s="48">
        <v>81326909.859999999</v>
      </c>
      <c r="AW47" s="48">
        <v>699305561.45000005</v>
      </c>
      <c r="AX47" s="48">
        <v>567289149.54999995</v>
      </c>
      <c r="AY47" s="48">
        <v>458229135.86000001</v>
      </c>
      <c r="AZ47" s="48">
        <v>127530403.13</v>
      </c>
      <c r="BA47" s="48">
        <v>1093937000</v>
      </c>
      <c r="BB47" s="48">
        <v>741837000</v>
      </c>
      <c r="BC47" s="48">
        <v>611337000</v>
      </c>
      <c r="BD47" s="48">
        <v>249100000</v>
      </c>
      <c r="BE47" s="48">
        <v>1249308312</v>
      </c>
      <c r="BF47" s="48">
        <v>819943970.54999995</v>
      </c>
      <c r="BG47" s="48">
        <v>657530000</v>
      </c>
      <c r="BH47" s="48">
        <v>309300000</v>
      </c>
      <c r="BI47" s="48">
        <v>1774057000</v>
      </c>
      <c r="BJ47" s="48">
        <v>1403407000</v>
      </c>
      <c r="BK47" s="48">
        <v>883307000</v>
      </c>
      <c r="BL47" s="48">
        <v>286825633.25</v>
      </c>
      <c r="BM47" s="48">
        <v>1404572000</v>
      </c>
      <c r="BN47" s="48">
        <v>598117200</v>
      </c>
      <c r="BO47" s="48">
        <v>904921200</v>
      </c>
      <c r="BP47" s="48">
        <v>416192587</v>
      </c>
      <c r="BQ47" s="48">
        <v>1366971380</v>
      </c>
      <c r="BR47" s="48">
        <v>677586562.88</v>
      </c>
      <c r="BS47" s="48">
        <v>1121086840</v>
      </c>
      <c r="BT47" s="48">
        <v>465202780</v>
      </c>
      <c r="BU47" s="48">
        <v>1350144890</v>
      </c>
      <c r="BV47" s="48">
        <v>0</v>
      </c>
    </row>
    <row r="48" spans="1:74" s="33" customFormat="1">
      <c r="A48" s="33" t="s">
        <v>393</v>
      </c>
      <c r="E48" s="33">
        <f>E44-E45-E46-E47</f>
        <v>2827122.8200000003</v>
      </c>
      <c r="F48" s="33">
        <f t="shared" ref="F48:BQ48" si="69">F44-F45-F46-F47</f>
        <v>5000000</v>
      </c>
      <c r="G48" s="33">
        <f t="shared" si="69"/>
        <v>0</v>
      </c>
      <c r="H48" s="33">
        <f t="shared" si="69"/>
        <v>0</v>
      </c>
      <c r="I48" s="33">
        <f t="shared" si="69"/>
        <v>-20885157.620000001</v>
      </c>
      <c r="J48" s="33">
        <f t="shared" si="69"/>
        <v>-10917220</v>
      </c>
      <c r="K48" s="33">
        <f t="shared" si="69"/>
        <v>-10917220</v>
      </c>
      <c r="L48" s="33">
        <f t="shared" si="69"/>
        <v>-6417220</v>
      </c>
      <c r="M48" s="33">
        <f t="shared" si="69"/>
        <v>3969220</v>
      </c>
      <c r="N48" s="33">
        <f t="shared" si="69"/>
        <v>5810412.549999997</v>
      </c>
      <c r="O48" s="33">
        <f t="shared" si="69"/>
        <v>5810412.5500000007</v>
      </c>
      <c r="P48" s="33">
        <f t="shared" si="69"/>
        <v>3322000</v>
      </c>
      <c r="Q48" s="33">
        <f t="shared" si="69"/>
        <v>-5165565.0099999905</v>
      </c>
      <c r="R48" s="33">
        <f t="shared" si="69"/>
        <v>3045114.4200000018</v>
      </c>
      <c r="S48" s="33">
        <f t="shared" si="69"/>
        <v>-2875640.9800000042</v>
      </c>
      <c r="T48" s="33">
        <f t="shared" si="69"/>
        <v>10121602.520000003</v>
      </c>
      <c r="U48" s="33">
        <f t="shared" si="69"/>
        <v>-1538621232.71</v>
      </c>
      <c r="V48" s="33">
        <f t="shared" si="69"/>
        <v>-1421509262.3</v>
      </c>
      <c r="W48" s="33">
        <f t="shared" si="69"/>
        <v>-1431509262.3</v>
      </c>
      <c r="X48" s="33">
        <f t="shared" si="69"/>
        <v>-1407600012</v>
      </c>
      <c r="Y48" s="33">
        <f t="shared" si="69"/>
        <v>1396032343.6900001</v>
      </c>
      <c r="Z48" s="33">
        <f t="shared" si="69"/>
        <v>-18145000</v>
      </c>
      <c r="AA48" s="33">
        <f t="shared" si="69"/>
        <v>-14245000</v>
      </c>
      <c r="AB48" s="33">
        <f t="shared" si="69"/>
        <v>-14015000</v>
      </c>
      <c r="AC48" s="33">
        <f t="shared" si="69"/>
        <v>128145000</v>
      </c>
      <c r="AD48" s="33">
        <f t="shared" si="69"/>
        <v>100000000</v>
      </c>
      <c r="AE48" s="33">
        <f t="shared" si="69"/>
        <v>85415464</v>
      </c>
      <c r="AF48" s="33">
        <f t="shared" si="69"/>
        <v>15000000</v>
      </c>
      <c r="AG48" s="33">
        <f t="shared" si="69"/>
        <v>-299427618.66999996</v>
      </c>
      <c r="AH48" s="33">
        <f t="shared" si="69"/>
        <v>-233231541.67000002</v>
      </c>
      <c r="AI48" s="33">
        <f t="shared" si="69"/>
        <v>-172008781.13999999</v>
      </c>
      <c r="AJ48" s="33">
        <f t="shared" si="69"/>
        <v>-32000000</v>
      </c>
      <c r="AK48" s="33">
        <f t="shared" si="69"/>
        <v>72472557.769999981</v>
      </c>
      <c r="AL48" s="33">
        <f t="shared" si="69"/>
        <v>53000000</v>
      </c>
      <c r="AM48" s="33">
        <f t="shared" si="69"/>
        <v>-79000000</v>
      </c>
      <c r="AN48" s="33">
        <f t="shared" si="69"/>
        <v>-24000000</v>
      </c>
      <c r="AO48" s="33">
        <f t="shared" si="69"/>
        <v>-18370976.339999974</v>
      </c>
      <c r="AP48" s="33">
        <f t="shared" si="69"/>
        <v>-17000000</v>
      </c>
      <c r="AQ48" s="33">
        <f t="shared" si="69"/>
        <v>25736953.389999986</v>
      </c>
      <c r="AR48" s="33">
        <f t="shared" si="69"/>
        <v>24855438.280000001</v>
      </c>
      <c r="AS48" s="33">
        <f t="shared" si="69"/>
        <v>25840134.980000019</v>
      </c>
      <c r="AT48" s="33">
        <f t="shared" si="69"/>
        <v>3648609.1999999881</v>
      </c>
      <c r="AU48" s="33">
        <f t="shared" si="69"/>
        <v>26987167.810000002</v>
      </c>
      <c r="AV48" s="33">
        <f t="shared" si="69"/>
        <v>29673090.140000001</v>
      </c>
      <c r="AW48" s="33">
        <f t="shared" si="69"/>
        <v>-215529681.45000005</v>
      </c>
      <c r="AX48" s="33">
        <f t="shared" si="69"/>
        <v>-220489149.54999995</v>
      </c>
      <c r="AY48" s="33">
        <f t="shared" si="69"/>
        <v>-164429135.86000001</v>
      </c>
      <c r="AZ48" s="33">
        <f t="shared" si="69"/>
        <v>-35230403.129999995</v>
      </c>
      <c r="BA48" s="33">
        <f t="shared" si="69"/>
        <v>-113037000</v>
      </c>
      <c r="BB48" s="33">
        <f t="shared" si="69"/>
        <v>-107237000</v>
      </c>
      <c r="BC48" s="33">
        <f t="shared" si="69"/>
        <v>-50237000</v>
      </c>
      <c r="BD48" s="33">
        <f t="shared" si="69"/>
        <v>41500000</v>
      </c>
      <c r="BE48" s="33">
        <f t="shared" si="69"/>
        <v>-187768312</v>
      </c>
      <c r="BF48" s="33">
        <f t="shared" si="69"/>
        <v>-184343970.54999995</v>
      </c>
      <c r="BG48" s="33">
        <f t="shared" si="69"/>
        <v>-80430000</v>
      </c>
      <c r="BH48" s="33">
        <f t="shared" si="69"/>
        <v>-14200000</v>
      </c>
      <c r="BI48" s="33">
        <f t="shared" si="69"/>
        <v>-540662200</v>
      </c>
      <c r="BJ48" s="33">
        <f t="shared" si="69"/>
        <v>-447642200</v>
      </c>
      <c r="BK48" s="33">
        <f t="shared" si="69"/>
        <v>-21542200</v>
      </c>
      <c r="BL48" s="33">
        <f t="shared" si="69"/>
        <v>82274366.75</v>
      </c>
      <c r="BM48" s="33">
        <f t="shared" si="69"/>
        <v>148040000</v>
      </c>
      <c r="BN48" s="33">
        <f t="shared" si="69"/>
        <v>114522800</v>
      </c>
      <c r="BO48" s="33">
        <f t="shared" si="69"/>
        <v>109635300</v>
      </c>
      <c r="BP48" s="33">
        <f t="shared" si="69"/>
        <v>141914913</v>
      </c>
      <c r="BQ48" s="33">
        <f t="shared" si="69"/>
        <v>22683640</v>
      </c>
      <c r="BR48" s="33">
        <f t="shared" ref="BR48:BU48" si="70">BR44-BR45-BR46-BR47</f>
        <v>47487217.120000005</v>
      </c>
      <c r="BS48" s="33">
        <f t="shared" si="70"/>
        <v>-6618460.6700000763</v>
      </c>
      <c r="BT48" s="33">
        <f t="shared" si="70"/>
        <v>55617800</v>
      </c>
      <c r="BU48" s="33">
        <f t="shared" si="70"/>
        <v>52296680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平均资本成本表"/>
  <dimension ref="A1:BV16"/>
  <sheetViews>
    <sheetView tabSelected="1" workbookViewId="0">
      <selection activeCell="A33" sqref="A33"/>
    </sheetView>
  </sheetViews>
  <sheetFormatPr defaultRowHeight="13.5"/>
  <cols>
    <col min="1" max="1" width="61.25" style="23" bestFit="1" customWidth="1"/>
    <col min="2" max="4" width="9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4" width="20.5" hidden="1" customWidth="1"/>
    <col min="15" max="15" width="19.375" hidden="1" customWidth="1"/>
    <col min="16" max="16" width="20.5" hidden="1" customWidth="1"/>
    <col min="17" max="17" width="20.5" bestFit="1" customWidth="1"/>
    <col min="18" max="20" width="20.5" hidden="1" customWidth="1"/>
    <col min="21" max="21" width="19.375" bestFit="1" customWidth="1"/>
    <col min="22" max="24" width="19.37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9.375" bestFit="1" customWidth="1"/>
    <col min="38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6" width="19.375" hidden="1" customWidth="1"/>
    <col min="67" max="67" width="19.375" bestFit="1" customWidth="1"/>
    <col min="68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7.25" hidden="1" customWidth="1"/>
  </cols>
  <sheetData>
    <row r="1" spans="1:74"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61" customFormat="1">
      <c r="A2" s="61" t="s">
        <v>400</v>
      </c>
    </row>
    <row r="3" spans="1:74" s="33" customFormat="1">
      <c r="A3" s="33" t="s">
        <v>401</v>
      </c>
      <c r="B3" s="33">
        <f>平均资本成本表!E53</f>
        <v>0</v>
      </c>
      <c r="E3" s="33">
        <f>股权价值增加表!E53</f>
        <v>2172877.1800000002</v>
      </c>
      <c r="F3" s="33">
        <f>股权价值增加表!F53</f>
        <v>0</v>
      </c>
      <c r="G3" s="33">
        <f>股权价值增加表!G53</f>
        <v>0</v>
      </c>
      <c r="H3" s="33">
        <f>股权价值增加表!H53</f>
        <v>0</v>
      </c>
      <c r="I3" s="33">
        <f>股权价值增加表!I53</f>
        <v>1885157.62</v>
      </c>
      <c r="J3" s="33">
        <f>股权价值增加表!J53</f>
        <v>0</v>
      </c>
      <c r="K3" s="33">
        <f>股权价值增加表!K53</f>
        <v>0</v>
      </c>
      <c r="L3" s="33">
        <f>股权价值增加表!L53</f>
        <v>0</v>
      </c>
      <c r="M3" s="33">
        <f>股权价值增加表!M53</f>
        <v>0</v>
      </c>
      <c r="N3" s="33">
        <f>股权价值增加表!N53</f>
        <v>0</v>
      </c>
      <c r="O3" s="33">
        <f>股权价值增加表!O53</f>
        <v>0</v>
      </c>
      <c r="P3" s="33">
        <f>股权价值增加表!P53</f>
        <v>0</v>
      </c>
      <c r="Q3" s="33">
        <f>股权价值增加表!Q53</f>
        <v>0</v>
      </c>
      <c r="R3" s="33">
        <f>股权价值增加表!R53</f>
        <v>0</v>
      </c>
      <c r="S3" s="33">
        <f>股权价值增加表!S53</f>
        <v>0</v>
      </c>
      <c r="T3" s="33">
        <f>股权价值增加表!T53</f>
        <v>0</v>
      </c>
      <c r="U3" s="33">
        <f>股权价值增加表!U53</f>
        <v>0</v>
      </c>
      <c r="V3" s="33">
        <f>股权价值增加表!V53</f>
        <v>0</v>
      </c>
      <c r="W3" s="33">
        <f>股权价值增加表!W53</f>
        <v>0</v>
      </c>
      <c r="X3" s="33">
        <f>股权价值增加表!X53</f>
        <v>0</v>
      </c>
      <c r="Y3" s="33">
        <f>股权价值增加表!Y53</f>
        <v>0</v>
      </c>
      <c r="Z3" s="33">
        <f>股权价值增加表!Z53</f>
        <v>0</v>
      </c>
      <c r="AA3" s="33">
        <f>股权价值增加表!AA53</f>
        <v>0</v>
      </c>
      <c r="AB3" s="33">
        <f>股权价值增加表!AB53</f>
        <v>0</v>
      </c>
      <c r="AC3" s="33">
        <f>股权价值增加表!AC53</f>
        <v>0</v>
      </c>
      <c r="AD3" s="33">
        <f>股权价值增加表!AD53</f>
        <v>0</v>
      </c>
      <c r="AE3" s="33">
        <f>股权价值增加表!AE53</f>
        <v>0</v>
      </c>
      <c r="AF3" s="33">
        <f>股权价值增加表!AF53</f>
        <v>0</v>
      </c>
      <c r="AG3" s="33">
        <f>股权价值增加表!AG53</f>
        <v>0</v>
      </c>
      <c r="AH3" s="33">
        <f>股权价值增加表!AH53</f>
        <v>0</v>
      </c>
      <c r="AI3" s="33">
        <f>股权价值增加表!AI53</f>
        <v>0</v>
      </c>
      <c r="AJ3" s="33">
        <f>股权价值增加表!AJ53</f>
        <v>0</v>
      </c>
      <c r="AK3" s="33">
        <f>股权价值增加表!AK53</f>
        <v>0</v>
      </c>
      <c r="AL3" s="33">
        <f>股权价值增加表!AL53</f>
        <v>0</v>
      </c>
      <c r="AM3" s="33">
        <f>股权价值增加表!AM53</f>
        <v>0</v>
      </c>
      <c r="AN3" s="33">
        <f>股权价值增加表!AN53</f>
        <v>0</v>
      </c>
      <c r="AO3" s="33">
        <f>股权价值增加表!AO53</f>
        <v>0</v>
      </c>
      <c r="AP3" s="33">
        <f>股权价值增加表!AP53</f>
        <v>0</v>
      </c>
      <c r="AQ3" s="33">
        <f>股权价值增加表!AQ53</f>
        <v>0</v>
      </c>
      <c r="AR3" s="33">
        <f>股权价值增加表!AR53</f>
        <v>0</v>
      </c>
      <c r="AS3" s="33">
        <f>股权价值增加表!AS53</f>
        <v>0</v>
      </c>
      <c r="AT3" s="33">
        <f>股权价值增加表!AT53</f>
        <v>0</v>
      </c>
      <c r="AU3" s="33">
        <f>股权价值增加表!AU53</f>
        <v>0</v>
      </c>
      <c r="AV3" s="33">
        <f>股权价值增加表!AV53</f>
        <v>0</v>
      </c>
      <c r="AW3" s="33">
        <f>股权价值增加表!AW53</f>
        <v>0</v>
      </c>
      <c r="AX3" s="33">
        <f>股权价值增加表!AX53</f>
        <v>0</v>
      </c>
      <c r="AY3" s="33">
        <f>股权价值增加表!AY53</f>
        <v>0</v>
      </c>
      <c r="AZ3" s="33">
        <f>股权价值增加表!AZ53</f>
        <v>0</v>
      </c>
      <c r="BA3" s="33">
        <f>股权价值增加表!BA53</f>
        <v>0</v>
      </c>
      <c r="BB3" s="33">
        <f>股权价值增加表!BB53</f>
        <v>0</v>
      </c>
      <c r="BC3" s="33">
        <f>股权价值增加表!BC53</f>
        <v>0</v>
      </c>
      <c r="BD3" s="33">
        <f>股权价值增加表!BD53</f>
        <v>0</v>
      </c>
      <c r="BE3" s="33">
        <f>股权价值增加表!BE53</f>
        <v>0</v>
      </c>
      <c r="BF3" s="33">
        <f>股权价值增加表!BF53</f>
        <v>0</v>
      </c>
      <c r="BG3" s="33">
        <f>股权价值增加表!BG53</f>
        <v>0</v>
      </c>
      <c r="BH3" s="33">
        <f>股权价值增加表!BH53</f>
        <v>0</v>
      </c>
      <c r="BI3" s="33">
        <f>股权价值增加表!BI53</f>
        <v>0</v>
      </c>
      <c r="BJ3" s="33">
        <f>股权价值增加表!BJ53</f>
        <v>0</v>
      </c>
      <c r="BK3" s="33">
        <f>股权价值增加表!BK53</f>
        <v>0</v>
      </c>
      <c r="BL3" s="33">
        <f>股权价值增加表!BL53</f>
        <v>0</v>
      </c>
      <c r="BM3" s="33">
        <f>股权价值增加表!BM53</f>
        <v>0</v>
      </c>
      <c r="BN3" s="33">
        <f>股权价值增加表!BN53</f>
        <v>0</v>
      </c>
      <c r="BO3" s="33">
        <f>股权价值增加表!BO53</f>
        <v>0</v>
      </c>
      <c r="BP3" s="33">
        <f>股权价值增加表!BP53</f>
        <v>0</v>
      </c>
      <c r="BQ3" s="33">
        <f>股权价值增加表!BQ53</f>
        <v>0</v>
      </c>
      <c r="BR3" s="33">
        <f>股权价值增加表!BR53</f>
        <v>0</v>
      </c>
      <c r="BS3" s="33">
        <f>股权价值增加表!BS53</f>
        <v>0</v>
      </c>
      <c r="BT3" s="33">
        <f>股权价值增加表!BT53</f>
        <v>0</v>
      </c>
      <c r="BU3" s="33">
        <f>股权价值增加表!BU53</f>
        <v>0</v>
      </c>
      <c r="BV3" s="33">
        <f>股权价值增加表!BV53</f>
        <v>0</v>
      </c>
    </row>
    <row r="4" spans="1:74" s="33" customFormat="1">
      <c r="A4" s="33" t="s">
        <v>402</v>
      </c>
      <c r="E4" s="33">
        <f>资产资本表!E89</f>
        <v>35496591.159999996</v>
      </c>
      <c r="F4" s="33">
        <f>资产资本表!F89</f>
        <v>36107661.339999996</v>
      </c>
      <c r="G4" s="33">
        <f>资产资本表!G89</f>
        <v>31112110.009999998</v>
      </c>
      <c r="H4" s="33">
        <f>资产资本表!H89</f>
        <v>31120907.559999999</v>
      </c>
      <c r="I4" s="33">
        <f>资产资本表!I89</f>
        <v>31393085.190000001</v>
      </c>
      <c r="J4" s="33">
        <f>资产资本表!J89</f>
        <v>49667929.130000003</v>
      </c>
      <c r="K4" s="33">
        <f>资产资本表!K89</f>
        <v>40532564.589999996</v>
      </c>
      <c r="L4" s="33">
        <f>资产资本表!L89</f>
        <v>45054948.230000004</v>
      </c>
      <c r="M4" s="33">
        <f>资产资本表!M89</f>
        <v>51330109.659999996</v>
      </c>
      <c r="N4" s="33">
        <f>资产资本表!N89</f>
        <v>52764723.999999993</v>
      </c>
      <c r="O4" s="33">
        <f>资产资本表!O89</f>
        <v>114977409.39</v>
      </c>
      <c r="P4" s="33">
        <f>资产资本表!P89</f>
        <v>1633138147.4699998</v>
      </c>
      <c r="Q4" s="33">
        <f>资产资本表!Q89</f>
        <v>1602608081.9400001</v>
      </c>
      <c r="R4" s="33">
        <f>资产资本表!R89</f>
        <v>1749280381.3200002</v>
      </c>
      <c r="S4" s="33">
        <f>资产资本表!S89</f>
        <v>1752660530.9000001</v>
      </c>
      <c r="T4" s="33">
        <f>资产资本表!T89</f>
        <v>1765931171.9400001</v>
      </c>
      <c r="U4" s="33">
        <f>资产资本表!U89</f>
        <v>1746298575.72</v>
      </c>
      <c r="V4" s="33">
        <f>资产资本表!V89</f>
        <v>2068303145.8099999</v>
      </c>
      <c r="W4" s="33">
        <f>资产资本表!W89</f>
        <v>2069419043.02</v>
      </c>
      <c r="X4" s="33">
        <f>资产资本表!X89</f>
        <v>2132435452.3</v>
      </c>
      <c r="Y4" s="33">
        <f>资产资本表!Y89</f>
        <v>3562299166.77</v>
      </c>
      <c r="Z4" s="33">
        <f>资产资本表!Z89</f>
        <v>2174939208.5100002</v>
      </c>
      <c r="AA4" s="33">
        <f>资产资本表!AA89</f>
        <v>316308650</v>
      </c>
      <c r="AB4" s="33">
        <f>资产资本表!AB89</f>
        <v>314248650</v>
      </c>
      <c r="AC4" s="33">
        <f>资产资本表!AC89</f>
        <v>1859223451.5900002</v>
      </c>
      <c r="AD4" s="33">
        <f>资产资本表!AD89</f>
        <v>315752904.21999997</v>
      </c>
      <c r="AE4" s="33">
        <f>资产资本表!AE89</f>
        <v>385752904.21999997</v>
      </c>
      <c r="AF4" s="33">
        <f>资产资本表!AF89</f>
        <v>295752904.21999997</v>
      </c>
      <c r="AG4" s="33">
        <f>资产资本表!AG89</f>
        <v>300387440.21999997</v>
      </c>
      <c r="AH4" s="33">
        <f>资产资本表!AH89</f>
        <v>374819357.88999999</v>
      </c>
      <c r="AI4" s="33">
        <f>资产资本表!AI89</f>
        <v>452719970.88999999</v>
      </c>
      <c r="AJ4" s="33">
        <f>资产资本表!AJ89</f>
        <v>593420805.53999996</v>
      </c>
      <c r="AK4" s="33">
        <f>资产资本表!AK89</f>
        <v>617423493.25</v>
      </c>
      <c r="AL4" s="33">
        <f>资产资本表!AL89</f>
        <v>629760898.69000006</v>
      </c>
      <c r="AM4" s="33">
        <f>资产资本表!AM89</f>
        <v>286821944.68000001</v>
      </c>
      <c r="AN4" s="33">
        <f>资产资本表!AN89</f>
        <v>342013926.11000001</v>
      </c>
      <c r="AO4" s="33">
        <f>资产资本表!AO89</f>
        <v>365346225.47999996</v>
      </c>
      <c r="AP4" s="33">
        <f>资产资本表!AP89</f>
        <v>335365866.88999999</v>
      </c>
      <c r="AQ4" s="33">
        <f>资产资本表!AQ89</f>
        <v>406443215.20999998</v>
      </c>
      <c r="AR4" s="33">
        <f>资产资本表!AR89</f>
        <v>377425967.01999998</v>
      </c>
      <c r="AS4" s="33">
        <f>资产资本表!AS89</f>
        <v>380706261.81999999</v>
      </c>
      <c r="AT4" s="33">
        <f>资产资本表!AT89</f>
        <v>342510785.56999999</v>
      </c>
      <c r="AU4" s="33">
        <f>资产资本表!AU89</f>
        <v>366023464.18000001</v>
      </c>
      <c r="AV4" s="33">
        <f>资产资本表!AV89</f>
        <v>391539005.64999998</v>
      </c>
      <c r="AW4" s="33">
        <f>资产资本表!AW89</f>
        <v>385362176.37</v>
      </c>
      <c r="AX4" s="33">
        <f>资产资本表!AX89</f>
        <v>435614661.81999999</v>
      </c>
      <c r="AY4" s="33">
        <f>资产资本表!AY89</f>
        <v>493394538.74000001</v>
      </c>
      <c r="AZ4" s="33">
        <f>资产资本表!AZ89</f>
        <v>567361146.19999993</v>
      </c>
      <c r="BA4" s="33">
        <f>资产资本表!BA89</f>
        <v>616732360.63999999</v>
      </c>
      <c r="BB4" s="33">
        <f>资产资本表!BB89</f>
        <v>609143307.26999998</v>
      </c>
      <c r="BC4" s="33">
        <f>资产资本表!BC89</f>
        <v>659428372.75</v>
      </c>
      <c r="BD4" s="33">
        <f>资产资本表!BD89</f>
        <v>750773905.14999998</v>
      </c>
      <c r="BE4" s="33">
        <f>资产资本表!BE89</f>
        <v>710106905.14999998</v>
      </c>
      <c r="BF4" s="33">
        <f>资产资本表!BF89</f>
        <v>665031007.26999998</v>
      </c>
      <c r="BG4" s="33">
        <f>资产资本表!BG89</f>
        <v>768350507.26999998</v>
      </c>
      <c r="BH4" s="33">
        <f>资产资本表!BH89</f>
        <v>834940507.26999998</v>
      </c>
      <c r="BI4" s="33">
        <f>资产资本表!BI89</f>
        <v>850551510.55999994</v>
      </c>
      <c r="BJ4" s="33">
        <f>资产资本表!BJ89</f>
        <v>941107240.01999998</v>
      </c>
      <c r="BK4" s="33">
        <f>资产资本表!BK89</f>
        <v>1367206178.02</v>
      </c>
      <c r="BL4" s="33">
        <f>资产资本表!BL89</f>
        <v>1484442118.1400001</v>
      </c>
      <c r="BM4" s="33">
        <f>资产资本表!BM89</f>
        <v>1391249793.3599999</v>
      </c>
      <c r="BN4" s="33">
        <f>资产资本表!BN89</f>
        <v>1271278084.3200002</v>
      </c>
      <c r="BO4" s="33">
        <f>资产资本表!BO89</f>
        <v>1233828884.3200002</v>
      </c>
      <c r="BP4" s="33">
        <f>资产资本表!BP89</f>
        <v>1176927129.29</v>
      </c>
      <c r="BQ4" s="33">
        <f>资产资本表!BQ89</f>
        <v>1069882819.12</v>
      </c>
      <c r="BR4" s="33">
        <f>资产资本表!BR89</f>
        <v>1046702316.53</v>
      </c>
      <c r="BS4" s="33">
        <f>资产资本表!BS89</f>
        <v>857788711.18999994</v>
      </c>
      <c r="BT4" s="33">
        <f>资产资本表!BT89</f>
        <v>923631437.13</v>
      </c>
      <c r="BU4" s="33">
        <f>资产资本表!BU89</f>
        <v>870038027.13</v>
      </c>
      <c r="BV4" s="33">
        <f>资产资本表!BV89</f>
        <v>751885997.5999999</v>
      </c>
    </row>
    <row r="5" spans="1:74" s="33" customFormat="1">
      <c r="A5" s="33" t="s">
        <v>409</v>
      </c>
      <c r="E5" s="33">
        <f>E3/((E4+I4)/2)*100</f>
        <v>6.4968984709402031</v>
      </c>
      <c r="F5" s="33">
        <f t="shared" ref="F5:N5" si="0">F3/((F4+J4)/2)*100</f>
        <v>0</v>
      </c>
      <c r="G5" s="33">
        <f t="shared" si="0"/>
        <v>0</v>
      </c>
      <c r="H5" s="33">
        <f t="shared" si="0"/>
        <v>0</v>
      </c>
      <c r="I5" s="33">
        <f t="shared" si="0"/>
        <v>4.5577485816845247</v>
      </c>
      <c r="J5" s="33">
        <f t="shared" si="0"/>
        <v>0</v>
      </c>
      <c r="K5" s="33">
        <f t="shared" si="0"/>
        <v>0</v>
      </c>
      <c r="L5" s="33">
        <f t="shared" si="0"/>
        <v>0</v>
      </c>
      <c r="M5" s="33">
        <f t="shared" si="0"/>
        <v>0</v>
      </c>
      <c r="N5" s="33">
        <f t="shared" si="0"/>
        <v>0</v>
      </c>
      <c r="O5" s="33">
        <f t="shared" ref="O5" si="1">O3/((O4+S4)/2)*100</f>
        <v>0</v>
      </c>
      <c r="P5" s="33">
        <f t="shared" ref="P5" si="2">P3/((P4+T4)/2)*100</f>
        <v>0</v>
      </c>
      <c r="Q5" s="33">
        <f t="shared" ref="Q5" si="3">Q3/((Q4+U4)/2)*100</f>
        <v>0</v>
      </c>
      <c r="R5" s="33">
        <f t="shared" ref="R5" si="4">R3/((R4+V4)/2)*100</f>
        <v>0</v>
      </c>
      <c r="S5" s="33">
        <f t="shared" ref="S5" si="5">S3/((S4+W4)/2)*100</f>
        <v>0</v>
      </c>
      <c r="T5" s="33">
        <f t="shared" ref="T5" si="6">T3/((T4+X4)/2)*100</f>
        <v>0</v>
      </c>
      <c r="U5" s="33">
        <f t="shared" ref="U5" si="7">U3/((U4+Y4)/2)*100</f>
        <v>0</v>
      </c>
      <c r="V5" s="33">
        <f t="shared" ref="V5:W5" si="8">V3/((V4+Z4)/2)*100</f>
        <v>0</v>
      </c>
      <c r="W5" s="33">
        <f t="shared" si="8"/>
        <v>0</v>
      </c>
      <c r="X5" s="33">
        <f t="shared" ref="X5" si="9">X3/((X4+AB4)/2)*100</f>
        <v>0</v>
      </c>
      <c r="Y5" s="33">
        <f t="shared" ref="Y5" si="10">Y3/((Y4+AC4)/2)*100</f>
        <v>0</v>
      </c>
      <c r="Z5" s="33">
        <f t="shared" ref="Z5" si="11">Z3/((Z4+AD4)/2)*100</f>
        <v>0</v>
      </c>
      <c r="AA5" s="33">
        <f t="shared" ref="AA5" si="12">AA3/((AA4+AE4)/2)*100</f>
        <v>0</v>
      </c>
      <c r="AB5" s="33">
        <f t="shared" ref="AB5" si="13">AB3/((AB4+AF4)/2)*100</f>
        <v>0</v>
      </c>
      <c r="AC5" s="33">
        <f t="shared" ref="AC5" si="14">AC3/((AC4+AG4)/2)*100</f>
        <v>0</v>
      </c>
      <c r="AD5" s="33">
        <f t="shared" ref="AD5" si="15">AD3/((AD4+AH4)/2)*100</f>
        <v>0</v>
      </c>
      <c r="AE5" s="33">
        <f t="shared" ref="AE5:AF5" si="16">AE3/((AE4+AI4)/2)*100</f>
        <v>0</v>
      </c>
      <c r="AF5" s="33">
        <f t="shared" si="16"/>
        <v>0</v>
      </c>
      <c r="AG5" s="33">
        <f t="shared" ref="AG5" si="17">AG3/((AG4+AK4)/2)*100</f>
        <v>0</v>
      </c>
      <c r="AH5" s="33">
        <f t="shared" ref="AH5" si="18">AH3/((AH4+AL4)/2)*100</f>
        <v>0</v>
      </c>
      <c r="AI5" s="33">
        <f t="shared" ref="AI5" si="19">AI3/((AI4+AM4)/2)*100</f>
        <v>0</v>
      </c>
      <c r="AJ5" s="33">
        <f t="shared" ref="AJ5" si="20">AJ3/((AJ4+AN4)/2)*100</f>
        <v>0</v>
      </c>
      <c r="AK5" s="33">
        <f t="shared" ref="AK5" si="21">AK3/((AK4+AO4)/2)*100</f>
        <v>0</v>
      </c>
      <c r="AL5" s="33">
        <f t="shared" ref="AL5" si="22">AL3/((AL4+AP4)/2)*100</f>
        <v>0</v>
      </c>
      <c r="AM5" s="33">
        <f t="shared" ref="AM5" si="23">AM3/((AM4+AQ4)/2)*100</f>
        <v>0</v>
      </c>
      <c r="AN5" s="33">
        <f t="shared" ref="AN5:AO5" si="24">AN3/((AN4+AR4)/2)*100</f>
        <v>0</v>
      </c>
      <c r="AO5" s="33">
        <f t="shared" si="24"/>
        <v>0</v>
      </c>
      <c r="AP5" s="33">
        <f t="shared" ref="AP5" si="25">AP3/((AP4+AT4)/2)*100</f>
        <v>0</v>
      </c>
      <c r="AQ5" s="33">
        <f t="shared" ref="AQ5" si="26">AQ3/((AQ4+AU4)/2)*100</f>
        <v>0</v>
      </c>
      <c r="AR5" s="33">
        <f t="shared" ref="AR5" si="27">AR3/((AR4+AV4)/2)*100</f>
        <v>0</v>
      </c>
      <c r="AS5" s="33">
        <f t="shared" ref="AS5" si="28">AS3/((AS4+AW4)/2)*100</f>
        <v>0</v>
      </c>
      <c r="AT5" s="33">
        <f t="shared" ref="AT5" si="29">AT3/((AT4+AX4)/2)*100</f>
        <v>0</v>
      </c>
      <c r="AU5" s="33">
        <f t="shared" ref="AU5" si="30">AU3/((AU4+AY4)/2)*100</f>
        <v>0</v>
      </c>
      <c r="AV5" s="33">
        <f t="shared" ref="AV5" si="31">AV3/((AV4+AZ4)/2)*100</f>
        <v>0</v>
      </c>
      <c r="AW5" s="33">
        <f t="shared" ref="AW5:AX5" si="32">AW3/((AW4+BA4)/2)*100</f>
        <v>0</v>
      </c>
      <c r="AX5" s="33">
        <f t="shared" si="32"/>
        <v>0</v>
      </c>
      <c r="AY5" s="33">
        <f t="shared" ref="AY5" si="33">AY3/((AY4+BC4)/2)*100</f>
        <v>0</v>
      </c>
      <c r="AZ5" s="33">
        <f t="shared" ref="AZ5" si="34">AZ3/((AZ4+BD4)/2)*100</f>
        <v>0</v>
      </c>
      <c r="BA5" s="33">
        <f t="shared" ref="BA5" si="35">BA3/((BA4+BE4)/2)*100</f>
        <v>0</v>
      </c>
      <c r="BB5" s="33">
        <f t="shared" ref="BB5" si="36">BB3/((BB4+BF4)/2)*100</f>
        <v>0</v>
      </c>
      <c r="BC5" s="33">
        <f t="shared" ref="BC5" si="37">BC3/((BC4+BG4)/2)*100</f>
        <v>0</v>
      </c>
      <c r="BD5" s="33">
        <f t="shared" ref="BD5" si="38">BD3/((BD4+BH4)/2)*100</f>
        <v>0</v>
      </c>
      <c r="BE5" s="33">
        <f t="shared" ref="BE5" si="39">BE3/((BE4+BI4)/2)*100</f>
        <v>0</v>
      </c>
      <c r="BF5" s="33">
        <f t="shared" ref="BF5:BG5" si="40">BF3/((BF4+BJ4)/2)*100</f>
        <v>0</v>
      </c>
      <c r="BG5" s="33">
        <f t="shared" si="40"/>
        <v>0</v>
      </c>
      <c r="BH5" s="33">
        <f t="shared" ref="BH5" si="41">BH3/((BH4+BL4)/2)*100</f>
        <v>0</v>
      </c>
      <c r="BI5" s="33">
        <f t="shared" ref="BI5" si="42">BI3/((BI4+BM4)/2)*100</f>
        <v>0</v>
      </c>
      <c r="BJ5" s="33">
        <f t="shared" ref="BJ5" si="43">BJ3/((BJ4+BN4)/2)*100</f>
        <v>0</v>
      </c>
      <c r="BK5" s="33">
        <f t="shared" ref="BK5" si="44">BK3/((BK4+BO4)/2)*100</f>
        <v>0</v>
      </c>
      <c r="BL5" s="33">
        <f t="shared" ref="BL5" si="45">BL3/((BL4+BP4)/2)*100</f>
        <v>0</v>
      </c>
      <c r="BM5" s="33">
        <f t="shared" ref="BM5" si="46">BM3/((BM4+BQ4)/2)*100</f>
        <v>0</v>
      </c>
      <c r="BN5" s="33">
        <f t="shared" ref="BN5" si="47">BN3/((BN4+BR4)/2)*100</f>
        <v>0</v>
      </c>
      <c r="BO5" s="33">
        <f t="shared" ref="BO5:BP5" si="48">BO3/((BO4+BS4)/2)*100</f>
        <v>0</v>
      </c>
      <c r="BP5" s="33">
        <f t="shared" si="48"/>
        <v>0</v>
      </c>
      <c r="BQ5" s="33">
        <f t="shared" ref="BQ5" si="49">BQ3/((BQ4+BU4)/2)*100</f>
        <v>0</v>
      </c>
      <c r="BR5" s="33">
        <f t="shared" ref="BR5" si="50">BR3/((BR4+BV4)/2)*100</f>
        <v>0</v>
      </c>
      <c r="BS5" s="33">
        <f t="shared" ref="BS5" si="51">BS3/((BS4+BW4)/2)*100</f>
        <v>0</v>
      </c>
      <c r="BT5" s="33">
        <f t="shared" ref="BT5" si="52">BT3/((BT4+BX4)/2)*100</f>
        <v>0</v>
      </c>
      <c r="BU5" s="33">
        <f t="shared" ref="BU5" si="53">BU3/((BU4+BY4)/2)*100</f>
        <v>0</v>
      </c>
      <c r="BV5" s="33">
        <f t="shared" ref="BV5" si="54">BV3/((BV4+BZ4)/2)*100</f>
        <v>0</v>
      </c>
    </row>
    <row r="6" spans="1:74" s="33" customFormat="1">
      <c r="A6" s="33" t="s">
        <v>410</v>
      </c>
      <c r="E6" s="33">
        <f>股权价值增加表!E41</f>
        <v>0.13165198347993173</v>
      </c>
      <c r="F6" s="33">
        <f>股权价值增加表!F41</f>
        <v>0.12108202886259374</v>
      </c>
      <c r="G6" s="33">
        <f>股权价值增加表!G41</f>
        <v>0.11176653926403259</v>
      </c>
      <c r="H6" s="33">
        <f>股权价值增加表!H41</f>
        <v>0.12473616516320012</v>
      </c>
      <c r="I6" s="33">
        <f>股权价值增加表!I41</f>
        <v>0.12445776680380616</v>
      </c>
      <c r="J6" s="33">
        <f>股权价值增加表!J41</f>
        <v>0.11502642868116948</v>
      </c>
      <c r="K6" s="33">
        <f>股权价值增加表!K41</f>
        <v>0.10359346549595806</v>
      </c>
      <c r="L6" s="33">
        <f>股权价值增加表!L41</f>
        <v>-0.14768287552056561</v>
      </c>
      <c r="M6" s="33">
        <f>股权价值增加表!M41</f>
        <v>-0.40369423105544594</v>
      </c>
      <c r="N6" s="33">
        <f>股权价值增加表!N41</f>
        <v>-0.5003979343500452</v>
      </c>
      <c r="O6" s="33">
        <f>股权价值增加表!O41</f>
        <v>-0.16128786033645937</v>
      </c>
      <c r="P6" s="33">
        <f>股权价值增加表!P41</f>
        <v>-0.12777808255984394</v>
      </c>
      <c r="Q6" s="33">
        <f>股权价值增加表!Q41</f>
        <v>-0.13636219305575498</v>
      </c>
      <c r="R6" s="33">
        <f>股权价值增加表!R41</f>
        <v>-0.1602982871789054</v>
      </c>
      <c r="S6" s="33">
        <f>股权价值增加表!S41</f>
        <v>-0.13911898920017374</v>
      </c>
      <c r="T6" s="33">
        <f>股权价值增加表!T41</f>
        <v>-0.10554305948805097</v>
      </c>
      <c r="U6" s="33">
        <f>股权价值增加表!U41</f>
        <v>-0.11216893375157527</v>
      </c>
      <c r="V6" s="33">
        <f>股权价值增加表!V41</f>
        <v>-0.11537077942772671</v>
      </c>
      <c r="W6" s="33">
        <f>股权价值增加表!W41</f>
        <v>-8.7849333762480442E-2</v>
      </c>
      <c r="X6" s="33">
        <f>股权价值增加表!X41</f>
        <v>-9.853953360467417E-2</v>
      </c>
      <c r="Y6" s="33">
        <f>股权价值增加表!Y41</f>
        <v>-0.2020706407295072</v>
      </c>
      <c r="Z6" s="33">
        <f>股权价值增加表!Z41</f>
        <v>-0.11913019110625091</v>
      </c>
      <c r="AA6" s="33">
        <f>股权价值增加表!AA41</f>
        <v>-0.19088005674384248</v>
      </c>
      <c r="AB6" s="33">
        <f>股权价值增加表!AB41</f>
        <v>-0.22124349565799217</v>
      </c>
      <c r="AC6" s="33">
        <f>股权价值增加表!AC41</f>
        <v>-0.11655530131723768</v>
      </c>
      <c r="AD6" s="33">
        <f>股权价值增加表!AD41</f>
        <v>-0.14643087619522455</v>
      </c>
      <c r="AE6" s="33">
        <f>股权价值增加表!AE41</f>
        <v>-0.15064390706601161</v>
      </c>
      <c r="AF6" s="33">
        <f>股权价值增加表!AF41</f>
        <v>-0.15529433051194949</v>
      </c>
      <c r="AG6" s="33">
        <f>股权价值增加表!AG41</f>
        <v>-0.12363008084176767</v>
      </c>
      <c r="AH6" s="33">
        <f>股权价值增加表!AH41</f>
        <v>-0.13562595865642546</v>
      </c>
      <c r="AI6" s="33">
        <f>股权价值增加表!AI41</f>
        <v>-0.1396054093119718</v>
      </c>
      <c r="AJ6" s="33">
        <f>股权价值增加表!AJ41</f>
        <v>-0.14423762719024172</v>
      </c>
      <c r="AK6" s="33">
        <f>股权价值增加表!AK41</f>
        <v>-0.12357584078462368</v>
      </c>
      <c r="AL6" s="33">
        <f>股权价值增加表!AL41</f>
        <v>-0.15549310419160731</v>
      </c>
      <c r="AM6" s="33">
        <f>股权价值增加表!AM41</f>
        <v>-0.16491350178236167</v>
      </c>
      <c r="AN6" s="33">
        <f>股权价值增加表!AN41</f>
        <v>-0.15150832588905733</v>
      </c>
      <c r="AO6" s="33">
        <f>股权价值增加表!AO41</f>
        <v>-0.18298487926620216</v>
      </c>
      <c r="AP6" s="33">
        <f>股权价值增加表!AP41</f>
        <v>-0.21547811738785128</v>
      </c>
      <c r="AQ6" s="33">
        <f>股权价值增加表!AQ41</f>
        <v>-0.23734219074793098</v>
      </c>
      <c r="AR6" s="33">
        <f>股权价值增加表!AR41</f>
        <v>-0.22162110973884891</v>
      </c>
      <c r="AS6" s="33">
        <f>股权价值增加表!AS41</f>
        <v>-0.15886339737057389</v>
      </c>
      <c r="AT6" s="33">
        <f>股权价值增加表!AT41</f>
        <v>-0.24221315376353289</v>
      </c>
      <c r="AU6" s="33">
        <f>股权价值增加表!AU41</f>
        <v>-0.24059333273683367</v>
      </c>
      <c r="AV6" s="33">
        <f>股权价值增加表!AV41</f>
        <v>-0.17000515378179587</v>
      </c>
      <c r="AW6" s="33">
        <f>股权价值增加表!AW41</f>
        <v>-0.13798934887912431</v>
      </c>
      <c r="AX6" s="33">
        <f>股权价值增加表!AX41</f>
        <v>-0.1232527604759405</v>
      </c>
      <c r="AY6" s="33">
        <f>股权价值增加表!AY41</f>
        <v>-0.10855339319621821</v>
      </c>
      <c r="AZ6" s="33">
        <f>股权价值增加表!AZ41</f>
        <v>-0.11943938329484823</v>
      </c>
      <c r="BA6" s="33">
        <f>股权价值增加表!BA41</f>
        <v>-0.11382487282558827</v>
      </c>
      <c r="BB6" s="33">
        <f>股权价值增加表!BB41</f>
        <v>-0.1328764685408905</v>
      </c>
      <c r="BC6" s="33">
        <f>股权价值增加表!BC41</f>
        <v>-0.14827806737043214</v>
      </c>
      <c r="BD6" s="33">
        <f>股权价值增加表!BD41</f>
        <v>-0.15472030135363435</v>
      </c>
      <c r="BE6" s="33">
        <f>股权价值增加表!BE41</f>
        <v>-0.14416044939371486</v>
      </c>
      <c r="BF6" s="33">
        <f>股权价值增加表!BF41</f>
        <v>-0.16252543672487488</v>
      </c>
      <c r="BG6" s="33">
        <f>股权价值增加表!BG41</f>
        <v>-0.18019792464976753</v>
      </c>
      <c r="BH6" s="33">
        <f>股权价值增加表!BH41</f>
        <v>-0.17871743812408453</v>
      </c>
      <c r="BI6" s="33">
        <f>股权价值增加表!BI41</f>
        <v>-0.25177770018079965</v>
      </c>
      <c r="BJ6" s="33">
        <f>股权价值增加表!BJ41</f>
        <v>-0.23032834984839667</v>
      </c>
      <c r="BK6" s="33">
        <f>股权价值增加表!BK41</f>
        <v>-0.24702454118216044</v>
      </c>
      <c r="BL6" s="33">
        <f>股权价值增加表!BL41</f>
        <v>-0.16240727581304093</v>
      </c>
      <c r="BM6" s="33">
        <f>股权价值增加表!BM41</f>
        <v>-0.16512491056860487</v>
      </c>
      <c r="BN6" s="33">
        <f>股权价值增加表!BN41</f>
        <v>-0.1816230904432862</v>
      </c>
      <c r="BO6" s="33">
        <f>股权价值增加表!BO41</f>
        <v>-0.19058030994128924</v>
      </c>
      <c r="BP6" s="33">
        <f>股权价值增加表!BP41</f>
        <v>-0.18517316363983807</v>
      </c>
      <c r="BQ6" s="33">
        <f>股权价值增加表!BQ41</f>
        <v>-0.16536771908441092</v>
      </c>
      <c r="BR6" s="33">
        <f>股权价值增加表!BR41</f>
        <v>-0.19718878491141506</v>
      </c>
      <c r="BS6" s="33">
        <f>股权价值增加表!BS41</f>
        <v>-0.14538903763765762</v>
      </c>
      <c r="BT6" s="33">
        <f>股权价值增加表!BT41</f>
        <v>-0.22787552138347875</v>
      </c>
      <c r="BU6" s="33">
        <f>股权价值增加表!BU41</f>
        <v>-0.17530238721310978</v>
      </c>
    </row>
    <row r="7" spans="1:74" s="33" customFormat="1">
      <c r="A7" s="33" t="s">
        <v>403</v>
      </c>
      <c r="E7" s="33">
        <f>E5*(1-E6)</f>
        <v>5.6415689007731897</v>
      </c>
      <c r="F7" s="33">
        <f t="shared" ref="F7:BQ7" si="55">F5*(1-F6)</f>
        <v>0</v>
      </c>
      <c r="G7" s="33">
        <f t="shared" si="55"/>
        <v>0</v>
      </c>
      <c r="H7" s="33">
        <f t="shared" si="55"/>
        <v>0</v>
      </c>
      <c r="I7" s="33">
        <f t="shared" si="55"/>
        <v>3.9905013715548536</v>
      </c>
      <c r="J7" s="33">
        <f t="shared" si="55"/>
        <v>0</v>
      </c>
      <c r="K7" s="33">
        <f t="shared" si="55"/>
        <v>0</v>
      </c>
      <c r="L7" s="33">
        <f t="shared" si="55"/>
        <v>0</v>
      </c>
      <c r="M7" s="33">
        <f t="shared" si="55"/>
        <v>0</v>
      </c>
      <c r="N7" s="33">
        <f t="shared" si="55"/>
        <v>0</v>
      </c>
      <c r="O7" s="33">
        <f t="shared" si="55"/>
        <v>0</v>
      </c>
      <c r="P7" s="33">
        <f t="shared" si="55"/>
        <v>0</v>
      </c>
      <c r="Q7" s="33">
        <f t="shared" si="55"/>
        <v>0</v>
      </c>
      <c r="R7" s="33">
        <f t="shared" si="55"/>
        <v>0</v>
      </c>
      <c r="S7" s="33">
        <f t="shared" si="55"/>
        <v>0</v>
      </c>
      <c r="T7" s="33">
        <f t="shared" si="55"/>
        <v>0</v>
      </c>
      <c r="U7" s="33">
        <f t="shared" si="55"/>
        <v>0</v>
      </c>
      <c r="V7" s="33">
        <f t="shared" si="55"/>
        <v>0</v>
      </c>
      <c r="W7" s="33">
        <f t="shared" si="55"/>
        <v>0</v>
      </c>
      <c r="X7" s="33">
        <f t="shared" si="55"/>
        <v>0</v>
      </c>
      <c r="Y7" s="33">
        <f t="shared" si="55"/>
        <v>0</v>
      </c>
      <c r="Z7" s="33">
        <f t="shared" si="55"/>
        <v>0</v>
      </c>
      <c r="AA7" s="33">
        <f t="shared" si="55"/>
        <v>0</v>
      </c>
      <c r="AB7" s="33">
        <f t="shared" si="55"/>
        <v>0</v>
      </c>
      <c r="AC7" s="33">
        <f t="shared" si="55"/>
        <v>0</v>
      </c>
      <c r="AD7" s="33">
        <f t="shared" si="55"/>
        <v>0</v>
      </c>
      <c r="AE7" s="33">
        <f t="shared" si="55"/>
        <v>0</v>
      </c>
      <c r="AF7" s="33">
        <f t="shared" si="55"/>
        <v>0</v>
      </c>
      <c r="AG7" s="33">
        <f t="shared" si="55"/>
        <v>0</v>
      </c>
      <c r="AH7" s="33">
        <f t="shared" si="55"/>
        <v>0</v>
      </c>
      <c r="AI7" s="33">
        <f t="shared" si="55"/>
        <v>0</v>
      </c>
      <c r="AJ7" s="33">
        <f t="shared" si="55"/>
        <v>0</v>
      </c>
      <c r="AK7" s="33">
        <f t="shared" si="55"/>
        <v>0</v>
      </c>
      <c r="AL7" s="33">
        <f t="shared" si="55"/>
        <v>0</v>
      </c>
      <c r="AM7" s="33">
        <f t="shared" si="55"/>
        <v>0</v>
      </c>
      <c r="AN7" s="33">
        <f t="shared" si="55"/>
        <v>0</v>
      </c>
      <c r="AO7" s="33">
        <f t="shared" si="55"/>
        <v>0</v>
      </c>
      <c r="AP7" s="33">
        <f t="shared" si="55"/>
        <v>0</v>
      </c>
      <c r="AQ7" s="33">
        <f t="shared" si="55"/>
        <v>0</v>
      </c>
      <c r="AR7" s="33">
        <f t="shared" si="55"/>
        <v>0</v>
      </c>
      <c r="AS7" s="33">
        <f t="shared" si="55"/>
        <v>0</v>
      </c>
      <c r="AT7" s="33">
        <f t="shared" si="55"/>
        <v>0</v>
      </c>
      <c r="AU7" s="33">
        <f t="shared" si="55"/>
        <v>0</v>
      </c>
      <c r="AV7" s="33">
        <f t="shared" si="55"/>
        <v>0</v>
      </c>
      <c r="AW7" s="33">
        <f t="shared" si="55"/>
        <v>0</v>
      </c>
      <c r="AX7" s="33">
        <f t="shared" si="55"/>
        <v>0</v>
      </c>
      <c r="AY7" s="33">
        <f t="shared" si="55"/>
        <v>0</v>
      </c>
      <c r="AZ7" s="33">
        <f t="shared" si="55"/>
        <v>0</v>
      </c>
      <c r="BA7" s="33">
        <f t="shared" si="55"/>
        <v>0</v>
      </c>
      <c r="BB7" s="33">
        <f t="shared" si="55"/>
        <v>0</v>
      </c>
      <c r="BC7" s="33">
        <f t="shared" si="55"/>
        <v>0</v>
      </c>
      <c r="BD7" s="33">
        <f t="shared" si="55"/>
        <v>0</v>
      </c>
      <c r="BE7" s="33">
        <f t="shared" si="55"/>
        <v>0</v>
      </c>
      <c r="BF7" s="33">
        <f t="shared" si="55"/>
        <v>0</v>
      </c>
      <c r="BG7" s="33">
        <f t="shared" si="55"/>
        <v>0</v>
      </c>
      <c r="BH7" s="33">
        <f t="shared" si="55"/>
        <v>0</v>
      </c>
      <c r="BI7" s="33">
        <f t="shared" si="55"/>
        <v>0</v>
      </c>
      <c r="BJ7" s="33">
        <f t="shared" si="55"/>
        <v>0</v>
      </c>
      <c r="BK7" s="33">
        <f t="shared" si="55"/>
        <v>0</v>
      </c>
      <c r="BL7" s="33">
        <f t="shared" si="55"/>
        <v>0</v>
      </c>
      <c r="BM7" s="33">
        <f t="shared" si="55"/>
        <v>0</v>
      </c>
      <c r="BN7" s="33">
        <f t="shared" si="55"/>
        <v>0</v>
      </c>
      <c r="BO7" s="33">
        <f t="shared" si="55"/>
        <v>0</v>
      </c>
      <c r="BP7" s="33">
        <f t="shared" si="55"/>
        <v>0</v>
      </c>
      <c r="BQ7" s="33">
        <f t="shared" si="55"/>
        <v>0</v>
      </c>
      <c r="BR7" s="33">
        <f t="shared" ref="BR7:BV7" si="56">BR5*(1-BR6)</f>
        <v>0</v>
      </c>
      <c r="BS7" s="33">
        <f t="shared" si="56"/>
        <v>0</v>
      </c>
      <c r="BT7" s="33">
        <f t="shared" si="56"/>
        <v>0</v>
      </c>
      <c r="BU7" s="33">
        <f t="shared" si="56"/>
        <v>0</v>
      </c>
      <c r="BV7" s="33">
        <f t="shared" si="56"/>
        <v>0</v>
      </c>
    </row>
    <row r="8" spans="1:74" s="33" customFormat="1">
      <c r="A8" s="33" t="s">
        <v>404</v>
      </c>
      <c r="E8" s="33">
        <f>资产资本表!E107</f>
        <v>12430597523.120001</v>
      </c>
      <c r="F8" s="33">
        <f>资产资本表!F107</f>
        <v>12029747314.17</v>
      </c>
      <c r="G8" s="33">
        <f>资产资本表!G107</f>
        <v>11334539158.960001</v>
      </c>
      <c r="H8" s="33">
        <f>资产资本表!H107</f>
        <v>11991421359.690001</v>
      </c>
      <c r="I8" s="33">
        <f>资产资本表!I107</f>
        <v>11590462217.709999</v>
      </c>
      <c r="J8" s="33">
        <f>资产资本表!J107</f>
        <v>11154331271.540001</v>
      </c>
      <c r="K8" s="33">
        <f>资产资本表!K107</f>
        <v>10473866210.700001</v>
      </c>
      <c r="L8" s="33">
        <f>资产资本表!L107</f>
        <v>10836235085.610001</v>
      </c>
      <c r="M8" s="33">
        <f>资产资本表!M107</f>
        <v>10486485399.58</v>
      </c>
      <c r="N8" s="33">
        <f>资产资本表!N107</f>
        <v>10150002302.440001</v>
      </c>
      <c r="O8" s="33">
        <f>资产资本表!O107</f>
        <v>8793691583.7700005</v>
      </c>
      <c r="P8" s="33">
        <f>资产资本表!P107</f>
        <v>8920783725.5499992</v>
      </c>
      <c r="Q8" s="33">
        <f>资产资本表!Q107</f>
        <v>8611904664.5600014</v>
      </c>
      <c r="R8" s="33">
        <f>资产资本表!R107</f>
        <v>8393095128.8099995</v>
      </c>
      <c r="S8" s="33">
        <f>资产资本表!S107</f>
        <v>7812351103.7199993</v>
      </c>
      <c r="T8" s="33">
        <f>资产资本表!T107</f>
        <v>8385910806.2999992</v>
      </c>
      <c r="U8" s="33">
        <f>资产资本表!U107</f>
        <v>8066834877.1999998</v>
      </c>
      <c r="V8" s="33">
        <f>资产资本表!V107</f>
        <v>7641813652.96</v>
      </c>
      <c r="W8" s="33">
        <f>资产资本表!W107</f>
        <v>6963644930.1800003</v>
      </c>
      <c r="X8" s="33">
        <f>资产资本表!X107</f>
        <v>7347942839.2099991</v>
      </c>
      <c r="Y8" s="33">
        <f>资产资本表!Y107</f>
        <v>7130400389.7700005</v>
      </c>
      <c r="Z8" s="33">
        <f>资产资本表!Z107</f>
        <v>7074987759.5700006</v>
      </c>
      <c r="AA8" s="33">
        <f>资产资本表!AA107</f>
        <v>7912902249.2399998</v>
      </c>
      <c r="AB8" s="33">
        <f>资产资本表!AB107</f>
        <v>8229113686.3800001</v>
      </c>
      <c r="AC8" s="33">
        <f>资产资本表!AC107</f>
        <v>7378235361.5500002</v>
      </c>
      <c r="AD8" s="33">
        <f>资产资本表!AD107</f>
        <v>7765121215.1100006</v>
      </c>
      <c r="AE8" s="33">
        <f>资产资本表!AE107</f>
        <v>7424720722.8400002</v>
      </c>
      <c r="AF8" s="33">
        <f>资产资本表!AF107</f>
        <v>7684546151.0600004</v>
      </c>
      <c r="AG8" s="33">
        <f>资产资本表!AG107</f>
        <v>7394374040.6700001</v>
      </c>
      <c r="AH8" s="33">
        <f>资产资本表!AH107</f>
        <v>7235412065.5400009</v>
      </c>
      <c r="AI8" s="33">
        <f>资产资本表!AI107</f>
        <v>6972334431.0200005</v>
      </c>
      <c r="AJ8" s="33">
        <f>资产资本表!AJ107</f>
        <v>7020191577.8800001</v>
      </c>
      <c r="AK8" s="33">
        <f>资产资本表!AK107</f>
        <v>6768024834.9300003</v>
      </c>
      <c r="AL8" s="33">
        <f>资产资本表!AL107</f>
        <v>6797030814.6999998</v>
      </c>
      <c r="AM8" s="33">
        <f>资产资本表!AM107</f>
        <v>6382528020.7799997</v>
      </c>
      <c r="AN8" s="33">
        <f>资产资本表!AN107</f>
        <v>6425202958.3599997</v>
      </c>
      <c r="AO8" s="33">
        <f>资产资本表!AO107</f>
        <v>6194742861.0100002</v>
      </c>
      <c r="AP8" s="33">
        <f>资产资本表!AP107</f>
        <v>6018031781.5100002</v>
      </c>
      <c r="AQ8" s="33">
        <f>资产资本表!AQ107</f>
        <v>5789448818.9700003</v>
      </c>
      <c r="AR8" s="33">
        <f>资产资本表!AR107</f>
        <v>5856405893.5</v>
      </c>
      <c r="AS8" s="33">
        <f>资产资本表!AS107</f>
        <v>5658752935.3099995</v>
      </c>
      <c r="AT8" s="33">
        <f>资产资本表!AT107</f>
        <v>5557397185.8000002</v>
      </c>
      <c r="AU8" s="33">
        <f>资产资本表!AU107</f>
        <v>5294185121.96</v>
      </c>
      <c r="AV8" s="33">
        <f>资产资本表!AV107</f>
        <v>5276800465.9200001</v>
      </c>
      <c r="AW8" s="33">
        <f>资产资本表!AW107</f>
        <v>5181853244.1599998</v>
      </c>
      <c r="AX8" s="33">
        <f>资产资本表!AX107</f>
        <v>5011911653.6700001</v>
      </c>
      <c r="AY8" s="33">
        <f>资产资本表!AY107</f>
        <v>4820276191.9800005</v>
      </c>
      <c r="AZ8" s="33">
        <f>资产资本表!AZ107</f>
        <v>5010338103.3099995</v>
      </c>
      <c r="BA8" s="33">
        <f>资产资本表!BA107</f>
        <v>4895309580.54</v>
      </c>
      <c r="BB8" s="33">
        <f>资产资本表!BB107</f>
        <v>4888570328.4099998</v>
      </c>
      <c r="BC8" s="33">
        <f>资产资本表!BC107</f>
        <v>4807601462.5599995</v>
      </c>
      <c r="BD8" s="33">
        <f>资产资本表!BD107</f>
        <v>5068821027.4499998</v>
      </c>
      <c r="BE8" s="33">
        <f>资产资本表!BE107</f>
        <v>4926753550.1099997</v>
      </c>
      <c r="BF8" s="33">
        <f>资产资本表!BF107</f>
        <v>4808299542.9399996</v>
      </c>
      <c r="BG8" s="33">
        <f>资产资本表!BG107</f>
        <v>4751398778.0100002</v>
      </c>
      <c r="BH8" s="33">
        <f>资产资本表!BH107</f>
        <v>4805853655.8899994</v>
      </c>
      <c r="BI8" s="33">
        <f>资产资本表!BI107</f>
        <v>4648133672.2799997</v>
      </c>
      <c r="BJ8" s="33">
        <f>资产资本表!BJ107</f>
        <v>4488942480.3800001</v>
      </c>
      <c r="BK8" s="33">
        <f>资产资本表!BK107</f>
        <v>4292913533.4400001</v>
      </c>
      <c r="BL8" s="33">
        <f>资产资本表!BL107</f>
        <v>4290589554.0599995</v>
      </c>
      <c r="BM8" s="33">
        <f>资产资本表!BM107</f>
        <v>4205781132.7200003</v>
      </c>
      <c r="BN8" s="33">
        <f>资产资本表!BN107</f>
        <v>4125320111.8000002</v>
      </c>
      <c r="BO8" s="33">
        <f>资产资本表!BO107</f>
        <v>3954027963.8899999</v>
      </c>
      <c r="BP8" s="33">
        <f>资产资本表!BP107</f>
        <v>3988477317.79</v>
      </c>
      <c r="BQ8" s="33">
        <f>资产资本表!BQ107</f>
        <v>3875929168.1599998</v>
      </c>
      <c r="BR8" s="33">
        <f>资产资本表!BR107</f>
        <v>3795371454.2599998</v>
      </c>
      <c r="BS8" s="33">
        <f>资产资本表!BS107</f>
        <v>3599541620.5700002</v>
      </c>
      <c r="BT8" s="33">
        <f>资产资本表!BT107</f>
        <v>3730682761.7999997</v>
      </c>
      <c r="BU8" s="33">
        <f>资产资本表!BU107</f>
        <v>3598065094.6499996</v>
      </c>
    </row>
    <row r="9" spans="1:74" s="33" customFormat="1">
      <c r="A9" s="33" t="s">
        <v>411</v>
      </c>
      <c r="E9" s="33">
        <f>$E$16</f>
        <v>8</v>
      </c>
      <c r="F9" s="33">
        <f t="shared" ref="F9:BQ9" si="57">$E$16</f>
        <v>8</v>
      </c>
      <c r="G9" s="33">
        <f t="shared" si="57"/>
        <v>8</v>
      </c>
      <c r="H9" s="33">
        <f t="shared" si="57"/>
        <v>8</v>
      </c>
      <c r="I9" s="33">
        <f t="shared" si="57"/>
        <v>8</v>
      </c>
      <c r="J9" s="33">
        <f t="shared" si="57"/>
        <v>8</v>
      </c>
      <c r="K9" s="33">
        <f t="shared" si="57"/>
        <v>8</v>
      </c>
      <c r="L9" s="33">
        <f t="shared" si="57"/>
        <v>8</v>
      </c>
      <c r="M9" s="33">
        <f t="shared" si="57"/>
        <v>8</v>
      </c>
      <c r="N9" s="33">
        <f t="shared" si="57"/>
        <v>8</v>
      </c>
      <c r="O9" s="33">
        <f t="shared" si="57"/>
        <v>8</v>
      </c>
      <c r="P9" s="33">
        <f t="shared" si="57"/>
        <v>8</v>
      </c>
      <c r="Q9" s="33">
        <f t="shared" si="57"/>
        <v>8</v>
      </c>
      <c r="R9" s="33">
        <f t="shared" si="57"/>
        <v>8</v>
      </c>
      <c r="S9" s="33">
        <f t="shared" si="57"/>
        <v>8</v>
      </c>
      <c r="T9" s="33">
        <f t="shared" si="57"/>
        <v>8</v>
      </c>
      <c r="U9" s="33">
        <f t="shared" si="57"/>
        <v>8</v>
      </c>
      <c r="V9" s="33">
        <f t="shared" si="57"/>
        <v>8</v>
      </c>
      <c r="W9" s="33">
        <f t="shared" si="57"/>
        <v>8</v>
      </c>
      <c r="X9" s="33">
        <f t="shared" si="57"/>
        <v>8</v>
      </c>
      <c r="Y9" s="33">
        <f t="shared" si="57"/>
        <v>8</v>
      </c>
      <c r="Z9" s="33">
        <f t="shared" si="57"/>
        <v>8</v>
      </c>
      <c r="AA9" s="33">
        <f t="shared" si="57"/>
        <v>8</v>
      </c>
      <c r="AB9" s="33">
        <f t="shared" si="57"/>
        <v>8</v>
      </c>
      <c r="AC9" s="33">
        <f t="shared" si="57"/>
        <v>8</v>
      </c>
      <c r="AD9" s="33">
        <f t="shared" si="57"/>
        <v>8</v>
      </c>
      <c r="AE9" s="33">
        <f t="shared" si="57"/>
        <v>8</v>
      </c>
      <c r="AF9" s="33">
        <f t="shared" si="57"/>
        <v>8</v>
      </c>
      <c r="AG9" s="33">
        <f t="shared" si="57"/>
        <v>8</v>
      </c>
      <c r="AH9" s="33">
        <f t="shared" si="57"/>
        <v>8</v>
      </c>
      <c r="AI9" s="33">
        <f t="shared" si="57"/>
        <v>8</v>
      </c>
      <c r="AJ9" s="33">
        <f t="shared" si="57"/>
        <v>8</v>
      </c>
      <c r="AK9" s="33">
        <f t="shared" si="57"/>
        <v>8</v>
      </c>
      <c r="AL9" s="33">
        <f t="shared" si="57"/>
        <v>8</v>
      </c>
      <c r="AM9" s="33">
        <f t="shared" si="57"/>
        <v>8</v>
      </c>
      <c r="AN9" s="33">
        <f t="shared" si="57"/>
        <v>8</v>
      </c>
      <c r="AO9" s="33">
        <f t="shared" si="57"/>
        <v>8</v>
      </c>
      <c r="AP9" s="33">
        <f t="shared" si="57"/>
        <v>8</v>
      </c>
      <c r="AQ9" s="33">
        <f t="shared" si="57"/>
        <v>8</v>
      </c>
      <c r="AR9" s="33">
        <f t="shared" si="57"/>
        <v>8</v>
      </c>
      <c r="AS9" s="33">
        <f t="shared" si="57"/>
        <v>8</v>
      </c>
      <c r="AT9" s="33">
        <f t="shared" si="57"/>
        <v>8</v>
      </c>
      <c r="AU9" s="33">
        <f t="shared" si="57"/>
        <v>8</v>
      </c>
      <c r="AV9" s="33">
        <f t="shared" si="57"/>
        <v>8</v>
      </c>
      <c r="AW9" s="33">
        <f t="shared" si="57"/>
        <v>8</v>
      </c>
      <c r="AX9" s="33">
        <f t="shared" si="57"/>
        <v>8</v>
      </c>
      <c r="AY9" s="33">
        <f t="shared" si="57"/>
        <v>8</v>
      </c>
      <c r="AZ9" s="33">
        <f t="shared" si="57"/>
        <v>8</v>
      </c>
      <c r="BA9" s="33">
        <f t="shared" si="57"/>
        <v>8</v>
      </c>
      <c r="BB9" s="33">
        <f t="shared" si="57"/>
        <v>8</v>
      </c>
      <c r="BC9" s="33">
        <f t="shared" si="57"/>
        <v>8</v>
      </c>
      <c r="BD9" s="33">
        <f t="shared" si="57"/>
        <v>8</v>
      </c>
      <c r="BE9" s="33">
        <f t="shared" si="57"/>
        <v>8</v>
      </c>
      <c r="BF9" s="33">
        <f t="shared" si="57"/>
        <v>8</v>
      </c>
      <c r="BG9" s="33">
        <f t="shared" si="57"/>
        <v>8</v>
      </c>
      <c r="BH9" s="33">
        <f t="shared" si="57"/>
        <v>8</v>
      </c>
      <c r="BI9" s="33">
        <f t="shared" si="57"/>
        <v>8</v>
      </c>
      <c r="BJ9" s="33">
        <f t="shared" si="57"/>
        <v>8</v>
      </c>
      <c r="BK9" s="33">
        <f t="shared" si="57"/>
        <v>8</v>
      </c>
      <c r="BL9" s="33">
        <f t="shared" si="57"/>
        <v>8</v>
      </c>
      <c r="BM9" s="33">
        <f t="shared" si="57"/>
        <v>8</v>
      </c>
      <c r="BN9" s="33">
        <f t="shared" si="57"/>
        <v>8</v>
      </c>
      <c r="BO9" s="33">
        <f t="shared" si="57"/>
        <v>8</v>
      </c>
      <c r="BP9" s="33">
        <f t="shared" si="57"/>
        <v>8</v>
      </c>
      <c r="BQ9" s="33">
        <f t="shared" si="57"/>
        <v>8</v>
      </c>
      <c r="BR9" s="33">
        <f t="shared" ref="BR9:BV9" si="58">$E$16</f>
        <v>8</v>
      </c>
      <c r="BS9" s="33">
        <f t="shared" si="58"/>
        <v>8</v>
      </c>
      <c r="BT9" s="33">
        <f t="shared" si="58"/>
        <v>8</v>
      </c>
      <c r="BU9" s="33">
        <f t="shared" si="58"/>
        <v>8</v>
      </c>
      <c r="BV9" s="33">
        <f t="shared" si="58"/>
        <v>8</v>
      </c>
    </row>
    <row r="10" spans="1:74" s="33" customFormat="1">
      <c r="A10" s="33" t="s">
        <v>405</v>
      </c>
      <c r="E10" s="33">
        <f>资产资本表!E70</f>
        <v>12466964524.469995</v>
      </c>
      <c r="F10" s="33">
        <f>资产资本表!F70</f>
        <v>12179598099.500004</v>
      </c>
      <c r="G10" s="33">
        <f>资产资本表!G70</f>
        <v>12130146338.639996</v>
      </c>
      <c r="H10" s="33">
        <f>资产资本表!H70</f>
        <v>12023831929.66</v>
      </c>
      <c r="I10" s="33">
        <f>资产资本表!I70</f>
        <v>11623144965.309998</v>
      </c>
      <c r="J10" s="33">
        <f>资产资本表!J70</f>
        <v>11341725783.080006</v>
      </c>
      <c r="K10" s="33">
        <f>资产资本表!K70</f>
        <v>11301436117.700003</v>
      </c>
      <c r="L10" s="33">
        <f>资产资本表!L70</f>
        <v>10882579696.250008</v>
      </c>
      <c r="M10" s="33">
        <f>资产资本表!M70</f>
        <v>10539105171.650005</v>
      </c>
      <c r="N10" s="33">
        <f>资产资本表!N70</f>
        <v>10265971346.089998</v>
      </c>
      <c r="O10" s="33">
        <f>资产资本表!O70</f>
        <v>9740280558.1600037</v>
      </c>
      <c r="P10" s="33">
        <f>资产资本表!P70</f>
        <v>10554374558.019997</v>
      </c>
      <c r="Q10" s="33">
        <f>资产资本表!Q70</f>
        <v>10215204831.640001</v>
      </c>
      <c r="R10" s="33">
        <f>资产资本表!R70</f>
        <v>10226530564.660002</v>
      </c>
      <c r="S10" s="33">
        <f>资产资本表!S70</f>
        <v>10653991504.91</v>
      </c>
      <c r="T10" s="33">
        <f>资产资本表!T70</f>
        <v>10187387890.889999</v>
      </c>
      <c r="U10" s="33">
        <f>资产资本表!U70</f>
        <v>9849589265.5699997</v>
      </c>
      <c r="V10" s="33">
        <f>资产资本表!V70</f>
        <v>9763858775.4400024</v>
      </c>
      <c r="W10" s="33">
        <f>资产资本表!W70</f>
        <v>9765471855.2200012</v>
      </c>
      <c r="X10" s="33">
        <f>资产资本表!X70</f>
        <v>9482152678.8500004</v>
      </c>
      <c r="Y10" s="33">
        <f>资产资本表!Y70</f>
        <v>10694473943.880001</v>
      </c>
      <c r="Z10" s="33">
        <f>资产资本表!Z70</f>
        <v>9318747845.1599998</v>
      </c>
      <c r="AA10" s="33">
        <f>资产资本表!AA70</f>
        <v>8943660768.7200031</v>
      </c>
      <c r="AB10" s="33">
        <f>资产资本表!AB70</f>
        <v>8544350433.0500002</v>
      </c>
      <c r="AC10" s="33">
        <f>资产资本表!AC70</f>
        <v>9238518250.2200012</v>
      </c>
      <c r="AD10" s="33">
        <f>资产资本表!AD70</f>
        <v>8087076231.4799995</v>
      </c>
      <c r="AE10" s="33">
        <f>资产资本表!AE70</f>
        <v>8073605739.210001</v>
      </c>
      <c r="AF10" s="33">
        <f>资产资本表!AF70</f>
        <v>7981291938.1400003</v>
      </c>
      <c r="AG10" s="33">
        <f>资产资本表!AG70</f>
        <v>7695938118.6600008</v>
      </c>
      <c r="AH10" s="33">
        <f>资产资本表!AH70</f>
        <v>7679670736.8899984</v>
      </c>
      <c r="AI10" s="33">
        <f>资产资本表!AI70</f>
        <v>7706379849.3699999</v>
      </c>
      <c r="AJ10" s="33">
        <f>资产资本表!AJ70</f>
        <v>7638796456.2600002</v>
      </c>
      <c r="AK10" s="33">
        <f>资产资本表!AK70</f>
        <v>7410754735.6399994</v>
      </c>
      <c r="AL10" s="33">
        <f>资产资本表!AL70</f>
        <v>7535117366.25</v>
      </c>
      <c r="AM10" s="33">
        <f>资产资本表!AM70</f>
        <v>7089801949.1200008</v>
      </c>
      <c r="AN10" s="33">
        <f>资产资本表!AN70</f>
        <v>6832227835.3299999</v>
      </c>
      <c r="AO10" s="33">
        <f>资产资本表!AO70</f>
        <v>6625100037.3500004</v>
      </c>
      <c r="AP10" s="33">
        <f>资产资本表!AP70</f>
        <v>6438030179.3299999</v>
      </c>
      <c r="AQ10" s="33">
        <f>资产资本表!AQ70</f>
        <v>6568210939.6500006</v>
      </c>
      <c r="AR10" s="33">
        <f>资产资本表!AR70</f>
        <v>6277045495.4499998</v>
      </c>
      <c r="AS10" s="33">
        <f>资产资本表!AS70</f>
        <v>6083747306.9000006</v>
      </c>
      <c r="AT10" s="33">
        <f>资产资本表!AT70</f>
        <v>5954249904.1999989</v>
      </c>
      <c r="AU10" s="33">
        <f>资产资本表!AU70</f>
        <v>5979473018.6699991</v>
      </c>
      <c r="AV10" s="33">
        <f>资产资本表!AV70</f>
        <v>5702242088.3999996</v>
      </c>
      <c r="AW10" s="33">
        <f>资产资本表!AW70</f>
        <v>5602896259.3299999</v>
      </c>
      <c r="AX10" s="33">
        <f>资产资本表!AX70</f>
        <v>5630226389.2300005</v>
      </c>
      <c r="AY10" s="33">
        <f>资产资本表!AY70</f>
        <v>5610383691.54</v>
      </c>
      <c r="AZ10" s="33">
        <f>资产资本表!AZ70</f>
        <v>5742365500.0299997</v>
      </c>
      <c r="BA10" s="33">
        <f>资产资本表!BA70</f>
        <v>5519718719.7200003</v>
      </c>
      <c r="BB10" s="33">
        <f>资产资本表!BB70</f>
        <v>5521624770.0500002</v>
      </c>
      <c r="BC10" s="33">
        <f>资产资本表!BC70</f>
        <v>5679940370.9499998</v>
      </c>
      <c r="BD10" s="33">
        <f>资产资本表!BD70</f>
        <v>5846712764.1299992</v>
      </c>
      <c r="BE10" s="33">
        <f>资产资本表!BE70</f>
        <v>5652888376.0199995</v>
      </c>
      <c r="BF10" s="33">
        <f>资产资本表!BF70</f>
        <v>5507281537.8100004</v>
      </c>
      <c r="BG10" s="33">
        <f>资产资本表!BG70</f>
        <v>5766777137.2200003</v>
      </c>
      <c r="BH10" s="33">
        <f>资产资本表!BH70</f>
        <v>5679446660.1499996</v>
      </c>
      <c r="BI10" s="33">
        <f>资产资本表!BI70</f>
        <v>5510735701.04</v>
      </c>
      <c r="BJ10" s="33">
        <f>资产资本表!BJ70</f>
        <v>5618637937.1800003</v>
      </c>
      <c r="BK10" s="33">
        <f>资产资本表!BK70</f>
        <v>6020657540.6999998</v>
      </c>
      <c r="BL10" s="33">
        <f>资产资本表!BL70</f>
        <v>5957640591.7299986</v>
      </c>
      <c r="BM10" s="33">
        <f>资产资本表!BM70</f>
        <v>5623524658.5500002</v>
      </c>
      <c r="BN10" s="33">
        <f>资产资本表!BN70</f>
        <v>5528804685.8000002</v>
      </c>
      <c r="BO10" s="33">
        <f>资产资本表!BO70</f>
        <v>5560543335.1699991</v>
      </c>
      <c r="BP10" s="33">
        <f>资产资本表!BP70</f>
        <v>5297951558.5900002</v>
      </c>
      <c r="BQ10" s="33">
        <f>资产资本表!BQ70</f>
        <v>5039796175.749999</v>
      </c>
      <c r="BR10" s="33">
        <f>资产资本表!BR70</f>
        <v>5114612634.25</v>
      </c>
      <c r="BS10" s="33">
        <f>资产资本表!BS70</f>
        <v>4666968162.75</v>
      </c>
      <c r="BT10" s="33">
        <f>资产资本表!BT70</f>
        <v>5043729164.71</v>
      </c>
      <c r="BU10" s="33">
        <f>资产资本表!BU70</f>
        <v>4706644952.9300003</v>
      </c>
    </row>
    <row r="11" spans="1:74" s="33" customFormat="1">
      <c r="A11" s="33" t="s">
        <v>406</v>
      </c>
      <c r="E11" s="33">
        <f>E4/E10*100</f>
        <v>0.28472521190164413</v>
      </c>
      <c r="F11" s="33">
        <f t="shared" ref="F11:BQ11" si="59">F4/F10*100</f>
        <v>0.29646020373596965</v>
      </c>
      <c r="G11" s="33">
        <f t="shared" si="59"/>
        <v>0.25648585879705238</v>
      </c>
      <c r="H11" s="33">
        <f t="shared" si="59"/>
        <v>0.25882686769125535</v>
      </c>
      <c r="I11" s="33">
        <f t="shared" si="59"/>
        <v>0.2700911438659212</v>
      </c>
      <c r="J11" s="33">
        <f t="shared" si="59"/>
        <v>0.43792214765143062</v>
      </c>
      <c r="K11" s="33">
        <f t="shared" si="59"/>
        <v>0.35864968104822531</v>
      </c>
      <c r="L11" s="33">
        <f t="shared" si="59"/>
        <v>0.41400981649162966</v>
      </c>
      <c r="M11" s="33">
        <f t="shared" si="59"/>
        <v>0.48704428719505549</v>
      </c>
      <c r="N11" s="33">
        <f t="shared" si="59"/>
        <v>0.51397692649996041</v>
      </c>
      <c r="O11" s="33">
        <f t="shared" si="59"/>
        <v>1.1804322134610044</v>
      </c>
      <c r="P11" s="33">
        <f t="shared" si="59"/>
        <v>15.473566325434419</v>
      </c>
      <c r="Q11" s="33">
        <f t="shared" si="59"/>
        <v>15.688457631081187</v>
      </c>
      <c r="R11" s="33">
        <f t="shared" si="59"/>
        <v>17.105316121236839</v>
      </c>
      <c r="S11" s="33">
        <f t="shared" si="59"/>
        <v>16.450740833538948</v>
      </c>
      <c r="T11" s="33">
        <f t="shared" si="59"/>
        <v>17.334484470932647</v>
      </c>
      <c r="U11" s="33">
        <f t="shared" si="59"/>
        <v>17.729658858205607</v>
      </c>
      <c r="V11" s="33">
        <f t="shared" si="59"/>
        <v>21.183255446223853</v>
      </c>
      <c r="W11" s="33">
        <f t="shared" si="59"/>
        <v>21.191183321201422</v>
      </c>
      <c r="X11" s="33">
        <f t="shared" si="59"/>
        <v>22.488938161230099</v>
      </c>
      <c r="Y11" s="33">
        <f t="shared" si="59"/>
        <v>33.309718509422844</v>
      </c>
      <c r="Z11" s="33">
        <f t="shared" si="59"/>
        <v>23.339393281680294</v>
      </c>
      <c r="AA11" s="33">
        <f t="shared" si="59"/>
        <v>3.5366798694587498</v>
      </c>
      <c r="AB11" s="33">
        <f t="shared" si="59"/>
        <v>3.677853014835037</v>
      </c>
      <c r="AC11" s="33">
        <f t="shared" si="59"/>
        <v>20.124693173017498</v>
      </c>
      <c r="AD11" s="33">
        <f t="shared" si="59"/>
        <v>3.9044135999471674</v>
      </c>
      <c r="AE11" s="33">
        <f t="shared" si="59"/>
        <v>4.7779507283414322</v>
      </c>
      <c r="AF11" s="33">
        <f t="shared" si="59"/>
        <v>3.7055768228034984</v>
      </c>
      <c r="AG11" s="33">
        <f t="shared" si="59"/>
        <v>3.9031945889957695</v>
      </c>
      <c r="AH11" s="33">
        <f t="shared" si="59"/>
        <v>4.8806696371697429</v>
      </c>
      <c r="AI11" s="33">
        <f t="shared" si="59"/>
        <v>5.8746127200959357</v>
      </c>
      <c r="AJ11" s="33">
        <f t="shared" si="59"/>
        <v>7.7685118190797073</v>
      </c>
      <c r="AK11" s="33">
        <f t="shared" si="59"/>
        <v>8.331452264648167</v>
      </c>
      <c r="AL11" s="33">
        <f t="shared" si="59"/>
        <v>8.3576786940402101</v>
      </c>
      <c r="AM11" s="33">
        <f t="shared" si="59"/>
        <v>4.0455565153777098</v>
      </c>
      <c r="AN11" s="33">
        <f t="shared" si="59"/>
        <v>5.005891699650566</v>
      </c>
      <c r="AO11" s="33">
        <f t="shared" si="59"/>
        <v>5.5145767372614074</v>
      </c>
      <c r="AP11" s="33">
        <f t="shared" si="59"/>
        <v>5.209137850374308</v>
      </c>
      <c r="AQ11" s="33">
        <f t="shared" si="59"/>
        <v>6.1880353561187249</v>
      </c>
      <c r="AR11" s="33">
        <f t="shared" si="59"/>
        <v>6.0127964229920305</v>
      </c>
      <c r="AS11" s="33">
        <f t="shared" si="59"/>
        <v>6.2577592824773403</v>
      </c>
      <c r="AT11" s="33">
        <f t="shared" si="59"/>
        <v>5.7523750443930863</v>
      </c>
      <c r="AU11" s="33">
        <f t="shared" si="59"/>
        <v>6.1213331515527738</v>
      </c>
      <c r="AV11" s="33">
        <f t="shared" si="59"/>
        <v>6.8664044700329887</v>
      </c>
      <c r="AW11" s="33">
        <f t="shared" si="59"/>
        <v>6.8779102545097279</v>
      </c>
      <c r="AX11" s="33">
        <f t="shared" si="59"/>
        <v>7.7370718636338074</v>
      </c>
      <c r="AY11" s="33">
        <f t="shared" si="59"/>
        <v>8.7943100840678436</v>
      </c>
      <c r="AZ11" s="33">
        <f t="shared" si="59"/>
        <v>9.8802687881333195</v>
      </c>
      <c r="BA11" s="33">
        <f t="shared" si="59"/>
        <v>11.173257043635823</v>
      </c>
      <c r="BB11" s="33">
        <f t="shared" si="59"/>
        <v>11.031957668946852</v>
      </c>
      <c r="BC11" s="33">
        <f t="shared" si="59"/>
        <v>11.609776330093887</v>
      </c>
      <c r="BD11" s="33">
        <f t="shared" si="59"/>
        <v>12.840957567747328</v>
      </c>
      <c r="BE11" s="33">
        <f t="shared" si="59"/>
        <v>12.561841980859374</v>
      </c>
      <c r="BF11" s="33">
        <f t="shared" si="59"/>
        <v>12.075485930840085</v>
      </c>
      <c r="BG11" s="33">
        <f t="shared" si="59"/>
        <v>13.323741996390032</v>
      </c>
      <c r="BH11" s="33">
        <f t="shared" si="59"/>
        <v>14.701088983340297</v>
      </c>
      <c r="BI11" s="33">
        <f t="shared" si="59"/>
        <v>15.434445720187265</v>
      </c>
      <c r="BJ11" s="33">
        <f t="shared" si="59"/>
        <v>16.74973989323011</v>
      </c>
      <c r="BK11" s="33">
        <f t="shared" si="59"/>
        <v>22.708585711404538</v>
      </c>
      <c r="BL11" s="33">
        <f t="shared" si="59"/>
        <v>24.916610783816065</v>
      </c>
      <c r="BM11" s="33">
        <f t="shared" si="59"/>
        <v>24.739818491677553</v>
      </c>
      <c r="BN11" s="33">
        <f t="shared" si="59"/>
        <v>22.993723898134959</v>
      </c>
      <c r="BO11" s="33">
        <f t="shared" si="59"/>
        <v>22.188998627456595</v>
      </c>
      <c r="BP11" s="33">
        <f t="shared" si="59"/>
        <v>22.21475821880161</v>
      </c>
      <c r="BQ11" s="33">
        <f t="shared" si="59"/>
        <v>21.22869222902224</v>
      </c>
      <c r="BR11" s="33">
        <f t="shared" ref="BR11:BV11" si="60">BR4/BR10*100</f>
        <v>20.464938234437511</v>
      </c>
      <c r="BS11" s="33">
        <f t="shared" si="60"/>
        <v>18.379999204548888</v>
      </c>
      <c r="BT11" s="33">
        <f t="shared" si="60"/>
        <v>18.312470931081528</v>
      </c>
      <c r="BU11" s="33">
        <f t="shared" si="60"/>
        <v>18.485312485454852</v>
      </c>
      <c r="BV11" s="33" t="e">
        <f t="shared" si="60"/>
        <v>#DIV/0!</v>
      </c>
    </row>
    <row r="12" spans="1:74" s="33" customFormat="1">
      <c r="A12" s="33" t="s">
        <v>407</v>
      </c>
      <c r="E12" s="33">
        <f>E8/E10*100</f>
        <v>99.708293054988545</v>
      </c>
      <c r="F12" s="33">
        <f t="shared" ref="F12:BQ12" si="61">F8/F10*100</f>
        <v>98.769657388480198</v>
      </c>
      <c r="G12" s="33">
        <f t="shared" si="61"/>
        <v>93.441075173630622</v>
      </c>
      <c r="H12" s="33">
        <f t="shared" si="61"/>
        <v>99.730447247103896</v>
      </c>
      <c r="I12" s="33">
        <f t="shared" si="61"/>
        <v>99.718813215377239</v>
      </c>
      <c r="J12" s="33">
        <f t="shared" si="61"/>
        <v>98.347742529452034</v>
      </c>
      <c r="K12" s="33">
        <f t="shared" si="61"/>
        <v>92.677303146421508</v>
      </c>
      <c r="L12" s="33">
        <f t="shared" si="61"/>
        <v>99.574139478565201</v>
      </c>
      <c r="M12" s="33">
        <f t="shared" si="61"/>
        <v>99.500718787667552</v>
      </c>
      <c r="N12" s="33">
        <f t="shared" si="61"/>
        <v>98.870354886640442</v>
      </c>
      <c r="O12" s="33">
        <f t="shared" si="61"/>
        <v>90.281707300545975</v>
      </c>
      <c r="P12" s="33">
        <f t="shared" si="61"/>
        <v>84.522144599950039</v>
      </c>
      <c r="Q12" s="33">
        <f t="shared" si="61"/>
        <v>84.304767319848267</v>
      </c>
      <c r="R12" s="33">
        <f t="shared" si="61"/>
        <v>82.071774740635533</v>
      </c>
      <c r="S12" s="33">
        <f t="shared" si="61"/>
        <v>73.327926910018633</v>
      </c>
      <c r="T12" s="33">
        <f t="shared" si="61"/>
        <v>82.316594755354728</v>
      </c>
      <c r="U12" s="33">
        <f t="shared" si="61"/>
        <v>81.900215934873998</v>
      </c>
      <c r="V12" s="33">
        <f t="shared" si="61"/>
        <v>78.26632716341831</v>
      </c>
      <c r="W12" s="33">
        <f t="shared" si="61"/>
        <v>71.308842352125339</v>
      </c>
      <c r="X12" s="33">
        <f t="shared" si="61"/>
        <v>77.492348921987215</v>
      </c>
      <c r="Y12" s="33">
        <f t="shared" si="61"/>
        <v>66.673689862514735</v>
      </c>
      <c r="Z12" s="33">
        <f t="shared" si="61"/>
        <v>75.922086069156052</v>
      </c>
      <c r="AA12" s="33">
        <f t="shared" si="61"/>
        <v>88.474981932621716</v>
      </c>
      <c r="AB12" s="33">
        <f t="shared" si="61"/>
        <v>96.310582657627805</v>
      </c>
      <c r="AC12" s="33">
        <f t="shared" si="61"/>
        <v>79.863839218743749</v>
      </c>
      <c r="AD12" s="33">
        <f t="shared" si="61"/>
        <v>96.018894750654795</v>
      </c>
      <c r="AE12" s="33">
        <f t="shared" si="61"/>
        <v>91.96288452359461</v>
      </c>
      <c r="AF12" s="33">
        <f t="shared" si="61"/>
        <v>96.281983050113126</v>
      </c>
      <c r="AG12" s="33">
        <f t="shared" si="61"/>
        <v>96.081516335756234</v>
      </c>
      <c r="AH12" s="33">
        <f t="shared" si="61"/>
        <v>94.215133870050437</v>
      </c>
      <c r="AI12" s="33">
        <f t="shared" si="61"/>
        <v>90.474834712306489</v>
      </c>
      <c r="AJ12" s="33">
        <f t="shared" si="61"/>
        <v>91.901801783538133</v>
      </c>
      <c r="AK12" s="33">
        <f t="shared" si="61"/>
        <v>91.32706554679288</v>
      </c>
      <c r="AL12" s="33">
        <f t="shared" si="61"/>
        <v>90.204710614649343</v>
      </c>
      <c r="AM12" s="33">
        <f t="shared" si="61"/>
        <v>90.024066491338459</v>
      </c>
      <c r="AN12" s="33">
        <f t="shared" si="61"/>
        <v>94.042574592357099</v>
      </c>
      <c r="AO12" s="33">
        <f t="shared" si="61"/>
        <v>93.504140708611232</v>
      </c>
      <c r="AP12" s="33">
        <f t="shared" si="61"/>
        <v>93.47629032295545</v>
      </c>
      <c r="AQ12" s="33">
        <f t="shared" si="61"/>
        <v>88.143466648141811</v>
      </c>
      <c r="AR12" s="33">
        <f t="shared" si="61"/>
        <v>93.298764486335074</v>
      </c>
      <c r="AS12" s="33">
        <f t="shared" si="61"/>
        <v>93.014266534246332</v>
      </c>
      <c r="AT12" s="33">
        <f t="shared" si="61"/>
        <v>93.334967043958514</v>
      </c>
      <c r="AU12" s="33">
        <f t="shared" si="61"/>
        <v>88.539326215365605</v>
      </c>
      <c r="AV12" s="33">
        <f t="shared" si="61"/>
        <v>92.539046643679512</v>
      </c>
      <c r="AW12" s="33">
        <f t="shared" si="61"/>
        <v>92.485261270563868</v>
      </c>
      <c r="AX12" s="33">
        <f t="shared" si="61"/>
        <v>89.017941858558871</v>
      </c>
      <c r="AY12" s="33">
        <f t="shared" si="61"/>
        <v>85.917050544129154</v>
      </c>
      <c r="AZ12" s="33">
        <f t="shared" si="61"/>
        <v>87.25216295068337</v>
      </c>
      <c r="BA12" s="33">
        <f t="shared" si="61"/>
        <v>88.687663794366784</v>
      </c>
      <c r="BB12" s="33">
        <f t="shared" si="61"/>
        <v>88.534997070540385</v>
      </c>
      <c r="BC12" s="33">
        <f t="shared" si="61"/>
        <v>84.641759395018141</v>
      </c>
      <c r="BD12" s="33">
        <f t="shared" si="61"/>
        <v>86.695229130248691</v>
      </c>
      <c r="BE12" s="33">
        <f t="shared" si="61"/>
        <v>87.154622953633378</v>
      </c>
      <c r="BF12" s="33">
        <f t="shared" si="61"/>
        <v>87.308039545987057</v>
      </c>
      <c r="BG12" s="33">
        <f t="shared" si="61"/>
        <v>82.39262008832398</v>
      </c>
      <c r="BH12" s="33">
        <f t="shared" si="61"/>
        <v>84.618343008842913</v>
      </c>
      <c r="BI12" s="33">
        <f t="shared" si="61"/>
        <v>84.346880787673996</v>
      </c>
      <c r="BJ12" s="33">
        <f t="shared" si="61"/>
        <v>79.893784411262573</v>
      </c>
      <c r="BK12" s="33">
        <f t="shared" si="61"/>
        <v>71.30306788618438</v>
      </c>
      <c r="BL12" s="33">
        <f t="shared" si="61"/>
        <v>72.018267768886744</v>
      </c>
      <c r="BM12" s="33">
        <f t="shared" si="61"/>
        <v>74.789058252381551</v>
      </c>
      <c r="BN12" s="33">
        <f t="shared" si="61"/>
        <v>74.615045136163644</v>
      </c>
      <c r="BO12" s="33">
        <f t="shared" si="61"/>
        <v>71.108661969795008</v>
      </c>
      <c r="BP12" s="33">
        <f t="shared" si="61"/>
        <v>75.28338592154843</v>
      </c>
      <c r="BQ12" s="33">
        <f t="shared" si="61"/>
        <v>76.906466710098684</v>
      </c>
      <c r="BR12" s="33">
        <f t="shared" ref="BR12:BV12" si="62">BR8/BR10*100</f>
        <v>74.206430196576321</v>
      </c>
      <c r="BS12" s="33">
        <f t="shared" si="62"/>
        <v>77.128051768173606</v>
      </c>
      <c r="BT12" s="33">
        <f t="shared" si="62"/>
        <v>73.966754359113239</v>
      </c>
      <c r="BU12" s="33">
        <f t="shared" si="62"/>
        <v>76.446494915876698</v>
      </c>
      <c r="BV12" s="33" t="e">
        <f t="shared" si="62"/>
        <v>#DIV/0!</v>
      </c>
    </row>
    <row r="13" spans="1:74" s="33" customFormat="1">
      <c r="A13" s="33" t="s">
        <v>408</v>
      </c>
      <c r="E13" s="33">
        <f>E4/E10*E7+E8/E10*E9</f>
        <v>7.9927264134063867</v>
      </c>
      <c r="F13" s="33">
        <f t="shared" ref="F13:BQ13" si="63">F4/F10*F7+F8/F10*F9</f>
        <v>7.9015725910784163</v>
      </c>
      <c r="G13" s="33">
        <f t="shared" si="63"/>
        <v>7.4752860138904502</v>
      </c>
      <c r="H13" s="33">
        <f t="shared" si="63"/>
        <v>7.9784357797683114</v>
      </c>
      <c r="I13" s="33">
        <f t="shared" si="63"/>
        <v>7.9882830480305964</v>
      </c>
      <c r="J13" s="33">
        <f t="shared" si="63"/>
        <v>7.8678194023561625</v>
      </c>
      <c r="K13" s="33">
        <f t="shared" si="63"/>
        <v>7.4141842517137206</v>
      </c>
      <c r="L13" s="33">
        <f t="shared" si="63"/>
        <v>7.9659311582852164</v>
      </c>
      <c r="M13" s="33">
        <f t="shared" si="63"/>
        <v>7.9600575030134042</v>
      </c>
      <c r="N13" s="33">
        <f t="shared" si="63"/>
        <v>7.9096283909312355</v>
      </c>
      <c r="O13" s="33">
        <f t="shared" si="63"/>
        <v>7.2225365840436782</v>
      </c>
      <c r="P13" s="33">
        <f t="shared" si="63"/>
        <v>6.7617715679960027</v>
      </c>
      <c r="Q13" s="33">
        <f t="shared" si="63"/>
        <v>6.7443813855878618</v>
      </c>
      <c r="R13" s="33">
        <f t="shared" si="63"/>
        <v>6.5657419792508422</v>
      </c>
      <c r="S13" s="33">
        <f t="shared" si="63"/>
        <v>5.866234152801491</v>
      </c>
      <c r="T13" s="33">
        <f t="shared" si="63"/>
        <v>6.5853275804283777</v>
      </c>
      <c r="U13" s="33">
        <f t="shared" si="63"/>
        <v>6.5520172747899199</v>
      </c>
      <c r="V13" s="33">
        <f t="shared" si="63"/>
        <v>6.2613061730734643</v>
      </c>
      <c r="W13" s="33">
        <f t="shared" si="63"/>
        <v>5.7047073881700268</v>
      </c>
      <c r="X13" s="33">
        <f t="shared" si="63"/>
        <v>6.1993879137589767</v>
      </c>
      <c r="Y13" s="33">
        <f t="shared" si="63"/>
        <v>5.3338951890011792</v>
      </c>
      <c r="Z13" s="33">
        <f t="shared" si="63"/>
        <v>6.0737668855324847</v>
      </c>
      <c r="AA13" s="33">
        <f t="shared" si="63"/>
        <v>7.0779985546097377</v>
      </c>
      <c r="AB13" s="33">
        <f t="shared" si="63"/>
        <v>7.7048466126102246</v>
      </c>
      <c r="AC13" s="33">
        <f t="shared" si="63"/>
        <v>6.3891071374994999</v>
      </c>
      <c r="AD13" s="33">
        <f t="shared" si="63"/>
        <v>7.6815115800523834</v>
      </c>
      <c r="AE13" s="33">
        <f t="shared" si="63"/>
        <v>7.357030761887569</v>
      </c>
      <c r="AF13" s="33">
        <f t="shared" si="63"/>
        <v>7.7025586440090503</v>
      </c>
      <c r="AG13" s="33">
        <f t="shared" si="63"/>
        <v>7.6865213068604987</v>
      </c>
      <c r="AH13" s="33">
        <f t="shared" si="63"/>
        <v>7.5372107096040351</v>
      </c>
      <c r="AI13" s="33">
        <f t="shared" si="63"/>
        <v>7.2379867769845188</v>
      </c>
      <c r="AJ13" s="33">
        <f t="shared" si="63"/>
        <v>7.3521441426830503</v>
      </c>
      <c r="AK13" s="33">
        <f t="shared" si="63"/>
        <v>7.3061652437434308</v>
      </c>
      <c r="AL13" s="33">
        <f t="shared" si="63"/>
        <v>7.2163768491719473</v>
      </c>
      <c r="AM13" s="33">
        <f t="shared" si="63"/>
        <v>7.2019253193070769</v>
      </c>
      <c r="AN13" s="33">
        <f t="shared" si="63"/>
        <v>7.5234059673885678</v>
      </c>
      <c r="AO13" s="33">
        <f t="shared" si="63"/>
        <v>7.4803312566888991</v>
      </c>
      <c r="AP13" s="33">
        <f t="shared" si="63"/>
        <v>7.4781032258364357</v>
      </c>
      <c r="AQ13" s="33">
        <f t="shared" si="63"/>
        <v>7.0514773318513448</v>
      </c>
      <c r="AR13" s="33">
        <f t="shared" si="63"/>
        <v>7.4639011589068058</v>
      </c>
      <c r="AS13" s="33">
        <f t="shared" si="63"/>
        <v>7.4411413227397061</v>
      </c>
      <c r="AT13" s="33">
        <f t="shared" si="63"/>
        <v>7.4667973635166813</v>
      </c>
      <c r="AU13" s="33">
        <f t="shared" si="63"/>
        <v>7.0831460972292488</v>
      </c>
      <c r="AV13" s="33">
        <f t="shared" si="63"/>
        <v>7.403123731494361</v>
      </c>
      <c r="AW13" s="33">
        <f t="shared" si="63"/>
        <v>7.3988209016451094</v>
      </c>
      <c r="AX13" s="33">
        <f t="shared" si="63"/>
        <v>7.1214353486847095</v>
      </c>
      <c r="AY13" s="33">
        <f t="shared" si="63"/>
        <v>6.8733640435303318</v>
      </c>
      <c r="AZ13" s="33">
        <f t="shared" si="63"/>
        <v>6.9801730360546701</v>
      </c>
      <c r="BA13" s="33">
        <f t="shared" si="63"/>
        <v>7.0950131035493422</v>
      </c>
      <c r="BB13" s="33">
        <f t="shared" si="63"/>
        <v>7.0827997656432311</v>
      </c>
      <c r="BC13" s="33">
        <f t="shared" si="63"/>
        <v>6.7713407516014508</v>
      </c>
      <c r="BD13" s="33">
        <f t="shared" si="63"/>
        <v>6.9356183304198957</v>
      </c>
      <c r="BE13" s="33">
        <f t="shared" si="63"/>
        <v>6.9723698362906701</v>
      </c>
      <c r="BF13" s="33">
        <f t="shared" si="63"/>
        <v>6.9846431636789648</v>
      </c>
      <c r="BG13" s="33">
        <f t="shared" si="63"/>
        <v>6.5914096070659181</v>
      </c>
      <c r="BH13" s="33">
        <f t="shared" si="63"/>
        <v>6.7694674407074329</v>
      </c>
      <c r="BI13" s="33">
        <f t="shared" si="63"/>
        <v>6.7477504630139196</v>
      </c>
      <c r="BJ13" s="33">
        <f t="shared" si="63"/>
        <v>6.3915027529010056</v>
      </c>
      <c r="BK13" s="33">
        <f t="shared" si="63"/>
        <v>5.7042454308947503</v>
      </c>
      <c r="BL13" s="33">
        <f t="shared" si="63"/>
        <v>5.7614614215109397</v>
      </c>
      <c r="BM13" s="33">
        <f t="shared" si="63"/>
        <v>5.9831246601905237</v>
      </c>
      <c r="BN13" s="33">
        <f t="shared" si="63"/>
        <v>5.969203610893091</v>
      </c>
      <c r="BO13" s="33">
        <f t="shared" si="63"/>
        <v>5.6886929575836005</v>
      </c>
      <c r="BP13" s="33">
        <f t="shared" si="63"/>
        <v>6.0226708737238743</v>
      </c>
      <c r="BQ13" s="33">
        <f t="shared" si="63"/>
        <v>6.1525173368078949</v>
      </c>
      <c r="BR13" s="33">
        <f t="shared" ref="BR13:BU13" si="64">BR4/BR10*BR7+BR8/BR10*BR9</f>
        <v>5.9365144157261058</v>
      </c>
      <c r="BS13" s="33">
        <f t="shared" si="64"/>
        <v>6.170244141453888</v>
      </c>
      <c r="BT13" s="33">
        <f t="shared" si="64"/>
        <v>5.9173403487290592</v>
      </c>
      <c r="BU13" s="33">
        <f t="shared" si="64"/>
        <v>6.1157195932701356</v>
      </c>
    </row>
    <row r="16" spans="1:74" s="54" customFormat="1">
      <c r="A16" s="55" t="s">
        <v>412</v>
      </c>
      <c r="E16" s="54">
        <v>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结构分析表"/>
  <dimension ref="A1"/>
  <sheetViews>
    <sheetView workbookViewId="0">
      <selection activeCell="M32" sqref="M32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分析表"/>
  <dimension ref="A1"/>
  <sheetViews>
    <sheetView workbookViewId="0">
      <selection activeCell="R24" sqref="R24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东权益回报率分析表"/>
  <dimension ref="A1"/>
  <sheetViews>
    <sheetView workbookViewId="0">
      <selection activeCell="T20" sqref="T20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自由现金流分析表"/>
  <dimension ref="A1"/>
  <sheetViews>
    <sheetView workbookViewId="0">
      <selection activeCell="R22" sqref="R22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根据DCF测算价值表"/>
  <dimension ref="A1"/>
  <sheetViews>
    <sheetView workbookViewId="0">
      <selection activeCell="E22" sqref="E22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资产负债表</vt:lpstr>
      <vt:lpstr>利润表</vt:lpstr>
      <vt:lpstr>现金流量表</vt:lpstr>
      <vt:lpstr>财务报表摘要</vt:lpstr>
      <vt:lpstr>资产资本表</vt:lpstr>
      <vt:lpstr>股权价值增加表</vt:lpstr>
      <vt:lpstr>投资和筹资活动现金流表</vt:lpstr>
      <vt:lpstr>平均资本成本表</vt:lpstr>
      <vt:lpstr>资产资本结构分析表</vt:lpstr>
      <vt:lpstr>股权价值增加分析表</vt:lpstr>
      <vt:lpstr>股东权益回报率分析表</vt:lpstr>
      <vt:lpstr>自由现金流分析表</vt:lpstr>
      <vt:lpstr>根据DCF测算价值表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2018-12-10T09:14:42Z</dcterms:modified>
</cp:coreProperties>
</file>