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3A3A628C-6593-4063-88B2-87F7083A8644}"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B20" i="13" l="1"/>
  <c r="M31" i="12"/>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P13" i="12" s="1"/>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8" i="10" s="1"/>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Y13" i="12"/>
  <c r="BO13" i="12"/>
  <c r="CE13" i="12"/>
  <c r="AZ13" i="12"/>
  <c r="AC26" i="12"/>
  <c r="AC27" i="12" s="1"/>
  <c r="BA13" i="12"/>
  <c r="CK18" i="12"/>
  <c r="AE13" i="12"/>
  <c r="CA13" i="12"/>
  <c r="X13" i="12"/>
  <c r="CJ13" i="12"/>
  <c r="J13" i="12"/>
  <c r="R13" i="12"/>
  <c r="Z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A9" i="10" l="1"/>
  <c r="BE74" i="11"/>
  <c r="BE75" i="11" s="1"/>
  <c r="CB74" i="11"/>
  <c r="BJ9" i="10"/>
  <c r="AC8" i="10"/>
  <c r="AJ74" i="11"/>
  <c r="AJ75" i="11" s="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9" i="8" s="1"/>
  <c r="AL13" i="8" s="1"/>
  <c r="AL13" i="11"/>
  <c r="AP49" i="10"/>
  <c r="BY49" i="10"/>
  <c r="BJ50" i="10"/>
  <c r="V33" i="6"/>
  <c r="V34" i="6" s="1"/>
  <c r="BJ33" i="6"/>
  <c r="BJ34" i="6" s="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<sst xmlns="http://schemas.openxmlformats.org/spreadsheetml/2006/main" count="981" uniqueCount="751">
  <si>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</si>
  <si>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</si>
  <si>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</si>
  <si>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</si>
  <si>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</si>
  <si>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</si>
  <si>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</si>
  <si>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</si>
  <si>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</si>
  <si>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</si>
  <si>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</si>
  <si>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</si>
  <si>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</si>
  <si>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</si>
  <si>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</si>
  <si>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</si>
  <si>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</si>
  <si>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</si>
  <si>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</si>
  <si>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</si>
  <si>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</si>
  <si>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</si>
  <si>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</si>
  <si>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</si>
  <si>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</si>
  <si>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</si>
  <si>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</si>
  <si>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</si>
  <si>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</si>
  <si>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</si>
  <si>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</si>
  <si>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</si>
  <si>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</si>
  <si>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</si>
  <si>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</si>
  <si>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</si>
  <si>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</si>
  <si>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</si>
  <si>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</si>
  <si>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</si>
  <si>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</si>
  <si>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</si>
  <si>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</si>
  <si>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</si>
  <si>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</si>
  <si>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</si>
  <si>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</si>
  <si>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</si>
  <si>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</si>
  <si>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</si>
  <si>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</si>
  <si>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</si>
  <si>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</si>
  <si>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</si>
  <si>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</si>
  <si>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</si>
  <si>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</si>
  <si>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</si>
  <si>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</si>
  <si>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</si>
  <si>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</si>
  <si>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</si>
  <si>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</si>
  <si>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</si>
  <si>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</si>
  <si>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</si>
  <si>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</si>
  <si>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</si>
  <si>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</si>
  <si>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</si>
  <si>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</si>
  <si>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</si>
  <si>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</si>
  <si>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</si>
  <si>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</si>
  <si>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</si>
  <si>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</si>
  <si>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</si>
  <si>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</si>
  <si>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</si>
  <si>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</si>
  <si>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</si>
  <si>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</si>
  <si>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</si>
  <si>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</si>
  <si>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</si>
  <si>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</si>
  <si>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</si>
  <si>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</si>
  <si>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</si>
  <si>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</si>
  <si>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</si>
  <si>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</si>
  <si>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</si>
  <si>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</si>
  <si>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</si>
  <si>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</si>
  <si>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</si>
  <si>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</si>
  <si>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</si>
  <si>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</si>
  <si>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</si>
  <si>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</si>
  <si>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</si>
  <si>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</si>
  <si>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</si>
  <si>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</si>
  <si>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</si>
  <si>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</si>
  <si>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</si>
  <si>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</si>
  <si>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</si>
  <si>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</si>
  <si>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</si>
  <si>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</si>
  <si>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</si>
  <si>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</si>
  <si>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</si>
  <si>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</si>
  <si>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</si>
  <si>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</si>
  <si>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</si>
  <si>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</si>
  <si>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</si>
  <si>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</si>
  <si>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</si>
  <si>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</si>
  <si>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</si>
  <si>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</si>
  <si>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</si>
  <si>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</si>
  <si>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</si>
  <si>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</si>
  <si>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</si>
  <si>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</si>
  <si>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</si>
  <si>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</si>
  <si>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</si>
  <si>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</si>
  <si>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</si>
  <si>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</si>
  <si>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</si>
  <si>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</si>
  <si>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</si>
  <si>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</si>
  <si>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</si>
  <si>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</si>
  <si>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</si>
  <si>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</si>
  <si>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</si>
  <si>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</si>
  <si>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</si>
  <si>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</si>
  <si>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</si>
  <si>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</si>
  <si>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</si>
  <si>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</si>
  <si>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</si>
  <si>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</si>
  <si>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</si>
  <si>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</si>
  <si>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</si>
  <si>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</si>
  <si>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</si>
  <si>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</si>
  <si>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</si>
  <si>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</si>
  <si>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</si>
  <si>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</si>
  <si>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</si>
  <si>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</si>
  <si>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</si>
  <si>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</si>
  <si>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</si>
  <si>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</si>
  <si>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</si>
  <si>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</si>
  <si>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</si>
  <si>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</si>
  <si>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</si>
  <si>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</si>
  <si>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</si>
  <si>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</si>
  <si>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</si>
  <si>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</si>
  <si>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</si>
  <si>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</si>
  <si>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</si>
  <si>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</si>
  <si>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</si>
  <si>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</si>
  <si>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</si>
  <si>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</si>
  <si>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</si>
  <si>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</si>
  <si>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</si>
  <si>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</si>
  <si>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</si>
  <si>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</si>
  <si>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</si>
  <si>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</si>
  <si>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</si>
  <si>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</si>
  <si>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</si>
  <si>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</si>
  <si>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</si>
  <si>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</si>
  <si>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</si>
  <si>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</si>
  <si>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</si>
  <si>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</si>
  <si>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</si>
  <si>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</si>
  <si>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</si>
  <si>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</si>
  <si>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</si>
  <si>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</si>
  <si>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</si>
  <si>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</si>
  <si>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</si>
  <si>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</si>
  <si>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</si>
  <si>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</si>
  <si>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</si>
  <si>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</si>
  <si>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</si>
  <si>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</si>
  <si>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</si>
  <si>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</si>
  <si>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</si>
  <si>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</si>
  <si>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</si>
  <si>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</si>
  <si>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</si>
  <si>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</si>
  <si>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</si>
  <si>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</si>
  <si>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</si>
  <si>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</si>
  <si>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</si>
  <si>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</si>
  <si>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</si>
  <si>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</si>
  <si>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</si>
  <si>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</si>
  <si>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</si>
  <si>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</si>
  <si>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</si>
  <si>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</si>
  <si>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</si>
  <si>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</si>
  <si>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</si>
  <si>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</si>
  <si>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</si>
  <si>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</si>
  <si>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</si>
  <si>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</si>
  <si>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</si>
  <si>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</si>
  <si>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</si>
  <si>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</si>
  <si>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</si>
  <si>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</si>
  <si>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</si>
  <si>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</si>
  <si>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</si>
  <si>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</si>
  <si>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</si>
  <si>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</si>
  <si>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</si>
  <si>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</si>
  <si>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</si>
  <si>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</si>
  <si>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</si>
  <si>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</si>
  <si>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</si>
  <si>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</si>
  <si>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</si>
  <si>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</si>
  <si>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</si>
  <si>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</si>
  <si>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</si>
  <si>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</si>
  <si>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</si>
  <si>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</si>
  <si>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</si>
  <si>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</si>
  <si>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</si>
  <si>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</si>
  <si>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</si>
  <si>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</si>
  <si>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</si>
  <si>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</si>
  <si>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</si>
  <si>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</si>
  <si>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</si>
  <si>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</si>
  <si>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</si>
  <si>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</si>
  <si>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</si>
  <si>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</si>
  <si>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</si>
  <si>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</si>
  <si>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</si>
  <si>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</si>
  <si>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</si>
  <si>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</si>
  <si>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</si>
  <si>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</si>
  <si>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</si>
  <si>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</si>
  <si>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</si>
  <si>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</si>
  <si>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</si>
  <si>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</si>
  <si>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</si>
  <si>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</si>
  <si>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</si>
  <si>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</si>
  <si>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</si>
  <si>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</si>
  <si>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</si>
  <si>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</si>
  <si>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</si>
  <si>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</si>
  <si>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</si>
  <si>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</si>
  <si>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</si>
  <si>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</si>
  <si>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</si>
  <si>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</si>
  <si>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</si>
  <si>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</si>
  <si>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</si>
  <si>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</si>
  <si>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</si>
  <si>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</si>
  <si>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</si>
  <si>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</si>
  <si>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</si>
  <si>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</si>
  <si>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</si>
  <si>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</si>
  <si>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</si>
  <si>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</si>
  <si>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</si>
  <si>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</si>
  <si>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</si>
  <si>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</si>
  <si>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</si>
  <si>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</si>
  <si>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</si>
  <si>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</si>
  <si>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</si>
  <si>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</si>
  <si>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</si>
  <si>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</si>
  <si>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</si>
  <si>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</si>
  <si>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</si>
  <si>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</si>
  <si>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</si>
  <si>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</si>
  <si>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</si>
  <si>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</si>
  <si>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</si>
  <si>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</si>
  <si>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</si>
  <si>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</si>
  <si>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</si>
  <si>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</si>
  <si>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</si>
  <si>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</si>
  <si>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</si>
  <si>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</si>
  <si>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</si>
  <si>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</si>
  <si>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</si>
  <si>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</si>
  <si>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</si>
  <si>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</si>
  <si>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</si>
  <si>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</si>
  <si>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</si>
  <si>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</si>
  <si>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</si>
  <si>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</si>
  <si>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</si>
  <si>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</si>
  <si>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</si>
  <si>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</si>
  <si>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</si>
  <si>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</si>
  <si>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</si>
  <si>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</si>
  <si>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</si>
  <si>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</si>
  <si>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</si>
  <si>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</si>
  <si>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</si>
  <si>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</si>
  <si>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</si>
  <si>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</si>
  <si>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</si>
  <si>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</si>
  <si>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</si>
  <si>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</si>
  <si>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</si>
  <si>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</si>
  <si>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</si>
  <si>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</si>
  <si>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</si>
  <si>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</si>
  <si>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</si>
  <si>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</si>
  <si>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</si>
  <si>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</si>
  <si>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</si>
  <si>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</si>
  <si>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</si>
  <si>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</si>
  <si>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</si>
  <si>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</si>
  <si>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</si>
  <si>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</si>
  <si>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</si>
  <si>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</si>
  <si>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</si>
  <si>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</si>
  <si>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</si>
  <si>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</si>
  <si>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</si>
  <si>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</si>
  <si>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</si>
  <si>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</si>
  <si>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</si>
  <si>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</si>
  <si>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</si>
  <si>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</si>
  <si>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</si>
  <si>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</si>
  <si>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</si>
  <si>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</si>
  <si>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</si>
  <si>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</si>
  <si>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</si>
  <si>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</si>
  <si>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</si>
  <si>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</si>
  <si>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</si>
  <si>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</si>
  <si>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</si>
  <si>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</si>
  <si>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</si>
  <si>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</si>
  <si>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</si>
  <si>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</si>
  <si>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</si>
  <si>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</si>
  <si>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</si>
  <si>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</si>
  <si>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</si>
  <si>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</si>
  <si>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</si>
  <si>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</si>
  <si>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</si>
  <si>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</si>
  <si>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</si>
  <si>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</si>
  <si>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</si>
  <si>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</si>
  <si>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</si>
  <si>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</si>
  <si>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</si>
  <si>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</si>
  <si>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</si>
  <si>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</si>
  <si>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</si>
  <si>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</si>
  <si>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</si>
  <si>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</si>
  <si>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</si>
  <si>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</si>
  <si>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</si>
  <si>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</si>
  <si>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</si>
  <si>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</si>
  <si>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</si>
  <si>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</si>
  <si>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</si>
  <si>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</si>
  <si>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</si>
  <si>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</si>
  <si>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</si>
  <si>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</si>
  <si>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</si>
  <si>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</si>
  <si>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</si>
  <si>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</si>
  <si>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</si>
  <si>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</si>
  <si>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</si>
  <si>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</si>
  <si>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</si>
  <si>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</si>
  <si>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</si>
  <si>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</si>
  <si>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</si>
  <si>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</si>
  <si>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</si>
  <si>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</si>
  <si>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</si>
  <si>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</si>
  <si>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</si>
  <si>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</si>
  <si>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</si>
  <si>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</si>
  <si>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</si>
  <si>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</si>
  <si>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</si>
  <si>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</si>
  <si>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</si>
  <si>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</si>
  <si>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</si>
  <si>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</si>
  <si>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</si>
  <si>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</si>
  <si>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</si>
  <si>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</si>
  <si>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</si>
  <si>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</si>
  <si>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</si>
  <si>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</si>
  <si>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</si>
  <si>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</si>
  <si>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</si>
  <si>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</si>
  <si>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</si>
  <si>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</si>
  <si>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</si>
  <si>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</si>
  <si>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</si>
  <si>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</si>
  <si>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</si>
  <si>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</si>
  <si>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</si>
  <si>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</si>
  <si>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</si>
  <si>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</si>
  <si>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</si>
  <si>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</si>
  <si>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</si>
  <si>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</si>
  <si>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</si>
  <si>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</si>
  <si>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</si>
  <si>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</si>
  <si>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</si>
  <si>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</si>
  <si>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</si>
  <si>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</si>
  <si>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</si>
  <si>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</si>
  <si>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</si>
  <si>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</si>
  <si>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</si>
  <si>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</si>
  <si>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</si>
  <si>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</si>
  <si>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</si>
  <si>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</si>
  <si>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</si>
  <si>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</si>
  <si>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</si>
  <si>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</si>
  <si>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</si>
  <si>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</si>
  <si>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</si>
  <si>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</si>
  <si>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</si>
  <si>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</si>
  <si>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</si>
  <si>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</si>
  <si>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</si>
  <si>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</si>
  <si>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</si>
  <si>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</si>
  <si>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</si>
  <si>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</si>
  <si>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</si>
  <si>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</si>
  <si>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</si>
  <si>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</si>
  <si>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</si>
  <si>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</si>
  <si>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</si>
  <si>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</si>
  <si>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</si>
  <si>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</si>
  <si>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</si>
  <si>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</si>
  <si>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</si>
  <si>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</si>
  <si>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</si>
  <si>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</si>
  <si>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</si>
  <si>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</si>
  <si>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</si>
  <si>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</si>
  <si>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</si>
  <si>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</si>
  <si>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</si>
  <si>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</si>
  <si>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</si>
  <si>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</si>
  <si>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</si>
  <si>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</si>
  <si>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</si>
  <si>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</si>
  <si>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</si>
  <si>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</si>
  <si>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</si>
  <si>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</si>
  <si>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</si>
  <si>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</si>
  <si>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</si>
  <si>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</si>
  <si>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</si>
  <si>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</si>
  <si>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</si>
  <si>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</si>
  <si>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</si>
  <si>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</si>
  <si>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</si>
  <si>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</si>
  <si>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</si>
  <si>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</si>
  <si>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</si>
  <si>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</si>
  <si>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</si>
  <si>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</si>
  <si>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</si>
  <si>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</si>
  <si>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</si>
  <si>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</si>
  <si>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</si>
  <si>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</si>
  <si>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</si>
  <si>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</si>
  <si>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</si>
  <si>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</si>
  <si>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</si>
  <si>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</si>
  <si>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</si>
  <si>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</si>
  <si>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</si>
  <si>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</si>
  <si>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</si>
  <si>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</si>
  <si>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</si>
  <si>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</si>
  <si>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</si>
  <si>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</si>
  <si>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</si>
  <si>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</si>
  <si>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</si>
  <si>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</si>
  <si>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</si>
  <si>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</si>
  <si>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</si>
  <si>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</si>
  <si>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</si>
  <si>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</si>
  <si>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</si>
  <si>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</si>
  <si>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</si>
  <si>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</si>
  <si>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</si>
  <si>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</si>
  <si>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</si>
  <si>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</si>
  <si>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</si>
  <si>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</si>
  <si>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</si>
  <si>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</si>
  <si>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</si>
  <si>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</si>
  <si>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</si>
  <si>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</si>
  <si>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</si>
  <si>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</si>
  <si>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</si>
  <si>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</si>
  <si>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</si>
  <si>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</si>
  <si>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</si>
  <si>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</si>
  <si>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</si>
  <si>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</si>
  <si>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</si>
  <si>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</si>
  <si>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</si>
  <si>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</si>
  <si>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</si>
  <si>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</si>
  <si>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</si>
  <si>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</si>
  <si>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</si>
  <si>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</si>
  <si>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</si>
  <si>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</si>
  <si>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</si>
  <si>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</si>
  <si>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</si>
  <si>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</si>
  <si>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</si>
  <si>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</si>
  <si>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</si>
  <si>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</si>
  <si>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</si>
  <si>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</si>
  <si>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</si>
  <si>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</si>
  <si>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</si>
  <si>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</si>
  <si>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</si>
  <si>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</si>
  <si>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</si>
  <si>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</si>
  <si>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</si>
  <si>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</si>
  <si>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</si>
  <si>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</si>
  <si>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</si>
  <si>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</si>
  <si>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</si>
  <si>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</si>
  <si>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</si>
  <si>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</si>
  <si>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</si>
  <si>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</si>
  <si>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</si>
  <si>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</si>
  <si>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</si>
  <si>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</si>
  <si>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</si>
  <si>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</si>
  <si>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</si>
  <si>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10年</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</si>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</sst>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4" fontId="0" fillId="0" borderId="17" xfId="0" applyNumberForma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0.10385775292734321</c:v>
                </c:pt>
                <c:pt idx="1">
                  <c:v>0.11438622146893813</c:v>
                </c:pt>
                <c:pt idx="2">
                  <c:v>0.1078016473202756</c:v>
                </c:pt>
                <c:pt idx="3">
                  <c:v>9.4873777588168354E-2</c:v>
                </c:pt>
                <c:pt idx="4">
                  <c:v>8.5550313203546488E-2</c:v>
                </c:pt>
                <c:pt idx="5">
                  <c:v>8.4276409808070163E-2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8.5566949126422057E-2</c:v>
                </c:pt>
                <c:pt idx="1">
                  <c:v>9.5021816839843079E-2</c:v>
                </c:pt>
                <c:pt idx="2">
                  <c:v>9.0921555778207291E-2</c:v>
                </c:pt>
                <c:pt idx="3">
                  <c:v>7.9911729953908661E-2</c:v>
                </c:pt>
                <c:pt idx="4">
                  <c:v>7.2905033312740425E-2</c:v>
                </c:pt>
                <c:pt idx="5">
                  <c:v>7.3018588591370476E-2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0.10328588613247899</c:v>
                </c:pt>
                <c:pt idx="1">
                  <c:v>0.11533267066676176</c:v>
                </c:pt>
                <c:pt idx="2">
                  <c:v>0.10890411817507045</c:v>
                </c:pt>
                <c:pt idx="3">
                  <c:v>9.499763161425552E-2</c:v>
                </c:pt>
                <c:pt idx="4">
                  <c:v>8.6956479211365456E-2</c:v>
                </c:pt>
                <c:pt idx="5">
                  <c:v>8.4796669578383624E-2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8.5151146548061135E-2</c:v>
                </c:pt>
                <c:pt idx="1">
                  <c:v>9.5787049326880633E-2</c:v>
                </c:pt>
                <c:pt idx="2">
                  <c:v>9.1747230183839193E-2</c:v>
                </c:pt>
                <c:pt idx="3">
                  <c:v>7.9985877360710583E-2</c:v>
                </c:pt>
                <c:pt idx="4">
                  <c:v>7.4107501602719672E-2</c:v>
                </c:pt>
                <c:pt idx="5">
                  <c:v>7.3473999792492528E-2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1565127951.0999999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1367467695.8299999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1173682410.74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908074671.10000002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748663119.40999997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592867259.29999995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792189716.84959924</c:v>
                </c:pt>
                <c:pt idx="1">
                  <c:v>779720506.35040152</c:v>
                </c:pt>
                <c:pt idx="2">
                  <c:v>600155085.13359916</c:v>
                </c:pt>
                <c:pt idx="3">
                  <c:v>420331556.11879992</c:v>
                </c:pt>
                <c:pt idx="4">
                  <c:v>322628814.37919962</c:v>
                </c:pt>
                <c:pt idx="5">
                  <c:v>234629790.73960048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5198489786.6300001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4558239662.8699999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5009730562.0799999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4278816315.1399999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3732910884.5100002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3394580309.3800001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1,351,107,032.64 </c:v>
                </c:pt>
                <c:pt idx="5">
                  <c:v>1,385,773,227.37 </c:v>
                </c:pt>
                <c:pt idx="6">
                  <c:v>1,390,657,825.14 </c:v>
                </c:pt>
                <c:pt idx="7">
                  <c:v>1,395,882,247.43 </c:v>
                </c:pt>
                <c:pt idx="8">
                  <c:v>1,344,054,483.56 </c:v>
                </c:pt>
                <c:pt idx="9">
                  <c:v>1,412,927,164.82 </c:v>
                </c:pt>
                <c:pt idx="10">
                  <c:v>1,417,669,937.52 </c:v>
                </c:pt>
                <c:pt idx="11">
                  <c:v>1,434,151,605.38 </c:v>
                </c:pt>
                <c:pt idx="12">
                  <c:v>1,370,138,447.80 </c:v>
                </c:pt>
                <c:pt idx="13">
                  <c:v>1,351,930,374.68 </c:v>
                </c:pt>
                <c:pt idx="14">
                  <c:v>1,319,760,689.67 </c:v>
                </c:pt>
                <c:pt idx="15">
                  <c:v>1,310,712,465.89 </c:v>
                </c:pt>
                <c:pt idx="16">
                  <c:v>1,302,204,461.46 </c:v>
                </c:pt>
                <c:pt idx="17">
                  <c:v>1,290,344,189.83 </c:v>
                </c:pt>
                <c:pt idx="18">
                  <c:v>1,265,595,384.27 </c:v>
                </c:pt>
                <c:pt idx="19">
                  <c:v>1,271,917,326.78 </c:v>
                </c:pt>
                <c:pt idx="20">
                  <c:v>1,272,867,448.57 </c:v>
                </c:pt>
              </c:strCache>
            </c:strRef>
          </c:tx>
          <c:invertIfNegative val="0"/>
          <c:cat>
            <c:numRef>
              <c:f>投资和筹资活动现金流表!$E$12</c:f>
              <c:numCache>
                <c:formatCode>#,##0.00_ </c:formatCode>
                <c:ptCount val="1"/>
                <c:pt idx="0">
                  <c:v>1351107032.6400001</c:v>
                </c:pt>
              </c:numCache>
            </c:numRef>
          </c:cat>
          <c:val>
            <c:numRef>
              <c:f>投资和筹资活动现金流表!$E$12:$U$12</c:f>
              <c:numCache>
                <c:formatCode>#,##0.00_ </c:formatCode>
                <c:ptCount val="5"/>
                <c:pt idx="0">
                  <c:v>1351107032.6400001</c:v>
                </c:pt>
                <c:pt idx="1">
                  <c:v>1344054483.5599999</c:v>
                </c:pt>
                <c:pt idx="2">
                  <c:v>1370138447.8</c:v>
                </c:pt>
                <c:pt idx="3">
                  <c:v>1302204461.46</c:v>
                </c:pt>
                <c:pt idx="4">
                  <c:v>1272867448.5699999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3.6303666552721825E-2</c:v>
                </c:pt>
                <c:pt idx="1">
                  <c:v>4.6392039580749975E-3</c:v>
                </c:pt>
                <c:pt idx="2">
                  <c:v>-2.8085665555760787E-2</c:v>
                </c:pt>
                <c:pt idx="3">
                  <c:v>1.5837261843564564E-2</c:v>
                </c:pt>
                <c:pt idx="4">
                  <c:v>5.271276037059412E-3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6.9078249572025463</c:v>
                </c:pt>
                <c:pt idx="1">
                  <c:v>10.420046166967023</c:v>
                </c:pt>
                <c:pt idx="2">
                  <c:v>15.412998613653956</c:v>
                </c:pt>
                <c:pt idx="3">
                  <c:v>6.9005138054819994</c:v>
                </c:pt>
                <c:pt idx="4">
                  <c:v>5.8655735224956969</c:v>
                </c:pt>
                <c:pt idx="5">
                  <c:v>9.2646223939610941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154691037.63</c:v>
                </c:pt>
                <c:pt idx="1">
                  <c:v>133299846.12</c:v>
                </c:pt>
                <c:pt idx="2">
                  <c:v>73515202.269999996</c:v>
                </c:pt>
                <c:pt idx="3">
                  <c:v>120743083.08</c:v>
                </c:pt>
                <c:pt idx="4">
                  <c:v>100244566.92</c:v>
                </c:pt>
                <c:pt idx="5">
                  <c:v>92538091.820000008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1866064.51</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1081469057.3900001</c:v>
                </c:pt>
                <c:pt idx="1">
                  <c:v>1388990550.6199999</c:v>
                </c:pt>
                <c:pt idx="2">
                  <c:v>1133089710.6700001</c:v>
                </c:pt>
                <c:pt idx="3">
                  <c:v>833189311.71000004</c:v>
                </c:pt>
                <c:pt idx="4">
                  <c:v>587991877.5</c:v>
                </c:pt>
                <c:pt idx="5">
                  <c:v>857330477.76999998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-510276516.56</c:v>
                </c:pt>
                <c:pt idx="1">
                  <c:v>-1591503970.4200001</c:v>
                </c:pt>
                <c:pt idx="2">
                  <c:v>-271090805.85000002</c:v>
                </c:pt>
                <c:pt idx="3">
                  <c:v>-234659145.56</c:v>
                </c:pt>
                <c:pt idx="4">
                  <c:v>-209506175.97</c:v>
                </c:pt>
                <c:pt idx="5">
                  <c:v>-173175600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-486454969</c:v>
                </c:pt>
                <c:pt idx="1">
                  <c:v>-353788792</c:v>
                </c:pt>
                <c:pt idx="2">
                  <c:v>-272136330.83999997</c:v>
                </c:pt>
                <c:pt idx="3">
                  <c:v>-234659145.56</c:v>
                </c:pt>
                <c:pt idx="4">
                  <c:v>-209506175.97</c:v>
                </c:pt>
                <c:pt idx="5">
                  <c:v>-173175600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c:v>
                </c:pt>
                <c:pt idx="1">
                  <c:v>0</c:v>
                </c:pt>
                <c:pt idx="2">
                  <c:v>0</c:v>
                </c:pt>
                <c:pt idx="3">
                  <c:v>0</c:v>
                </c:pt>
                <c:pt idx="4">
                  <c:v>0</c:v>
                </c:pt>
                <c:pt idx="5">
                  <c:v>49853624.299999997</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0.23171315035572734</c:v>
                </c:pt>
                <c:pt idx="1">
                  <c:v>0.25066418507212279</c:v>
                </c:pt>
                <c:pt idx="2">
                  <c:v>0.19967830261450722</c:v>
                </c:pt>
                <c:pt idx="3">
                  <c:v>0.17769504382617371</c:v>
                </c:pt>
                <c:pt idx="4">
                  <c:v>0.16476333673026394</c:v>
                </c:pt>
                <c:pt idx="5">
                  <c:v>0.14298170237049648</c:v>
                </c:pt>
                <c:pt idx="6">
                  <c:v>0.15762302954929078</c:v>
                </c:pt>
                <c:pt idx="7">
                  <c:v>0.15340332617674898</c:v>
                </c:pt>
                <c:pt idx="8">
                  <c:v>0.14774715277147074</c:v>
                </c:pt>
                <c:pt idx="9">
                  <c:v>0.13838608375026584</c:v>
                </c:pt>
                <c:pt idx="10">
                  <c:v>0.1185991333296027</c:v>
                </c:pt>
                <c:pt idx="11">
                  <c:v>0.10839276716261426</c:v>
                </c:pt>
                <c:pt idx="12">
                  <c:v>8.7487433455474065E-2</c:v>
                </c:pt>
                <c:pt idx="13">
                  <c:v>5.6476157826657915E-2</c:v>
                </c:pt>
                <c:pt idx="14">
                  <c:v>2.6694577943206978E-2</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0.29811294480595069</c:v>
                </c:pt>
                <c:pt idx="1">
                  <c:v>0.1131192076038178</c:v>
                </c:pt>
                <c:pt idx="2">
                  <c:v>-5.9406421443391436E-2</c:v>
                </c:pt>
                <c:pt idx="3">
                  <c:v>8.8288256840401341E-2</c:v>
                </c:pt>
                <c:pt idx="4">
                  <c:v>0.26121349087548029</c:v>
                </c:pt>
                <c:pt idx="5">
                  <c:v>0.94069704153825151</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7.3317501349450406E-2</c:v>
                </c:pt>
                <c:pt idx="1">
                  <c:v>4.9662630695750727E-2</c:v>
                </c:pt>
                <c:pt idx="2">
                  <c:v>5.8745532969027008E-2</c:v>
                </c:pt>
                <c:pt idx="3">
                  <c:v>8.9572611698230956E-2</c:v>
                </c:pt>
                <c:pt idx="4">
                  <c:v>7.5659778757383098E-2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3.9235293695181979E-2</c:v>
                </c:pt>
                <c:pt idx="1">
                  <c:v>-0.27522195490777457</c:v>
                </c:pt>
                <c:pt idx="2">
                  <c:v>0.60461676593145697</c:v>
                </c:pt>
                <c:pt idx="3">
                  <c:v>0.33989411103924871</c:v>
                </c:pt>
                <c:pt idx="4">
                  <c:v>3.1597898388941503E-2</c:v>
                </c:pt>
                <c:pt idx="5">
                  <c:v>-0.22627413866522539</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0.15011994472718679</c:v>
                </c:pt>
                <c:pt idx="1">
                  <c:v>6.2428718414499304E-2</c:v>
                </c:pt>
                <c:pt idx="2">
                  <c:v>0.236001201848376</c:v>
                </c:pt>
                <c:pt idx="3">
                  <c:v>0.23267774951460354</c:v>
                </c:pt>
                <c:pt idx="4">
                  <c:v>0.17738517461275938</c:v>
                </c:pt>
                <c:pt idx="5">
                  <c:v>-1.0176053769962119E-2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0.20462606368377714</c:v>
                </c:pt>
                <c:pt idx="1">
                  <c:v>0.37798884200535865</c:v>
                </c:pt>
                <c:pt idx="2">
                  <c:v>1.7542479611505644E-2</c:v>
                </c:pt>
                <c:pt idx="3">
                  <c:v>0.17686751070006021</c:v>
                </c:pt>
                <c:pt idx="4">
                  <c:v>0.27087511086438631</c:v>
                </c:pt>
                <c:pt idx="5">
                  <c:v>0.20578711145827838</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7.8801489330802291E-2</c:v>
                </c:pt>
                <c:pt idx="1">
                  <c:v>-5.1886388567538833E-4</c:v>
                </c:pt>
                <c:pt idx="2">
                  <c:v>-2.2287600715101802E-2</c:v>
                </c:pt>
                <c:pt idx="3">
                  <c:v>5.0607363148766668E-2</c:v>
                </c:pt>
                <c:pt idx="4">
                  <c:v>2.1075210702905182E-2</c:v>
                </c:pt>
                <c:pt idx="5">
                  <c:v>8.415343087342932E-3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-1</c:v>
                </c:pt>
                <c:pt idx="4">
                  <c:v>-0.91217977201252531</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0.40032603003421124</c:v>
                </c:pt>
                <c:pt idx="1">
                  <c:v>0.35217986293622178</c:v>
                </c:pt>
                <c:pt idx="2">
                  <c:v>0.28815511480446243</c:v>
                </c:pt>
                <c:pt idx="3">
                  <c:v>0.35781307569922882</c:v>
                </c:pt>
                <c:pt idx="4">
                  <c:v>0.37651515759435755</c:v>
                </c:pt>
                <c:pt idx="5">
                  <c:v>0.32958039004321171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1.1091699564341985E-2</c:v>
                </c:pt>
                <c:pt idx="1">
                  <c:v>1.1801387145151162E-2</c:v>
                </c:pt>
                <c:pt idx="2">
                  <c:v>1.0239690054017475E-2</c:v>
                </c:pt>
                <c:pt idx="3">
                  <c:v>1.1296062951263057E-2</c:v>
                </c:pt>
                <c:pt idx="4">
                  <c:v>1.187247124481838E-2</c:v>
                </c:pt>
                <c:pt idx="5">
                  <c:v>1.2185229217216898E-2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0.26700741383973042</c:v>
                </c:pt>
                <c:pt idx="1">
                  <c:v>0.28264737345525998</c:v>
                </c:pt>
                <c:pt idx="2">
                  <c:v>0.25755728702567265</c:v>
                </c:pt>
                <c:pt idx="3">
                  <c:v>0.30767669562872596</c:v>
                </c:pt>
                <c:pt idx="4">
                  <c:v>0.33537011737244887</c:v>
                </c:pt>
                <c:pt idx="5">
                  <c:v>0.36260529082808379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2.2448921980857079</c:v>
                </c:pt>
                <c:pt idx="1">
                  <c:v>1.996628154948286</c:v>
                </c:pt>
                <c:pt idx="2">
                  <c:v>1.6489279862327055</c:v>
                </c:pt>
                <c:pt idx="3">
                  <c:v>2.1070463910555697</c:v>
                </c:pt>
                <c:pt idx="4">
                  <c:v>2.3629766279082043</c:v>
                </c:pt>
                <c:pt idx="5">
                  <c:v>2.1146987306511233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2087155717.8099997</c:v>
                </c:pt>
                <c:pt idx="1">
                  <c:v>1607838305.72</c:v>
                </c:pt>
                <c:pt idx="2">
                  <c:v>1444443950.5999999</c:v>
                </c:pt>
                <c:pt idx="3">
                  <c:v>1535672774.6500001</c:v>
                </c:pt>
                <c:pt idx="4">
                  <c:v>1411090090.3299999</c:v>
                </c:pt>
                <c:pt idx="5">
                  <c:v>1118835233.3200002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1392080476.1199999</c:v>
                </c:pt>
                <c:pt idx="1">
                  <c:v>1290395397.01</c:v>
                </c:pt>
                <c:pt idx="2">
                  <c:v>1291065284.1599998</c:v>
                </c:pt>
                <c:pt idx="3">
                  <c:v>1320495971.1100001</c:v>
                </c:pt>
                <c:pt idx="4">
                  <c:v>1256888174.8099999</c:v>
                </c:pt>
                <c:pt idx="5">
                  <c:v>1230945734.1000001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2087155717.8100004</c:v>
                </c:pt>
                <c:pt idx="1">
                  <c:v>1607838305.72</c:v>
                </c:pt>
                <c:pt idx="2">
                  <c:v>1444443950.5999999</c:v>
                </c:pt>
                <c:pt idx="3">
                  <c:v>1535672774.6500001</c:v>
                </c:pt>
                <c:pt idx="4">
                  <c:v>1411077265.3300004</c:v>
                </c:pt>
                <c:pt idx="5">
                  <c:v>1118689196.3500006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-2087155717.8099997</c:v>
                </c:pt>
                <c:pt idx="1">
                  <c:v>-1607838305.72</c:v>
                </c:pt>
                <c:pt idx="2">
                  <c:v>-1444443950.5999999</c:v>
                </c:pt>
                <c:pt idx="3">
                  <c:v>-1535672774.6500001</c:v>
                </c:pt>
                <c:pt idx="4">
                  <c:v>-1411077265.3299999</c:v>
                </c:pt>
                <c:pt idx="5">
                  <c:v>-1118689196.3500001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0.70443321356018651</c:v>
                </c:pt>
                <c:pt idx="1">
                  <c:v>0.69472783799550208</c:v>
                </c:pt>
                <c:pt idx="2">
                  <c:v>0.71030509403295772</c:v>
                </c:pt>
                <c:pt idx="3">
                  <c:v>0.70970492836729082</c:v>
                </c:pt>
                <c:pt idx="4">
                  <c:v>0.71458523802331819</c:v>
                </c:pt>
                <c:pt idx="5">
                  <c:v>0.70888234981481102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6.6728022630954884E-3</c:v>
                </c:pt>
                <c:pt idx="1">
                  <c:v>7.5399524231536553E-3</c:v>
                </c:pt>
                <c:pt idx="2">
                  <c:v>6.3607607770562631E-3</c:v>
                </c:pt>
                <c:pt idx="3">
                  <c:v>5.8541399245803215E-3</c:v>
                </c:pt>
                <c:pt idx="4">
                  <c:v>6.3302884172208142E-3</c:v>
                </c:pt>
                <c:pt idx="5">
                  <c:v>7.0027150816297651E-3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0.15598957628472174</c:v>
                </c:pt>
                <c:pt idx="1">
                  <c:v>0.15834217634774675</c:v>
                </c:pt>
                <c:pt idx="2">
                  <c:v>0.14483152782673553</c:v>
                </c:pt>
                <c:pt idx="3">
                  <c:v>0.15533783508992022</c:v>
                </c:pt>
                <c:pt idx="4">
                  <c:v>0.15052158840345403</c:v>
                </c:pt>
                <c:pt idx="5">
                  <c:v>0.16061513028520799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2.9265106684131681E-2</c:v>
                </c:pt>
                <c:pt idx="1">
                  <c:v>3.2502063247627486E-2</c:v>
                </c:pt>
                <c:pt idx="2">
                  <c:v>3.3658246506205906E-2</c:v>
                </c:pt>
                <c:pt idx="3">
                  <c:v>3.4039911624765606E-2</c:v>
                </c:pt>
                <c:pt idx="4">
                  <c:v>3.3482981780599476E-2</c:v>
                </c:pt>
                <c:pt idx="5">
                  <c:v>3.6537090652917922E-2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3.5941394476164744E-3</c:v>
                </c:pt>
                <c:pt idx="1">
                  <c:v>4.0570020158037833E-3</c:v>
                </c:pt>
                <c:pt idx="2">
                  <c:v>5.4517436925089896E-3</c:v>
                </c:pt>
                <c:pt idx="3">
                  <c:v>5.2765986455058601E-3</c:v>
                </c:pt>
                <c:pt idx="4">
                  <c:v>7.0418062588304105E-3</c:v>
                </c:pt>
                <c:pt idx="5">
                  <c:v>4.3241936588532832E-3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3.725230828139219E-5</c:v>
                </c:pt>
                <c:pt idx="1">
                  <c:v>4.9526507765863691E-5</c:v>
                </c:pt>
                <c:pt idx="2">
                  <c:v>5.2653376737355361E-5</c:v>
                </c:pt>
                <c:pt idx="3">
                  <c:v>8.2294604230328446E-5</c:v>
                </c:pt>
                <c:pt idx="4">
                  <c:v>1.1419537919534938E-4</c:v>
                </c:pt>
                <c:pt idx="5">
                  <c:v>1.6602176595919849E-4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-6.6652257227617568E-4</c:v>
                </c:pt>
                <c:pt idx="1">
                  <c:v>4.3228357070226268E-3</c:v>
                </c:pt>
                <c:pt idx="2">
                  <c:v>2.6775998277210056E-3</c:v>
                </c:pt>
                <c:pt idx="3">
                  <c:v>2.8998484848575157E-4</c:v>
                </c:pt>
                <c:pt idx="4">
                  <c:v>-1.1040226323002428E-3</c:v>
                </c:pt>
                <c:pt idx="5">
                  <c:v>2.6603897605146968E-3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0.1948923544155706</c:v>
                </c:pt>
                <c:pt idx="1">
                  <c:v>0.20681355624912018</c:v>
                </c:pt>
                <c:pt idx="2">
                  <c:v>0.19303253200696507</c:v>
                </c:pt>
                <c:pt idx="3">
                  <c:v>0.20088076473748806</c:v>
                </c:pt>
                <c:pt idx="4">
                  <c:v>0.19638683760699982</c:v>
                </c:pt>
                <c:pt idx="5">
                  <c:v>0.21130554120508288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8.5151146548061135E-2</c:v>
                </c:pt>
                <c:pt idx="1">
                  <c:v>9.5787049326880633E-2</c:v>
                </c:pt>
                <c:pt idx="2">
                  <c:v>9.1747230183839193E-2</c:v>
                </c:pt>
                <c:pt idx="3">
                  <c:v>7.9985877360710583E-2</c:v>
                </c:pt>
                <c:pt idx="4">
                  <c:v>7.4107501602719672E-2</c:v>
                </c:pt>
                <c:pt idx="5">
                  <c:v>7.3473999792492528E-2</c:v>
                </c:pt>
                <c:pt idx="6">
                  <c:v>6.8446579328865262E-2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0.95651392486016695</c:v>
                </c:pt>
                <c:pt idx="1">
                  <c:v>0.93633897329590088</c:v>
                </c:pt>
                <c:pt idx="2">
                  <c:v>0.9463452196832205</c:v>
                </c:pt>
                <c:pt idx="3">
                  <c:v>0.94856849679627153</c:v>
                </c:pt>
                <c:pt idx="4">
                  <c:v>1.0148399912752437</c:v>
                </c:pt>
                <c:pt idx="5">
                  <c:v>1.0101627334982097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2.6697280336890235E-3</c:v>
                </c:pt>
                <c:pt idx="1">
                  <c:v>1.7190093034684889E-3</c:v>
                </c:pt>
                <c:pt idx="2">
                  <c:v>2.7982276816419078E-3</c:v>
                </c:pt>
                <c:pt idx="3">
                  <c:v>2.8902613549839874E-3</c:v>
                </c:pt>
                <c:pt idx="4">
                  <c:v>5.3852178306454824E-3</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4.0816347106143999E-2</c:v>
                </c:pt>
                <c:pt idx="1">
                  <c:v>6.1942017400630642E-2</c:v>
                </c:pt>
                <c:pt idx="2">
                  <c:v>5.0856552635137602E-2</c:v>
                </c:pt>
                <c:pt idx="3">
                  <c:v>4.8541241848744497E-2</c:v>
                </c:pt>
                <c:pt idx="4">
                  <c:v>-2.0225209105889125E-2</c:v>
                </c:pt>
                <c:pt idx="5">
                  <c:v>-1.0162733498209639E-2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5.5062504121794476E-3</c:v>
                </c:pt>
                <c:pt idx="1">
                  <c:v>-8.2741538768342782E-3</c:v>
                </c:pt>
                <c:pt idx="2">
                  <c:v>-1.0226846084452124E-2</c:v>
                </c:pt>
                <c:pt idx="3">
                  <c:v>-1.3054611003768812E-3</c:v>
                </c:pt>
                <c:pt idx="4">
                  <c:v>-1.6436713732109087E-2</c:v>
                </c:pt>
                <c:pt idx="5">
                  <c:v>-6.1732550247250995E-3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9994038739.0300007</c:v>
                </c:pt>
                <c:pt idx="1">
                  <c:v>8299999071.7799997</c:v>
                </c:pt>
                <c:pt idx="2">
                  <c:v>7749205984.6800003</c:v>
                </c:pt>
                <c:pt idx="3">
                  <c:v>6766783798.5900002</c:v>
                </c:pt>
                <c:pt idx="4">
                  <c:v>5990546429.8400002</c:v>
                </c:pt>
                <c:pt idx="5">
                  <c:v>4883816910.9799995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4193308686.7399998</c:v>
                </c:pt>
                <c:pt idx="1">
                  <c:v>3647124129.3400011</c:v>
                </c:pt>
                <c:pt idx="2">
                  <c:v>3160480641.2199993</c:v>
                </c:pt>
                <c:pt idx="3">
                  <c:v>2767860147.25</c:v>
                </c:pt>
                <c:pt idx="4">
                  <c:v>2392703196.7699995</c:v>
                </c:pt>
                <c:pt idx="5">
                  <c:v>2005643536.5200005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6.8024918182482033E-2</c:v>
                </c:pt>
                <c:pt idx="1">
                  <c:v>4.3601795607782622E-2</c:v>
                </c:pt>
                <c:pt idx="2">
                  <c:v>6.4114985607356983E-2</c:v>
                </c:pt>
                <c:pt idx="3">
                  <c:v>5.3928483428819909E-2</c:v>
                </c:pt>
                <c:pt idx="4">
                  <c:v>8.6800829086273651E-2</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6.0875320183965048E-2</c:v>
                </c:pt>
                <c:pt idx="1">
                  <c:v>9.2843179584393198E-2</c:v>
                </c:pt>
                <c:pt idx="2">
                  <c:v>4.8996654582678115E-2</c:v>
                </c:pt>
                <c:pt idx="3">
                  <c:v>5.8887807077275124E-2</c:v>
                </c:pt>
                <c:pt idx="4">
                  <c:v>-9.1883920808347053E-3</c:v>
                </c:pt>
                <c:pt idx="5">
                  <c:v>-4.5987806372201614E-3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8.4620989086547045</c:v>
                </c:pt>
                <c:pt idx="1">
                  <c:v>7.4054955094132637</c:v>
                </c:pt>
                <c:pt idx="2">
                  <c:v>4.9012638874872296</c:v>
                </c:pt>
                <c:pt idx="3">
                  <c:v>6.8733999485324597</c:v>
                </c:pt>
                <c:pt idx="4">
                  <c:v>8.097482390035843</c:v>
                </c:pt>
                <c:pt idx="5">
                  <c:v>6.8648851180079289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10.191470729704442</c:v>
                </c:pt>
                <c:pt idx="1">
                  <c:v>9.2584979989876821</c:v>
                </c:pt>
                <c:pt idx="2">
                  <c:v>8.4501432729624675</c:v>
                </c:pt>
                <c:pt idx="3">
                  <c:v>7.2205021101467217</c:v>
                </c:pt>
                <c:pt idx="4">
                  <c:v>6.6698452532400276</c:v>
                </c:pt>
                <c:pt idx="5">
                  <c:v>5.5968839703053153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6.797455170549723</c:v>
                </c:pt>
                <c:pt idx="1">
                  <c:v>7.4305501732464352</c:v>
                </c:pt>
                <c:pt idx="2">
                  <c:v>7.552862554042532</c:v>
                </c:pt>
                <c:pt idx="3">
                  <c:v>6.2087731860800037</c:v>
                </c:pt>
                <c:pt idx="4">
                  <c:v>5.9409740625770242</c:v>
                </c:pt>
                <c:pt idx="5">
                  <c:v>6.1577078039063977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245.33645425358472</c:v>
                </c:pt>
                <c:pt idx="1">
                  <c:v>221.74428390224031</c:v>
                </c:pt>
                <c:pt idx="2">
                  <c:v>212.54510291632866</c:v>
                </c:pt>
                <c:pt idx="3">
                  <c:v>196.66854191723345</c:v>
                </c:pt>
                <c:pt idx="4">
                  <c:v>188.40785033793509</c:v>
                </c:pt>
                <c:pt idx="5">
                  <c:v>166.55080537312429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9.7548214199594323</c:v>
                </c:pt>
                <c:pt idx="1">
                  <c:v>8.8424698506497155</c:v>
                </c:pt>
                <c:pt idx="2">
                  <c:v>8.116997308772401</c:v>
                </c:pt>
                <c:pt idx="3">
                  <c:v>6.958890877888698</c:v>
                </c:pt>
                <c:pt idx="4">
                  <c:v>6.437736833746448</c:v>
                </c:pt>
                <c:pt idx="5">
                  <c:v>12.986669567625507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17.109729381546948</c:v>
                </c:pt>
                <c:pt idx="1">
                  <c:v>13.497597670025339</c:v>
                </c:pt>
                <c:pt idx="2">
                  <c:v>11.854407394909197</c:v>
                </c:pt>
                <c:pt idx="3">
                  <c:v>9.9714707852945619</c:v>
                </c:pt>
                <c:pt idx="4">
                  <c:v>9.3795824428387071</c:v>
                </c:pt>
                <c:pt idx="5">
                  <c:v>7.7998553686348986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604.63714734600762</c:v>
                </c:pt>
                <c:pt idx="1">
                  <c:v>1995.6128408496265</c:v>
                </c:pt>
                <c:pt idx="2">
                  <c:v>483.40687316902921</c:v>
                </c:pt>
                <c:pt idx="3">
                  <c:v>382.4792333745873</c:v>
                </c:pt>
                <c:pt idx="4">
                  <c:v>135.64363374381892</c:v>
                </c:pt>
                <c:pt idx="5">
                  <c:v>97.928914875836057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42.400577830027736</c:v>
                </c:pt>
                <c:pt idx="1">
                  <c:v>46.724486664805532</c:v>
                </c:pt>
                <c:pt idx="2">
                  <c:v>49.428822420804323</c:v>
                </c:pt>
                <c:pt idx="3">
                  <c:v>42.265313311672585</c:v>
                </c:pt>
                <c:pt idx="4">
                  <c:v>36.26208895015538</c:v>
                </c:pt>
                <c:pt idx="5">
                  <c:v>29.352288874803779</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13.56754626053683</c:v>
                </c:pt>
                <c:pt idx="1">
                  <c:v>9.4708783786809043</c:v>
                </c:pt>
                <c:pt idx="2">
                  <c:v>8.9648243531624647</c:v>
                </c:pt>
                <c:pt idx="3">
                  <c:v>8.9273075352039069</c:v>
                </c:pt>
                <c:pt idx="4">
                  <c:v>8.2323702585398895</c:v>
                </c:pt>
                <c:pt idx="5">
                  <c:v>6.0751302544403396</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5.147809394948113</c:v>
                </c:pt>
                <c:pt idx="1">
                  <c:v>5.3142484228766458</c:v>
                </c:pt>
                <c:pt idx="2">
                  <c:v>5.1743809591893823</c:v>
                </c:pt>
                <c:pt idx="3">
                  <c:v>4.6766591067356007</c:v>
                </c:pt>
                <c:pt idx="4">
                  <c:v>4.994726806404608</c:v>
                </c:pt>
                <c:pt idx="5">
                  <c:v>4.643151292591539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5.1446564230216483</c:v>
                </c:pt>
                <c:pt idx="1">
                  <c:v>4.8317550127273954</c:v>
                </c:pt>
                <c:pt idx="2">
                  <c:v>5.2484909880353321</c:v>
                </c:pt>
                <c:pt idx="3">
                  <c:v>5.4556165591889787</c:v>
                </c:pt>
                <c:pt idx="4">
                  <c:v>6.1274426635764669</c:v>
                </c:pt>
                <c:pt idx="5">
                  <c:v>5.7795119740776073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0.45928601829298143</c:v>
                </c:pt>
                <c:pt idx="1">
                  <c:v>0.44067903199215308</c:v>
                </c:pt>
                <c:pt idx="2">
                  <c:v>0.31646093596882602</c:v>
                </c:pt>
                <c:pt idx="3">
                  <c:v>0.3169003039058515</c:v>
                </c:pt>
                <c:pt idx="4">
                  <c:v>0.31752873722462399</c:v>
                </c:pt>
                <c:pt idx="5">
                  <c:v>0.26248062210062234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9.9341386879690546E-2</c:v>
                </c:pt>
                <c:pt idx="1">
                  <c:v>0.10710427716942306</c:v>
                </c:pt>
                <c:pt idx="2">
                  <c:v>0.10201757361551927</c:v>
                </c:pt>
                <c:pt idx="3">
                  <c:v>8.999427659219264E-2</c:v>
                </c:pt>
                <c:pt idx="4">
                  <c:v>8.6819879105081488E-2</c:v>
                </c:pt>
                <c:pt idx="5">
                  <c:v>8.5132888501135484E-2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1409390769.4199994</c:v>
                </c:pt>
                <c:pt idx="1">
                  <c:v>1279587994.7100015</c:v>
                </c:pt>
                <c:pt idx="2">
                  <c:v>1112979758.4799993</c:v>
                </c:pt>
                <c:pt idx="3">
                  <c:v>858063384.47000003</c:v>
                </c:pt>
                <c:pt idx="4">
                  <c:v>727832719.08999968</c:v>
                </c:pt>
                <c:pt idx="5">
                  <c:v>586519668.11000049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3933753.55</c:v>
                </c:pt>
                <c:pt idx="1">
                  <c:v>2349174.5299999998</c:v>
                </c:pt>
                <c:pt idx="2">
                  <c:v>3290945.74</c:v>
                </c:pt>
                <c:pt idx="3">
                  <c:v>2614494.84</c:v>
                </c:pt>
                <c:pt idx="4">
                  <c:v>3862222.39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0.97266268959435354</c:v>
                </c:pt>
                <c:pt idx="1">
                  <c:v>0.94497093883460381</c:v>
                </c:pt>
                <c:pt idx="2">
                  <c:v>0.94049324795830769</c:v>
                </c:pt>
                <c:pt idx="3">
                  <c:v>0.94041940486845677</c:v>
                </c:pt>
                <c:pt idx="4">
                  <c:v>0.9515553793548418</c:v>
                </c:pt>
                <c:pt idx="5">
                  <c:v>0.97881928102123039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0.92115892556162882</c:v>
                </c:pt>
                <c:pt idx="1">
                  <c:v>0.83249988543516196</c:v>
                </c:pt>
                <c:pt idx="2">
                  <c:v>0.81604318265471687</c:v>
                </c:pt>
                <c:pt idx="3">
                  <c:v>0.84585646204773368</c:v>
                </c:pt>
                <c:pt idx="4">
                  <c:v>0.88123210814508735</c:v>
                </c:pt>
                <c:pt idx="5">
                  <c:v>0.83034332134533961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0.93075023609104335</c:v>
                </c:pt>
                <c:pt idx="1">
                  <c:v>1.3069972925040276</c:v>
                </c:pt>
                <c:pt idx="2">
                  <c:v>1.2084491225295775</c:v>
                </c:pt>
                <c:pt idx="3">
                  <c:v>1.1532508548235567</c:v>
                </c:pt>
                <c:pt idx="4">
                  <c:v>0.94793711327627117</c:v>
                </c:pt>
                <c:pt idx="5">
                  <c:v>1.6869833476952252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0.89520478309386642</c:v>
                </c:pt>
                <c:pt idx="1">
                  <c:v>1.2137497507580026</c:v>
                </c:pt>
                <c:pt idx="2">
                  <c:v>1.1320329238613853</c:v>
                </c:pt>
                <c:pt idx="3">
                  <c:v>1.0925111989170839</c:v>
                </c:pt>
                <c:pt idx="4">
                  <c:v>0.94644799697811344</c:v>
                </c:pt>
                <c:pt idx="5">
                  <c:v>1.6936722392128114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-0.23897231259043983</c:v>
                </c:pt>
                <c:pt idx="1">
                  <c:v>0.26189246593999149</c:v>
                </c:pt>
                <c:pt idx="2">
                  <c:v>0.40842715057571</c:v>
                </c:pt>
                <c:pt idx="3">
                  <c:v>0.5680337351121304</c:v>
                </c:pt>
                <c:pt idx="4">
                  <c:v>-0.40668149925278668</c:v>
                </c:pt>
                <c:pt idx="5">
                  <c:v>6.0334718122550663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1081469057.3900001</c:v>
                </c:pt>
                <c:pt idx="1">
                  <c:v>1388990550.6199999</c:v>
                </c:pt>
                <c:pt idx="2">
                  <c:v>1133089710.6700001</c:v>
                </c:pt>
                <c:pt idx="3">
                  <c:v>833189311.71000004</c:v>
                </c:pt>
                <c:pt idx="4">
                  <c:v>587991877.5</c:v>
                </c:pt>
                <c:pt idx="5">
                  <c:v>857330477.76999998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1161932616.7801411</c:v>
                </c:pt>
                <c:pt idx="1">
                  <c:v>1062734068.8356625</c:v>
                </c:pt>
                <c:pt idx="2">
                  <c:v>937639565.90755606</c:v>
                </c:pt>
                <c:pt idx="3">
                  <c:v>722470144.48341775</c:v>
                </c:pt>
                <c:pt idx="4">
                  <c:v>620285743.92216349</c:v>
                </c:pt>
                <c:pt idx="5">
                  <c:v>508203284.2477634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K85"/>
  <sheetViews>
    <sheetView workbookViewId="0">
      <selection activeCell="Y25" sqref="Y25"/>
    </sheetView>
  </sheetViews>
  <sheetFormatPr defaultRowHeight="14.4" x14ac:dyDescent="0.25"/>
  <cols>
    <col min="1" max="1" width="35.886718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2" width="12.77734375" style="188" bestFit="1" customWidth="1"/>
    <col min="63" max="63" width="9.5546875" style="188" hidden="1" customWidth="1"/>
    <col min="64" max="16384" width="8.88671875" style="188"/>
  </cols>
  <sheetData>
    <row r="1" spans="1:63"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row>
    <row r="2" spans="1:6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row>
    <row r="3" spans="1:63" x14ac:dyDescent="0.25">
      <c r="A3" s="188" t="s">
        <v>107</v>
      </c>
    </row>
    <row r="4" spans="1:63" x14ac:dyDescent="0.25">
      <c r="A4" s="188" t="s">
        <v>108</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row>
    <row r="5" spans="1:63" x14ac:dyDescent="0.25">
      <c r="A5" s="188" t="s">
        <v>109</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row>
    <row r="6" spans="1:6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row>
    <row r="7" spans="1:63" x14ac:dyDescent="0.25">
      <c r="A7" s="188" t="s">
        <v>111</v>
      </c>
      <c r="B7" s="188">
        <v>867232899.96000004</v>
      </c>
      <c r="C7" s="188">
        <v>678812943.86000001</v>
      </c>
      <c r="D7" s="188">
        <v>798021894.80999994</v>
      </c>
      <c r="E7" s="188">
        <v>678723166.23000002</v>
      </c>
      <c r="F7" s="188">
        <v>808990744.72000003</v>
      </c>
      <c r="G7" s="188">
        <v>701777141.89999998</v>
      </c>
      <c r="H7" s="188">
        <v>960682620.84000003</v>
      </c>
      <c r="I7" s="188">
        <v>843520455.60000002</v>
      </c>
      <c r="J7" s="188">
        <v>901753366.25</v>
      </c>
      <c r="K7" s="188">
        <v>956676846.01999998</v>
      </c>
      <c r="L7" s="188">
        <v>821772834.14999998</v>
      </c>
      <c r="M7" s="188">
        <v>604773313.11000001</v>
      </c>
      <c r="N7" s="188">
        <v>631241194.11000001</v>
      </c>
      <c r="O7" s="188">
        <v>708261921.30999994</v>
      </c>
      <c r="P7" s="188">
        <v>661472259.64999998</v>
      </c>
      <c r="Q7" s="188">
        <v>486320125.68000001</v>
      </c>
      <c r="R7" s="188">
        <v>682514551.63999999</v>
      </c>
      <c r="S7" s="188">
        <v>914518950</v>
      </c>
      <c r="T7" s="188">
        <v>852149556.66999996</v>
      </c>
      <c r="U7" s="188">
        <v>738445081.88</v>
      </c>
      <c r="V7" s="188">
        <v>537786249.24000001</v>
      </c>
      <c r="W7" s="188">
        <v>503500656.20999998</v>
      </c>
      <c r="X7" s="188">
        <v>613026312.47000003</v>
      </c>
      <c r="Y7" s="188">
        <v>648366387.91999996</v>
      </c>
      <c r="Z7" s="188">
        <v>518829861.12</v>
      </c>
      <c r="AA7" s="188">
        <v>555375618.74000001</v>
      </c>
      <c r="AB7" s="188">
        <v>826777605.61000001</v>
      </c>
      <c r="AC7" s="188">
        <v>789318516.42999995</v>
      </c>
      <c r="AD7" s="188">
        <v>597403924.49000001</v>
      </c>
      <c r="AE7" s="188">
        <v>441311966.49000001</v>
      </c>
      <c r="AF7" s="188">
        <v>450511868.63999999</v>
      </c>
      <c r="AG7" s="188">
        <v>411014376.37</v>
      </c>
      <c r="AH7" s="188">
        <v>303725612.86000001</v>
      </c>
      <c r="AI7" s="188">
        <v>264509503.38</v>
      </c>
      <c r="AJ7" s="188">
        <v>335919731.38999999</v>
      </c>
      <c r="AK7" s="188">
        <v>204513788.36000001</v>
      </c>
      <c r="AL7" s="188">
        <v>161648081.34</v>
      </c>
      <c r="AM7" s="188">
        <v>141968256.62</v>
      </c>
      <c r="AN7" s="188">
        <v>281667197.92000002</v>
      </c>
      <c r="AO7" s="188">
        <v>220051269.34999999</v>
      </c>
      <c r="AP7" s="188">
        <v>241678480.19999999</v>
      </c>
      <c r="AQ7" s="188">
        <v>225814673.53</v>
      </c>
      <c r="AR7" s="188">
        <v>271726222.43000001</v>
      </c>
      <c r="AS7" s="188">
        <v>144590700.41999999</v>
      </c>
      <c r="AT7" s="188">
        <v>127756063.40000001</v>
      </c>
      <c r="AU7" s="188">
        <v>87130286.680000007</v>
      </c>
      <c r="AV7" s="188">
        <v>100888080.5</v>
      </c>
      <c r="AW7" s="188">
        <v>8631361.2799999993</v>
      </c>
      <c r="AX7" s="188">
        <v>95258170.560000002</v>
      </c>
      <c r="AY7" s="188">
        <v>63732026.759999998</v>
      </c>
      <c r="AZ7" s="188">
        <v>34924487.299999997</v>
      </c>
      <c r="BA7" s="188">
        <v>10596043.48</v>
      </c>
      <c r="BB7" s="188">
        <v>41925419.439999998</v>
      </c>
      <c r="BC7" s="188">
        <v>36908039.649999999</v>
      </c>
      <c r="BD7" s="188">
        <v>40563036.719999999</v>
      </c>
      <c r="BE7" s="188">
        <v>2057616</v>
      </c>
      <c r="BF7" s="188">
        <v>21531607.949999999</v>
      </c>
      <c r="BG7" s="188">
        <v>12784349.33</v>
      </c>
      <c r="BH7" s="188">
        <v>1846000</v>
      </c>
      <c r="BI7" s="188">
        <v>2318606.98</v>
      </c>
      <c r="BJ7" s="188">
        <v>6959233.5300000003</v>
      </c>
      <c r="BK7" s="188">
        <v>0</v>
      </c>
    </row>
    <row r="8" spans="1:63" x14ac:dyDescent="0.25">
      <c r="A8" s="188" t="s">
        <v>112</v>
      </c>
      <c r="B8" s="188">
        <v>2103121447.76</v>
      </c>
      <c r="C8" s="188">
        <v>1583377542.73</v>
      </c>
      <c r="D8" s="188">
        <v>1406651267.4000001</v>
      </c>
      <c r="E8" s="188">
        <v>1394611743.5899999</v>
      </c>
      <c r="F8" s="188">
        <v>1551793666.5799999</v>
      </c>
      <c r="G8" s="188">
        <v>1201233225.8699999</v>
      </c>
      <c r="H8" s="188">
        <v>1157053549.27</v>
      </c>
      <c r="I8" s="188">
        <v>1160117826.72</v>
      </c>
      <c r="J8" s="188">
        <v>1576892272.3299999</v>
      </c>
      <c r="K8" s="188">
        <v>1271407998.22</v>
      </c>
      <c r="L8" s="188">
        <v>1163171116.95</v>
      </c>
      <c r="M8" s="188">
        <v>1057146368.61</v>
      </c>
      <c r="N8" s="188">
        <v>1745131303.3099999</v>
      </c>
      <c r="O8" s="188">
        <v>1330898287.49</v>
      </c>
      <c r="P8" s="188">
        <v>1192307774.0999999</v>
      </c>
      <c r="Q8" s="188">
        <v>1004256291.61</v>
      </c>
      <c r="R8" s="188">
        <v>1215565996.8299999</v>
      </c>
      <c r="S8" s="188">
        <v>793572490.87</v>
      </c>
      <c r="T8" s="188">
        <v>759687633.69000006</v>
      </c>
      <c r="U8" s="188">
        <v>655589352.02999997</v>
      </c>
      <c r="V8" s="188">
        <v>955341922.44000006</v>
      </c>
      <c r="W8" s="188">
        <v>828686898.91999996</v>
      </c>
      <c r="X8" s="188">
        <v>677684867.50999999</v>
      </c>
      <c r="Y8" s="188">
        <v>667350323.52999997</v>
      </c>
      <c r="Z8" s="188">
        <v>863044798.62</v>
      </c>
      <c r="AA8" s="188">
        <v>691119589.03999996</v>
      </c>
      <c r="AB8" s="188">
        <v>689174657.51999998</v>
      </c>
      <c r="AC8" s="188">
        <v>644324794.65999997</v>
      </c>
      <c r="AD8" s="188">
        <v>811191851.53999996</v>
      </c>
      <c r="AE8" s="188">
        <v>661728242.05999994</v>
      </c>
      <c r="AF8" s="188">
        <v>580878344.19000006</v>
      </c>
      <c r="AG8" s="188">
        <v>460117095.70999998</v>
      </c>
      <c r="AH8" s="188">
        <v>595470448.07000005</v>
      </c>
      <c r="AI8" s="188">
        <v>476995435.05000001</v>
      </c>
      <c r="AJ8" s="188">
        <v>470858645.82999998</v>
      </c>
      <c r="AK8" s="188">
        <v>466250441.51999998</v>
      </c>
      <c r="AL8" s="188">
        <v>479488365.25999999</v>
      </c>
      <c r="AM8" s="188">
        <v>374963199.29000002</v>
      </c>
      <c r="AN8" s="188">
        <v>340168506.62</v>
      </c>
      <c r="AO8" s="188">
        <v>286700424.56999999</v>
      </c>
      <c r="AP8" s="188">
        <v>372539306.63</v>
      </c>
      <c r="AQ8" s="188">
        <v>310051278.17000002</v>
      </c>
      <c r="AR8" s="188">
        <v>268446960.04000002</v>
      </c>
      <c r="AS8" s="188">
        <v>201675604.47</v>
      </c>
      <c r="AT8" s="188">
        <v>345900235.68000001</v>
      </c>
      <c r="AU8" s="188">
        <v>297094009.33999997</v>
      </c>
      <c r="AV8" s="188">
        <v>284013567.74000001</v>
      </c>
      <c r="AW8" s="188">
        <v>154747563.34</v>
      </c>
      <c r="AX8" s="188">
        <v>289477993.52999997</v>
      </c>
      <c r="AY8" s="188">
        <v>327303156.38</v>
      </c>
      <c r="AZ8" s="188">
        <v>281259052.08999997</v>
      </c>
      <c r="BA8" s="188">
        <v>159924988.97999999</v>
      </c>
      <c r="BB8" s="188">
        <v>292942431.73000002</v>
      </c>
      <c r="BC8" s="188">
        <v>221783653.59</v>
      </c>
      <c r="BD8" s="188">
        <v>197568430.47999999</v>
      </c>
      <c r="BE8" s="188">
        <v>122653367.16</v>
      </c>
      <c r="BF8" s="188">
        <v>190370342.13999999</v>
      </c>
      <c r="BG8" s="188">
        <v>133739817.16</v>
      </c>
      <c r="BH8" s="188">
        <v>131439320.18000001</v>
      </c>
      <c r="BI8" s="188">
        <v>94915424</v>
      </c>
      <c r="BJ8" s="188">
        <v>62030299.810000002</v>
      </c>
      <c r="BK8" s="188">
        <v>0</v>
      </c>
    </row>
    <row r="9" spans="1:63" x14ac:dyDescent="0.25">
      <c r="A9" s="188" t="s">
        <v>113</v>
      </c>
      <c r="B9" s="188">
        <v>302006010.35000002</v>
      </c>
      <c r="C9" s="188">
        <v>255496597.21000001</v>
      </c>
      <c r="D9" s="188">
        <v>294595736.83999997</v>
      </c>
      <c r="E9" s="188">
        <v>326628488.10000002</v>
      </c>
      <c r="F9" s="188">
        <v>215405882.72</v>
      </c>
      <c r="G9" s="188">
        <v>174447686.13999999</v>
      </c>
      <c r="H9" s="188">
        <v>188211608.52000001</v>
      </c>
      <c r="I9" s="188">
        <v>157326657.22999999</v>
      </c>
      <c r="J9" s="188">
        <v>221105439.36000001</v>
      </c>
      <c r="K9" s="188">
        <v>175747171.80000001</v>
      </c>
      <c r="L9" s="188">
        <v>184131670.87</v>
      </c>
      <c r="M9" s="188">
        <v>108843307.15000001</v>
      </c>
      <c r="N9" s="188">
        <v>182748372.94</v>
      </c>
      <c r="O9" s="188">
        <v>185715098.28999999</v>
      </c>
      <c r="P9" s="188">
        <v>223284010.37</v>
      </c>
      <c r="Q9" s="188">
        <v>171336580.71000001</v>
      </c>
      <c r="R9" s="188">
        <v>158657280.75</v>
      </c>
      <c r="S9" s="188">
        <v>156345359.44</v>
      </c>
      <c r="T9" s="188">
        <v>224944984</v>
      </c>
      <c r="U9" s="188">
        <v>194362744.27000001</v>
      </c>
      <c r="V9" s="188">
        <v>158796141.62</v>
      </c>
      <c r="W9" s="188">
        <v>141541976.72</v>
      </c>
      <c r="X9" s="188">
        <v>121358894.56</v>
      </c>
      <c r="Y9" s="188">
        <v>129681301.56999999</v>
      </c>
      <c r="Z9" s="188">
        <v>101763160.43000001</v>
      </c>
      <c r="AA9" s="188">
        <v>129869335.40000001</v>
      </c>
      <c r="AB9" s="188">
        <v>150420117.41999999</v>
      </c>
      <c r="AC9" s="188">
        <v>87363592.980000004</v>
      </c>
      <c r="AD9" s="188">
        <v>91521758.780000001</v>
      </c>
      <c r="AE9" s="188">
        <v>128565447.18000001</v>
      </c>
      <c r="AF9" s="188">
        <v>144776581.40000001</v>
      </c>
      <c r="AG9" s="188">
        <v>100230288.73999999</v>
      </c>
      <c r="AH9" s="188">
        <v>106374550.64</v>
      </c>
      <c r="AI9" s="188">
        <v>158024705.52000001</v>
      </c>
      <c r="AJ9" s="188">
        <v>97827351.069999993</v>
      </c>
      <c r="AK9" s="188">
        <v>64765110.579999998</v>
      </c>
      <c r="AL9" s="188">
        <v>85327330.260000005</v>
      </c>
      <c r="AM9" s="188">
        <v>53379934.18</v>
      </c>
      <c r="AN9" s="188">
        <v>31194818.68</v>
      </c>
      <c r="AO9" s="188">
        <v>40331815.490000002</v>
      </c>
      <c r="AP9" s="188">
        <v>64661090.439999998</v>
      </c>
      <c r="AQ9" s="188">
        <v>51729324.630000003</v>
      </c>
      <c r="AR9" s="188">
        <v>41462014.380000003</v>
      </c>
      <c r="AS9" s="188">
        <v>35137528.509999998</v>
      </c>
      <c r="AT9" s="188">
        <v>39876624.039999999</v>
      </c>
      <c r="AU9" s="188">
        <v>47815125.289999999</v>
      </c>
      <c r="AV9" s="188">
        <v>88314222.180000007</v>
      </c>
      <c r="AW9" s="188">
        <v>83382716.5</v>
      </c>
      <c r="AX9" s="188">
        <v>100755944.48999999</v>
      </c>
      <c r="AY9" s="188">
        <v>55648798.060000002</v>
      </c>
      <c r="AZ9" s="188">
        <v>62225473.619999997</v>
      </c>
      <c r="BA9" s="188">
        <v>32605418.07</v>
      </c>
      <c r="BB9" s="188">
        <v>59910606.82</v>
      </c>
      <c r="BC9" s="188">
        <v>53555843.960000001</v>
      </c>
      <c r="BD9" s="188">
        <v>44554757.340000004</v>
      </c>
      <c r="BE9" s="188">
        <v>13491443.710000001</v>
      </c>
      <c r="BF9" s="188">
        <v>22697275.690000001</v>
      </c>
      <c r="BG9" s="188">
        <v>52803808.689999998</v>
      </c>
      <c r="BH9" s="188">
        <v>8517955.8499999996</v>
      </c>
      <c r="BI9" s="188">
        <v>10984495.939999999</v>
      </c>
      <c r="BJ9" s="188">
        <v>5195640.3899999997</v>
      </c>
      <c r="BK9" s="188">
        <v>0</v>
      </c>
    </row>
    <row r="10" spans="1:63" x14ac:dyDescent="0.25">
      <c r="A10" s="188" t="s">
        <v>114</v>
      </c>
      <c r="B10" s="188">
        <v>0</v>
      </c>
      <c r="C10" s="188">
        <v>1280452.5</v>
      </c>
      <c r="D10" s="188">
        <v>1234442.51</v>
      </c>
      <c r="E10" s="188">
        <v>1983860.05</v>
      </c>
      <c r="F10" s="188">
        <v>1699138.85</v>
      </c>
      <c r="G10" s="188">
        <v>1410111.74</v>
      </c>
      <c r="H10" s="188">
        <v>997958.27</v>
      </c>
      <c r="I10" s="188">
        <v>285680.93</v>
      </c>
      <c r="J10" s="188">
        <v>162050.57</v>
      </c>
      <c r="K10" s="188">
        <v>2618316.94</v>
      </c>
      <c r="L10" s="188">
        <v>2623929.9300000002</v>
      </c>
      <c r="M10" s="188">
        <v>1211839.0900000001</v>
      </c>
      <c r="N10" s="188">
        <v>2631912.89</v>
      </c>
      <c r="O10" s="188">
        <v>3209336.69</v>
      </c>
      <c r="P10" s="188">
        <v>1505121.74</v>
      </c>
      <c r="Q10" s="188">
        <v>1333136.33</v>
      </c>
      <c r="R10" s="188">
        <v>2352161.37</v>
      </c>
      <c r="S10" s="188">
        <v>5100619.57</v>
      </c>
      <c r="T10" s="188">
        <v>2147063.69</v>
      </c>
      <c r="U10" s="188">
        <v>5684198.5499999998</v>
      </c>
      <c r="V10" s="188">
        <v>9193522.9900000002</v>
      </c>
      <c r="W10" s="188">
        <v>5028076.1399999997</v>
      </c>
      <c r="X10" s="188">
        <v>5339036</v>
      </c>
      <c r="Y10" s="188">
        <v>3752909.67</v>
      </c>
      <c r="Z10" s="188">
        <v>3239937.72</v>
      </c>
      <c r="AA10" s="188">
        <v>1345728.49</v>
      </c>
      <c r="AB10" s="188">
        <v>767844.01</v>
      </c>
      <c r="AC10" s="188">
        <v>1176060.92</v>
      </c>
      <c r="AD10" s="188">
        <v>1673230.23</v>
      </c>
      <c r="AE10" s="188">
        <v>1075872.8400000001</v>
      </c>
      <c r="AF10" s="188">
        <v>1189484.8899999999</v>
      </c>
      <c r="AG10" s="188">
        <v>989655.67</v>
      </c>
      <c r="AH10" s="188">
        <v>1924423.63</v>
      </c>
      <c r="AI10" s="188">
        <v>2300554</v>
      </c>
      <c r="AJ10" s="188">
        <v>1082675</v>
      </c>
      <c r="AK10" s="188">
        <v>1810116.5</v>
      </c>
      <c r="AL10" s="188">
        <v>1210468.08</v>
      </c>
      <c r="AM10" s="188">
        <v>2217790.2200000002</v>
      </c>
      <c r="AN10" s="188">
        <v>1970912.8</v>
      </c>
      <c r="AO10" s="188">
        <v>3488799</v>
      </c>
      <c r="AP10" s="188">
        <v>2056984.24</v>
      </c>
      <c r="AQ10" s="188">
        <v>1634247</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row>
    <row r="11" spans="1:63"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row>
    <row r="12" spans="1:63" x14ac:dyDescent="0.25">
      <c r="A12" s="188" t="s">
        <v>116</v>
      </c>
      <c r="B12" s="188">
        <v>24605283.120000001</v>
      </c>
      <c r="C12" s="188">
        <v>15581684.300000001</v>
      </c>
      <c r="D12" s="188">
        <v>12328088.58</v>
      </c>
      <c r="E12" s="188">
        <v>18690041.579999998</v>
      </c>
      <c r="F12" s="188">
        <v>8512347.2300000004</v>
      </c>
      <c r="G12" s="188">
        <v>20092804.32</v>
      </c>
      <c r="H12" s="188">
        <v>46325088.759999998</v>
      </c>
      <c r="I12" s="188">
        <v>55657951.600000001</v>
      </c>
      <c r="J12" s="188">
        <v>8359957.9800000004</v>
      </c>
      <c r="K12" s="188">
        <v>16477980.869999999</v>
      </c>
      <c r="L12" s="188">
        <v>13142260.93</v>
      </c>
      <c r="M12" s="188">
        <v>34924752.460000001</v>
      </c>
      <c r="N12" s="188">
        <v>48880745.759999998</v>
      </c>
      <c r="O12" s="188">
        <v>10508981.710000001</v>
      </c>
      <c r="P12" s="188">
        <v>20352131.640000001</v>
      </c>
      <c r="Q12" s="188">
        <v>48727819.25</v>
      </c>
      <c r="R12" s="188">
        <v>26368806.780000001</v>
      </c>
      <c r="S12" s="188">
        <v>14663394.99</v>
      </c>
      <c r="T12" s="188">
        <v>30886598.920000002</v>
      </c>
      <c r="U12" s="188">
        <v>49842803.539999999</v>
      </c>
      <c r="V12" s="188">
        <v>30092725.920000002</v>
      </c>
      <c r="W12" s="188">
        <v>26969052.469999999</v>
      </c>
      <c r="X12" s="188">
        <v>41584319.710000001</v>
      </c>
      <c r="Y12" s="188">
        <v>37261813.359999999</v>
      </c>
      <c r="Z12" s="188">
        <v>34130403.659999996</v>
      </c>
      <c r="AA12" s="188">
        <v>33556500.950000003</v>
      </c>
      <c r="AB12" s="188">
        <v>36545908.090000004</v>
      </c>
      <c r="AC12" s="188">
        <v>43656907.880000003</v>
      </c>
      <c r="AD12" s="188">
        <v>33616792.18</v>
      </c>
      <c r="AE12" s="188">
        <v>36591766.299999997</v>
      </c>
      <c r="AF12" s="188">
        <v>42100569.909999996</v>
      </c>
      <c r="AG12" s="188">
        <v>36246884.759999998</v>
      </c>
      <c r="AH12" s="188">
        <v>26477110.350000001</v>
      </c>
      <c r="AI12" s="188">
        <v>38109897.020000003</v>
      </c>
      <c r="AJ12" s="188">
        <v>30741513.66</v>
      </c>
      <c r="AK12" s="188">
        <v>38952539.100000001</v>
      </c>
      <c r="AL12" s="188">
        <v>27798764.440000001</v>
      </c>
      <c r="AM12" s="188">
        <v>21722562.609999999</v>
      </c>
      <c r="AN12" s="188">
        <v>29020548.75</v>
      </c>
      <c r="AO12" s="188">
        <v>18519299.030000001</v>
      </c>
      <c r="AP12" s="188">
        <v>40853840.039999999</v>
      </c>
      <c r="AQ12" s="188">
        <v>37846575.359999999</v>
      </c>
      <c r="AR12" s="188">
        <v>35317763.409999996</v>
      </c>
      <c r="AS12" s="188">
        <v>27350561.699999999</v>
      </c>
      <c r="AT12" s="188">
        <v>35643426.170000002</v>
      </c>
      <c r="AU12" s="188">
        <v>23519834.719999999</v>
      </c>
      <c r="AV12" s="188">
        <v>41816429.759999998</v>
      </c>
      <c r="AW12" s="188">
        <v>26709376.039999999</v>
      </c>
      <c r="AX12" s="188">
        <v>25948731.149999999</v>
      </c>
      <c r="AY12" s="188">
        <v>22328343.52</v>
      </c>
      <c r="AZ12" s="188">
        <v>20132141.91</v>
      </c>
      <c r="BA12" s="188">
        <v>19324677.059999999</v>
      </c>
      <c r="BB12" s="188">
        <v>28075614.059999999</v>
      </c>
      <c r="BC12" s="188">
        <v>15771305.27</v>
      </c>
      <c r="BD12" s="188">
        <v>16006534.529999999</v>
      </c>
      <c r="BE12" s="188">
        <v>15762625.710000001</v>
      </c>
      <c r="BF12" s="188">
        <v>17607118.079999998</v>
      </c>
      <c r="BG12" s="188">
        <v>15944690.050000001</v>
      </c>
      <c r="BH12" s="188">
        <v>13006576.199999999</v>
      </c>
      <c r="BI12" s="188">
        <v>10007781.140000001</v>
      </c>
      <c r="BJ12" s="188">
        <v>30402528.84</v>
      </c>
      <c r="BK12" s="188">
        <v>0</v>
      </c>
    </row>
    <row r="13" spans="1:6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row>
    <row r="14" spans="1:63" x14ac:dyDescent="0.25">
      <c r="A14" s="188" t="s">
        <v>118</v>
      </c>
      <c r="B14" s="188">
        <v>1918572103.77</v>
      </c>
      <c r="C14" s="188">
        <v>1909306638.47</v>
      </c>
      <c r="D14" s="188">
        <v>1782072806.3299999</v>
      </c>
      <c r="E14" s="188">
        <v>2185899491.7199998</v>
      </c>
      <c r="F14" s="188">
        <v>1470400344.9200001</v>
      </c>
      <c r="G14" s="188">
        <v>1293921923.4300001</v>
      </c>
      <c r="H14" s="188">
        <v>1118765372.3099999</v>
      </c>
      <c r="I14" s="188">
        <v>1696932203.1900001</v>
      </c>
      <c r="J14" s="188">
        <v>964907065.76999998</v>
      </c>
      <c r="K14" s="188">
        <v>1057725660.29</v>
      </c>
      <c r="L14" s="188">
        <v>920959661.87</v>
      </c>
      <c r="M14" s="188">
        <v>1426745280.9300001</v>
      </c>
      <c r="N14" s="188">
        <v>1010846140.4</v>
      </c>
      <c r="O14" s="188">
        <v>1098826788.8199999</v>
      </c>
      <c r="P14" s="188">
        <v>1135582960.8499999</v>
      </c>
      <c r="Q14" s="188">
        <v>1568475227.8800001</v>
      </c>
      <c r="R14" s="188">
        <v>978487335.64999998</v>
      </c>
      <c r="S14" s="188">
        <v>941861832.96000004</v>
      </c>
      <c r="T14" s="188">
        <v>857047457.5</v>
      </c>
      <c r="U14" s="188">
        <v>1325378544.29</v>
      </c>
      <c r="V14" s="188">
        <v>878054202.94000006</v>
      </c>
      <c r="W14" s="188">
        <v>871388665.28999996</v>
      </c>
      <c r="X14" s="188">
        <v>791718974.51999998</v>
      </c>
      <c r="Y14" s="188">
        <v>1073369840.5700001</v>
      </c>
      <c r="Z14" s="188">
        <v>717909540.94000006</v>
      </c>
      <c r="AA14" s="188">
        <v>742018284.57000005</v>
      </c>
      <c r="AB14" s="188">
        <v>764629040.47000003</v>
      </c>
      <c r="AC14" s="188">
        <v>1030294935.02</v>
      </c>
      <c r="AD14" s="188">
        <v>926056707.29999995</v>
      </c>
      <c r="AE14" s="188">
        <v>971723704.05999994</v>
      </c>
      <c r="AF14" s="188">
        <v>859193852.50999999</v>
      </c>
      <c r="AG14" s="188">
        <v>1065910997.37</v>
      </c>
      <c r="AH14" s="188">
        <v>774328296.45000005</v>
      </c>
      <c r="AI14" s="188">
        <v>744906149.55999994</v>
      </c>
      <c r="AJ14" s="188">
        <v>660124469.33000004</v>
      </c>
      <c r="AK14" s="188">
        <v>609153929.08000004</v>
      </c>
      <c r="AL14" s="188">
        <v>451928532.52999997</v>
      </c>
      <c r="AM14" s="188">
        <v>369674847.49000001</v>
      </c>
      <c r="AN14" s="188">
        <v>349318266.39999998</v>
      </c>
      <c r="AO14" s="188">
        <v>401306258.81999999</v>
      </c>
      <c r="AP14" s="188">
        <v>451856996.35000002</v>
      </c>
      <c r="AQ14" s="188">
        <v>447686866.85000002</v>
      </c>
      <c r="AR14" s="188">
        <v>410327776.82999998</v>
      </c>
      <c r="AS14" s="188">
        <v>423691037.51999998</v>
      </c>
      <c r="AT14" s="188">
        <v>386717593.16000003</v>
      </c>
      <c r="AU14" s="188">
        <v>371701744.98000002</v>
      </c>
      <c r="AV14" s="188">
        <v>363693904.29000002</v>
      </c>
      <c r="AW14" s="188">
        <v>373108583.83999997</v>
      </c>
      <c r="AX14" s="188">
        <v>318782897.86000001</v>
      </c>
      <c r="AY14" s="188">
        <v>300631240.80000001</v>
      </c>
      <c r="AZ14" s="188">
        <v>336286463.70999998</v>
      </c>
      <c r="BA14" s="188">
        <v>318488911.10000002</v>
      </c>
      <c r="BB14" s="188">
        <v>281272317.88</v>
      </c>
      <c r="BC14" s="188">
        <v>289181914.31</v>
      </c>
      <c r="BD14" s="188">
        <v>274648278.17000002</v>
      </c>
      <c r="BE14" s="188">
        <v>244401356.97</v>
      </c>
      <c r="BF14" s="188">
        <v>207346234.84999999</v>
      </c>
      <c r="BG14" s="188">
        <v>215414694.71000001</v>
      </c>
      <c r="BH14" s="188">
        <v>170315284</v>
      </c>
      <c r="BI14" s="188">
        <v>128800723.88</v>
      </c>
      <c r="BJ14" s="188">
        <v>86397241.609999999</v>
      </c>
      <c r="BK14" s="188">
        <v>0</v>
      </c>
    </row>
    <row r="15" spans="1:63"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row>
    <row r="16" spans="1:63"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row>
    <row r="17" spans="1:6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193606.69</v>
      </c>
      <c r="AX17" s="188">
        <v>339005.82</v>
      </c>
      <c r="AY17" s="188">
        <v>240069.88</v>
      </c>
      <c r="AZ17" s="188">
        <v>371900.43</v>
      </c>
      <c r="BA17" s="188">
        <v>134327.76</v>
      </c>
      <c r="BB17" s="188">
        <v>113058.91</v>
      </c>
      <c r="BC17" s="188">
        <v>100575.47</v>
      </c>
      <c r="BD17" s="188">
        <v>66273.42</v>
      </c>
      <c r="BE17" s="188">
        <v>94480.59</v>
      </c>
      <c r="BF17" s="188">
        <v>3422364.9</v>
      </c>
      <c r="BG17" s="188">
        <v>68249.37</v>
      </c>
      <c r="BH17" s="188">
        <v>298364.59000000003</v>
      </c>
      <c r="BI17" s="188">
        <v>104061.46</v>
      </c>
      <c r="BJ17" s="188">
        <v>70271.25</v>
      </c>
      <c r="BK17" s="188">
        <v>0</v>
      </c>
    </row>
    <row r="18" spans="1:6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row>
    <row r="19" spans="1:63" x14ac:dyDescent="0.25">
      <c r="A19" s="188" t="s">
        <v>123</v>
      </c>
      <c r="B19" s="188">
        <v>927519431.44000006</v>
      </c>
      <c r="C19" s="188">
        <v>1050153119.01</v>
      </c>
      <c r="D19" s="188">
        <v>946414169.61000001</v>
      </c>
      <c r="E19" s="188">
        <v>1025576299.53</v>
      </c>
      <c r="F19" s="188">
        <v>929605382.03999996</v>
      </c>
      <c r="G19" s="188">
        <v>734721606.99000001</v>
      </c>
      <c r="H19" s="188">
        <v>928148457.10000002</v>
      </c>
      <c r="I19" s="188">
        <v>981698880.30999994</v>
      </c>
      <c r="J19" s="188">
        <v>607516525.44000006</v>
      </c>
      <c r="K19" s="188">
        <v>988594808.13999999</v>
      </c>
      <c r="L19" s="188">
        <v>1362031292.75</v>
      </c>
      <c r="M19" s="188">
        <v>1375173953.9100001</v>
      </c>
      <c r="N19" s="188">
        <v>553848816.79999995</v>
      </c>
      <c r="O19" s="188">
        <v>422767686.30000001</v>
      </c>
      <c r="P19" s="188">
        <v>407482611.68000001</v>
      </c>
      <c r="Q19" s="188">
        <v>448717689.39999998</v>
      </c>
      <c r="R19" s="188">
        <v>12914573.470000001</v>
      </c>
      <c r="S19" s="188">
        <v>14446105.960000001</v>
      </c>
      <c r="T19" s="188">
        <v>13729557.720000001</v>
      </c>
      <c r="U19" s="188">
        <v>60556880.740000002</v>
      </c>
      <c r="V19" s="188">
        <v>14004004.09</v>
      </c>
      <c r="W19" s="188">
        <v>28485231.890000001</v>
      </c>
      <c r="X19" s="188">
        <v>0</v>
      </c>
      <c r="Y19" s="188">
        <v>12522640.279999999</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row>
    <row r="20" spans="1:63" x14ac:dyDescent="0.25">
      <c r="A20" s="188" t="s">
        <v>124</v>
      </c>
      <c r="B20" s="188">
        <v>7839801376.5200005</v>
      </c>
      <c r="C20" s="188">
        <v>7081530039</v>
      </c>
      <c r="D20" s="188">
        <v>7557319347.71</v>
      </c>
      <c r="E20" s="188">
        <v>7717284948.5600004</v>
      </c>
      <c r="F20" s="188">
        <v>6844591165.6099997</v>
      </c>
      <c r="G20" s="188">
        <v>5944277718.6700001</v>
      </c>
      <c r="H20" s="188">
        <v>6367294000.0600004</v>
      </c>
      <c r="I20" s="188">
        <v>6503092280.3699999</v>
      </c>
      <c r="J20" s="188">
        <v>5427470093.1899996</v>
      </c>
      <c r="K20" s="188">
        <v>5440103538.8699999</v>
      </c>
      <c r="L20" s="188">
        <v>5997778347.8100004</v>
      </c>
      <c r="M20" s="188">
        <v>6052050926.7700005</v>
      </c>
      <c r="N20" s="188">
        <v>5691229140.9899998</v>
      </c>
      <c r="O20" s="188">
        <v>5106863926.6999998</v>
      </c>
      <c r="P20" s="188">
        <v>5178408564.9899998</v>
      </c>
      <c r="Q20" s="188">
        <v>5263506509.1800003</v>
      </c>
      <c r="R20" s="188">
        <v>4772802207.54</v>
      </c>
      <c r="S20" s="188">
        <v>4309814966.7600002</v>
      </c>
      <c r="T20" s="188">
        <v>4343680170.0600004</v>
      </c>
      <c r="U20" s="188">
        <v>4435265497.0799999</v>
      </c>
      <c r="V20" s="188">
        <v>4047286730.0100002</v>
      </c>
      <c r="W20" s="188">
        <v>3627819040.3400002</v>
      </c>
      <c r="X20" s="188">
        <v>3618959396.29</v>
      </c>
      <c r="Y20" s="188">
        <v>3687387540.5500002</v>
      </c>
      <c r="Z20" s="188">
        <v>3235251057.0100002</v>
      </c>
      <c r="AA20" s="188">
        <v>2806908720.1399999</v>
      </c>
      <c r="AB20" s="188">
        <v>3107617535.9200001</v>
      </c>
      <c r="AC20" s="188">
        <v>3171470798.7600002</v>
      </c>
      <c r="AD20" s="188">
        <v>3035279274.0999999</v>
      </c>
      <c r="AE20" s="188">
        <v>2796732190.98</v>
      </c>
      <c r="AF20" s="188">
        <v>2844839182.1500001</v>
      </c>
      <c r="AG20" s="188">
        <v>2825056924.9099998</v>
      </c>
      <c r="AH20" s="188">
        <v>2588209489.9499998</v>
      </c>
      <c r="AI20" s="188">
        <v>2333110872.7600002</v>
      </c>
      <c r="AJ20" s="188">
        <v>2467140735.5599999</v>
      </c>
      <c r="AK20" s="188">
        <v>2354991876.6100001</v>
      </c>
      <c r="AL20" s="188">
        <v>2211848118.1599998</v>
      </c>
      <c r="AM20" s="188">
        <v>1928863695.8699999</v>
      </c>
      <c r="AN20" s="188">
        <v>2029689585.8199999</v>
      </c>
      <c r="AO20" s="188">
        <v>1852374309.1099999</v>
      </c>
      <c r="AP20" s="188">
        <v>1892465162.73</v>
      </c>
      <c r="AQ20" s="188">
        <v>1749814349.9300001</v>
      </c>
      <c r="AR20" s="188">
        <v>1709838702.54</v>
      </c>
      <c r="AS20" s="188">
        <v>1627801203.48</v>
      </c>
      <c r="AT20" s="188">
        <v>1805840759.9300001</v>
      </c>
      <c r="AU20" s="188">
        <v>1077256815.54</v>
      </c>
      <c r="AV20" s="188">
        <v>1197696878.05</v>
      </c>
      <c r="AW20" s="188">
        <v>1074537545.7</v>
      </c>
      <c r="AX20" s="188">
        <v>999364602.27999997</v>
      </c>
      <c r="AY20" s="188">
        <v>1016013804.25</v>
      </c>
      <c r="AZ20" s="188">
        <v>959239146.52999997</v>
      </c>
      <c r="BA20" s="188">
        <v>815255046.22000003</v>
      </c>
      <c r="BB20" s="188">
        <v>926983007.78999996</v>
      </c>
      <c r="BC20" s="188">
        <v>920737955.25</v>
      </c>
      <c r="BD20" s="188">
        <v>897914241.61000001</v>
      </c>
      <c r="BE20" s="188">
        <v>878343459.58000004</v>
      </c>
      <c r="BF20" s="188">
        <v>960244341.79999995</v>
      </c>
      <c r="BG20" s="188">
        <v>478620346.73000002</v>
      </c>
      <c r="BH20" s="188">
        <v>348583196.18000001</v>
      </c>
      <c r="BI20" s="188">
        <v>262047880.41</v>
      </c>
      <c r="BJ20" s="188">
        <v>203177475.06999999</v>
      </c>
      <c r="BK20" s="188">
        <v>0</v>
      </c>
    </row>
    <row r="21" spans="1:63" x14ac:dyDescent="0.25">
      <c r="A21" s="188" t="s">
        <v>125</v>
      </c>
    </row>
    <row r="22" spans="1:6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row>
    <row r="23" spans="1:63" x14ac:dyDescent="0.25">
      <c r="A23" s="188" t="s">
        <v>127</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row>
    <row r="24" spans="1:6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row>
    <row r="25" spans="1:6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row>
    <row r="26" spans="1:63" x14ac:dyDescent="0.25">
      <c r="A26" s="188" t="s">
        <v>130</v>
      </c>
      <c r="B26" s="188">
        <v>59833626.299999997</v>
      </c>
      <c r="C26" s="188">
        <v>59195224.329999998</v>
      </c>
      <c r="D26" s="188">
        <v>58482911.240000002</v>
      </c>
      <c r="E26" s="188">
        <v>57828126.149999999</v>
      </c>
      <c r="F26" s="188">
        <v>56409847.630000003</v>
      </c>
      <c r="G26" s="188">
        <v>55343612.409999996</v>
      </c>
      <c r="H26" s="188">
        <v>54712420.270000003</v>
      </c>
      <c r="I26" s="188">
        <v>53877930.880000003</v>
      </c>
      <c r="J26" s="188">
        <v>53934016.920000002</v>
      </c>
      <c r="K26" s="188">
        <v>53121774.780000001</v>
      </c>
      <c r="L26" s="188">
        <v>52335697.979999997</v>
      </c>
      <c r="M26" s="188">
        <v>51328807.280000001</v>
      </c>
      <c r="N26" s="188">
        <v>50434094.880000003</v>
      </c>
      <c r="O26" s="188">
        <v>49639746.32</v>
      </c>
      <c r="P26" s="188">
        <v>48953354.310000002</v>
      </c>
      <c r="Q26" s="188">
        <v>48480778.130000003</v>
      </c>
      <c r="R26" s="188">
        <v>46486926.740000002</v>
      </c>
      <c r="S26" s="188">
        <v>45724712.560000002</v>
      </c>
      <c r="T26" s="188">
        <v>44861176.990000002</v>
      </c>
      <c r="U26" s="188">
        <v>44495224.649999999</v>
      </c>
      <c r="V26" s="188">
        <v>43796247.729999997</v>
      </c>
      <c r="W26" s="188">
        <v>43035511</v>
      </c>
      <c r="X26" s="188">
        <v>42865431.130000003</v>
      </c>
      <c r="Y26" s="188">
        <v>41365518.659999996</v>
      </c>
      <c r="Z26" s="188">
        <v>40798502.920000002</v>
      </c>
      <c r="AA26" s="188">
        <v>39735570.5</v>
      </c>
      <c r="AB26" s="188">
        <v>0</v>
      </c>
      <c r="AC26" s="188">
        <v>0</v>
      </c>
      <c r="AD26" s="188">
        <v>0</v>
      </c>
      <c r="AE26" s="188">
        <v>0</v>
      </c>
      <c r="AF26" s="188">
        <v>400000</v>
      </c>
      <c r="AG26" s="188">
        <v>400000</v>
      </c>
      <c r="AH26" s="188">
        <v>400000</v>
      </c>
      <c r="AI26" s="188">
        <v>400000</v>
      </c>
      <c r="AJ26" s="188">
        <v>400000</v>
      </c>
      <c r="AK26" s="188">
        <v>400000</v>
      </c>
      <c r="AL26" s="188">
        <v>400000</v>
      </c>
      <c r="AM26" s="188">
        <v>400000</v>
      </c>
      <c r="AN26" s="188">
        <v>400000</v>
      </c>
      <c r="AO26" s="188">
        <v>400000</v>
      </c>
      <c r="AP26" s="188">
        <v>443875.6</v>
      </c>
      <c r="AQ26" s="188">
        <v>443875.6</v>
      </c>
      <c r="AR26" s="188">
        <v>443875.6</v>
      </c>
      <c r="AS26" s="188">
        <v>443875.6</v>
      </c>
      <c r="AT26" s="188">
        <v>469754.19</v>
      </c>
      <c r="AU26" s="188">
        <v>1469754.18</v>
      </c>
      <c r="AV26" s="188">
        <v>495384.06</v>
      </c>
      <c r="AW26" s="188">
        <v>10620859.4</v>
      </c>
      <c r="AX26" s="188">
        <v>11118299.699999999</v>
      </c>
      <c r="AY26" s="188">
        <v>13014167.08</v>
      </c>
      <c r="AZ26" s="188">
        <v>13699423.08</v>
      </c>
      <c r="BA26" s="188">
        <v>16764367.109999999</v>
      </c>
      <c r="BB26" s="188">
        <v>16665854.359999999</v>
      </c>
      <c r="BC26" s="188">
        <v>15941057.57</v>
      </c>
      <c r="BD26" s="188">
        <v>15141098.279999999</v>
      </c>
      <c r="BE26" s="188">
        <v>15591138.99</v>
      </c>
      <c r="BF26" s="188">
        <v>16125841.73</v>
      </c>
      <c r="BG26" s="188">
        <v>16575882.439999999</v>
      </c>
      <c r="BH26" s="188">
        <v>17475963.859999999</v>
      </c>
      <c r="BI26" s="188">
        <v>12710112.58</v>
      </c>
      <c r="BJ26" s="188">
        <v>2895176.54</v>
      </c>
      <c r="BK26" s="188">
        <v>0</v>
      </c>
    </row>
    <row r="27" spans="1:6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14509311.66</v>
      </c>
      <c r="AM27" s="188">
        <v>14654863.470000001</v>
      </c>
      <c r="AN27" s="188">
        <v>14800415.289999999</v>
      </c>
      <c r="AO27" s="188">
        <v>14945967.1</v>
      </c>
      <c r="AP27" s="188">
        <v>1480868.41</v>
      </c>
      <c r="AQ27" s="188">
        <v>1533989.08</v>
      </c>
      <c r="AR27" s="188">
        <v>1587109.74</v>
      </c>
      <c r="AS27" s="188">
        <v>1640230.41</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row>
    <row r="28" spans="1:63" x14ac:dyDescent="0.25">
      <c r="A28" s="188" t="s">
        <v>132</v>
      </c>
      <c r="B28" s="188">
        <v>845655175.38999999</v>
      </c>
      <c r="C28" s="188">
        <v>846440856.22000003</v>
      </c>
      <c r="D28" s="188">
        <v>846939431.60000002</v>
      </c>
      <c r="E28" s="188">
        <v>829197651.77999997</v>
      </c>
      <c r="F28" s="188">
        <v>835208170.70000005</v>
      </c>
      <c r="G28" s="188">
        <v>845616583.50999999</v>
      </c>
      <c r="H28" s="188">
        <v>863474298.83000004</v>
      </c>
      <c r="I28" s="188">
        <v>885129598.11000001</v>
      </c>
      <c r="J28" s="188">
        <v>865765975.59000003</v>
      </c>
      <c r="K28" s="188">
        <v>882037067.98000002</v>
      </c>
      <c r="L28" s="188">
        <v>899483311.72000003</v>
      </c>
      <c r="M28" s="188">
        <v>920306368.97000003</v>
      </c>
      <c r="N28" s="188">
        <v>938498262.37</v>
      </c>
      <c r="O28" s="188">
        <v>929203611.47000003</v>
      </c>
      <c r="P28" s="188">
        <v>943345350.96000004</v>
      </c>
      <c r="Q28" s="188">
        <v>956192336.23000002</v>
      </c>
      <c r="R28" s="188">
        <v>913385359.46000004</v>
      </c>
      <c r="S28" s="188">
        <v>904565132.10000002</v>
      </c>
      <c r="T28" s="188">
        <v>883686468.32000005</v>
      </c>
      <c r="U28" s="188">
        <v>893776421.03999996</v>
      </c>
      <c r="V28" s="188">
        <v>850469552.28999996</v>
      </c>
      <c r="W28" s="188">
        <v>853882332.91999996</v>
      </c>
      <c r="X28" s="188">
        <v>863361856.91999996</v>
      </c>
      <c r="Y28" s="188">
        <v>883280538.14999998</v>
      </c>
      <c r="Z28" s="188">
        <v>887067679.28999996</v>
      </c>
      <c r="AA28" s="188">
        <v>909275979.10000002</v>
      </c>
      <c r="AB28" s="188">
        <v>858689729.16999996</v>
      </c>
      <c r="AC28" s="188">
        <v>868914923.52999997</v>
      </c>
      <c r="AD28" s="188">
        <v>845497082.80999994</v>
      </c>
      <c r="AE28" s="188">
        <v>813184210.67999995</v>
      </c>
      <c r="AF28" s="188">
        <v>712425897.19000006</v>
      </c>
      <c r="AG28" s="188">
        <v>702337389.64999998</v>
      </c>
      <c r="AH28" s="188">
        <v>658971781.52999997</v>
      </c>
      <c r="AI28" s="188">
        <v>646304383.38</v>
      </c>
      <c r="AJ28" s="188">
        <v>640162996.74000001</v>
      </c>
      <c r="AK28" s="188">
        <v>645105775.27999997</v>
      </c>
      <c r="AL28" s="188">
        <v>595998283.67999995</v>
      </c>
      <c r="AM28" s="188">
        <v>503931312.95999998</v>
      </c>
      <c r="AN28" s="188">
        <v>505664355.61000001</v>
      </c>
      <c r="AO28" s="188">
        <v>518596606.29000002</v>
      </c>
      <c r="AP28" s="188">
        <v>509528475.69999999</v>
      </c>
      <c r="AQ28" s="188">
        <v>498716549.76999998</v>
      </c>
      <c r="AR28" s="188">
        <v>503945044.57999998</v>
      </c>
      <c r="AS28" s="188">
        <v>506396091.01999998</v>
      </c>
      <c r="AT28" s="188">
        <v>481583234.95999998</v>
      </c>
      <c r="AU28" s="188">
        <v>479596911.10000002</v>
      </c>
      <c r="AV28" s="188">
        <v>481222834.00999999</v>
      </c>
      <c r="AW28" s="188">
        <v>587648347.01999998</v>
      </c>
      <c r="AX28" s="188">
        <v>562643881.24000001</v>
      </c>
      <c r="AY28" s="188">
        <v>560711229.44000006</v>
      </c>
      <c r="AZ28" s="188">
        <v>490048653.76999998</v>
      </c>
      <c r="BA28" s="188">
        <v>491515794.08999997</v>
      </c>
      <c r="BB28" s="188">
        <v>382738767.69</v>
      </c>
      <c r="BC28" s="188">
        <v>347154103.98000002</v>
      </c>
      <c r="BD28" s="188">
        <v>357416223.13</v>
      </c>
      <c r="BE28" s="188">
        <v>355137177.74000001</v>
      </c>
      <c r="BF28" s="188">
        <v>183416259.78999999</v>
      </c>
      <c r="BG28" s="188">
        <v>182050145.25999999</v>
      </c>
      <c r="BH28" s="188">
        <v>167178661.13999999</v>
      </c>
      <c r="BI28" s="188">
        <v>157308587.44</v>
      </c>
      <c r="BJ28" s="188">
        <v>97208103.209999993</v>
      </c>
      <c r="BK28" s="188">
        <v>0</v>
      </c>
    </row>
    <row r="29" spans="1:63" x14ac:dyDescent="0.25">
      <c r="A29" s="188" t="s">
        <v>133</v>
      </c>
      <c r="B29" s="188">
        <v>40007602.5</v>
      </c>
      <c r="C29" s="188">
        <v>30527524.210000001</v>
      </c>
      <c r="D29" s="188">
        <v>31758566.539999999</v>
      </c>
      <c r="E29" s="188">
        <v>23464233.859999999</v>
      </c>
      <c r="F29" s="188">
        <v>25102772.57</v>
      </c>
      <c r="G29" s="188">
        <v>13922816.199999999</v>
      </c>
      <c r="H29" s="188">
        <v>8266946.3300000001</v>
      </c>
      <c r="I29" s="188">
        <v>5986693.8899999997</v>
      </c>
      <c r="J29" s="188">
        <v>32161706.23</v>
      </c>
      <c r="K29" s="188">
        <v>31504596.77</v>
      </c>
      <c r="L29" s="188">
        <v>26478013.510000002</v>
      </c>
      <c r="M29" s="188">
        <v>22568331.629999999</v>
      </c>
      <c r="N29" s="188">
        <v>11643770.859999999</v>
      </c>
      <c r="O29" s="188">
        <v>34359450.270000003</v>
      </c>
      <c r="P29" s="188">
        <v>29478753.859999999</v>
      </c>
      <c r="Q29" s="188">
        <v>24928527.129999999</v>
      </c>
      <c r="R29" s="188">
        <v>58005014.100000001</v>
      </c>
      <c r="S29" s="188">
        <v>44536370.399999999</v>
      </c>
      <c r="T29" s="188">
        <v>57203718.490000002</v>
      </c>
      <c r="U29" s="188">
        <v>61803487.530000001</v>
      </c>
      <c r="V29" s="188">
        <v>88521335.519999996</v>
      </c>
      <c r="W29" s="188">
        <v>77937961.269999996</v>
      </c>
      <c r="X29" s="188">
        <v>73913292.200000003</v>
      </c>
      <c r="Y29" s="188">
        <v>70351646.969999999</v>
      </c>
      <c r="Z29" s="188">
        <v>57455020.57</v>
      </c>
      <c r="AA29" s="188">
        <v>49130371.619999997</v>
      </c>
      <c r="AB29" s="188">
        <v>94903222.590000004</v>
      </c>
      <c r="AC29" s="188">
        <v>82267363.129999995</v>
      </c>
      <c r="AD29" s="188">
        <v>75629967.489999995</v>
      </c>
      <c r="AE29" s="188">
        <v>76361606.340000004</v>
      </c>
      <c r="AF29" s="188">
        <v>137683728.44999999</v>
      </c>
      <c r="AG29" s="188">
        <v>135110309.16999999</v>
      </c>
      <c r="AH29" s="188">
        <v>127028608.65000001</v>
      </c>
      <c r="AI29" s="188">
        <v>95222000.310000002</v>
      </c>
      <c r="AJ29" s="188">
        <v>67128855.920000002</v>
      </c>
      <c r="AK29" s="188">
        <v>41020320.869999997</v>
      </c>
      <c r="AL29" s="188">
        <v>29658580.949999999</v>
      </c>
      <c r="AM29" s="188">
        <v>106446742.56</v>
      </c>
      <c r="AN29" s="188">
        <v>85625358.75</v>
      </c>
      <c r="AO29" s="188">
        <v>58320879.020000003</v>
      </c>
      <c r="AP29" s="188">
        <v>60518202.850000001</v>
      </c>
      <c r="AQ29" s="188">
        <v>30284616.199999999</v>
      </c>
      <c r="AR29" s="188">
        <v>17945942.289999999</v>
      </c>
      <c r="AS29" s="188">
        <v>13922115.26</v>
      </c>
      <c r="AT29" s="188">
        <v>7636009.7599999998</v>
      </c>
      <c r="AU29" s="188">
        <v>8624005.0500000007</v>
      </c>
      <c r="AV29" s="188">
        <v>7931477.0300000003</v>
      </c>
      <c r="AW29" s="188">
        <v>2256444.58</v>
      </c>
      <c r="AX29" s="188">
        <v>9834750.9000000004</v>
      </c>
      <c r="AY29" s="188">
        <v>15071658.35</v>
      </c>
      <c r="AZ29" s="188">
        <v>25638013.98</v>
      </c>
      <c r="BA29" s="188">
        <v>23755902.77</v>
      </c>
      <c r="BB29" s="188">
        <v>106190153.54000001</v>
      </c>
      <c r="BC29" s="188">
        <v>132730659.20999999</v>
      </c>
      <c r="BD29" s="188">
        <v>119395366.63</v>
      </c>
      <c r="BE29" s="188">
        <v>109310437.37</v>
      </c>
      <c r="BF29" s="188">
        <v>176128911.28</v>
      </c>
      <c r="BG29" s="188">
        <v>87979072.959999993</v>
      </c>
      <c r="BH29" s="188">
        <v>40178867.450000003</v>
      </c>
      <c r="BI29" s="188">
        <v>2812603.37</v>
      </c>
      <c r="BJ29" s="188">
        <v>4327605.87</v>
      </c>
      <c r="BK29" s="188">
        <v>0</v>
      </c>
    </row>
    <row r="30" spans="1:6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144000</v>
      </c>
      <c r="AW30" s="188">
        <v>0</v>
      </c>
      <c r="AX30" s="188">
        <v>0</v>
      </c>
      <c r="AY30" s="188">
        <v>0</v>
      </c>
      <c r="AZ30" s="188">
        <v>641200</v>
      </c>
      <c r="BA30" s="188">
        <v>641200</v>
      </c>
      <c r="BB30" s="188">
        <v>82813.5</v>
      </c>
      <c r="BC30" s="188">
        <v>82813.5</v>
      </c>
      <c r="BD30" s="188">
        <v>187707.72</v>
      </c>
      <c r="BE30" s="188">
        <v>134431.32999999999</v>
      </c>
      <c r="BF30" s="188">
        <v>16417103.300000001</v>
      </c>
      <c r="BG30" s="188">
        <v>1953916</v>
      </c>
      <c r="BH30" s="188">
        <v>1150000</v>
      </c>
      <c r="BI30" s="188">
        <v>0</v>
      </c>
      <c r="BJ30" s="188">
        <v>0</v>
      </c>
      <c r="BK30" s="188">
        <v>0</v>
      </c>
    </row>
    <row r="31" spans="1:6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237028.52</v>
      </c>
      <c r="BA31" s="188">
        <v>0</v>
      </c>
      <c r="BB31" s="188">
        <v>0</v>
      </c>
      <c r="BC31" s="188">
        <v>0</v>
      </c>
      <c r="BD31" s="188">
        <v>0</v>
      </c>
      <c r="BE31" s="188">
        <v>0</v>
      </c>
      <c r="BF31" s="188">
        <v>0</v>
      </c>
      <c r="BG31" s="188">
        <v>0</v>
      </c>
      <c r="BH31" s="188">
        <v>0</v>
      </c>
      <c r="BI31" s="188">
        <v>0</v>
      </c>
      <c r="BJ31" s="188">
        <v>0</v>
      </c>
      <c r="BK31" s="188">
        <v>0</v>
      </c>
    </row>
    <row r="32" spans="1:6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row>
    <row r="33" spans="1:6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row>
    <row r="34" spans="1:6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row>
    <row r="35" spans="1:63" x14ac:dyDescent="0.25">
      <c r="A35" s="188" t="s">
        <v>139</v>
      </c>
      <c r="B35" s="188">
        <v>397145444.98000002</v>
      </c>
      <c r="C35" s="188">
        <v>332104562.19999999</v>
      </c>
      <c r="D35" s="188">
        <v>334657521.63</v>
      </c>
      <c r="E35" s="188">
        <v>334602690.62</v>
      </c>
      <c r="F35" s="188">
        <v>334747324.38</v>
      </c>
      <c r="G35" s="188">
        <v>318935629.38</v>
      </c>
      <c r="H35" s="188">
        <v>321099496.13</v>
      </c>
      <c r="I35" s="188">
        <v>255692979.28999999</v>
      </c>
      <c r="J35" s="188">
        <v>258652333.74000001</v>
      </c>
      <c r="K35" s="188">
        <v>261465307.84</v>
      </c>
      <c r="L35" s="188">
        <v>263874086.05000001</v>
      </c>
      <c r="M35" s="188">
        <v>220715082.65000001</v>
      </c>
      <c r="N35" s="188">
        <v>219661041.47999999</v>
      </c>
      <c r="O35" s="188">
        <v>221494462.36000001</v>
      </c>
      <c r="P35" s="188">
        <v>223519034.91</v>
      </c>
      <c r="Q35" s="188">
        <v>225590281.93000001</v>
      </c>
      <c r="R35" s="188">
        <v>226066293.47</v>
      </c>
      <c r="S35" s="188">
        <v>228035280.34</v>
      </c>
      <c r="T35" s="188">
        <v>228542750.34</v>
      </c>
      <c r="U35" s="188">
        <v>231184961.19</v>
      </c>
      <c r="V35" s="188">
        <v>231976535.27000001</v>
      </c>
      <c r="W35" s="188">
        <v>232369456.69</v>
      </c>
      <c r="X35" s="188">
        <v>233765392.00999999</v>
      </c>
      <c r="Y35" s="188">
        <v>234716293.40000001</v>
      </c>
      <c r="Z35" s="188">
        <v>235704929.77000001</v>
      </c>
      <c r="AA35" s="188">
        <v>236917241.13</v>
      </c>
      <c r="AB35" s="188">
        <v>232775268.59</v>
      </c>
      <c r="AC35" s="188">
        <v>234767108.08000001</v>
      </c>
      <c r="AD35" s="188">
        <v>232580092.13999999</v>
      </c>
      <c r="AE35" s="188">
        <v>235567171.81999999</v>
      </c>
      <c r="AF35" s="188">
        <v>236061343.33000001</v>
      </c>
      <c r="AG35" s="188">
        <v>237436820.05000001</v>
      </c>
      <c r="AH35" s="188">
        <v>186372543.53999999</v>
      </c>
      <c r="AI35" s="188">
        <v>187735450.88999999</v>
      </c>
      <c r="AJ35" s="188">
        <v>188952039.68000001</v>
      </c>
      <c r="AK35" s="188">
        <v>190411186.41999999</v>
      </c>
      <c r="AL35" s="188">
        <v>211285983.81</v>
      </c>
      <c r="AM35" s="188">
        <v>189416820.86000001</v>
      </c>
      <c r="AN35" s="188">
        <v>190339072.63</v>
      </c>
      <c r="AO35" s="188">
        <v>191678594.69999999</v>
      </c>
      <c r="AP35" s="188">
        <v>193113203.55000001</v>
      </c>
      <c r="AQ35" s="188">
        <v>193935522.08000001</v>
      </c>
      <c r="AR35" s="188">
        <v>194391495.15000001</v>
      </c>
      <c r="AS35" s="188">
        <v>195181555.06</v>
      </c>
      <c r="AT35" s="188">
        <v>206384313.74000001</v>
      </c>
      <c r="AU35" s="188">
        <v>193925009.99000001</v>
      </c>
      <c r="AV35" s="188">
        <v>102237026.77</v>
      </c>
      <c r="AW35" s="188">
        <v>3125764.44</v>
      </c>
      <c r="AX35" s="188">
        <v>201548.34</v>
      </c>
      <c r="AY35" s="188">
        <v>219855.84</v>
      </c>
      <c r="AZ35" s="188">
        <v>238163.34</v>
      </c>
      <c r="BA35" s="188">
        <v>256470.84</v>
      </c>
      <c r="BB35" s="188">
        <v>192650.84</v>
      </c>
      <c r="BC35" s="188">
        <v>218415.84</v>
      </c>
      <c r="BD35" s="188">
        <v>147128.34</v>
      </c>
      <c r="BE35" s="188">
        <v>161340.84</v>
      </c>
      <c r="BF35" s="188">
        <v>262369.34000000003</v>
      </c>
      <c r="BG35" s="188">
        <v>142965.84</v>
      </c>
      <c r="BH35" s="188">
        <v>166710.84</v>
      </c>
      <c r="BI35" s="188">
        <v>62880</v>
      </c>
      <c r="BJ35" s="188">
        <v>82500</v>
      </c>
      <c r="BK35" s="188">
        <v>0</v>
      </c>
    </row>
    <row r="36" spans="1:6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row>
    <row r="37" spans="1:63"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122071.4</v>
      </c>
      <c r="AQ37" s="188">
        <v>122071.4</v>
      </c>
      <c r="AR37" s="188">
        <v>122071.4</v>
      </c>
      <c r="AS37" s="188">
        <v>122071.4</v>
      </c>
      <c r="AT37" s="188">
        <v>122071.4</v>
      </c>
      <c r="AU37" s="188">
        <v>122071.4</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row>
    <row r="38" spans="1:63" x14ac:dyDescent="0.25">
      <c r="A38" s="188" t="s">
        <v>142</v>
      </c>
      <c r="B38" s="188">
        <v>3638886.78</v>
      </c>
      <c r="C38" s="188">
        <v>3982797.87</v>
      </c>
      <c r="D38" s="188">
        <v>4322781.66</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331076.47999999998</v>
      </c>
      <c r="BJ38" s="188">
        <v>683596.76</v>
      </c>
      <c r="BK38" s="188">
        <v>0</v>
      </c>
    </row>
    <row r="39" spans="1:63" x14ac:dyDescent="0.25">
      <c r="A39" s="188" t="s">
        <v>143</v>
      </c>
      <c r="B39" s="188">
        <v>281409955.99000001</v>
      </c>
      <c r="C39" s="188">
        <v>267641247.88</v>
      </c>
      <c r="D39" s="188">
        <v>260753629.00999999</v>
      </c>
      <c r="E39" s="188">
        <v>209300649.86000001</v>
      </c>
      <c r="F39" s="188">
        <v>231870268.36000001</v>
      </c>
      <c r="G39" s="188">
        <v>217768506.87</v>
      </c>
      <c r="H39" s="188">
        <v>189708050.09</v>
      </c>
      <c r="I39" s="188">
        <v>150419830.47</v>
      </c>
      <c r="J39" s="188">
        <v>175259194.88999999</v>
      </c>
      <c r="K39" s="188">
        <v>162529077.77000001</v>
      </c>
      <c r="L39" s="188">
        <v>153711138.16999999</v>
      </c>
      <c r="M39" s="188">
        <v>129135893.03</v>
      </c>
      <c r="N39" s="188">
        <v>192689995.22999999</v>
      </c>
      <c r="O39" s="188">
        <v>182972667.09999999</v>
      </c>
      <c r="P39" s="188">
        <v>188855111.34</v>
      </c>
      <c r="Q39" s="188">
        <v>114946524.38</v>
      </c>
      <c r="R39" s="188">
        <v>107986780.91</v>
      </c>
      <c r="S39" s="188">
        <v>96899194.269999996</v>
      </c>
      <c r="T39" s="188">
        <v>96418351.75</v>
      </c>
      <c r="U39" s="188">
        <v>70944367.049999997</v>
      </c>
      <c r="V39" s="188">
        <v>75580519.019999996</v>
      </c>
      <c r="W39" s="188">
        <v>58370122.390000001</v>
      </c>
      <c r="X39" s="188">
        <v>58011354.520000003</v>
      </c>
      <c r="Y39" s="188">
        <v>43153451.390000001</v>
      </c>
      <c r="Z39" s="188">
        <v>53403541.060000002</v>
      </c>
      <c r="AA39" s="188">
        <v>47424314.700000003</v>
      </c>
      <c r="AB39" s="188">
        <v>55314763.07</v>
      </c>
      <c r="AC39" s="188">
        <v>34856090.460000001</v>
      </c>
      <c r="AD39" s="188">
        <v>51989755.060000002</v>
      </c>
      <c r="AE39" s="188">
        <v>49167840.859999999</v>
      </c>
      <c r="AF39" s="188">
        <v>45304403.640000001</v>
      </c>
      <c r="AG39" s="188">
        <v>29966500.23</v>
      </c>
      <c r="AH39" s="188">
        <v>50142221.729999997</v>
      </c>
      <c r="AI39" s="188">
        <v>46443198.710000001</v>
      </c>
      <c r="AJ39" s="188">
        <v>35458129.859999999</v>
      </c>
      <c r="AK39" s="188">
        <v>33919156.689999998</v>
      </c>
      <c r="AL39" s="188">
        <v>14203747.050000001</v>
      </c>
      <c r="AM39" s="188">
        <v>16509691.779999999</v>
      </c>
      <c r="AN39" s="188">
        <v>15964953.84</v>
      </c>
      <c r="AO39" s="188">
        <v>14692309.26</v>
      </c>
      <c r="AP39" s="188">
        <v>24100756.059999999</v>
      </c>
      <c r="AQ39" s="188">
        <v>21648453.850000001</v>
      </c>
      <c r="AR39" s="188">
        <v>21137441.329999998</v>
      </c>
      <c r="AS39" s="188">
        <v>20417134.559999999</v>
      </c>
      <c r="AT39" s="188">
        <v>14195711.85</v>
      </c>
      <c r="AU39" s="188">
        <v>14556104.119999999</v>
      </c>
      <c r="AV39" s="188">
        <v>17661053.52</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row>
    <row r="40" spans="1:63"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row>
    <row r="41" spans="1:63" x14ac:dyDescent="0.25">
      <c r="A41" s="188" t="s">
        <v>145</v>
      </c>
      <c r="B41" s="188">
        <v>1627690691.9400001</v>
      </c>
      <c r="C41" s="188">
        <v>1539892212.71</v>
      </c>
      <c r="D41" s="188">
        <v>1536914841.6800001</v>
      </c>
      <c r="E41" s="188">
        <v>1454393352.27</v>
      </c>
      <c r="F41" s="188">
        <v>1483338383.6400001</v>
      </c>
      <c r="G41" s="188">
        <v>1451587148.3699999</v>
      </c>
      <c r="H41" s="188">
        <v>1437261211.6500001</v>
      </c>
      <c r="I41" s="188">
        <v>1351107032.6400001</v>
      </c>
      <c r="J41" s="188">
        <v>1385773227.3699999</v>
      </c>
      <c r="K41" s="188">
        <v>1390657825.1400001</v>
      </c>
      <c r="L41" s="188">
        <v>1395882247.4300001</v>
      </c>
      <c r="M41" s="188">
        <v>1344054483.5599999</v>
      </c>
      <c r="N41" s="188">
        <v>1412927164.8199999</v>
      </c>
      <c r="O41" s="188">
        <v>1417669937.52</v>
      </c>
      <c r="P41" s="188">
        <v>1434151605.3800001</v>
      </c>
      <c r="Q41" s="188">
        <v>1370138447.8</v>
      </c>
      <c r="R41" s="188">
        <v>1351930374.6800001</v>
      </c>
      <c r="S41" s="188">
        <v>1319760689.6700001</v>
      </c>
      <c r="T41" s="188">
        <v>1310712465.8900001</v>
      </c>
      <c r="U41" s="188">
        <v>1302204461.46</v>
      </c>
      <c r="V41" s="188">
        <v>1290344189.8299999</v>
      </c>
      <c r="W41" s="188">
        <v>1265595384.27</v>
      </c>
      <c r="X41" s="188">
        <v>1271917326.78</v>
      </c>
      <c r="Y41" s="188">
        <v>1272867448.5699999</v>
      </c>
      <c r="Z41" s="188">
        <v>1274429673.6099999</v>
      </c>
      <c r="AA41" s="188">
        <v>1282483477.05</v>
      </c>
      <c r="AB41" s="188">
        <v>1241682983.4200001</v>
      </c>
      <c r="AC41" s="188">
        <v>1220805485.2</v>
      </c>
      <c r="AD41" s="188">
        <v>1205696897.5</v>
      </c>
      <c r="AE41" s="188">
        <v>1174280829.7</v>
      </c>
      <c r="AF41" s="188">
        <v>1131875372.6099999</v>
      </c>
      <c r="AG41" s="188">
        <v>1105251019.0999999</v>
      </c>
      <c r="AH41" s="188">
        <v>1022915155.45</v>
      </c>
      <c r="AI41" s="188">
        <v>976105033.28999996</v>
      </c>
      <c r="AJ41" s="188">
        <v>932102022.20000005</v>
      </c>
      <c r="AK41" s="188">
        <v>910856439.25999999</v>
      </c>
      <c r="AL41" s="188">
        <v>866055907.14999998</v>
      </c>
      <c r="AM41" s="188">
        <v>831359431.63</v>
      </c>
      <c r="AN41" s="188">
        <v>812794156.12</v>
      </c>
      <c r="AO41" s="188">
        <v>798634356.37</v>
      </c>
      <c r="AP41" s="188">
        <v>789307453.57000005</v>
      </c>
      <c r="AQ41" s="188">
        <v>746685077.98000002</v>
      </c>
      <c r="AR41" s="188">
        <v>739572980.09000003</v>
      </c>
      <c r="AS41" s="188">
        <v>738123073.30999994</v>
      </c>
      <c r="AT41" s="188">
        <v>710391095.89999998</v>
      </c>
      <c r="AU41" s="188">
        <v>698293855.84000003</v>
      </c>
      <c r="AV41" s="188">
        <v>609691775.38999999</v>
      </c>
      <c r="AW41" s="188">
        <v>603651415.44000006</v>
      </c>
      <c r="AX41" s="188">
        <v>583798480.17999995</v>
      </c>
      <c r="AY41" s="188">
        <v>589016910.71000004</v>
      </c>
      <c r="AZ41" s="188">
        <v>530502482.69</v>
      </c>
      <c r="BA41" s="188">
        <v>532933734.81</v>
      </c>
      <c r="BB41" s="188">
        <v>505870239.93000001</v>
      </c>
      <c r="BC41" s="188">
        <v>496127050.10000002</v>
      </c>
      <c r="BD41" s="188">
        <v>492287524.10000002</v>
      </c>
      <c r="BE41" s="188">
        <v>480334526.26999998</v>
      </c>
      <c r="BF41" s="188">
        <v>392350485.44</v>
      </c>
      <c r="BG41" s="188">
        <v>288701982.5</v>
      </c>
      <c r="BH41" s="188">
        <v>226150203.28999999</v>
      </c>
      <c r="BI41" s="188">
        <v>173225259.87</v>
      </c>
      <c r="BJ41" s="188">
        <v>105196982.38</v>
      </c>
      <c r="BK41" s="188">
        <v>0</v>
      </c>
    </row>
    <row r="42" spans="1:63" x14ac:dyDescent="0.25">
      <c r="A42" s="188" t="s">
        <v>146</v>
      </c>
      <c r="B42" s="188">
        <v>9467492068.4599991</v>
      </c>
      <c r="C42" s="188">
        <v>8621422251.7099991</v>
      </c>
      <c r="D42" s="188">
        <v>9094234189.3899994</v>
      </c>
      <c r="E42" s="188">
        <v>9171678300.8299999</v>
      </c>
      <c r="F42" s="188">
        <v>8327929549.25</v>
      </c>
      <c r="G42" s="188">
        <v>7395864867.04</v>
      </c>
      <c r="H42" s="188">
        <v>7804555211.71</v>
      </c>
      <c r="I42" s="188">
        <v>7854199313.0100002</v>
      </c>
      <c r="J42" s="188">
        <v>6813243320.5600004</v>
      </c>
      <c r="K42" s="188">
        <v>6830761364.0100002</v>
      </c>
      <c r="L42" s="188">
        <v>7393660595.2399998</v>
      </c>
      <c r="M42" s="188">
        <v>7396105410.3299999</v>
      </c>
      <c r="N42" s="188">
        <v>7104156305.8100004</v>
      </c>
      <c r="O42" s="188">
        <v>6524533864.2200003</v>
      </c>
      <c r="P42" s="188">
        <v>6612560170.3699999</v>
      </c>
      <c r="Q42" s="188">
        <v>6633644956.9799995</v>
      </c>
      <c r="R42" s="188">
        <v>6124732582.2200003</v>
      </c>
      <c r="S42" s="188">
        <v>5629575656.4300003</v>
      </c>
      <c r="T42" s="188">
        <v>5654392635.9499998</v>
      </c>
      <c r="U42" s="188">
        <v>5737469958.54</v>
      </c>
      <c r="V42" s="188">
        <v>5337630919.8400002</v>
      </c>
      <c r="W42" s="188">
        <v>4893414424.6099997</v>
      </c>
      <c r="X42" s="188">
        <v>4890876723.0699997</v>
      </c>
      <c r="Y42" s="188">
        <v>4960254989.1199999</v>
      </c>
      <c r="Z42" s="188">
        <v>4509680730.6199999</v>
      </c>
      <c r="AA42" s="188">
        <v>4089392197.1900001</v>
      </c>
      <c r="AB42" s="188">
        <v>4349300519.3400002</v>
      </c>
      <c r="AC42" s="188">
        <v>4392276283.96</v>
      </c>
      <c r="AD42" s="188">
        <v>4240976171.5999999</v>
      </c>
      <c r="AE42" s="188">
        <v>3971013020.6799998</v>
      </c>
      <c r="AF42" s="188">
        <v>3976714554.7600002</v>
      </c>
      <c r="AG42" s="188">
        <v>3930307944.0100002</v>
      </c>
      <c r="AH42" s="188">
        <v>3611124645.4000001</v>
      </c>
      <c r="AI42" s="188">
        <v>3309215906.0500002</v>
      </c>
      <c r="AJ42" s="188">
        <v>3399242757.7600002</v>
      </c>
      <c r="AK42" s="188">
        <v>3265848315.8699999</v>
      </c>
      <c r="AL42" s="188">
        <v>3077904025.3099999</v>
      </c>
      <c r="AM42" s="188">
        <v>2760223127.5</v>
      </c>
      <c r="AN42" s="188">
        <v>2842483741.9400001</v>
      </c>
      <c r="AO42" s="188">
        <v>2651008665.48</v>
      </c>
      <c r="AP42" s="188">
        <v>2681772616.3000002</v>
      </c>
      <c r="AQ42" s="188">
        <v>2496499427.9099998</v>
      </c>
      <c r="AR42" s="188">
        <v>2449411682.6300001</v>
      </c>
      <c r="AS42" s="188">
        <v>2365924276.79</v>
      </c>
      <c r="AT42" s="188">
        <v>2516231855.8299999</v>
      </c>
      <c r="AU42" s="188">
        <v>1775550671.3800001</v>
      </c>
      <c r="AV42" s="188">
        <v>1807388653.4400001</v>
      </c>
      <c r="AW42" s="188">
        <v>1678188961.1400001</v>
      </c>
      <c r="AX42" s="188">
        <v>1583163082.46</v>
      </c>
      <c r="AY42" s="188">
        <v>1605030714.96</v>
      </c>
      <c r="AZ42" s="188">
        <v>1489741629.22</v>
      </c>
      <c r="BA42" s="188">
        <v>1348188781.03</v>
      </c>
      <c r="BB42" s="188">
        <v>1432853247.72</v>
      </c>
      <c r="BC42" s="188">
        <v>1416865005.3499999</v>
      </c>
      <c r="BD42" s="188">
        <v>1390201765.71</v>
      </c>
      <c r="BE42" s="188">
        <v>1358677985.8499999</v>
      </c>
      <c r="BF42" s="188">
        <v>1352594827.24</v>
      </c>
      <c r="BG42" s="188">
        <v>767322329.23000002</v>
      </c>
      <c r="BH42" s="188">
        <v>574733399.47000003</v>
      </c>
      <c r="BI42" s="188">
        <v>435273140.27999997</v>
      </c>
      <c r="BJ42" s="188">
        <v>308374457.44999999</v>
      </c>
      <c r="BK42" s="188">
        <v>0</v>
      </c>
    </row>
    <row r="43" spans="1:63" x14ac:dyDescent="0.25">
      <c r="A43" s="188" t="s">
        <v>147</v>
      </c>
    </row>
    <row r="44" spans="1:63"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8000000</v>
      </c>
      <c r="AT44" s="188">
        <v>305000000</v>
      </c>
      <c r="AU44" s="188">
        <v>325000000</v>
      </c>
      <c r="AV44" s="188">
        <v>328000000</v>
      </c>
      <c r="AW44" s="188">
        <v>298000000</v>
      </c>
      <c r="AX44" s="188">
        <v>265012191</v>
      </c>
      <c r="AY44" s="188">
        <v>348000000</v>
      </c>
      <c r="AZ44" s="188">
        <v>241009921.59999999</v>
      </c>
      <c r="BA44" s="188">
        <v>185000000</v>
      </c>
      <c r="BB44" s="188">
        <v>258144762.80000001</v>
      </c>
      <c r="BC44" s="188">
        <v>307648934.5</v>
      </c>
      <c r="BD44" s="188">
        <v>280189820</v>
      </c>
      <c r="BE44" s="188">
        <v>317873726.5</v>
      </c>
      <c r="BF44" s="188">
        <v>369637683.56999999</v>
      </c>
      <c r="BG44" s="188">
        <v>284958573.60000002</v>
      </c>
      <c r="BH44" s="188">
        <v>182473633.52000001</v>
      </c>
      <c r="BI44" s="188">
        <v>109799280.7</v>
      </c>
      <c r="BJ44" s="188">
        <v>58000000</v>
      </c>
      <c r="BK44" s="188">
        <v>0</v>
      </c>
    </row>
    <row r="45" spans="1:6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12825</v>
      </c>
      <c r="V45" s="188">
        <v>0</v>
      </c>
      <c r="W45" s="188">
        <v>0</v>
      </c>
      <c r="X45" s="188">
        <v>0</v>
      </c>
      <c r="Y45" s="188">
        <v>146036.97</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944900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row>
    <row r="46" spans="1:6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10000000</v>
      </c>
      <c r="AU46" s="188">
        <v>49060000</v>
      </c>
      <c r="AV46" s="188">
        <v>109060000</v>
      </c>
      <c r="AW46" s="188">
        <v>105000000</v>
      </c>
      <c r="AX46" s="188">
        <v>50000000</v>
      </c>
      <c r="AY46" s="188">
        <v>57215000</v>
      </c>
      <c r="AZ46" s="188">
        <v>57215000</v>
      </c>
      <c r="BA46" s="188">
        <v>25000000</v>
      </c>
      <c r="BB46" s="188">
        <v>50000000</v>
      </c>
      <c r="BC46" s="188">
        <v>0</v>
      </c>
      <c r="BD46" s="188">
        <v>10000000</v>
      </c>
      <c r="BE46" s="188">
        <v>10650000</v>
      </c>
      <c r="BF46" s="188">
        <v>14200000</v>
      </c>
      <c r="BG46" s="188">
        <v>20816000</v>
      </c>
      <c r="BH46" s="188">
        <v>3973310.4</v>
      </c>
      <c r="BI46" s="188">
        <v>17496700</v>
      </c>
      <c r="BJ46" s="188">
        <v>26702727.100000001</v>
      </c>
      <c r="BK46" s="188">
        <v>0</v>
      </c>
    </row>
    <row r="47" spans="1:63" x14ac:dyDescent="0.25">
      <c r="A47" s="188" t="s">
        <v>151</v>
      </c>
      <c r="B47" s="188">
        <v>0</v>
      </c>
      <c r="C47" s="188">
        <v>2319057969.9000001</v>
      </c>
      <c r="D47" s="188">
        <v>2113564323.48</v>
      </c>
      <c r="E47" s="188">
        <v>2307025946.46</v>
      </c>
      <c r="F47" s="188">
        <v>2188428198.6999998</v>
      </c>
      <c r="G47" s="188">
        <v>1892416996.23</v>
      </c>
      <c r="H47" s="188">
        <v>1994872909.9100001</v>
      </c>
      <c r="I47" s="188">
        <v>2062140539.4400001</v>
      </c>
      <c r="J47" s="188">
        <v>1782222783.8</v>
      </c>
      <c r="K47" s="188">
        <v>1635356280.0899999</v>
      </c>
      <c r="L47" s="188">
        <v>1371093156.1700001</v>
      </c>
      <c r="M47" s="188">
        <v>1639633692.9200001</v>
      </c>
      <c r="N47" s="188">
        <v>1719946911.1900001</v>
      </c>
      <c r="O47" s="188">
        <v>1475441127.98</v>
      </c>
      <c r="P47" s="188">
        <v>1359210429.22</v>
      </c>
      <c r="Q47" s="188">
        <v>1593473427.6800001</v>
      </c>
      <c r="R47" s="188">
        <v>1405389881.8599999</v>
      </c>
      <c r="S47" s="188">
        <v>1147970354.29</v>
      </c>
      <c r="T47" s="188">
        <v>1088980902.77</v>
      </c>
      <c r="U47" s="188">
        <v>1252892830.24</v>
      </c>
      <c r="V47" s="188">
        <v>1126751573.03</v>
      </c>
      <c r="W47" s="188">
        <v>921386749.26999998</v>
      </c>
      <c r="X47" s="188">
        <v>866846574.02999997</v>
      </c>
      <c r="Y47" s="188">
        <v>1026468224.26</v>
      </c>
      <c r="Z47" s="188">
        <v>853882437.64999998</v>
      </c>
      <c r="AA47" s="188">
        <v>666977109.16999996</v>
      </c>
      <c r="AB47" s="188">
        <v>767960901.75</v>
      </c>
      <c r="AC47" s="188">
        <v>880621412.09000003</v>
      </c>
      <c r="AD47" s="188">
        <v>819408359.74000001</v>
      </c>
      <c r="AE47" s="188">
        <v>758167429.36000001</v>
      </c>
      <c r="AF47" s="188">
        <v>689437491.66999996</v>
      </c>
      <c r="AG47" s="188">
        <v>829662607.21000004</v>
      </c>
      <c r="AH47" s="188">
        <v>625218748.51999998</v>
      </c>
      <c r="AI47" s="188">
        <v>579213441.11000001</v>
      </c>
      <c r="AJ47" s="188">
        <v>595521129.16999996</v>
      </c>
      <c r="AK47" s="188">
        <v>582952653.5</v>
      </c>
      <c r="AL47" s="188">
        <v>535280136.14999998</v>
      </c>
      <c r="AM47" s="188">
        <v>348921296.87</v>
      </c>
      <c r="AN47" s="188">
        <v>414408959.26999998</v>
      </c>
      <c r="AO47" s="188">
        <v>313645213.47000003</v>
      </c>
      <c r="AP47" s="188">
        <v>467740445.38</v>
      </c>
      <c r="AQ47" s="188">
        <v>352085685.86000001</v>
      </c>
      <c r="AR47" s="188">
        <v>403190443.16000003</v>
      </c>
      <c r="AS47" s="188">
        <v>370956978.00999999</v>
      </c>
      <c r="AT47" s="188">
        <v>276925441.94</v>
      </c>
      <c r="AU47" s="188">
        <v>249574629.41999999</v>
      </c>
      <c r="AV47" s="188">
        <v>238811738.30000001</v>
      </c>
      <c r="AW47" s="188">
        <v>245879563.38</v>
      </c>
      <c r="AX47" s="188">
        <v>241420650</v>
      </c>
      <c r="AY47" s="188">
        <v>203276260.88</v>
      </c>
      <c r="AZ47" s="188">
        <v>217115051.19</v>
      </c>
      <c r="BA47" s="188">
        <v>246287876.72</v>
      </c>
      <c r="BB47" s="188">
        <v>183190791.06999999</v>
      </c>
      <c r="BC47" s="188">
        <v>189855977.78999999</v>
      </c>
      <c r="BD47" s="188">
        <v>180766727.65000001</v>
      </c>
      <c r="BE47" s="188">
        <v>159038217.15000001</v>
      </c>
      <c r="BF47" s="188">
        <v>151318306.66</v>
      </c>
      <c r="BG47" s="188">
        <v>99271932.189999998</v>
      </c>
      <c r="BH47" s="188">
        <v>68630315.319999993</v>
      </c>
      <c r="BI47" s="188">
        <v>55792631.549999997</v>
      </c>
      <c r="BJ47" s="188">
        <v>37620705.450000003</v>
      </c>
      <c r="BK47" s="188">
        <v>0</v>
      </c>
    </row>
    <row r="48" spans="1:63" x14ac:dyDescent="0.25">
      <c r="A48" s="188" t="s">
        <v>152</v>
      </c>
      <c r="B48" s="188">
        <v>408399964.56999999</v>
      </c>
      <c r="C48" s="188">
        <v>475989646.85000002</v>
      </c>
      <c r="D48" s="188">
        <v>789537210.55999994</v>
      </c>
      <c r="E48" s="188">
        <v>1206020398.54</v>
      </c>
      <c r="F48" s="188">
        <v>693738444.05999994</v>
      </c>
      <c r="G48" s="188">
        <v>418593394.22000003</v>
      </c>
      <c r="H48" s="188">
        <v>443922023.91000003</v>
      </c>
      <c r="I48" s="188">
        <v>779587538.11000001</v>
      </c>
      <c r="J48" s="188">
        <v>312340885.49000001</v>
      </c>
      <c r="K48" s="188">
        <v>271983107.54000002</v>
      </c>
      <c r="L48" s="188">
        <v>328942479.75</v>
      </c>
      <c r="M48" s="188">
        <v>363052756.95999998</v>
      </c>
      <c r="N48" s="188">
        <v>161937952.5</v>
      </c>
      <c r="O48" s="188">
        <v>195329664.72999999</v>
      </c>
      <c r="P48" s="188">
        <v>235972169.18000001</v>
      </c>
      <c r="Q48" s="188">
        <v>355555918.01999998</v>
      </c>
      <c r="R48" s="188">
        <v>231280786.28999999</v>
      </c>
      <c r="S48" s="188">
        <v>249813135.25</v>
      </c>
      <c r="T48" s="188">
        <v>248933735.00999999</v>
      </c>
      <c r="U48" s="188">
        <v>392992316.70999998</v>
      </c>
      <c r="V48" s="188">
        <v>187396199.28999999</v>
      </c>
      <c r="W48" s="188">
        <v>210312256.66</v>
      </c>
      <c r="X48" s="188">
        <v>177355918.16999999</v>
      </c>
      <c r="Y48" s="188">
        <v>280103682.36000001</v>
      </c>
      <c r="Z48" s="188">
        <v>139173142.83000001</v>
      </c>
      <c r="AA48" s="188">
        <v>78892612.640000001</v>
      </c>
      <c r="AB48" s="188">
        <v>108291771.13</v>
      </c>
      <c r="AC48" s="188">
        <v>201169843.61000001</v>
      </c>
      <c r="AD48" s="188">
        <v>169969807.59999999</v>
      </c>
      <c r="AE48" s="188">
        <v>155191827.97</v>
      </c>
      <c r="AF48" s="188">
        <v>158355012.12</v>
      </c>
      <c r="AG48" s="188">
        <v>175223880.08000001</v>
      </c>
      <c r="AH48" s="188">
        <v>121892329.27</v>
      </c>
      <c r="AI48" s="188">
        <v>72496944.450000003</v>
      </c>
      <c r="AJ48" s="188">
        <v>107625573.51000001</v>
      </c>
      <c r="AK48" s="188">
        <v>104795196.81</v>
      </c>
      <c r="AL48" s="188">
        <v>72261007.980000004</v>
      </c>
      <c r="AM48" s="188">
        <v>40267984.719999999</v>
      </c>
      <c r="AN48" s="188">
        <v>42207840.600000001</v>
      </c>
      <c r="AO48" s="188">
        <v>57615940.450000003</v>
      </c>
      <c r="AP48" s="188">
        <v>53481747.950000003</v>
      </c>
      <c r="AQ48" s="188">
        <v>53403031.359999999</v>
      </c>
      <c r="AR48" s="188">
        <v>68808270.25</v>
      </c>
      <c r="AS48" s="188">
        <v>68590144.280000001</v>
      </c>
      <c r="AT48" s="188">
        <v>98562116.719999999</v>
      </c>
      <c r="AU48" s="188">
        <v>97223471.170000002</v>
      </c>
      <c r="AV48" s="188">
        <v>83037026.560000002</v>
      </c>
      <c r="AW48" s="188">
        <v>51595575.229999997</v>
      </c>
      <c r="AX48" s="188">
        <v>107433755.43000001</v>
      </c>
      <c r="AY48" s="188">
        <v>105984087.86</v>
      </c>
      <c r="AZ48" s="188">
        <v>69945197.530000001</v>
      </c>
      <c r="BA48" s="188">
        <v>26573970.170000002</v>
      </c>
      <c r="BB48" s="188">
        <v>84747096.260000005</v>
      </c>
      <c r="BC48" s="188">
        <v>75856176.650000006</v>
      </c>
      <c r="BD48" s="188">
        <v>57489384.57</v>
      </c>
      <c r="BE48" s="188">
        <v>29826631.850000001</v>
      </c>
      <c r="BF48" s="188">
        <v>52419325.469999999</v>
      </c>
      <c r="BG48" s="188">
        <v>32514572.859999999</v>
      </c>
      <c r="BH48" s="188">
        <v>37301086.75</v>
      </c>
      <c r="BI48" s="188">
        <v>15499205.52</v>
      </c>
      <c r="BJ48" s="188">
        <v>18688241.449999999</v>
      </c>
      <c r="BK48" s="188">
        <v>0</v>
      </c>
    </row>
    <row r="49" spans="1:6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row>
    <row r="50" spans="1:63" x14ac:dyDescent="0.25">
      <c r="A50" s="188" t="s">
        <v>154</v>
      </c>
      <c r="B50" s="188">
        <v>241849208.71000001</v>
      </c>
      <c r="C50" s="188">
        <v>216818510.68000001</v>
      </c>
      <c r="D50" s="188">
        <v>194705919.47</v>
      </c>
      <c r="E50" s="188">
        <v>239096541.06</v>
      </c>
      <c r="F50" s="188">
        <v>213865706.84</v>
      </c>
      <c r="G50" s="188">
        <v>175512218.52000001</v>
      </c>
      <c r="H50" s="188">
        <v>159530208</v>
      </c>
      <c r="I50" s="188">
        <v>237919276.03</v>
      </c>
      <c r="J50" s="188">
        <v>199592106.15000001</v>
      </c>
      <c r="K50" s="188">
        <v>178221558.86000001</v>
      </c>
      <c r="L50" s="188">
        <v>146010598.09999999</v>
      </c>
      <c r="M50" s="188">
        <v>209100501.69999999</v>
      </c>
      <c r="N50" s="188">
        <v>192272300.30000001</v>
      </c>
      <c r="O50" s="188">
        <v>163165233.31</v>
      </c>
      <c r="P50" s="188">
        <v>147184814.49000001</v>
      </c>
      <c r="Q50" s="188">
        <v>196269219.28999999</v>
      </c>
      <c r="R50" s="188">
        <v>176269305.15000001</v>
      </c>
      <c r="S50" s="188">
        <v>149397907.84</v>
      </c>
      <c r="T50" s="188">
        <v>127886890.98</v>
      </c>
      <c r="U50" s="188">
        <v>191775676.78</v>
      </c>
      <c r="V50" s="188">
        <v>167449277.63999999</v>
      </c>
      <c r="W50" s="188">
        <v>147547894.38</v>
      </c>
      <c r="X50" s="188">
        <v>131934074.3</v>
      </c>
      <c r="Y50" s="188">
        <v>165814611.71000001</v>
      </c>
      <c r="Z50" s="188">
        <v>142612552.69999999</v>
      </c>
      <c r="AA50" s="188">
        <v>116859331.59</v>
      </c>
      <c r="AB50" s="188">
        <v>111064682.40000001</v>
      </c>
      <c r="AC50" s="188">
        <v>150199890.75</v>
      </c>
      <c r="AD50" s="188">
        <v>132673429.19</v>
      </c>
      <c r="AE50" s="188">
        <v>122925136.3</v>
      </c>
      <c r="AF50" s="188">
        <v>110801001.3</v>
      </c>
      <c r="AG50" s="188">
        <v>146890262.38999999</v>
      </c>
      <c r="AH50" s="188">
        <v>140221393.34</v>
      </c>
      <c r="AI50" s="188">
        <v>119934944.65000001</v>
      </c>
      <c r="AJ50" s="188">
        <v>91215157.569999993</v>
      </c>
      <c r="AK50" s="188">
        <v>115970857.8</v>
      </c>
      <c r="AL50" s="188">
        <v>88305183.370000005</v>
      </c>
      <c r="AM50" s="188">
        <v>71984924.560000002</v>
      </c>
      <c r="AN50" s="188">
        <v>56144825.57</v>
      </c>
      <c r="AO50" s="188">
        <v>61924812.219999999</v>
      </c>
      <c r="AP50" s="188">
        <v>44645511.159999996</v>
      </c>
      <c r="AQ50" s="188">
        <v>38706502.25</v>
      </c>
      <c r="AR50" s="188">
        <v>37353420.200000003</v>
      </c>
      <c r="AS50" s="188">
        <v>52570005.439999998</v>
      </c>
      <c r="AT50" s="188">
        <v>37356424.170000002</v>
      </c>
      <c r="AU50" s="188">
        <v>37477273.5</v>
      </c>
      <c r="AV50" s="188">
        <v>26567449.809999999</v>
      </c>
      <c r="AW50" s="188">
        <v>26319891.420000002</v>
      </c>
      <c r="AX50" s="188">
        <v>23657834.16</v>
      </c>
      <c r="AY50" s="188">
        <v>25214967.699999999</v>
      </c>
      <c r="AZ50" s="188">
        <v>26877083.149999999</v>
      </c>
      <c r="BA50" s="188">
        <v>26900456.84</v>
      </c>
      <c r="BB50" s="188">
        <v>24435864.82</v>
      </c>
      <c r="BC50" s="188">
        <v>21165276.239999998</v>
      </c>
      <c r="BD50" s="188">
        <v>19943188.489999998</v>
      </c>
      <c r="BE50" s="188">
        <v>22859707.309999999</v>
      </c>
      <c r="BF50" s="188">
        <v>18174922.800000001</v>
      </c>
      <c r="BG50" s="188">
        <v>17731159.079999998</v>
      </c>
      <c r="BH50" s="188">
        <v>19361233.100000001</v>
      </c>
      <c r="BI50" s="188">
        <v>14028013.279999999</v>
      </c>
      <c r="BJ50" s="188">
        <v>7468642.3099999996</v>
      </c>
      <c r="BK50" s="188">
        <v>0</v>
      </c>
    </row>
    <row r="51" spans="1:63" x14ac:dyDescent="0.25">
      <c r="A51" s="188" t="s">
        <v>155</v>
      </c>
      <c r="B51" s="188">
        <v>240523947.13999999</v>
      </c>
      <c r="C51" s="188">
        <v>167307506.88999999</v>
      </c>
      <c r="D51" s="188">
        <v>310566046.49000001</v>
      </c>
      <c r="E51" s="188">
        <v>128645212.11</v>
      </c>
      <c r="F51" s="188">
        <v>181124720.28</v>
      </c>
      <c r="G51" s="188">
        <v>150158917.56</v>
      </c>
      <c r="H51" s="188">
        <v>196688431.24000001</v>
      </c>
      <c r="I51" s="188">
        <v>115333892.17</v>
      </c>
      <c r="J51" s="188">
        <v>213348848.44999999</v>
      </c>
      <c r="K51" s="188">
        <v>199657611.34</v>
      </c>
      <c r="L51" s="188">
        <v>175350261.94999999</v>
      </c>
      <c r="M51" s="188">
        <v>95969798.950000003</v>
      </c>
      <c r="N51" s="188">
        <v>238083959.44</v>
      </c>
      <c r="O51" s="188">
        <v>167554936.47999999</v>
      </c>
      <c r="P51" s="188">
        <v>263946505.81</v>
      </c>
      <c r="Q51" s="188">
        <v>134947117.25999999</v>
      </c>
      <c r="R51" s="188">
        <v>181374391.33000001</v>
      </c>
      <c r="S51" s="188">
        <v>133439182.72</v>
      </c>
      <c r="T51" s="188">
        <v>171348126.00999999</v>
      </c>
      <c r="U51" s="188">
        <v>100812762.08</v>
      </c>
      <c r="V51" s="188">
        <v>146845834.02000001</v>
      </c>
      <c r="W51" s="188">
        <v>75785021.060000002</v>
      </c>
      <c r="X51" s="188">
        <v>103984664.8</v>
      </c>
      <c r="Y51" s="188">
        <v>43762855.189999998</v>
      </c>
      <c r="Z51" s="188">
        <v>85522432.549999997</v>
      </c>
      <c r="AA51" s="188">
        <v>29314984.890000001</v>
      </c>
      <c r="AB51" s="188">
        <v>96351556.049999997</v>
      </c>
      <c r="AC51" s="188">
        <v>25371228.350000001</v>
      </c>
      <c r="AD51" s="188">
        <v>79047072.420000002</v>
      </c>
      <c r="AE51" s="188">
        <v>44855058.200000003</v>
      </c>
      <c r="AF51" s="188">
        <v>55913141.960000001</v>
      </c>
      <c r="AG51" s="188">
        <v>9770291.5199999996</v>
      </c>
      <c r="AH51" s="188">
        <v>57297366.640000001</v>
      </c>
      <c r="AI51" s="188">
        <v>22587784.809999999</v>
      </c>
      <c r="AJ51" s="188">
        <v>57108610.939999998</v>
      </c>
      <c r="AK51" s="188">
        <v>42957391.32</v>
      </c>
      <c r="AL51" s="188">
        <v>32068353.890000001</v>
      </c>
      <c r="AM51" s="188">
        <v>29376088.960000001</v>
      </c>
      <c r="AN51" s="188">
        <v>49918350.799999997</v>
      </c>
      <c r="AO51" s="188">
        <v>14597530.59</v>
      </c>
      <c r="AP51" s="188">
        <v>18407038.43</v>
      </c>
      <c r="AQ51" s="188">
        <v>17675176.829999998</v>
      </c>
      <c r="AR51" s="188">
        <v>27609984.140000001</v>
      </c>
      <c r="AS51" s="188">
        <v>26908287.420000002</v>
      </c>
      <c r="AT51" s="188">
        <v>35088289.049999997</v>
      </c>
      <c r="AU51" s="188">
        <v>19947838.530000001</v>
      </c>
      <c r="AV51" s="188">
        <v>18806529.52</v>
      </c>
      <c r="AW51" s="188">
        <v>5624323.8899999997</v>
      </c>
      <c r="AX51" s="188">
        <v>10548870.470000001</v>
      </c>
      <c r="AY51" s="188">
        <v>3527688.98</v>
      </c>
      <c r="AZ51" s="188">
        <v>-1171165.3700000001</v>
      </c>
      <c r="BA51" s="188">
        <v>-4272692.49</v>
      </c>
      <c r="BB51" s="188">
        <v>-3042908.2</v>
      </c>
      <c r="BC51" s="188">
        <v>-4259540.4400000004</v>
      </c>
      <c r="BD51" s="188">
        <v>-1147735.1599999999</v>
      </c>
      <c r="BE51" s="188">
        <v>6211063.1600000001</v>
      </c>
      <c r="BF51" s="188">
        <v>7418144.1500000004</v>
      </c>
      <c r="BG51" s="188">
        <v>-3056829.35</v>
      </c>
      <c r="BH51" s="188">
        <v>16978819.530000001</v>
      </c>
      <c r="BI51" s="188">
        <v>8313463.6900000004</v>
      </c>
      <c r="BJ51" s="188">
        <v>0</v>
      </c>
      <c r="BK51" s="188">
        <v>0</v>
      </c>
    </row>
    <row r="52" spans="1:63"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14200</v>
      </c>
      <c r="AT52" s="188">
        <v>643051.12</v>
      </c>
      <c r="AU52" s="188">
        <v>458112.5</v>
      </c>
      <c r="AV52" s="188">
        <v>0</v>
      </c>
      <c r="AW52" s="188">
        <v>0</v>
      </c>
      <c r="AX52" s="188">
        <v>0</v>
      </c>
      <c r="AY52" s="188">
        <v>0</v>
      </c>
      <c r="AZ52" s="188">
        <v>0</v>
      </c>
      <c r="BA52" s="188">
        <v>18656</v>
      </c>
      <c r="BB52" s="188">
        <v>0</v>
      </c>
      <c r="BC52" s="188">
        <v>89600</v>
      </c>
      <c r="BD52" s="188">
        <v>105022.98</v>
      </c>
      <c r="BE52" s="188">
        <v>103185</v>
      </c>
      <c r="BF52" s="188">
        <v>0</v>
      </c>
      <c r="BG52" s="188">
        <v>0</v>
      </c>
      <c r="BH52" s="188">
        <v>33550</v>
      </c>
      <c r="BI52" s="188">
        <v>0</v>
      </c>
      <c r="BJ52" s="188">
        <v>0</v>
      </c>
      <c r="BK52" s="188">
        <v>0</v>
      </c>
    </row>
    <row r="53" spans="1:63" x14ac:dyDescent="0.25">
      <c r="A53" s="188" t="s">
        <v>157</v>
      </c>
      <c r="B53" s="188">
        <v>0</v>
      </c>
      <c r="C53" s="188">
        <v>199.21</v>
      </c>
      <c r="D53" s="188">
        <v>199.21</v>
      </c>
      <c r="E53" s="188">
        <v>0</v>
      </c>
      <c r="F53" s="188">
        <v>0</v>
      </c>
      <c r="G53" s="188">
        <v>0</v>
      </c>
      <c r="H53" s="188">
        <v>0</v>
      </c>
      <c r="I53" s="188">
        <v>0</v>
      </c>
      <c r="J53" s="188">
        <v>0</v>
      </c>
      <c r="K53" s="188">
        <v>0</v>
      </c>
      <c r="L53" s="188">
        <v>0</v>
      </c>
      <c r="M53" s="188">
        <v>0</v>
      </c>
      <c r="N53" s="188">
        <v>0</v>
      </c>
      <c r="O53" s="188">
        <v>0</v>
      </c>
      <c r="P53" s="188">
        <v>0</v>
      </c>
      <c r="Q53" s="188">
        <v>0</v>
      </c>
      <c r="R53" s="188">
        <v>66675.850000000006</v>
      </c>
      <c r="S53" s="188">
        <v>66675.850000000006</v>
      </c>
      <c r="T53" s="188">
        <v>0</v>
      </c>
      <c r="U53" s="188">
        <v>0</v>
      </c>
      <c r="V53" s="188">
        <v>36300</v>
      </c>
      <c r="W53" s="188">
        <v>36300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0</v>
      </c>
      <c r="BC53" s="188">
        <v>0</v>
      </c>
      <c r="BD53" s="188">
        <v>0</v>
      </c>
      <c r="BE53" s="188">
        <v>0</v>
      </c>
      <c r="BF53" s="188">
        <v>0</v>
      </c>
      <c r="BG53" s="188">
        <v>0</v>
      </c>
      <c r="BH53" s="188">
        <v>0</v>
      </c>
      <c r="BI53" s="188">
        <v>15600000</v>
      </c>
      <c r="BJ53" s="188">
        <v>3489043.57</v>
      </c>
      <c r="BK53" s="188">
        <v>0</v>
      </c>
    </row>
    <row r="54" spans="1:63" x14ac:dyDescent="0.25">
      <c r="A54" s="188" t="s">
        <v>158</v>
      </c>
      <c r="B54" s="188">
        <v>499266654.83999997</v>
      </c>
      <c r="C54" s="188">
        <v>104218160.44</v>
      </c>
      <c r="D54" s="188">
        <v>64976393.670000002</v>
      </c>
      <c r="E54" s="188">
        <v>67309426.310000002</v>
      </c>
      <c r="F54" s="188">
        <v>61197164.380000003</v>
      </c>
      <c r="G54" s="188">
        <v>51127826.399999999</v>
      </c>
      <c r="H54" s="188">
        <v>58592597.299999997</v>
      </c>
      <c r="I54" s="188">
        <v>80018747.049999997</v>
      </c>
      <c r="J54" s="188">
        <v>77767461.25</v>
      </c>
      <c r="K54" s="188">
        <v>587947344.21000004</v>
      </c>
      <c r="L54" s="188">
        <v>61867999.829999998</v>
      </c>
      <c r="M54" s="188">
        <v>66612278.630000003</v>
      </c>
      <c r="N54" s="188">
        <v>45897513.170000002</v>
      </c>
      <c r="O54" s="188">
        <v>48463120.789999999</v>
      </c>
      <c r="P54" s="188">
        <v>48474219.899999999</v>
      </c>
      <c r="Q54" s="188">
        <v>52765467.799999997</v>
      </c>
      <c r="R54" s="188">
        <v>45281159.890000001</v>
      </c>
      <c r="S54" s="188">
        <v>61911247.579999998</v>
      </c>
      <c r="T54" s="188">
        <v>61053607.479999997</v>
      </c>
      <c r="U54" s="188">
        <v>50410946.219999999</v>
      </c>
      <c r="V54" s="188">
        <v>45035446.359999999</v>
      </c>
      <c r="W54" s="188">
        <v>47191745.719999999</v>
      </c>
      <c r="X54" s="188">
        <v>42334500.090000004</v>
      </c>
      <c r="Y54" s="188">
        <v>48823073.439999998</v>
      </c>
      <c r="Z54" s="188">
        <v>42924820.329999998</v>
      </c>
      <c r="AA54" s="188">
        <v>48349140.759999998</v>
      </c>
      <c r="AB54" s="188">
        <v>43200454.579999998</v>
      </c>
      <c r="AC54" s="188">
        <v>40522162.270000003</v>
      </c>
      <c r="AD54" s="188">
        <v>81087690.969999999</v>
      </c>
      <c r="AE54" s="188">
        <v>66571942.939999998</v>
      </c>
      <c r="AF54" s="188">
        <v>77368806.540000007</v>
      </c>
      <c r="AG54" s="188">
        <v>31534986.620000001</v>
      </c>
      <c r="AH54" s="188">
        <v>52599325.899999999</v>
      </c>
      <c r="AI54" s="188">
        <v>26047963.120000001</v>
      </c>
      <c r="AJ54" s="188">
        <v>47757948.950000003</v>
      </c>
      <c r="AK54" s="188">
        <v>30190726.07</v>
      </c>
      <c r="AL54" s="188">
        <v>41296199.009999998</v>
      </c>
      <c r="AM54" s="188">
        <v>45844006.43</v>
      </c>
      <c r="AN54" s="188">
        <v>37537029.710000001</v>
      </c>
      <c r="AO54" s="188">
        <v>34285941.119999997</v>
      </c>
      <c r="AP54" s="188">
        <v>37069943.270000003</v>
      </c>
      <c r="AQ54" s="188">
        <v>43801078.880000003</v>
      </c>
      <c r="AR54" s="188">
        <v>34913305.109999999</v>
      </c>
      <c r="AS54" s="188">
        <v>30799084.530000001</v>
      </c>
      <c r="AT54" s="188">
        <v>32901668.82</v>
      </c>
      <c r="AU54" s="188">
        <v>24204425.52</v>
      </c>
      <c r="AV54" s="188">
        <v>38909805.509999998</v>
      </c>
      <c r="AW54" s="188">
        <v>38184574.289999999</v>
      </c>
      <c r="AX54" s="188">
        <v>34063788.43</v>
      </c>
      <c r="AY54" s="188">
        <v>32141740.23</v>
      </c>
      <c r="AZ54" s="188">
        <v>29116075.66</v>
      </c>
      <c r="BA54" s="188">
        <v>22924548.07</v>
      </c>
      <c r="BB54" s="188">
        <v>19006208.309999999</v>
      </c>
      <c r="BC54" s="188">
        <v>15480055.310000001</v>
      </c>
      <c r="BD54" s="188">
        <v>25452849.25</v>
      </c>
      <c r="BE54" s="188">
        <v>14156477.890000001</v>
      </c>
      <c r="BF54" s="188">
        <v>17006664.800000001</v>
      </c>
      <c r="BG54" s="188">
        <v>12285921.98</v>
      </c>
      <c r="BH54" s="188">
        <v>10408252.76</v>
      </c>
      <c r="BI54" s="188">
        <v>11307389.92</v>
      </c>
      <c r="BJ54" s="188">
        <v>892660.44</v>
      </c>
      <c r="BK54" s="188">
        <v>0</v>
      </c>
    </row>
    <row r="55" spans="1:6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543086.5</v>
      </c>
      <c r="AX55" s="188">
        <v>382277.55</v>
      </c>
      <c r="AY55" s="188">
        <v>430995.92</v>
      </c>
      <c r="AZ55" s="188">
        <v>513663.49</v>
      </c>
      <c r="BA55" s="188">
        <v>257353.25</v>
      </c>
      <c r="BB55" s="188">
        <v>561740.56999999995</v>
      </c>
      <c r="BC55" s="188">
        <v>611839.62</v>
      </c>
      <c r="BD55" s="188">
        <v>582943.64</v>
      </c>
      <c r="BE55" s="188">
        <v>588851.56999999995</v>
      </c>
      <c r="BF55" s="188">
        <v>1084177</v>
      </c>
      <c r="BG55" s="188">
        <v>1714875.73</v>
      </c>
      <c r="BH55" s="188">
        <v>992663.98</v>
      </c>
      <c r="BI55" s="188">
        <v>213161.74</v>
      </c>
      <c r="BJ55" s="188">
        <v>9774265.8200000003</v>
      </c>
      <c r="BK55" s="188">
        <v>0</v>
      </c>
    </row>
    <row r="56" spans="1:6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row>
    <row r="57" spans="1:6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row>
    <row r="58" spans="1:63"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10600000</v>
      </c>
      <c r="BA58" s="188">
        <v>10600000</v>
      </c>
      <c r="BB58" s="188">
        <v>20000000</v>
      </c>
      <c r="BC58" s="188">
        <v>38000000</v>
      </c>
      <c r="BD58" s="188">
        <v>0</v>
      </c>
      <c r="BE58" s="188">
        <v>0</v>
      </c>
      <c r="BF58" s="188">
        <v>0</v>
      </c>
      <c r="BG58" s="188">
        <v>0</v>
      </c>
      <c r="BH58" s="188">
        <v>0</v>
      </c>
      <c r="BI58" s="188">
        <v>0</v>
      </c>
      <c r="BJ58" s="188">
        <v>0</v>
      </c>
      <c r="BK58" s="188">
        <v>0</v>
      </c>
    </row>
    <row r="59" spans="1:63"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132554.04</v>
      </c>
      <c r="T59" s="188">
        <v>134764.88</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4132909.81</v>
      </c>
      <c r="AP59" s="188">
        <v>640000</v>
      </c>
      <c r="AQ59" s="188">
        <v>640000</v>
      </c>
      <c r="AR59" s="188">
        <v>640000</v>
      </c>
      <c r="AS59" s="188">
        <v>640000</v>
      </c>
      <c r="AT59" s="188">
        <v>0</v>
      </c>
      <c r="AU59" s="188">
        <v>0</v>
      </c>
      <c r="AV59" s="188">
        <v>0</v>
      </c>
      <c r="AW59" s="188">
        <v>0</v>
      </c>
      <c r="AX59" s="188">
        <v>0</v>
      </c>
      <c r="AY59" s="188">
        <v>0</v>
      </c>
      <c r="AZ59" s="188">
        <v>0</v>
      </c>
      <c r="BA59" s="188">
        <v>0</v>
      </c>
      <c r="BB59" s="188">
        <v>33550</v>
      </c>
      <c r="BC59" s="188">
        <v>0</v>
      </c>
      <c r="BD59" s="188">
        <v>0</v>
      </c>
      <c r="BE59" s="188">
        <v>0</v>
      </c>
      <c r="BF59" s="188">
        <v>0</v>
      </c>
      <c r="BG59" s="188">
        <v>0</v>
      </c>
      <c r="BH59" s="188">
        <v>0</v>
      </c>
      <c r="BI59" s="188">
        <v>0</v>
      </c>
      <c r="BJ59" s="188">
        <v>0</v>
      </c>
      <c r="BK59" s="188">
        <v>0</v>
      </c>
    </row>
    <row r="60" spans="1:63" x14ac:dyDescent="0.25">
      <c r="A60" s="188" t="s">
        <v>164</v>
      </c>
      <c r="B60" s="188">
        <v>4121785089.25</v>
      </c>
      <c r="C60" s="188">
        <v>3283391993.9699998</v>
      </c>
      <c r="D60" s="188">
        <v>3473350092.8800001</v>
      </c>
      <c r="E60" s="188">
        <v>3948097524.48</v>
      </c>
      <c r="F60" s="188">
        <v>3338354234.2600002</v>
      </c>
      <c r="G60" s="188">
        <v>2687809352.9299998</v>
      </c>
      <c r="H60" s="188">
        <v>2853606170.3600001</v>
      </c>
      <c r="I60" s="188">
        <v>3274999992.8000002</v>
      </c>
      <c r="J60" s="188">
        <v>2585272085.1399999</v>
      </c>
      <c r="K60" s="188">
        <v>2873165902.04</v>
      </c>
      <c r="L60" s="188">
        <v>2083264495.8</v>
      </c>
      <c r="M60" s="188">
        <v>2374369029.1599998</v>
      </c>
      <c r="N60" s="188">
        <v>2358138636.5999999</v>
      </c>
      <c r="O60" s="188">
        <v>2049954083.29</v>
      </c>
      <c r="P60" s="188">
        <v>2054788138.5999999</v>
      </c>
      <c r="Q60" s="188">
        <v>2333011150.0500002</v>
      </c>
      <c r="R60" s="188">
        <v>2039662200.3699999</v>
      </c>
      <c r="S60" s="188">
        <v>1742731057.5699999</v>
      </c>
      <c r="T60" s="188">
        <v>1698338027.1300001</v>
      </c>
      <c r="U60" s="188">
        <v>1988897357.03</v>
      </c>
      <c r="V60" s="188">
        <v>1673514630.3399999</v>
      </c>
      <c r="W60" s="188">
        <v>1402259967.0899999</v>
      </c>
      <c r="X60" s="188">
        <v>1322455731.3900001</v>
      </c>
      <c r="Y60" s="188">
        <v>1565118483.9300001</v>
      </c>
      <c r="Z60" s="188">
        <v>1264115386.0599999</v>
      </c>
      <c r="AA60" s="188">
        <v>940393179.04999995</v>
      </c>
      <c r="AB60" s="188">
        <v>1126869365.9100001</v>
      </c>
      <c r="AC60" s="188">
        <v>1297884537.0699999</v>
      </c>
      <c r="AD60" s="188">
        <v>1282186359.9200001</v>
      </c>
      <c r="AE60" s="188">
        <v>1147711394.77</v>
      </c>
      <c r="AF60" s="188">
        <v>1091875453.5899999</v>
      </c>
      <c r="AG60" s="188">
        <v>1193082027.8199999</v>
      </c>
      <c r="AH60" s="188">
        <v>997229163.66999996</v>
      </c>
      <c r="AI60" s="188">
        <v>820281078.13999999</v>
      </c>
      <c r="AJ60" s="188">
        <v>899228420.13999999</v>
      </c>
      <c r="AK60" s="188">
        <v>876866825.5</v>
      </c>
      <c r="AL60" s="188">
        <v>769210880.39999998</v>
      </c>
      <c r="AM60" s="188">
        <v>536394301.54000002</v>
      </c>
      <c r="AN60" s="188">
        <v>600217005.95000005</v>
      </c>
      <c r="AO60" s="188">
        <v>487147247.66000003</v>
      </c>
      <c r="AP60" s="188">
        <v>621984686.19000006</v>
      </c>
      <c r="AQ60" s="188">
        <v>506311475.18000001</v>
      </c>
      <c r="AR60" s="188">
        <v>572515422.86000001</v>
      </c>
      <c r="AS60" s="188">
        <v>558478699.67999995</v>
      </c>
      <c r="AT60" s="188">
        <v>796476991.82000005</v>
      </c>
      <c r="AU60" s="188">
        <v>802945750.63999999</v>
      </c>
      <c r="AV60" s="188">
        <v>843192549.70000005</v>
      </c>
      <c r="AW60" s="188">
        <v>772405563.03999996</v>
      </c>
      <c r="AX60" s="188">
        <v>733471847.96000004</v>
      </c>
      <c r="AY60" s="188">
        <v>776485824.21000004</v>
      </c>
      <c r="AZ60" s="188">
        <v>651652254.67999995</v>
      </c>
      <c r="BA60" s="188">
        <v>540165665.66999996</v>
      </c>
      <c r="BB60" s="188">
        <v>637802947.85000002</v>
      </c>
      <c r="BC60" s="188">
        <v>644904212.28999996</v>
      </c>
      <c r="BD60" s="188">
        <v>573735792.80999994</v>
      </c>
      <c r="BE60" s="188">
        <v>561705026.65999997</v>
      </c>
      <c r="BF60" s="188">
        <v>631530066.41999996</v>
      </c>
      <c r="BG60" s="188">
        <v>466438715.82999998</v>
      </c>
      <c r="BH60" s="188">
        <v>340591070.10000002</v>
      </c>
      <c r="BI60" s="188">
        <v>259884015.66999999</v>
      </c>
      <c r="BJ60" s="188">
        <v>180676230.46000001</v>
      </c>
      <c r="BK60" s="188">
        <v>0</v>
      </c>
    </row>
    <row r="61" spans="1:63" x14ac:dyDescent="0.25">
      <c r="A61" s="188" t="s">
        <v>165</v>
      </c>
    </row>
    <row r="62" spans="1:63"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20000000</v>
      </c>
      <c r="BC62" s="188">
        <v>20000000</v>
      </c>
      <c r="BD62" s="188">
        <v>58000000</v>
      </c>
      <c r="BE62" s="188">
        <v>58000000</v>
      </c>
      <c r="BF62" s="188">
        <v>58000000</v>
      </c>
      <c r="BG62" s="188">
        <v>58000000</v>
      </c>
      <c r="BH62" s="188">
        <v>20000000</v>
      </c>
      <c r="BI62" s="188">
        <v>40079737.100000001</v>
      </c>
      <c r="BJ62" s="188">
        <v>31307269.920000002</v>
      </c>
      <c r="BK62" s="188">
        <v>0</v>
      </c>
    </row>
    <row r="63" spans="1:63"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row>
    <row r="64" spans="1:63"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row>
    <row r="65" spans="1:63" x14ac:dyDescent="0.25">
      <c r="A65" s="188" t="s">
        <v>169</v>
      </c>
      <c r="B65" s="188">
        <v>4746891.07</v>
      </c>
      <c r="C65" s="188">
        <v>4983340.62</v>
      </c>
      <c r="D65" s="188">
        <v>5219790.17</v>
      </c>
      <c r="E65" s="188">
        <v>5456239.7199999997</v>
      </c>
      <c r="F65" s="188">
        <v>6095115.0800000001</v>
      </c>
      <c r="G65" s="188">
        <v>6388727.5800000001</v>
      </c>
      <c r="H65" s="188">
        <v>6682340.0899999999</v>
      </c>
      <c r="I65" s="188">
        <v>6975952.5899999999</v>
      </c>
      <c r="J65" s="188">
        <v>6739979.9199999999</v>
      </c>
      <c r="K65" s="188">
        <v>6739979.9199999999</v>
      </c>
      <c r="L65" s="188">
        <v>7042703.4500000002</v>
      </c>
      <c r="M65" s="188">
        <v>7345426.9699999997</v>
      </c>
      <c r="N65" s="188">
        <v>6462680.7800000003</v>
      </c>
      <c r="O65" s="188">
        <v>6855933.2599999998</v>
      </c>
      <c r="P65" s="188">
        <v>7249185.75</v>
      </c>
      <c r="Q65" s="188">
        <v>7642438.2300000004</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row>
    <row r="66" spans="1:6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120000</v>
      </c>
      <c r="AU66" s="188">
        <v>120000</v>
      </c>
      <c r="AV66" s="188">
        <v>120000</v>
      </c>
      <c r="AW66" s="188">
        <v>120000</v>
      </c>
      <c r="AX66" s="188">
        <v>120000</v>
      </c>
      <c r="AY66" s="188">
        <v>120000</v>
      </c>
      <c r="AZ66" s="188">
        <v>120000</v>
      </c>
      <c r="BA66" s="188">
        <v>120000</v>
      </c>
      <c r="BB66" s="188">
        <v>120000</v>
      </c>
      <c r="BC66" s="188">
        <v>120000</v>
      </c>
      <c r="BD66" s="188">
        <v>120000</v>
      </c>
      <c r="BE66" s="188">
        <v>120000</v>
      </c>
      <c r="BF66" s="188">
        <v>120000</v>
      </c>
      <c r="BG66" s="188">
        <v>120000</v>
      </c>
      <c r="BH66" s="188">
        <v>120000</v>
      </c>
      <c r="BI66" s="188">
        <v>0</v>
      </c>
      <c r="BJ66" s="188">
        <v>0</v>
      </c>
      <c r="BK66" s="188">
        <v>0</v>
      </c>
    </row>
    <row r="67" spans="1:63" x14ac:dyDescent="0.25">
      <c r="A67" s="188" t="s">
        <v>171</v>
      </c>
      <c r="B67" s="188">
        <v>10150000</v>
      </c>
      <c r="C67" s="188">
        <v>10150000</v>
      </c>
      <c r="D67" s="188">
        <v>15150000</v>
      </c>
      <c r="E67" s="188">
        <v>15150000</v>
      </c>
      <c r="F67" s="188">
        <v>15150000</v>
      </c>
      <c r="G67" s="188">
        <v>15150000</v>
      </c>
      <c r="H67" s="188">
        <v>10150000</v>
      </c>
      <c r="I67" s="188">
        <v>7150000</v>
      </c>
      <c r="J67" s="188">
        <v>3000000</v>
      </c>
      <c r="K67" s="188">
        <v>3000000</v>
      </c>
      <c r="L67" s="188">
        <v>3000000</v>
      </c>
      <c r="M67" s="188">
        <v>3000000</v>
      </c>
      <c r="N67" s="188">
        <v>13013355</v>
      </c>
      <c r="O67" s="188">
        <v>13013355</v>
      </c>
      <c r="P67" s="188">
        <v>13013355</v>
      </c>
      <c r="Q67" s="188">
        <v>13013355</v>
      </c>
      <c r="R67" s="188">
        <v>9173355</v>
      </c>
      <c r="S67" s="188">
        <v>14840655</v>
      </c>
      <c r="T67" s="188">
        <v>14840655</v>
      </c>
      <c r="U67" s="188">
        <v>14840655</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row>
    <row r="68" spans="1:63" x14ac:dyDescent="0.25">
      <c r="A68" s="188" t="s">
        <v>172</v>
      </c>
      <c r="B68" s="188">
        <v>4484750</v>
      </c>
      <c r="C68" s="188">
        <v>4484750</v>
      </c>
      <c r="D68" s="188">
        <v>4484750</v>
      </c>
      <c r="E68" s="188">
        <v>4484750</v>
      </c>
      <c r="F68" s="188">
        <v>7317692.4500000002</v>
      </c>
      <c r="G68" s="188">
        <v>7496878.0700000003</v>
      </c>
      <c r="H68" s="188">
        <v>6659665.9800000004</v>
      </c>
      <c r="I68" s="188">
        <v>6833704.75</v>
      </c>
      <c r="J68" s="188">
        <v>129255</v>
      </c>
      <c r="K68" s="188">
        <v>4595275.0999999996</v>
      </c>
      <c r="L68" s="188">
        <v>7151962.3300000001</v>
      </c>
      <c r="M68" s="188">
        <v>1660392.12</v>
      </c>
      <c r="N68" s="188">
        <v>3450818.18</v>
      </c>
      <c r="O68" s="188">
        <v>4766904.09</v>
      </c>
      <c r="P68" s="188">
        <v>4609105.49</v>
      </c>
      <c r="Q68" s="188">
        <v>1161698.56</v>
      </c>
      <c r="R68" s="188">
        <v>316790.14</v>
      </c>
      <c r="S68" s="188">
        <v>820819.7</v>
      </c>
      <c r="T68" s="188">
        <v>259486.71</v>
      </c>
      <c r="U68" s="188">
        <v>821062</v>
      </c>
      <c r="V68" s="188">
        <v>1436919.48</v>
      </c>
      <c r="W68" s="188">
        <v>942075.46</v>
      </c>
      <c r="X68" s="188">
        <v>1179673.3799999999</v>
      </c>
      <c r="Y68" s="188">
        <v>556195.81000000006</v>
      </c>
      <c r="Z68" s="188">
        <v>721641.81</v>
      </c>
      <c r="AA68" s="188">
        <v>263655.56</v>
      </c>
      <c r="AB68" s="188">
        <v>117437.04</v>
      </c>
      <c r="AC68" s="188">
        <v>132136.13</v>
      </c>
      <c r="AD68" s="188">
        <v>992886.72</v>
      </c>
      <c r="AE68" s="188">
        <v>1403035.03</v>
      </c>
      <c r="AF68" s="188">
        <v>598650.15</v>
      </c>
      <c r="AG68" s="188">
        <v>548681.98</v>
      </c>
      <c r="AH68" s="188">
        <v>372018.54</v>
      </c>
      <c r="AI68" s="188">
        <v>418033.29</v>
      </c>
      <c r="AJ68" s="188">
        <v>157124.79</v>
      </c>
      <c r="AK68" s="188">
        <v>1952895</v>
      </c>
      <c r="AL68" s="188">
        <v>180532.5</v>
      </c>
      <c r="AM68" s="188">
        <v>1128900.3</v>
      </c>
      <c r="AN68" s="188">
        <v>1123290.7</v>
      </c>
      <c r="AO68" s="188">
        <v>1236501</v>
      </c>
      <c r="AP68" s="188">
        <v>0</v>
      </c>
      <c r="AQ68" s="188">
        <v>0</v>
      </c>
      <c r="AR68" s="188">
        <v>0</v>
      </c>
      <c r="AS68" s="188">
        <v>0</v>
      </c>
      <c r="AT68" s="188">
        <v>25390186.440000001</v>
      </c>
      <c r="AU68" s="188">
        <v>23187365.030000001</v>
      </c>
      <c r="AV68" s="188">
        <v>20546548.620000001</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row>
    <row r="69" spans="1:63"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row>
    <row r="70" spans="1:6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row>
    <row r="71" spans="1:63" x14ac:dyDescent="0.25">
      <c r="A71" s="188" t="s">
        <v>175</v>
      </c>
      <c r="B71" s="188">
        <v>19381641.07</v>
      </c>
      <c r="C71" s="188">
        <v>19618090.620000001</v>
      </c>
      <c r="D71" s="188">
        <v>24854540.170000002</v>
      </c>
      <c r="E71" s="188">
        <v>25090989.719999999</v>
      </c>
      <c r="F71" s="188">
        <v>28562807.530000001</v>
      </c>
      <c r="G71" s="188">
        <v>29035605.649999999</v>
      </c>
      <c r="H71" s="188">
        <v>23492006.07</v>
      </c>
      <c r="I71" s="188">
        <v>20959657.34</v>
      </c>
      <c r="J71" s="188">
        <v>9869234.9199999999</v>
      </c>
      <c r="K71" s="188">
        <v>14335255.02</v>
      </c>
      <c r="L71" s="188">
        <v>17194665.780000001</v>
      </c>
      <c r="M71" s="188">
        <v>12005819.09</v>
      </c>
      <c r="N71" s="188">
        <v>22926853.960000001</v>
      </c>
      <c r="O71" s="188">
        <v>24636192.350000001</v>
      </c>
      <c r="P71" s="188">
        <v>24871646.239999998</v>
      </c>
      <c r="Q71" s="188">
        <v>21817491.789999999</v>
      </c>
      <c r="R71" s="188">
        <v>9490145.1400000006</v>
      </c>
      <c r="S71" s="188">
        <v>15661474.699999999</v>
      </c>
      <c r="T71" s="188">
        <v>15100141.710000001</v>
      </c>
      <c r="U71" s="188">
        <v>15661717</v>
      </c>
      <c r="V71" s="188">
        <v>1436919.48</v>
      </c>
      <c r="W71" s="188">
        <v>942075.46</v>
      </c>
      <c r="X71" s="188">
        <v>1179673.3799999999</v>
      </c>
      <c r="Y71" s="188">
        <v>556195.81000000006</v>
      </c>
      <c r="Z71" s="188">
        <v>721641.81</v>
      </c>
      <c r="AA71" s="188">
        <v>263655.56</v>
      </c>
      <c r="AB71" s="188">
        <v>117437.04</v>
      </c>
      <c r="AC71" s="188">
        <v>132136.13</v>
      </c>
      <c r="AD71" s="188">
        <v>992886.72</v>
      </c>
      <c r="AE71" s="188">
        <v>1403035.03</v>
      </c>
      <c r="AF71" s="188">
        <v>598650.15</v>
      </c>
      <c r="AG71" s="188">
        <v>548681.98</v>
      </c>
      <c r="AH71" s="188">
        <v>372018.54</v>
      </c>
      <c r="AI71" s="188">
        <v>418033.29</v>
      </c>
      <c r="AJ71" s="188">
        <v>157124.79</v>
      </c>
      <c r="AK71" s="188">
        <v>1952895</v>
      </c>
      <c r="AL71" s="188">
        <v>180532.5</v>
      </c>
      <c r="AM71" s="188">
        <v>1128900.3</v>
      </c>
      <c r="AN71" s="188">
        <v>1123290.7</v>
      </c>
      <c r="AO71" s="188">
        <v>1236501</v>
      </c>
      <c r="AP71" s="188">
        <v>0</v>
      </c>
      <c r="AQ71" s="188">
        <v>0</v>
      </c>
      <c r="AR71" s="188">
        <v>0</v>
      </c>
      <c r="AS71" s="188">
        <v>0</v>
      </c>
      <c r="AT71" s="188">
        <v>25510186.440000001</v>
      </c>
      <c r="AU71" s="188">
        <v>23307365.030000001</v>
      </c>
      <c r="AV71" s="188">
        <v>20666548.620000001</v>
      </c>
      <c r="AW71" s="188">
        <v>120000</v>
      </c>
      <c r="AX71" s="188">
        <v>120000</v>
      </c>
      <c r="AY71" s="188">
        <v>120000</v>
      </c>
      <c r="AZ71" s="188">
        <v>120000</v>
      </c>
      <c r="BA71" s="188">
        <v>120000</v>
      </c>
      <c r="BB71" s="188">
        <v>20120000</v>
      </c>
      <c r="BC71" s="188">
        <v>20120000</v>
      </c>
      <c r="BD71" s="188">
        <v>58120000</v>
      </c>
      <c r="BE71" s="188">
        <v>58120000</v>
      </c>
      <c r="BF71" s="188">
        <v>58120000</v>
      </c>
      <c r="BG71" s="188">
        <v>58120000</v>
      </c>
      <c r="BH71" s="188">
        <v>20120000</v>
      </c>
      <c r="BI71" s="188">
        <v>40079737.100000001</v>
      </c>
      <c r="BJ71" s="188">
        <v>31307269.920000002</v>
      </c>
      <c r="BK71" s="188">
        <v>0</v>
      </c>
    </row>
    <row r="72" spans="1:63" x14ac:dyDescent="0.25">
      <c r="A72" s="188" t="s">
        <v>176</v>
      </c>
      <c r="B72" s="188">
        <v>4141166730.3200002</v>
      </c>
      <c r="C72" s="188">
        <v>3303010084.5900002</v>
      </c>
      <c r="D72" s="188">
        <v>3498204633.0500002</v>
      </c>
      <c r="E72" s="188">
        <v>3973188514.1999998</v>
      </c>
      <c r="F72" s="188">
        <v>3366917041.79</v>
      </c>
      <c r="G72" s="188">
        <v>2716844958.5799999</v>
      </c>
      <c r="H72" s="188">
        <v>2877098176.4299998</v>
      </c>
      <c r="I72" s="188">
        <v>3295959650.1399999</v>
      </c>
      <c r="J72" s="188">
        <v>2595141320.0599999</v>
      </c>
      <c r="K72" s="188">
        <v>2887501157.0599999</v>
      </c>
      <c r="L72" s="188">
        <v>2100459161.5799999</v>
      </c>
      <c r="M72" s="188">
        <v>2386374848.25</v>
      </c>
      <c r="N72" s="188">
        <v>2381065490.5599999</v>
      </c>
      <c r="O72" s="188">
        <v>2074590275.6400001</v>
      </c>
      <c r="P72" s="188">
        <v>2079659784.8399999</v>
      </c>
      <c r="Q72" s="188">
        <v>2354828641.8400002</v>
      </c>
      <c r="R72" s="188">
        <v>2049152345.51</v>
      </c>
      <c r="S72" s="188">
        <v>1758392532.27</v>
      </c>
      <c r="T72" s="188">
        <v>1713438168.8399999</v>
      </c>
      <c r="U72" s="188">
        <v>2004559074.03</v>
      </c>
      <c r="V72" s="188">
        <v>1674951549.8199999</v>
      </c>
      <c r="W72" s="188">
        <v>1403202042.55</v>
      </c>
      <c r="X72" s="188">
        <v>1323635404.77</v>
      </c>
      <c r="Y72" s="188">
        <v>1565674679.74</v>
      </c>
      <c r="Z72" s="188">
        <v>1264837027.8699999</v>
      </c>
      <c r="AA72" s="188">
        <v>940656834.61000001</v>
      </c>
      <c r="AB72" s="188">
        <v>1126986802.95</v>
      </c>
      <c r="AC72" s="188">
        <v>1298016673.2</v>
      </c>
      <c r="AD72" s="188">
        <v>1283179246.6400001</v>
      </c>
      <c r="AE72" s="188">
        <v>1149114429.8</v>
      </c>
      <c r="AF72" s="188">
        <v>1092474103.74</v>
      </c>
      <c r="AG72" s="188">
        <v>1193630709.8</v>
      </c>
      <c r="AH72" s="188">
        <v>997601182.21000004</v>
      </c>
      <c r="AI72" s="188">
        <v>820699111.42999995</v>
      </c>
      <c r="AJ72" s="188">
        <v>899385544.92999995</v>
      </c>
      <c r="AK72" s="188">
        <v>878819720.5</v>
      </c>
      <c r="AL72" s="188">
        <v>769391412.89999998</v>
      </c>
      <c r="AM72" s="188">
        <v>537523201.84000003</v>
      </c>
      <c r="AN72" s="188">
        <v>601340296.64999998</v>
      </c>
      <c r="AO72" s="188">
        <v>488383748.66000003</v>
      </c>
      <c r="AP72" s="188">
        <v>621984686.19000006</v>
      </c>
      <c r="AQ72" s="188">
        <v>506311475.18000001</v>
      </c>
      <c r="AR72" s="188">
        <v>572515422.86000001</v>
      </c>
      <c r="AS72" s="188">
        <v>558478699.67999995</v>
      </c>
      <c r="AT72" s="188">
        <v>821987178.25999999</v>
      </c>
      <c r="AU72" s="188">
        <v>826253115.66999996</v>
      </c>
      <c r="AV72" s="188">
        <v>863859098.32000005</v>
      </c>
      <c r="AW72" s="188">
        <v>772525563.03999996</v>
      </c>
      <c r="AX72" s="188">
        <v>733591847.96000004</v>
      </c>
      <c r="AY72" s="188">
        <v>776605824.21000004</v>
      </c>
      <c r="AZ72" s="188">
        <v>651772254.67999995</v>
      </c>
      <c r="BA72" s="188">
        <v>540285665.66999996</v>
      </c>
      <c r="BB72" s="188">
        <v>657922947.85000002</v>
      </c>
      <c r="BC72" s="188">
        <v>665024212.28999996</v>
      </c>
      <c r="BD72" s="188">
        <v>631855792.80999994</v>
      </c>
      <c r="BE72" s="188">
        <v>619825026.65999997</v>
      </c>
      <c r="BF72" s="188">
        <v>689650066.41999996</v>
      </c>
      <c r="BG72" s="188">
        <v>524558715.82999998</v>
      </c>
      <c r="BH72" s="188">
        <v>360711070.10000002</v>
      </c>
      <c r="BI72" s="188">
        <v>299963752.76999998</v>
      </c>
      <c r="BJ72" s="188">
        <v>211983500.38</v>
      </c>
      <c r="BK72" s="188">
        <v>0</v>
      </c>
    </row>
    <row r="73" spans="1:63" x14ac:dyDescent="0.25">
      <c r="A73" s="188" t="s">
        <v>177</v>
      </c>
    </row>
    <row r="74" spans="1:63" x14ac:dyDescent="0.25">
      <c r="A74" s="188" t="s">
        <v>178</v>
      </c>
      <c r="B74" s="188">
        <v>821243960</v>
      </c>
      <c r="C74" s="188">
        <v>821243960</v>
      </c>
      <c r="D74" s="188">
        <v>821287610</v>
      </c>
      <c r="E74" s="188">
        <v>821287610</v>
      </c>
      <c r="F74" s="188">
        <v>821287610</v>
      </c>
      <c r="G74" s="188">
        <v>821287610</v>
      </c>
      <c r="H74" s="188">
        <v>631765700</v>
      </c>
      <c r="I74" s="188">
        <v>631765700</v>
      </c>
      <c r="J74" s="188">
        <v>631765700</v>
      </c>
      <c r="K74" s="188">
        <v>631765700</v>
      </c>
      <c r="L74" s="188">
        <v>632875188</v>
      </c>
      <c r="M74" s="188">
        <v>632875188</v>
      </c>
      <c r="N74" s="188">
        <v>632875188</v>
      </c>
      <c r="O74" s="188">
        <v>632875188</v>
      </c>
      <c r="P74" s="188">
        <v>633853440</v>
      </c>
      <c r="Q74" s="188">
        <v>633853440</v>
      </c>
      <c r="R74" s="188">
        <v>633853440</v>
      </c>
      <c r="S74" s="188">
        <v>633853440</v>
      </c>
      <c r="T74" s="188">
        <v>634394112</v>
      </c>
      <c r="U74" s="188">
        <v>634394112</v>
      </c>
      <c r="V74" s="188">
        <v>634504112</v>
      </c>
      <c r="W74" s="188">
        <v>634977200</v>
      </c>
      <c r="X74" s="188">
        <v>634977200</v>
      </c>
      <c r="Y74" s="188">
        <v>634977200</v>
      </c>
      <c r="Z74" s="188">
        <v>634977200</v>
      </c>
      <c r="AA74" s="188">
        <v>634977200</v>
      </c>
      <c r="AB74" s="188">
        <v>577252000</v>
      </c>
      <c r="AC74" s="188">
        <v>577252000</v>
      </c>
      <c r="AD74" s="188">
        <v>577252000</v>
      </c>
      <c r="AE74" s="188">
        <v>577252000</v>
      </c>
      <c r="AF74" s="188">
        <v>577252000</v>
      </c>
      <c r="AG74" s="188">
        <v>577252000</v>
      </c>
      <c r="AH74" s="188">
        <v>577252000</v>
      </c>
      <c r="AI74" s="188">
        <v>577252000</v>
      </c>
      <c r="AJ74" s="188">
        <v>444040000</v>
      </c>
      <c r="AK74" s="188">
        <v>444040000</v>
      </c>
      <c r="AL74" s="188">
        <v>444040000</v>
      </c>
      <c r="AM74" s="188">
        <v>444040000</v>
      </c>
      <c r="AN74" s="188">
        <v>444040000</v>
      </c>
      <c r="AO74" s="188">
        <v>444040000</v>
      </c>
      <c r="AP74" s="188">
        <v>444040000</v>
      </c>
      <c r="AQ74" s="188">
        <v>444040000</v>
      </c>
      <c r="AR74" s="188">
        <v>432040000</v>
      </c>
      <c r="AS74" s="188">
        <v>216020000</v>
      </c>
      <c r="AT74" s="188">
        <v>216020000</v>
      </c>
      <c r="AU74" s="188">
        <v>176020000</v>
      </c>
      <c r="AV74" s="188">
        <v>176020000</v>
      </c>
      <c r="AW74" s="188">
        <v>176020000</v>
      </c>
      <c r="AX74" s="188">
        <v>176020000</v>
      </c>
      <c r="AY74" s="188">
        <v>176020000</v>
      </c>
      <c r="AZ74" s="188">
        <v>176020000</v>
      </c>
      <c r="BA74" s="188">
        <v>176020000</v>
      </c>
      <c r="BB74" s="188">
        <v>176020000</v>
      </c>
      <c r="BC74" s="188">
        <v>176020000</v>
      </c>
      <c r="BD74" s="188">
        <v>135400000</v>
      </c>
      <c r="BE74" s="188">
        <v>135400000</v>
      </c>
      <c r="BF74" s="188">
        <v>135400000</v>
      </c>
      <c r="BG74" s="188">
        <v>101400000</v>
      </c>
      <c r="BH74" s="188">
        <v>101400000</v>
      </c>
      <c r="BI74" s="188">
        <v>78000000</v>
      </c>
      <c r="BJ74" s="188">
        <v>60000000</v>
      </c>
      <c r="BK74" s="188">
        <v>0</v>
      </c>
    </row>
    <row r="75" spans="1:63" x14ac:dyDescent="0.25">
      <c r="A75" s="188" t="s">
        <v>179</v>
      </c>
      <c r="B75" s="188">
        <v>128096466.84</v>
      </c>
      <c r="C75" s="188">
        <v>128747489.37</v>
      </c>
      <c r="D75" s="188">
        <v>104566775.37</v>
      </c>
      <c r="E75" s="188">
        <v>93907646.370000005</v>
      </c>
      <c r="F75" s="188">
        <v>60821185.420000002</v>
      </c>
      <c r="G75" s="188">
        <v>60059812.969999999</v>
      </c>
      <c r="H75" s="188">
        <v>41621553.32</v>
      </c>
      <c r="I75" s="188">
        <v>39885839.32</v>
      </c>
      <c r="J75" s="188">
        <v>38075666.32</v>
      </c>
      <c r="K75" s="188">
        <v>36265478.32</v>
      </c>
      <c r="L75" s="188">
        <v>559392209.72000003</v>
      </c>
      <c r="M75" s="188">
        <v>557582021.72000003</v>
      </c>
      <c r="N75" s="188">
        <v>554728653.14999998</v>
      </c>
      <c r="O75" s="188">
        <v>551574030.14999998</v>
      </c>
      <c r="P75" s="188">
        <v>550217414.70000005</v>
      </c>
      <c r="Q75" s="188">
        <v>544286532.14999998</v>
      </c>
      <c r="R75" s="188">
        <v>546297203.13999999</v>
      </c>
      <c r="S75" s="188">
        <v>540430943.63</v>
      </c>
      <c r="T75" s="188">
        <v>535705222.82999998</v>
      </c>
      <c r="U75" s="188">
        <v>531694082.70999998</v>
      </c>
      <c r="V75" s="188">
        <v>629250231.61000001</v>
      </c>
      <c r="W75" s="188">
        <v>627319218.74000001</v>
      </c>
      <c r="X75" s="188">
        <v>622945444.13</v>
      </c>
      <c r="Y75" s="188">
        <v>618571669.51999998</v>
      </c>
      <c r="Z75" s="188">
        <v>652895375.96000004</v>
      </c>
      <c r="AA75" s="188">
        <v>648521601.35000002</v>
      </c>
      <c r="AB75" s="188">
        <v>706191679.13999999</v>
      </c>
      <c r="AC75" s="188">
        <v>706526646.33000004</v>
      </c>
      <c r="AD75" s="188">
        <v>706526646.33000004</v>
      </c>
      <c r="AE75" s="188">
        <v>706526646.33000004</v>
      </c>
      <c r="AF75" s="188">
        <v>706526646.33000004</v>
      </c>
      <c r="AG75" s="188">
        <v>706526646.33000004</v>
      </c>
      <c r="AH75" s="188">
        <v>706526646.33000004</v>
      </c>
      <c r="AI75" s="188">
        <v>706526646.33000004</v>
      </c>
      <c r="AJ75" s="188">
        <v>839738646.33000004</v>
      </c>
      <c r="AK75" s="188">
        <v>839738646.33000004</v>
      </c>
      <c r="AL75" s="188">
        <v>839738646.33000004</v>
      </c>
      <c r="AM75" s="188">
        <v>839738646.33000004</v>
      </c>
      <c r="AN75" s="188">
        <v>839738646.33000004</v>
      </c>
      <c r="AO75" s="188">
        <v>839738646.33000004</v>
      </c>
      <c r="AP75" s="188">
        <v>833550966.33000004</v>
      </c>
      <c r="AQ75" s="188">
        <v>827363286.33000004</v>
      </c>
      <c r="AR75" s="188">
        <v>788818006.33000004</v>
      </c>
      <c r="AS75" s="188">
        <v>1002087926.33</v>
      </c>
      <c r="AT75" s="188">
        <v>996126121.97000003</v>
      </c>
      <c r="AU75" s="188">
        <v>328400281.97000003</v>
      </c>
      <c r="AV75" s="188">
        <v>324275161.97000003</v>
      </c>
      <c r="AW75" s="188">
        <v>318087481.97000003</v>
      </c>
      <c r="AX75" s="188">
        <v>317767481.97000003</v>
      </c>
      <c r="AY75" s="188">
        <v>317937481.97000003</v>
      </c>
      <c r="AZ75" s="188">
        <v>317937481.97000003</v>
      </c>
      <c r="BA75" s="188">
        <v>317937481.97000003</v>
      </c>
      <c r="BB75" s="188">
        <v>317937481.98000002</v>
      </c>
      <c r="BC75" s="188">
        <v>320937481.98000002</v>
      </c>
      <c r="BD75" s="188">
        <v>361557481.98000002</v>
      </c>
      <c r="BE75" s="188">
        <v>361535762.72000003</v>
      </c>
      <c r="BF75" s="188">
        <v>360569005.33999997</v>
      </c>
      <c r="BG75" s="188">
        <v>257664.67</v>
      </c>
      <c r="BH75" s="188">
        <v>245377.56</v>
      </c>
      <c r="BI75" s="188">
        <v>167123.41</v>
      </c>
      <c r="BJ75" s="188">
        <v>3138.86</v>
      </c>
      <c r="BK75" s="188">
        <v>0</v>
      </c>
    </row>
    <row r="76" spans="1:63" x14ac:dyDescent="0.25">
      <c r="A76" s="188" t="s">
        <v>180</v>
      </c>
      <c r="B76" s="188">
        <v>4300000</v>
      </c>
      <c r="C76" s="188">
        <v>21945167.690000001</v>
      </c>
      <c r="D76" s="188">
        <v>21945167.690000001</v>
      </c>
      <c r="E76" s="188">
        <v>21945167.690000001</v>
      </c>
      <c r="F76" s="188">
        <v>0</v>
      </c>
      <c r="G76" s="188">
        <v>0</v>
      </c>
      <c r="H76" s="188">
        <v>0</v>
      </c>
      <c r="I76" s="188">
        <v>0</v>
      </c>
      <c r="J76" s="188">
        <v>0</v>
      </c>
      <c r="K76" s="188">
        <v>0</v>
      </c>
      <c r="L76" s="188">
        <v>0</v>
      </c>
      <c r="M76" s="188">
        <v>0</v>
      </c>
      <c r="N76" s="188">
        <v>0</v>
      </c>
      <c r="O76" s="188">
        <v>0</v>
      </c>
      <c r="P76" s="188">
        <v>0</v>
      </c>
      <c r="Q76" s="188">
        <v>0</v>
      </c>
      <c r="R76" s="188">
        <v>2729067.34</v>
      </c>
      <c r="S76" s="188">
        <v>2729067.34</v>
      </c>
      <c r="T76" s="188">
        <v>2729067.34</v>
      </c>
      <c r="U76" s="188">
        <v>2729067.34</v>
      </c>
      <c r="V76" s="188">
        <v>1386858.52</v>
      </c>
      <c r="W76" s="188">
        <v>1386858.52</v>
      </c>
      <c r="X76" s="188">
        <v>1386858.52</v>
      </c>
      <c r="Y76" s="188">
        <v>1386858.52</v>
      </c>
      <c r="Z76" s="188">
        <v>34671462.890000001</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row>
    <row r="77" spans="1:63" x14ac:dyDescent="0.25">
      <c r="A77" s="188" t="s">
        <v>181</v>
      </c>
      <c r="B77" s="188">
        <v>-25062369.719999999</v>
      </c>
      <c r="C77" s="188">
        <v>-28916481.059999999</v>
      </c>
      <c r="D77" s="188">
        <v>-35604109.420000002</v>
      </c>
      <c r="E77" s="188">
        <v>-29493764.27</v>
      </c>
      <c r="F77" s="188">
        <v>-27421597.609999999</v>
      </c>
      <c r="G77" s="188">
        <v>-24417425.140000001</v>
      </c>
      <c r="H77" s="188">
        <v>-21868391.539999999</v>
      </c>
      <c r="I77" s="188">
        <v>-21115130.390000001</v>
      </c>
      <c r="J77" s="188">
        <v>-23567793.23</v>
      </c>
      <c r="K77" s="188">
        <v>-24538839.489999998</v>
      </c>
      <c r="L77" s="188">
        <v>-27728833.190000001</v>
      </c>
      <c r="M77" s="188">
        <v>-20233714.960000001</v>
      </c>
      <c r="N77" s="188">
        <v>-27167879.379999999</v>
      </c>
      <c r="O77" s="188">
        <v>-28083373.120000001</v>
      </c>
      <c r="P77" s="188">
        <v>-29234335.260000002</v>
      </c>
      <c r="Q77" s="188">
        <v>-24083236.09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row>
    <row r="78" spans="1:6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row>
    <row r="79" spans="1:63" x14ac:dyDescent="0.25">
      <c r="A79" s="188" t="s">
        <v>183</v>
      </c>
      <c r="B79" s="188">
        <v>393893137.70999998</v>
      </c>
      <c r="C79" s="188">
        <v>393893137.70999998</v>
      </c>
      <c r="D79" s="188">
        <v>393893137.70999998</v>
      </c>
      <c r="E79" s="188">
        <v>393893137.70999998</v>
      </c>
      <c r="F79" s="188">
        <v>295189204.06</v>
      </c>
      <c r="G79" s="188">
        <v>295681206.47000003</v>
      </c>
      <c r="H79" s="188">
        <v>295681206.47000003</v>
      </c>
      <c r="I79" s="188">
        <v>295681206.47000003</v>
      </c>
      <c r="J79" s="188">
        <v>188929186.03999999</v>
      </c>
      <c r="K79" s="188">
        <v>188929186.03999999</v>
      </c>
      <c r="L79" s="188">
        <v>197410981.99000001</v>
      </c>
      <c r="M79" s="188">
        <v>197410981.99000001</v>
      </c>
      <c r="N79" s="188">
        <v>154971348.5</v>
      </c>
      <c r="O79" s="188">
        <v>154971348.5</v>
      </c>
      <c r="P79" s="188">
        <v>154971348.5</v>
      </c>
      <c r="Q79" s="188">
        <v>154971348.5</v>
      </c>
      <c r="R79" s="188">
        <v>140734083.88999999</v>
      </c>
      <c r="S79" s="188">
        <v>140734083.88999999</v>
      </c>
      <c r="T79" s="188">
        <v>140734083.88999999</v>
      </c>
      <c r="U79" s="188">
        <v>140734083.88999999</v>
      </c>
      <c r="V79" s="188">
        <v>100350805.31</v>
      </c>
      <c r="W79" s="188">
        <v>100350805.31</v>
      </c>
      <c r="X79" s="188">
        <v>100350805.31</v>
      </c>
      <c r="Y79" s="188">
        <v>100350805.31</v>
      </c>
      <c r="Z79" s="188">
        <v>87619991.480000004</v>
      </c>
      <c r="AA79" s="188">
        <v>87619991.480000004</v>
      </c>
      <c r="AB79" s="188">
        <v>87619991.480000004</v>
      </c>
      <c r="AC79" s="188">
        <v>87619991.480000004</v>
      </c>
      <c r="AD79" s="188">
        <v>72019463.530000001</v>
      </c>
      <c r="AE79" s="188">
        <v>72019463.530000001</v>
      </c>
      <c r="AF79" s="188">
        <v>72019463.530000001</v>
      </c>
      <c r="AG79" s="188">
        <v>72019463.530000001</v>
      </c>
      <c r="AH79" s="188">
        <v>55292673.18</v>
      </c>
      <c r="AI79" s="188">
        <v>55292673.18</v>
      </c>
      <c r="AJ79" s="188">
        <v>55292673.18</v>
      </c>
      <c r="AK79" s="188">
        <v>55292673.18</v>
      </c>
      <c r="AL79" s="188">
        <v>26938903.940000001</v>
      </c>
      <c r="AM79" s="188">
        <v>26938903.940000001</v>
      </c>
      <c r="AN79" s="188">
        <v>26938903.940000001</v>
      </c>
      <c r="AO79" s="188">
        <v>26938903.940000001</v>
      </c>
      <c r="AP79" s="188">
        <v>17002277.309999999</v>
      </c>
      <c r="AQ79" s="188">
        <v>17002277.309999999</v>
      </c>
      <c r="AR79" s="188">
        <v>17002277.309999999</v>
      </c>
      <c r="AS79" s="188">
        <v>17002277.309999999</v>
      </c>
      <c r="AT79" s="188">
        <v>48840603.5</v>
      </c>
      <c r="AU79" s="188">
        <v>48840603.5</v>
      </c>
      <c r="AV79" s="188">
        <v>50145199.039999999</v>
      </c>
      <c r="AW79" s="188">
        <v>50145199.039999999</v>
      </c>
      <c r="AX79" s="188">
        <v>40262323.799999997</v>
      </c>
      <c r="AY79" s="188">
        <v>40262323.799999997</v>
      </c>
      <c r="AZ79" s="188">
        <v>40262323.799999997</v>
      </c>
      <c r="BA79" s="188">
        <v>40262323.799999997</v>
      </c>
      <c r="BB79" s="188">
        <v>34032175.009999998</v>
      </c>
      <c r="BC79" s="188">
        <v>34032175.009999998</v>
      </c>
      <c r="BD79" s="188">
        <v>34032175.009999998</v>
      </c>
      <c r="BE79" s="188">
        <v>34032175.009999998</v>
      </c>
      <c r="BF79" s="188">
        <v>24461025.140000001</v>
      </c>
      <c r="BG79" s="188">
        <v>24461025.140000001</v>
      </c>
      <c r="BH79" s="188">
        <v>24461025.140000001</v>
      </c>
      <c r="BI79" s="188">
        <v>13390831.9</v>
      </c>
      <c r="BJ79" s="188">
        <v>5094868.63</v>
      </c>
      <c r="BK79" s="188">
        <v>0</v>
      </c>
    </row>
    <row r="80" spans="1:6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row>
    <row r="81" spans="1:63" x14ac:dyDescent="0.25">
      <c r="A81" s="188" t="s">
        <v>185</v>
      </c>
      <c r="B81" s="188">
        <v>4012546683.4299998</v>
      </c>
      <c r="C81" s="188">
        <v>4025147518.9499998</v>
      </c>
      <c r="D81" s="188">
        <v>4333296405.4300003</v>
      </c>
      <c r="E81" s="188">
        <v>3940017051.6199999</v>
      </c>
      <c r="F81" s="188">
        <v>3809890609.5100002</v>
      </c>
      <c r="G81" s="188">
        <v>3514924126.79</v>
      </c>
      <c r="H81" s="188">
        <v>3960589789.8000002</v>
      </c>
      <c r="I81" s="188">
        <v>3594110982.1900001</v>
      </c>
      <c r="J81" s="188">
        <v>3365483897.3699999</v>
      </c>
      <c r="K81" s="188">
        <v>3093880017.5599999</v>
      </c>
      <c r="L81" s="188">
        <v>3328676875.1500001</v>
      </c>
      <c r="M81" s="188">
        <v>3053468801.7800002</v>
      </c>
      <c r="N81" s="188">
        <v>2843911983.9299998</v>
      </c>
      <c r="O81" s="188">
        <v>2601985060.6599998</v>
      </c>
      <c r="P81" s="188">
        <v>2709662334.0599999</v>
      </c>
      <c r="Q81" s="188">
        <v>2479039992.0700002</v>
      </c>
      <c r="R81" s="188">
        <v>2311580036.2800002</v>
      </c>
      <c r="S81" s="188">
        <v>2134766858.8199999</v>
      </c>
      <c r="T81" s="188">
        <v>2227531437.3499999</v>
      </c>
      <c r="U81" s="188">
        <v>2038044079.3299999</v>
      </c>
      <c r="V81" s="188">
        <v>1922515755.6300001</v>
      </c>
      <c r="W81" s="188">
        <v>1764682686.45</v>
      </c>
      <c r="X81" s="188">
        <v>1857688740.76</v>
      </c>
      <c r="Y81" s="188">
        <v>1699424373.4200001</v>
      </c>
      <c r="Z81" s="188">
        <v>1576175709.01</v>
      </c>
      <c r="AA81" s="188">
        <v>1463053561.4200001</v>
      </c>
      <c r="AB81" s="188">
        <v>1544958208.8</v>
      </c>
      <c r="AC81" s="188">
        <v>1416191742.78</v>
      </c>
      <c r="AD81" s="188">
        <v>1308698959.26</v>
      </c>
      <c r="AE81" s="188">
        <v>1187316081.96</v>
      </c>
      <c r="AF81" s="188">
        <v>1258540888.3</v>
      </c>
      <c r="AG81" s="188">
        <v>1117782670.01</v>
      </c>
      <c r="AH81" s="188">
        <v>1026872067.9400001</v>
      </c>
      <c r="AI81" s="188">
        <v>909811452.71000004</v>
      </c>
      <c r="AJ81" s="188">
        <v>925217902.53999996</v>
      </c>
      <c r="AK81" s="188">
        <v>819391236.27999997</v>
      </c>
      <c r="AL81" s="188">
        <v>740715251.50999999</v>
      </c>
      <c r="AM81" s="188">
        <v>660912099.42999995</v>
      </c>
      <c r="AN81" s="188">
        <v>691994278.77999997</v>
      </c>
      <c r="AO81" s="188">
        <v>626136248.87</v>
      </c>
      <c r="AP81" s="188">
        <v>553271386.09000003</v>
      </c>
      <c r="AQ81" s="188">
        <v>501857721.25999999</v>
      </c>
      <c r="AR81" s="188">
        <v>452937934.54000002</v>
      </c>
      <c r="AS81" s="188">
        <v>399565884.54000002</v>
      </c>
      <c r="AT81" s="188">
        <v>275077725.54000002</v>
      </c>
      <c r="AU81" s="188">
        <v>246376839.16</v>
      </c>
      <c r="AV81" s="188">
        <v>249975200.00999999</v>
      </c>
      <c r="AW81" s="188">
        <v>228954861.94999999</v>
      </c>
      <c r="AX81" s="188">
        <v>196821140.66</v>
      </c>
      <c r="AY81" s="188">
        <v>179173990.25999999</v>
      </c>
      <c r="AZ81" s="188">
        <v>194932728.91</v>
      </c>
      <c r="BA81" s="188">
        <v>171831320.43000001</v>
      </c>
      <c r="BB81" s="188">
        <v>151388446.02000001</v>
      </c>
      <c r="BC81" s="188">
        <v>138329393</v>
      </c>
      <c r="BD81" s="188">
        <v>150340064.38999999</v>
      </c>
      <c r="BE81" s="188">
        <v>135914216.56</v>
      </c>
      <c r="BF81" s="188">
        <v>119014478.76000001</v>
      </c>
      <c r="BG81" s="188">
        <v>105377473.61</v>
      </c>
      <c r="BH81" s="188">
        <v>82336547.469999999</v>
      </c>
      <c r="BI81" s="188">
        <v>40332782.049999997</v>
      </c>
      <c r="BJ81" s="188">
        <v>30935816.93</v>
      </c>
      <c r="BK81" s="188">
        <v>0</v>
      </c>
    </row>
    <row r="82" spans="1:63" x14ac:dyDescent="0.25">
      <c r="A82" s="188" t="s">
        <v>186</v>
      </c>
      <c r="B82" s="188">
        <v>5326417878.2600002</v>
      </c>
      <c r="C82" s="188">
        <v>5318170457.2799997</v>
      </c>
      <c r="D82" s="188">
        <v>5595494651.3999996</v>
      </c>
      <c r="E82" s="188">
        <v>5197666513.7399998</v>
      </c>
      <c r="F82" s="188">
        <v>4959767011.3800001</v>
      </c>
      <c r="G82" s="188">
        <v>4667535331.0900002</v>
      </c>
      <c r="H82" s="188">
        <v>4907789858.0500002</v>
      </c>
      <c r="I82" s="188">
        <v>4540328597.5900002</v>
      </c>
      <c r="J82" s="188">
        <v>4200686656.5</v>
      </c>
      <c r="K82" s="188">
        <v>3926301542.4299998</v>
      </c>
      <c r="L82" s="188">
        <v>4690626421.6700001</v>
      </c>
      <c r="M82" s="188">
        <v>4421103278.5299997</v>
      </c>
      <c r="N82" s="188">
        <v>4159319294.1999998</v>
      </c>
      <c r="O82" s="188">
        <v>3913322254.1900001</v>
      </c>
      <c r="P82" s="188">
        <v>4019470202</v>
      </c>
      <c r="Q82" s="188">
        <v>3788068076.6300001</v>
      </c>
      <c r="R82" s="188">
        <v>3601770784.8299999</v>
      </c>
      <c r="S82" s="188">
        <v>3420172932.6100001</v>
      </c>
      <c r="T82" s="188">
        <v>3508743550.04</v>
      </c>
      <c r="U82" s="188">
        <v>3318850290.5999999</v>
      </c>
      <c r="V82" s="188">
        <v>3258207932.6700001</v>
      </c>
      <c r="W82" s="188">
        <v>3100442245.29</v>
      </c>
      <c r="X82" s="188">
        <v>3190514058.3099999</v>
      </c>
      <c r="Y82" s="188">
        <v>3032744003.4299998</v>
      </c>
      <c r="Z82" s="188">
        <v>2894422696.8400002</v>
      </c>
      <c r="AA82" s="188">
        <v>2811362369.6199999</v>
      </c>
      <c r="AB82" s="188">
        <v>2895968075.4299998</v>
      </c>
      <c r="AC82" s="188">
        <v>2768635583.3200002</v>
      </c>
      <c r="AD82" s="188">
        <v>2643012932.0100002</v>
      </c>
      <c r="AE82" s="188">
        <v>2523248024.3600001</v>
      </c>
      <c r="AF82" s="188">
        <v>2595558337.71</v>
      </c>
      <c r="AG82" s="188">
        <v>2460371246.9699998</v>
      </c>
      <c r="AH82" s="188">
        <v>2353469231.54</v>
      </c>
      <c r="AI82" s="188">
        <v>2238154181.5900002</v>
      </c>
      <c r="AJ82" s="188">
        <v>2253825122.4299998</v>
      </c>
      <c r="AK82" s="188">
        <v>2149616362.6100001</v>
      </c>
      <c r="AL82" s="188">
        <v>2045671378.5799999</v>
      </c>
      <c r="AM82" s="188">
        <v>1965636495.6600001</v>
      </c>
      <c r="AN82" s="188">
        <v>1996711502.05</v>
      </c>
      <c r="AO82" s="188">
        <v>1930606743.6500001</v>
      </c>
      <c r="AP82" s="188">
        <v>1843060068.78</v>
      </c>
      <c r="AQ82" s="188">
        <v>1784890793.8</v>
      </c>
      <c r="AR82" s="188">
        <v>1688075705</v>
      </c>
      <c r="AS82" s="188">
        <v>1633339955.8800001</v>
      </c>
      <c r="AT82" s="188">
        <v>1536087624.99</v>
      </c>
      <c r="AU82" s="188">
        <v>799546936.37</v>
      </c>
      <c r="AV82" s="188">
        <v>800415561.01999998</v>
      </c>
      <c r="AW82" s="188">
        <v>773207542.96000004</v>
      </c>
      <c r="AX82" s="188">
        <v>730870946.42999995</v>
      </c>
      <c r="AY82" s="188">
        <v>713393796.02999997</v>
      </c>
      <c r="AZ82" s="188">
        <v>729152534.67999995</v>
      </c>
      <c r="BA82" s="188">
        <v>706051126.20000005</v>
      </c>
      <c r="BB82" s="188">
        <v>679378103.00999999</v>
      </c>
      <c r="BC82" s="188">
        <v>669319049.99000001</v>
      </c>
      <c r="BD82" s="188">
        <v>681329721.38</v>
      </c>
      <c r="BE82" s="188">
        <v>666882154.28999996</v>
      </c>
      <c r="BF82" s="188">
        <v>639444509.24000001</v>
      </c>
      <c r="BG82" s="188">
        <v>231496163.41999999</v>
      </c>
      <c r="BH82" s="188">
        <v>208442950.16999999</v>
      </c>
      <c r="BI82" s="188">
        <v>131890737.36</v>
      </c>
      <c r="BJ82" s="188">
        <v>96033824.420000002</v>
      </c>
      <c r="BK82" s="188">
        <v>0</v>
      </c>
    </row>
    <row r="83" spans="1:63" x14ac:dyDescent="0.25">
      <c r="A83" s="188" t="s">
        <v>187</v>
      </c>
      <c r="B83" s="188">
        <v>-92540.12</v>
      </c>
      <c r="C83" s="188">
        <v>241709.84</v>
      </c>
      <c r="D83" s="188">
        <v>534904.93999999994</v>
      </c>
      <c r="E83" s="188">
        <v>823272.89</v>
      </c>
      <c r="F83" s="188">
        <v>1245496.08</v>
      </c>
      <c r="G83" s="188">
        <v>11484577.369999999</v>
      </c>
      <c r="H83" s="188">
        <v>19667177.23</v>
      </c>
      <c r="I83" s="188">
        <v>17911065.280000001</v>
      </c>
      <c r="J83" s="188">
        <v>17415344</v>
      </c>
      <c r="K83" s="188">
        <v>16958664.52</v>
      </c>
      <c r="L83" s="188">
        <v>602575011.99000001</v>
      </c>
      <c r="M83" s="188">
        <v>588627283.54999995</v>
      </c>
      <c r="N83" s="188">
        <v>563771521.04999995</v>
      </c>
      <c r="O83" s="188">
        <v>536621334.38999999</v>
      </c>
      <c r="P83" s="188">
        <v>513430183.52999997</v>
      </c>
      <c r="Q83" s="188">
        <v>490748238.50999999</v>
      </c>
      <c r="R83" s="188">
        <v>473809451.88</v>
      </c>
      <c r="S83" s="188">
        <v>451010191.55000001</v>
      </c>
      <c r="T83" s="188">
        <v>432210917.06999999</v>
      </c>
      <c r="U83" s="188">
        <v>414060593.91000003</v>
      </c>
      <c r="V83" s="188">
        <v>404471437.35000002</v>
      </c>
      <c r="W83" s="188">
        <v>389770136.76999998</v>
      </c>
      <c r="X83" s="188">
        <v>376727259.99000001</v>
      </c>
      <c r="Y83" s="188">
        <v>361836305.94999999</v>
      </c>
      <c r="Z83" s="188">
        <v>350421005.91000003</v>
      </c>
      <c r="AA83" s="188">
        <v>337372992.95999998</v>
      </c>
      <c r="AB83" s="188">
        <v>326345640.95999998</v>
      </c>
      <c r="AC83" s="188">
        <v>325624027.44</v>
      </c>
      <c r="AD83" s="188">
        <v>314783992.94999999</v>
      </c>
      <c r="AE83" s="188">
        <v>298650566.51999998</v>
      </c>
      <c r="AF83" s="188">
        <v>288682113.31</v>
      </c>
      <c r="AG83" s="188">
        <v>276305987.24000001</v>
      </c>
      <c r="AH83" s="188">
        <v>260054231.65000001</v>
      </c>
      <c r="AI83" s="188">
        <v>250362613.03</v>
      </c>
      <c r="AJ83" s="188">
        <v>246032090.40000001</v>
      </c>
      <c r="AK83" s="188">
        <v>237412232.75999999</v>
      </c>
      <c r="AL83" s="188">
        <v>262841233.83000001</v>
      </c>
      <c r="AM83" s="188">
        <v>257063430</v>
      </c>
      <c r="AN83" s="188">
        <v>244431943.24000001</v>
      </c>
      <c r="AO83" s="188">
        <v>232018173.16999999</v>
      </c>
      <c r="AP83" s="188">
        <v>216727861.33000001</v>
      </c>
      <c r="AQ83" s="188">
        <v>205297158.93000001</v>
      </c>
      <c r="AR83" s="188">
        <v>188820554.77000001</v>
      </c>
      <c r="AS83" s="188">
        <v>174105621.22999999</v>
      </c>
      <c r="AT83" s="188">
        <v>158157052.58000001</v>
      </c>
      <c r="AU83" s="188">
        <v>149750619.34</v>
      </c>
      <c r="AV83" s="188">
        <v>143113994.09999999</v>
      </c>
      <c r="AW83" s="188">
        <v>132455855.14</v>
      </c>
      <c r="AX83" s="188">
        <v>118700288.06999999</v>
      </c>
      <c r="AY83" s="188">
        <v>115031094.72</v>
      </c>
      <c r="AZ83" s="188">
        <v>108816839.86</v>
      </c>
      <c r="BA83" s="188">
        <v>101851989.16</v>
      </c>
      <c r="BB83" s="188">
        <v>95552196.859999999</v>
      </c>
      <c r="BC83" s="188">
        <v>82521743.069999993</v>
      </c>
      <c r="BD83" s="188">
        <v>77016251.519999996</v>
      </c>
      <c r="BE83" s="188">
        <v>71970804.900000006</v>
      </c>
      <c r="BF83" s="188">
        <v>23500251.579999998</v>
      </c>
      <c r="BG83" s="188">
        <v>11267449.98</v>
      </c>
      <c r="BH83" s="188">
        <v>5579379.2000000002</v>
      </c>
      <c r="BI83" s="188">
        <v>3418650.15</v>
      </c>
      <c r="BJ83" s="188">
        <v>357132.65</v>
      </c>
      <c r="BK83" s="188">
        <v>0</v>
      </c>
    </row>
    <row r="84" spans="1:63" x14ac:dyDescent="0.25">
      <c r="A84" s="188" t="s">
        <v>188</v>
      </c>
      <c r="B84" s="188">
        <v>5326325338.1400003</v>
      </c>
      <c r="C84" s="188">
        <v>5318412167.1199999</v>
      </c>
      <c r="D84" s="188">
        <v>5596029556.3400002</v>
      </c>
      <c r="E84" s="188">
        <v>5198489786.6300001</v>
      </c>
      <c r="F84" s="188">
        <v>4961012507.46</v>
      </c>
      <c r="G84" s="188">
        <v>4679019908.46</v>
      </c>
      <c r="H84" s="188">
        <v>4927457035.2799997</v>
      </c>
      <c r="I84" s="188">
        <v>4558239662.8699999</v>
      </c>
      <c r="J84" s="188">
        <v>4218102000.5</v>
      </c>
      <c r="K84" s="188">
        <v>3943260206.9499998</v>
      </c>
      <c r="L84" s="188">
        <v>5293201433.6599998</v>
      </c>
      <c r="M84" s="188">
        <v>5009730562.0799999</v>
      </c>
      <c r="N84" s="188">
        <v>4723090815.25</v>
      </c>
      <c r="O84" s="188">
        <v>4449943588.5799999</v>
      </c>
      <c r="P84" s="188">
        <v>4532900385.5299997</v>
      </c>
      <c r="Q84" s="188">
        <v>4278816315.1399999</v>
      </c>
      <c r="R84" s="188">
        <v>4075580236.71</v>
      </c>
      <c r="S84" s="188">
        <v>3871183124.1599998</v>
      </c>
      <c r="T84" s="188">
        <v>3940954467.1100001</v>
      </c>
      <c r="U84" s="188">
        <v>3732910884.5100002</v>
      </c>
      <c r="V84" s="188">
        <v>3662679370.02</v>
      </c>
      <c r="W84" s="188">
        <v>3490212382.0599999</v>
      </c>
      <c r="X84" s="188">
        <v>3567241318.3000002</v>
      </c>
      <c r="Y84" s="188">
        <v>3394580309.3800001</v>
      </c>
      <c r="Z84" s="188">
        <v>3244843702.75</v>
      </c>
      <c r="AA84" s="188">
        <v>3148735362.5799999</v>
      </c>
      <c r="AB84" s="188">
        <v>3222313716.3899999</v>
      </c>
      <c r="AC84" s="188">
        <v>3094259610.7600002</v>
      </c>
      <c r="AD84" s="188">
        <v>2957796924.96</v>
      </c>
      <c r="AE84" s="188">
        <v>2821898590.8800001</v>
      </c>
      <c r="AF84" s="188">
        <v>2884240451.02</v>
      </c>
      <c r="AG84" s="188">
        <v>2736677234.21</v>
      </c>
      <c r="AH84" s="188">
        <v>2613523463.1900001</v>
      </c>
      <c r="AI84" s="188">
        <v>2488516794.6199999</v>
      </c>
      <c r="AJ84" s="188">
        <v>2499857212.8299999</v>
      </c>
      <c r="AK84" s="188">
        <v>2387028595.3699999</v>
      </c>
      <c r="AL84" s="188">
        <v>2308512612.4099998</v>
      </c>
      <c r="AM84" s="188">
        <v>2222699925.6599998</v>
      </c>
      <c r="AN84" s="188">
        <v>2241143445.29</v>
      </c>
      <c r="AO84" s="188">
        <v>2162624916.8200002</v>
      </c>
      <c r="AP84" s="188">
        <v>2059787930.1099999</v>
      </c>
      <c r="AQ84" s="188">
        <v>1990187952.73</v>
      </c>
      <c r="AR84" s="188">
        <v>1876896259.77</v>
      </c>
      <c r="AS84" s="188">
        <v>1807445577.1099999</v>
      </c>
      <c r="AT84" s="188">
        <v>1694244677.5699999</v>
      </c>
      <c r="AU84" s="188">
        <v>949297555.71000004</v>
      </c>
      <c r="AV84" s="188">
        <v>943529555.12</v>
      </c>
      <c r="AW84" s="188">
        <v>905663398.10000002</v>
      </c>
      <c r="AX84" s="188">
        <v>849571234.5</v>
      </c>
      <c r="AY84" s="188">
        <v>828424890.75</v>
      </c>
      <c r="AZ84" s="188">
        <v>837969374.53999996</v>
      </c>
      <c r="BA84" s="188">
        <v>807903115.36000001</v>
      </c>
      <c r="BB84" s="188">
        <v>774930299.87</v>
      </c>
      <c r="BC84" s="188">
        <v>751840793.05999994</v>
      </c>
      <c r="BD84" s="188">
        <v>758345972.89999998</v>
      </c>
      <c r="BE84" s="188">
        <v>738852959.19000006</v>
      </c>
      <c r="BF84" s="188">
        <v>662944760.82000005</v>
      </c>
      <c r="BG84" s="188">
        <v>242763613.40000001</v>
      </c>
      <c r="BH84" s="188">
        <v>214022329.37</v>
      </c>
      <c r="BI84" s="188">
        <v>135309387.50999999</v>
      </c>
      <c r="BJ84" s="188">
        <v>96390957.069999993</v>
      </c>
      <c r="BK84" s="188">
        <v>0</v>
      </c>
    </row>
    <row r="85" spans="1:63" x14ac:dyDescent="0.25">
      <c r="A85" s="188" t="s">
        <v>189</v>
      </c>
      <c r="B85" s="188">
        <v>9467492068.4599991</v>
      </c>
      <c r="C85" s="188">
        <v>8621422251.7099991</v>
      </c>
      <c r="D85" s="188">
        <v>9094234189.3899994</v>
      </c>
      <c r="E85" s="188">
        <v>9171678300.8299999</v>
      </c>
      <c r="F85" s="188">
        <v>8327929549.25</v>
      </c>
      <c r="G85" s="188">
        <v>7395864867.04</v>
      </c>
      <c r="H85" s="188">
        <v>7804555211.71</v>
      </c>
      <c r="I85" s="188">
        <v>7854199313.0100002</v>
      </c>
      <c r="J85" s="188">
        <v>6813243320.5600004</v>
      </c>
      <c r="K85" s="188">
        <v>6830761364.0100002</v>
      </c>
      <c r="L85" s="188">
        <v>7393660595.2399998</v>
      </c>
      <c r="M85" s="188">
        <v>7396105410.3299999</v>
      </c>
      <c r="N85" s="188">
        <v>7104156305.8100004</v>
      </c>
      <c r="O85" s="188">
        <v>6524533864.2200003</v>
      </c>
      <c r="P85" s="188">
        <v>6612560170.3699999</v>
      </c>
      <c r="Q85" s="188">
        <v>6633644956.9799995</v>
      </c>
      <c r="R85" s="188">
        <v>6124732582.2200003</v>
      </c>
      <c r="S85" s="188">
        <v>5629575656.4300003</v>
      </c>
      <c r="T85" s="188">
        <v>5654392635.9499998</v>
      </c>
      <c r="U85" s="188">
        <v>5737469958.54</v>
      </c>
      <c r="V85" s="188">
        <v>5337630919.8400002</v>
      </c>
      <c r="W85" s="188">
        <v>4893414424.6099997</v>
      </c>
      <c r="X85" s="188">
        <v>4890876723.0699997</v>
      </c>
      <c r="Y85" s="188">
        <v>4960254989.1199999</v>
      </c>
      <c r="Z85" s="188">
        <v>4509680730.6199999</v>
      </c>
      <c r="AA85" s="188">
        <v>4089392197.1900001</v>
      </c>
      <c r="AB85" s="188">
        <v>4349300519.3400002</v>
      </c>
      <c r="AC85" s="188">
        <v>4392276283.96</v>
      </c>
      <c r="AD85" s="188">
        <v>4240976171.5999999</v>
      </c>
      <c r="AE85" s="188">
        <v>3971013020.6799998</v>
      </c>
      <c r="AF85" s="188">
        <v>3976714554.7600002</v>
      </c>
      <c r="AG85" s="188">
        <v>3930307944.0100002</v>
      </c>
      <c r="AH85" s="188">
        <v>3611124645.4000001</v>
      </c>
      <c r="AI85" s="188">
        <v>3309215906.0500002</v>
      </c>
      <c r="AJ85" s="188">
        <v>3399242757.7600002</v>
      </c>
      <c r="AK85" s="188">
        <v>3265848315.8699999</v>
      </c>
      <c r="AL85" s="188">
        <v>3077904025.3099999</v>
      </c>
      <c r="AM85" s="188">
        <v>2760223127.5</v>
      </c>
      <c r="AN85" s="188">
        <v>2842483741.9400001</v>
      </c>
      <c r="AO85" s="188">
        <v>2651008665.48</v>
      </c>
      <c r="AP85" s="188">
        <v>2681772616.3000002</v>
      </c>
      <c r="AQ85" s="188">
        <v>2496499427.9099998</v>
      </c>
      <c r="AR85" s="188">
        <v>2449411682.6300001</v>
      </c>
      <c r="AS85" s="188">
        <v>2365924276.79</v>
      </c>
      <c r="AT85" s="188">
        <v>2516231855.8299999</v>
      </c>
      <c r="AU85" s="188">
        <v>1775550671.3800001</v>
      </c>
      <c r="AV85" s="188">
        <v>1807388653.4400001</v>
      </c>
      <c r="AW85" s="188">
        <v>1678188961.1400001</v>
      </c>
      <c r="AX85" s="188">
        <v>1583163082.46</v>
      </c>
      <c r="AY85" s="188">
        <v>1605030714.96</v>
      </c>
      <c r="AZ85" s="188">
        <v>1489741629.22</v>
      </c>
      <c r="BA85" s="188">
        <v>1348188781.03</v>
      </c>
      <c r="BB85" s="188">
        <v>1432853247.72</v>
      </c>
      <c r="BC85" s="188">
        <v>1416865005.3499999</v>
      </c>
      <c r="BD85" s="188">
        <v>1390201765.71</v>
      </c>
      <c r="BE85" s="188">
        <v>1358677985.8499999</v>
      </c>
      <c r="BF85" s="188">
        <v>1352594827.24</v>
      </c>
      <c r="BG85" s="188">
        <v>767322329.23000002</v>
      </c>
      <c r="BH85" s="188">
        <v>574733399.47000003</v>
      </c>
      <c r="BI85" s="188">
        <v>435273140.27999997</v>
      </c>
      <c r="BJ85" s="188">
        <v>308374457.44999999</v>
      </c>
      <c r="BK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N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3" width="13.88671875" style="188" hidden="1" customWidth="1"/>
    <col min="4" max="4" width="12.77734375" style="188" hidden="1" customWidth="1"/>
    <col min="5" max="5" width="12.77734375" style="188" bestFit="1" customWidth="1"/>
    <col min="6" max="8" width="12.77734375" style="188" hidden="1" customWidth="1"/>
    <col min="9" max="9" width="13.88671875" style="188" bestFit="1" customWidth="1"/>
    <col min="10" max="10" width="13.88671875" style="188" hidden="1" customWidth="1"/>
    <col min="11" max="12" width="12.77734375" style="188" hidden="1" customWidth="1"/>
    <col min="13" max="13" width="12.77734375" style="188" bestFit="1" customWidth="1"/>
    <col min="14" max="16" width="12.777343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4" width="12.77734375" style="188" hidden="1" customWidth="1"/>
    <col min="25" max="25" width="12.77734375" style="188" bestFit="1" customWidth="1"/>
    <col min="26" max="26" width="13.88671875" style="188" hidden="1" customWidth="1"/>
    <col min="27" max="28" width="12.77734375" style="188" hidden="1" customWidth="1"/>
    <col min="29" max="29" width="12.77734375" style="188" bestFit="1" customWidth="1"/>
    <col min="30" max="32" width="12.77734375" style="188" hidden="1" customWidth="1"/>
    <col min="33" max="33" width="12.77734375" style="188" bestFit="1" customWidth="1"/>
    <col min="34" max="36" width="13.88671875" style="188" hidden="1" customWidth="1"/>
    <col min="37" max="37" width="13.88671875" style="188" bestFit="1" customWidth="1"/>
    <col min="38" max="40" width="12.77734375" style="188" hidden="1" customWidth="1"/>
    <col min="41" max="41" width="12.77734375" style="188" bestFit="1" customWidth="1"/>
    <col min="42" max="43" width="13.88671875" style="188" hidden="1" customWidth="1"/>
    <col min="44"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3" width="12.77734375" style="188" hidden="1" customWidth="1"/>
    <col min="64" max="65" width="12.77734375" style="188" bestFit="1" customWidth="1"/>
    <col min="66" max="66" width="9.5546875" style="188" hidden="1" customWidth="1"/>
    <col min="67" max="16384" width="8.88671875" style="188"/>
  </cols>
  <sheetData>
    <row r="1" spans="1:66"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20021231</v>
      </c>
      <c r="BM1" s="188">
        <v>20011231</v>
      </c>
      <c r="BN1" s="188">
        <v>19700101</v>
      </c>
    </row>
    <row r="2" spans="1:66"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row>
    <row r="3" spans="1:66" x14ac:dyDescent="0.25">
      <c r="A3" s="188" t="s">
        <v>190</v>
      </c>
      <c r="B3" s="188">
        <v>13393582147.959999</v>
      </c>
      <c r="C3" s="188">
        <v>8849159546.4799995</v>
      </c>
      <c r="D3" s="188">
        <v>4887002505.3800001</v>
      </c>
      <c r="E3" s="188">
        <v>14187347425.77</v>
      </c>
      <c r="F3" s="188">
        <v>10496638285.280001</v>
      </c>
      <c r="G3" s="188">
        <v>6909466633.0699997</v>
      </c>
      <c r="H3" s="188">
        <v>3946557740.5500002</v>
      </c>
      <c r="I3" s="188">
        <v>11947123201.120001</v>
      </c>
      <c r="J3" s="188">
        <v>8831589881.3400002</v>
      </c>
      <c r="K3" s="188">
        <v>5751920817.7799997</v>
      </c>
      <c r="L3" s="188">
        <v>3133161846.48</v>
      </c>
      <c r="M3" s="188">
        <v>10909686625.9</v>
      </c>
      <c r="N3" s="188">
        <v>8278621743.6099997</v>
      </c>
      <c r="O3" s="188">
        <v>5379574852.0900002</v>
      </c>
      <c r="P3" s="188">
        <v>3006733799.9699998</v>
      </c>
      <c r="Q3" s="188">
        <v>9534643945.8400002</v>
      </c>
      <c r="R3" s="188">
        <v>7165393933.3800001</v>
      </c>
      <c r="S3" s="188">
        <v>4642903746.8100004</v>
      </c>
      <c r="T3" s="188">
        <v>2597184476.3400002</v>
      </c>
      <c r="U3" s="188">
        <v>8383249626.6099997</v>
      </c>
      <c r="V3" s="188">
        <v>6309123886.5600004</v>
      </c>
      <c r="W3" s="188">
        <v>4137281725.73</v>
      </c>
      <c r="X3" s="188">
        <v>2271122489.46</v>
      </c>
      <c r="Y3" s="188">
        <v>6889460447.5</v>
      </c>
      <c r="Z3" s="188">
        <v>5094265010.2200003</v>
      </c>
      <c r="AA3" s="188">
        <v>3337991428.0799999</v>
      </c>
      <c r="AB3" s="188">
        <v>1921580092.78</v>
      </c>
      <c r="AC3" s="188">
        <v>7125653010.6000004</v>
      </c>
      <c r="AD3" s="188">
        <v>5320905422.1599998</v>
      </c>
      <c r="AE3" s="188">
        <v>3478460807.9000001</v>
      </c>
      <c r="AF3" s="188">
        <v>1916611704.77</v>
      </c>
      <c r="AG3" s="188">
        <v>5622064477.6899996</v>
      </c>
      <c r="AH3" s="188">
        <v>4131698878.2600002</v>
      </c>
      <c r="AI3" s="188">
        <v>2637387856.5799999</v>
      </c>
      <c r="AJ3" s="188">
        <v>1409824143.3399999</v>
      </c>
      <c r="AK3" s="188">
        <v>4115694413.0500002</v>
      </c>
      <c r="AL3" s="188">
        <v>2869852234.98</v>
      </c>
      <c r="AM3" s="188">
        <v>1789643522.5799999</v>
      </c>
      <c r="AN3" s="188">
        <v>974769793.25999999</v>
      </c>
      <c r="AO3" s="188">
        <v>3622472692.9499998</v>
      </c>
      <c r="AP3" s="188">
        <v>2737510628.8299999</v>
      </c>
      <c r="AQ3" s="188">
        <v>1770090740.1099999</v>
      </c>
      <c r="AR3" s="188">
        <v>948870059</v>
      </c>
      <c r="AS3" s="188">
        <v>2933702853.6199999</v>
      </c>
      <c r="AT3" s="188">
        <v>2036986258.02</v>
      </c>
      <c r="AU3" s="188">
        <v>1343067096.1199999</v>
      </c>
      <c r="AV3" s="188">
        <v>690513878.61000001</v>
      </c>
      <c r="AW3" s="188">
        <v>2080585722.0799999</v>
      </c>
      <c r="AX3" s="188">
        <v>1397118801.5799999</v>
      </c>
      <c r="AY3" s="188">
        <v>951886067.29999995</v>
      </c>
      <c r="AZ3" s="188">
        <v>498223895.42000002</v>
      </c>
      <c r="BA3" s="188">
        <v>1472403894.6600001</v>
      </c>
      <c r="BB3" s="188">
        <v>902360852.02999997</v>
      </c>
      <c r="BC3" s="188">
        <v>579830782.63</v>
      </c>
      <c r="BD3" s="188">
        <v>312396121.63</v>
      </c>
      <c r="BE3" s="188">
        <v>1009948833.66</v>
      </c>
      <c r="BF3" s="188">
        <v>691723229.74000001</v>
      </c>
      <c r="BG3" s="188">
        <v>421845520.31999999</v>
      </c>
      <c r="BH3" s="188">
        <v>215554462.96000001</v>
      </c>
      <c r="BI3" s="188">
        <v>838843200.02999997</v>
      </c>
      <c r="BJ3" s="188">
        <v>565638707.80999994</v>
      </c>
      <c r="BK3" s="188">
        <v>359611989.17000002</v>
      </c>
      <c r="BL3" s="188">
        <v>617031567.38999999</v>
      </c>
      <c r="BM3" s="188">
        <v>470281959.82999998</v>
      </c>
      <c r="BN3" s="188">
        <v>0</v>
      </c>
    </row>
    <row r="4" spans="1:66" x14ac:dyDescent="0.25">
      <c r="A4" s="188" t="s">
        <v>191</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row>
    <row r="5" spans="1:66" x14ac:dyDescent="0.25">
      <c r="A5" s="188" t="s">
        <v>192</v>
      </c>
      <c r="B5" s="188">
        <v>12083991187.08</v>
      </c>
      <c r="C5" s="188">
        <v>7951327452.8800001</v>
      </c>
      <c r="D5" s="188">
        <v>4301662695.04</v>
      </c>
      <c r="E5" s="188">
        <v>12767844978.74</v>
      </c>
      <c r="F5" s="188">
        <v>9466173611.3500004</v>
      </c>
      <c r="G5" s="188">
        <v>6218775325.2700005</v>
      </c>
      <c r="H5" s="188">
        <v>3494842181.6300001</v>
      </c>
      <c r="I5" s="188">
        <v>10697150773.530001</v>
      </c>
      <c r="J5" s="188">
        <v>7891633453.6800003</v>
      </c>
      <c r="K5" s="188">
        <v>5147946137.6800003</v>
      </c>
      <c r="L5" s="188">
        <v>2787709600.73</v>
      </c>
      <c r="M5" s="188">
        <v>9802292964.8099995</v>
      </c>
      <c r="N5" s="188">
        <v>7449437811.4099998</v>
      </c>
      <c r="O5" s="188">
        <v>4873873502.54</v>
      </c>
      <c r="P5" s="188">
        <v>2713058429.96</v>
      </c>
      <c r="Q5" s="188">
        <v>8659280195.3199997</v>
      </c>
      <c r="R5" s="188">
        <v>6514189833.54</v>
      </c>
      <c r="S5" s="188">
        <v>4221427294.6700001</v>
      </c>
      <c r="T5" s="188">
        <v>2356535167.3499999</v>
      </c>
      <c r="U5" s="188">
        <v>7633416041.1700001</v>
      </c>
      <c r="V5" s="188">
        <v>5736959925.6300001</v>
      </c>
      <c r="W5" s="188">
        <v>3764970035.1300001</v>
      </c>
      <c r="X5" s="188">
        <v>2052098580.55</v>
      </c>
      <c r="Y5" s="188">
        <v>6316541319.9200001</v>
      </c>
      <c r="Z5" s="188">
        <v>4650962096.2700005</v>
      </c>
      <c r="AA5" s="188">
        <v>3045027757.6599998</v>
      </c>
      <c r="AB5" s="188">
        <v>1745949015.74</v>
      </c>
      <c r="AC5" s="188">
        <v>6550344597.8100004</v>
      </c>
      <c r="AD5" s="188">
        <v>4882002864.1700001</v>
      </c>
      <c r="AE5" s="188">
        <v>3184135551.7399998</v>
      </c>
      <c r="AF5" s="188">
        <v>1737538109.8599999</v>
      </c>
      <c r="AG5" s="188">
        <v>5126544520.46</v>
      </c>
      <c r="AH5" s="188">
        <v>3749743799.6999998</v>
      </c>
      <c r="AI5" s="188">
        <v>2397017058.25</v>
      </c>
      <c r="AJ5" s="188">
        <v>1265882706.1300001</v>
      </c>
      <c r="AK5" s="188">
        <v>3713423944.6999998</v>
      </c>
      <c r="AL5" s="188">
        <v>2588724983.3800001</v>
      </c>
      <c r="AM5" s="188">
        <v>1601162422.3399999</v>
      </c>
      <c r="AN5" s="188">
        <v>869739597.25999999</v>
      </c>
      <c r="AO5" s="188">
        <v>3305017468.75</v>
      </c>
      <c r="AP5" s="188">
        <v>2509703958.9499998</v>
      </c>
      <c r="AQ5" s="188">
        <v>1617965283.1199999</v>
      </c>
      <c r="AR5" s="188">
        <v>869383949.36000001</v>
      </c>
      <c r="AS5" s="188">
        <v>2691667476.4699998</v>
      </c>
      <c r="AT5" s="188">
        <v>1871184551.21</v>
      </c>
      <c r="AU5" s="188">
        <v>1222402675.7</v>
      </c>
      <c r="AV5" s="188">
        <v>628620965.83000004</v>
      </c>
      <c r="AW5" s="188">
        <v>1926080736.26</v>
      </c>
      <c r="AX5" s="188">
        <v>1299107888.4200001</v>
      </c>
      <c r="AY5" s="188">
        <v>883768531.67999995</v>
      </c>
      <c r="AZ5" s="188">
        <v>461173047.47000003</v>
      </c>
      <c r="BA5" s="188">
        <v>1371764375.8</v>
      </c>
      <c r="BB5" s="188">
        <v>842751065.42999995</v>
      </c>
      <c r="BC5" s="188">
        <v>534922346.63</v>
      </c>
      <c r="BD5" s="188">
        <v>292087999.12</v>
      </c>
      <c r="BE5" s="188">
        <v>941332558.99000001</v>
      </c>
      <c r="BF5" s="188">
        <v>643135465.32000005</v>
      </c>
      <c r="BG5" s="188">
        <v>392800949.62</v>
      </c>
      <c r="BH5" s="188">
        <v>205717049.43000001</v>
      </c>
      <c r="BI5" s="188">
        <v>758270968.76999998</v>
      </c>
      <c r="BJ5" s="188">
        <v>513120420.69999999</v>
      </c>
      <c r="BK5" s="188">
        <v>325830023.87</v>
      </c>
      <c r="BL5" s="188">
        <v>553519797.35000002</v>
      </c>
      <c r="BM5" s="188">
        <v>435225885.66000003</v>
      </c>
      <c r="BN5" s="188">
        <v>0</v>
      </c>
    </row>
    <row r="6" spans="1:66" x14ac:dyDescent="0.25">
      <c r="A6" s="188" t="s">
        <v>193</v>
      </c>
      <c r="B6" s="188">
        <v>9347399219.5300007</v>
      </c>
      <c r="C6" s="188">
        <v>6173909538.8800001</v>
      </c>
      <c r="D6" s="188">
        <v>3368719350.77</v>
      </c>
      <c r="E6" s="188">
        <v>9994038739.0300007</v>
      </c>
      <c r="F6" s="188">
        <v>7393683346.5900002</v>
      </c>
      <c r="G6" s="188">
        <v>4834039606.04</v>
      </c>
      <c r="H6" s="188">
        <v>2717483854.0999999</v>
      </c>
      <c r="I6" s="188">
        <v>8299999071.7799997</v>
      </c>
      <c r="J6" s="188">
        <v>6175639591.1999998</v>
      </c>
      <c r="K6" s="188">
        <v>4012799751.8000002</v>
      </c>
      <c r="L6" s="188">
        <v>2157873063.1100001</v>
      </c>
      <c r="M6" s="188">
        <v>7749205984.6800003</v>
      </c>
      <c r="N6" s="188">
        <v>5917522087.8100004</v>
      </c>
      <c r="O6" s="188">
        <v>3826621021.75</v>
      </c>
      <c r="P6" s="188">
        <v>2119536321.05</v>
      </c>
      <c r="Q6" s="188">
        <v>6766783798.5900002</v>
      </c>
      <c r="R6" s="188">
        <v>5105893650.71</v>
      </c>
      <c r="S6" s="188">
        <v>3272332302.5599999</v>
      </c>
      <c r="T6" s="188">
        <v>1809225118.5</v>
      </c>
      <c r="U6" s="188">
        <v>5990546429.8400002</v>
      </c>
      <c r="V6" s="188">
        <v>4543607402.7299995</v>
      </c>
      <c r="W6" s="188">
        <v>2972551661.21</v>
      </c>
      <c r="X6" s="188">
        <v>1617435886.8800001</v>
      </c>
      <c r="Y6" s="188">
        <v>4883816910.9799995</v>
      </c>
      <c r="Z6" s="188">
        <v>3637694852.5300002</v>
      </c>
      <c r="AA6" s="188">
        <v>2373210048.5100002</v>
      </c>
      <c r="AB6" s="188">
        <v>1344332758.29</v>
      </c>
      <c r="AC6" s="188">
        <v>5177587426.1999998</v>
      </c>
      <c r="AD6" s="188">
        <v>3860633717.8899999</v>
      </c>
      <c r="AE6" s="188">
        <v>2496676794.8600001</v>
      </c>
      <c r="AF6" s="188">
        <v>1358295682.6600001</v>
      </c>
      <c r="AG6" s="188">
        <v>4050296293.5</v>
      </c>
      <c r="AH6" s="188">
        <v>2960460127.6900001</v>
      </c>
      <c r="AI6" s="188">
        <v>1875365183</v>
      </c>
      <c r="AJ6" s="188">
        <v>993455551.94000006</v>
      </c>
      <c r="AK6" s="188">
        <v>2838977342.4699998</v>
      </c>
      <c r="AL6" s="188">
        <v>1967777388.4000001</v>
      </c>
      <c r="AM6" s="188">
        <v>1207313239.52</v>
      </c>
      <c r="AN6" s="188">
        <v>641973107.02999997</v>
      </c>
      <c r="AO6" s="188">
        <v>2620554181.21</v>
      </c>
      <c r="AP6" s="188">
        <v>1998835580.3</v>
      </c>
      <c r="AQ6" s="188">
        <v>1278392611.24</v>
      </c>
      <c r="AR6" s="188">
        <v>659435870.07000005</v>
      </c>
      <c r="AS6" s="188">
        <v>2148775148.0300002</v>
      </c>
      <c r="AT6" s="188">
        <v>1498759961.8800001</v>
      </c>
      <c r="AU6" s="188">
        <v>973161667.58000004</v>
      </c>
      <c r="AV6" s="188">
        <v>483136840.17000002</v>
      </c>
      <c r="AW6" s="188">
        <v>1517457672.6099999</v>
      </c>
      <c r="AX6" s="188">
        <v>1005686269.8099999</v>
      </c>
      <c r="AY6" s="188">
        <v>686077206.70000005</v>
      </c>
      <c r="AZ6" s="188">
        <v>359053640.45999998</v>
      </c>
      <c r="BA6" s="188">
        <v>1104147473.76</v>
      </c>
      <c r="BB6" s="188">
        <v>657317342.32000005</v>
      </c>
      <c r="BC6" s="188">
        <v>412465271.30000001</v>
      </c>
      <c r="BD6" s="188">
        <v>221081799.97999999</v>
      </c>
      <c r="BE6" s="188">
        <v>726513585.96000004</v>
      </c>
      <c r="BF6" s="188">
        <v>498366992.25</v>
      </c>
      <c r="BG6" s="188">
        <v>297904515.07999998</v>
      </c>
      <c r="BH6" s="188">
        <v>149935201.59</v>
      </c>
      <c r="BI6" s="188">
        <v>596658019.77999997</v>
      </c>
      <c r="BJ6" s="188">
        <v>406494610.31999999</v>
      </c>
      <c r="BK6" s="188">
        <v>258437151.44999999</v>
      </c>
      <c r="BL6" s="188">
        <v>429677830.88999999</v>
      </c>
      <c r="BM6" s="188">
        <v>312345786.75</v>
      </c>
      <c r="BN6" s="188">
        <v>0</v>
      </c>
    </row>
    <row r="7" spans="1:66" x14ac:dyDescent="0.25">
      <c r="A7" s="188" t="s">
        <v>194</v>
      </c>
      <c r="B7" s="188">
        <v>89378439.560000002</v>
      </c>
      <c r="C7" s="188">
        <v>63509908.939999998</v>
      </c>
      <c r="D7" s="188">
        <v>37446299.479999997</v>
      </c>
      <c r="E7" s="188">
        <v>94669364.010000005</v>
      </c>
      <c r="F7" s="188">
        <v>75516050.370000005</v>
      </c>
      <c r="G7" s="188">
        <v>54176909.359999999</v>
      </c>
      <c r="H7" s="188">
        <v>35272498.380000003</v>
      </c>
      <c r="I7" s="188">
        <v>90080740.530000001</v>
      </c>
      <c r="J7" s="188">
        <v>58670601.93</v>
      </c>
      <c r="K7" s="188">
        <v>42812300.270000003</v>
      </c>
      <c r="L7" s="188">
        <v>27721130.620000001</v>
      </c>
      <c r="M7" s="188">
        <v>69393906.780000001</v>
      </c>
      <c r="N7" s="188">
        <v>51272865.100000001</v>
      </c>
      <c r="O7" s="188">
        <v>33897319.039999999</v>
      </c>
      <c r="P7" s="188">
        <v>19175132.039999999</v>
      </c>
      <c r="Q7" s="188">
        <v>55817139.789999999</v>
      </c>
      <c r="R7" s="188">
        <v>44771399.710000001</v>
      </c>
      <c r="S7" s="188">
        <v>31104137.969999999</v>
      </c>
      <c r="T7" s="188">
        <v>16757113.970000001</v>
      </c>
      <c r="U7" s="188">
        <v>53068388.009999998</v>
      </c>
      <c r="V7" s="188">
        <v>39989896.649999999</v>
      </c>
      <c r="W7" s="188">
        <v>25593022.23</v>
      </c>
      <c r="X7" s="188">
        <v>16333377.91</v>
      </c>
      <c r="Y7" s="188">
        <v>48244928.579999998</v>
      </c>
      <c r="Z7" s="188">
        <v>41485117.619999997</v>
      </c>
      <c r="AA7" s="188">
        <v>29020536.370000001</v>
      </c>
      <c r="AB7" s="188">
        <v>19520447.210000001</v>
      </c>
      <c r="AC7" s="188">
        <v>43677795.950000003</v>
      </c>
      <c r="AD7" s="188">
        <v>34822886.759999998</v>
      </c>
      <c r="AE7" s="188">
        <v>24407095.870000001</v>
      </c>
      <c r="AF7" s="188">
        <v>16459457.880000001</v>
      </c>
      <c r="AG7" s="188">
        <v>10972986.42</v>
      </c>
      <c r="AH7" s="188">
        <v>8684846</v>
      </c>
      <c r="AI7" s="188">
        <v>5830719.3300000001</v>
      </c>
      <c r="AJ7" s="188">
        <v>4097861.54</v>
      </c>
      <c r="AK7" s="188">
        <v>6621860.0499999998</v>
      </c>
      <c r="AL7" s="188">
        <v>5804095.9900000002</v>
      </c>
      <c r="AM7" s="188">
        <v>3704731.77</v>
      </c>
      <c r="AN7" s="188">
        <v>2040258.54</v>
      </c>
      <c r="AO7" s="188">
        <v>7305027.3399999999</v>
      </c>
      <c r="AP7" s="188">
        <v>6301645.7699999996</v>
      </c>
      <c r="AQ7" s="188">
        <v>4757380.09</v>
      </c>
      <c r="AR7" s="188">
        <v>2433264.62</v>
      </c>
      <c r="AS7" s="188">
        <v>7217348.5499999998</v>
      </c>
      <c r="AT7" s="188">
        <v>5121444.57</v>
      </c>
      <c r="AU7" s="188">
        <v>3776975.54</v>
      </c>
      <c r="AV7" s="188">
        <v>1810158.74</v>
      </c>
      <c r="AW7" s="188">
        <v>4813968.04</v>
      </c>
      <c r="AX7" s="188">
        <v>2865566.44</v>
      </c>
      <c r="AY7" s="188">
        <v>942207.71</v>
      </c>
      <c r="AZ7" s="188">
        <v>548266.6</v>
      </c>
      <c r="BA7" s="188">
        <v>3626606.18</v>
      </c>
      <c r="BB7" s="188">
        <v>3067472.06</v>
      </c>
      <c r="BC7" s="188">
        <v>1864554.05</v>
      </c>
      <c r="BD7" s="188">
        <v>994235.43</v>
      </c>
      <c r="BE7" s="188">
        <v>1982960.54</v>
      </c>
      <c r="BF7" s="188">
        <v>1443954.84</v>
      </c>
      <c r="BG7" s="188">
        <v>1053578.31</v>
      </c>
      <c r="BH7" s="188">
        <v>1079851.21</v>
      </c>
      <c r="BI7" s="188">
        <v>2164865.52</v>
      </c>
      <c r="BJ7" s="188">
        <v>1706479.41</v>
      </c>
      <c r="BK7" s="188">
        <v>1118198.53</v>
      </c>
      <c r="BL7" s="188">
        <v>2113014</v>
      </c>
      <c r="BM7" s="188">
        <v>3173699.56</v>
      </c>
      <c r="BN7" s="188">
        <v>0</v>
      </c>
    </row>
    <row r="8" spans="1:66" x14ac:dyDescent="0.25">
      <c r="A8" s="188" t="s">
        <v>195</v>
      </c>
      <c r="B8" s="188">
        <v>2158977983.3499999</v>
      </c>
      <c r="C8" s="188">
        <v>1450751427.1800001</v>
      </c>
      <c r="D8" s="188">
        <v>773963198.44000006</v>
      </c>
      <c r="E8" s="188">
        <v>2213078313.5500002</v>
      </c>
      <c r="F8" s="188">
        <v>1673160982.28</v>
      </c>
      <c r="G8" s="188">
        <v>1134645241.04</v>
      </c>
      <c r="H8" s="188">
        <v>664223550.48000002</v>
      </c>
      <c r="I8" s="188">
        <v>1891733488.76</v>
      </c>
      <c r="J8" s="188">
        <v>1369613715.3099999</v>
      </c>
      <c r="K8" s="188">
        <v>907452327.58000004</v>
      </c>
      <c r="L8" s="188">
        <v>524687333.88</v>
      </c>
      <c r="M8" s="188">
        <v>1580066582.1400001</v>
      </c>
      <c r="N8" s="188">
        <v>1201856740.8</v>
      </c>
      <c r="O8" s="188">
        <v>836869586.53999996</v>
      </c>
      <c r="P8" s="188">
        <v>487094622.23000002</v>
      </c>
      <c r="Q8" s="188">
        <v>1481090948.9000001</v>
      </c>
      <c r="R8" s="188">
        <v>1140301118.1099999</v>
      </c>
      <c r="S8" s="188">
        <v>774811596.87</v>
      </c>
      <c r="T8" s="188">
        <v>445558620.87</v>
      </c>
      <c r="U8" s="188">
        <v>1261860049.78</v>
      </c>
      <c r="V8" s="188">
        <v>932531283.02999997</v>
      </c>
      <c r="W8" s="188">
        <v>608247903.53999996</v>
      </c>
      <c r="X8" s="188">
        <v>338315240.57999998</v>
      </c>
      <c r="Y8" s="188">
        <v>1106551587.3699999</v>
      </c>
      <c r="Z8" s="188">
        <v>813262610.95000005</v>
      </c>
      <c r="AA8" s="188">
        <v>548386013.52999997</v>
      </c>
      <c r="AB8" s="188">
        <v>317800476.48000002</v>
      </c>
      <c r="AC8" s="188">
        <v>1061192999.8099999</v>
      </c>
      <c r="AD8" s="188">
        <v>796400481.16999996</v>
      </c>
      <c r="AE8" s="188">
        <v>524425749.36000001</v>
      </c>
      <c r="AF8" s="188">
        <v>291216610.64999998</v>
      </c>
      <c r="AG8" s="188">
        <v>827871035.55999994</v>
      </c>
      <c r="AH8" s="188">
        <v>603220413.88999999</v>
      </c>
      <c r="AI8" s="188">
        <v>407145518.23000002</v>
      </c>
      <c r="AJ8" s="188">
        <v>217259193.58000001</v>
      </c>
      <c r="AK8" s="188">
        <v>687519974.51999998</v>
      </c>
      <c r="AL8" s="188">
        <v>483065903.81</v>
      </c>
      <c r="AM8" s="188">
        <v>309947876.49000001</v>
      </c>
      <c r="AN8" s="188">
        <v>181704858.06999999</v>
      </c>
      <c r="AO8" s="188">
        <v>477767391.52999997</v>
      </c>
      <c r="AP8" s="188">
        <v>385578417.63999999</v>
      </c>
      <c r="AQ8" s="188">
        <v>251513552.56</v>
      </c>
      <c r="AR8" s="188">
        <v>162661336.31</v>
      </c>
      <c r="AS8" s="188">
        <v>379371992.24000001</v>
      </c>
      <c r="AT8" s="188">
        <v>249988993.84</v>
      </c>
      <c r="AU8" s="188">
        <v>165486439.28999999</v>
      </c>
      <c r="AV8" s="188">
        <v>106272099.56</v>
      </c>
      <c r="AW8" s="188">
        <v>255516718.46000001</v>
      </c>
      <c r="AX8" s="188">
        <v>200495379.09999999</v>
      </c>
      <c r="AY8" s="188">
        <v>134394727.46000001</v>
      </c>
      <c r="AZ8" s="188">
        <v>71658688.400000006</v>
      </c>
      <c r="BA8" s="188">
        <v>171051130.61000001</v>
      </c>
      <c r="BB8" s="188">
        <v>110135629.19</v>
      </c>
      <c r="BC8" s="188">
        <v>74104494.620000005</v>
      </c>
      <c r="BD8" s="188">
        <v>44656969.390000001</v>
      </c>
      <c r="BE8" s="188">
        <v>134957526.19999999</v>
      </c>
      <c r="BF8" s="188">
        <v>89951376.379999995</v>
      </c>
      <c r="BG8" s="188">
        <v>61473698.689999998</v>
      </c>
      <c r="BH8" s="188">
        <v>35602845.32</v>
      </c>
      <c r="BI8" s="188">
        <v>104517598.7</v>
      </c>
      <c r="BJ8" s="188">
        <v>66747469.539999999</v>
      </c>
      <c r="BK8" s="188">
        <v>43447414.619999997</v>
      </c>
      <c r="BL8" s="188">
        <v>82245193.959999993</v>
      </c>
      <c r="BM8" s="188">
        <v>90187798.849999994</v>
      </c>
      <c r="BN8" s="188">
        <v>0</v>
      </c>
    </row>
    <row r="9" spans="1:66" x14ac:dyDescent="0.25">
      <c r="A9" s="188" t="s">
        <v>196</v>
      </c>
      <c r="B9" s="188">
        <v>257147682.87</v>
      </c>
      <c r="C9" s="188">
        <v>260880196.28</v>
      </c>
      <c r="D9" s="188">
        <v>121047571</v>
      </c>
      <c r="E9" s="188">
        <v>415194235.98000002</v>
      </c>
      <c r="F9" s="188">
        <v>298600011.56999999</v>
      </c>
      <c r="G9" s="188">
        <v>193325749.99000001</v>
      </c>
      <c r="H9" s="188">
        <v>80396259.319999993</v>
      </c>
      <c r="I9" s="188">
        <v>388306153.91000003</v>
      </c>
      <c r="J9" s="188">
        <v>279135592.45999998</v>
      </c>
      <c r="K9" s="188">
        <v>179836717.36000001</v>
      </c>
      <c r="L9" s="188">
        <v>80391177.230000004</v>
      </c>
      <c r="M9" s="188">
        <v>367200921.75999999</v>
      </c>
      <c r="N9" s="188">
        <v>248331379.33000001</v>
      </c>
      <c r="O9" s="188">
        <v>161745534.05000001</v>
      </c>
      <c r="P9" s="188">
        <v>79904826.980000004</v>
      </c>
      <c r="Q9" s="188">
        <v>324558437.29000002</v>
      </c>
      <c r="R9" s="188">
        <v>232568064.91999999</v>
      </c>
      <c r="S9" s="188">
        <v>157525244.25</v>
      </c>
      <c r="T9" s="188">
        <v>75980856.230000004</v>
      </c>
      <c r="U9" s="188">
        <v>280696194.50999999</v>
      </c>
      <c r="V9" s="188">
        <v>211361935</v>
      </c>
      <c r="W9" s="188">
        <v>145988493.90000001</v>
      </c>
      <c r="X9" s="188">
        <v>67891314.530000001</v>
      </c>
      <c r="Y9" s="188">
        <v>251720840.91999999</v>
      </c>
      <c r="Z9" s="188">
        <v>176397203.68000001</v>
      </c>
      <c r="AA9" s="188">
        <v>110992321.62</v>
      </c>
      <c r="AB9" s="188">
        <v>55369203.649999999</v>
      </c>
      <c r="AC9" s="188">
        <v>212566272.22999999</v>
      </c>
      <c r="AD9" s="188">
        <v>156485513.28999999</v>
      </c>
      <c r="AE9" s="188">
        <v>108622455.31</v>
      </c>
      <c r="AF9" s="188">
        <v>51136235.210000001</v>
      </c>
      <c r="AG9" s="188">
        <v>216252564.03</v>
      </c>
      <c r="AH9" s="188">
        <v>155745047.87</v>
      </c>
      <c r="AI9" s="188">
        <v>98140658.659999996</v>
      </c>
      <c r="AJ9" s="188">
        <v>43772504.399999999</v>
      </c>
      <c r="AK9" s="188">
        <v>187356884.34999999</v>
      </c>
      <c r="AL9" s="188">
        <v>133366139.19</v>
      </c>
      <c r="AM9" s="188">
        <v>84763348.359999999</v>
      </c>
      <c r="AN9" s="188">
        <v>40166571.460000001</v>
      </c>
      <c r="AO9" s="188">
        <v>206713755.66</v>
      </c>
      <c r="AP9" s="188">
        <v>136604138.33000001</v>
      </c>
      <c r="AQ9" s="188">
        <v>88724436.450000003</v>
      </c>
      <c r="AR9" s="188">
        <v>42570323.770000003</v>
      </c>
      <c r="AS9" s="188">
        <v>122649947.5</v>
      </c>
      <c r="AT9" s="188">
        <v>86368594.909999996</v>
      </c>
      <c r="AU9" s="188">
        <v>58575355.189999998</v>
      </c>
      <c r="AV9" s="188">
        <v>25540101.48</v>
      </c>
      <c r="AW9" s="188">
        <v>121883647.76000001</v>
      </c>
      <c r="AX9" s="188">
        <v>75797570.909999996</v>
      </c>
      <c r="AY9" s="188">
        <v>54569158.25</v>
      </c>
      <c r="AZ9" s="188">
        <v>26659418.57</v>
      </c>
      <c r="BA9" s="188">
        <v>79418100.099999994</v>
      </c>
      <c r="BB9" s="188">
        <v>60338328.299999997</v>
      </c>
      <c r="BC9" s="188">
        <v>38424302.530000001</v>
      </c>
      <c r="BD9" s="188">
        <v>20772278.649999999</v>
      </c>
      <c r="BE9" s="188">
        <v>62140923.880000003</v>
      </c>
      <c r="BF9" s="188">
        <v>42798796.950000003</v>
      </c>
      <c r="BG9" s="188">
        <v>25949718.640000001</v>
      </c>
      <c r="BH9" s="188">
        <v>15635214.68</v>
      </c>
      <c r="BI9" s="188">
        <v>45169507.310000002</v>
      </c>
      <c r="BJ9" s="188">
        <v>31953956.25</v>
      </c>
      <c r="BK9" s="188">
        <v>19483467.449999999</v>
      </c>
      <c r="BL9" s="188">
        <v>30986823.75</v>
      </c>
      <c r="BM9" s="188">
        <v>21330339.460000001</v>
      </c>
      <c r="BN9" s="188">
        <v>0</v>
      </c>
    </row>
    <row r="10" spans="1:66" x14ac:dyDescent="0.25">
      <c r="A10" s="188" t="s">
        <v>197</v>
      </c>
      <c r="B10" s="188">
        <v>-6914944.4699999997</v>
      </c>
      <c r="C10" s="188">
        <v>-4131924.83</v>
      </c>
      <c r="D10" s="188">
        <v>-158855.94</v>
      </c>
      <c r="E10" s="188">
        <v>-126978.87</v>
      </c>
      <c r="F10" s="188">
        <v>-392749.17</v>
      </c>
      <c r="G10" s="188">
        <v>-1348604.52</v>
      </c>
      <c r="H10" s="188">
        <v>-1513932.95</v>
      </c>
      <c r="I10" s="188">
        <v>-21438184.359999999</v>
      </c>
      <c r="J10" s="188">
        <v>-10543344.310000001</v>
      </c>
      <c r="K10" s="188">
        <v>-8175484.3200000003</v>
      </c>
      <c r="L10" s="188">
        <v>-2103556.9900000002</v>
      </c>
      <c r="M10" s="188">
        <v>-23051245.800000001</v>
      </c>
      <c r="N10" s="188">
        <v>-17569300.5</v>
      </c>
      <c r="O10" s="188">
        <v>-7892741.8300000001</v>
      </c>
      <c r="P10" s="188">
        <v>-3545548.55</v>
      </c>
      <c r="Q10" s="188">
        <v>-19280618.579999998</v>
      </c>
      <c r="R10" s="188">
        <v>-14394832.18</v>
      </c>
      <c r="S10" s="188">
        <v>-10175630.630000001</v>
      </c>
      <c r="T10" s="188">
        <v>-1261141.8899999999</v>
      </c>
      <c r="U10" s="188">
        <v>-11788240.66</v>
      </c>
      <c r="V10" s="188">
        <v>-7235635.9000000004</v>
      </c>
      <c r="W10" s="188">
        <v>-849316.48</v>
      </c>
      <c r="X10" s="188">
        <v>291026.96999999997</v>
      </c>
      <c r="Y10" s="188">
        <v>-3584309.11</v>
      </c>
      <c r="Z10" s="188">
        <v>-12458328.18</v>
      </c>
      <c r="AA10" s="188">
        <v>-6805781.71</v>
      </c>
      <c r="AB10" s="188">
        <v>-1358250.96</v>
      </c>
      <c r="AC10" s="188">
        <v>23558700.18</v>
      </c>
      <c r="AD10" s="188">
        <v>21999726.850000001</v>
      </c>
      <c r="AE10" s="188">
        <v>12494300.15</v>
      </c>
      <c r="AF10" s="188">
        <v>7926631.5099999998</v>
      </c>
      <c r="AG10" s="188">
        <v>9687786.5399999991</v>
      </c>
      <c r="AH10" s="188">
        <v>5206833.59</v>
      </c>
      <c r="AI10" s="188">
        <v>-1198580.6499999999</v>
      </c>
      <c r="AJ10" s="188">
        <v>-548317.52</v>
      </c>
      <c r="AK10" s="188">
        <v>-10030385.25</v>
      </c>
      <c r="AL10" s="188">
        <v>-5470100.4500000002</v>
      </c>
      <c r="AM10" s="188">
        <v>-4799838.04</v>
      </c>
      <c r="AN10" s="188">
        <v>-2675730.89</v>
      </c>
      <c r="AO10" s="188">
        <v>-7668293.0800000001</v>
      </c>
      <c r="AP10" s="188">
        <v>-24478160.940000001</v>
      </c>
      <c r="AQ10" s="188">
        <v>-10329444.710000001</v>
      </c>
      <c r="AR10" s="188">
        <v>-754735.27</v>
      </c>
      <c r="AS10" s="188">
        <v>23902541.800000001</v>
      </c>
      <c r="AT10" s="188">
        <v>18297639.66</v>
      </c>
      <c r="AU10" s="188">
        <v>11948320.310000001</v>
      </c>
      <c r="AV10" s="188">
        <v>4492686.0999999996</v>
      </c>
      <c r="AW10" s="188">
        <v>26408729.390000001</v>
      </c>
      <c r="AX10" s="188">
        <v>14263102.16</v>
      </c>
      <c r="AY10" s="188">
        <v>7785231.5599999996</v>
      </c>
      <c r="AZ10" s="188">
        <v>3253033.44</v>
      </c>
      <c r="BA10" s="188">
        <v>13521065.15</v>
      </c>
      <c r="BB10" s="188">
        <v>11892293.560000001</v>
      </c>
      <c r="BC10" s="188">
        <v>8063724.1299999999</v>
      </c>
      <c r="BD10" s="188">
        <v>4582715.67</v>
      </c>
      <c r="BE10" s="188">
        <v>15737562.41</v>
      </c>
      <c r="BF10" s="188">
        <v>10574344.9</v>
      </c>
      <c r="BG10" s="188">
        <v>6419438.9000000004</v>
      </c>
      <c r="BH10" s="188">
        <v>3463936.63</v>
      </c>
      <c r="BI10" s="188">
        <v>9760977.4600000009</v>
      </c>
      <c r="BJ10" s="188">
        <v>6217905.1799999997</v>
      </c>
      <c r="BK10" s="188">
        <v>3343791.82</v>
      </c>
      <c r="BL10" s="188">
        <v>8496934.75</v>
      </c>
      <c r="BM10" s="188">
        <v>8188261.04</v>
      </c>
      <c r="BN10" s="188">
        <v>0</v>
      </c>
    </row>
    <row r="11" spans="1:66" x14ac:dyDescent="0.25">
      <c r="A11" s="188" t="s">
        <v>198</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row>
    <row r="12" spans="1:66" x14ac:dyDescent="0.25">
      <c r="A12" s="188" t="s">
        <v>199</v>
      </c>
      <c r="B12" s="188">
        <v>-8820716.8100000005</v>
      </c>
      <c r="C12" s="188">
        <v>-13977517.48</v>
      </c>
      <c r="D12" s="188">
        <v>-776945.53</v>
      </c>
      <c r="E12" s="188">
        <v>8541712.75</v>
      </c>
      <c r="F12" s="188">
        <v>-1914051.36</v>
      </c>
      <c r="G12" s="188">
        <v>2346163.5099999998</v>
      </c>
      <c r="H12" s="188">
        <v>2992977.8</v>
      </c>
      <c r="I12" s="188">
        <v>4769895.1900000004</v>
      </c>
      <c r="J12" s="188">
        <v>559333.32999999996</v>
      </c>
      <c r="K12" s="188">
        <v>-349986.11</v>
      </c>
      <c r="L12" s="188">
        <v>4211222.22</v>
      </c>
      <c r="M12" s="188">
        <v>-1436259.57</v>
      </c>
      <c r="N12" s="188">
        <v>5858714.1600000001</v>
      </c>
      <c r="O12" s="188">
        <v>-1966929.68</v>
      </c>
      <c r="P12" s="188">
        <v>8398317.4499999993</v>
      </c>
      <c r="Q12" s="188">
        <v>3667973.86</v>
      </c>
      <c r="R12" s="188">
        <v>12825</v>
      </c>
      <c r="S12" s="188">
        <v>12825</v>
      </c>
      <c r="T12" s="188">
        <v>12825</v>
      </c>
      <c r="U12" s="188">
        <v>133211.97</v>
      </c>
      <c r="V12" s="188">
        <v>876438.61</v>
      </c>
      <c r="W12" s="188">
        <v>499382.3</v>
      </c>
      <c r="X12" s="188">
        <v>437519.41</v>
      </c>
      <c r="Y12" s="188">
        <v>-146036.97</v>
      </c>
      <c r="Z12" s="188">
        <v>0</v>
      </c>
      <c r="AA12" s="188">
        <v>0</v>
      </c>
      <c r="AB12" s="188">
        <v>0</v>
      </c>
      <c r="AC12" s="188">
        <v>-2703150</v>
      </c>
      <c r="AD12" s="188">
        <v>1891536.98</v>
      </c>
      <c r="AE12" s="188">
        <v>4730712.04</v>
      </c>
      <c r="AF12" s="188">
        <v>-439899.99</v>
      </c>
      <c r="AG12" s="188">
        <v>-7820010</v>
      </c>
      <c r="AH12" s="188">
        <v>-10203660.01</v>
      </c>
      <c r="AI12" s="188">
        <v>-10391961.43</v>
      </c>
      <c r="AJ12" s="188">
        <v>-10268061.439999999</v>
      </c>
      <c r="AK12" s="188">
        <v>9653400</v>
      </c>
      <c r="AL12" s="188">
        <v>-2051395</v>
      </c>
      <c r="AM12" s="188">
        <v>1572600</v>
      </c>
      <c r="AN12" s="188">
        <v>1878060</v>
      </c>
      <c r="AO12" s="188">
        <v>869760</v>
      </c>
      <c r="AP12" s="188">
        <v>0</v>
      </c>
      <c r="AQ12" s="188">
        <v>0</v>
      </c>
      <c r="AR12" s="188">
        <v>0</v>
      </c>
      <c r="AS12" s="188">
        <v>0</v>
      </c>
      <c r="AT12" s="188">
        <v>177205</v>
      </c>
      <c r="AU12" s="188">
        <v>-285400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row>
    <row r="13" spans="1:66" x14ac:dyDescent="0.25">
      <c r="A13" s="188" t="s">
        <v>200</v>
      </c>
      <c r="B13" s="188">
        <v>67031184.07</v>
      </c>
      <c r="C13" s="188">
        <v>46609764.130000003</v>
      </c>
      <c r="D13" s="188">
        <v>13690032.35</v>
      </c>
      <c r="E13" s="188">
        <v>63272719.030000001</v>
      </c>
      <c r="F13" s="188">
        <v>51059401.82</v>
      </c>
      <c r="G13" s="188">
        <v>24695608.32</v>
      </c>
      <c r="H13" s="188">
        <v>11555220.83</v>
      </c>
      <c r="I13" s="188">
        <v>61079922.280000001</v>
      </c>
      <c r="J13" s="188">
        <v>56675868.310000002</v>
      </c>
      <c r="K13" s="188">
        <v>53398678.799999997</v>
      </c>
      <c r="L13" s="188">
        <v>24332811.07</v>
      </c>
      <c r="M13" s="188">
        <v>38513234.189999998</v>
      </c>
      <c r="N13" s="188">
        <v>32604316.16</v>
      </c>
      <c r="O13" s="188">
        <v>27358833.379999999</v>
      </c>
      <c r="P13" s="188">
        <v>5095087.51</v>
      </c>
      <c r="Q13" s="188">
        <v>26278044.440000001</v>
      </c>
      <c r="R13" s="188">
        <v>23398594.149999999</v>
      </c>
      <c r="S13" s="188">
        <v>18142407.359999999</v>
      </c>
      <c r="T13" s="188">
        <v>9086329.9299999997</v>
      </c>
      <c r="U13" s="188">
        <v>7951619.3200000003</v>
      </c>
      <c r="V13" s="188">
        <v>4335869.8600000003</v>
      </c>
      <c r="W13" s="188">
        <v>2796653.81</v>
      </c>
      <c r="X13" s="188">
        <v>1499388.44</v>
      </c>
      <c r="Y13" s="188">
        <v>1765518.66</v>
      </c>
      <c r="Z13" s="188">
        <v>492477.79</v>
      </c>
      <c r="AA13" s="188">
        <v>-107635.99</v>
      </c>
      <c r="AB13" s="188">
        <v>0</v>
      </c>
      <c r="AC13" s="188">
        <v>20294802.800000001</v>
      </c>
      <c r="AD13" s="188">
        <v>15054865.800000001</v>
      </c>
      <c r="AE13" s="188">
        <v>4582135</v>
      </c>
      <c r="AF13" s="188">
        <v>2228550</v>
      </c>
      <c r="AG13" s="188">
        <v>10349189.859999999</v>
      </c>
      <c r="AH13" s="188">
        <v>7595539.8600000003</v>
      </c>
      <c r="AI13" s="188">
        <v>6723389.8600000003</v>
      </c>
      <c r="AJ13" s="188">
        <v>8682514.8699999992</v>
      </c>
      <c r="AK13" s="188">
        <v>13165400.689999999</v>
      </c>
      <c r="AL13" s="188">
        <v>10624382.029999999</v>
      </c>
      <c r="AM13" s="188">
        <v>3324053.11</v>
      </c>
      <c r="AN13" s="188">
        <v>-1970729.36</v>
      </c>
      <c r="AO13" s="188">
        <v>25312439.300000001</v>
      </c>
      <c r="AP13" s="188">
        <v>1718320</v>
      </c>
      <c r="AQ13" s="188">
        <v>1674895</v>
      </c>
      <c r="AR13" s="188">
        <v>243175</v>
      </c>
      <c r="AS13" s="188">
        <v>2292168.83</v>
      </c>
      <c r="AT13" s="188">
        <v>2077189.81</v>
      </c>
      <c r="AU13" s="188">
        <v>205985</v>
      </c>
      <c r="AV13" s="188">
        <v>95050.01</v>
      </c>
      <c r="AW13" s="188">
        <v>-371609.94</v>
      </c>
      <c r="AX13" s="188">
        <v>-1311379.6399999999</v>
      </c>
      <c r="AY13" s="188">
        <v>806913.41</v>
      </c>
      <c r="AZ13" s="188">
        <v>517525.97</v>
      </c>
      <c r="BA13" s="188">
        <v>-2727880.73</v>
      </c>
      <c r="BB13" s="188">
        <v>-1911577.13</v>
      </c>
      <c r="BC13" s="188">
        <v>-1298141.42</v>
      </c>
      <c r="BD13" s="188">
        <v>-962525.71</v>
      </c>
      <c r="BE13" s="188">
        <v>5301985.13</v>
      </c>
      <c r="BF13" s="188">
        <v>4827027.87</v>
      </c>
      <c r="BG13" s="188">
        <v>4855118.58</v>
      </c>
      <c r="BH13" s="188">
        <v>5764659.29</v>
      </c>
      <c r="BI13" s="188">
        <v>5180796.34</v>
      </c>
      <c r="BJ13" s="188">
        <v>2051322.1</v>
      </c>
      <c r="BK13" s="188">
        <v>2614447.62</v>
      </c>
      <c r="BL13" s="188">
        <v>-2413929.23</v>
      </c>
      <c r="BM13" s="188">
        <v>-1136492.23</v>
      </c>
      <c r="BN13" s="188">
        <v>0</v>
      </c>
    </row>
    <row r="14" spans="1:66" x14ac:dyDescent="0.25">
      <c r="A14" s="188" t="s">
        <v>201</v>
      </c>
      <c r="B14" s="188">
        <v>2580391.4500000002</v>
      </c>
      <c r="C14" s="188">
        <v>1770564.71</v>
      </c>
      <c r="D14" s="188">
        <v>623113.37</v>
      </c>
      <c r="E14" s="188">
        <v>3933753.55</v>
      </c>
      <c r="F14" s="188">
        <v>2715833.09</v>
      </c>
      <c r="G14" s="188">
        <v>1822909.46</v>
      </c>
      <c r="H14" s="188">
        <v>1060099</v>
      </c>
      <c r="I14" s="188">
        <v>2349174.5299999998</v>
      </c>
      <c r="J14" s="188">
        <v>0</v>
      </c>
      <c r="K14" s="188">
        <v>0</v>
      </c>
      <c r="L14" s="188">
        <v>1162504.93</v>
      </c>
      <c r="M14" s="188">
        <v>3290945.74</v>
      </c>
      <c r="N14" s="188">
        <v>0</v>
      </c>
      <c r="O14" s="188">
        <v>0</v>
      </c>
      <c r="P14" s="188">
        <v>0</v>
      </c>
      <c r="Q14" s="188">
        <v>2614494.84</v>
      </c>
      <c r="R14" s="188">
        <v>0</v>
      </c>
      <c r="S14" s="188">
        <v>0</v>
      </c>
      <c r="T14" s="188">
        <v>0</v>
      </c>
      <c r="U14" s="188">
        <v>3862222.39</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row>
    <row r="15" spans="1:66"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row>
    <row r="16" spans="1:66" x14ac:dyDescent="0.25">
      <c r="A16" s="188" t="s">
        <v>203</v>
      </c>
      <c r="B16" s="188">
        <v>1375188108.8800001</v>
      </c>
      <c r="C16" s="188">
        <v>935377457.32000005</v>
      </c>
      <c r="D16" s="188">
        <v>602598650.25999999</v>
      </c>
      <c r="E16" s="188">
        <v>1574584138.4000001</v>
      </c>
      <c r="F16" s="188">
        <v>1079610024.3900001</v>
      </c>
      <c r="G16" s="188">
        <v>717733079.63</v>
      </c>
      <c r="H16" s="188">
        <v>466263757.55000001</v>
      </c>
      <c r="I16" s="188">
        <v>1315822245.0599999</v>
      </c>
      <c r="J16" s="188">
        <v>997191629.29999995</v>
      </c>
      <c r="K16" s="188">
        <v>657023372.78999996</v>
      </c>
      <c r="L16" s="188">
        <v>373996279.04000002</v>
      </c>
      <c r="M16" s="188">
        <v>1144470635.71</v>
      </c>
      <c r="N16" s="188">
        <v>867646962.51999998</v>
      </c>
      <c r="O16" s="188">
        <v>531093253.25</v>
      </c>
      <c r="P16" s="188">
        <v>307168774.97000003</v>
      </c>
      <c r="Q16" s="188">
        <v>905309768.82000005</v>
      </c>
      <c r="R16" s="188">
        <v>674615518.99000001</v>
      </c>
      <c r="S16" s="188">
        <v>439631684.5</v>
      </c>
      <c r="T16" s="188">
        <v>249748463.91999999</v>
      </c>
      <c r="U16" s="188">
        <v>757918416.73000002</v>
      </c>
      <c r="V16" s="188">
        <v>577376269.39999998</v>
      </c>
      <c r="W16" s="188">
        <v>375607726.70999998</v>
      </c>
      <c r="X16" s="188">
        <v>220960816.75999999</v>
      </c>
      <c r="Y16" s="188">
        <v>574538609.26999998</v>
      </c>
      <c r="Z16" s="188">
        <v>443795391.74000001</v>
      </c>
      <c r="AA16" s="188">
        <v>292856034.43000001</v>
      </c>
      <c r="AB16" s="188">
        <v>175631077.03999999</v>
      </c>
      <c r="AC16" s="188">
        <v>592900065.59000003</v>
      </c>
      <c r="AD16" s="188">
        <v>455848960.76999998</v>
      </c>
      <c r="AE16" s="188">
        <v>303638103.19999999</v>
      </c>
      <c r="AF16" s="188">
        <v>180862244.91999999</v>
      </c>
      <c r="AG16" s="188">
        <v>498049137.08999997</v>
      </c>
      <c r="AH16" s="188">
        <v>379346958.41000003</v>
      </c>
      <c r="AI16" s="188">
        <v>236702226.75999999</v>
      </c>
      <c r="AJ16" s="188">
        <v>142355890.63999999</v>
      </c>
      <c r="AK16" s="188">
        <v>425089269.04000002</v>
      </c>
      <c r="AL16" s="188">
        <v>289700238.63</v>
      </c>
      <c r="AM16" s="188">
        <v>193377753.34999999</v>
      </c>
      <c r="AN16" s="188">
        <v>104937526.64</v>
      </c>
      <c r="AO16" s="188">
        <v>343637423.5</v>
      </c>
      <c r="AP16" s="188">
        <v>229524989.88</v>
      </c>
      <c r="AQ16" s="188">
        <v>153800351.99000001</v>
      </c>
      <c r="AR16" s="188">
        <v>79729284.640000001</v>
      </c>
      <c r="AS16" s="188">
        <v>244327545.97999999</v>
      </c>
      <c r="AT16" s="188">
        <v>168056101.62</v>
      </c>
      <c r="AU16" s="188">
        <v>120585005.42</v>
      </c>
      <c r="AV16" s="188">
        <v>61987962.789999999</v>
      </c>
      <c r="AW16" s="188">
        <v>155557929.59</v>
      </c>
      <c r="AX16" s="188">
        <v>97399413.890000001</v>
      </c>
      <c r="AY16" s="188">
        <v>69445849.030000001</v>
      </c>
      <c r="AZ16" s="188">
        <v>37890573.920000002</v>
      </c>
      <c r="BA16" s="188">
        <v>98901949.349999994</v>
      </c>
      <c r="BB16" s="188">
        <v>63203620.689999998</v>
      </c>
      <c r="BC16" s="188">
        <v>43758638.909999996</v>
      </c>
      <c r="BD16" s="188">
        <v>20793941.129999999</v>
      </c>
      <c r="BE16" s="188">
        <v>78679945.159999996</v>
      </c>
      <c r="BF16" s="188">
        <v>56116695.210000001</v>
      </c>
      <c r="BG16" s="188">
        <v>34572592.200000003</v>
      </c>
      <c r="BH16" s="188">
        <v>16212072.82</v>
      </c>
      <c r="BI16" s="188">
        <v>112021827.59999999</v>
      </c>
      <c r="BJ16" s="188">
        <v>66596609.210000001</v>
      </c>
      <c r="BK16" s="188">
        <v>48183412.920000002</v>
      </c>
      <c r="BL16" s="188">
        <v>77778365.810000002</v>
      </c>
      <c r="BM16" s="188">
        <v>39064635.939999998</v>
      </c>
      <c r="BN16" s="188">
        <v>0</v>
      </c>
    </row>
    <row r="17" spans="1:66" x14ac:dyDescent="0.25">
      <c r="A17" s="188" t="s">
        <v>204</v>
      </c>
      <c r="B17" s="188">
        <v>7916423.1699999999</v>
      </c>
      <c r="C17" s="188">
        <v>7103470.0899999999</v>
      </c>
      <c r="D17" s="188">
        <v>781736.23</v>
      </c>
      <c r="E17" s="188">
        <v>7033906.4500000002</v>
      </c>
      <c r="F17" s="188">
        <v>26782828.48</v>
      </c>
      <c r="G17" s="188">
        <v>23301240.23</v>
      </c>
      <c r="H17" s="188">
        <v>5317175.8</v>
      </c>
      <c r="I17" s="188">
        <v>69386620.680000007</v>
      </c>
      <c r="J17" s="188">
        <v>25781571.260000002</v>
      </c>
      <c r="K17" s="188">
        <v>19343027.719999999</v>
      </c>
      <c r="L17" s="188">
        <v>16088490.970000001</v>
      </c>
      <c r="M17" s="188">
        <v>48607593.759999998</v>
      </c>
      <c r="N17" s="188">
        <v>31187347.07</v>
      </c>
      <c r="O17" s="188">
        <v>19887567.43</v>
      </c>
      <c r="P17" s="188">
        <v>12042239</v>
      </c>
      <c r="Q17" s="188">
        <v>32746697.98</v>
      </c>
      <c r="R17" s="188">
        <v>22324503.550000001</v>
      </c>
      <c r="S17" s="188">
        <v>11335308.359999999</v>
      </c>
      <c r="T17" s="188">
        <v>1441749.82</v>
      </c>
      <c r="U17" s="188">
        <v>26506570.829999998</v>
      </c>
      <c r="V17" s="188">
        <v>17915652.739999998</v>
      </c>
      <c r="W17" s="188">
        <v>6293333.4299999997</v>
      </c>
      <c r="X17" s="188">
        <v>4171824.79</v>
      </c>
      <c r="Y17" s="188">
        <v>31872332.440000001</v>
      </c>
      <c r="Z17" s="188">
        <v>14497079.779999999</v>
      </c>
      <c r="AA17" s="188">
        <v>3721851.7</v>
      </c>
      <c r="AB17" s="188">
        <v>2075061.54</v>
      </c>
      <c r="AC17" s="188">
        <v>39564100.850000001</v>
      </c>
      <c r="AD17" s="188">
        <v>24003599.399999999</v>
      </c>
      <c r="AE17" s="188">
        <v>6738777.0499999998</v>
      </c>
      <c r="AF17" s="188">
        <v>2490887.85</v>
      </c>
      <c r="AG17" s="188">
        <v>36828926.869999997</v>
      </c>
      <c r="AH17" s="188">
        <v>8285355.8899999997</v>
      </c>
      <c r="AI17" s="188">
        <v>4802827.21</v>
      </c>
      <c r="AJ17" s="188">
        <v>568192.41</v>
      </c>
      <c r="AK17" s="188">
        <v>12143118.039999999</v>
      </c>
      <c r="AL17" s="188">
        <v>4964104.26</v>
      </c>
      <c r="AM17" s="188">
        <v>3881464.25</v>
      </c>
      <c r="AN17" s="188">
        <v>44081.09</v>
      </c>
      <c r="AO17" s="188">
        <v>7417327.6299999999</v>
      </c>
      <c r="AP17" s="188">
        <v>3208275.35</v>
      </c>
      <c r="AQ17" s="188">
        <v>2919831.42</v>
      </c>
      <c r="AR17" s="188">
        <v>1682680.48</v>
      </c>
      <c r="AS17" s="188">
        <v>3452150.28</v>
      </c>
      <c r="AT17" s="188">
        <v>3377479.22</v>
      </c>
      <c r="AU17" s="188">
        <v>827628.65</v>
      </c>
      <c r="AV17" s="188">
        <v>99709.21</v>
      </c>
      <c r="AW17" s="188">
        <v>165767.84</v>
      </c>
      <c r="AX17" s="188">
        <v>212864.33</v>
      </c>
      <c r="AY17" s="188">
        <v>108908.36</v>
      </c>
      <c r="AZ17" s="188">
        <v>46715.16</v>
      </c>
      <c r="BA17" s="188">
        <v>220702.64</v>
      </c>
      <c r="BB17" s="188">
        <v>78383.7</v>
      </c>
      <c r="BC17" s="188">
        <v>21761</v>
      </c>
      <c r="BD17" s="188">
        <v>13086.96</v>
      </c>
      <c r="BE17" s="188">
        <v>71862.009999999995</v>
      </c>
      <c r="BF17" s="188">
        <v>61094.39</v>
      </c>
      <c r="BG17" s="188">
        <v>36247.279999999999</v>
      </c>
      <c r="BH17" s="188">
        <v>10344.129999999999</v>
      </c>
      <c r="BI17" s="188">
        <v>13308.24</v>
      </c>
      <c r="BJ17" s="188">
        <v>10541.01</v>
      </c>
      <c r="BK17" s="188">
        <v>4622.26</v>
      </c>
      <c r="BL17" s="188">
        <v>5908.78</v>
      </c>
      <c r="BM17" s="188">
        <v>422992.3</v>
      </c>
      <c r="BN17" s="188">
        <v>0</v>
      </c>
    </row>
    <row r="18" spans="1:66" x14ac:dyDescent="0.25">
      <c r="A18" s="188" t="s">
        <v>205</v>
      </c>
      <c r="B18" s="188">
        <v>2804227.75</v>
      </c>
      <c r="C18" s="188">
        <v>1577988.03</v>
      </c>
      <c r="D18" s="188">
        <v>615208.53</v>
      </c>
      <c r="E18" s="188">
        <v>16490093.75</v>
      </c>
      <c r="F18" s="188">
        <v>12743074.49</v>
      </c>
      <c r="G18" s="188">
        <v>12091158.710000001</v>
      </c>
      <c r="H18" s="188">
        <v>5630418.2599999998</v>
      </c>
      <c r="I18" s="188">
        <v>17741169.91</v>
      </c>
      <c r="J18" s="188">
        <v>8017433.46</v>
      </c>
      <c r="K18" s="188">
        <v>5948132.6100000003</v>
      </c>
      <c r="L18" s="188">
        <v>3209568.25</v>
      </c>
      <c r="M18" s="188">
        <v>19395818.73</v>
      </c>
      <c r="N18" s="188">
        <v>10375914.300000001</v>
      </c>
      <c r="O18" s="188">
        <v>5219796.3499999996</v>
      </c>
      <c r="P18" s="188">
        <v>2672233.7799999998</v>
      </c>
      <c r="Q18" s="188">
        <v>29981795.699999999</v>
      </c>
      <c r="R18" s="188">
        <v>10431136.529999999</v>
      </c>
      <c r="S18" s="188">
        <v>6557874.2400000002</v>
      </c>
      <c r="T18" s="188">
        <v>3219176.63</v>
      </c>
      <c r="U18" s="188">
        <v>35761868.149999999</v>
      </c>
      <c r="V18" s="188">
        <v>18022270.989999998</v>
      </c>
      <c r="W18" s="188">
        <v>15160123.41</v>
      </c>
      <c r="X18" s="188">
        <v>11966058.109999999</v>
      </c>
      <c r="Y18" s="188">
        <v>13543682.41</v>
      </c>
      <c r="Z18" s="188">
        <v>8333107.2699999996</v>
      </c>
      <c r="AA18" s="188">
        <v>4312266.01</v>
      </c>
      <c r="AB18" s="188">
        <v>2282725.23</v>
      </c>
      <c r="AC18" s="188">
        <v>12321721.68</v>
      </c>
      <c r="AD18" s="188">
        <v>9486716.4100000001</v>
      </c>
      <c r="AE18" s="188">
        <v>5664122.4900000002</v>
      </c>
      <c r="AF18" s="188">
        <v>2411429.2200000002</v>
      </c>
      <c r="AG18" s="188">
        <v>10958813.34</v>
      </c>
      <c r="AH18" s="188">
        <v>6878369.7800000003</v>
      </c>
      <c r="AI18" s="188">
        <v>3640081.28</v>
      </c>
      <c r="AJ18" s="188">
        <v>1790729.77</v>
      </c>
      <c r="AK18" s="188">
        <v>9972570.1400000006</v>
      </c>
      <c r="AL18" s="188">
        <v>7631520.7199999997</v>
      </c>
      <c r="AM18" s="188">
        <v>4886510.54</v>
      </c>
      <c r="AN18" s="188">
        <v>1859782.05</v>
      </c>
      <c r="AO18" s="188">
        <v>4638770.6900000004</v>
      </c>
      <c r="AP18" s="188">
        <v>4325657.2</v>
      </c>
      <c r="AQ18" s="188">
        <v>2114160.2999999998</v>
      </c>
      <c r="AR18" s="188">
        <v>1382334.24</v>
      </c>
      <c r="AS18" s="188">
        <v>5584118.8799999999</v>
      </c>
      <c r="AT18" s="188">
        <v>3221906.23</v>
      </c>
      <c r="AU18" s="188">
        <v>1538697.72</v>
      </c>
      <c r="AV18" s="188">
        <v>751887.3</v>
      </c>
      <c r="AW18" s="188">
        <v>6912553.8799999999</v>
      </c>
      <c r="AX18" s="188">
        <v>2477069.5299999998</v>
      </c>
      <c r="AY18" s="188">
        <v>1486024.96</v>
      </c>
      <c r="AZ18" s="188">
        <v>517624.26</v>
      </c>
      <c r="BA18" s="188">
        <v>3971777.53</v>
      </c>
      <c r="BB18" s="188">
        <v>2722908.98</v>
      </c>
      <c r="BC18" s="188">
        <v>1703815.62</v>
      </c>
      <c r="BD18" s="188">
        <v>430193.8</v>
      </c>
      <c r="BE18" s="188">
        <v>1106755.83</v>
      </c>
      <c r="BF18" s="188">
        <v>889947.89</v>
      </c>
      <c r="BG18" s="188">
        <v>438070.95</v>
      </c>
      <c r="BH18" s="188">
        <v>357756.36</v>
      </c>
      <c r="BI18" s="188">
        <v>1036109.1</v>
      </c>
      <c r="BJ18" s="188">
        <v>863614.73</v>
      </c>
      <c r="BK18" s="188">
        <v>534029.13</v>
      </c>
      <c r="BL18" s="188">
        <v>995249.03</v>
      </c>
      <c r="BM18" s="188">
        <v>1197132.3700000001</v>
      </c>
      <c r="BN18" s="188">
        <v>0</v>
      </c>
    </row>
    <row r="19" spans="1:66" x14ac:dyDescent="0.25">
      <c r="A19" s="188" t="s">
        <v>206</v>
      </c>
      <c r="B19" s="188">
        <v>0</v>
      </c>
      <c r="C19" s="188">
        <v>0</v>
      </c>
      <c r="D19" s="188">
        <v>0</v>
      </c>
      <c r="E19" s="188">
        <v>0</v>
      </c>
      <c r="F19" s="188">
        <v>2386623.92</v>
      </c>
      <c r="G19" s="188">
        <v>2108069.92</v>
      </c>
      <c r="H19" s="188">
        <v>1501080.39</v>
      </c>
      <c r="I19" s="188">
        <v>2125185.62</v>
      </c>
      <c r="J19" s="188">
        <v>1378980.47</v>
      </c>
      <c r="K19" s="188">
        <v>1079737.29</v>
      </c>
      <c r="L19" s="188">
        <v>455034.19</v>
      </c>
      <c r="M19" s="188">
        <v>3115385.55</v>
      </c>
      <c r="N19" s="188">
        <v>1171536.9099999999</v>
      </c>
      <c r="O19" s="188">
        <v>461888.08</v>
      </c>
      <c r="P19" s="188">
        <v>213996.55</v>
      </c>
      <c r="Q19" s="188">
        <v>2763085.14</v>
      </c>
      <c r="R19" s="188">
        <v>2170779.46</v>
      </c>
      <c r="S19" s="188">
        <v>1340421.06</v>
      </c>
      <c r="T19" s="188">
        <v>609830.88</v>
      </c>
      <c r="U19" s="188">
        <v>1029730.24</v>
      </c>
      <c r="V19" s="188">
        <v>890339.06</v>
      </c>
      <c r="W19" s="188">
        <v>396952.01</v>
      </c>
      <c r="X19" s="188">
        <v>45301.72</v>
      </c>
      <c r="Y19" s="188">
        <v>1657299.66</v>
      </c>
      <c r="Z19" s="188">
        <v>956152.69</v>
      </c>
      <c r="AA19" s="188">
        <v>791727.66</v>
      </c>
      <c r="AB19" s="188">
        <v>809900.41</v>
      </c>
      <c r="AC19" s="188">
        <v>938191.16</v>
      </c>
      <c r="AD19" s="188">
        <v>408334.14</v>
      </c>
      <c r="AE19" s="188">
        <v>162128.44</v>
      </c>
      <c r="AF19" s="188">
        <v>128069.55</v>
      </c>
      <c r="AG19" s="188">
        <v>2448418.87</v>
      </c>
      <c r="AH19" s="188">
        <v>232157.93</v>
      </c>
      <c r="AI19" s="188">
        <v>107501.91</v>
      </c>
      <c r="AJ19" s="188">
        <v>0</v>
      </c>
      <c r="AK19" s="188">
        <v>3543767.17</v>
      </c>
      <c r="AL19" s="188">
        <v>1884436.33</v>
      </c>
      <c r="AM19" s="188">
        <v>1142638.3899999999</v>
      </c>
      <c r="AN19" s="188">
        <v>383577.19</v>
      </c>
      <c r="AO19" s="188">
        <v>1149313.6000000001</v>
      </c>
      <c r="AP19" s="188">
        <v>-53130.82</v>
      </c>
      <c r="AQ19" s="188">
        <v>-173332.02</v>
      </c>
      <c r="AR19" s="188">
        <v>377838.13</v>
      </c>
      <c r="AS19" s="188">
        <v>1456919.95</v>
      </c>
      <c r="AT19" s="188">
        <v>689429.81</v>
      </c>
      <c r="AU19" s="188">
        <v>-32668.799999999999</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row>
    <row r="20" spans="1:66" x14ac:dyDescent="0.25">
      <c r="A20" s="188" t="s">
        <v>207</v>
      </c>
      <c r="B20" s="188">
        <v>1380300304.3</v>
      </c>
      <c r="C20" s="188">
        <v>940902939.38</v>
      </c>
      <c r="D20" s="188">
        <v>602765177.96000004</v>
      </c>
      <c r="E20" s="188">
        <v>1565127951.0999999</v>
      </c>
      <c r="F20" s="188">
        <v>1093649778.3800001</v>
      </c>
      <c r="G20" s="188">
        <v>728943161.14999998</v>
      </c>
      <c r="H20" s="188">
        <v>465950515.08999997</v>
      </c>
      <c r="I20" s="188">
        <v>1367467695.8299999</v>
      </c>
      <c r="J20" s="188">
        <v>1014955767.1</v>
      </c>
      <c r="K20" s="188">
        <v>670418267.89999998</v>
      </c>
      <c r="L20" s="188">
        <v>386875201.75999999</v>
      </c>
      <c r="M20" s="188">
        <v>1173682410.74</v>
      </c>
      <c r="N20" s="188">
        <v>888458395.28999996</v>
      </c>
      <c r="O20" s="188">
        <v>545761024.33000004</v>
      </c>
      <c r="P20" s="188">
        <v>316538780.19</v>
      </c>
      <c r="Q20" s="188">
        <v>908074671.10000002</v>
      </c>
      <c r="R20" s="188">
        <v>686508886.00999999</v>
      </c>
      <c r="S20" s="188">
        <v>444409118.62</v>
      </c>
      <c r="T20" s="188">
        <v>247971037.11000001</v>
      </c>
      <c r="U20" s="188">
        <v>748663119.40999997</v>
      </c>
      <c r="V20" s="188">
        <v>577269651.14999998</v>
      </c>
      <c r="W20" s="188">
        <v>366740936.73000002</v>
      </c>
      <c r="X20" s="188">
        <v>213166583.44</v>
      </c>
      <c r="Y20" s="188">
        <v>592867259.29999995</v>
      </c>
      <c r="Z20" s="188">
        <v>449959364.25</v>
      </c>
      <c r="AA20" s="188">
        <v>292265620.12</v>
      </c>
      <c r="AB20" s="188">
        <v>175423413.34999999</v>
      </c>
      <c r="AC20" s="188">
        <v>620142444.75999999</v>
      </c>
      <c r="AD20" s="188">
        <v>470365843.75999999</v>
      </c>
      <c r="AE20" s="188">
        <v>304712757.75999999</v>
      </c>
      <c r="AF20" s="188">
        <v>180941703.55000001</v>
      </c>
      <c r="AG20" s="188">
        <v>523919250.62</v>
      </c>
      <c r="AH20" s="188">
        <v>380753944.51999998</v>
      </c>
      <c r="AI20" s="188">
        <v>237864972.69</v>
      </c>
      <c r="AJ20" s="188">
        <v>141133353.28</v>
      </c>
      <c r="AK20" s="188">
        <v>427259816.94</v>
      </c>
      <c r="AL20" s="188">
        <v>287032822.17000002</v>
      </c>
      <c r="AM20" s="188">
        <v>192372707.06</v>
      </c>
      <c r="AN20" s="188">
        <v>103121825.68000001</v>
      </c>
      <c r="AO20" s="188">
        <v>346415980.44</v>
      </c>
      <c r="AP20" s="188">
        <v>228407608.03</v>
      </c>
      <c r="AQ20" s="188">
        <v>154606023.11000001</v>
      </c>
      <c r="AR20" s="188">
        <v>80029630.879999995</v>
      </c>
      <c r="AS20" s="188">
        <v>242195577.38</v>
      </c>
      <c r="AT20" s="188">
        <v>168211674.61000001</v>
      </c>
      <c r="AU20" s="188">
        <v>119873936.34999999</v>
      </c>
      <c r="AV20" s="188">
        <v>61335784.700000003</v>
      </c>
      <c r="AW20" s="188">
        <v>148811143.55000001</v>
      </c>
      <c r="AX20" s="188">
        <v>95135208.689999998</v>
      </c>
      <c r="AY20" s="188">
        <v>68068732.430000007</v>
      </c>
      <c r="AZ20" s="188">
        <v>37419664.82</v>
      </c>
      <c r="BA20" s="188">
        <v>95150874.459999993</v>
      </c>
      <c r="BB20" s="188">
        <v>60559095.409999996</v>
      </c>
      <c r="BC20" s="188">
        <v>42076584.289999999</v>
      </c>
      <c r="BD20" s="188">
        <v>20376834.289999999</v>
      </c>
      <c r="BE20" s="188">
        <v>77645051.340000004</v>
      </c>
      <c r="BF20" s="188">
        <v>55287841.710000001</v>
      </c>
      <c r="BG20" s="188">
        <v>34170768.530000001</v>
      </c>
      <c r="BH20" s="188">
        <v>15864660.59</v>
      </c>
      <c r="BI20" s="188">
        <v>110999026.73999999</v>
      </c>
      <c r="BJ20" s="188">
        <v>65743535.490000002</v>
      </c>
      <c r="BK20" s="188">
        <v>47654006.049999997</v>
      </c>
      <c r="BL20" s="188">
        <v>76789025.560000002</v>
      </c>
      <c r="BM20" s="188">
        <v>38290495.869999997</v>
      </c>
      <c r="BN20" s="188">
        <v>0</v>
      </c>
    </row>
    <row r="21" spans="1:66" x14ac:dyDescent="0.25">
      <c r="A21" s="188" t="s">
        <v>208</v>
      </c>
      <c r="B21" s="188">
        <v>276808721.5</v>
      </c>
      <c r="C21" s="188">
        <v>202066354.34999999</v>
      </c>
      <c r="D21" s="188">
        <v>150568281.11000001</v>
      </c>
      <c r="E21" s="188">
        <v>257283850.96000001</v>
      </c>
      <c r="F21" s="188">
        <v>196674732.59</v>
      </c>
      <c r="G21" s="188">
        <v>131663860.56999999</v>
      </c>
      <c r="H21" s="188">
        <v>99163227.120000005</v>
      </c>
      <c r="I21" s="188">
        <v>233513946.19</v>
      </c>
      <c r="J21" s="188">
        <v>216876843.99000001</v>
      </c>
      <c r="K21" s="188">
        <v>144399904.08000001</v>
      </c>
      <c r="L21" s="188">
        <v>82204221.530000001</v>
      </c>
      <c r="M21" s="188">
        <v>187176271.46000001</v>
      </c>
      <c r="N21" s="188">
        <v>178431865.50999999</v>
      </c>
      <c r="O21" s="188">
        <v>104894285.29000001</v>
      </c>
      <c r="P21" s="188">
        <v>63234493.18</v>
      </c>
      <c r="Q21" s="188">
        <v>143131731.81</v>
      </c>
      <c r="R21" s="188">
        <v>118498249.68000001</v>
      </c>
      <c r="S21" s="188">
        <v>76010920.079999998</v>
      </c>
      <c r="T21" s="188">
        <v>40333355.93</v>
      </c>
      <c r="U21" s="188">
        <v>107716186.73999999</v>
      </c>
      <c r="V21" s="188">
        <v>102000661.56999999</v>
      </c>
      <c r="W21" s="188">
        <v>64006316.909999996</v>
      </c>
      <c r="X21" s="188">
        <v>40011262.060000002</v>
      </c>
      <c r="Y21" s="188">
        <v>78007085.650000006</v>
      </c>
      <c r="Z21" s="188">
        <v>82029040.230000004</v>
      </c>
      <c r="AA21" s="188">
        <v>50505456.640000001</v>
      </c>
      <c r="AB21" s="188">
        <v>35144075.100000001</v>
      </c>
      <c r="AC21" s="188">
        <v>95184243.840000004</v>
      </c>
      <c r="AD21" s="188">
        <v>79395371.730000004</v>
      </c>
      <c r="AE21" s="188">
        <v>51258589.460000001</v>
      </c>
      <c r="AF21" s="188">
        <v>26677929.190000001</v>
      </c>
      <c r="AG21" s="188">
        <v>81099272.060000002</v>
      </c>
      <c r="AH21" s="188">
        <v>70284183.069999993</v>
      </c>
      <c r="AI21" s="188">
        <v>45686375.950000003</v>
      </c>
      <c r="AJ21" s="188">
        <v>26686829.390000001</v>
      </c>
      <c r="AK21" s="188">
        <v>71984000.700000003</v>
      </c>
      <c r="AL21" s="188">
        <v>52822758.869999997</v>
      </c>
      <c r="AM21" s="188">
        <v>43743599.670000002</v>
      </c>
      <c r="AN21" s="188">
        <v>24850025.699999999</v>
      </c>
      <c r="AO21" s="188">
        <v>47008026.57</v>
      </c>
      <c r="AP21" s="188">
        <v>32079866.379999999</v>
      </c>
      <c r="AQ21" s="188">
        <v>21122648.690000001</v>
      </c>
      <c r="AR21" s="188">
        <v>11942647.35</v>
      </c>
      <c r="AS21" s="188">
        <v>26883621.219999999</v>
      </c>
      <c r="AT21" s="188">
        <v>46273817.530000001</v>
      </c>
      <c r="AU21" s="188">
        <v>35043398.890000001</v>
      </c>
      <c r="AV21" s="188">
        <v>13320844.689999999</v>
      </c>
      <c r="AW21" s="188">
        <v>16046860.810000001</v>
      </c>
      <c r="AX21" s="188">
        <v>18093089.550000001</v>
      </c>
      <c r="AY21" s="188">
        <v>12342957.039999999</v>
      </c>
      <c r="AZ21" s="188">
        <v>7353405.6299999999</v>
      </c>
      <c r="BA21" s="188">
        <v>3973868.29</v>
      </c>
      <c r="BB21" s="188">
        <v>2356864.73</v>
      </c>
      <c r="BC21" s="188">
        <v>2031250.42</v>
      </c>
      <c r="BD21" s="188">
        <v>906320.58</v>
      </c>
      <c r="BE21" s="188">
        <v>5097254.5199999996</v>
      </c>
      <c r="BF21" s="188">
        <v>10649161.890000001</v>
      </c>
      <c r="BG21" s="188">
        <v>7838463.2999999998</v>
      </c>
      <c r="BH21" s="188">
        <v>4247267.8600000003</v>
      </c>
      <c r="BI21" s="188">
        <v>32750819.969999999</v>
      </c>
      <c r="BJ21" s="188">
        <v>23694540.489999998</v>
      </c>
      <c r="BK21" s="188">
        <v>18314076.760000002</v>
      </c>
      <c r="BL21" s="188">
        <v>24785015.449999999</v>
      </c>
      <c r="BM21" s="188">
        <v>13613956.130000001</v>
      </c>
      <c r="BN21" s="188">
        <v>0</v>
      </c>
    </row>
    <row r="22" spans="1:66" x14ac:dyDescent="0.25">
      <c r="A22" s="188" t="s">
        <v>209</v>
      </c>
      <c r="B22" s="188">
        <v>1103491582.8</v>
      </c>
      <c r="C22" s="188">
        <v>738836585.02999997</v>
      </c>
      <c r="D22" s="188">
        <v>452196896.85000002</v>
      </c>
      <c r="E22" s="188">
        <v>1307844100.1400001</v>
      </c>
      <c r="F22" s="188">
        <v>896975045.78999996</v>
      </c>
      <c r="G22" s="188">
        <v>597279300.58000004</v>
      </c>
      <c r="H22" s="188">
        <v>366787287.97000003</v>
      </c>
      <c r="I22" s="188">
        <v>1133953749.6400001</v>
      </c>
      <c r="J22" s="188">
        <v>798078923.11000001</v>
      </c>
      <c r="K22" s="188">
        <v>526018363.81999999</v>
      </c>
      <c r="L22" s="188">
        <v>304670980.23000002</v>
      </c>
      <c r="M22" s="188">
        <v>986506139.27999997</v>
      </c>
      <c r="N22" s="188">
        <v>710026529.77999997</v>
      </c>
      <c r="O22" s="188">
        <v>440866739.04000002</v>
      </c>
      <c r="P22" s="188">
        <v>253304287.00999999</v>
      </c>
      <c r="Q22" s="188">
        <v>764942939.28999996</v>
      </c>
      <c r="R22" s="188">
        <v>568010636.33000004</v>
      </c>
      <c r="S22" s="188">
        <v>368398198.54000002</v>
      </c>
      <c r="T22" s="188">
        <v>207637681.18000001</v>
      </c>
      <c r="U22" s="188">
        <v>640946932.66999996</v>
      </c>
      <c r="V22" s="188">
        <v>475268989.57999998</v>
      </c>
      <c r="W22" s="188">
        <v>302734619.81999999</v>
      </c>
      <c r="X22" s="188">
        <v>173155321.38</v>
      </c>
      <c r="Y22" s="188">
        <v>514860173.64999998</v>
      </c>
      <c r="Z22" s="188">
        <v>367930324.01999998</v>
      </c>
      <c r="AA22" s="188">
        <v>241760163.47999999</v>
      </c>
      <c r="AB22" s="188">
        <v>140279338.25</v>
      </c>
      <c r="AC22" s="188">
        <v>524958200.92000002</v>
      </c>
      <c r="AD22" s="188">
        <v>390970472.02999997</v>
      </c>
      <c r="AE22" s="188">
        <v>253454168.30000001</v>
      </c>
      <c r="AF22" s="188">
        <v>154263774.36000001</v>
      </c>
      <c r="AG22" s="188">
        <v>442819978.56</v>
      </c>
      <c r="AH22" s="188">
        <v>310469761.44999999</v>
      </c>
      <c r="AI22" s="188">
        <v>192178596.74000001</v>
      </c>
      <c r="AJ22" s="188">
        <v>114446523.89</v>
      </c>
      <c r="AK22" s="188">
        <v>355275816.24000001</v>
      </c>
      <c r="AL22" s="188">
        <v>234210063.30000001</v>
      </c>
      <c r="AM22" s="188">
        <v>148629107.38999999</v>
      </c>
      <c r="AN22" s="188">
        <v>78271799.980000004</v>
      </c>
      <c r="AO22" s="188">
        <v>299407953.87</v>
      </c>
      <c r="AP22" s="188">
        <v>196327741.65000001</v>
      </c>
      <c r="AQ22" s="188">
        <v>133483374.42</v>
      </c>
      <c r="AR22" s="188">
        <v>68086983.530000001</v>
      </c>
      <c r="AS22" s="188">
        <v>215311956.16</v>
      </c>
      <c r="AT22" s="188">
        <v>121937857.08</v>
      </c>
      <c r="AU22" s="188">
        <v>84830537.459999993</v>
      </c>
      <c r="AV22" s="188">
        <v>48014940.009999998</v>
      </c>
      <c r="AW22" s="188">
        <v>132764282.73999999</v>
      </c>
      <c r="AX22" s="188">
        <v>77042119.140000001</v>
      </c>
      <c r="AY22" s="188">
        <v>55725775.390000001</v>
      </c>
      <c r="AZ22" s="188">
        <v>30066259.190000001</v>
      </c>
      <c r="BA22" s="188">
        <v>91177006.170000002</v>
      </c>
      <c r="BB22" s="188">
        <v>58202230.68</v>
      </c>
      <c r="BC22" s="188">
        <v>40045333.869999997</v>
      </c>
      <c r="BD22" s="188">
        <v>19470513.710000001</v>
      </c>
      <c r="BE22" s="188">
        <v>72547796.819999993</v>
      </c>
      <c r="BF22" s="188">
        <v>44638679.82</v>
      </c>
      <c r="BG22" s="188">
        <v>26332305.23</v>
      </c>
      <c r="BH22" s="188">
        <v>11617392.73</v>
      </c>
      <c r="BI22" s="188">
        <v>78248206.769999996</v>
      </c>
      <c r="BJ22" s="188">
        <v>42048995</v>
      </c>
      <c r="BK22" s="188">
        <v>29339929.289999999</v>
      </c>
      <c r="BL22" s="188">
        <v>52004010.109999999</v>
      </c>
      <c r="BM22" s="188">
        <v>24676539.739999998</v>
      </c>
      <c r="BN22" s="188">
        <v>0</v>
      </c>
    </row>
    <row r="23" spans="1:66" x14ac:dyDescent="0.25">
      <c r="A23" s="188" t="s">
        <v>210</v>
      </c>
      <c r="B23" s="188">
        <v>1104391619.1300001</v>
      </c>
      <c r="C23" s="188">
        <v>739416193.04999995</v>
      </c>
      <c r="D23" s="188">
        <v>452443176.32999998</v>
      </c>
      <c r="E23" s="188">
        <v>1307606602.9400001</v>
      </c>
      <c r="F23" s="188">
        <v>896367727.05999994</v>
      </c>
      <c r="G23" s="188">
        <v>596973222.60000002</v>
      </c>
      <c r="H23" s="188">
        <v>366478807.61000001</v>
      </c>
      <c r="I23" s="188">
        <v>1077519156.4000001</v>
      </c>
      <c r="J23" s="188">
        <v>742140051.14999998</v>
      </c>
      <c r="K23" s="188">
        <v>470536171.33999997</v>
      </c>
      <c r="L23" s="188">
        <v>275208073.37</v>
      </c>
      <c r="M23" s="188">
        <v>889004773.99000001</v>
      </c>
      <c r="N23" s="188">
        <v>637008322.64999998</v>
      </c>
      <c r="O23" s="188">
        <v>395081399.38</v>
      </c>
      <c r="P23" s="188">
        <v>230622341.99000001</v>
      </c>
      <c r="Q23" s="188">
        <v>689892322.90999997</v>
      </c>
      <c r="R23" s="188">
        <v>508261778.36000001</v>
      </c>
      <c r="S23" s="188">
        <v>331448600.89999998</v>
      </c>
      <c r="T23" s="188">
        <v>189487358.02000001</v>
      </c>
      <c r="U23" s="188">
        <v>588509160.46000004</v>
      </c>
      <c r="V23" s="188">
        <v>432633858.18000001</v>
      </c>
      <c r="W23" s="188">
        <v>274800789</v>
      </c>
      <c r="X23" s="188">
        <v>158264367.34</v>
      </c>
      <c r="Y23" s="188">
        <v>469139044.47000003</v>
      </c>
      <c r="Z23" s="188">
        <v>333159566.23000002</v>
      </c>
      <c r="AA23" s="188">
        <v>220037418.63999999</v>
      </c>
      <c r="AB23" s="188">
        <v>128766466.02</v>
      </c>
      <c r="AC23" s="188">
        <v>475640160.72000003</v>
      </c>
      <c r="AD23" s="188">
        <v>352546849.25</v>
      </c>
      <c r="AE23" s="188">
        <v>231163971.94999999</v>
      </c>
      <c r="AF23" s="188">
        <v>141942031.22</v>
      </c>
      <c r="AG23" s="188">
        <v>403926224.07999998</v>
      </c>
      <c r="AH23" s="188">
        <v>287827762.56</v>
      </c>
      <c r="AI23" s="188">
        <v>179228216.43000001</v>
      </c>
      <c r="AJ23" s="188">
        <v>105826666.25</v>
      </c>
      <c r="AK23" s="188">
        <v>310416756.64999998</v>
      </c>
      <c r="AL23" s="188">
        <v>203387002.63999999</v>
      </c>
      <c r="AM23" s="188">
        <v>123583850.56</v>
      </c>
      <c r="AN23" s="188">
        <v>65858029.909999996</v>
      </c>
      <c r="AO23" s="188">
        <v>236506990.96000001</v>
      </c>
      <c r="AP23" s="188">
        <v>153705501.55000001</v>
      </c>
      <c r="AQ23" s="188">
        <v>102291836.72</v>
      </c>
      <c r="AR23" s="188">
        <v>53372049.990000002</v>
      </c>
      <c r="AS23" s="188">
        <v>171939598.55000001</v>
      </c>
      <c r="AT23" s="188">
        <v>97377157.530000001</v>
      </c>
      <c r="AU23" s="188">
        <v>68676271.150000006</v>
      </c>
      <c r="AV23" s="188">
        <v>38497298.939999998</v>
      </c>
      <c r="AW23" s="188">
        <v>102210416.76000001</v>
      </c>
      <c r="AX23" s="188">
        <v>60193820.229999997</v>
      </c>
      <c r="AY23" s="188">
        <v>42546669.829999998</v>
      </c>
      <c r="AZ23" s="188">
        <v>23101408.48</v>
      </c>
      <c r="BA23" s="188">
        <v>69227252.659999996</v>
      </c>
      <c r="BB23" s="188">
        <v>42554229.460000001</v>
      </c>
      <c r="BC23" s="188">
        <v>29495176.440000001</v>
      </c>
      <c r="BD23" s="188">
        <v>14425847.83</v>
      </c>
      <c r="BE23" s="188">
        <v>63148818.960000001</v>
      </c>
      <c r="BF23" s="188">
        <v>36677931.289999999</v>
      </c>
      <c r="BG23" s="188">
        <v>23040926.140000001</v>
      </c>
      <c r="BH23" s="188">
        <v>10763667.66</v>
      </c>
      <c r="BI23" s="188">
        <v>76473958.659999996</v>
      </c>
      <c r="BJ23" s="188">
        <v>41209120.590000004</v>
      </c>
      <c r="BK23" s="188">
        <v>28854236.34</v>
      </c>
      <c r="BL23" s="188">
        <v>51292928.390000001</v>
      </c>
      <c r="BM23" s="188">
        <v>24373968.41</v>
      </c>
      <c r="BN23" s="188">
        <v>0</v>
      </c>
    </row>
    <row r="24" spans="1:66" x14ac:dyDescent="0.25">
      <c r="A24" s="188" t="s">
        <v>211</v>
      </c>
      <c r="B24" s="188">
        <v>-900036.33</v>
      </c>
      <c r="C24" s="188">
        <v>-579608.02</v>
      </c>
      <c r="D24" s="188">
        <v>-246279.48</v>
      </c>
      <c r="E24" s="188">
        <v>237497.2</v>
      </c>
      <c r="F24" s="188">
        <v>607318.73</v>
      </c>
      <c r="G24" s="188">
        <v>306077.98</v>
      </c>
      <c r="H24" s="188">
        <v>308480.36</v>
      </c>
      <c r="I24" s="188">
        <v>56434593.240000002</v>
      </c>
      <c r="J24" s="188">
        <v>55938871.960000001</v>
      </c>
      <c r="K24" s="188">
        <v>55482192.479999997</v>
      </c>
      <c r="L24" s="188">
        <v>29462906.859999999</v>
      </c>
      <c r="M24" s="188">
        <v>97501365.290000007</v>
      </c>
      <c r="N24" s="188">
        <v>73018207.129999995</v>
      </c>
      <c r="O24" s="188">
        <v>45785339.659999996</v>
      </c>
      <c r="P24" s="188">
        <v>22681945.02</v>
      </c>
      <c r="Q24" s="188">
        <v>75050616.379999995</v>
      </c>
      <c r="R24" s="188">
        <v>59748857.969999999</v>
      </c>
      <c r="S24" s="188">
        <v>36949597.640000001</v>
      </c>
      <c r="T24" s="188">
        <v>18150323.16</v>
      </c>
      <c r="U24" s="188">
        <v>52437772.210000001</v>
      </c>
      <c r="V24" s="188">
        <v>42635131.399999999</v>
      </c>
      <c r="W24" s="188">
        <v>27933830.82</v>
      </c>
      <c r="X24" s="188">
        <v>14890954.039999999</v>
      </c>
      <c r="Y24" s="188">
        <v>45721129.18</v>
      </c>
      <c r="Z24" s="188">
        <v>34770757.789999999</v>
      </c>
      <c r="AA24" s="188">
        <v>21722744.84</v>
      </c>
      <c r="AB24" s="188">
        <v>11512872.23</v>
      </c>
      <c r="AC24" s="188">
        <v>49318040.200000003</v>
      </c>
      <c r="AD24" s="188">
        <v>38423622.780000001</v>
      </c>
      <c r="AE24" s="188">
        <v>22290196.350000001</v>
      </c>
      <c r="AF24" s="188">
        <v>12321743.140000001</v>
      </c>
      <c r="AG24" s="188">
        <v>38893754.479999997</v>
      </c>
      <c r="AH24" s="188">
        <v>22641998.890000001</v>
      </c>
      <c r="AI24" s="188">
        <v>12950380.310000001</v>
      </c>
      <c r="AJ24" s="188">
        <v>8619857.6400000006</v>
      </c>
      <c r="AK24" s="188">
        <v>44859059.590000004</v>
      </c>
      <c r="AL24" s="188">
        <v>30823060.66</v>
      </c>
      <c r="AM24" s="188">
        <v>25045256.829999998</v>
      </c>
      <c r="AN24" s="188">
        <v>12413770.07</v>
      </c>
      <c r="AO24" s="188">
        <v>62900962.909999996</v>
      </c>
      <c r="AP24" s="188">
        <v>42622240.100000001</v>
      </c>
      <c r="AQ24" s="188">
        <v>31191537.699999999</v>
      </c>
      <c r="AR24" s="188">
        <v>14714933.539999999</v>
      </c>
      <c r="AS24" s="188">
        <v>43372357.609999999</v>
      </c>
      <c r="AT24" s="188">
        <v>24560699.550000001</v>
      </c>
      <c r="AU24" s="188">
        <v>16154266.310000001</v>
      </c>
      <c r="AV24" s="188">
        <v>9517641.0700000003</v>
      </c>
      <c r="AW24" s="188">
        <v>30553865.98</v>
      </c>
      <c r="AX24" s="188">
        <v>16848298.91</v>
      </c>
      <c r="AY24" s="188">
        <v>13179105.560000001</v>
      </c>
      <c r="AZ24" s="188">
        <v>6964850.71</v>
      </c>
      <c r="BA24" s="188">
        <v>21949753.510000002</v>
      </c>
      <c r="BB24" s="188">
        <v>15648001.220000001</v>
      </c>
      <c r="BC24" s="188">
        <v>10550157.43</v>
      </c>
      <c r="BD24" s="188">
        <v>5044665.88</v>
      </c>
      <c r="BE24" s="188">
        <v>9398977.8599999994</v>
      </c>
      <c r="BF24" s="188">
        <v>7960748.5300000003</v>
      </c>
      <c r="BG24" s="188">
        <v>3291379.09</v>
      </c>
      <c r="BH24" s="188">
        <v>853725.07</v>
      </c>
      <c r="BI24" s="188">
        <v>1774248.11</v>
      </c>
      <c r="BJ24" s="188">
        <v>839874.41</v>
      </c>
      <c r="BK24" s="188">
        <v>485692.95</v>
      </c>
      <c r="BL24" s="188">
        <v>711081.72</v>
      </c>
      <c r="BM24" s="188">
        <v>302571.33</v>
      </c>
      <c r="BN24" s="188">
        <v>0</v>
      </c>
    </row>
    <row r="25" spans="1:66" x14ac:dyDescent="0.25">
      <c r="A25" s="188" t="s">
        <v>212</v>
      </c>
    </row>
    <row r="26" spans="1:66" x14ac:dyDescent="0.25">
      <c r="A26" s="188" t="s">
        <v>213</v>
      </c>
      <c r="B26" s="188">
        <v>1.35</v>
      </c>
      <c r="C26" s="188">
        <v>0.90400000000000003</v>
      </c>
      <c r="D26" s="188">
        <v>0.55300000000000005</v>
      </c>
      <c r="E26" s="188">
        <v>1.601</v>
      </c>
      <c r="F26" s="188">
        <v>1.093</v>
      </c>
      <c r="G26" s="188">
        <v>0.72799999999999998</v>
      </c>
      <c r="H26" s="188">
        <v>0.58099999999999996</v>
      </c>
      <c r="I26" s="188">
        <v>1.712</v>
      </c>
      <c r="J26" s="188">
        <v>1.18</v>
      </c>
      <c r="K26" s="188">
        <v>0.748</v>
      </c>
      <c r="L26" s="188">
        <v>0.438</v>
      </c>
      <c r="M26" s="188">
        <v>1.4159999999999999</v>
      </c>
      <c r="N26" s="188">
        <v>1.006</v>
      </c>
      <c r="O26" s="188">
        <v>0.623</v>
      </c>
      <c r="P26" s="188">
        <v>0.36399999999999999</v>
      </c>
      <c r="Q26" s="188">
        <v>1.0880000000000001</v>
      </c>
      <c r="R26" s="188">
        <v>0.80100000000000005</v>
      </c>
      <c r="S26" s="188">
        <v>0.52200000000000002</v>
      </c>
      <c r="T26" s="188">
        <v>0.29899999999999999</v>
      </c>
      <c r="U26" s="188">
        <v>0.92700000000000005</v>
      </c>
      <c r="V26" s="188">
        <v>0.68100000000000005</v>
      </c>
      <c r="W26" s="188">
        <v>0.433</v>
      </c>
      <c r="X26" s="188">
        <v>0.249</v>
      </c>
      <c r="Y26" s="188">
        <v>0.73899999999999999</v>
      </c>
      <c r="Z26" s="188">
        <v>0.53</v>
      </c>
      <c r="AA26" s="188">
        <v>0.35</v>
      </c>
      <c r="AB26" s="188">
        <v>0.22</v>
      </c>
      <c r="AC26" s="188">
        <v>0.82</v>
      </c>
      <c r="AD26" s="188">
        <v>0.61</v>
      </c>
      <c r="AE26" s="188">
        <v>0.4</v>
      </c>
      <c r="AF26" s="188">
        <v>0.25</v>
      </c>
      <c r="AG26" s="188">
        <v>0.7</v>
      </c>
      <c r="AH26" s="188">
        <v>0.5</v>
      </c>
      <c r="AI26" s="188">
        <v>0.31</v>
      </c>
      <c r="AJ26" s="188">
        <v>0.24</v>
      </c>
      <c r="AK26" s="188">
        <v>0.7</v>
      </c>
      <c r="AL26" s="188">
        <v>0.46</v>
      </c>
      <c r="AM26" s="188">
        <v>0.28000000000000003</v>
      </c>
      <c r="AN26" s="188">
        <v>0.15</v>
      </c>
      <c r="AO26" s="188">
        <v>0.54</v>
      </c>
      <c r="AP26" s="188">
        <v>0.35</v>
      </c>
      <c r="AQ26" s="188">
        <v>0.23</v>
      </c>
      <c r="AR26" s="188">
        <v>0.12</v>
      </c>
      <c r="AS26" s="188">
        <v>0.91</v>
      </c>
      <c r="AT26" s="188">
        <v>0.54</v>
      </c>
      <c r="AU26" s="188">
        <v>0.39</v>
      </c>
      <c r="AV26" s="188">
        <v>0.22</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row>
    <row r="27" spans="1:66" x14ac:dyDescent="0.25">
      <c r="A27" s="188" t="s">
        <v>214</v>
      </c>
      <c r="B27" s="188">
        <v>1.345</v>
      </c>
      <c r="C27" s="188">
        <v>0.9</v>
      </c>
      <c r="D27" s="188">
        <v>0.55100000000000005</v>
      </c>
      <c r="E27" s="188">
        <v>1.5920000000000001</v>
      </c>
      <c r="F27" s="188">
        <v>1.091</v>
      </c>
      <c r="G27" s="188">
        <v>0.72699999999999998</v>
      </c>
      <c r="H27" s="188">
        <v>0.57999999999999996</v>
      </c>
      <c r="I27" s="188">
        <v>1.7050000000000001</v>
      </c>
      <c r="J27" s="188">
        <v>1.1739999999999999</v>
      </c>
      <c r="K27" s="188">
        <v>0.74399999999999999</v>
      </c>
      <c r="L27" s="188">
        <v>0.435</v>
      </c>
      <c r="M27" s="188">
        <v>1.4039999999999999</v>
      </c>
      <c r="N27" s="188">
        <v>1.006</v>
      </c>
      <c r="O27" s="188">
        <v>0.623</v>
      </c>
      <c r="P27" s="188">
        <v>0.36399999999999999</v>
      </c>
      <c r="Q27" s="188">
        <v>1.0880000000000001</v>
      </c>
      <c r="R27" s="188">
        <v>0.80100000000000005</v>
      </c>
      <c r="S27" s="188">
        <v>0.52200000000000002</v>
      </c>
      <c r="T27" s="188">
        <v>0.29899999999999999</v>
      </c>
      <c r="U27" s="188">
        <v>0.92700000000000005</v>
      </c>
      <c r="V27" s="188">
        <v>0.68100000000000005</v>
      </c>
      <c r="W27" s="188">
        <v>0.433</v>
      </c>
      <c r="X27" s="188">
        <v>0.249</v>
      </c>
      <c r="Y27" s="188">
        <v>0.73899999999999999</v>
      </c>
      <c r="Z27" s="188">
        <v>0.53</v>
      </c>
      <c r="AA27" s="188">
        <v>0.35</v>
      </c>
      <c r="AB27" s="188">
        <v>0.22</v>
      </c>
      <c r="AC27" s="188">
        <v>0.82</v>
      </c>
      <c r="AD27" s="188">
        <v>0.61</v>
      </c>
      <c r="AE27" s="188">
        <v>0.4</v>
      </c>
      <c r="AF27" s="188">
        <v>0.25</v>
      </c>
      <c r="AG27" s="188">
        <v>0.7</v>
      </c>
      <c r="AH27" s="188">
        <v>0.5</v>
      </c>
      <c r="AI27" s="188">
        <v>0.31</v>
      </c>
      <c r="AJ27" s="188">
        <v>0.24</v>
      </c>
      <c r="AK27" s="188">
        <v>0.7</v>
      </c>
      <c r="AL27" s="188">
        <v>0.46</v>
      </c>
      <c r="AM27" s="188">
        <v>0.28000000000000003</v>
      </c>
      <c r="AN27" s="188">
        <v>0.15</v>
      </c>
      <c r="AO27" s="188">
        <v>0.54</v>
      </c>
      <c r="AP27" s="188">
        <v>0.35</v>
      </c>
      <c r="AQ27" s="188">
        <v>0.23</v>
      </c>
      <c r="AR27" s="188">
        <v>0.12</v>
      </c>
      <c r="AS27" s="188">
        <v>0.89</v>
      </c>
      <c r="AT27" s="188">
        <v>0.53</v>
      </c>
      <c r="AU27" s="188">
        <v>0.38</v>
      </c>
      <c r="AV27" s="188">
        <v>0.21</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row>
    <row r="28" spans="1:66" x14ac:dyDescent="0.25">
      <c r="A28" s="188" t="s">
        <v>215</v>
      </c>
      <c r="B28" s="188">
        <v>4415618.63</v>
      </c>
      <c r="C28" s="188">
        <v>575328.18000000005</v>
      </c>
      <c r="D28" s="188">
        <v>-6152433.6200000001</v>
      </c>
      <c r="E28" s="188">
        <v>-8431035.5399999991</v>
      </c>
      <c r="F28" s="188">
        <v>-6306467.2199999997</v>
      </c>
      <c r="G28" s="188">
        <v>-3302294.75</v>
      </c>
      <c r="H28" s="188">
        <v>-753261.15</v>
      </c>
      <c r="I28" s="188">
        <v>-881415.43</v>
      </c>
      <c r="J28" s="188">
        <v>-3334078.27</v>
      </c>
      <c r="K28" s="188">
        <v>-4305124.53</v>
      </c>
      <c r="L28" s="188">
        <v>-7495118.2300000004</v>
      </c>
      <c r="M28" s="188">
        <v>3849521.13</v>
      </c>
      <c r="N28" s="188">
        <v>-3079567.88</v>
      </c>
      <c r="O28" s="188">
        <v>-3912380.81</v>
      </c>
      <c r="P28" s="188">
        <v>-5151099.17</v>
      </c>
      <c r="Q28" s="188">
        <v>-796236.1</v>
      </c>
      <c r="R28" s="188">
        <v>-4677911.1500000004</v>
      </c>
      <c r="S28" s="188">
        <v>-3596326.4</v>
      </c>
      <c r="T28" s="188">
        <v>-3605238.7</v>
      </c>
      <c r="U28" s="188">
        <v>-4093813.69</v>
      </c>
      <c r="V28" s="188">
        <v>-7832927.0599999996</v>
      </c>
      <c r="W28" s="188">
        <v>-6307620.3899999997</v>
      </c>
      <c r="X28" s="188">
        <v>-4868087.07</v>
      </c>
      <c r="Y28" s="188">
        <v>-238389.03</v>
      </c>
      <c r="Z28" s="188">
        <v>-3619319.45</v>
      </c>
      <c r="AA28" s="188">
        <v>-3855187.36</v>
      </c>
      <c r="AB28" s="188">
        <v>-1099006.72</v>
      </c>
      <c r="AC28" s="188">
        <v>-5745264.3700000001</v>
      </c>
      <c r="AD28" s="188">
        <v>-8274604.21</v>
      </c>
      <c r="AE28" s="188">
        <v>-6656634.5599999996</v>
      </c>
      <c r="AF28" s="188">
        <v>-5571127.5499999998</v>
      </c>
      <c r="AG28" s="188">
        <v>-4363339.72</v>
      </c>
      <c r="AH28" s="188">
        <v>-3627962.73</v>
      </c>
      <c r="AI28" s="188">
        <v>-1882397.45</v>
      </c>
      <c r="AJ28" s="188">
        <v>-1617906.44</v>
      </c>
      <c r="AK28" s="188">
        <v>-2599137.69</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row>
    <row r="29" spans="1:66" x14ac:dyDescent="0.25">
      <c r="A29" s="188" t="s">
        <v>216</v>
      </c>
      <c r="B29" s="188">
        <v>1107907201.4300001</v>
      </c>
      <c r="C29" s="188">
        <v>739411913.21000004</v>
      </c>
      <c r="D29" s="188">
        <v>446044463.23000002</v>
      </c>
      <c r="E29" s="188">
        <v>1299413064.5999999</v>
      </c>
      <c r="F29" s="188">
        <v>890668578.57000005</v>
      </c>
      <c r="G29" s="188">
        <v>593977005.83000004</v>
      </c>
      <c r="H29" s="188">
        <v>366034026.81999999</v>
      </c>
      <c r="I29" s="188">
        <v>1133072334.21</v>
      </c>
      <c r="J29" s="188">
        <v>794744844.84000003</v>
      </c>
      <c r="K29" s="188">
        <v>521713239.29000002</v>
      </c>
      <c r="L29" s="188">
        <v>297175862</v>
      </c>
      <c r="M29" s="188">
        <v>990355660.40999997</v>
      </c>
      <c r="N29" s="188">
        <v>706946961.89999998</v>
      </c>
      <c r="O29" s="188">
        <v>436954358.23000002</v>
      </c>
      <c r="P29" s="188">
        <v>248153187.84</v>
      </c>
      <c r="Q29" s="188">
        <v>764146703.19000006</v>
      </c>
      <c r="R29" s="188">
        <v>563332725.17999995</v>
      </c>
      <c r="S29" s="188">
        <v>364801872.13999999</v>
      </c>
      <c r="T29" s="188">
        <v>204032442.47999999</v>
      </c>
      <c r="U29" s="188">
        <v>636853118.98000002</v>
      </c>
      <c r="V29" s="188">
        <v>467436062.51999998</v>
      </c>
      <c r="W29" s="188">
        <v>296426999.43000001</v>
      </c>
      <c r="X29" s="188">
        <v>168287234.31</v>
      </c>
      <c r="Y29" s="188">
        <v>514621784.62</v>
      </c>
      <c r="Z29" s="188">
        <v>364311004.56999999</v>
      </c>
      <c r="AA29" s="188">
        <v>237904976.12</v>
      </c>
      <c r="AB29" s="188">
        <v>139180331.53</v>
      </c>
      <c r="AC29" s="188">
        <v>519212936.55000001</v>
      </c>
      <c r="AD29" s="188">
        <v>382695867.81999999</v>
      </c>
      <c r="AE29" s="188">
        <v>246797533.74000001</v>
      </c>
      <c r="AF29" s="188">
        <v>148692646.81</v>
      </c>
      <c r="AG29" s="188">
        <v>438456638.83999997</v>
      </c>
      <c r="AH29" s="188">
        <v>306841798.72000003</v>
      </c>
      <c r="AI29" s="188">
        <v>190296199.28999999</v>
      </c>
      <c r="AJ29" s="188">
        <v>112828617.45</v>
      </c>
      <c r="AK29" s="188">
        <v>352676678.55000001</v>
      </c>
      <c r="AL29" s="188">
        <v>234210063.30000001</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row>
    <row r="30" spans="1:66" x14ac:dyDescent="0.25">
      <c r="A30" s="188" t="s">
        <v>217</v>
      </c>
      <c r="B30" s="188">
        <v>1108823013.6800001</v>
      </c>
      <c r="C30" s="188">
        <v>739993476.25999999</v>
      </c>
      <c r="D30" s="188">
        <v>446332831.18000001</v>
      </c>
      <c r="E30" s="188">
        <v>1299227969.0599999</v>
      </c>
      <c r="F30" s="188">
        <v>890061259.84000003</v>
      </c>
      <c r="G30" s="188">
        <v>593670927.85000002</v>
      </c>
      <c r="H30" s="188">
        <v>365725546.45999998</v>
      </c>
      <c r="I30" s="188">
        <v>1076637740.97</v>
      </c>
      <c r="J30" s="188">
        <v>738805972.88</v>
      </c>
      <c r="K30" s="188">
        <v>466231046.81</v>
      </c>
      <c r="L30" s="188">
        <v>267712955.13999999</v>
      </c>
      <c r="M30" s="188">
        <v>892854295.12</v>
      </c>
      <c r="N30" s="188">
        <v>633923679.36000001</v>
      </c>
      <c r="O30" s="188">
        <v>391081262.35000002</v>
      </c>
      <c r="P30" s="188">
        <v>225471242.81999999</v>
      </c>
      <c r="Q30" s="188">
        <v>689096086.80999994</v>
      </c>
      <c r="R30" s="188">
        <v>503583867.20999998</v>
      </c>
      <c r="S30" s="188">
        <v>327852274.5</v>
      </c>
      <c r="T30" s="188">
        <v>185882119.31999999</v>
      </c>
      <c r="U30" s="188">
        <v>584415346.76999998</v>
      </c>
      <c r="V30" s="188">
        <v>424800931.12</v>
      </c>
      <c r="W30" s="188">
        <v>268493168.61000001</v>
      </c>
      <c r="X30" s="188">
        <v>153396280.27000001</v>
      </c>
      <c r="Y30" s="188">
        <v>468900655.44</v>
      </c>
      <c r="Z30" s="188">
        <v>329540246.77999997</v>
      </c>
      <c r="AA30" s="188">
        <v>216182231.28</v>
      </c>
      <c r="AB30" s="188">
        <v>127667459.3</v>
      </c>
      <c r="AC30" s="188">
        <v>469894896.35000002</v>
      </c>
      <c r="AD30" s="188">
        <v>344272245.04000002</v>
      </c>
      <c r="AE30" s="188">
        <v>224507337.38999999</v>
      </c>
      <c r="AF30" s="188">
        <v>136370903.66999999</v>
      </c>
      <c r="AG30" s="188">
        <v>399562884.36000001</v>
      </c>
      <c r="AH30" s="188">
        <v>284199799.82999998</v>
      </c>
      <c r="AI30" s="188">
        <v>177345819.02000001</v>
      </c>
      <c r="AJ30" s="188">
        <v>104208759.81</v>
      </c>
      <c r="AK30" s="188">
        <v>307817618.95999998</v>
      </c>
      <c r="AL30" s="188">
        <v>203387002.63999999</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row>
    <row r="31" spans="1:66" x14ac:dyDescent="0.25">
      <c r="A31" s="188" t="s">
        <v>218</v>
      </c>
      <c r="B31" s="188">
        <v>-915812.25</v>
      </c>
      <c r="C31" s="188">
        <v>-581563.05000000005</v>
      </c>
      <c r="D31" s="188">
        <v>-288367.95</v>
      </c>
      <c r="E31" s="188">
        <v>185095.54</v>
      </c>
      <c r="F31" s="188">
        <v>607318.73</v>
      </c>
      <c r="G31" s="188">
        <v>306077.98</v>
      </c>
      <c r="H31" s="188">
        <v>308480.36</v>
      </c>
      <c r="I31" s="188">
        <v>56434593.240000002</v>
      </c>
      <c r="J31" s="188">
        <v>55938871.960000001</v>
      </c>
      <c r="K31" s="188">
        <v>55482192.479999997</v>
      </c>
      <c r="L31" s="188">
        <v>29462906.859999999</v>
      </c>
      <c r="M31" s="188">
        <v>97501365.290000007</v>
      </c>
      <c r="N31" s="188">
        <v>73023282.540000007</v>
      </c>
      <c r="O31" s="188">
        <v>45873095.880000003</v>
      </c>
      <c r="P31" s="188">
        <v>22681945.02</v>
      </c>
      <c r="Q31" s="188">
        <v>75050616.379999995</v>
      </c>
      <c r="R31" s="188">
        <v>59748857.969999999</v>
      </c>
      <c r="S31" s="188">
        <v>36949597.640000001</v>
      </c>
      <c r="T31" s="188">
        <v>18150323.16</v>
      </c>
      <c r="U31" s="188">
        <v>52437772.210000001</v>
      </c>
      <c r="V31" s="188">
        <v>42635131.399999999</v>
      </c>
      <c r="W31" s="188">
        <v>27933830.82</v>
      </c>
      <c r="X31" s="188">
        <v>14890954.039999999</v>
      </c>
      <c r="Y31" s="188">
        <v>45721129.18</v>
      </c>
      <c r="Z31" s="188">
        <v>34770757.789999999</v>
      </c>
      <c r="AA31" s="188">
        <v>21722744.84</v>
      </c>
      <c r="AB31" s="188">
        <v>11512872.23</v>
      </c>
      <c r="AC31" s="188">
        <v>49318040.200000003</v>
      </c>
      <c r="AD31" s="188">
        <v>38423622.780000001</v>
      </c>
      <c r="AE31" s="188">
        <v>22290196.350000001</v>
      </c>
      <c r="AF31" s="188">
        <v>12321743.140000001</v>
      </c>
      <c r="AG31" s="188">
        <v>38893754.479999997</v>
      </c>
      <c r="AH31" s="188">
        <v>22641998.890000001</v>
      </c>
      <c r="AI31" s="188">
        <v>12950380.27</v>
      </c>
      <c r="AJ31" s="188">
        <v>8619857.6400000006</v>
      </c>
      <c r="AK31" s="188">
        <v>44859059.590000004</v>
      </c>
      <c r="AL31" s="188">
        <v>30823060.66</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I77"/>
  <sheetViews>
    <sheetView workbookViewId="0">
      <selection activeCell="E7" sqref="E7"/>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3" width="13.88671875" style="188" hidden="1" customWidth="1"/>
    <col min="24" max="24" width="12.777343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59" width="13.88671875" style="188" hidden="1" customWidth="1"/>
    <col min="60" max="60" width="13.88671875" style="188" bestFit="1" customWidth="1"/>
    <col min="61" max="61" width="9.5546875" style="188" hidden="1" customWidth="1"/>
    <col min="62" max="16384" width="8.88671875" style="188"/>
  </cols>
  <sheetData>
    <row r="1" spans="1:61"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19700101</v>
      </c>
    </row>
    <row r="2" spans="1:61"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row>
    <row r="3" spans="1:61" x14ac:dyDescent="0.25">
      <c r="A3" s="188" t="s">
        <v>219</v>
      </c>
    </row>
    <row r="4" spans="1:61" x14ac:dyDescent="0.25">
      <c r="A4" s="188" t="s">
        <v>220</v>
      </c>
      <c r="B4" s="188">
        <v>8696143447.2399998</v>
      </c>
      <c r="C4" s="188">
        <v>5816993257.8699999</v>
      </c>
      <c r="D4" s="188">
        <v>3112906340.73</v>
      </c>
      <c r="E4" s="188">
        <v>16145419101.27</v>
      </c>
      <c r="F4" s="188">
        <v>7425785070.1899996</v>
      </c>
      <c r="G4" s="188">
        <v>4876404641.2299995</v>
      </c>
      <c r="H4" s="188">
        <v>2931134152.02</v>
      </c>
      <c r="I4" s="188">
        <v>13208930546.450001</v>
      </c>
      <c r="J4" s="188">
        <v>5638079004.5799999</v>
      </c>
      <c r="K4" s="188">
        <v>3511182907.6999998</v>
      </c>
      <c r="L4" s="188">
        <v>1987047898.01</v>
      </c>
      <c r="M4" s="188">
        <v>12004769332.530001</v>
      </c>
      <c r="N4" s="188">
        <v>5060179787.6400003</v>
      </c>
      <c r="O4" s="188">
        <v>3115784479.6999998</v>
      </c>
      <c r="P4" s="188">
        <v>1714627781.75</v>
      </c>
      <c r="Q4" s="188">
        <v>10490880096.66</v>
      </c>
      <c r="R4" s="188">
        <v>4747029327.0500002</v>
      </c>
      <c r="S4" s="188">
        <v>2996446267.1300001</v>
      </c>
      <c r="T4" s="188">
        <v>1600511749</v>
      </c>
      <c r="U4" s="188">
        <v>9333237746.0499992</v>
      </c>
      <c r="V4" s="188">
        <v>4351071085.4099998</v>
      </c>
      <c r="W4" s="188">
        <v>2872647834.2399998</v>
      </c>
      <c r="X4" s="188">
        <v>1548658126.3699999</v>
      </c>
      <c r="Y4" s="188">
        <v>7889937964.5600004</v>
      </c>
      <c r="Z4" s="188">
        <v>3823817763.6900001</v>
      </c>
      <c r="AA4" s="188">
        <v>2490009947.8600001</v>
      </c>
      <c r="AB4" s="188">
        <v>1287487679.1199999</v>
      </c>
      <c r="AC4" s="188">
        <v>7306758721.8500004</v>
      </c>
      <c r="AD4" s="188">
        <v>3921997324.7399998</v>
      </c>
      <c r="AE4" s="188">
        <v>2716377953.48</v>
      </c>
      <c r="AF4" s="188">
        <v>1405427992.79</v>
      </c>
      <c r="AG4" s="188">
        <v>6125853483.3500004</v>
      </c>
      <c r="AH4" s="188">
        <v>3551384470.5700002</v>
      </c>
      <c r="AI4" s="188">
        <v>2207145621.75</v>
      </c>
      <c r="AJ4" s="188">
        <v>1240150996.8099999</v>
      </c>
      <c r="AK4" s="188">
        <v>4439029538.6300001</v>
      </c>
      <c r="AL4" s="188">
        <v>3047275439.9099998</v>
      </c>
      <c r="AM4" s="188">
        <v>1908766976.8499999</v>
      </c>
      <c r="AN4" s="188">
        <v>901268467.88</v>
      </c>
      <c r="AO4" s="188">
        <v>3971286482.2600002</v>
      </c>
      <c r="AP4" s="188">
        <v>2908248337.79</v>
      </c>
      <c r="AQ4" s="188">
        <v>1863345979.1199999</v>
      </c>
      <c r="AR4" s="188">
        <v>856909178.10000002</v>
      </c>
      <c r="AS4" s="188">
        <v>3204403575.2199998</v>
      </c>
      <c r="AT4" s="188">
        <v>2033452014.72</v>
      </c>
      <c r="AU4" s="188">
        <v>1352935924.6600001</v>
      </c>
      <c r="AV4" s="188">
        <v>615219706.13</v>
      </c>
      <c r="AW4" s="188">
        <v>2487517374.4699998</v>
      </c>
      <c r="AX4" s="188">
        <v>1513815837.9000001</v>
      </c>
      <c r="AY4" s="188">
        <v>968845865.5</v>
      </c>
      <c r="AZ4" s="188">
        <v>482141823.43000001</v>
      </c>
      <c r="BA4" s="188">
        <v>1718803360.4100001</v>
      </c>
      <c r="BB4" s="188">
        <v>994487263.40999997</v>
      </c>
      <c r="BC4" s="188">
        <v>658931913.41999996</v>
      </c>
      <c r="BD4" s="188">
        <v>377821958.61000001</v>
      </c>
      <c r="BE4" s="188">
        <v>1262868850.24</v>
      </c>
      <c r="BF4" s="188">
        <v>767116303.61000001</v>
      </c>
      <c r="BG4" s="188">
        <v>476600395.91000003</v>
      </c>
      <c r="BH4" s="188">
        <v>1001990396.3200001</v>
      </c>
      <c r="BI4" s="188">
        <v>0</v>
      </c>
    </row>
    <row r="5" spans="1:61" x14ac:dyDescent="0.25">
      <c r="A5" s="188" t="s">
        <v>221</v>
      </c>
      <c r="B5" s="188">
        <v>163890301.31</v>
      </c>
      <c r="C5" s="188">
        <v>107576324.01000001</v>
      </c>
      <c r="D5" s="188">
        <v>69623072.25</v>
      </c>
      <c r="E5" s="188">
        <v>217037122.41</v>
      </c>
      <c r="F5" s="188">
        <v>145078977.22999999</v>
      </c>
      <c r="G5" s="188">
        <v>70151561.150000006</v>
      </c>
      <c r="H5" s="188">
        <v>40448595.530000001</v>
      </c>
      <c r="I5" s="188">
        <v>140521292.72</v>
      </c>
      <c r="J5" s="188">
        <v>101625793.97</v>
      </c>
      <c r="K5" s="188">
        <v>44054370.25</v>
      </c>
      <c r="L5" s="188">
        <v>30649150.059999999</v>
      </c>
      <c r="M5" s="188">
        <v>158580421.97999999</v>
      </c>
      <c r="N5" s="188">
        <v>115283402.3</v>
      </c>
      <c r="O5" s="188">
        <v>66158353.469999999</v>
      </c>
      <c r="P5" s="188">
        <v>41656230.439999998</v>
      </c>
      <c r="Q5" s="188">
        <v>186071636.61000001</v>
      </c>
      <c r="R5" s="188">
        <v>130734982.47</v>
      </c>
      <c r="S5" s="188">
        <v>76543433.980000004</v>
      </c>
      <c r="T5" s="188">
        <v>52346720.560000002</v>
      </c>
      <c r="U5" s="188">
        <v>123806584.76000001</v>
      </c>
      <c r="V5" s="188">
        <v>103618659.89</v>
      </c>
      <c r="W5" s="188">
        <v>54699162.990000002</v>
      </c>
      <c r="X5" s="188">
        <v>29570626.280000001</v>
      </c>
      <c r="Y5" s="188">
        <v>107897494.98999999</v>
      </c>
      <c r="Z5" s="188">
        <v>73726756.709999993</v>
      </c>
      <c r="AA5" s="188">
        <v>51555447.159999996</v>
      </c>
      <c r="AB5" s="188">
        <v>33290421.210000001</v>
      </c>
      <c r="AC5" s="188">
        <v>96217847.549999997</v>
      </c>
      <c r="AD5" s="188">
        <v>87056742.329999998</v>
      </c>
      <c r="AE5" s="188">
        <v>57869289.090000004</v>
      </c>
      <c r="AF5" s="188">
        <v>32760328.510000002</v>
      </c>
      <c r="AG5" s="188">
        <v>92125842.959999993</v>
      </c>
      <c r="AH5" s="188">
        <v>81691093.849999994</v>
      </c>
      <c r="AI5" s="188">
        <v>58103234.960000001</v>
      </c>
      <c r="AJ5" s="188">
        <v>28402237.079999998</v>
      </c>
      <c r="AK5" s="188">
        <v>35174418.899999999</v>
      </c>
      <c r="AL5" s="188">
        <v>20209900.16</v>
      </c>
      <c r="AM5" s="188">
        <v>7961338.5199999996</v>
      </c>
      <c r="AN5" s="188">
        <v>1645820.98</v>
      </c>
      <c r="AO5" s="188">
        <v>24374863.079999998</v>
      </c>
      <c r="AP5" s="188">
        <v>9356200.2100000009</v>
      </c>
      <c r="AQ5" s="188">
        <v>6803741.6299999999</v>
      </c>
      <c r="AR5" s="188">
        <v>3477983.47</v>
      </c>
      <c r="AS5" s="188">
        <v>25243417.32</v>
      </c>
      <c r="AT5" s="188">
        <v>14962935.9</v>
      </c>
      <c r="AU5" s="188">
        <v>11507745.779999999</v>
      </c>
      <c r="AV5" s="188">
        <v>7454302.0300000003</v>
      </c>
      <c r="AW5" s="188">
        <v>31751709.289999999</v>
      </c>
      <c r="AX5" s="188">
        <v>24081932.039999999</v>
      </c>
      <c r="AY5" s="188">
        <v>13910013.83</v>
      </c>
      <c r="AZ5" s="188">
        <v>2219649.21</v>
      </c>
      <c r="BA5" s="188">
        <v>11808124.890000001</v>
      </c>
      <c r="BB5" s="188">
        <v>27257485.890000001</v>
      </c>
      <c r="BC5" s="188">
        <v>15773336.07</v>
      </c>
      <c r="BD5" s="188">
        <v>7767079.8399999999</v>
      </c>
      <c r="BE5" s="188">
        <v>29258452.789999999</v>
      </c>
      <c r="BF5" s="188">
        <v>15694466.859999999</v>
      </c>
      <c r="BG5" s="188">
        <v>12944169.960000001</v>
      </c>
      <c r="BH5" s="188">
        <v>0</v>
      </c>
      <c r="BI5" s="188">
        <v>0</v>
      </c>
    </row>
    <row r="6" spans="1:61" x14ac:dyDescent="0.25">
      <c r="A6" s="188" t="s">
        <v>222</v>
      </c>
      <c r="B6" s="188">
        <v>113547856.18000001</v>
      </c>
      <c r="C6" s="188">
        <v>57357942.520000003</v>
      </c>
      <c r="D6" s="188">
        <v>8791457.0199999996</v>
      </c>
      <c r="E6" s="188">
        <v>99328342.609999999</v>
      </c>
      <c r="F6" s="188">
        <v>33820323.909999996</v>
      </c>
      <c r="G6" s="188">
        <v>27690310.010000002</v>
      </c>
      <c r="H6" s="188">
        <v>7754818.1100000003</v>
      </c>
      <c r="I6" s="188">
        <v>77219986.430000007</v>
      </c>
      <c r="J6" s="188">
        <v>34913398.270000003</v>
      </c>
      <c r="K6" s="188">
        <v>23718648.600000001</v>
      </c>
      <c r="L6" s="188">
        <v>31295330.440000001</v>
      </c>
      <c r="M6" s="188">
        <v>55724317.149999999</v>
      </c>
      <c r="N6" s="188">
        <v>73664191.269999996</v>
      </c>
      <c r="O6" s="188">
        <v>30875351.719999999</v>
      </c>
      <c r="P6" s="188">
        <v>29684562.600000001</v>
      </c>
      <c r="Q6" s="188">
        <v>36952803.030000001</v>
      </c>
      <c r="R6" s="188">
        <v>43268423.299999997</v>
      </c>
      <c r="S6" s="188">
        <v>24094840.629999999</v>
      </c>
      <c r="T6" s="188">
        <v>12057362.439999999</v>
      </c>
      <c r="U6" s="188">
        <v>35624035.579999998</v>
      </c>
      <c r="V6" s="188">
        <v>25829359.940000001</v>
      </c>
      <c r="W6" s="188">
        <v>22027058.350000001</v>
      </c>
      <c r="X6" s="188">
        <v>5197581.3600000003</v>
      </c>
      <c r="Y6" s="188">
        <v>50474475.140000001</v>
      </c>
      <c r="Z6" s="188">
        <v>32407090.68</v>
      </c>
      <c r="AA6" s="188">
        <v>16930906.18</v>
      </c>
      <c r="AB6" s="188">
        <v>14763077.699999999</v>
      </c>
      <c r="AC6" s="188">
        <v>56965875.68</v>
      </c>
      <c r="AD6" s="188">
        <v>34932401.939999998</v>
      </c>
      <c r="AE6" s="188">
        <v>25909985.940000001</v>
      </c>
      <c r="AF6" s="188">
        <v>12331694.050000001</v>
      </c>
      <c r="AG6" s="188">
        <v>49126378.549999997</v>
      </c>
      <c r="AH6" s="188">
        <v>34369483.25</v>
      </c>
      <c r="AI6" s="188">
        <v>58744333.93</v>
      </c>
      <c r="AJ6" s="188">
        <v>17910302.68</v>
      </c>
      <c r="AK6" s="188">
        <v>23532490.210000001</v>
      </c>
      <c r="AL6" s="188">
        <v>20159391.640000001</v>
      </c>
      <c r="AM6" s="188">
        <v>15182240.029999999</v>
      </c>
      <c r="AN6" s="188">
        <v>10600442.32</v>
      </c>
      <c r="AO6" s="188">
        <v>29645356.370000001</v>
      </c>
      <c r="AP6" s="188">
        <v>10388737.02</v>
      </c>
      <c r="AQ6" s="188">
        <v>11575711.74</v>
      </c>
      <c r="AR6" s="188">
        <v>15373549.5</v>
      </c>
      <c r="AS6" s="188">
        <v>46031302.18</v>
      </c>
      <c r="AT6" s="188">
        <v>15707541.529999999</v>
      </c>
      <c r="AU6" s="188">
        <v>11352262.369999999</v>
      </c>
      <c r="AV6" s="188">
        <v>10998280.93</v>
      </c>
      <c r="AW6" s="188">
        <v>13329488.07</v>
      </c>
      <c r="AX6" s="188">
        <v>13830530.99</v>
      </c>
      <c r="AY6" s="188">
        <v>16253363.449999999</v>
      </c>
      <c r="AZ6" s="188">
        <v>2694182.25</v>
      </c>
      <c r="BA6" s="188">
        <v>15963822.15</v>
      </c>
      <c r="BB6" s="188">
        <v>8831182.9700000007</v>
      </c>
      <c r="BC6" s="188">
        <v>1875474.23</v>
      </c>
      <c r="BD6" s="188">
        <v>12043803.800000001</v>
      </c>
      <c r="BE6" s="188">
        <v>12579780.140000001</v>
      </c>
      <c r="BF6" s="188">
        <v>25197291.390000001</v>
      </c>
      <c r="BG6" s="188">
        <v>4616109.34</v>
      </c>
      <c r="BH6" s="188">
        <v>36239092.090000004</v>
      </c>
      <c r="BI6" s="188">
        <v>0</v>
      </c>
    </row>
    <row r="7" spans="1:61" x14ac:dyDescent="0.25">
      <c r="A7" s="188" t="s">
        <v>223</v>
      </c>
      <c r="B7" s="188">
        <v>8973581604.7299995</v>
      </c>
      <c r="C7" s="188">
        <v>5981927524.3999996</v>
      </c>
      <c r="D7" s="188">
        <v>3191320870</v>
      </c>
      <c r="E7" s="188">
        <v>16461784566.290001</v>
      </c>
      <c r="F7" s="188">
        <v>7604684371.3299999</v>
      </c>
      <c r="G7" s="188">
        <v>4974246512.3900003</v>
      </c>
      <c r="H7" s="188">
        <v>2979337565.6599998</v>
      </c>
      <c r="I7" s="188">
        <v>13426671825.6</v>
      </c>
      <c r="J7" s="188">
        <v>5774618196.8199997</v>
      </c>
      <c r="K7" s="188">
        <v>3578955926.5500002</v>
      </c>
      <c r="L7" s="188">
        <v>2048992378.51</v>
      </c>
      <c r="M7" s="188">
        <v>12219074071.66</v>
      </c>
      <c r="N7" s="188">
        <v>5249127381.21</v>
      </c>
      <c r="O7" s="188">
        <v>3212818184.8899999</v>
      </c>
      <c r="P7" s="188">
        <v>1785968574.79</v>
      </c>
      <c r="Q7" s="188">
        <v>10713904536.299999</v>
      </c>
      <c r="R7" s="188">
        <v>4921032732.8199997</v>
      </c>
      <c r="S7" s="188">
        <v>3097084541.7399998</v>
      </c>
      <c r="T7" s="188">
        <v>1664915832</v>
      </c>
      <c r="U7" s="188">
        <v>9492668366.3899994</v>
      </c>
      <c r="V7" s="188">
        <v>4480519105.2399998</v>
      </c>
      <c r="W7" s="188">
        <v>2949374055.5799999</v>
      </c>
      <c r="X7" s="188">
        <v>1583426334.01</v>
      </c>
      <c r="Y7" s="188">
        <v>8048309934.6899996</v>
      </c>
      <c r="Z7" s="188">
        <v>3929951611.0799999</v>
      </c>
      <c r="AA7" s="188">
        <v>2558496301.1999998</v>
      </c>
      <c r="AB7" s="188">
        <v>1335541178.03</v>
      </c>
      <c r="AC7" s="188">
        <v>7459942445.0799999</v>
      </c>
      <c r="AD7" s="188">
        <v>4043986469.0100002</v>
      </c>
      <c r="AE7" s="188">
        <v>2800157228.5100002</v>
      </c>
      <c r="AF7" s="188">
        <v>1450520015.3499999</v>
      </c>
      <c r="AG7" s="188">
        <v>6267105704.8599997</v>
      </c>
      <c r="AH7" s="188">
        <v>3667445047.6700001</v>
      </c>
      <c r="AI7" s="188">
        <v>2323993190.6399999</v>
      </c>
      <c r="AJ7" s="188">
        <v>1286463536.5699999</v>
      </c>
      <c r="AK7" s="188">
        <v>4497736447.7399998</v>
      </c>
      <c r="AL7" s="188">
        <v>3087644731.71</v>
      </c>
      <c r="AM7" s="188">
        <v>1931910555.4000001</v>
      </c>
      <c r="AN7" s="188">
        <v>913514731.17999995</v>
      </c>
      <c r="AO7" s="188">
        <v>4025306701.71</v>
      </c>
      <c r="AP7" s="188">
        <v>2927993275.02</v>
      </c>
      <c r="AQ7" s="188">
        <v>1881725432.49</v>
      </c>
      <c r="AR7" s="188">
        <v>875760711.07000005</v>
      </c>
      <c r="AS7" s="188">
        <v>3275678294.7199998</v>
      </c>
      <c r="AT7" s="188">
        <v>2064122492.1500001</v>
      </c>
      <c r="AU7" s="188">
        <v>1375795932.8099999</v>
      </c>
      <c r="AV7" s="188">
        <v>633672289.09000003</v>
      </c>
      <c r="AW7" s="188">
        <v>2532598571.8299999</v>
      </c>
      <c r="AX7" s="188">
        <v>1551728300.9300001</v>
      </c>
      <c r="AY7" s="188">
        <v>999009242.77999997</v>
      </c>
      <c r="AZ7" s="188">
        <v>487055654.88999999</v>
      </c>
      <c r="BA7" s="188">
        <v>1746575307.45</v>
      </c>
      <c r="BB7" s="188">
        <v>1030575932.27</v>
      </c>
      <c r="BC7" s="188">
        <v>676580723.72000003</v>
      </c>
      <c r="BD7" s="188">
        <v>397632842.25</v>
      </c>
      <c r="BE7" s="188">
        <v>1304707083.1700001</v>
      </c>
      <c r="BF7" s="188">
        <v>808008061.86000001</v>
      </c>
      <c r="BG7" s="188">
        <v>494160675.20999998</v>
      </c>
      <c r="BH7" s="188">
        <v>1038229488.41</v>
      </c>
      <c r="BI7" s="188">
        <v>0</v>
      </c>
    </row>
    <row r="8" spans="1:61" x14ac:dyDescent="0.25">
      <c r="A8" s="188" t="s">
        <v>224</v>
      </c>
      <c r="B8" s="188">
        <v>5885964936.4300003</v>
      </c>
      <c r="C8" s="188">
        <v>3881585005.7399998</v>
      </c>
      <c r="D8" s="188">
        <v>1904741187.28</v>
      </c>
      <c r="E8" s="188">
        <v>11944848997.82</v>
      </c>
      <c r="F8" s="188">
        <v>4695459254</v>
      </c>
      <c r="G8" s="188">
        <v>3035326084.3099999</v>
      </c>
      <c r="H8" s="188">
        <v>1802397865.1199999</v>
      </c>
      <c r="I8" s="188">
        <v>8982777683.7399998</v>
      </c>
      <c r="J8" s="188">
        <v>3365685073.0100002</v>
      </c>
      <c r="K8" s="188">
        <v>2161394169.2800002</v>
      </c>
      <c r="L8" s="188">
        <v>1213823162.9300001</v>
      </c>
      <c r="M8" s="188">
        <v>8039688106.6400003</v>
      </c>
      <c r="N8" s="188">
        <v>3128708022.9699998</v>
      </c>
      <c r="O8" s="188">
        <v>1953209952.21</v>
      </c>
      <c r="P8" s="188">
        <v>1197260906.0799999</v>
      </c>
      <c r="Q8" s="188">
        <v>7353541507.3999996</v>
      </c>
      <c r="R8" s="188">
        <v>2825868473.2600002</v>
      </c>
      <c r="S8" s="188">
        <v>1735475466.0799999</v>
      </c>
      <c r="T8" s="188">
        <v>910143131.36000001</v>
      </c>
      <c r="U8" s="188">
        <v>6673849359.71</v>
      </c>
      <c r="V8" s="188">
        <v>2423220475.0500002</v>
      </c>
      <c r="W8" s="188">
        <v>1580374543.8699999</v>
      </c>
      <c r="X8" s="188">
        <v>779920002.75999999</v>
      </c>
      <c r="Y8" s="188">
        <v>5204664775.8599997</v>
      </c>
      <c r="Z8" s="188">
        <v>1888752172.53</v>
      </c>
      <c r="AA8" s="188">
        <v>1268262103.0599999</v>
      </c>
      <c r="AB8" s="188">
        <v>730375956.72000003</v>
      </c>
      <c r="AC8" s="188">
        <v>5423863937.04</v>
      </c>
      <c r="AD8" s="188">
        <v>2744583432.7800002</v>
      </c>
      <c r="AE8" s="188">
        <v>1908336846.6600001</v>
      </c>
      <c r="AF8" s="188">
        <v>926973213.50999999</v>
      </c>
      <c r="AG8" s="188">
        <v>4710346861.6899996</v>
      </c>
      <c r="AH8" s="188">
        <v>2616451839.3499999</v>
      </c>
      <c r="AI8" s="188">
        <v>1737971136.97</v>
      </c>
      <c r="AJ8" s="188">
        <v>960193435.94000006</v>
      </c>
      <c r="AK8" s="188">
        <v>3131616265.4400001</v>
      </c>
      <c r="AL8" s="188">
        <v>2095909511.49</v>
      </c>
      <c r="AM8" s="188">
        <v>1259958293.6400001</v>
      </c>
      <c r="AN8" s="188">
        <v>500031608.68000001</v>
      </c>
      <c r="AO8" s="188">
        <v>3000260840.3200002</v>
      </c>
      <c r="AP8" s="188">
        <v>2308680296.7800002</v>
      </c>
      <c r="AQ8" s="188">
        <v>1561338640.6800001</v>
      </c>
      <c r="AR8" s="188">
        <v>692416964.22000003</v>
      </c>
      <c r="AS8" s="188">
        <v>2482071411.9499998</v>
      </c>
      <c r="AT8" s="188">
        <v>1758485307.3900001</v>
      </c>
      <c r="AU8" s="188">
        <v>1185965787.52</v>
      </c>
      <c r="AV8" s="188">
        <v>587824127.52999997</v>
      </c>
      <c r="AW8" s="188">
        <v>1778927498.8699999</v>
      </c>
      <c r="AX8" s="188">
        <v>1241831489.4400001</v>
      </c>
      <c r="AY8" s="188">
        <v>824511638.12</v>
      </c>
      <c r="AZ8" s="188">
        <v>467180667.29000002</v>
      </c>
      <c r="BA8" s="188">
        <v>1301750299.8399999</v>
      </c>
      <c r="BB8" s="188">
        <v>848259741.12</v>
      </c>
      <c r="BC8" s="188">
        <v>595989584.23000002</v>
      </c>
      <c r="BD8" s="188">
        <v>340617180.95999998</v>
      </c>
      <c r="BE8" s="188">
        <v>917460741.96000004</v>
      </c>
      <c r="BF8" s="188">
        <v>580756891.24000001</v>
      </c>
      <c r="BG8" s="188">
        <v>357662188.74000001</v>
      </c>
      <c r="BH8" s="188">
        <v>758320555.62</v>
      </c>
      <c r="BI8" s="188">
        <v>0</v>
      </c>
    </row>
    <row r="9" spans="1:61" x14ac:dyDescent="0.25">
      <c r="A9" s="188" t="s">
        <v>225</v>
      </c>
      <c r="B9" s="188">
        <v>1054553019.48</v>
      </c>
      <c r="C9" s="188">
        <v>721230755.08000004</v>
      </c>
      <c r="D9" s="188">
        <v>411872579.29000002</v>
      </c>
      <c r="E9" s="188">
        <v>1505087586.5999999</v>
      </c>
      <c r="F9" s="188">
        <v>912863082.76999998</v>
      </c>
      <c r="G9" s="188">
        <v>635516836.30999994</v>
      </c>
      <c r="H9" s="188">
        <v>356147646.22000003</v>
      </c>
      <c r="I9" s="188">
        <v>1205285459.97</v>
      </c>
      <c r="J9" s="188">
        <v>827419003.12</v>
      </c>
      <c r="K9" s="188">
        <v>561340860.62</v>
      </c>
      <c r="L9" s="188">
        <v>317190317.50999999</v>
      </c>
      <c r="M9" s="188">
        <v>1097841214.4200001</v>
      </c>
      <c r="N9" s="188">
        <v>780795724.42999995</v>
      </c>
      <c r="O9" s="188">
        <v>538089807.91999996</v>
      </c>
      <c r="P9" s="188">
        <v>303291639.27999997</v>
      </c>
      <c r="Q9" s="188">
        <v>1013183081.75</v>
      </c>
      <c r="R9" s="188">
        <v>701787768.62</v>
      </c>
      <c r="S9" s="188">
        <v>478245305.29000002</v>
      </c>
      <c r="T9" s="188">
        <v>268327173.78999999</v>
      </c>
      <c r="U9" s="188">
        <v>981032765.95000005</v>
      </c>
      <c r="V9" s="188">
        <v>596506199.62</v>
      </c>
      <c r="W9" s="188">
        <v>409315991.44999999</v>
      </c>
      <c r="X9" s="188">
        <v>240498892.44999999</v>
      </c>
      <c r="Y9" s="188">
        <v>774705615.98000002</v>
      </c>
      <c r="Z9" s="188">
        <v>543789077.42999995</v>
      </c>
      <c r="AA9" s="188">
        <v>360031739.38999999</v>
      </c>
      <c r="AB9" s="188">
        <v>209272053.09</v>
      </c>
      <c r="AC9" s="188">
        <v>679184342.61000001</v>
      </c>
      <c r="AD9" s="188">
        <v>468904757.43000001</v>
      </c>
      <c r="AE9" s="188">
        <v>300775638.54000002</v>
      </c>
      <c r="AF9" s="188">
        <v>165772180.24000001</v>
      </c>
      <c r="AG9" s="188">
        <v>535890412.02999997</v>
      </c>
      <c r="AH9" s="188">
        <v>355855434.76999998</v>
      </c>
      <c r="AI9" s="188">
        <v>249691281.80000001</v>
      </c>
      <c r="AJ9" s="188">
        <v>138868348.99000001</v>
      </c>
      <c r="AK9" s="188">
        <v>357273904.24000001</v>
      </c>
      <c r="AL9" s="188">
        <v>192941995.88</v>
      </c>
      <c r="AM9" s="188">
        <v>145982521.22999999</v>
      </c>
      <c r="AN9" s="188">
        <v>68621117.260000005</v>
      </c>
      <c r="AO9" s="188">
        <v>309170510.19</v>
      </c>
      <c r="AP9" s="188">
        <v>214538152.74000001</v>
      </c>
      <c r="AQ9" s="188">
        <v>160376339.63</v>
      </c>
      <c r="AR9" s="188">
        <v>76460028.239999995</v>
      </c>
      <c r="AS9" s="188">
        <v>198591059.5</v>
      </c>
      <c r="AT9" s="188">
        <v>146010611.06999999</v>
      </c>
      <c r="AU9" s="188">
        <v>93529147.769999996</v>
      </c>
      <c r="AV9" s="188">
        <v>35538592.810000002</v>
      </c>
      <c r="AW9" s="188">
        <v>155154718.25</v>
      </c>
      <c r="AX9" s="188">
        <v>90361881.430000007</v>
      </c>
      <c r="AY9" s="188">
        <v>65379966.490000002</v>
      </c>
      <c r="AZ9" s="188">
        <v>37509319.689999998</v>
      </c>
      <c r="BA9" s="188">
        <v>115689735.76000001</v>
      </c>
      <c r="BB9" s="188">
        <v>81585510.129999995</v>
      </c>
      <c r="BC9" s="188">
        <v>55099325.020000003</v>
      </c>
      <c r="BD9" s="188">
        <v>35051354.299999997</v>
      </c>
      <c r="BE9" s="188">
        <v>79611752.709999993</v>
      </c>
      <c r="BF9" s="188">
        <v>58722888.719999999</v>
      </c>
      <c r="BG9" s="188">
        <v>37136240.439999998</v>
      </c>
      <c r="BH9" s="188">
        <v>60050060.149999999</v>
      </c>
      <c r="BI9" s="188">
        <v>0</v>
      </c>
    </row>
    <row r="10" spans="1:61" x14ac:dyDescent="0.25">
      <c r="A10" s="188" t="s">
        <v>226</v>
      </c>
      <c r="B10" s="188">
        <v>744257171.04999995</v>
      </c>
      <c r="C10" s="188">
        <v>595011071.45000005</v>
      </c>
      <c r="D10" s="188">
        <v>255876457.38999999</v>
      </c>
      <c r="E10" s="188">
        <v>745025881.42999995</v>
      </c>
      <c r="F10" s="188">
        <v>595158782.13</v>
      </c>
      <c r="G10" s="188">
        <v>451462490.24000001</v>
      </c>
      <c r="H10" s="188">
        <v>273789505.22000003</v>
      </c>
      <c r="I10" s="188">
        <v>702075330.52999997</v>
      </c>
      <c r="J10" s="188">
        <v>560873810.23000002</v>
      </c>
      <c r="K10" s="188">
        <v>420609666.48000002</v>
      </c>
      <c r="L10" s="188">
        <v>220385979.75999999</v>
      </c>
      <c r="M10" s="188">
        <v>638343113.10000002</v>
      </c>
      <c r="N10" s="188">
        <v>520695736.77999997</v>
      </c>
      <c r="O10" s="188">
        <v>388509781.37</v>
      </c>
      <c r="P10" s="188">
        <v>133690967.51000001</v>
      </c>
      <c r="Q10" s="188">
        <v>507933973.00999999</v>
      </c>
      <c r="R10" s="188">
        <v>425125757.61000001</v>
      </c>
      <c r="S10" s="188">
        <v>304402933.33999997</v>
      </c>
      <c r="T10" s="188">
        <v>126984382.3</v>
      </c>
      <c r="U10" s="188">
        <v>369464557.32999998</v>
      </c>
      <c r="V10" s="188">
        <v>281699997.51999998</v>
      </c>
      <c r="W10" s="188">
        <v>209842863.37</v>
      </c>
      <c r="X10" s="188">
        <v>95695687.459999993</v>
      </c>
      <c r="Y10" s="188">
        <v>403632946.70999998</v>
      </c>
      <c r="Z10" s="188">
        <v>338807961.62</v>
      </c>
      <c r="AA10" s="188">
        <v>269980975</v>
      </c>
      <c r="AB10" s="188">
        <v>138783538.03999999</v>
      </c>
      <c r="AC10" s="188">
        <v>331093031.20999998</v>
      </c>
      <c r="AD10" s="188">
        <v>275216332.01999998</v>
      </c>
      <c r="AE10" s="188">
        <v>214339573.87</v>
      </c>
      <c r="AF10" s="188">
        <v>125225981.45999999</v>
      </c>
      <c r="AG10" s="188">
        <v>277938337.85000002</v>
      </c>
      <c r="AH10" s="188">
        <v>238962389.30000001</v>
      </c>
      <c r="AI10" s="188">
        <v>205211025.63999999</v>
      </c>
      <c r="AJ10" s="188">
        <v>77986657.120000005</v>
      </c>
      <c r="AK10" s="188">
        <v>213756896.38999999</v>
      </c>
      <c r="AL10" s="188">
        <v>171606343.34</v>
      </c>
      <c r="AM10" s="188">
        <v>130195820.09999999</v>
      </c>
      <c r="AN10" s="188">
        <v>67332047.239999995</v>
      </c>
      <c r="AO10" s="188">
        <v>177616552.62</v>
      </c>
      <c r="AP10" s="188">
        <v>146765418.16999999</v>
      </c>
      <c r="AQ10" s="188">
        <v>112640344.2</v>
      </c>
      <c r="AR10" s="188">
        <v>69113717.890000001</v>
      </c>
      <c r="AS10" s="188">
        <v>102971738.22</v>
      </c>
      <c r="AT10" s="188">
        <v>74485799.900000006</v>
      </c>
      <c r="AU10" s="188">
        <v>59169083.420000002</v>
      </c>
      <c r="AV10" s="188">
        <v>29509704.34</v>
      </c>
      <c r="AW10" s="188">
        <v>79975650.719999999</v>
      </c>
      <c r="AX10" s="188">
        <v>55371623.719999999</v>
      </c>
      <c r="AY10" s="188">
        <v>37817010.450000003</v>
      </c>
      <c r="AZ10" s="188">
        <v>22622074.059999999</v>
      </c>
      <c r="BA10" s="188">
        <v>48725555.390000001</v>
      </c>
      <c r="BB10" s="188">
        <v>57500197.990000002</v>
      </c>
      <c r="BC10" s="188">
        <v>43950386.979999997</v>
      </c>
      <c r="BD10" s="188">
        <v>28674175.129999999</v>
      </c>
      <c r="BE10" s="188">
        <v>53283541.920000002</v>
      </c>
      <c r="BF10" s="188">
        <v>40268197.82</v>
      </c>
      <c r="BG10" s="188">
        <v>36617280.649999999</v>
      </c>
      <c r="BH10" s="188">
        <v>51303455.649999999</v>
      </c>
      <c r="BI10" s="188">
        <v>0</v>
      </c>
    </row>
    <row r="11" spans="1:61" x14ac:dyDescent="0.25">
      <c r="A11" s="188" t="s">
        <v>227</v>
      </c>
      <c r="B11" s="188">
        <v>799336428.75</v>
      </c>
      <c r="C11" s="188">
        <v>390769900.00999999</v>
      </c>
      <c r="D11" s="188">
        <v>178198224.81</v>
      </c>
      <c r="E11" s="188">
        <v>1185353043.05</v>
      </c>
      <c r="F11" s="188">
        <v>578755956.22000003</v>
      </c>
      <c r="G11" s="188">
        <v>293083893.82999998</v>
      </c>
      <c r="H11" s="188">
        <v>131287555.36</v>
      </c>
      <c r="I11" s="188">
        <v>1147542800.74</v>
      </c>
      <c r="J11" s="188">
        <v>411748070.25999999</v>
      </c>
      <c r="K11" s="188">
        <v>228974699.55000001</v>
      </c>
      <c r="L11" s="188">
        <v>130810128.36</v>
      </c>
      <c r="M11" s="188">
        <v>1310111926.8299999</v>
      </c>
      <c r="N11" s="188">
        <v>390778683.87</v>
      </c>
      <c r="O11" s="188">
        <v>221130284.00999999</v>
      </c>
      <c r="P11" s="188">
        <v>132975349.98999999</v>
      </c>
      <c r="Q11" s="188">
        <v>1006056662.4299999</v>
      </c>
      <c r="R11" s="188">
        <v>379032557.35000002</v>
      </c>
      <c r="S11" s="188">
        <v>249817077.91999999</v>
      </c>
      <c r="T11" s="188">
        <v>150353406.05000001</v>
      </c>
      <c r="U11" s="188">
        <v>880329805.89999998</v>
      </c>
      <c r="V11" s="188">
        <v>564578486.24000001</v>
      </c>
      <c r="W11" s="188">
        <v>396516195.11000001</v>
      </c>
      <c r="X11" s="188">
        <v>191994052.75999999</v>
      </c>
      <c r="Y11" s="188">
        <v>807976118.37</v>
      </c>
      <c r="Z11" s="188">
        <v>452261374.36000001</v>
      </c>
      <c r="AA11" s="188">
        <v>308193806.81999999</v>
      </c>
      <c r="AB11" s="188">
        <v>153843172.06</v>
      </c>
      <c r="AC11" s="188">
        <v>806567268.75999999</v>
      </c>
      <c r="AD11" s="188">
        <v>428872882.29000002</v>
      </c>
      <c r="AE11" s="188">
        <v>306621244.13999999</v>
      </c>
      <c r="AF11" s="188">
        <v>158319279.28</v>
      </c>
      <c r="AG11" s="188">
        <v>618679744.69000006</v>
      </c>
      <c r="AH11" s="188">
        <v>374439682.43000001</v>
      </c>
      <c r="AI11" s="188">
        <v>267160352.19</v>
      </c>
      <c r="AJ11" s="188">
        <v>152671499.22999999</v>
      </c>
      <c r="AK11" s="188">
        <v>500505142.45999998</v>
      </c>
      <c r="AL11" s="188">
        <v>299859491.74000001</v>
      </c>
      <c r="AM11" s="188">
        <v>175285897.63</v>
      </c>
      <c r="AN11" s="188">
        <v>133525642.76000001</v>
      </c>
      <c r="AO11" s="188">
        <v>396092724.38</v>
      </c>
      <c r="AP11" s="188">
        <v>316259202.73000002</v>
      </c>
      <c r="AQ11" s="188">
        <v>172582700.65000001</v>
      </c>
      <c r="AR11" s="188">
        <v>126577431.84</v>
      </c>
      <c r="AS11" s="188">
        <v>325151112.81</v>
      </c>
      <c r="AT11" s="188">
        <v>206330927.93000001</v>
      </c>
      <c r="AU11" s="188">
        <v>124656856.37</v>
      </c>
      <c r="AV11" s="188">
        <v>100840397.27</v>
      </c>
      <c r="AW11" s="188">
        <v>244878533.77000001</v>
      </c>
      <c r="AX11" s="188">
        <v>176817371.47999999</v>
      </c>
      <c r="AY11" s="188">
        <v>137217197.25999999</v>
      </c>
      <c r="AZ11" s="188">
        <v>63691743.939999998</v>
      </c>
      <c r="BA11" s="188">
        <v>163377083.00999999</v>
      </c>
      <c r="BB11" s="188">
        <v>125420253.65000001</v>
      </c>
      <c r="BC11" s="188">
        <v>69505910.180000007</v>
      </c>
      <c r="BD11" s="188">
        <v>43163136.159999996</v>
      </c>
      <c r="BE11" s="188">
        <v>141080187.38999999</v>
      </c>
      <c r="BF11" s="188">
        <v>117118038.38</v>
      </c>
      <c r="BG11" s="188">
        <v>61051651.82</v>
      </c>
      <c r="BH11" s="188">
        <v>121994059.08</v>
      </c>
      <c r="BI11" s="188">
        <v>0</v>
      </c>
    </row>
    <row r="12" spans="1:61" x14ac:dyDescent="0.25">
      <c r="A12" s="188" t="s">
        <v>228</v>
      </c>
      <c r="B12" s="188">
        <v>8484111555.71</v>
      </c>
      <c r="C12" s="188">
        <v>5588596732.2799997</v>
      </c>
      <c r="D12" s="188">
        <v>2750688448.77</v>
      </c>
      <c r="E12" s="188">
        <v>15380315508.9</v>
      </c>
      <c r="F12" s="188">
        <v>6782237075.1199999</v>
      </c>
      <c r="G12" s="188">
        <v>4415389304.6899996</v>
      </c>
      <c r="H12" s="188">
        <v>2563622571.9200001</v>
      </c>
      <c r="I12" s="188">
        <v>12037681274.98</v>
      </c>
      <c r="J12" s="188">
        <v>5165725956.6199999</v>
      </c>
      <c r="K12" s="188">
        <v>3372319395.9299998</v>
      </c>
      <c r="L12" s="188">
        <v>1882209588.5599999</v>
      </c>
      <c r="M12" s="188">
        <v>11085984360.99</v>
      </c>
      <c r="N12" s="188">
        <v>4820978168.0500002</v>
      </c>
      <c r="O12" s="188">
        <v>3100939825.5100002</v>
      </c>
      <c r="P12" s="188">
        <v>1767218862.8599999</v>
      </c>
      <c r="Q12" s="188">
        <v>9880715224.5900002</v>
      </c>
      <c r="R12" s="188">
        <v>4331814556.8400002</v>
      </c>
      <c r="S12" s="188">
        <v>2767940782.6300001</v>
      </c>
      <c r="T12" s="188">
        <v>1455808093.5</v>
      </c>
      <c r="U12" s="188">
        <v>8904676488.8899994</v>
      </c>
      <c r="V12" s="188">
        <v>3866005158.4299998</v>
      </c>
      <c r="W12" s="188">
        <v>2596049593.8000002</v>
      </c>
      <c r="X12" s="188">
        <v>1308108635.4300001</v>
      </c>
      <c r="Y12" s="188">
        <v>7190979456.9200001</v>
      </c>
      <c r="Z12" s="188">
        <v>3223610585.9400001</v>
      </c>
      <c r="AA12" s="188">
        <v>2206468624.27</v>
      </c>
      <c r="AB12" s="188">
        <v>1232274719.9100001</v>
      </c>
      <c r="AC12" s="188">
        <v>7240708579.6199999</v>
      </c>
      <c r="AD12" s="188">
        <v>3917577404.52</v>
      </c>
      <c r="AE12" s="188">
        <v>2730073303.21</v>
      </c>
      <c r="AF12" s="188">
        <v>1376290654.49</v>
      </c>
      <c r="AG12" s="188">
        <v>6142855356.2600002</v>
      </c>
      <c r="AH12" s="188">
        <v>3585709345.8499999</v>
      </c>
      <c r="AI12" s="188">
        <v>2460033796.5999999</v>
      </c>
      <c r="AJ12" s="188">
        <v>1329719941.28</v>
      </c>
      <c r="AK12" s="188">
        <v>4203152208.5300002</v>
      </c>
      <c r="AL12" s="188">
        <v>2760317342.4499998</v>
      </c>
      <c r="AM12" s="188">
        <v>1711422532.5999999</v>
      </c>
      <c r="AN12" s="188">
        <v>769510415.94000006</v>
      </c>
      <c r="AO12" s="188">
        <v>3883140627.5100002</v>
      </c>
      <c r="AP12" s="188">
        <v>2986243070.4200001</v>
      </c>
      <c r="AQ12" s="188">
        <v>2006938025.1600001</v>
      </c>
      <c r="AR12" s="188">
        <v>964568142.19000006</v>
      </c>
      <c r="AS12" s="188">
        <v>3108785322.48</v>
      </c>
      <c r="AT12" s="188">
        <v>2185312646.29</v>
      </c>
      <c r="AU12" s="188">
        <v>1463320875.0799999</v>
      </c>
      <c r="AV12" s="188">
        <v>753712821.95000005</v>
      </c>
      <c r="AW12" s="188">
        <v>2258936401.6100001</v>
      </c>
      <c r="AX12" s="188">
        <v>1564382366.0699999</v>
      </c>
      <c r="AY12" s="188">
        <v>1064925812.3200001</v>
      </c>
      <c r="AZ12" s="188">
        <v>591003804.98000002</v>
      </c>
      <c r="BA12" s="188">
        <v>1629542674</v>
      </c>
      <c r="BB12" s="188">
        <v>1112765702.8900001</v>
      </c>
      <c r="BC12" s="188">
        <v>764545206.40999997</v>
      </c>
      <c r="BD12" s="188">
        <v>447505846.55000001</v>
      </c>
      <c r="BE12" s="188">
        <v>1191436223.98</v>
      </c>
      <c r="BF12" s="188">
        <v>796866016.15999997</v>
      </c>
      <c r="BG12" s="188">
        <v>492467361.64999998</v>
      </c>
      <c r="BH12" s="188">
        <v>991668130.5</v>
      </c>
      <c r="BI12" s="188">
        <v>0</v>
      </c>
    </row>
    <row r="13" spans="1:61" x14ac:dyDescent="0.25">
      <c r="A13" s="188" t="s">
        <v>229</v>
      </c>
      <c r="B13" s="188">
        <v>489470049.01999998</v>
      </c>
      <c r="C13" s="188">
        <v>393330792.12</v>
      </c>
      <c r="D13" s="188">
        <v>440632421.23000002</v>
      </c>
      <c r="E13" s="188">
        <v>1081469057.3900001</v>
      </c>
      <c r="F13" s="188">
        <v>822447296.21000004</v>
      </c>
      <c r="G13" s="188">
        <v>558857207.70000005</v>
      </c>
      <c r="H13" s="188">
        <v>415714993.74000001</v>
      </c>
      <c r="I13" s="188">
        <v>1388990550.6199999</v>
      </c>
      <c r="J13" s="188">
        <v>608892240.20000005</v>
      </c>
      <c r="K13" s="188">
        <v>206636530.62</v>
      </c>
      <c r="L13" s="188">
        <v>166782789.94999999</v>
      </c>
      <c r="M13" s="188">
        <v>1133089710.6700001</v>
      </c>
      <c r="N13" s="188">
        <v>428149213.16000003</v>
      </c>
      <c r="O13" s="188">
        <v>111878359.38</v>
      </c>
      <c r="P13" s="188">
        <v>18749711.93</v>
      </c>
      <c r="Q13" s="188">
        <v>833189311.71000004</v>
      </c>
      <c r="R13" s="188">
        <v>589218175.98000002</v>
      </c>
      <c r="S13" s="188">
        <v>329143759.11000001</v>
      </c>
      <c r="T13" s="188">
        <v>209107738.5</v>
      </c>
      <c r="U13" s="188">
        <v>587991877.5</v>
      </c>
      <c r="V13" s="188">
        <v>614513946.80999994</v>
      </c>
      <c r="W13" s="188">
        <v>353324461.77999997</v>
      </c>
      <c r="X13" s="188">
        <v>275317698.57999998</v>
      </c>
      <c r="Y13" s="188">
        <v>857330477.76999998</v>
      </c>
      <c r="Z13" s="188">
        <v>706341025.13999999</v>
      </c>
      <c r="AA13" s="188">
        <v>352027676.93000001</v>
      </c>
      <c r="AB13" s="188">
        <v>103266458.12</v>
      </c>
      <c r="AC13" s="188">
        <v>219233865.46000001</v>
      </c>
      <c r="AD13" s="188">
        <v>126409064.48999999</v>
      </c>
      <c r="AE13" s="188">
        <v>70083925.299999997</v>
      </c>
      <c r="AF13" s="188">
        <v>74229360.859999999</v>
      </c>
      <c r="AG13" s="188">
        <v>124250348.59999999</v>
      </c>
      <c r="AH13" s="188">
        <v>81735701.819999993</v>
      </c>
      <c r="AI13" s="188">
        <v>-136040605.96000001</v>
      </c>
      <c r="AJ13" s="188">
        <v>-43256404.710000001</v>
      </c>
      <c r="AK13" s="188">
        <v>294584239.20999998</v>
      </c>
      <c r="AL13" s="188">
        <v>327327389.25999999</v>
      </c>
      <c r="AM13" s="188">
        <v>220488022.80000001</v>
      </c>
      <c r="AN13" s="188">
        <v>144004315.24000001</v>
      </c>
      <c r="AO13" s="188">
        <v>142166074.19999999</v>
      </c>
      <c r="AP13" s="188">
        <v>-58249795.399999999</v>
      </c>
      <c r="AQ13" s="188">
        <v>-125212592.67</v>
      </c>
      <c r="AR13" s="188">
        <v>-88807431.120000005</v>
      </c>
      <c r="AS13" s="188">
        <v>166892972.24000001</v>
      </c>
      <c r="AT13" s="188">
        <v>-121190154.14</v>
      </c>
      <c r="AU13" s="188">
        <v>-87524942.269999996</v>
      </c>
      <c r="AV13" s="188">
        <v>-120040532.86</v>
      </c>
      <c r="AW13" s="188">
        <v>273662170.22000003</v>
      </c>
      <c r="AX13" s="188">
        <v>-12654065.140000001</v>
      </c>
      <c r="AY13" s="188">
        <v>-65916569.539999999</v>
      </c>
      <c r="AZ13" s="188">
        <v>-103948150.09</v>
      </c>
      <c r="BA13" s="188">
        <v>117032633.45</v>
      </c>
      <c r="BB13" s="188">
        <v>-82189770.620000005</v>
      </c>
      <c r="BC13" s="188">
        <v>-87964482.689999998</v>
      </c>
      <c r="BD13" s="188">
        <v>-49873004.299999997</v>
      </c>
      <c r="BE13" s="188">
        <v>113270859.19</v>
      </c>
      <c r="BF13" s="188">
        <v>11142045.699999999</v>
      </c>
      <c r="BG13" s="188">
        <v>1693313.56</v>
      </c>
      <c r="BH13" s="188">
        <v>46561357.909999996</v>
      </c>
      <c r="BI13" s="188">
        <v>0</v>
      </c>
    </row>
    <row r="14" spans="1:61" x14ac:dyDescent="0.25">
      <c r="A14" s="188" t="s">
        <v>230</v>
      </c>
    </row>
    <row r="15" spans="1:61" x14ac:dyDescent="0.25">
      <c r="A15" s="188" t="s">
        <v>231</v>
      </c>
      <c r="B15" s="188">
        <v>0</v>
      </c>
      <c r="C15" s="188">
        <v>0</v>
      </c>
      <c r="D15" s="188">
        <v>0</v>
      </c>
      <c r="E15" s="188">
        <v>1</v>
      </c>
      <c r="F15" s="188">
        <v>1</v>
      </c>
      <c r="G15" s="188">
        <v>1</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1749808</v>
      </c>
      <c r="AA15" s="188">
        <v>0</v>
      </c>
      <c r="AB15" s="188">
        <v>0</v>
      </c>
      <c r="AC15" s="188">
        <v>6217000</v>
      </c>
      <c r="AD15" s="188">
        <v>2329850</v>
      </c>
      <c r="AE15" s="188">
        <v>2329850</v>
      </c>
      <c r="AF15" s="188">
        <v>0</v>
      </c>
      <c r="AG15" s="188">
        <v>8276084</v>
      </c>
      <c r="AH15" s="188">
        <v>10072134</v>
      </c>
      <c r="AI15" s="188">
        <v>14660945.779999999</v>
      </c>
      <c r="AJ15" s="188">
        <v>14093084</v>
      </c>
      <c r="AK15" s="188">
        <v>22953685.800000001</v>
      </c>
      <c r="AL15" s="188">
        <v>0</v>
      </c>
      <c r="AM15" s="188">
        <v>0</v>
      </c>
      <c r="AN15" s="188">
        <v>0</v>
      </c>
      <c r="AO15" s="188">
        <v>4400420</v>
      </c>
      <c r="AP15" s="188">
        <v>0</v>
      </c>
      <c r="AQ15" s="188">
        <v>0</v>
      </c>
      <c r="AR15" s="188">
        <v>0</v>
      </c>
      <c r="AS15" s="188">
        <v>14920189.119999999</v>
      </c>
      <c r="AT15" s="188">
        <v>12817072.1</v>
      </c>
      <c r="AU15" s="188">
        <v>2709755.79</v>
      </c>
      <c r="AV15" s="188">
        <v>637670</v>
      </c>
      <c r="AW15" s="188">
        <v>11229277.77</v>
      </c>
      <c r="AX15" s="188">
        <v>4845283.8499999996</v>
      </c>
      <c r="AY15" s="188">
        <v>2500000</v>
      </c>
      <c r="AZ15" s="188">
        <v>2500000</v>
      </c>
      <c r="BA15" s="188">
        <v>10371465</v>
      </c>
      <c r="BB15" s="188">
        <v>1789290</v>
      </c>
      <c r="BC15" s="188">
        <v>1789290</v>
      </c>
      <c r="BD15" s="188">
        <v>1164805</v>
      </c>
      <c r="BE15" s="188">
        <v>22509520</v>
      </c>
      <c r="BF15" s="188">
        <v>0</v>
      </c>
      <c r="BG15" s="188">
        <v>19755200</v>
      </c>
      <c r="BH15" s="188">
        <v>15217756</v>
      </c>
      <c r="BI15" s="188">
        <v>0</v>
      </c>
    </row>
    <row r="16" spans="1:61" x14ac:dyDescent="0.25">
      <c r="A16" s="188" t="s">
        <v>232</v>
      </c>
      <c r="B16" s="188">
        <v>75057155.840000004</v>
      </c>
      <c r="C16" s="188">
        <v>61999987.590000004</v>
      </c>
      <c r="D16" s="188">
        <v>13631613.01</v>
      </c>
      <c r="E16" s="188">
        <v>54393855.880000003</v>
      </c>
      <c r="F16" s="188">
        <v>47763772.909999996</v>
      </c>
      <c r="G16" s="188">
        <v>22071415.899999999</v>
      </c>
      <c r="H16" s="188">
        <v>5601952.4400000004</v>
      </c>
      <c r="I16" s="188">
        <v>59608200.32</v>
      </c>
      <c r="J16" s="188">
        <v>59608200.32</v>
      </c>
      <c r="K16" s="188">
        <v>24915253.41</v>
      </c>
      <c r="L16" s="188">
        <v>0</v>
      </c>
      <c r="M16" s="188">
        <v>30252004.460000001</v>
      </c>
      <c r="N16" s="188">
        <v>30164042.280000001</v>
      </c>
      <c r="O16" s="188">
        <v>17000206.66</v>
      </c>
      <c r="P16" s="188">
        <v>0</v>
      </c>
      <c r="Q16" s="188">
        <v>21406892.07</v>
      </c>
      <c r="R16" s="188">
        <v>21406892.059999999</v>
      </c>
      <c r="S16" s="188">
        <v>16912919.449999999</v>
      </c>
      <c r="T16" s="188">
        <v>8675130.8200000003</v>
      </c>
      <c r="U16" s="188">
        <v>4821913.33</v>
      </c>
      <c r="V16" s="188">
        <v>1126661.47</v>
      </c>
      <c r="W16" s="188">
        <v>728295.81</v>
      </c>
      <c r="X16" s="188">
        <v>0</v>
      </c>
      <c r="Y16" s="188">
        <v>0</v>
      </c>
      <c r="Z16" s="188">
        <v>0</v>
      </c>
      <c r="AA16" s="188">
        <v>0</v>
      </c>
      <c r="AB16" s="188">
        <v>0</v>
      </c>
      <c r="AC16" s="188">
        <v>20294802.800000001</v>
      </c>
      <c r="AD16" s="188">
        <v>4244166.58</v>
      </c>
      <c r="AE16" s="188">
        <v>1917296.91</v>
      </c>
      <c r="AF16" s="188">
        <v>825211.91</v>
      </c>
      <c r="AG16" s="188">
        <v>10349189.859999999</v>
      </c>
      <c r="AH16" s="188">
        <v>7595539.8600000003</v>
      </c>
      <c r="AI16" s="188">
        <v>6723389.8600000003</v>
      </c>
      <c r="AJ16" s="188">
        <v>8547164.8699999992</v>
      </c>
      <c r="AK16" s="188">
        <v>0</v>
      </c>
      <c r="AL16" s="188">
        <v>11352557.029999999</v>
      </c>
      <c r="AM16" s="188">
        <v>4384328.1100000003</v>
      </c>
      <c r="AN16" s="188">
        <v>0</v>
      </c>
      <c r="AO16" s="188">
        <v>28656184.300000001</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row>
    <row r="17" spans="1:61" x14ac:dyDescent="0.25">
      <c r="A17" s="188" t="s">
        <v>233</v>
      </c>
      <c r="B17" s="188">
        <v>1653437.75</v>
      </c>
      <c r="C17" s="188">
        <v>216147.75</v>
      </c>
      <c r="D17" s="188">
        <v>137447.75</v>
      </c>
      <c r="E17" s="188">
        <v>1983071</v>
      </c>
      <c r="F17" s="188">
        <v>1543811</v>
      </c>
      <c r="G17" s="188">
        <v>1406811</v>
      </c>
      <c r="H17" s="188">
        <v>28317</v>
      </c>
      <c r="I17" s="188">
        <v>1383159.15</v>
      </c>
      <c r="J17" s="188">
        <v>69909</v>
      </c>
      <c r="K17" s="188">
        <v>66909</v>
      </c>
      <c r="L17" s="188">
        <v>3310</v>
      </c>
      <c r="M17" s="188">
        <v>2401121.44</v>
      </c>
      <c r="N17" s="188">
        <v>104734</v>
      </c>
      <c r="O17" s="188">
        <v>74234</v>
      </c>
      <c r="P17" s="188">
        <v>4800</v>
      </c>
      <c r="Q17" s="188">
        <v>3715232.69</v>
      </c>
      <c r="R17" s="188">
        <v>766877.35</v>
      </c>
      <c r="S17" s="188">
        <v>605168.5</v>
      </c>
      <c r="T17" s="188">
        <v>472406.5</v>
      </c>
      <c r="U17" s="188">
        <v>2165085.83</v>
      </c>
      <c r="V17" s="188">
        <v>604305.79</v>
      </c>
      <c r="W17" s="188">
        <v>449130</v>
      </c>
      <c r="X17" s="188">
        <v>146000</v>
      </c>
      <c r="Y17" s="188">
        <v>1279579.57</v>
      </c>
      <c r="Z17" s="188">
        <v>830570</v>
      </c>
      <c r="AA17" s="188">
        <v>563250</v>
      </c>
      <c r="AB17" s="188">
        <v>324860</v>
      </c>
      <c r="AC17" s="188">
        <v>2777945.77</v>
      </c>
      <c r="AD17" s="188">
        <v>2028655.68</v>
      </c>
      <c r="AE17" s="188">
        <v>1210861.94</v>
      </c>
      <c r="AF17" s="188">
        <v>779694.07</v>
      </c>
      <c r="AG17" s="188">
        <v>1836091.19</v>
      </c>
      <c r="AH17" s="188">
        <v>579671.87</v>
      </c>
      <c r="AI17" s="188">
        <v>6443.8</v>
      </c>
      <c r="AJ17" s="188">
        <v>91978.12</v>
      </c>
      <c r="AK17" s="188">
        <v>1453866.8</v>
      </c>
      <c r="AL17" s="188">
        <v>2351875.85</v>
      </c>
      <c r="AM17" s="188">
        <v>1848254.71</v>
      </c>
      <c r="AN17" s="188">
        <v>102525.7</v>
      </c>
      <c r="AO17" s="188">
        <v>1906298.21</v>
      </c>
      <c r="AP17" s="188">
        <v>5100708.2699999996</v>
      </c>
      <c r="AQ17" s="188">
        <v>2613742.85</v>
      </c>
      <c r="AR17" s="188">
        <v>13463.29</v>
      </c>
      <c r="AS17" s="188">
        <v>2524945.1800000002</v>
      </c>
      <c r="AT17" s="188">
        <v>1501793.95</v>
      </c>
      <c r="AU17" s="188">
        <v>575392.99</v>
      </c>
      <c r="AV17" s="188">
        <v>0</v>
      </c>
      <c r="AW17" s="188">
        <v>2456415.5499999998</v>
      </c>
      <c r="AX17" s="188">
        <v>2224226.9</v>
      </c>
      <c r="AY17" s="188">
        <v>1439702.32</v>
      </c>
      <c r="AZ17" s="188">
        <v>101977</v>
      </c>
      <c r="BA17" s="188">
        <v>2112103.31</v>
      </c>
      <c r="BB17" s="188">
        <v>3413179.01</v>
      </c>
      <c r="BC17" s="188">
        <v>13160.94</v>
      </c>
      <c r="BD17" s="188">
        <v>3324975.28</v>
      </c>
      <c r="BE17" s="188">
        <v>767336.63</v>
      </c>
      <c r="BF17" s="188">
        <v>643282.57999999996</v>
      </c>
      <c r="BG17" s="188">
        <v>431412.56</v>
      </c>
      <c r="BH17" s="188">
        <v>232819.34</v>
      </c>
      <c r="BI17" s="188">
        <v>0</v>
      </c>
    </row>
    <row r="18" spans="1:61"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row>
    <row r="19" spans="1:61" x14ac:dyDescent="0.25">
      <c r="A19" s="188" t="s">
        <v>235</v>
      </c>
      <c r="B19" s="188">
        <v>4834100000</v>
      </c>
      <c r="C19" s="188">
        <v>2950100000</v>
      </c>
      <c r="D19" s="188">
        <v>910000000</v>
      </c>
      <c r="E19" s="188">
        <v>1680913255.8299999</v>
      </c>
      <c r="F19" s="188">
        <v>1770576850.46</v>
      </c>
      <c r="G19" s="188">
        <v>1161021998.45</v>
      </c>
      <c r="H19" s="188">
        <v>442918489.73000002</v>
      </c>
      <c r="I19" s="188">
        <v>2324928972.7600002</v>
      </c>
      <c r="J19" s="188">
        <v>2141485067.75</v>
      </c>
      <c r="K19" s="188">
        <v>1827949233.26</v>
      </c>
      <c r="L19" s="188">
        <v>51125425.829999998</v>
      </c>
      <c r="M19" s="188">
        <v>1542331190.29</v>
      </c>
      <c r="N19" s="188">
        <v>1360037168.5599999</v>
      </c>
      <c r="O19" s="188">
        <v>916308013.12</v>
      </c>
      <c r="P19" s="188">
        <v>1723701.21</v>
      </c>
      <c r="Q19" s="188">
        <v>1369803895.47</v>
      </c>
      <c r="R19" s="188">
        <v>1415422278.3499999</v>
      </c>
      <c r="S19" s="188">
        <v>1706440937.55</v>
      </c>
      <c r="T19" s="188">
        <v>1395832799.55</v>
      </c>
      <c r="U19" s="188">
        <v>842362824.04999995</v>
      </c>
      <c r="V19" s="188">
        <v>743225342.27999997</v>
      </c>
      <c r="W19" s="188">
        <v>711835000</v>
      </c>
      <c r="X19" s="188">
        <v>0</v>
      </c>
      <c r="Y19" s="188">
        <v>0</v>
      </c>
      <c r="Z19" s="188">
        <v>2269765.52</v>
      </c>
      <c r="AA19" s="188">
        <v>2269765.52</v>
      </c>
      <c r="AB19" s="188">
        <v>0</v>
      </c>
      <c r="AC19" s="188">
        <v>7923000</v>
      </c>
      <c r="AD19" s="188">
        <v>0</v>
      </c>
      <c r="AE19" s="188">
        <v>0</v>
      </c>
      <c r="AF19" s="188">
        <v>0</v>
      </c>
      <c r="AG19" s="188">
        <v>23408236.870000001</v>
      </c>
      <c r="AH19" s="188">
        <v>2720000</v>
      </c>
      <c r="AI19" s="188">
        <v>0</v>
      </c>
      <c r="AJ19" s="188">
        <v>400532.33</v>
      </c>
      <c r="AK19" s="188">
        <v>51009126.369999997</v>
      </c>
      <c r="AL19" s="188">
        <v>1692000</v>
      </c>
      <c r="AM19" s="188">
        <v>1692000</v>
      </c>
      <c r="AN19" s="188">
        <v>2455252.7799999998</v>
      </c>
      <c r="AO19" s="188">
        <v>12205146.279999999</v>
      </c>
      <c r="AP19" s="188">
        <v>10219273.92</v>
      </c>
      <c r="AQ19" s="188">
        <v>5280113.54</v>
      </c>
      <c r="AR19" s="188">
        <v>534453.86</v>
      </c>
      <c r="AS19" s="188">
        <v>20025431</v>
      </c>
      <c r="AT19" s="188">
        <v>20000000</v>
      </c>
      <c r="AU19" s="188">
        <v>20000000</v>
      </c>
      <c r="AV19" s="188">
        <v>0</v>
      </c>
      <c r="AW19" s="188">
        <v>0</v>
      </c>
      <c r="AX19" s="188">
        <v>-510596.08</v>
      </c>
      <c r="AY19" s="188">
        <v>2057113.44</v>
      </c>
      <c r="AZ19" s="188">
        <v>1082470</v>
      </c>
      <c r="BA19" s="188">
        <v>0</v>
      </c>
      <c r="BB19" s="188">
        <v>2396412.2999999998</v>
      </c>
      <c r="BC19" s="188">
        <v>920314.71</v>
      </c>
      <c r="BD19" s="188">
        <v>248143.85</v>
      </c>
      <c r="BE19" s="188">
        <v>0</v>
      </c>
      <c r="BF19" s="188">
        <v>6531751.8600000003</v>
      </c>
      <c r="BG19" s="188">
        <v>0</v>
      </c>
      <c r="BH19" s="188">
        <v>685972.66</v>
      </c>
      <c r="BI19" s="188">
        <v>0</v>
      </c>
    </row>
    <row r="20" spans="1:61" x14ac:dyDescent="0.25">
      <c r="A20" s="188" t="s">
        <v>236</v>
      </c>
      <c r="B20" s="188">
        <v>4910810593.5900002</v>
      </c>
      <c r="C20" s="188">
        <v>3012316135.3400002</v>
      </c>
      <c r="D20" s="188">
        <v>923769060.75999999</v>
      </c>
      <c r="E20" s="188">
        <v>1737290183.71</v>
      </c>
      <c r="F20" s="188">
        <v>1819884435.3699999</v>
      </c>
      <c r="G20" s="188">
        <v>1184500226.3499999</v>
      </c>
      <c r="H20" s="188">
        <v>448548759.17000002</v>
      </c>
      <c r="I20" s="188">
        <v>2385920332.23</v>
      </c>
      <c r="J20" s="188">
        <v>2201163177.0700002</v>
      </c>
      <c r="K20" s="188">
        <v>1852931395.6700001</v>
      </c>
      <c r="L20" s="188">
        <v>51128735.829999998</v>
      </c>
      <c r="M20" s="188">
        <v>1574984316.1900001</v>
      </c>
      <c r="N20" s="188">
        <v>1390305944.8399999</v>
      </c>
      <c r="O20" s="188">
        <v>933382453.77999997</v>
      </c>
      <c r="P20" s="188">
        <v>1728501.21</v>
      </c>
      <c r="Q20" s="188">
        <v>1394926020.23</v>
      </c>
      <c r="R20" s="188">
        <v>1437596047.76</v>
      </c>
      <c r="S20" s="188">
        <v>1723959025.5</v>
      </c>
      <c r="T20" s="188">
        <v>1404980336.8699999</v>
      </c>
      <c r="U20" s="188">
        <v>849349823.21000004</v>
      </c>
      <c r="V20" s="188">
        <v>744956309.53999996</v>
      </c>
      <c r="W20" s="188">
        <v>713012425.80999994</v>
      </c>
      <c r="X20" s="188">
        <v>146000</v>
      </c>
      <c r="Y20" s="188">
        <v>1279579.57</v>
      </c>
      <c r="Z20" s="188">
        <v>4850143.5199999996</v>
      </c>
      <c r="AA20" s="188">
        <v>2833015.52</v>
      </c>
      <c r="AB20" s="188">
        <v>324860</v>
      </c>
      <c r="AC20" s="188">
        <v>37212748.57</v>
      </c>
      <c r="AD20" s="188">
        <v>8602672.2599999998</v>
      </c>
      <c r="AE20" s="188">
        <v>5458008.8499999996</v>
      </c>
      <c r="AF20" s="188">
        <v>1604905.98</v>
      </c>
      <c r="AG20" s="188">
        <v>43869601.920000002</v>
      </c>
      <c r="AH20" s="188">
        <v>20967345.73</v>
      </c>
      <c r="AI20" s="188">
        <v>21390779.440000001</v>
      </c>
      <c r="AJ20" s="188">
        <v>23132759.32</v>
      </c>
      <c r="AK20" s="188">
        <v>75416678.969999999</v>
      </c>
      <c r="AL20" s="188">
        <v>15396432.880000001</v>
      </c>
      <c r="AM20" s="188">
        <v>7924582.8200000003</v>
      </c>
      <c r="AN20" s="188">
        <v>2557778.48</v>
      </c>
      <c r="AO20" s="188">
        <v>47168048.789999999</v>
      </c>
      <c r="AP20" s="188">
        <v>15319982.189999999</v>
      </c>
      <c r="AQ20" s="188">
        <v>7893856.3899999997</v>
      </c>
      <c r="AR20" s="188">
        <v>547917.15</v>
      </c>
      <c r="AS20" s="188">
        <v>37470565.299999997</v>
      </c>
      <c r="AT20" s="188">
        <v>34318866.049999997</v>
      </c>
      <c r="AU20" s="188">
        <v>23285148.780000001</v>
      </c>
      <c r="AV20" s="188">
        <v>637670</v>
      </c>
      <c r="AW20" s="188">
        <v>13685693.32</v>
      </c>
      <c r="AX20" s="188">
        <v>6558914.6699999999</v>
      </c>
      <c r="AY20" s="188">
        <v>5996815.7599999998</v>
      </c>
      <c r="AZ20" s="188">
        <v>3684447</v>
      </c>
      <c r="BA20" s="188">
        <v>12483568.310000001</v>
      </c>
      <c r="BB20" s="188">
        <v>7598881.3099999996</v>
      </c>
      <c r="BC20" s="188">
        <v>2722765.65</v>
      </c>
      <c r="BD20" s="188">
        <v>4737924.13</v>
      </c>
      <c r="BE20" s="188">
        <v>23276856.629999999</v>
      </c>
      <c r="BF20" s="188">
        <v>7175034.4400000004</v>
      </c>
      <c r="BG20" s="188">
        <v>20186612.559999999</v>
      </c>
      <c r="BH20" s="188">
        <v>16136548</v>
      </c>
      <c r="BI20" s="188">
        <v>0</v>
      </c>
    </row>
    <row r="21" spans="1:61" x14ac:dyDescent="0.25">
      <c r="A21" s="188" t="s">
        <v>237</v>
      </c>
      <c r="B21" s="188">
        <v>179858793.91</v>
      </c>
      <c r="C21" s="188">
        <v>66581105.119999997</v>
      </c>
      <c r="D21" s="188">
        <v>37588388.200000003</v>
      </c>
      <c r="E21" s="188">
        <v>156674108.63</v>
      </c>
      <c r="F21" s="188">
        <v>114423910.94</v>
      </c>
      <c r="G21" s="188">
        <v>87841245.629999995</v>
      </c>
      <c r="H21" s="188">
        <v>67806938.549999997</v>
      </c>
      <c r="I21" s="188">
        <v>134683005.27000001</v>
      </c>
      <c r="J21" s="188">
        <v>103477291.09</v>
      </c>
      <c r="K21" s="188">
        <v>87298714.099999994</v>
      </c>
      <c r="L21" s="188">
        <v>69942593.450000003</v>
      </c>
      <c r="M21" s="188">
        <v>75916323.709999993</v>
      </c>
      <c r="N21" s="188">
        <v>71870543.280000001</v>
      </c>
      <c r="O21" s="188">
        <v>47484814.399999999</v>
      </c>
      <c r="P21" s="188">
        <v>26120514.27</v>
      </c>
      <c r="Q21" s="188">
        <v>124458315.77</v>
      </c>
      <c r="R21" s="188">
        <v>99252748.620000005</v>
      </c>
      <c r="S21" s="188">
        <v>54321559.450000003</v>
      </c>
      <c r="T21" s="188">
        <v>23065133.489999998</v>
      </c>
      <c r="U21" s="188">
        <v>102409652.75</v>
      </c>
      <c r="V21" s="188">
        <v>66796110.25</v>
      </c>
      <c r="W21" s="188">
        <v>37106065.93</v>
      </c>
      <c r="X21" s="188">
        <v>21820629.98</v>
      </c>
      <c r="Y21" s="188">
        <v>93817671.390000001</v>
      </c>
      <c r="Z21" s="188">
        <v>67639676.670000002</v>
      </c>
      <c r="AA21" s="188">
        <v>53906535.299999997</v>
      </c>
      <c r="AB21" s="188">
        <v>29189794.670000002</v>
      </c>
      <c r="AC21" s="188">
        <v>215244522.53</v>
      </c>
      <c r="AD21" s="188">
        <v>156152726.44</v>
      </c>
      <c r="AE21" s="188">
        <v>105529252.23</v>
      </c>
      <c r="AF21" s="188">
        <v>55207935.5</v>
      </c>
      <c r="AG21" s="188">
        <v>244884868.86000001</v>
      </c>
      <c r="AH21" s="188">
        <v>168208214.56999999</v>
      </c>
      <c r="AI21" s="188">
        <v>63645320.369999997</v>
      </c>
      <c r="AJ21" s="188">
        <v>53948461.450000003</v>
      </c>
      <c r="AK21" s="188">
        <v>150045762.91</v>
      </c>
      <c r="AL21" s="188">
        <v>123605319.28</v>
      </c>
      <c r="AM21" s="188">
        <v>50887190.369999997</v>
      </c>
      <c r="AN21" s="188">
        <v>27446231.41</v>
      </c>
      <c r="AO21" s="188">
        <v>111873714.77</v>
      </c>
      <c r="AP21" s="188">
        <v>78057431.150000006</v>
      </c>
      <c r="AQ21" s="188">
        <v>35254654.439999998</v>
      </c>
      <c r="AR21" s="188">
        <v>12138172.24</v>
      </c>
      <c r="AS21" s="188">
        <v>127873402.48999999</v>
      </c>
      <c r="AT21" s="188">
        <v>86538430.879999995</v>
      </c>
      <c r="AU21" s="188">
        <v>58906243.979999997</v>
      </c>
      <c r="AV21" s="188">
        <v>9174404.5700000003</v>
      </c>
      <c r="AW21" s="188">
        <v>202040275.72999999</v>
      </c>
      <c r="AX21" s="188">
        <v>122020414.23999999</v>
      </c>
      <c r="AY21" s="188">
        <v>83871884.769999996</v>
      </c>
      <c r="AZ21" s="188">
        <v>10059238.58</v>
      </c>
      <c r="BA21" s="188">
        <v>104367539.41</v>
      </c>
      <c r="BB21" s="188">
        <v>72558246.060000002</v>
      </c>
      <c r="BC21" s="188">
        <v>49981895.18</v>
      </c>
      <c r="BD21" s="188">
        <v>69445410.439999998</v>
      </c>
      <c r="BE21" s="188">
        <v>260843884.5</v>
      </c>
      <c r="BF21" s="188">
        <v>160694817.99000001</v>
      </c>
      <c r="BG21" s="188">
        <v>107646123.17</v>
      </c>
      <c r="BH21" s="188">
        <v>61327596.310000002</v>
      </c>
      <c r="BI21" s="188">
        <v>0</v>
      </c>
    </row>
    <row r="22" spans="1:61" x14ac:dyDescent="0.25">
      <c r="A22" s="188" t="s">
        <v>238</v>
      </c>
      <c r="B22" s="188">
        <v>0</v>
      </c>
      <c r="C22" s="188">
        <v>0</v>
      </c>
      <c r="D22" s="188">
        <v>0</v>
      </c>
      <c r="E22" s="188">
        <v>0</v>
      </c>
      <c r="F22" s="188">
        <v>0</v>
      </c>
      <c r="G22" s="188">
        <v>0</v>
      </c>
      <c r="H22" s="188">
        <v>0</v>
      </c>
      <c r="I22" s="188">
        <v>0</v>
      </c>
      <c r="J22" s="188">
        <v>1222500000</v>
      </c>
      <c r="K22" s="188">
        <v>642500000</v>
      </c>
      <c r="L22" s="188">
        <v>0</v>
      </c>
      <c r="M22" s="188">
        <v>0</v>
      </c>
      <c r="N22" s="188">
        <v>0</v>
      </c>
      <c r="O22" s="188">
        <v>0</v>
      </c>
      <c r="P22" s="188">
        <v>0</v>
      </c>
      <c r="Q22" s="188">
        <v>0</v>
      </c>
      <c r="R22" s="188">
        <v>0</v>
      </c>
      <c r="S22" s="188">
        <v>0</v>
      </c>
      <c r="T22" s="188">
        <v>0</v>
      </c>
      <c r="U22" s="188">
        <v>0</v>
      </c>
      <c r="V22" s="188">
        <v>0</v>
      </c>
      <c r="W22" s="188">
        <v>0</v>
      </c>
      <c r="X22" s="188">
        <v>0</v>
      </c>
      <c r="Y22" s="188">
        <v>49853624.299999997</v>
      </c>
      <c r="Z22" s="188">
        <v>39600000</v>
      </c>
      <c r="AA22" s="188">
        <v>39600000</v>
      </c>
      <c r="AB22" s="188">
        <v>0</v>
      </c>
      <c r="AC22" s="188">
        <v>0</v>
      </c>
      <c r="AD22" s="188">
        <v>0</v>
      </c>
      <c r="AE22" s="188">
        <v>0</v>
      </c>
      <c r="AF22" s="188">
        <v>3393960</v>
      </c>
      <c r="AG22" s="188">
        <v>0</v>
      </c>
      <c r="AH22" s="188">
        <v>0</v>
      </c>
      <c r="AI22" s="188">
        <v>0</v>
      </c>
      <c r="AJ22" s="188">
        <v>0</v>
      </c>
      <c r="AK22" s="188">
        <v>22000000</v>
      </c>
      <c r="AL22" s="188">
        <v>19400218.530000001</v>
      </c>
      <c r="AM22" s="188">
        <v>5917966</v>
      </c>
      <c r="AN22" s="188">
        <v>0</v>
      </c>
      <c r="AO22" s="188">
        <v>8000000</v>
      </c>
      <c r="AP22" s="188">
        <v>0</v>
      </c>
      <c r="AQ22" s="188">
        <v>0</v>
      </c>
      <c r="AR22" s="188">
        <v>0</v>
      </c>
      <c r="AS22" s="188">
        <v>12181774.74</v>
      </c>
      <c r="AT22" s="188">
        <v>12085400.289999999</v>
      </c>
      <c r="AU22" s="188">
        <v>8585400.2899999991</v>
      </c>
      <c r="AV22" s="188">
        <v>0</v>
      </c>
      <c r="AW22" s="188">
        <v>6000000</v>
      </c>
      <c r="AX22" s="188">
        <v>0</v>
      </c>
      <c r="AY22" s="188">
        <v>0</v>
      </c>
      <c r="AZ22" s="188">
        <v>0</v>
      </c>
      <c r="BA22" s="188">
        <v>12595283.85</v>
      </c>
      <c r="BB22" s="188">
        <v>2424837.5</v>
      </c>
      <c r="BC22" s="188">
        <v>1250000</v>
      </c>
      <c r="BD22" s="188">
        <v>0</v>
      </c>
      <c r="BE22" s="188">
        <v>17000000</v>
      </c>
      <c r="BF22" s="188">
        <v>1303500</v>
      </c>
      <c r="BG22" s="188">
        <v>14000000</v>
      </c>
      <c r="BH22" s="188">
        <v>17285440.23</v>
      </c>
      <c r="BI22" s="188">
        <v>0</v>
      </c>
    </row>
    <row r="23" spans="1:61" x14ac:dyDescent="0.25">
      <c r="A23" s="188" t="s">
        <v>239</v>
      </c>
      <c r="B23" s="188">
        <v>274000000</v>
      </c>
      <c r="C23" s="188">
        <v>274000000</v>
      </c>
      <c r="D23" s="188">
        <v>274000000</v>
      </c>
      <c r="E23" s="188">
        <v>1866064.51</v>
      </c>
      <c r="F23" s="188">
        <v>1866064.5</v>
      </c>
      <c r="G23" s="188">
        <v>1866064.5</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10253624.300000001</v>
      </c>
      <c r="AA23" s="188">
        <v>10253624.300000001</v>
      </c>
      <c r="AB23" s="188">
        <v>10253624.300000001</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row>
    <row r="24" spans="1:61" x14ac:dyDescent="0.25">
      <c r="A24" s="188" t="s">
        <v>240</v>
      </c>
      <c r="B24" s="188">
        <v>4788009995</v>
      </c>
      <c r="C24" s="188">
        <v>2759909995</v>
      </c>
      <c r="D24" s="188">
        <v>990000000</v>
      </c>
      <c r="E24" s="188">
        <v>2123000000</v>
      </c>
      <c r="F24" s="188">
        <v>1974000000</v>
      </c>
      <c r="G24" s="188">
        <v>1414000000</v>
      </c>
      <c r="H24" s="188">
        <v>1044000000</v>
      </c>
      <c r="I24" s="188">
        <v>2210000000</v>
      </c>
      <c r="J24" s="188">
        <v>1257600000</v>
      </c>
      <c r="K24" s="188">
        <v>1257600000</v>
      </c>
      <c r="L24" s="188">
        <v>252931250</v>
      </c>
      <c r="M24" s="188">
        <v>1905404087.8399999</v>
      </c>
      <c r="N24" s="188">
        <v>1323493000</v>
      </c>
      <c r="O24" s="188">
        <v>810704455.10000002</v>
      </c>
      <c r="P24" s="188">
        <v>180011455.09999999</v>
      </c>
      <c r="Q24" s="188">
        <v>1840756030.26</v>
      </c>
      <c r="R24" s="188">
        <v>1532809956.6400001</v>
      </c>
      <c r="S24" s="188">
        <v>1191331274.3199999</v>
      </c>
      <c r="T24" s="188">
        <v>978303179.63</v>
      </c>
      <c r="U24" s="188">
        <v>1062165117.6799999</v>
      </c>
      <c r="V24" s="188">
        <v>1210785260.3800001</v>
      </c>
      <c r="W24" s="188">
        <v>175960000</v>
      </c>
      <c r="X24" s="188">
        <v>245000000</v>
      </c>
      <c r="Y24" s="188">
        <v>771143000</v>
      </c>
      <c r="Z24" s="188">
        <v>0</v>
      </c>
      <c r="AA24" s="188">
        <v>0</v>
      </c>
      <c r="AB24" s="188">
        <v>0</v>
      </c>
      <c r="AC24" s="188">
        <v>0</v>
      </c>
      <c r="AD24" s="188">
        <v>0</v>
      </c>
      <c r="AE24" s="188">
        <v>0</v>
      </c>
      <c r="AF24" s="188">
        <v>0</v>
      </c>
      <c r="AG24" s="188">
        <v>0</v>
      </c>
      <c r="AH24" s="188">
        <v>2827000</v>
      </c>
      <c r="AI24" s="188">
        <v>0</v>
      </c>
      <c r="AJ24" s="188">
        <v>0</v>
      </c>
      <c r="AK24" s="188">
        <v>22331789.469999999</v>
      </c>
      <c r="AL24" s="188">
        <v>0</v>
      </c>
      <c r="AM24" s="188">
        <v>0</v>
      </c>
      <c r="AN24" s="188">
        <v>1345407.8</v>
      </c>
      <c r="AO24" s="188">
        <v>1722000</v>
      </c>
      <c r="AP24" s="188">
        <v>0</v>
      </c>
      <c r="AQ24" s="188">
        <v>0</v>
      </c>
      <c r="AR24" s="188">
        <v>391301.42</v>
      </c>
      <c r="AS24" s="188">
        <v>0</v>
      </c>
      <c r="AT24" s="188">
        <v>0</v>
      </c>
      <c r="AU24" s="188">
        <v>0</v>
      </c>
      <c r="AV24" s="188">
        <v>0</v>
      </c>
      <c r="AW24" s="188">
        <v>20000000</v>
      </c>
      <c r="AX24" s="188">
        <v>0</v>
      </c>
      <c r="AY24" s="188">
        <v>0</v>
      </c>
      <c r="AZ24" s="188">
        <v>0</v>
      </c>
      <c r="BA24" s="188">
        <v>0</v>
      </c>
      <c r="BB24" s="188">
        <v>0</v>
      </c>
      <c r="BC24" s="188">
        <v>0</v>
      </c>
      <c r="BD24" s="188">
        <v>0</v>
      </c>
      <c r="BE24" s="188">
        <v>0</v>
      </c>
      <c r="BF24" s="188">
        <v>353350</v>
      </c>
      <c r="BG24" s="188">
        <v>0</v>
      </c>
      <c r="BH24" s="188">
        <v>0</v>
      </c>
      <c r="BI24" s="188">
        <v>0</v>
      </c>
    </row>
    <row r="25" spans="1:61" x14ac:dyDescent="0.25">
      <c r="A25" s="188" t="s">
        <v>241</v>
      </c>
      <c r="B25" s="188">
        <v>5241868788.9099998</v>
      </c>
      <c r="C25" s="188">
        <v>3100491100.1199999</v>
      </c>
      <c r="D25" s="188">
        <v>1301588388.2</v>
      </c>
      <c r="E25" s="188">
        <v>2281540173.1399999</v>
      </c>
      <c r="F25" s="188">
        <v>2090289975.4400001</v>
      </c>
      <c r="G25" s="188">
        <v>1503707310.1300001</v>
      </c>
      <c r="H25" s="188">
        <v>1111806938.55</v>
      </c>
      <c r="I25" s="188">
        <v>2344683005.27</v>
      </c>
      <c r="J25" s="188">
        <v>2583577291.0900002</v>
      </c>
      <c r="K25" s="188">
        <v>1987398714.0999999</v>
      </c>
      <c r="L25" s="188">
        <v>322873843.44999999</v>
      </c>
      <c r="M25" s="188">
        <v>1981320411.55</v>
      </c>
      <c r="N25" s="188">
        <v>1395363543.28</v>
      </c>
      <c r="O25" s="188">
        <v>858189269.5</v>
      </c>
      <c r="P25" s="188">
        <v>206131969.37</v>
      </c>
      <c r="Q25" s="188">
        <v>1965214346.03</v>
      </c>
      <c r="R25" s="188">
        <v>1632062705.26</v>
      </c>
      <c r="S25" s="188">
        <v>1245652833.77</v>
      </c>
      <c r="T25" s="188">
        <v>1001368313.12</v>
      </c>
      <c r="U25" s="188">
        <v>1164574770.4300001</v>
      </c>
      <c r="V25" s="188">
        <v>1277581370.6300001</v>
      </c>
      <c r="W25" s="188">
        <v>213066065.93000001</v>
      </c>
      <c r="X25" s="188">
        <v>266820629.97999999</v>
      </c>
      <c r="Y25" s="188">
        <v>914814295.69000006</v>
      </c>
      <c r="Z25" s="188">
        <v>117493300.97</v>
      </c>
      <c r="AA25" s="188">
        <v>103760159.59999999</v>
      </c>
      <c r="AB25" s="188">
        <v>39443418.969999999</v>
      </c>
      <c r="AC25" s="188">
        <v>215244522.53</v>
      </c>
      <c r="AD25" s="188">
        <v>156152726.44</v>
      </c>
      <c r="AE25" s="188">
        <v>105529252.23</v>
      </c>
      <c r="AF25" s="188">
        <v>58601895.5</v>
      </c>
      <c r="AG25" s="188">
        <v>244884868.86000001</v>
      </c>
      <c r="AH25" s="188">
        <v>171035214.56999999</v>
      </c>
      <c r="AI25" s="188">
        <v>63645320.369999997</v>
      </c>
      <c r="AJ25" s="188">
        <v>53948461.450000003</v>
      </c>
      <c r="AK25" s="188">
        <v>194377552.38</v>
      </c>
      <c r="AL25" s="188">
        <v>143005537.81</v>
      </c>
      <c r="AM25" s="188">
        <v>56805156.369999997</v>
      </c>
      <c r="AN25" s="188">
        <v>28791639.210000001</v>
      </c>
      <c r="AO25" s="188">
        <v>121595714.77</v>
      </c>
      <c r="AP25" s="188">
        <v>78057431.150000006</v>
      </c>
      <c r="AQ25" s="188">
        <v>35254654.439999998</v>
      </c>
      <c r="AR25" s="188">
        <v>12529473.66</v>
      </c>
      <c r="AS25" s="188">
        <v>140055177.22999999</v>
      </c>
      <c r="AT25" s="188">
        <v>98623831.170000002</v>
      </c>
      <c r="AU25" s="188">
        <v>67491644.269999996</v>
      </c>
      <c r="AV25" s="188">
        <v>9174404.5700000003</v>
      </c>
      <c r="AW25" s="188">
        <v>228040275.72999999</v>
      </c>
      <c r="AX25" s="188">
        <v>122020414.23999999</v>
      </c>
      <c r="AY25" s="188">
        <v>83871884.769999996</v>
      </c>
      <c r="AZ25" s="188">
        <v>10059238.58</v>
      </c>
      <c r="BA25" s="188">
        <v>116962823.26000001</v>
      </c>
      <c r="BB25" s="188">
        <v>74983083.560000002</v>
      </c>
      <c r="BC25" s="188">
        <v>51231895.18</v>
      </c>
      <c r="BD25" s="188">
        <v>69445410.439999998</v>
      </c>
      <c r="BE25" s="188">
        <v>277843884.5</v>
      </c>
      <c r="BF25" s="188">
        <v>162351667.99000001</v>
      </c>
      <c r="BG25" s="188">
        <v>121646123.17</v>
      </c>
      <c r="BH25" s="188">
        <v>78613036.540000007</v>
      </c>
      <c r="BI25" s="188">
        <v>0</v>
      </c>
    </row>
    <row r="26" spans="1:61" x14ac:dyDescent="0.25">
      <c r="A26" s="188" t="s">
        <v>242</v>
      </c>
      <c r="B26" s="188">
        <v>-331058195.31999999</v>
      </c>
      <c r="C26" s="188">
        <v>-88174964.780000001</v>
      </c>
      <c r="D26" s="188">
        <v>-377819327.44</v>
      </c>
      <c r="E26" s="188">
        <v>-544249989.42999995</v>
      </c>
      <c r="F26" s="188">
        <v>-270405540.06999999</v>
      </c>
      <c r="G26" s="188">
        <v>-319207083.77999997</v>
      </c>
      <c r="H26" s="188">
        <v>-663258179.38</v>
      </c>
      <c r="I26" s="188">
        <v>41237326.960000001</v>
      </c>
      <c r="J26" s="188">
        <v>-382414114.01999998</v>
      </c>
      <c r="K26" s="188">
        <v>-134467318.43000001</v>
      </c>
      <c r="L26" s="188">
        <v>-271745107.62</v>
      </c>
      <c r="M26" s="188">
        <v>-406336095.36000001</v>
      </c>
      <c r="N26" s="188">
        <v>-5057598.4400000004</v>
      </c>
      <c r="O26" s="188">
        <v>75193184.280000001</v>
      </c>
      <c r="P26" s="188">
        <v>-204403468.16</v>
      </c>
      <c r="Q26" s="188">
        <v>-570288325.79999995</v>
      </c>
      <c r="R26" s="188">
        <v>-194466657.5</v>
      </c>
      <c r="S26" s="188">
        <v>478306191.73000002</v>
      </c>
      <c r="T26" s="188">
        <v>403612023.75</v>
      </c>
      <c r="U26" s="188">
        <v>-315224947.22000003</v>
      </c>
      <c r="V26" s="188">
        <v>-532625061.08999997</v>
      </c>
      <c r="W26" s="188">
        <v>499946359.88</v>
      </c>
      <c r="X26" s="188">
        <v>-266674629.97999999</v>
      </c>
      <c r="Y26" s="188">
        <v>-913534716.12</v>
      </c>
      <c r="Z26" s="188">
        <v>-112643157.45</v>
      </c>
      <c r="AA26" s="188">
        <v>-100927144.08</v>
      </c>
      <c r="AB26" s="188">
        <v>-39118558.969999999</v>
      </c>
      <c r="AC26" s="188">
        <v>-178031773.96000001</v>
      </c>
      <c r="AD26" s="188">
        <v>-147550054.18000001</v>
      </c>
      <c r="AE26" s="188">
        <v>-100071243.38</v>
      </c>
      <c r="AF26" s="188">
        <v>-56996989.520000003</v>
      </c>
      <c r="AG26" s="188">
        <v>-201015266.94</v>
      </c>
      <c r="AH26" s="188">
        <v>-150067868.84</v>
      </c>
      <c r="AI26" s="188">
        <v>-42254540.93</v>
      </c>
      <c r="AJ26" s="188">
        <v>-30815702.129999999</v>
      </c>
      <c r="AK26" s="188">
        <v>-118960873.41</v>
      </c>
      <c r="AL26" s="188">
        <v>-127609104.93000001</v>
      </c>
      <c r="AM26" s="188">
        <v>-48880573.549999997</v>
      </c>
      <c r="AN26" s="188">
        <v>-26233860.73</v>
      </c>
      <c r="AO26" s="188">
        <v>-74427665.980000004</v>
      </c>
      <c r="AP26" s="188">
        <v>-62737448.960000001</v>
      </c>
      <c r="AQ26" s="188">
        <v>-27360798.050000001</v>
      </c>
      <c r="AR26" s="188">
        <v>-11981556.51</v>
      </c>
      <c r="AS26" s="188">
        <v>-102584611.93000001</v>
      </c>
      <c r="AT26" s="188">
        <v>-64304965.119999997</v>
      </c>
      <c r="AU26" s="188">
        <v>-44206495.490000002</v>
      </c>
      <c r="AV26" s="188">
        <v>-8536734.5700000003</v>
      </c>
      <c r="AW26" s="188">
        <v>-214354582.41</v>
      </c>
      <c r="AX26" s="188">
        <v>-115461499.56999999</v>
      </c>
      <c r="AY26" s="188">
        <v>-77875069.010000005</v>
      </c>
      <c r="AZ26" s="188">
        <v>-6374791.5800000001</v>
      </c>
      <c r="BA26" s="188">
        <v>-104479254.95</v>
      </c>
      <c r="BB26" s="188">
        <v>-67384202.25</v>
      </c>
      <c r="BC26" s="188">
        <v>-48509129.530000001</v>
      </c>
      <c r="BD26" s="188">
        <v>-64707486.310000002</v>
      </c>
      <c r="BE26" s="188">
        <v>-254567027.87</v>
      </c>
      <c r="BF26" s="188">
        <v>-155176633.55000001</v>
      </c>
      <c r="BG26" s="188">
        <v>-101459510.61</v>
      </c>
      <c r="BH26" s="188">
        <v>-62476488.539999999</v>
      </c>
      <c r="BI26" s="188">
        <v>0</v>
      </c>
    </row>
    <row r="27" spans="1:61" x14ac:dyDescent="0.25">
      <c r="A27" s="188" t="s">
        <v>243</v>
      </c>
    </row>
    <row r="28" spans="1:61" x14ac:dyDescent="0.25">
      <c r="A28" s="188" t="s">
        <v>244</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40920000</v>
      </c>
      <c r="AP28" s="188">
        <v>40920000</v>
      </c>
      <c r="AQ28" s="188">
        <v>40920000</v>
      </c>
      <c r="AR28" s="188">
        <v>0</v>
      </c>
      <c r="AS28" s="188">
        <v>704632000</v>
      </c>
      <c r="AT28" s="188">
        <v>704632000</v>
      </c>
      <c r="AU28" s="188">
        <v>0</v>
      </c>
      <c r="AV28" s="188">
        <v>0</v>
      </c>
      <c r="AW28" s="188">
        <v>0</v>
      </c>
      <c r="AX28" s="188">
        <v>0</v>
      </c>
      <c r="AY28" s="188">
        <v>0</v>
      </c>
      <c r="AZ28" s="188">
        <v>0</v>
      </c>
      <c r="BA28" s="188">
        <v>7930650</v>
      </c>
      <c r="BB28" s="188">
        <v>7932610</v>
      </c>
      <c r="BC28" s="188">
        <v>0</v>
      </c>
      <c r="BD28" s="188">
        <v>0</v>
      </c>
      <c r="BE28" s="188">
        <v>455698135</v>
      </c>
      <c r="BF28" s="188">
        <v>407691910</v>
      </c>
      <c r="BG28" s="188">
        <v>2396250</v>
      </c>
      <c r="BH28" s="188">
        <v>0</v>
      </c>
      <c r="BI28" s="188">
        <v>0</v>
      </c>
    </row>
    <row r="29" spans="1:61"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row>
    <row r="30" spans="1:61"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13534100</v>
      </c>
      <c r="AD30" s="188">
        <v>10586000</v>
      </c>
      <c r="AE30" s="188">
        <v>10586000</v>
      </c>
      <c r="AF30" s="188">
        <v>0</v>
      </c>
      <c r="AG30" s="188">
        <v>47485000</v>
      </c>
      <c r="AH30" s="188">
        <v>0</v>
      </c>
      <c r="AI30" s="188">
        <v>0</v>
      </c>
      <c r="AJ30" s="188">
        <v>0</v>
      </c>
      <c r="AK30" s="188">
        <v>0</v>
      </c>
      <c r="AL30" s="188">
        <v>0</v>
      </c>
      <c r="AM30" s="188">
        <v>0</v>
      </c>
      <c r="AN30" s="188">
        <v>0</v>
      </c>
      <c r="AO30" s="188">
        <v>0</v>
      </c>
      <c r="AP30" s="188">
        <v>0</v>
      </c>
      <c r="AQ30" s="188">
        <v>0</v>
      </c>
      <c r="AR30" s="188">
        <v>0</v>
      </c>
      <c r="AS30" s="188">
        <v>535000000</v>
      </c>
      <c r="AT30" s="188">
        <v>500000000</v>
      </c>
      <c r="AU30" s="188">
        <v>334000000</v>
      </c>
      <c r="AV30" s="188">
        <v>50000000</v>
      </c>
      <c r="AW30" s="188">
        <v>671000000</v>
      </c>
      <c r="AX30" s="188">
        <v>532436002</v>
      </c>
      <c r="AY30" s="188">
        <v>419518776</v>
      </c>
      <c r="AZ30" s="188">
        <v>147566323.59999999</v>
      </c>
      <c r="BA30" s="188">
        <v>785615827.5</v>
      </c>
      <c r="BB30" s="188">
        <v>692508599.5</v>
      </c>
      <c r="BC30" s="188">
        <v>529808435.60000002</v>
      </c>
      <c r="BD30" s="188">
        <v>154827110.5</v>
      </c>
      <c r="BE30" s="188">
        <v>1026995363.7</v>
      </c>
      <c r="BF30" s="188">
        <v>741167319.20000005</v>
      </c>
      <c r="BG30" s="188">
        <v>480743606.5</v>
      </c>
      <c r="BH30" s="188">
        <v>760583422.05999994</v>
      </c>
      <c r="BI30" s="188">
        <v>0</v>
      </c>
    </row>
    <row r="31" spans="1:61"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row>
    <row r="32" spans="1:61"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32326.26</v>
      </c>
      <c r="BI32" s="188">
        <v>0</v>
      </c>
    </row>
    <row r="33" spans="1:61" x14ac:dyDescent="0.25">
      <c r="A33" s="188" t="s">
        <v>249</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13534100</v>
      </c>
      <c r="AD33" s="188">
        <v>10586000</v>
      </c>
      <c r="AE33" s="188">
        <v>10586000</v>
      </c>
      <c r="AF33" s="188">
        <v>0</v>
      </c>
      <c r="AG33" s="188">
        <v>47485000</v>
      </c>
      <c r="AH33" s="188">
        <v>0</v>
      </c>
      <c r="AI33" s="188">
        <v>0</v>
      </c>
      <c r="AJ33" s="188">
        <v>0</v>
      </c>
      <c r="AK33" s="188">
        <v>0</v>
      </c>
      <c r="AL33" s="188">
        <v>0</v>
      </c>
      <c r="AM33" s="188">
        <v>0</v>
      </c>
      <c r="AN33" s="188">
        <v>0</v>
      </c>
      <c r="AO33" s="188">
        <v>40920000</v>
      </c>
      <c r="AP33" s="188">
        <v>40920000</v>
      </c>
      <c r="AQ33" s="188">
        <v>40920000</v>
      </c>
      <c r="AR33" s="188">
        <v>0</v>
      </c>
      <c r="AS33" s="188">
        <v>1239632000</v>
      </c>
      <c r="AT33" s="188">
        <v>1204632000</v>
      </c>
      <c r="AU33" s="188">
        <v>334000000</v>
      </c>
      <c r="AV33" s="188">
        <v>50000000</v>
      </c>
      <c r="AW33" s="188">
        <v>671000000</v>
      </c>
      <c r="AX33" s="188">
        <v>532436002</v>
      </c>
      <c r="AY33" s="188">
        <v>419518776</v>
      </c>
      <c r="AZ33" s="188">
        <v>147566323.59999999</v>
      </c>
      <c r="BA33" s="188">
        <v>793546477.5</v>
      </c>
      <c r="BB33" s="188">
        <v>700441209.5</v>
      </c>
      <c r="BC33" s="188">
        <v>529808435.60000002</v>
      </c>
      <c r="BD33" s="188">
        <v>154827110.5</v>
      </c>
      <c r="BE33" s="188">
        <v>1482693498.7</v>
      </c>
      <c r="BF33" s="188">
        <v>1148859229.2</v>
      </c>
      <c r="BG33" s="188">
        <v>483139856.5</v>
      </c>
      <c r="BH33" s="188">
        <v>760615748.32000005</v>
      </c>
      <c r="BI33" s="188">
        <v>0</v>
      </c>
    </row>
    <row r="34" spans="1:61" x14ac:dyDescent="0.25">
      <c r="A34" s="188" t="s">
        <v>250</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13534100</v>
      </c>
      <c r="AD34" s="188">
        <v>10586000</v>
      </c>
      <c r="AE34" s="188">
        <v>10586000</v>
      </c>
      <c r="AF34" s="188">
        <v>0</v>
      </c>
      <c r="AG34" s="188">
        <v>47485000</v>
      </c>
      <c r="AH34" s="188">
        <v>0</v>
      </c>
      <c r="AI34" s="188">
        <v>0</v>
      </c>
      <c r="AJ34" s="188">
        <v>0</v>
      </c>
      <c r="AK34" s="188">
        <v>0</v>
      </c>
      <c r="AL34" s="188">
        <v>0</v>
      </c>
      <c r="AM34" s="188">
        <v>0</v>
      </c>
      <c r="AN34" s="188">
        <v>0</v>
      </c>
      <c r="AO34" s="188">
        <v>8000000</v>
      </c>
      <c r="AP34" s="188">
        <v>8000000</v>
      </c>
      <c r="AQ34" s="188">
        <v>8000000</v>
      </c>
      <c r="AR34" s="188">
        <v>8000000</v>
      </c>
      <c r="AS34" s="188">
        <v>825000000</v>
      </c>
      <c r="AT34" s="188">
        <v>493000000</v>
      </c>
      <c r="AU34" s="188">
        <v>307000000</v>
      </c>
      <c r="AV34" s="188">
        <v>20000000</v>
      </c>
      <c r="AW34" s="188">
        <v>568600000</v>
      </c>
      <c r="AX34" s="188">
        <v>463023811</v>
      </c>
      <c r="AY34" s="188">
        <v>267118776</v>
      </c>
      <c r="AZ34" s="188">
        <v>91556402</v>
      </c>
      <c r="BA34" s="188">
        <v>965889554</v>
      </c>
      <c r="BB34" s="188">
        <v>770237563.20000005</v>
      </c>
      <c r="BC34" s="188">
        <v>540033227.60000002</v>
      </c>
      <c r="BD34" s="188">
        <v>192511017</v>
      </c>
      <c r="BE34" s="188">
        <v>853595270.72000003</v>
      </c>
      <c r="BF34" s="188">
        <v>516003269.14999998</v>
      </c>
      <c r="BG34" s="188">
        <v>340258666.42000002</v>
      </c>
      <c r="BH34" s="188">
        <v>719288806.34000003</v>
      </c>
      <c r="BI34" s="188">
        <v>0</v>
      </c>
    </row>
    <row r="35" spans="1:61" x14ac:dyDescent="0.25">
      <c r="A35" s="188" t="s">
        <v>551</v>
      </c>
      <c r="B35" s="188">
        <v>590988931.20000005</v>
      </c>
      <c r="C35" s="188">
        <v>590988931.20000005</v>
      </c>
      <c r="D35" s="188">
        <v>0</v>
      </c>
      <c r="E35" s="188">
        <v>486454969</v>
      </c>
      <c r="F35" s="188">
        <v>481162114.75</v>
      </c>
      <c r="G35" s="188">
        <v>481162114.75</v>
      </c>
      <c r="H35" s="188">
        <v>0</v>
      </c>
      <c r="I35" s="188">
        <v>369003970.42000002</v>
      </c>
      <c r="J35" s="188">
        <v>369003970.42000002</v>
      </c>
      <c r="K35" s="188">
        <v>369003970.42000002</v>
      </c>
      <c r="L35" s="188">
        <v>15215178.42</v>
      </c>
      <c r="M35" s="188">
        <v>271090805.85000002</v>
      </c>
      <c r="N35" s="188">
        <v>272136330.79000002</v>
      </c>
      <c r="O35" s="188">
        <v>272136330.79000002</v>
      </c>
      <c r="P35" s="188">
        <v>0</v>
      </c>
      <c r="Q35" s="188">
        <v>234659145.56</v>
      </c>
      <c r="R35" s="188">
        <v>234659145.56</v>
      </c>
      <c r="S35" s="188">
        <v>234659145.56</v>
      </c>
      <c r="T35" s="188">
        <v>0</v>
      </c>
      <c r="U35" s="188">
        <v>209506175.97</v>
      </c>
      <c r="V35" s="188">
        <v>209469275.97</v>
      </c>
      <c r="W35" s="188">
        <v>208143053.13999999</v>
      </c>
      <c r="X35" s="188">
        <v>0</v>
      </c>
      <c r="Y35" s="188">
        <v>173175600</v>
      </c>
      <c r="Z35" s="188">
        <v>173513586.37</v>
      </c>
      <c r="AA35" s="188">
        <v>173513586.37</v>
      </c>
      <c r="AB35" s="188">
        <v>0</v>
      </c>
      <c r="AC35" s="188">
        <v>161646450.56</v>
      </c>
      <c r="AD35" s="188">
        <v>161642026.40000001</v>
      </c>
      <c r="AE35" s="188">
        <v>161642026.40000001</v>
      </c>
      <c r="AF35" s="188">
        <v>0</v>
      </c>
      <c r="AG35" s="188">
        <v>88862632.409999996</v>
      </c>
      <c r="AH35" s="188">
        <v>88808000</v>
      </c>
      <c r="AI35" s="188">
        <v>88808000</v>
      </c>
      <c r="AJ35" s="188">
        <v>0</v>
      </c>
      <c r="AK35" s="188">
        <v>132405909.81</v>
      </c>
      <c r="AL35" s="188">
        <v>93035415.939999998</v>
      </c>
      <c r="AM35" s="188">
        <v>93035415.939999998</v>
      </c>
      <c r="AN35" s="188">
        <v>4227415.9400000004</v>
      </c>
      <c r="AO35" s="188">
        <v>885262.53</v>
      </c>
      <c r="AP35" s="188">
        <v>198148.46</v>
      </c>
      <c r="AQ35" s="188">
        <v>117327.5</v>
      </c>
      <c r="AR35" s="188">
        <v>495474.99</v>
      </c>
      <c r="AS35" s="188">
        <v>49220429.539999999</v>
      </c>
      <c r="AT35" s="188">
        <v>46175001.479999997</v>
      </c>
      <c r="AU35" s="188">
        <v>43610600.159999996</v>
      </c>
      <c r="AV35" s="188">
        <v>2855522.75</v>
      </c>
      <c r="AW35" s="188">
        <v>50321123.18</v>
      </c>
      <c r="AX35" s="188">
        <v>42961640.659999996</v>
      </c>
      <c r="AY35" s="188">
        <v>40130785.560000002</v>
      </c>
      <c r="AZ35" s="188">
        <v>1701283.83</v>
      </c>
      <c r="BA35" s="188">
        <v>46147411.25</v>
      </c>
      <c r="BB35" s="188">
        <v>40193054.920000002</v>
      </c>
      <c r="BC35" s="188">
        <v>33986126.189999998</v>
      </c>
      <c r="BD35" s="188">
        <v>4606422.3600000003</v>
      </c>
      <c r="BE35" s="188">
        <v>18875509.5</v>
      </c>
      <c r="BF35" s="188">
        <v>12027345.529999999</v>
      </c>
      <c r="BG35" s="188">
        <v>9549659.2400000002</v>
      </c>
      <c r="BH35" s="188">
        <v>26564087.890000001</v>
      </c>
      <c r="BI35" s="188">
        <v>0</v>
      </c>
    </row>
    <row r="36" spans="1:61" x14ac:dyDescent="0.25">
      <c r="A36" s="188" t="s">
        <v>251</v>
      </c>
      <c r="B36" s="188">
        <v>0</v>
      </c>
      <c r="C36" s="188">
        <v>0</v>
      </c>
      <c r="D36" s="188">
        <v>0</v>
      </c>
      <c r="E36" s="188">
        <v>0</v>
      </c>
      <c r="F36" s="188">
        <v>0</v>
      </c>
      <c r="G36" s="188">
        <v>0</v>
      </c>
      <c r="H36" s="188">
        <v>0</v>
      </c>
      <c r="I36" s="188">
        <v>15215178.42</v>
      </c>
      <c r="J36" s="188">
        <v>15215178.42</v>
      </c>
      <c r="K36" s="188">
        <v>15215178.42</v>
      </c>
      <c r="L36" s="188">
        <v>15215178.42</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43597909.810000002</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row>
    <row r="37" spans="1:61" x14ac:dyDescent="0.25">
      <c r="A37" s="188" t="s">
        <v>252</v>
      </c>
      <c r="B37" s="188">
        <v>0</v>
      </c>
      <c r="C37" s="188">
        <v>0</v>
      </c>
      <c r="D37" s="188">
        <v>0</v>
      </c>
      <c r="E37" s="188">
        <v>23821547.559999999</v>
      </c>
      <c r="F37" s="188">
        <v>23845517.5</v>
      </c>
      <c r="G37" s="188">
        <v>8152513.6500000004</v>
      </c>
      <c r="H37" s="188">
        <v>0</v>
      </c>
      <c r="I37" s="188">
        <v>1222500000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3000000</v>
      </c>
      <c r="BC37" s="188">
        <v>0</v>
      </c>
      <c r="BD37" s="188">
        <v>0</v>
      </c>
      <c r="BE37" s="188">
        <v>1201000</v>
      </c>
      <c r="BF37" s="188">
        <v>1201000</v>
      </c>
      <c r="BG37" s="188">
        <v>150000</v>
      </c>
      <c r="BH37" s="188">
        <v>800000</v>
      </c>
      <c r="BI37" s="188">
        <v>0</v>
      </c>
    </row>
    <row r="38" spans="1:61" x14ac:dyDescent="0.25">
      <c r="A38" s="188" t="s">
        <v>253</v>
      </c>
      <c r="B38" s="188">
        <v>590988931.20000005</v>
      </c>
      <c r="C38" s="188">
        <v>590988931.20000005</v>
      </c>
      <c r="D38" s="188">
        <v>0</v>
      </c>
      <c r="E38" s="188">
        <v>510276516.56</v>
      </c>
      <c r="F38" s="188">
        <v>505007632.25</v>
      </c>
      <c r="G38" s="188">
        <v>489314628.39999998</v>
      </c>
      <c r="H38" s="188">
        <v>0</v>
      </c>
      <c r="I38" s="188">
        <v>1591503970.4200001</v>
      </c>
      <c r="J38" s="188">
        <v>369003970.42000002</v>
      </c>
      <c r="K38" s="188">
        <v>369003970.42000002</v>
      </c>
      <c r="L38" s="188">
        <v>15215178.42</v>
      </c>
      <c r="M38" s="188">
        <v>271090805.85000002</v>
      </c>
      <c r="N38" s="188">
        <v>272136330.79000002</v>
      </c>
      <c r="O38" s="188">
        <v>272136330.79000002</v>
      </c>
      <c r="P38" s="188">
        <v>0</v>
      </c>
      <c r="Q38" s="188">
        <v>234659145.56</v>
      </c>
      <c r="R38" s="188">
        <v>234659145.56</v>
      </c>
      <c r="S38" s="188">
        <v>234659145.56</v>
      </c>
      <c r="T38" s="188">
        <v>0</v>
      </c>
      <c r="U38" s="188">
        <v>209506175.97</v>
      </c>
      <c r="V38" s="188">
        <v>209469275.97</v>
      </c>
      <c r="W38" s="188">
        <v>208143053.13999999</v>
      </c>
      <c r="X38" s="188">
        <v>0</v>
      </c>
      <c r="Y38" s="188">
        <v>173175600</v>
      </c>
      <c r="Z38" s="188">
        <v>173513586.37</v>
      </c>
      <c r="AA38" s="188">
        <v>173513586.37</v>
      </c>
      <c r="AB38" s="188">
        <v>0</v>
      </c>
      <c r="AC38" s="188">
        <v>175180550.56</v>
      </c>
      <c r="AD38" s="188">
        <v>172228026.40000001</v>
      </c>
      <c r="AE38" s="188">
        <v>172228026.40000001</v>
      </c>
      <c r="AF38" s="188">
        <v>0</v>
      </c>
      <c r="AG38" s="188">
        <v>136347632.41</v>
      </c>
      <c r="AH38" s="188">
        <v>88808000</v>
      </c>
      <c r="AI38" s="188">
        <v>88808000</v>
      </c>
      <c r="AJ38" s="188">
        <v>0</v>
      </c>
      <c r="AK38" s="188">
        <v>132405909.81</v>
      </c>
      <c r="AL38" s="188">
        <v>93035415.939999998</v>
      </c>
      <c r="AM38" s="188">
        <v>93035415.939999998</v>
      </c>
      <c r="AN38" s="188">
        <v>4227415.9400000004</v>
      </c>
      <c r="AO38" s="188">
        <v>8885262.5299999993</v>
      </c>
      <c r="AP38" s="188">
        <v>8198148.46</v>
      </c>
      <c r="AQ38" s="188">
        <v>8117327.5</v>
      </c>
      <c r="AR38" s="188">
        <v>8495474.9900000002</v>
      </c>
      <c r="AS38" s="188">
        <v>874220429.53999996</v>
      </c>
      <c r="AT38" s="188">
        <v>539175001.48000002</v>
      </c>
      <c r="AU38" s="188">
        <v>350610600.16000003</v>
      </c>
      <c r="AV38" s="188">
        <v>22855522.75</v>
      </c>
      <c r="AW38" s="188">
        <v>618921123.17999995</v>
      </c>
      <c r="AX38" s="188">
        <v>505985451.66000003</v>
      </c>
      <c r="AY38" s="188">
        <v>307249561.56</v>
      </c>
      <c r="AZ38" s="188">
        <v>93257685.829999998</v>
      </c>
      <c r="BA38" s="188">
        <v>1012036965.25</v>
      </c>
      <c r="BB38" s="188">
        <v>813430618.12</v>
      </c>
      <c r="BC38" s="188">
        <v>574019353.78999996</v>
      </c>
      <c r="BD38" s="188">
        <v>197117439.36000001</v>
      </c>
      <c r="BE38" s="188">
        <v>873671780.22000003</v>
      </c>
      <c r="BF38" s="188">
        <v>529231614.68000001</v>
      </c>
      <c r="BG38" s="188">
        <v>349958325.66000003</v>
      </c>
      <c r="BH38" s="188">
        <v>746652894.23000002</v>
      </c>
      <c r="BI38" s="188">
        <v>0</v>
      </c>
    </row>
    <row r="39" spans="1:61" x14ac:dyDescent="0.25">
      <c r="A39" s="188" t="s">
        <v>254</v>
      </c>
      <c r="B39" s="188">
        <v>-590988931.20000005</v>
      </c>
      <c r="C39" s="188">
        <v>-590988931.20000005</v>
      </c>
      <c r="D39" s="188">
        <v>0</v>
      </c>
      <c r="E39" s="188">
        <v>-510276516.56</v>
      </c>
      <c r="F39" s="188">
        <v>-505007632.25</v>
      </c>
      <c r="G39" s="188">
        <v>-489314628.39999998</v>
      </c>
      <c r="H39" s="188">
        <v>0</v>
      </c>
      <c r="I39" s="188">
        <v>-1591503970.4200001</v>
      </c>
      <c r="J39" s="188">
        <v>-369003970.42000002</v>
      </c>
      <c r="K39" s="188">
        <v>-369003970.42000002</v>
      </c>
      <c r="L39" s="188">
        <v>-15215178.42</v>
      </c>
      <c r="M39" s="188">
        <v>-271090805.85000002</v>
      </c>
      <c r="N39" s="188">
        <v>-272136330.79000002</v>
      </c>
      <c r="O39" s="188">
        <v>-272136330.79000002</v>
      </c>
      <c r="P39" s="188">
        <v>0</v>
      </c>
      <c r="Q39" s="188">
        <v>-234659145.56</v>
      </c>
      <c r="R39" s="188">
        <v>-234659145.56</v>
      </c>
      <c r="S39" s="188">
        <v>-234659145.56</v>
      </c>
      <c r="T39" s="188">
        <v>0</v>
      </c>
      <c r="U39" s="188">
        <v>-209506175.97</v>
      </c>
      <c r="V39" s="188">
        <v>-209469275.97</v>
      </c>
      <c r="W39" s="188">
        <v>-208143053.13999999</v>
      </c>
      <c r="X39" s="188">
        <v>0</v>
      </c>
      <c r="Y39" s="188">
        <v>-173175600</v>
      </c>
      <c r="Z39" s="188">
        <v>-173513586.37</v>
      </c>
      <c r="AA39" s="188">
        <v>-173513586.37</v>
      </c>
      <c r="AB39" s="188">
        <v>0</v>
      </c>
      <c r="AC39" s="188">
        <v>-161646450.56</v>
      </c>
      <c r="AD39" s="188">
        <v>-161642026.40000001</v>
      </c>
      <c r="AE39" s="188">
        <v>-161642026.40000001</v>
      </c>
      <c r="AF39" s="188">
        <v>0</v>
      </c>
      <c r="AG39" s="188">
        <v>-88862632.409999996</v>
      </c>
      <c r="AH39" s="188">
        <v>-88808000</v>
      </c>
      <c r="AI39" s="188">
        <v>-88808000</v>
      </c>
      <c r="AJ39" s="188">
        <v>0</v>
      </c>
      <c r="AK39" s="188">
        <v>-132405909.81</v>
      </c>
      <c r="AL39" s="188">
        <v>-93035415.939999998</v>
      </c>
      <c r="AM39" s="188">
        <v>-93035415.939999998</v>
      </c>
      <c r="AN39" s="188">
        <v>-4227415.9400000004</v>
      </c>
      <c r="AO39" s="188">
        <v>32034737.469999999</v>
      </c>
      <c r="AP39" s="188">
        <v>32721851.539999999</v>
      </c>
      <c r="AQ39" s="188">
        <v>32802672.5</v>
      </c>
      <c r="AR39" s="188">
        <v>-8495474.9900000002</v>
      </c>
      <c r="AS39" s="188">
        <v>365411570.45999998</v>
      </c>
      <c r="AT39" s="188">
        <v>665456998.51999998</v>
      </c>
      <c r="AU39" s="188">
        <v>-16610600.16</v>
      </c>
      <c r="AV39" s="188">
        <v>27144477.25</v>
      </c>
      <c r="AW39" s="188">
        <v>52078876.82</v>
      </c>
      <c r="AX39" s="188">
        <v>26450550.34</v>
      </c>
      <c r="AY39" s="188">
        <v>112269214.44</v>
      </c>
      <c r="AZ39" s="188">
        <v>54308637.770000003</v>
      </c>
      <c r="BA39" s="188">
        <v>-218490487.75</v>
      </c>
      <c r="BB39" s="188">
        <v>-112989408.62</v>
      </c>
      <c r="BC39" s="188">
        <v>-44210918.189999998</v>
      </c>
      <c r="BD39" s="188">
        <v>-42290328.859999999</v>
      </c>
      <c r="BE39" s="188">
        <v>609021718.48000002</v>
      </c>
      <c r="BF39" s="188">
        <v>619627614.51999998</v>
      </c>
      <c r="BG39" s="188">
        <v>133181530.84</v>
      </c>
      <c r="BH39" s="188">
        <v>13962854.09</v>
      </c>
      <c r="BI39" s="188">
        <v>0</v>
      </c>
    </row>
    <row r="40" spans="1:61" x14ac:dyDescent="0.25">
      <c r="A40" s="188" t="s">
        <v>255</v>
      </c>
      <c r="B40" s="188">
        <v>3031606.39</v>
      </c>
      <c r="C40" s="188">
        <v>2221294.2200000002</v>
      </c>
      <c r="D40" s="188">
        <v>-1145594.68</v>
      </c>
      <c r="E40" s="188">
        <v>-4445343.03</v>
      </c>
      <c r="F40" s="188">
        <v>-2069350.6</v>
      </c>
      <c r="G40" s="188">
        <v>-1141377.3899999999</v>
      </c>
      <c r="H40" s="188">
        <v>106928.05</v>
      </c>
      <c r="I40" s="188">
        <v>11017629.029999999</v>
      </c>
      <c r="J40" s="188">
        <v>1898732.99</v>
      </c>
      <c r="K40" s="188">
        <v>1198307.52</v>
      </c>
      <c r="L40" s="188">
        <v>-1060589.18</v>
      </c>
      <c r="M40" s="188">
        <v>15281380.76</v>
      </c>
      <c r="N40" s="188">
        <v>2273563.27</v>
      </c>
      <c r="O40" s="188">
        <v>-1105550.52</v>
      </c>
      <c r="P40" s="188">
        <v>-673959.68</v>
      </c>
      <c r="Q40" s="188">
        <v>-1624845.38</v>
      </c>
      <c r="R40" s="188">
        <v>439934.47</v>
      </c>
      <c r="S40" s="188">
        <v>1160818.71</v>
      </c>
      <c r="T40" s="188">
        <v>959515.75</v>
      </c>
      <c r="U40" s="188">
        <v>-12808578.890000001</v>
      </c>
      <c r="V40" s="188">
        <v>-4993806.4800000004</v>
      </c>
      <c r="W40" s="188">
        <v>-4454109.59</v>
      </c>
      <c r="X40" s="188">
        <v>-769883.17</v>
      </c>
      <c r="Y40" s="188">
        <v>-4148868.83</v>
      </c>
      <c r="Z40" s="188">
        <v>736752.44</v>
      </c>
      <c r="AA40" s="188">
        <v>624395.72</v>
      </c>
      <c r="AB40" s="188">
        <v>-140184.39000000001</v>
      </c>
      <c r="AC40" s="188">
        <v>-35954421.119999997</v>
      </c>
      <c r="AD40" s="188">
        <v>2544937.38</v>
      </c>
      <c r="AE40" s="188">
        <v>-5983951.7599999998</v>
      </c>
      <c r="AF40" s="188">
        <v>-4545577.0199999996</v>
      </c>
      <c r="AG40" s="188">
        <v>-21754991.969999999</v>
      </c>
      <c r="AH40" s="188">
        <v>-12220942.5</v>
      </c>
      <c r="AI40" s="188">
        <v>-1882397.45</v>
      </c>
      <c r="AJ40" s="188">
        <v>-526349.92000000004</v>
      </c>
      <c r="AK40" s="188">
        <v>-4262429.84</v>
      </c>
      <c r="AL40" s="188">
        <v>-971044.23</v>
      </c>
      <c r="AM40" s="188">
        <v>-1219421.7</v>
      </c>
      <c r="AN40" s="188">
        <v>122528.23</v>
      </c>
      <c r="AO40" s="188">
        <v>-14564968.699999999</v>
      </c>
      <c r="AP40" s="188">
        <v>11728086.789999999</v>
      </c>
      <c r="AQ40" s="188">
        <v>1736331.75</v>
      </c>
      <c r="AR40" s="188">
        <v>-1113342.79</v>
      </c>
      <c r="AS40" s="188">
        <v>-9676645.1899999995</v>
      </c>
      <c r="AT40" s="188">
        <v>-4992890.0599999996</v>
      </c>
      <c r="AU40" s="188">
        <v>-2725482.33</v>
      </c>
      <c r="AV40" s="188">
        <v>-839021.52</v>
      </c>
      <c r="AW40" s="188">
        <v>-7592637.0099999998</v>
      </c>
      <c r="AX40" s="188">
        <v>-4436050.0199999996</v>
      </c>
      <c r="AY40" s="188">
        <v>-1695550.31</v>
      </c>
      <c r="AZ40" s="188">
        <v>-446797</v>
      </c>
      <c r="BA40" s="188">
        <v>-1839945.52</v>
      </c>
      <c r="BB40" s="188">
        <v>-2103628.02</v>
      </c>
      <c r="BC40" s="188">
        <v>-791936.16</v>
      </c>
      <c r="BD40" s="188">
        <v>-252343.84</v>
      </c>
      <c r="BE40" s="188">
        <v>-387563.52000000002</v>
      </c>
      <c r="BF40" s="188">
        <v>-295379.21000000002</v>
      </c>
      <c r="BG40" s="188">
        <v>-221291.18</v>
      </c>
      <c r="BH40" s="188">
        <v>-352558.32</v>
      </c>
      <c r="BI40" s="188">
        <v>0</v>
      </c>
    </row>
    <row r="41" spans="1:61" x14ac:dyDescent="0.25">
      <c r="A41" s="188" t="s">
        <v>256</v>
      </c>
      <c r="B41" s="188">
        <v>-429545471.11000001</v>
      </c>
      <c r="C41" s="188">
        <v>-283611809.63999999</v>
      </c>
      <c r="D41" s="188">
        <v>61667499.109999999</v>
      </c>
      <c r="E41" s="188">
        <v>22497208.370000001</v>
      </c>
      <c r="F41" s="188">
        <v>44964773.289999999</v>
      </c>
      <c r="G41" s="188">
        <v>-250805881.87</v>
      </c>
      <c r="H41" s="188">
        <v>-247436257.59</v>
      </c>
      <c r="I41" s="188">
        <v>-150258463.81</v>
      </c>
      <c r="J41" s="188">
        <v>-140627111.25</v>
      </c>
      <c r="K41" s="188">
        <v>-295636450.70999998</v>
      </c>
      <c r="L41" s="188">
        <v>-121238085.27</v>
      </c>
      <c r="M41" s="188">
        <v>470944190.22000003</v>
      </c>
      <c r="N41" s="188">
        <v>153228847.19999999</v>
      </c>
      <c r="O41" s="188">
        <v>-86170337.650000006</v>
      </c>
      <c r="P41" s="188">
        <v>-186327715.91</v>
      </c>
      <c r="Q41" s="188">
        <v>26616994.969999999</v>
      </c>
      <c r="R41" s="188">
        <v>160532307.38999999</v>
      </c>
      <c r="S41" s="188">
        <v>573951623.99000001</v>
      </c>
      <c r="T41" s="188">
        <v>613679278</v>
      </c>
      <c r="U41" s="188">
        <v>50452175.420000002</v>
      </c>
      <c r="V41" s="188">
        <v>-132574196.73</v>
      </c>
      <c r="W41" s="188">
        <v>640673658.92999995</v>
      </c>
      <c r="X41" s="188">
        <v>7873185.4299999997</v>
      </c>
      <c r="Y41" s="188">
        <v>-233528707.18000001</v>
      </c>
      <c r="Z41" s="188">
        <v>420921033.75999999</v>
      </c>
      <c r="AA41" s="188">
        <v>78211342.200000003</v>
      </c>
      <c r="AB41" s="188">
        <v>64007714.759999998</v>
      </c>
      <c r="AC41" s="188">
        <v>-156398780.18000001</v>
      </c>
      <c r="AD41" s="188">
        <v>-180238078.71000001</v>
      </c>
      <c r="AE41" s="188">
        <v>-197613296.24000001</v>
      </c>
      <c r="AF41" s="188">
        <v>12686794.32</v>
      </c>
      <c r="AG41" s="188">
        <v>-187382542.72</v>
      </c>
      <c r="AH41" s="188">
        <v>-169361109.52000001</v>
      </c>
      <c r="AI41" s="188">
        <v>-268985544.33999997</v>
      </c>
      <c r="AJ41" s="188">
        <v>-74598456.760000005</v>
      </c>
      <c r="AK41" s="188">
        <v>38955026.149999999</v>
      </c>
      <c r="AL41" s="188">
        <v>105711824.16</v>
      </c>
      <c r="AM41" s="188">
        <v>77352611.609999999</v>
      </c>
      <c r="AN41" s="188">
        <v>113665566.8</v>
      </c>
      <c r="AO41" s="188">
        <v>85208176.989999995</v>
      </c>
      <c r="AP41" s="188">
        <v>-76537306.030000001</v>
      </c>
      <c r="AQ41" s="188">
        <v>-118034386.47</v>
      </c>
      <c r="AR41" s="188">
        <v>-110397805.41</v>
      </c>
      <c r="AS41" s="188">
        <v>420043285.57999998</v>
      </c>
      <c r="AT41" s="188">
        <v>474968989.19999999</v>
      </c>
      <c r="AU41" s="188">
        <v>-151067520.25</v>
      </c>
      <c r="AV41" s="188">
        <v>-102271811.7</v>
      </c>
      <c r="AW41" s="188">
        <v>103793827.62</v>
      </c>
      <c r="AX41" s="188">
        <v>-106101064.39</v>
      </c>
      <c r="AY41" s="188">
        <v>-33217974.420000002</v>
      </c>
      <c r="AZ41" s="188">
        <v>-56461100.899999999</v>
      </c>
      <c r="BA41" s="188">
        <v>-207777054.77000001</v>
      </c>
      <c r="BB41" s="188">
        <v>-264667009.50999999</v>
      </c>
      <c r="BC41" s="188">
        <v>-181476466.56999999</v>
      </c>
      <c r="BD41" s="188">
        <v>-157123163.31</v>
      </c>
      <c r="BE41" s="188">
        <v>467337986.27999997</v>
      </c>
      <c r="BF41" s="188">
        <v>475297647.45999998</v>
      </c>
      <c r="BG41" s="188">
        <v>33194042.609999999</v>
      </c>
      <c r="BH41" s="188">
        <v>-2304834.86</v>
      </c>
      <c r="BI41" s="188">
        <v>0</v>
      </c>
    </row>
    <row r="42" spans="1:61" x14ac:dyDescent="0.25">
      <c r="A42" s="188" t="s">
        <v>257</v>
      </c>
      <c r="B42" s="188">
        <v>853579891.21000004</v>
      </c>
      <c r="C42" s="188">
        <v>853579891.21000004</v>
      </c>
      <c r="D42" s="188">
        <v>853579891.21000004</v>
      </c>
      <c r="E42" s="188">
        <v>741144152.55999994</v>
      </c>
      <c r="F42" s="188">
        <v>741144152.55999994</v>
      </c>
      <c r="G42" s="188">
        <v>741144152.55999994</v>
      </c>
      <c r="H42" s="188">
        <v>737563840.71000004</v>
      </c>
      <c r="I42" s="188">
        <v>887822304.51999998</v>
      </c>
      <c r="J42" s="188">
        <v>887822304.51999998</v>
      </c>
      <c r="K42" s="188">
        <v>887822304.51999998</v>
      </c>
      <c r="L42" s="188">
        <v>887822304.51999998</v>
      </c>
      <c r="M42" s="188">
        <v>416878114.30000001</v>
      </c>
      <c r="N42" s="188">
        <v>416878114.31</v>
      </c>
      <c r="O42" s="188">
        <v>416878114.31</v>
      </c>
      <c r="P42" s="188">
        <v>416878114.31</v>
      </c>
      <c r="Q42" s="188">
        <v>390261119.33999997</v>
      </c>
      <c r="R42" s="188">
        <v>390261119.33999997</v>
      </c>
      <c r="S42" s="188">
        <v>390261119.33999997</v>
      </c>
      <c r="T42" s="188">
        <v>390261119.33999997</v>
      </c>
      <c r="U42" s="188">
        <v>339808943.92000002</v>
      </c>
      <c r="V42" s="188">
        <v>339808943.92000002</v>
      </c>
      <c r="W42" s="188">
        <v>339808943.92000002</v>
      </c>
      <c r="X42" s="188">
        <v>1115082323.6500001</v>
      </c>
      <c r="Y42" s="188">
        <v>573337651.10000002</v>
      </c>
      <c r="Z42" s="188">
        <v>573337651.10000002</v>
      </c>
      <c r="AA42" s="188">
        <v>573337651.10000002</v>
      </c>
      <c r="AB42" s="188">
        <v>575335990.87</v>
      </c>
      <c r="AC42" s="188">
        <v>729736431.27999997</v>
      </c>
      <c r="AD42" s="188">
        <v>742027476.28999996</v>
      </c>
      <c r="AE42" s="188">
        <v>742027476.28999996</v>
      </c>
      <c r="AF42" s="188">
        <v>742027476.28999996</v>
      </c>
      <c r="AG42" s="188">
        <v>917118974</v>
      </c>
      <c r="AH42" s="188">
        <v>944929707.47000003</v>
      </c>
      <c r="AI42" s="188">
        <v>917118974</v>
      </c>
      <c r="AJ42" s="188">
        <v>917118974</v>
      </c>
      <c r="AK42" s="188">
        <v>878163947.85000002</v>
      </c>
      <c r="AL42" s="188">
        <v>878163947.85000002</v>
      </c>
      <c r="AM42" s="188">
        <v>878163947.85000002</v>
      </c>
      <c r="AN42" s="188">
        <v>878183947.85000002</v>
      </c>
      <c r="AO42" s="188">
        <v>792955770.86000001</v>
      </c>
      <c r="AP42" s="188">
        <v>795355770.86000001</v>
      </c>
      <c r="AQ42" s="188">
        <v>792955770.86000001</v>
      </c>
      <c r="AR42" s="188">
        <v>792955770.86000001</v>
      </c>
      <c r="AS42" s="188">
        <v>372912485.27999997</v>
      </c>
      <c r="AT42" s="188">
        <v>372912485.27999997</v>
      </c>
      <c r="AU42" s="188">
        <v>372912485.27999997</v>
      </c>
      <c r="AV42" s="188">
        <v>418412485.06</v>
      </c>
      <c r="AW42" s="188">
        <v>269118657.66000003</v>
      </c>
      <c r="AX42" s="188">
        <v>269118657.66000003</v>
      </c>
      <c r="AY42" s="188">
        <v>269118657.66000003</v>
      </c>
      <c r="AZ42" s="188">
        <v>269118657.66000003</v>
      </c>
      <c r="BA42" s="188">
        <v>476895712.43000001</v>
      </c>
      <c r="BB42" s="188">
        <v>476895712.43000001</v>
      </c>
      <c r="BC42" s="188">
        <v>476895712.43000001</v>
      </c>
      <c r="BD42" s="188">
        <v>476895712.43000001</v>
      </c>
      <c r="BE42" s="188">
        <v>9557726.1500000004</v>
      </c>
      <c r="BF42" s="188">
        <v>9557726.1500000004</v>
      </c>
      <c r="BG42" s="188">
        <v>9557726.1500000004</v>
      </c>
      <c r="BH42" s="188">
        <v>11862561.01</v>
      </c>
      <c r="BI42" s="188">
        <v>0</v>
      </c>
    </row>
    <row r="43" spans="1:61" x14ac:dyDescent="0.25">
      <c r="A43" s="188" t="s">
        <v>258</v>
      </c>
      <c r="B43" s="188">
        <v>424034420.10000002</v>
      </c>
      <c r="C43" s="188">
        <v>569968081.57000005</v>
      </c>
      <c r="D43" s="188">
        <v>915247390.32000005</v>
      </c>
      <c r="E43" s="188">
        <v>763641360.92999995</v>
      </c>
      <c r="F43" s="188">
        <v>786108925.85000002</v>
      </c>
      <c r="G43" s="188">
        <v>490338270.69</v>
      </c>
      <c r="H43" s="188">
        <v>490127583.12</v>
      </c>
      <c r="I43" s="188">
        <v>737563840.71000004</v>
      </c>
      <c r="J43" s="188">
        <v>747195193.26999998</v>
      </c>
      <c r="K43" s="188">
        <v>592185853.80999994</v>
      </c>
      <c r="L43" s="188">
        <v>766584219.25</v>
      </c>
      <c r="M43" s="188">
        <v>887822304.51999998</v>
      </c>
      <c r="N43" s="188">
        <v>570106961.50999999</v>
      </c>
      <c r="O43" s="188">
        <v>330707776.66000003</v>
      </c>
      <c r="P43" s="188">
        <v>230550398.40000001</v>
      </c>
      <c r="Q43" s="188">
        <v>416878114.31</v>
      </c>
      <c r="R43" s="188">
        <v>550793426.73000002</v>
      </c>
      <c r="S43" s="188">
        <v>964212743.33000004</v>
      </c>
      <c r="T43" s="188">
        <v>1003940397.34</v>
      </c>
      <c r="U43" s="188">
        <v>390261119.33999997</v>
      </c>
      <c r="V43" s="188">
        <v>207234747.19</v>
      </c>
      <c r="W43" s="188">
        <v>980482602.85000002</v>
      </c>
      <c r="X43" s="188">
        <v>1122955509.0799999</v>
      </c>
      <c r="Y43" s="188">
        <v>339808943.92000002</v>
      </c>
      <c r="Z43" s="188">
        <v>994258684.86000001</v>
      </c>
      <c r="AA43" s="188">
        <v>651548993.29999995</v>
      </c>
      <c r="AB43" s="188">
        <v>639343705.63</v>
      </c>
      <c r="AC43" s="188">
        <v>573337651.10000002</v>
      </c>
      <c r="AD43" s="188">
        <v>561789397.58000004</v>
      </c>
      <c r="AE43" s="188">
        <v>544414180.04999995</v>
      </c>
      <c r="AF43" s="188">
        <v>754714270.61000001</v>
      </c>
      <c r="AG43" s="188">
        <v>729736431.27999997</v>
      </c>
      <c r="AH43" s="188">
        <v>775568597.95000005</v>
      </c>
      <c r="AI43" s="188">
        <v>648133429.65999997</v>
      </c>
      <c r="AJ43" s="188">
        <v>842520517.24000001</v>
      </c>
      <c r="AK43" s="188">
        <v>917118974</v>
      </c>
      <c r="AL43" s="188">
        <v>983875772.00999999</v>
      </c>
      <c r="AM43" s="188">
        <v>955516559.46000004</v>
      </c>
      <c r="AN43" s="188">
        <v>991849514.64999998</v>
      </c>
      <c r="AO43" s="188">
        <v>878163947.85000002</v>
      </c>
      <c r="AP43" s="188">
        <v>718818464.83000004</v>
      </c>
      <c r="AQ43" s="188">
        <v>674921384.38999999</v>
      </c>
      <c r="AR43" s="188">
        <v>682557965.45000005</v>
      </c>
      <c r="AS43" s="188">
        <v>792955770.86000001</v>
      </c>
      <c r="AT43" s="188">
        <v>847881474.48000002</v>
      </c>
      <c r="AU43" s="188">
        <v>221844965.03</v>
      </c>
      <c r="AV43" s="188">
        <v>316140673.36000001</v>
      </c>
      <c r="AW43" s="188">
        <v>372912485.27999997</v>
      </c>
      <c r="AX43" s="188">
        <v>163017593.27000001</v>
      </c>
      <c r="AY43" s="188">
        <v>235900683.24000001</v>
      </c>
      <c r="AZ43" s="188">
        <v>212657556.75999999</v>
      </c>
      <c r="BA43" s="188">
        <v>269118657.66000003</v>
      </c>
      <c r="BB43" s="188">
        <v>212228702.91999999</v>
      </c>
      <c r="BC43" s="188">
        <v>295419245.86000001</v>
      </c>
      <c r="BD43" s="188">
        <v>319772549.12</v>
      </c>
      <c r="BE43" s="188">
        <v>476895712.43000001</v>
      </c>
      <c r="BF43" s="188">
        <v>484855373.61000001</v>
      </c>
      <c r="BG43" s="188">
        <v>42751768.759999998</v>
      </c>
      <c r="BH43" s="188">
        <v>9557726.1500000004</v>
      </c>
      <c r="BI43" s="188">
        <v>0</v>
      </c>
    </row>
    <row r="44" spans="1:61" x14ac:dyDescent="0.25">
      <c r="A44" s="188" t="s">
        <v>259</v>
      </c>
    </row>
    <row r="45" spans="1:61" x14ac:dyDescent="0.25">
      <c r="A45" s="188" t="s">
        <v>260</v>
      </c>
      <c r="B45" s="188">
        <v>0</v>
      </c>
      <c r="C45" s="188">
        <v>738836585.02999997</v>
      </c>
      <c r="D45" s="188">
        <v>0</v>
      </c>
      <c r="E45" s="188">
        <v>1307844100.1400001</v>
      </c>
      <c r="F45" s="188">
        <v>0</v>
      </c>
      <c r="G45" s="188">
        <v>597279300.58000004</v>
      </c>
      <c r="H45" s="188">
        <v>0</v>
      </c>
      <c r="I45" s="188">
        <v>1133953749.6400001</v>
      </c>
      <c r="J45" s="188">
        <v>0</v>
      </c>
      <c r="K45" s="188">
        <v>526018363.81999999</v>
      </c>
      <c r="L45" s="188">
        <v>0</v>
      </c>
      <c r="M45" s="188">
        <v>986506139.27999997</v>
      </c>
      <c r="N45" s="188">
        <v>0</v>
      </c>
      <c r="O45" s="188">
        <v>440866739.04000002</v>
      </c>
      <c r="P45" s="188">
        <v>0</v>
      </c>
      <c r="Q45" s="188">
        <v>764942939.28999996</v>
      </c>
      <c r="R45" s="188">
        <v>0</v>
      </c>
      <c r="S45" s="188">
        <v>368398198.54000002</v>
      </c>
      <c r="T45" s="188">
        <v>0</v>
      </c>
      <c r="U45" s="188">
        <v>640946932.66999996</v>
      </c>
      <c r="V45" s="188">
        <v>0</v>
      </c>
      <c r="W45" s="188">
        <v>302734619.81999999</v>
      </c>
      <c r="X45" s="188">
        <v>0</v>
      </c>
      <c r="Y45" s="188">
        <v>514860173.64999998</v>
      </c>
      <c r="Z45" s="188">
        <v>0</v>
      </c>
      <c r="AA45" s="188">
        <v>241760163.47999999</v>
      </c>
      <c r="AB45" s="188">
        <v>0</v>
      </c>
      <c r="AC45" s="188">
        <v>524958200.92000002</v>
      </c>
      <c r="AD45" s="188">
        <v>0</v>
      </c>
      <c r="AE45" s="188">
        <v>253454168.30000001</v>
      </c>
      <c r="AF45" s="188">
        <v>0</v>
      </c>
      <c r="AG45" s="188">
        <v>442819978.56</v>
      </c>
      <c r="AH45" s="188">
        <v>0</v>
      </c>
      <c r="AI45" s="188">
        <v>179228216.47</v>
      </c>
      <c r="AJ45" s="188">
        <v>0</v>
      </c>
      <c r="AK45" s="188">
        <v>355275816.24000001</v>
      </c>
      <c r="AL45" s="188">
        <v>0</v>
      </c>
      <c r="AM45" s="188">
        <v>148629107.38999999</v>
      </c>
      <c r="AN45" s="188">
        <v>0</v>
      </c>
      <c r="AO45" s="188">
        <v>299407953.87</v>
      </c>
      <c r="AP45" s="188">
        <v>0</v>
      </c>
      <c r="AQ45" s="188">
        <v>133483374.42</v>
      </c>
      <c r="AR45" s="188">
        <v>0</v>
      </c>
      <c r="AS45" s="188">
        <v>171939598.55000001</v>
      </c>
      <c r="AT45" s="188">
        <v>0</v>
      </c>
      <c r="AU45" s="188">
        <v>84830537.459999993</v>
      </c>
      <c r="AV45" s="188">
        <v>0</v>
      </c>
      <c r="AW45" s="188">
        <v>102210416.76000001</v>
      </c>
      <c r="AX45" s="188">
        <v>60193820.229999997</v>
      </c>
      <c r="AY45" s="188">
        <v>42546669.829999998</v>
      </c>
      <c r="AZ45" s="188">
        <v>23101408.48</v>
      </c>
      <c r="BA45" s="188">
        <v>69227252.659999996</v>
      </c>
      <c r="BB45" s="188">
        <v>42554229.460000001</v>
      </c>
      <c r="BC45" s="188">
        <v>29495176.440000001</v>
      </c>
      <c r="BD45" s="188">
        <v>14425847.83</v>
      </c>
      <c r="BE45" s="188">
        <v>63148818.960000001</v>
      </c>
      <c r="BF45" s="188">
        <v>36677931.289999999</v>
      </c>
      <c r="BG45" s="188">
        <v>23040926.140000001</v>
      </c>
      <c r="BH45" s="188">
        <v>76473958.659999996</v>
      </c>
      <c r="BI45" s="188">
        <v>0</v>
      </c>
    </row>
    <row r="46" spans="1:61"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43372357.609999999</v>
      </c>
      <c r="AT46" s="188">
        <v>0</v>
      </c>
      <c r="AU46" s="188">
        <v>0</v>
      </c>
      <c r="AV46" s="188">
        <v>0</v>
      </c>
      <c r="AW46" s="188">
        <v>30553865.98</v>
      </c>
      <c r="AX46" s="188">
        <v>16848298.91</v>
      </c>
      <c r="AY46" s="188">
        <v>13179105.560000001</v>
      </c>
      <c r="AZ46" s="188">
        <v>6964850.71</v>
      </c>
      <c r="BA46" s="188">
        <v>21949753.510000002</v>
      </c>
      <c r="BB46" s="188">
        <v>15648001.220000001</v>
      </c>
      <c r="BC46" s="188">
        <v>10550157.42</v>
      </c>
      <c r="BD46" s="188">
        <v>5044665.88</v>
      </c>
      <c r="BE46" s="188">
        <v>9398977.8599999994</v>
      </c>
      <c r="BF46" s="188">
        <v>7960748.5300000003</v>
      </c>
      <c r="BG46" s="188">
        <v>3291379.09</v>
      </c>
      <c r="BH46" s="188">
        <v>1774248.11</v>
      </c>
      <c r="BI46" s="188">
        <v>0</v>
      </c>
    </row>
    <row r="47" spans="1:61"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row>
    <row r="48" spans="1:61" x14ac:dyDescent="0.25">
      <c r="A48" s="188" t="s">
        <v>262</v>
      </c>
      <c r="B48" s="188">
        <v>0</v>
      </c>
      <c r="C48" s="188">
        <v>6408306.4299999997</v>
      </c>
      <c r="D48" s="188">
        <v>0</v>
      </c>
      <c r="E48" s="188">
        <v>50991305.039999999</v>
      </c>
      <c r="F48" s="188">
        <v>0</v>
      </c>
      <c r="G48" s="188">
        <v>2963149.44</v>
      </c>
      <c r="H48" s="188">
        <v>0</v>
      </c>
      <c r="I48" s="188">
        <v>48469502.909999996</v>
      </c>
      <c r="J48" s="188">
        <v>0</v>
      </c>
      <c r="K48" s="188">
        <v>13220524.99</v>
      </c>
      <c r="L48" s="188">
        <v>0</v>
      </c>
      <c r="M48" s="188">
        <v>59476815.25</v>
      </c>
      <c r="N48" s="188">
        <v>0</v>
      </c>
      <c r="O48" s="188">
        <v>22632782.989999998</v>
      </c>
      <c r="P48" s="188">
        <v>0</v>
      </c>
      <c r="Q48" s="188">
        <v>50310489.329999998</v>
      </c>
      <c r="R48" s="188">
        <v>0</v>
      </c>
      <c r="S48" s="188">
        <v>-5909530.3399999999</v>
      </c>
      <c r="T48" s="188">
        <v>0</v>
      </c>
      <c r="U48" s="188">
        <v>59033219.689999998</v>
      </c>
      <c r="V48" s="188">
        <v>0</v>
      </c>
      <c r="W48" s="188">
        <v>13438270.73</v>
      </c>
      <c r="X48" s="188">
        <v>0</v>
      </c>
      <c r="Y48" s="188">
        <v>29791361.18</v>
      </c>
      <c r="Z48" s="188">
        <v>0</v>
      </c>
      <c r="AA48" s="188">
        <v>-9775380.6600000001</v>
      </c>
      <c r="AB48" s="188">
        <v>0</v>
      </c>
      <c r="AC48" s="188">
        <v>31761403.440000001</v>
      </c>
      <c r="AD48" s="188">
        <v>0</v>
      </c>
      <c r="AE48" s="188">
        <v>17509156.190000001</v>
      </c>
      <c r="AF48" s="188">
        <v>0</v>
      </c>
      <c r="AG48" s="188">
        <v>11463854.41</v>
      </c>
      <c r="AH48" s="188">
        <v>0</v>
      </c>
      <c r="AI48" s="188">
        <v>11733559.68</v>
      </c>
      <c r="AJ48" s="188">
        <v>0</v>
      </c>
      <c r="AK48" s="188">
        <v>2978268.56</v>
      </c>
      <c r="AL48" s="188">
        <v>0</v>
      </c>
      <c r="AM48" s="188">
        <v>233064.24</v>
      </c>
      <c r="AN48" s="188">
        <v>0</v>
      </c>
      <c r="AO48" s="188">
        <v>345406.09</v>
      </c>
      <c r="AP48" s="188">
        <v>0</v>
      </c>
      <c r="AQ48" s="188">
        <v>4906747.49</v>
      </c>
      <c r="AR48" s="188">
        <v>0</v>
      </c>
      <c r="AS48" s="188">
        <v>-19181304.469999999</v>
      </c>
      <c r="AT48" s="188">
        <v>0</v>
      </c>
      <c r="AU48" s="188">
        <v>9453917.7899999991</v>
      </c>
      <c r="AV48" s="188">
        <v>0</v>
      </c>
      <c r="AW48" s="188">
        <v>30776635.050000001</v>
      </c>
      <c r="AX48" s="188">
        <v>16761038.699999999</v>
      </c>
      <c r="AY48" s="188">
        <v>15458193.49</v>
      </c>
      <c r="AZ48" s="188">
        <v>6279367.6600000001</v>
      </c>
      <c r="BA48" s="188">
        <v>2055805.69</v>
      </c>
      <c r="BB48" s="188">
        <v>9319341.6600000001</v>
      </c>
      <c r="BC48" s="188">
        <v>5085996.1100000003</v>
      </c>
      <c r="BD48" s="188">
        <v>3843735.39</v>
      </c>
      <c r="BE48" s="188">
        <v>2288480.5299999998</v>
      </c>
      <c r="BF48" s="188">
        <v>3843125.63</v>
      </c>
      <c r="BG48" s="188">
        <v>700672.96</v>
      </c>
      <c r="BH48" s="188">
        <v>372160.76</v>
      </c>
      <c r="BI48" s="188">
        <v>0</v>
      </c>
    </row>
    <row r="49" spans="1:61" x14ac:dyDescent="0.25">
      <c r="A49" s="188" t="s">
        <v>263</v>
      </c>
      <c r="B49" s="188">
        <v>0</v>
      </c>
      <c r="C49" s="188">
        <v>51552038.75</v>
      </c>
      <c r="D49" s="188">
        <v>0</v>
      </c>
      <c r="E49" s="188">
        <v>91099215.629999995</v>
      </c>
      <c r="F49" s="188">
        <v>0</v>
      </c>
      <c r="G49" s="188">
        <v>42461320.840000004</v>
      </c>
      <c r="H49" s="188">
        <v>0</v>
      </c>
      <c r="I49" s="188">
        <v>110322860.01000001</v>
      </c>
      <c r="J49" s="188">
        <v>0</v>
      </c>
      <c r="K49" s="188">
        <v>48709243.920000002</v>
      </c>
      <c r="L49" s="188">
        <v>0</v>
      </c>
      <c r="M49" s="188">
        <v>102009147.34</v>
      </c>
      <c r="N49" s="188">
        <v>0</v>
      </c>
      <c r="O49" s="188">
        <v>48482029.890000001</v>
      </c>
      <c r="P49" s="188">
        <v>0</v>
      </c>
      <c r="Q49" s="188">
        <v>91093414.659999996</v>
      </c>
      <c r="R49" s="188">
        <v>0</v>
      </c>
      <c r="S49" s="188">
        <v>48073033.039999999</v>
      </c>
      <c r="T49" s="188">
        <v>0</v>
      </c>
      <c r="U49" s="188">
        <v>85358968.430000007</v>
      </c>
      <c r="V49" s="188">
        <v>0</v>
      </c>
      <c r="W49" s="188">
        <v>55844737.210000001</v>
      </c>
      <c r="X49" s="188">
        <v>0</v>
      </c>
      <c r="Y49" s="188">
        <v>85182715.760000005</v>
      </c>
      <c r="Z49" s="188">
        <v>0</v>
      </c>
      <c r="AA49" s="188">
        <v>42405530</v>
      </c>
      <c r="AB49" s="188">
        <v>0</v>
      </c>
      <c r="AC49" s="188">
        <v>76585420.650000006</v>
      </c>
      <c r="AD49" s="188">
        <v>0</v>
      </c>
      <c r="AE49" s="188">
        <v>35608139.979999997</v>
      </c>
      <c r="AF49" s="188">
        <v>0</v>
      </c>
      <c r="AG49" s="188">
        <v>64490350.609999999</v>
      </c>
      <c r="AH49" s="188">
        <v>0</v>
      </c>
      <c r="AI49" s="188">
        <v>33237019.579999998</v>
      </c>
      <c r="AJ49" s="188">
        <v>0</v>
      </c>
      <c r="AK49" s="188">
        <v>55681284.850000001</v>
      </c>
      <c r="AL49" s="188">
        <v>0</v>
      </c>
      <c r="AM49" s="188">
        <v>25651523.43</v>
      </c>
      <c r="AN49" s="188">
        <v>0</v>
      </c>
      <c r="AO49" s="188">
        <v>48875996.549999997</v>
      </c>
      <c r="AP49" s="188">
        <v>0</v>
      </c>
      <c r="AQ49" s="188">
        <v>23140213.149999999</v>
      </c>
      <c r="AR49" s="188">
        <v>0</v>
      </c>
      <c r="AS49" s="188">
        <v>42675176.18</v>
      </c>
      <c r="AT49" s="188">
        <v>0</v>
      </c>
      <c r="AU49" s="188">
        <v>21016657.510000002</v>
      </c>
      <c r="AV49" s="188">
        <v>0</v>
      </c>
      <c r="AW49" s="188">
        <v>40816534.909999996</v>
      </c>
      <c r="AX49" s="188">
        <v>31311562.27</v>
      </c>
      <c r="AY49" s="188">
        <v>21467604.149999999</v>
      </c>
      <c r="AZ49" s="188">
        <v>9361609.4900000002</v>
      </c>
      <c r="BA49" s="188">
        <v>32080180.489999998</v>
      </c>
      <c r="BB49" s="188">
        <v>23685836.75</v>
      </c>
      <c r="BC49" s="188">
        <v>15843285.9</v>
      </c>
      <c r="BD49" s="188">
        <v>8673287.6400000006</v>
      </c>
      <c r="BE49" s="188">
        <v>22262356.780000001</v>
      </c>
      <c r="BF49" s="188">
        <v>15572305.85</v>
      </c>
      <c r="BG49" s="188">
        <v>10304147.08</v>
      </c>
      <c r="BH49" s="188">
        <v>18333606.190000001</v>
      </c>
      <c r="BI49" s="188">
        <v>0</v>
      </c>
    </row>
    <row r="50" spans="1:61" x14ac:dyDescent="0.25">
      <c r="A50" s="188" t="s">
        <v>264</v>
      </c>
      <c r="B50" s="188">
        <v>0</v>
      </c>
      <c r="C50" s="188">
        <v>7727242.1799999997</v>
      </c>
      <c r="D50" s="188">
        <v>0</v>
      </c>
      <c r="E50" s="188">
        <v>14066375.52</v>
      </c>
      <c r="F50" s="188">
        <v>0</v>
      </c>
      <c r="G50" s="188">
        <v>6944732.2000000002</v>
      </c>
      <c r="H50" s="188">
        <v>0</v>
      </c>
      <c r="I50" s="188">
        <v>13043757.880000001</v>
      </c>
      <c r="J50" s="188">
        <v>0</v>
      </c>
      <c r="K50" s="188">
        <v>6406874.0700000003</v>
      </c>
      <c r="L50" s="188">
        <v>0</v>
      </c>
      <c r="M50" s="188">
        <v>7908665.1799999997</v>
      </c>
      <c r="N50" s="188">
        <v>0</v>
      </c>
      <c r="O50" s="188">
        <v>3916119.51</v>
      </c>
      <c r="P50" s="188">
        <v>0</v>
      </c>
      <c r="Q50" s="188">
        <v>7641327.3399999999</v>
      </c>
      <c r="R50" s="188">
        <v>0</v>
      </c>
      <c r="S50" s="188">
        <v>3790454.87</v>
      </c>
      <c r="T50" s="188">
        <v>0</v>
      </c>
      <c r="U50" s="188">
        <v>7394392.9900000002</v>
      </c>
      <c r="V50" s="188">
        <v>0</v>
      </c>
      <c r="W50" s="188">
        <v>3701086.68</v>
      </c>
      <c r="X50" s="188">
        <v>0</v>
      </c>
      <c r="Y50" s="188">
        <v>7040764.9699999997</v>
      </c>
      <c r="Z50" s="188">
        <v>0</v>
      </c>
      <c r="AA50" s="188">
        <v>3469661.21</v>
      </c>
      <c r="AB50" s="188">
        <v>0</v>
      </c>
      <c r="AC50" s="188">
        <v>6166330.7999999998</v>
      </c>
      <c r="AD50" s="188">
        <v>0</v>
      </c>
      <c r="AE50" s="188">
        <v>2560545.2200000002</v>
      </c>
      <c r="AF50" s="188">
        <v>0</v>
      </c>
      <c r="AG50" s="188">
        <v>5589180.1299999999</v>
      </c>
      <c r="AH50" s="188">
        <v>0</v>
      </c>
      <c r="AI50" s="188">
        <v>2706139.33</v>
      </c>
      <c r="AJ50" s="188">
        <v>0</v>
      </c>
      <c r="AK50" s="188">
        <v>4865157.49</v>
      </c>
      <c r="AL50" s="188">
        <v>0</v>
      </c>
      <c r="AM50" s="188">
        <v>2363165.7999999998</v>
      </c>
      <c r="AN50" s="188">
        <v>0</v>
      </c>
      <c r="AO50" s="188">
        <v>4824052.38</v>
      </c>
      <c r="AP50" s="188">
        <v>0</v>
      </c>
      <c r="AQ50" s="188">
        <v>2074799.54</v>
      </c>
      <c r="AR50" s="188">
        <v>0</v>
      </c>
      <c r="AS50" s="188">
        <v>3536425.31</v>
      </c>
      <c r="AT50" s="188">
        <v>0</v>
      </c>
      <c r="AU50" s="188">
        <v>1178480.97</v>
      </c>
      <c r="AV50" s="188">
        <v>0</v>
      </c>
      <c r="AW50" s="188">
        <v>234230.39999999999</v>
      </c>
      <c r="AX50" s="188">
        <v>54922.5</v>
      </c>
      <c r="AY50" s="188">
        <v>36615</v>
      </c>
      <c r="AZ50" s="188">
        <v>18307.5</v>
      </c>
      <c r="BA50" s="188">
        <v>66135</v>
      </c>
      <c r="BB50" s="188">
        <v>85690</v>
      </c>
      <c r="BC50" s="188">
        <v>42255</v>
      </c>
      <c r="BD50" s="188">
        <v>14212.5</v>
      </c>
      <c r="BE50" s="188">
        <v>52170</v>
      </c>
      <c r="BF50" s="188">
        <v>37957.5</v>
      </c>
      <c r="BG50" s="188">
        <v>44285</v>
      </c>
      <c r="BH50" s="188">
        <v>35519.160000000003</v>
      </c>
      <c r="BI50" s="188">
        <v>0</v>
      </c>
    </row>
    <row r="51" spans="1:61" x14ac:dyDescent="0.25">
      <c r="A51" s="188" t="s">
        <v>265</v>
      </c>
      <c r="B51" s="188">
        <v>0</v>
      </c>
      <c r="C51" s="188">
        <v>780994.41</v>
      </c>
      <c r="D51" s="188">
        <v>0</v>
      </c>
      <c r="E51" s="188">
        <v>0</v>
      </c>
      <c r="F51" s="188">
        <v>0</v>
      </c>
      <c r="G51" s="188">
        <v>0</v>
      </c>
      <c r="H51" s="188">
        <v>0</v>
      </c>
      <c r="I51" s="188">
        <v>0</v>
      </c>
      <c r="J51" s="188">
        <v>0</v>
      </c>
      <c r="K51" s="188">
        <v>0</v>
      </c>
      <c r="L51" s="188">
        <v>0</v>
      </c>
      <c r="M51" s="188">
        <v>0</v>
      </c>
      <c r="N51" s="188">
        <v>0</v>
      </c>
      <c r="O51" s="188">
        <v>0</v>
      </c>
      <c r="P51" s="188">
        <v>0</v>
      </c>
      <c r="Q51" s="188">
        <v>0</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0</v>
      </c>
      <c r="AP51" s="188">
        <v>0</v>
      </c>
      <c r="AQ51" s="188">
        <v>0</v>
      </c>
      <c r="AR51" s="188">
        <v>0</v>
      </c>
      <c r="AS51" s="188">
        <v>0</v>
      </c>
      <c r="AT51" s="188">
        <v>0</v>
      </c>
      <c r="AU51" s="188">
        <v>0</v>
      </c>
      <c r="AV51" s="188">
        <v>0</v>
      </c>
      <c r="AW51" s="188">
        <v>0</v>
      </c>
      <c r="AX51" s="188">
        <v>0</v>
      </c>
      <c r="AY51" s="188">
        <v>0</v>
      </c>
      <c r="AZ51" s="188">
        <v>0</v>
      </c>
      <c r="BA51" s="188">
        <v>0</v>
      </c>
      <c r="BB51" s="188">
        <v>0</v>
      </c>
      <c r="BC51" s="188">
        <v>0</v>
      </c>
      <c r="BD51" s="188">
        <v>0</v>
      </c>
      <c r="BE51" s="188">
        <v>0</v>
      </c>
      <c r="BF51" s="188">
        <v>585275.56999999995</v>
      </c>
      <c r="BG51" s="188">
        <v>28710</v>
      </c>
      <c r="BH51" s="188">
        <v>331076.47999999998</v>
      </c>
      <c r="BI51" s="188">
        <v>0</v>
      </c>
    </row>
    <row r="52" spans="1:61"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-59278.93</v>
      </c>
      <c r="AX52" s="188">
        <v>-204678.06</v>
      </c>
      <c r="AY52" s="188">
        <v>-105742.12</v>
      </c>
      <c r="AZ52" s="188">
        <v>-237572.67</v>
      </c>
      <c r="BA52" s="188">
        <v>-39847.17</v>
      </c>
      <c r="BB52" s="188">
        <v>-18578.32</v>
      </c>
      <c r="BC52" s="188">
        <v>-6094.88</v>
      </c>
      <c r="BD52" s="188">
        <v>28207.17</v>
      </c>
      <c r="BE52" s="188">
        <v>203884</v>
      </c>
      <c r="BF52" s="188">
        <v>-3124000.31</v>
      </c>
      <c r="BG52" s="188">
        <v>230115.22</v>
      </c>
      <c r="BH52" s="188">
        <v>-184318.47</v>
      </c>
      <c r="BI52" s="188">
        <v>0</v>
      </c>
    </row>
    <row r="53" spans="1:61"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-65953.25</v>
      </c>
      <c r="BA53" s="188">
        <v>-5490.68</v>
      </c>
      <c r="BB53" s="188">
        <v>94949.32</v>
      </c>
      <c r="BC53" s="188">
        <v>-974167.27</v>
      </c>
      <c r="BD53" s="188">
        <v>-5907.93</v>
      </c>
      <c r="BE53" s="188">
        <v>-188755.29</v>
      </c>
      <c r="BF53" s="188">
        <v>-356486.99</v>
      </c>
      <c r="BG53" s="188">
        <v>1240199.76</v>
      </c>
      <c r="BH53" s="188">
        <v>160153.34</v>
      </c>
      <c r="BI53" s="188">
        <v>0</v>
      </c>
    </row>
    <row r="54" spans="1:61" x14ac:dyDescent="0.25">
      <c r="A54" s="188" t="s">
        <v>268</v>
      </c>
      <c r="B54" s="188">
        <v>0</v>
      </c>
      <c r="C54" s="188">
        <v>-722053.59</v>
      </c>
      <c r="D54" s="188">
        <v>0</v>
      </c>
      <c r="E54" s="188">
        <v>-887518.81</v>
      </c>
      <c r="F54" s="188">
        <v>0</v>
      </c>
      <c r="G54" s="188">
        <v>-1284698.32</v>
      </c>
      <c r="H54" s="188">
        <v>0</v>
      </c>
      <c r="I54" s="188">
        <v>3697885.35</v>
      </c>
      <c r="J54" s="188">
        <v>0</v>
      </c>
      <c r="K54" s="188">
        <v>-259987.64</v>
      </c>
      <c r="L54" s="188">
        <v>0</v>
      </c>
      <c r="M54" s="188">
        <v>2078639.96</v>
      </c>
      <c r="N54" s="188">
        <v>0</v>
      </c>
      <c r="O54" s="188">
        <v>70957.149999999994</v>
      </c>
      <c r="P54" s="188">
        <v>0</v>
      </c>
      <c r="Q54" s="188">
        <v>1384988.05</v>
      </c>
      <c r="R54" s="188">
        <v>0</v>
      </c>
      <c r="S54" s="188">
        <v>-943283.92</v>
      </c>
      <c r="T54" s="188">
        <v>0</v>
      </c>
      <c r="U54" s="188">
        <v>781569.82</v>
      </c>
      <c r="V54" s="188">
        <v>0</v>
      </c>
      <c r="W54" s="188">
        <v>-270427.65999999997</v>
      </c>
      <c r="X54" s="188">
        <v>0</v>
      </c>
      <c r="Y54" s="188">
        <v>1437076.5</v>
      </c>
      <c r="Z54" s="188">
        <v>0</v>
      </c>
      <c r="AA54" s="188">
        <v>789291.97</v>
      </c>
      <c r="AB54" s="188">
        <v>0</v>
      </c>
      <c r="AC54" s="188">
        <v>-3560.58</v>
      </c>
      <c r="AD54" s="188">
        <v>0</v>
      </c>
      <c r="AE54" s="188">
        <v>-346456.32000000001</v>
      </c>
      <c r="AF54" s="188">
        <v>0</v>
      </c>
      <c r="AG54" s="188">
        <v>1387177.16</v>
      </c>
      <c r="AH54" s="188">
        <v>0</v>
      </c>
      <c r="AI54" s="188">
        <v>107501.91</v>
      </c>
      <c r="AJ54" s="188">
        <v>0</v>
      </c>
      <c r="AK54" s="188">
        <v>2621340.67</v>
      </c>
      <c r="AL54" s="188">
        <v>0</v>
      </c>
      <c r="AM54" s="188">
        <v>643537.25</v>
      </c>
      <c r="AN54" s="188">
        <v>0</v>
      </c>
      <c r="AO54" s="188">
        <v>475566.19</v>
      </c>
      <c r="AP54" s="188">
        <v>0</v>
      </c>
      <c r="AQ54" s="188">
        <v>-173332.02</v>
      </c>
      <c r="AR54" s="188">
        <v>0</v>
      </c>
      <c r="AS54" s="188">
        <v>217717.66</v>
      </c>
      <c r="AT54" s="188">
        <v>0</v>
      </c>
      <c r="AU54" s="188">
        <v>-43692.21</v>
      </c>
      <c r="AV54" s="188">
        <v>0</v>
      </c>
      <c r="AW54" s="188">
        <v>780097.35</v>
      </c>
      <c r="AX54" s="188">
        <v>718143.02</v>
      </c>
      <c r="AY54" s="188">
        <v>436640.6</v>
      </c>
      <c r="AZ54" s="188">
        <v>30870.57</v>
      </c>
      <c r="BA54" s="188">
        <v>-4000.36</v>
      </c>
      <c r="BB54" s="188">
        <v>108124.63</v>
      </c>
      <c r="BC54" s="188">
        <v>10185.49</v>
      </c>
      <c r="BD54" s="188">
        <v>102276.78</v>
      </c>
      <c r="BE54" s="188">
        <v>178164.32</v>
      </c>
      <c r="BF54" s="188">
        <v>90795.33</v>
      </c>
      <c r="BG54" s="188">
        <v>-1469.63</v>
      </c>
      <c r="BH54" s="188">
        <v>68266.11</v>
      </c>
      <c r="BI54" s="188">
        <v>0</v>
      </c>
    </row>
    <row r="55" spans="1:61" x14ac:dyDescent="0.25">
      <c r="A55" s="188" t="s">
        <v>269</v>
      </c>
      <c r="B55" s="188">
        <v>0</v>
      </c>
      <c r="C55" s="188">
        <v>-118061.31</v>
      </c>
      <c r="D55" s="188">
        <v>0</v>
      </c>
      <c r="E55" s="188">
        <v>1362826.1</v>
      </c>
      <c r="F55" s="188">
        <v>0</v>
      </c>
      <c r="G55" s="188">
        <v>1828330.86</v>
      </c>
      <c r="H55" s="188">
        <v>0</v>
      </c>
      <c r="I55" s="188">
        <v>0</v>
      </c>
      <c r="J55" s="188">
        <v>0</v>
      </c>
      <c r="K55" s="188">
        <v>917796.1</v>
      </c>
      <c r="L55" s="188">
        <v>0</v>
      </c>
      <c r="M55" s="188">
        <v>0</v>
      </c>
      <c r="N55" s="188">
        <v>0</v>
      </c>
      <c r="O55" s="188">
        <v>276851.62</v>
      </c>
      <c r="P55" s="188">
        <v>0</v>
      </c>
      <c r="Q55" s="188">
        <v>0</v>
      </c>
      <c r="R55" s="188">
        <v>0</v>
      </c>
      <c r="S55" s="188">
        <v>109377.71</v>
      </c>
      <c r="T55" s="188">
        <v>0</v>
      </c>
      <c r="U55" s="188">
        <v>0</v>
      </c>
      <c r="V55" s="188">
        <v>0</v>
      </c>
      <c r="W55" s="188">
        <v>396952.01</v>
      </c>
      <c r="X55" s="188">
        <v>0</v>
      </c>
      <c r="Y55" s="188">
        <v>0</v>
      </c>
      <c r="Z55" s="188">
        <v>0</v>
      </c>
      <c r="AA55" s="188">
        <v>-12874.5</v>
      </c>
      <c r="AB55" s="188">
        <v>0</v>
      </c>
      <c r="AC55" s="188">
        <v>191701.19</v>
      </c>
      <c r="AD55" s="188">
        <v>0</v>
      </c>
      <c r="AE55" s="188">
        <v>267500.51</v>
      </c>
      <c r="AF55" s="188">
        <v>0</v>
      </c>
      <c r="AG55" s="188">
        <v>687425.16</v>
      </c>
      <c r="AH55" s="188">
        <v>0</v>
      </c>
      <c r="AI55" s="188">
        <v>0</v>
      </c>
      <c r="AJ55" s="188">
        <v>0</v>
      </c>
      <c r="AK55" s="188">
        <v>730360.41</v>
      </c>
      <c r="AL55" s="188">
        <v>0</v>
      </c>
      <c r="AM55" s="188">
        <v>499101.14</v>
      </c>
      <c r="AN55" s="188">
        <v>0</v>
      </c>
      <c r="AO55" s="188">
        <v>51577.65</v>
      </c>
      <c r="AP55" s="188">
        <v>0</v>
      </c>
      <c r="AQ55" s="188">
        <v>0</v>
      </c>
      <c r="AR55" s="188">
        <v>0</v>
      </c>
      <c r="AS55" s="188">
        <v>1066110.01</v>
      </c>
      <c r="AT55" s="188">
        <v>0</v>
      </c>
      <c r="AU55" s="188">
        <v>11023.41</v>
      </c>
      <c r="AV55" s="188">
        <v>0</v>
      </c>
      <c r="AW55" s="188">
        <v>2977388.75</v>
      </c>
      <c r="AX55" s="188">
        <v>-2000</v>
      </c>
      <c r="AY55" s="188">
        <v>0</v>
      </c>
      <c r="AZ55" s="188">
        <v>0</v>
      </c>
      <c r="BA55" s="188">
        <v>120652.24</v>
      </c>
      <c r="BB55" s="188">
        <v>0</v>
      </c>
      <c r="BC55" s="188">
        <v>40267.75</v>
      </c>
      <c r="BD55" s="188">
        <v>0</v>
      </c>
      <c r="BE55" s="188">
        <v>0</v>
      </c>
      <c r="BF55" s="188">
        <v>1113.3699999999999</v>
      </c>
      <c r="BG55" s="188">
        <v>0</v>
      </c>
      <c r="BH55" s="188">
        <v>0</v>
      </c>
      <c r="BI55" s="188">
        <v>0</v>
      </c>
    </row>
    <row r="56" spans="1:61" x14ac:dyDescent="0.25">
      <c r="A56" s="188" t="s">
        <v>270</v>
      </c>
      <c r="B56" s="188">
        <v>0</v>
      </c>
      <c r="C56" s="188">
        <v>13977517.48</v>
      </c>
      <c r="D56" s="188">
        <v>0</v>
      </c>
      <c r="E56" s="188">
        <v>-8541712.75</v>
      </c>
      <c r="F56" s="188">
        <v>0</v>
      </c>
      <c r="G56" s="188">
        <v>-2346163.5299999998</v>
      </c>
      <c r="H56" s="188">
        <v>0</v>
      </c>
      <c r="I56" s="188">
        <v>-4769895.1900000004</v>
      </c>
      <c r="J56" s="188">
        <v>0</v>
      </c>
      <c r="K56" s="188">
        <v>349986.11</v>
      </c>
      <c r="L56" s="188">
        <v>0</v>
      </c>
      <c r="M56" s="188">
        <v>1436259.57</v>
      </c>
      <c r="N56" s="188">
        <v>0</v>
      </c>
      <c r="O56" s="188">
        <v>1966929.68</v>
      </c>
      <c r="P56" s="188">
        <v>0</v>
      </c>
      <c r="Q56" s="188">
        <v>-3667973.86</v>
      </c>
      <c r="R56" s="188">
        <v>0</v>
      </c>
      <c r="S56" s="188">
        <v>-12825</v>
      </c>
      <c r="T56" s="188">
        <v>0</v>
      </c>
      <c r="U56" s="188">
        <v>-133211.97</v>
      </c>
      <c r="V56" s="188">
        <v>0</v>
      </c>
      <c r="W56" s="188">
        <v>-499382.3</v>
      </c>
      <c r="X56" s="188">
        <v>0</v>
      </c>
      <c r="Y56" s="188">
        <v>146036.97</v>
      </c>
      <c r="Z56" s="188">
        <v>0</v>
      </c>
      <c r="AA56" s="188">
        <v>0</v>
      </c>
      <c r="AB56" s="188">
        <v>0</v>
      </c>
      <c r="AC56" s="188">
        <v>2703150</v>
      </c>
      <c r="AD56" s="188">
        <v>0</v>
      </c>
      <c r="AE56" s="188">
        <v>-4730712.04</v>
      </c>
      <c r="AF56" s="188">
        <v>0</v>
      </c>
      <c r="AG56" s="188">
        <v>7820010</v>
      </c>
      <c r="AH56" s="188">
        <v>0</v>
      </c>
      <c r="AI56" s="188">
        <v>10391961.43</v>
      </c>
      <c r="AJ56" s="188">
        <v>0</v>
      </c>
      <c r="AK56" s="188">
        <v>-9653400</v>
      </c>
      <c r="AL56" s="188">
        <v>0</v>
      </c>
      <c r="AM56" s="188">
        <v>-1572600</v>
      </c>
      <c r="AN56" s="188">
        <v>0</v>
      </c>
      <c r="AO56" s="188">
        <v>-869760</v>
      </c>
      <c r="AP56" s="188">
        <v>0</v>
      </c>
      <c r="AQ56" s="188">
        <v>0</v>
      </c>
      <c r="AR56" s="188">
        <v>0</v>
      </c>
      <c r="AS56" s="188">
        <v>0</v>
      </c>
      <c r="AT56" s="188">
        <v>0</v>
      </c>
      <c r="AU56" s="188">
        <v>285400</v>
      </c>
      <c r="AV56" s="188">
        <v>0</v>
      </c>
      <c r="AW56" s="188">
        <v>0</v>
      </c>
      <c r="AX56" s="188">
        <v>0</v>
      </c>
      <c r="AY56" s="188">
        <v>0</v>
      </c>
      <c r="AZ56" s="188">
        <v>0</v>
      </c>
      <c r="BA56" s="188">
        <v>0</v>
      </c>
      <c r="BB56" s="188">
        <v>0</v>
      </c>
      <c r="BC56" s="188">
        <v>0</v>
      </c>
      <c r="BD56" s="188">
        <v>0</v>
      </c>
      <c r="BE56" s="188">
        <v>0</v>
      </c>
      <c r="BF56" s="188">
        <v>0</v>
      </c>
      <c r="BG56" s="188">
        <v>0</v>
      </c>
      <c r="BH56" s="188">
        <v>0</v>
      </c>
      <c r="BI56" s="188">
        <v>0</v>
      </c>
    </row>
    <row r="57" spans="1:61"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row>
    <row r="58" spans="1:61"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row>
    <row r="59" spans="1:61" x14ac:dyDescent="0.25">
      <c r="A59" s="188" t="s">
        <v>197</v>
      </c>
      <c r="B59" s="188">
        <v>0</v>
      </c>
      <c r="C59" s="188">
        <v>650139.39</v>
      </c>
      <c r="D59" s="188">
        <v>0</v>
      </c>
      <c r="E59" s="188">
        <v>7216206.29</v>
      </c>
      <c r="F59" s="188">
        <v>0</v>
      </c>
      <c r="G59" s="188">
        <v>1411172.46</v>
      </c>
      <c r="H59" s="188">
        <v>0</v>
      </c>
      <c r="I59" s="188">
        <v>-16020940.960000001</v>
      </c>
      <c r="J59" s="188">
        <v>0</v>
      </c>
      <c r="K59" s="188">
        <v>-7459203.54</v>
      </c>
      <c r="L59" s="188">
        <v>0</v>
      </c>
      <c r="M59" s="188">
        <v>-17816123.719999999</v>
      </c>
      <c r="N59" s="188">
        <v>0</v>
      </c>
      <c r="O59" s="188">
        <v>-7892741.8300000001</v>
      </c>
      <c r="P59" s="188">
        <v>0</v>
      </c>
      <c r="Q59" s="188">
        <v>-12620158.58</v>
      </c>
      <c r="R59" s="188">
        <v>0</v>
      </c>
      <c r="S59" s="188">
        <v>-3609176.03</v>
      </c>
      <c r="T59" s="188">
        <v>0</v>
      </c>
      <c r="U59" s="188">
        <v>-17155614.960000001</v>
      </c>
      <c r="V59" s="188">
        <v>0</v>
      </c>
      <c r="W59" s="188">
        <v>-849316.48</v>
      </c>
      <c r="X59" s="188">
        <v>0</v>
      </c>
      <c r="Y59" s="188">
        <v>566004.62</v>
      </c>
      <c r="Z59" s="188">
        <v>0</v>
      </c>
      <c r="AA59" s="188">
        <v>-6805781.71</v>
      </c>
      <c r="AB59" s="188">
        <v>0</v>
      </c>
      <c r="AC59" s="188">
        <v>30225047.309999999</v>
      </c>
      <c r="AD59" s="188">
        <v>0</v>
      </c>
      <c r="AE59" s="188">
        <v>12494300.15</v>
      </c>
      <c r="AF59" s="188">
        <v>0</v>
      </c>
      <c r="AG59" s="188">
        <v>16478973.460000001</v>
      </c>
      <c r="AH59" s="188">
        <v>0</v>
      </c>
      <c r="AI59" s="188">
        <v>3538359.81</v>
      </c>
      <c r="AJ59" s="188">
        <v>0</v>
      </c>
      <c r="AK59" s="188">
        <v>1663292.15</v>
      </c>
      <c r="AL59" s="188">
        <v>0</v>
      </c>
      <c r="AM59" s="188">
        <v>1473323.15</v>
      </c>
      <c r="AN59" s="188">
        <v>0</v>
      </c>
      <c r="AO59" s="188">
        <v>9753294.7300000004</v>
      </c>
      <c r="AP59" s="188">
        <v>0</v>
      </c>
      <c r="AQ59" s="188">
        <v>-10909028.6</v>
      </c>
      <c r="AR59" s="188">
        <v>0</v>
      </c>
      <c r="AS59" s="188">
        <v>21898999.379999999</v>
      </c>
      <c r="AT59" s="188">
        <v>0</v>
      </c>
      <c r="AU59" s="188">
        <v>11075425.08</v>
      </c>
      <c r="AV59" s="188">
        <v>0</v>
      </c>
      <c r="AW59" s="188">
        <v>22976837.440000001</v>
      </c>
      <c r="AX59" s="188">
        <v>12299958.98</v>
      </c>
      <c r="AY59" s="188">
        <v>6777322.54</v>
      </c>
      <c r="AZ59" s="188">
        <v>2451688.3199999998</v>
      </c>
      <c r="BA59" s="188">
        <v>20496820.129999999</v>
      </c>
      <c r="BB59" s="188">
        <v>11955120.32</v>
      </c>
      <c r="BC59" s="188">
        <v>7251257.96</v>
      </c>
      <c r="BD59" s="188">
        <v>4481182.01</v>
      </c>
      <c r="BE59" s="188">
        <v>18830884.52</v>
      </c>
      <c r="BF59" s="188">
        <v>11512572.369999999</v>
      </c>
      <c r="BG59" s="188">
        <v>8518937.3900000006</v>
      </c>
      <c r="BH59" s="188">
        <v>11283572.449999999</v>
      </c>
      <c r="BI59" s="188">
        <v>0</v>
      </c>
    </row>
    <row r="60" spans="1:61" x14ac:dyDescent="0.25">
      <c r="A60" s="188" t="s">
        <v>273</v>
      </c>
      <c r="B60" s="188">
        <v>0</v>
      </c>
      <c r="C60" s="188">
        <v>-46609764.130000003</v>
      </c>
      <c r="D60" s="188">
        <v>0</v>
      </c>
      <c r="E60" s="188">
        <v>-63272719.030000001</v>
      </c>
      <c r="F60" s="188">
        <v>0</v>
      </c>
      <c r="G60" s="188">
        <v>-24695608.300000001</v>
      </c>
      <c r="H60" s="188">
        <v>0</v>
      </c>
      <c r="I60" s="188">
        <v>-61079922.280000001</v>
      </c>
      <c r="J60" s="188">
        <v>0</v>
      </c>
      <c r="K60" s="188">
        <v>-53398678.799999997</v>
      </c>
      <c r="L60" s="188">
        <v>0</v>
      </c>
      <c r="M60" s="188">
        <v>-38513234.189999998</v>
      </c>
      <c r="N60" s="188">
        <v>0</v>
      </c>
      <c r="O60" s="188">
        <v>-27358833.379999999</v>
      </c>
      <c r="P60" s="188">
        <v>0</v>
      </c>
      <c r="Q60" s="188">
        <v>-26278044.440000001</v>
      </c>
      <c r="R60" s="188">
        <v>0</v>
      </c>
      <c r="S60" s="188">
        <v>-18142407.359999999</v>
      </c>
      <c r="T60" s="188">
        <v>0</v>
      </c>
      <c r="U60" s="188">
        <v>-7951619.3200000003</v>
      </c>
      <c r="V60" s="188">
        <v>0</v>
      </c>
      <c r="W60" s="188">
        <v>-2796653.81</v>
      </c>
      <c r="X60" s="188">
        <v>0</v>
      </c>
      <c r="Y60" s="188">
        <v>-1765518.66</v>
      </c>
      <c r="Z60" s="188">
        <v>0</v>
      </c>
      <c r="AA60" s="188">
        <v>107635.99</v>
      </c>
      <c r="AB60" s="188">
        <v>0</v>
      </c>
      <c r="AC60" s="188">
        <v>-20294802.800000001</v>
      </c>
      <c r="AD60" s="188">
        <v>0</v>
      </c>
      <c r="AE60" s="188">
        <v>-4582135</v>
      </c>
      <c r="AF60" s="188">
        <v>0</v>
      </c>
      <c r="AG60" s="188">
        <v>-10349189.859999999</v>
      </c>
      <c r="AH60" s="188">
        <v>0</v>
      </c>
      <c r="AI60" s="188">
        <v>-6723389.8600000003</v>
      </c>
      <c r="AJ60" s="188">
        <v>0</v>
      </c>
      <c r="AK60" s="188">
        <v>-13165400.689999999</v>
      </c>
      <c r="AL60" s="188">
        <v>0</v>
      </c>
      <c r="AM60" s="188">
        <v>-3324053.11</v>
      </c>
      <c r="AN60" s="188">
        <v>0</v>
      </c>
      <c r="AO60" s="188">
        <v>-25312439.300000001</v>
      </c>
      <c r="AP60" s="188">
        <v>0</v>
      </c>
      <c r="AQ60" s="188">
        <v>-1674895</v>
      </c>
      <c r="AR60" s="188">
        <v>0</v>
      </c>
      <c r="AS60" s="188">
        <v>-2289168.83</v>
      </c>
      <c r="AT60" s="188">
        <v>0</v>
      </c>
      <c r="AU60" s="188">
        <v>-205985</v>
      </c>
      <c r="AV60" s="188">
        <v>0</v>
      </c>
      <c r="AW60" s="188">
        <v>321210.34999999998</v>
      </c>
      <c r="AX60" s="188">
        <v>1311379.6399999999</v>
      </c>
      <c r="AY60" s="188">
        <v>-806913.41</v>
      </c>
      <c r="AZ60" s="188">
        <v>-517525.97</v>
      </c>
      <c r="BA60" s="188">
        <v>2767326.41</v>
      </c>
      <c r="BB60" s="188">
        <v>2023577.13</v>
      </c>
      <c r="BC60" s="188">
        <v>1410141.42</v>
      </c>
      <c r="BD60" s="188">
        <v>1074525.71</v>
      </c>
      <c r="BE60" s="188">
        <v>-5498647.1600000001</v>
      </c>
      <c r="BF60" s="188">
        <v>-4827027.87</v>
      </c>
      <c r="BG60" s="188">
        <v>-4855118.58</v>
      </c>
      <c r="BH60" s="188">
        <v>-4065046.34</v>
      </c>
      <c r="BI60" s="188">
        <v>0</v>
      </c>
    </row>
    <row r="61" spans="1:61" x14ac:dyDescent="0.25">
      <c r="A61" s="188" t="s">
        <v>274</v>
      </c>
      <c r="B61" s="188">
        <v>0</v>
      </c>
      <c r="C61" s="188">
        <v>-65180062.25</v>
      </c>
      <c r="D61" s="188">
        <v>0</v>
      </c>
      <c r="E61" s="188">
        <v>-44540064.920000002</v>
      </c>
      <c r="F61" s="188">
        <v>0</v>
      </c>
      <c r="G61" s="188">
        <v>-67348676.400000006</v>
      </c>
      <c r="H61" s="188">
        <v>0</v>
      </c>
      <c r="I61" s="188">
        <v>-21283937.440000001</v>
      </c>
      <c r="J61" s="188">
        <v>0</v>
      </c>
      <c r="K61" s="188">
        <v>-33393184.739999998</v>
      </c>
      <c r="L61" s="188">
        <v>0</v>
      </c>
      <c r="M61" s="188">
        <v>-14189368.65</v>
      </c>
      <c r="N61" s="188">
        <v>0</v>
      </c>
      <c r="O61" s="188">
        <v>-68026142.719999999</v>
      </c>
      <c r="P61" s="188">
        <v>0</v>
      </c>
      <c r="Q61" s="188">
        <v>-44002157.329999998</v>
      </c>
      <c r="R61" s="188">
        <v>0</v>
      </c>
      <c r="S61" s="188">
        <v>-25954827.219999999</v>
      </c>
      <c r="T61" s="188">
        <v>0</v>
      </c>
      <c r="U61" s="188">
        <v>-27790915.66</v>
      </c>
      <c r="V61" s="188">
        <v>0</v>
      </c>
      <c r="W61" s="188">
        <v>-15216671</v>
      </c>
      <c r="X61" s="188">
        <v>0</v>
      </c>
      <c r="Y61" s="188">
        <v>-8297360.9299999997</v>
      </c>
      <c r="Z61" s="188">
        <v>0</v>
      </c>
      <c r="AA61" s="188">
        <v>-12568224.24</v>
      </c>
      <c r="AB61" s="188">
        <v>0</v>
      </c>
      <c r="AC61" s="188">
        <v>-4889590.2300000004</v>
      </c>
      <c r="AD61" s="188">
        <v>0</v>
      </c>
      <c r="AE61" s="188">
        <v>-19201340.629999999</v>
      </c>
      <c r="AF61" s="188">
        <v>0</v>
      </c>
      <c r="AG61" s="188">
        <v>3952656.46</v>
      </c>
      <c r="AH61" s="188">
        <v>0</v>
      </c>
      <c r="AI61" s="188">
        <v>-16622340.52</v>
      </c>
      <c r="AJ61" s="188">
        <v>0</v>
      </c>
      <c r="AK61" s="188">
        <v>-19226847.43</v>
      </c>
      <c r="AL61" s="188">
        <v>0</v>
      </c>
      <c r="AM61" s="188">
        <v>-1817382.52</v>
      </c>
      <c r="AN61" s="188">
        <v>0</v>
      </c>
      <c r="AO61" s="188">
        <v>5724825.2999999998</v>
      </c>
      <c r="AP61" s="188">
        <v>0</v>
      </c>
      <c r="AQ61" s="188">
        <v>-1231319.29</v>
      </c>
      <c r="AR61" s="188">
        <v>0</v>
      </c>
      <c r="AS61" s="188">
        <v>-4287362.26</v>
      </c>
      <c r="AT61" s="188">
        <v>0</v>
      </c>
      <c r="AU61" s="188">
        <v>1573668.18</v>
      </c>
      <c r="AV61" s="188">
        <v>0</v>
      </c>
      <c r="AW61" s="188">
        <v>0</v>
      </c>
      <c r="AX61" s="188">
        <v>0</v>
      </c>
      <c r="AY61" s="188">
        <v>0</v>
      </c>
      <c r="AZ61" s="188">
        <v>0</v>
      </c>
      <c r="BA61" s="188">
        <v>0</v>
      </c>
      <c r="BB61" s="188">
        <v>0</v>
      </c>
      <c r="BC61" s="188">
        <v>0</v>
      </c>
      <c r="BD61" s="188">
        <v>0</v>
      </c>
      <c r="BE61" s="188">
        <v>0</v>
      </c>
      <c r="BF61" s="188">
        <v>0</v>
      </c>
      <c r="BG61" s="188">
        <v>0</v>
      </c>
      <c r="BH61" s="188">
        <v>0</v>
      </c>
      <c r="BI61" s="188">
        <v>0</v>
      </c>
    </row>
    <row r="62" spans="1:61" x14ac:dyDescent="0.25">
      <c r="A62" s="188" t="s">
        <v>275</v>
      </c>
      <c r="B62" s="188">
        <v>0</v>
      </c>
      <c r="C62" s="188">
        <v>0</v>
      </c>
      <c r="D62" s="188">
        <v>0</v>
      </c>
      <c r="E62" s="188">
        <v>-2348954.75</v>
      </c>
      <c r="F62" s="188">
        <v>0</v>
      </c>
      <c r="G62" s="188">
        <v>663173.31999999995</v>
      </c>
      <c r="H62" s="188">
        <v>0</v>
      </c>
      <c r="I62" s="188">
        <v>5173312.63</v>
      </c>
      <c r="J62" s="188">
        <v>0</v>
      </c>
      <c r="K62" s="188">
        <v>2934882.98</v>
      </c>
      <c r="L62" s="188">
        <v>0</v>
      </c>
      <c r="M62" s="188">
        <v>498693.56</v>
      </c>
      <c r="N62" s="188">
        <v>0</v>
      </c>
      <c r="O62" s="188">
        <v>3605205.53</v>
      </c>
      <c r="P62" s="188">
        <v>0</v>
      </c>
      <c r="Q62" s="188">
        <v>340636.56</v>
      </c>
      <c r="R62" s="188">
        <v>0</v>
      </c>
      <c r="S62" s="188">
        <v>-242.3</v>
      </c>
      <c r="T62" s="188">
        <v>0</v>
      </c>
      <c r="U62" s="188">
        <v>264866.19</v>
      </c>
      <c r="V62" s="188">
        <v>0</v>
      </c>
      <c r="W62" s="188">
        <v>385879.65</v>
      </c>
      <c r="X62" s="188">
        <v>0</v>
      </c>
      <c r="Y62" s="188">
        <v>424059.68</v>
      </c>
      <c r="Z62" s="188">
        <v>0</v>
      </c>
      <c r="AA62" s="188">
        <v>131519.43</v>
      </c>
      <c r="AB62" s="188">
        <v>0</v>
      </c>
      <c r="AC62" s="188">
        <v>-416545.85</v>
      </c>
      <c r="AD62" s="188">
        <v>0</v>
      </c>
      <c r="AE62" s="188">
        <v>-854353.05</v>
      </c>
      <c r="AF62" s="188">
        <v>0</v>
      </c>
      <c r="AG62" s="188">
        <v>-1404213.02</v>
      </c>
      <c r="AH62" s="188">
        <v>0</v>
      </c>
      <c r="AI62" s="188">
        <v>-1534861.71</v>
      </c>
      <c r="AJ62" s="188">
        <v>0</v>
      </c>
      <c r="AK62" s="188">
        <v>716394</v>
      </c>
      <c r="AL62" s="188">
        <v>0</v>
      </c>
      <c r="AM62" s="188">
        <v>-107600.7</v>
      </c>
      <c r="AN62" s="188">
        <v>0</v>
      </c>
      <c r="AO62" s="188">
        <v>1236501</v>
      </c>
      <c r="AP62" s="188">
        <v>0</v>
      </c>
      <c r="AQ62" s="188">
        <v>0</v>
      </c>
      <c r="AR62" s="188">
        <v>0</v>
      </c>
      <c r="AS62" s="188">
        <v>0</v>
      </c>
      <c r="AT62" s="188">
        <v>0</v>
      </c>
      <c r="AU62" s="188">
        <v>4971725.08</v>
      </c>
      <c r="AV62" s="188">
        <v>0</v>
      </c>
      <c r="AW62" s="188">
        <v>0</v>
      </c>
      <c r="AX62" s="188">
        <v>0</v>
      </c>
      <c r="AY62" s="188">
        <v>0</v>
      </c>
      <c r="AZ62" s="188">
        <v>0</v>
      </c>
      <c r="BA62" s="188">
        <v>0</v>
      </c>
      <c r="BB62" s="188">
        <v>0</v>
      </c>
      <c r="BC62" s="188">
        <v>0</v>
      </c>
      <c r="BD62" s="188">
        <v>0</v>
      </c>
      <c r="BE62" s="188">
        <v>0</v>
      </c>
      <c r="BF62" s="188">
        <v>0</v>
      </c>
      <c r="BG62" s="188">
        <v>0</v>
      </c>
      <c r="BH62" s="188">
        <v>0</v>
      </c>
      <c r="BI62" s="188">
        <v>0</v>
      </c>
    </row>
    <row r="63" spans="1:61" x14ac:dyDescent="0.25">
      <c r="A63" s="188" t="s">
        <v>276</v>
      </c>
      <c r="B63" s="188">
        <v>0</v>
      </c>
      <c r="C63" s="188">
        <v>289448176.25</v>
      </c>
      <c r="D63" s="188">
        <v>0</v>
      </c>
      <c r="E63" s="188">
        <v>-481515258.88999999</v>
      </c>
      <c r="F63" s="188">
        <v>0</v>
      </c>
      <c r="G63" s="188">
        <v>405844444.98000002</v>
      </c>
      <c r="H63" s="188">
        <v>0</v>
      </c>
      <c r="I63" s="188">
        <v>-304658904.94</v>
      </c>
      <c r="J63" s="188">
        <v>0</v>
      </c>
      <c r="K63" s="188">
        <v>381745258.06999999</v>
      </c>
      <c r="L63" s="188">
        <v>0</v>
      </c>
      <c r="M63" s="188">
        <v>89493393.930000007</v>
      </c>
      <c r="N63" s="188">
        <v>0</v>
      </c>
      <c r="O63" s="188">
        <v>463138339.63</v>
      </c>
      <c r="P63" s="188">
        <v>0</v>
      </c>
      <c r="Q63" s="188">
        <v>-277763094.35000002</v>
      </c>
      <c r="R63" s="188">
        <v>0</v>
      </c>
      <c r="S63" s="188">
        <v>393343254.10000002</v>
      </c>
      <c r="T63" s="188">
        <v>0</v>
      </c>
      <c r="U63" s="188">
        <v>-296399001.70999998</v>
      </c>
      <c r="V63" s="188">
        <v>0</v>
      </c>
      <c r="W63" s="188">
        <v>201981175.28</v>
      </c>
      <c r="X63" s="188">
        <v>0</v>
      </c>
      <c r="Y63" s="188">
        <v>-67945161.280000001</v>
      </c>
      <c r="Z63" s="188">
        <v>0</v>
      </c>
      <c r="AA63" s="188">
        <v>288276650.44999999</v>
      </c>
      <c r="AB63" s="188">
        <v>0</v>
      </c>
      <c r="AC63" s="188">
        <v>8850646.5299999993</v>
      </c>
      <c r="AD63" s="188">
        <v>0</v>
      </c>
      <c r="AE63" s="188">
        <v>94187293.310000002</v>
      </c>
      <c r="AF63" s="188">
        <v>0</v>
      </c>
      <c r="AG63" s="188">
        <v>-470729796.79000002</v>
      </c>
      <c r="AH63" s="188">
        <v>0</v>
      </c>
      <c r="AI63" s="188">
        <v>-135752220.47999999</v>
      </c>
      <c r="AJ63" s="188">
        <v>0</v>
      </c>
      <c r="AK63" s="188">
        <v>-210936859.66</v>
      </c>
      <c r="AL63" s="188">
        <v>0</v>
      </c>
      <c r="AM63" s="188">
        <v>32288756.309999999</v>
      </c>
      <c r="AN63" s="188">
        <v>0</v>
      </c>
      <c r="AO63" s="188">
        <v>19922996.670000002</v>
      </c>
      <c r="AP63" s="188">
        <v>0</v>
      </c>
      <c r="AQ63" s="188">
        <v>-23069400.739999998</v>
      </c>
      <c r="AR63" s="188">
        <v>0</v>
      </c>
      <c r="AS63" s="188">
        <v>-52942027.280000001</v>
      </c>
      <c r="AT63" s="188">
        <v>0</v>
      </c>
      <c r="AU63" s="188">
        <v>-694626.13</v>
      </c>
      <c r="AV63" s="188">
        <v>0</v>
      </c>
      <c r="AW63" s="188">
        <v>-60603354.200000003</v>
      </c>
      <c r="AX63" s="188">
        <v>-188229.54</v>
      </c>
      <c r="AY63" s="188">
        <v>17963427.52</v>
      </c>
      <c r="AZ63" s="188">
        <v>-17691795.399999999</v>
      </c>
      <c r="BA63" s="188">
        <v>-72877864.629999995</v>
      </c>
      <c r="BB63" s="188">
        <v>-36893446.329999998</v>
      </c>
      <c r="BC63" s="188">
        <v>-44803042.759999998</v>
      </c>
      <c r="BD63" s="188">
        <v>-30246921.210000001</v>
      </c>
      <c r="BE63" s="188">
        <v>-76021208.540000007</v>
      </c>
      <c r="BF63" s="188">
        <v>-36957818.539999999</v>
      </c>
      <c r="BG63" s="188">
        <v>-45556694.18</v>
      </c>
      <c r="BH63" s="188">
        <v>-14873964.85</v>
      </c>
      <c r="BI63" s="188">
        <v>0</v>
      </c>
    </row>
    <row r="64" spans="1:61" x14ac:dyDescent="0.25">
      <c r="A64" s="188" t="s">
        <v>277</v>
      </c>
      <c r="B64" s="188">
        <v>0</v>
      </c>
      <c r="C64" s="188">
        <v>-5145728.8499999996</v>
      </c>
      <c r="D64" s="188">
        <v>0</v>
      </c>
      <c r="E64" s="188">
        <v>-248950086.91999999</v>
      </c>
      <c r="F64" s="188">
        <v>0</v>
      </c>
      <c r="G64" s="188">
        <v>119072032.92</v>
      </c>
      <c r="H64" s="188">
        <v>0</v>
      </c>
      <c r="I64" s="188">
        <v>-452524998.08999997</v>
      </c>
      <c r="J64" s="188">
        <v>0</v>
      </c>
      <c r="K64" s="188">
        <v>-614622255.58000004</v>
      </c>
      <c r="L64" s="188">
        <v>0</v>
      </c>
      <c r="M64" s="188">
        <v>-92999027.090000004</v>
      </c>
      <c r="N64" s="188">
        <v>0</v>
      </c>
      <c r="O64" s="188">
        <v>-524743471.55000001</v>
      </c>
      <c r="P64" s="188">
        <v>0</v>
      </c>
      <c r="Q64" s="188">
        <v>-85137119.620000005</v>
      </c>
      <c r="R64" s="188">
        <v>0</v>
      </c>
      <c r="S64" s="188">
        <v>-200313549.59</v>
      </c>
      <c r="T64" s="188">
        <v>0</v>
      </c>
      <c r="U64" s="188">
        <v>-214161578.38</v>
      </c>
      <c r="V64" s="188">
        <v>0</v>
      </c>
      <c r="W64" s="188">
        <v>-42777028.479999997</v>
      </c>
      <c r="X64" s="188">
        <v>0</v>
      </c>
      <c r="Y64" s="188">
        <v>50910322.329999998</v>
      </c>
      <c r="Z64" s="188">
        <v>0</v>
      </c>
      <c r="AA64" s="188">
        <v>138032406</v>
      </c>
      <c r="AB64" s="188">
        <v>0</v>
      </c>
      <c r="AC64" s="188">
        <v>-564458006.26999998</v>
      </c>
      <c r="AD64" s="188">
        <v>0</v>
      </c>
      <c r="AE64" s="188">
        <v>-369652814.37</v>
      </c>
      <c r="AF64" s="188">
        <v>0</v>
      </c>
      <c r="AG64" s="188">
        <v>-226502216.78999999</v>
      </c>
      <c r="AH64" s="188">
        <v>0</v>
      </c>
      <c r="AI64" s="188">
        <v>-159764804.22999999</v>
      </c>
      <c r="AJ64" s="188">
        <v>0</v>
      </c>
      <c r="AK64" s="188">
        <v>-319736730.89999998</v>
      </c>
      <c r="AL64" s="188">
        <v>0</v>
      </c>
      <c r="AM64" s="188">
        <v>-28712013.140000001</v>
      </c>
      <c r="AN64" s="188">
        <v>0</v>
      </c>
      <c r="AO64" s="188">
        <v>-157954034.34</v>
      </c>
      <c r="AP64" s="188">
        <v>0</v>
      </c>
      <c r="AQ64" s="188">
        <v>-221835432.53</v>
      </c>
      <c r="AR64" s="188">
        <v>0</v>
      </c>
      <c r="AS64" s="188">
        <v>-186142757.31</v>
      </c>
      <c r="AT64" s="188">
        <v>0</v>
      </c>
      <c r="AU64" s="188">
        <v>-231191080.44999999</v>
      </c>
      <c r="AV64" s="188">
        <v>0</v>
      </c>
      <c r="AW64" s="188">
        <v>20744420.809999999</v>
      </c>
      <c r="AX64" s="188">
        <v>-302482601.72000003</v>
      </c>
      <c r="AY64" s="188">
        <v>-263354937.62</v>
      </c>
      <c r="AZ64" s="188">
        <v>-182588728.38</v>
      </c>
      <c r="BA64" s="188">
        <v>-79726316.769999996</v>
      </c>
      <c r="BB64" s="188">
        <v>-263598966.96000001</v>
      </c>
      <c r="BC64" s="188">
        <v>-203732951.16</v>
      </c>
      <c r="BD64" s="188">
        <v>-90922807.840000004</v>
      </c>
      <c r="BE64" s="188">
        <v>3404909.39</v>
      </c>
      <c r="BF64" s="188">
        <v>-169546740.24000001</v>
      </c>
      <c r="BG64" s="188">
        <v>-93080267.920000002</v>
      </c>
      <c r="BH64" s="188">
        <v>-95285678.060000002</v>
      </c>
      <c r="BI64" s="188">
        <v>0</v>
      </c>
    </row>
    <row r="65" spans="1:61" x14ac:dyDescent="0.25">
      <c r="A65" s="188" t="s">
        <v>278</v>
      </c>
      <c r="B65" s="188">
        <v>0</v>
      </c>
      <c r="C65" s="188">
        <v>-598274537.66999996</v>
      </c>
      <c r="D65" s="188">
        <v>0</v>
      </c>
      <c r="E65" s="188">
        <v>635541345.00999999</v>
      </c>
      <c r="F65" s="188">
        <v>0</v>
      </c>
      <c r="G65" s="188">
        <v>-523935303.35000002</v>
      </c>
      <c r="H65" s="188">
        <v>0</v>
      </c>
      <c r="I65" s="188">
        <v>927427344.10000002</v>
      </c>
      <c r="J65" s="188">
        <v>0</v>
      </c>
      <c r="K65" s="188">
        <v>-64533089.140000001</v>
      </c>
      <c r="L65" s="188">
        <v>0</v>
      </c>
      <c r="M65" s="188">
        <v>34504792.93</v>
      </c>
      <c r="N65" s="188">
        <v>0</v>
      </c>
      <c r="O65" s="188">
        <v>-245056406.18000001</v>
      </c>
      <c r="P65" s="188">
        <v>0</v>
      </c>
      <c r="Q65" s="188">
        <v>350526191.63999999</v>
      </c>
      <c r="R65" s="188">
        <v>0</v>
      </c>
      <c r="S65" s="188">
        <v>-229684717.38999999</v>
      </c>
      <c r="T65" s="188">
        <v>0</v>
      </c>
      <c r="U65" s="188">
        <v>446820237.58999997</v>
      </c>
      <c r="V65" s="188">
        <v>0</v>
      </c>
      <c r="W65" s="188">
        <v>-162748779.87</v>
      </c>
      <c r="X65" s="188">
        <v>0</v>
      </c>
      <c r="Y65" s="188">
        <v>275851864.68000001</v>
      </c>
      <c r="Z65" s="188">
        <v>0</v>
      </c>
      <c r="AA65" s="188">
        <v>-333782920.49000001</v>
      </c>
      <c r="AB65" s="188">
        <v>0</v>
      </c>
      <c r="AC65" s="188">
        <v>127854470.34999999</v>
      </c>
      <c r="AD65" s="188">
        <v>0</v>
      </c>
      <c r="AE65" s="188">
        <v>53370633.049999997</v>
      </c>
      <c r="AF65" s="188">
        <v>0</v>
      </c>
      <c r="AG65" s="188">
        <v>287145115.07999998</v>
      </c>
      <c r="AH65" s="188">
        <v>0</v>
      </c>
      <c r="AI65" s="188">
        <v>-56585747.359999999</v>
      </c>
      <c r="AJ65" s="188">
        <v>0</v>
      </c>
      <c r="AK65" s="188">
        <v>442211526.48000002</v>
      </c>
      <c r="AL65" s="188">
        <v>0</v>
      </c>
      <c r="AM65" s="188">
        <v>44240093.560000002</v>
      </c>
      <c r="AN65" s="188">
        <v>0</v>
      </c>
      <c r="AO65" s="188">
        <v>-89066582.590000004</v>
      </c>
      <c r="AP65" s="188">
        <v>0</v>
      </c>
      <c r="AQ65" s="188">
        <v>-42299679.090000004</v>
      </c>
      <c r="AR65" s="188">
        <v>0</v>
      </c>
      <c r="AS65" s="188">
        <v>134213787.45999999</v>
      </c>
      <c r="AT65" s="188">
        <v>0</v>
      </c>
      <c r="AU65" s="188">
        <v>4025926.04</v>
      </c>
      <c r="AV65" s="188">
        <v>0</v>
      </c>
      <c r="AW65" s="188">
        <v>81733165.549999997</v>
      </c>
      <c r="AX65" s="188">
        <v>150894319.93000001</v>
      </c>
      <c r="AY65" s="188">
        <v>80485444.920000002</v>
      </c>
      <c r="AZ65" s="188">
        <v>48945322.850000001</v>
      </c>
      <c r="BA65" s="188">
        <v>123922226.93000001</v>
      </c>
      <c r="BB65" s="188">
        <v>112846350.5</v>
      </c>
      <c r="BC65" s="188">
        <v>91823049.890000001</v>
      </c>
      <c r="BD65" s="188">
        <v>33614691.770000003</v>
      </c>
      <c r="BE65" s="188">
        <v>74210823.819999993</v>
      </c>
      <c r="BF65" s="188">
        <v>149671594.21000001</v>
      </c>
      <c r="BG65" s="188">
        <v>97787491.230000004</v>
      </c>
      <c r="BH65" s="188">
        <v>52137804.369999997</v>
      </c>
      <c r="BI65" s="188">
        <v>0</v>
      </c>
    </row>
    <row r="66" spans="1:61"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row>
    <row r="67" spans="1:61"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row>
    <row r="68" spans="1:61" x14ac:dyDescent="0.25">
      <c r="A68" s="188" t="s">
        <v>281</v>
      </c>
      <c r="B68" s="188">
        <v>0</v>
      </c>
      <c r="C68" s="188">
        <v>0</v>
      </c>
      <c r="D68" s="188">
        <v>0</v>
      </c>
      <c r="E68" s="188">
        <v>-176596000.27000001</v>
      </c>
      <c r="F68" s="188">
        <v>0</v>
      </c>
      <c r="G68" s="188">
        <v>0</v>
      </c>
      <c r="H68" s="188">
        <v>0</v>
      </c>
      <c r="I68" s="188">
        <v>7240737</v>
      </c>
      <c r="J68" s="188">
        <v>0</v>
      </c>
      <c r="K68" s="188">
        <v>0</v>
      </c>
      <c r="L68" s="188">
        <v>0</v>
      </c>
      <c r="M68" s="188">
        <v>12694917.32</v>
      </c>
      <c r="N68" s="188">
        <v>0</v>
      </c>
      <c r="O68" s="188">
        <v>0</v>
      </c>
      <c r="P68" s="188">
        <v>0</v>
      </c>
      <c r="Q68" s="188">
        <v>16417873.02</v>
      </c>
      <c r="R68" s="188">
        <v>0</v>
      </c>
      <c r="S68" s="188">
        <v>0</v>
      </c>
      <c r="T68" s="188">
        <v>0</v>
      </c>
      <c r="U68" s="188">
        <v>-89016367.879999995</v>
      </c>
      <c r="V68" s="188">
        <v>0</v>
      </c>
      <c r="W68" s="188">
        <v>0</v>
      </c>
      <c r="X68" s="188">
        <v>0</v>
      </c>
      <c r="Y68" s="188">
        <v>-30871861.699999999</v>
      </c>
      <c r="Z68" s="188">
        <v>0</v>
      </c>
      <c r="AA68" s="188">
        <v>0</v>
      </c>
      <c r="AB68" s="188">
        <v>0</v>
      </c>
      <c r="AC68" s="188">
        <v>0</v>
      </c>
      <c r="AD68" s="188">
        <v>0</v>
      </c>
      <c r="AE68" s="188">
        <v>0</v>
      </c>
      <c r="AF68" s="188">
        <v>0</v>
      </c>
      <c r="AG68" s="188">
        <v>-8598955.9700000007</v>
      </c>
      <c r="AH68" s="188">
        <v>0</v>
      </c>
      <c r="AI68" s="188">
        <v>0</v>
      </c>
      <c r="AJ68" s="188">
        <v>0</v>
      </c>
      <c r="AK68" s="188">
        <v>560037.04</v>
      </c>
      <c r="AL68" s="188">
        <v>0</v>
      </c>
      <c r="AM68" s="188">
        <v>0</v>
      </c>
      <c r="AN68" s="188">
        <v>0</v>
      </c>
      <c r="AO68" s="188">
        <v>24750720</v>
      </c>
      <c r="AP68" s="188">
        <v>0</v>
      </c>
      <c r="AQ68" s="188">
        <v>12375360</v>
      </c>
      <c r="AR68" s="188">
        <v>0</v>
      </c>
      <c r="AS68" s="188">
        <v>12815420.23</v>
      </c>
      <c r="AT68" s="188">
        <v>0</v>
      </c>
      <c r="AU68" s="188">
        <v>6187680</v>
      </c>
      <c r="AV68" s="188">
        <v>0</v>
      </c>
      <c r="AW68" s="188">
        <v>200000</v>
      </c>
      <c r="AX68" s="188">
        <v>-170000</v>
      </c>
      <c r="AY68" s="188">
        <v>0</v>
      </c>
      <c r="AZ68" s="188">
        <v>0</v>
      </c>
      <c r="BA68" s="188">
        <v>-3000000</v>
      </c>
      <c r="BB68" s="188">
        <v>0</v>
      </c>
      <c r="BC68" s="188">
        <v>0</v>
      </c>
      <c r="BD68" s="188">
        <v>0</v>
      </c>
      <c r="BE68" s="188">
        <v>1000000</v>
      </c>
      <c r="BF68" s="188">
        <v>700</v>
      </c>
      <c r="BG68" s="188">
        <v>0</v>
      </c>
      <c r="BH68" s="188">
        <v>0</v>
      </c>
      <c r="BI68" s="188">
        <v>0</v>
      </c>
    </row>
    <row r="69" spans="1:61" x14ac:dyDescent="0.25">
      <c r="A69" s="188" t="s">
        <v>282</v>
      </c>
      <c r="B69" s="188">
        <v>0</v>
      </c>
      <c r="C69" s="188">
        <v>393330792.12</v>
      </c>
      <c r="D69" s="188">
        <v>0</v>
      </c>
      <c r="E69" s="188">
        <v>1081469057.3900001</v>
      </c>
      <c r="F69" s="188">
        <v>0</v>
      </c>
      <c r="G69" s="188">
        <v>558857207.70000005</v>
      </c>
      <c r="H69" s="188">
        <v>0</v>
      </c>
      <c r="I69" s="188">
        <v>1388990550.6199999</v>
      </c>
      <c r="J69" s="188">
        <v>0</v>
      </c>
      <c r="K69" s="188">
        <v>206636530.62</v>
      </c>
      <c r="L69" s="188">
        <v>0</v>
      </c>
      <c r="M69" s="188">
        <v>1133089710.6700001</v>
      </c>
      <c r="N69" s="188">
        <v>0</v>
      </c>
      <c r="O69" s="188">
        <v>111878359.38</v>
      </c>
      <c r="P69" s="188">
        <v>0</v>
      </c>
      <c r="Q69" s="188">
        <v>833189311.71000004</v>
      </c>
      <c r="R69" s="188">
        <v>0</v>
      </c>
      <c r="S69" s="188">
        <v>329143759.11000001</v>
      </c>
      <c r="T69" s="188">
        <v>0</v>
      </c>
      <c r="U69" s="188">
        <v>587991877.5</v>
      </c>
      <c r="V69" s="188">
        <v>0</v>
      </c>
      <c r="W69" s="188">
        <v>353324461.77999997</v>
      </c>
      <c r="X69" s="188">
        <v>0</v>
      </c>
      <c r="Y69" s="188">
        <v>857330477.76999998</v>
      </c>
      <c r="Z69" s="188">
        <v>0</v>
      </c>
      <c r="AA69" s="188">
        <v>352027676.93000001</v>
      </c>
      <c r="AB69" s="188">
        <v>0</v>
      </c>
      <c r="AC69" s="188">
        <v>219233865.46000001</v>
      </c>
      <c r="AD69" s="188">
        <v>0</v>
      </c>
      <c r="AE69" s="188">
        <v>70083925.299999997</v>
      </c>
      <c r="AF69" s="188">
        <v>0</v>
      </c>
      <c r="AG69" s="188">
        <v>124250348.59999999</v>
      </c>
      <c r="AH69" s="188">
        <v>0</v>
      </c>
      <c r="AI69" s="188">
        <v>-136040605.94999999</v>
      </c>
      <c r="AJ69" s="188">
        <v>0</v>
      </c>
      <c r="AK69" s="188">
        <v>294584239.20999998</v>
      </c>
      <c r="AL69" s="188">
        <v>0</v>
      </c>
      <c r="AM69" s="188">
        <v>220488022.80000001</v>
      </c>
      <c r="AN69" s="188">
        <v>0</v>
      </c>
      <c r="AO69" s="188">
        <v>142166074.19999999</v>
      </c>
      <c r="AP69" s="188">
        <v>0</v>
      </c>
      <c r="AQ69" s="188">
        <v>-125212592.67</v>
      </c>
      <c r="AR69" s="188">
        <v>0</v>
      </c>
      <c r="AS69" s="188">
        <v>166892972.24000001</v>
      </c>
      <c r="AT69" s="188">
        <v>0</v>
      </c>
      <c r="AU69" s="188">
        <v>-87524942.269999996</v>
      </c>
      <c r="AV69" s="188">
        <v>0</v>
      </c>
      <c r="AW69" s="188">
        <v>273662170.22000003</v>
      </c>
      <c r="AX69" s="188">
        <v>-12654065.140000001</v>
      </c>
      <c r="AY69" s="188">
        <v>-65916569.539999999</v>
      </c>
      <c r="AZ69" s="188">
        <v>-103948150.09</v>
      </c>
      <c r="BA69" s="188">
        <v>117032633.45</v>
      </c>
      <c r="BB69" s="188">
        <v>-82189770.620000005</v>
      </c>
      <c r="BC69" s="188">
        <v>-87964482.689999998</v>
      </c>
      <c r="BD69" s="188">
        <v>-49873004.299999997</v>
      </c>
      <c r="BE69" s="188">
        <v>113270859.19</v>
      </c>
      <c r="BF69" s="188">
        <v>11142045.699999999</v>
      </c>
      <c r="BG69" s="188">
        <v>1693313.56</v>
      </c>
      <c r="BH69" s="188">
        <v>46561357.909999996</v>
      </c>
      <c r="BI69" s="188">
        <v>0</v>
      </c>
    </row>
    <row r="70" spans="1:61"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row>
    <row r="71" spans="1:61"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row>
    <row r="72" spans="1:61"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row>
    <row r="73" spans="1:61" x14ac:dyDescent="0.25">
      <c r="A73" s="188" t="s">
        <v>286</v>
      </c>
      <c r="B73" s="188">
        <v>0</v>
      </c>
      <c r="C73" s="188">
        <v>569968081.57000005</v>
      </c>
      <c r="D73" s="188">
        <v>0</v>
      </c>
      <c r="E73" s="188">
        <v>763641360.92999995</v>
      </c>
      <c r="F73" s="188">
        <v>0</v>
      </c>
      <c r="G73" s="188">
        <v>490338270.69</v>
      </c>
      <c r="H73" s="188">
        <v>0</v>
      </c>
      <c r="I73" s="188">
        <v>737563840.71000004</v>
      </c>
      <c r="J73" s="188">
        <v>0</v>
      </c>
      <c r="K73" s="188">
        <v>592185853.80999994</v>
      </c>
      <c r="L73" s="188">
        <v>0</v>
      </c>
      <c r="M73" s="188">
        <v>887822304.51999998</v>
      </c>
      <c r="N73" s="188">
        <v>0</v>
      </c>
      <c r="O73" s="188">
        <v>330707776.66000003</v>
      </c>
      <c r="P73" s="188">
        <v>0</v>
      </c>
      <c r="Q73" s="188">
        <v>416878114.31</v>
      </c>
      <c r="R73" s="188">
        <v>0</v>
      </c>
      <c r="S73" s="188">
        <v>964212743.33000004</v>
      </c>
      <c r="T73" s="188">
        <v>0</v>
      </c>
      <c r="U73" s="188">
        <v>390261119.33999997</v>
      </c>
      <c r="V73" s="188">
        <v>0</v>
      </c>
      <c r="W73" s="188">
        <v>980482602.85000002</v>
      </c>
      <c r="X73" s="188">
        <v>0</v>
      </c>
      <c r="Y73" s="188">
        <v>339808943.92000002</v>
      </c>
      <c r="Z73" s="188">
        <v>0</v>
      </c>
      <c r="AA73" s="188">
        <v>651548993.29999995</v>
      </c>
      <c r="AB73" s="188">
        <v>0</v>
      </c>
      <c r="AC73" s="188">
        <v>573337651.10000002</v>
      </c>
      <c r="AD73" s="188">
        <v>0</v>
      </c>
      <c r="AE73" s="188">
        <v>544414180.04999995</v>
      </c>
      <c r="AF73" s="188">
        <v>754714270.61000001</v>
      </c>
      <c r="AG73" s="188">
        <v>729736431.27999997</v>
      </c>
      <c r="AH73" s="188">
        <v>775568597.95000005</v>
      </c>
      <c r="AI73" s="188">
        <v>648133429.65999997</v>
      </c>
      <c r="AJ73" s="188">
        <v>842520517.24000001</v>
      </c>
      <c r="AK73" s="188">
        <v>917118974</v>
      </c>
      <c r="AL73" s="188">
        <v>983875772.00999999</v>
      </c>
      <c r="AM73" s="188">
        <v>955516559.46000004</v>
      </c>
      <c r="AN73" s="188">
        <v>991849514.64999998</v>
      </c>
      <c r="AO73" s="188">
        <v>878163947.85000002</v>
      </c>
      <c r="AP73" s="188">
        <v>718818464.83000004</v>
      </c>
      <c r="AQ73" s="188">
        <v>674921384.38999999</v>
      </c>
      <c r="AR73" s="188">
        <v>682557965.45000005</v>
      </c>
      <c r="AS73" s="188">
        <v>792955770.86000001</v>
      </c>
      <c r="AT73" s="188">
        <v>847881474.48000002</v>
      </c>
      <c r="AU73" s="188">
        <v>221844965.03</v>
      </c>
      <c r="AV73" s="188">
        <v>316140673.36000001</v>
      </c>
      <c r="AW73" s="188">
        <v>372912485.27999997</v>
      </c>
      <c r="AX73" s="188">
        <v>163017593.27000001</v>
      </c>
      <c r="AY73" s="188">
        <v>235900683.24000001</v>
      </c>
      <c r="AZ73" s="188">
        <v>212657556.75999999</v>
      </c>
      <c r="BA73" s="188">
        <v>269118657.66000003</v>
      </c>
      <c r="BB73" s="188">
        <v>212228702.91999999</v>
      </c>
      <c r="BC73" s="188">
        <v>295419245.86000001</v>
      </c>
      <c r="BD73" s="188">
        <v>319772549.12</v>
      </c>
      <c r="BE73" s="188">
        <v>476895712.43000001</v>
      </c>
      <c r="BF73" s="188">
        <v>484855373.61000001</v>
      </c>
      <c r="BG73" s="188">
        <v>42751768.759999998</v>
      </c>
      <c r="BH73" s="188">
        <v>9557726.1500000004</v>
      </c>
      <c r="BI73" s="188">
        <v>0</v>
      </c>
    </row>
    <row r="74" spans="1:61" x14ac:dyDescent="0.25">
      <c r="A74" s="188" t="s">
        <v>287</v>
      </c>
      <c r="B74" s="188">
        <v>0</v>
      </c>
      <c r="C74" s="188">
        <v>853579891.21000004</v>
      </c>
      <c r="D74" s="188">
        <v>0</v>
      </c>
      <c r="E74" s="188">
        <v>741144152.55999994</v>
      </c>
      <c r="F74" s="188">
        <v>0</v>
      </c>
      <c r="G74" s="188">
        <v>741144152.55999994</v>
      </c>
      <c r="H74" s="188">
        <v>0</v>
      </c>
      <c r="I74" s="188">
        <v>887822304.51999998</v>
      </c>
      <c r="J74" s="188">
        <v>0</v>
      </c>
      <c r="K74" s="188">
        <v>887822304.51999998</v>
      </c>
      <c r="L74" s="188">
        <v>0</v>
      </c>
      <c r="M74" s="188">
        <v>416878114.30000001</v>
      </c>
      <c r="N74" s="188">
        <v>0</v>
      </c>
      <c r="O74" s="188">
        <v>416878114.31</v>
      </c>
      <c r="P74" s="188">
        <v>0</v>
      </c>
      <c r="Q74" s="188">
        <v>390261119.33999997</v>
      </c>
      <c r="R74" s="188">
        <v>0</v>
      </c>
      <c r="S74" s="188">
        <v>390261119.33999997</v>
      </c>
      <c r="T74" s="188">
        <v>0</v>
      </c>
      <c r="U74" s="188">
        <v>339808943.92000002</v>
      </c>
      <c r="V74" s="188">
        <v>0</v>
      </c>
      <c r="W74" s="188">
        <v>339808943.92000002</v>
      </c>
      <c r="X74" s="188">
        <v>0</v>
      </c>
      <c r="Y74" s="188">
        <v>573337651.10000002</v>
      </c>
      <c r="Z74" s="188">
        <v>0</v>
      </c>
      <c r="AA74" s="188">
        <v>573337651.10000002</v>
      </c>
      <c r="AB74" s="188">
        <v>0</v>
      </c>
      <c r="AC74" s="188">
        <v>729736431.27999997</v>
      </c>
      <c r="AD74" s="188">
        <v>0</v>
      </c>
      <c r="AE74" s="188">
        <v>742027476.28999996</v>
      </c>
      <c r="AF74" s="188">
        <v>742027476.28999996</v>
      </c>
      <c r="AG74" s="188">
        <v>917118974</v>
      </c>
      <c r="AH74" s="188">
        <v>944929707.47000003</v>
      </c>
      <c r="AI74" s="188">
        <v>917118974</v>
      </c>
      <c r="AJ74" s="188">
        <v>917118974</v>
      </c>
      <c r="AK74" s="188">
        <v>878163947.85000002</v>
      </c>
      <c r="AL74" s="188">
        <v>878163947.85000002</v>
      </c>
      <c r="AM74" s="188">
        <v>878163947.85000002</v>
      </c>
      <c r="AN74" s="188">
        <v>878183947.85000002</v>
      </c>
      <c r="AO74" s="188">
        <v>792955770.86000001</v>
      </c>
      <c r="AP74" s="188">
        <v>795355770.86000001</v>
      </c>
      <c r="AQ74" s="188">
        <v>792955770.86000001</v>
      </c>
      <c r="AR74" s="188">
        <v>792955770.86000001</v>
      </c>
      <c r="AS74" s="188">
        <v>372912485.27999997</v>
      </c>
      <c r="AT74" s="188">
        <v>372912485.27999997</v>
      </c>
      <c r="AU74" s="188">
        <v>372912485.27999997</v>
      </c>
      <c r="AV74" s="188">
        <v>418412485.06</v>
      </c>
      <c r="AW74" s="188">
        <v>269118657.66000003</v>
      </c>
      <c r="AX74" s="188">
        <v>269118657.66000003</v>
      </c>
      <c r="AY74" s="188">
        <v>269118657.66000003</v>
      </c>
      <c r="AZ74" s="188">
        <v>269118657.66000003</v>
      </c>
      <c r="BA74" s="188">
        <v>476895712.43000001</v>
      </c>
      <c r="BB74" s="188">
        <v>476895712.43000001</v>
      </c>
      <c r="BC74" s="188">
        <v>476895712.43000001</v>
      </c>
      <c r="BD74" s="188">
        <v>476895712.43000001</v>
      </c>
      <c r="BE74" s="188">
        <v>9557726.1500000004</v>
      </c>
      <c r="BF74" s="188">
        <v>9557726.1500000004</v>
      </c>
      <c r="BG74" s="188">
        <v>9557726.1500000004</v>
      </c>
      <c r="BH74" s="188">
        <v>11862561.01</v>
      </c>
      <c r="BI74" s="188">
        <v>0</v>
      </c>
    </row>
    <row r="75" spans="1:61"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row>
    <row r="76" spans="1:61"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row>
    <row r="77" spans="1:61" x14ac:dyDescent="0.25">
      <c r="A77" s="188" t="s">
        <v>290</v>
      </c>
      <c r="B77" s="188">
        <v>0</v>
      </c>
      <c r="C77" s="188">
        <v>-283611809.63999999</v>
      </c>
      <c r="D77" s="188">
        <v>0</v>
      </c>
      <c r="E77" s="188">
        <v>22497208.370000001</v>
      </c>
      <c r="F77" s="188">
        <v>0</v>
      </c>
      <c r="G77" s="188">
        <v>-250805881.87</v>
      </c>
      <c r="H77" s="188">
        <v>0</v>
      </c>
      <c r="I77" s="188">
        <v>-150258463.81</v>
      </c>
      <c r="J77" s="188">
        <v>0</v>
      </c>
      <c r="K77" s="188">
        <v>-295636450.70999998</v>
      </c>
      <c r="L77" s="188">
        <v>0</v>
      </c>
      <c r="M77" s="188">
        <v>470944190.22000003</v>
      </c>
      <c r="N77" s="188">
        <v>0</v>
      </c>
      <c r="O77" s="188">
        <v>-86170337.650000006</v>
      </c>
      <c r="P77" s="188">
        <v>0</v>
      </c>
      <c r="Q77" s="188">
        <v>26616994.969999999</v>
      </c>
      <c r="R77" s="188">
        <v>0</v>
      </c>
      <c r="S77" s="188">
        <v>573951623.99000001</v>
      </c>
      <c r="T77" s="188">
        <v>0</v>
      </c>
      <c r="U77" s="188">
        <v>50452175.420000002</v>
      </c>
      <c r="V77" s="188">
        <v>0</v>
      </c>
      <c r="W77" s="188">
        <v>640673658.92999995</v>
      </c>
      <c r="X77" s="188">
        <v>0</v>
      </c>
      <c r="Y77" s="188">
        <v>-233528707.18000001</v>
      </c>
      <c r="Z77" s="188">
        <v>0</v>
      </c>
      <c r="AA77" s="188">
        <v>78211342.200000003</v>
      </c>
      <c r="AB77" s="188">
        <v>0</v>
      </c>
      <c r="AC77" s="188">
        <v>-156398780.18000001</v>
      </c>
      <c r="AD77" s="188">
        <v>0</v>
      </c>
      <c r="AE77" s="188">
        <v>-197613296.24000001</v>
      </c>
      <c r="AF77" s="188">
        <v>12686794.32</v>
      </c>
      <c r="AG77" s="188">
        <v>-187382542.72</v>
      </c>
      <c r="AH77" s="188">
        <v>-169361109.52000001</v>
      </c>
      <c r="AI77" s="188">
        <v>-268985544.33999997</v>
      </c>
      <c r="AJ77" s="188">
        <v>-74598456.760000005</v>
      </c>
      <c r="AK77" s="188">
        <v>38955026.149999999</v>
      </c>
      <c r="AL77" s="188">
        <v>105711824.16</v>
      </c>
      <c r="AM77" s="188">
        <v>77352611.609999999</v>
      </c>
      <c r="AN77" s="188">
        <v>113665566.8</v>
      </c>
      <c r="AO77" s="188">
        <v>85208176.989999995</v>
      </c>
      <c r="AP77" s="188">
        <v>-76537306.030000001</v>
      </c>
      <c r="AQ77" s="188">
        <v>-118034386.47</v>
      </c>
      <c r="AR77" s="188">
        <v>-110397805.41</v>
      </c>
      <c r="AS77" s="188">
        <v>420043285.57999998</v>
      </c>
      <c r="AT77" s="188">
        <v>474968989.19999999</v>
      </c>
      <c r="AU77" s="188">
        <v>-151067520.25</v>
      </c>
      <c r="AV77" s="188">
        <v>-102271811.7</v>
      </c>
      <c r="AW77" s="188">
        <v>103793827.62</v>
      </c>
      <c r="AX77" s="188">
        <v>-106101064.39</v>
      </c>
      <c r="AY77" s="188">
        <v>-33217974.420000002</v>
      </c>
      <c r="AZ77" s="188">
        <v>-56461100.899999999</v>
      </c>
      <c r="BA77" s="188">
        <v>-207777054.77000001</v>
      </c>
      <c r="BB77" s="188">
        <v>-264667009.50999999</v>
      </c>
      <c r="BC77" s="188">
        <v>-181476466.56999999</v>
      </c>
      <c r="BD77" s="188">
        <v>-157123163.31</v>
      </c>
      <c r="BE77" s="188">
        <v>467337986.27999997</v>
      </c>
      <c r="BF77" s="188">
        <v>475297647.45999998</v>
      </c>
      <c r="BG77" s="188">
        <v>33194042.609999999</v>
      </c>
      <c r="BH77" s="188">
        <v>-2304834.86</v>
      </c>
      <c r="BI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8" width="19.33203125" hidden="1" customWidth="1"/>
    <col min="59" max="59" width="19" hidden="1" customWidth="1"/>
    <col min="60" max="61" width="19" bestFit="1" customWidth="1"/>
    <col min="62" max="62" width="17.77734375" bestFit="1" customWidth="1"/>
    <col min="63" max="63" width="9.5546875" hidden="1" customWidth="1"/>
    <col min="64" max="78" width="19.33203125" bestFit="1" customWidth="1"/>
    <col min="79" max="83" width="17.21875" bestFit="1" customWidth="1"/>
    <col min="84" max="84" width="7.109375" bestFit="1" customWidth="1"/>
    <col min="85" max="87" width="17.21875" bestFit="1" customWidth="1"/>
    <col min="88" max="89" width="16.109375" bestFit="1" customWidth="1"/>
    <col min="90" max="90" width="7.109375" bestFit="1" customWidth="1"/>
  </cols>
  <sheetData>
    <row r="1" spans="1:90" s="41" customFormat="1" x14ac:dyDescent="0.25">
      <c r="A1" s="41">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0</v>
      </c>
      <c r="C8" s="188">
        <v>0</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14509311.66</v>
      </c>
      <c r="AM10" s="188">
        <v>14654863.470000001</v>
      </c>
      <c r="AN10" s="188">
        <v>14800415.289999999</v>
      </c>
      <c r="AO10" s="188">
        <v>14945967.1</v>
      </c>
      <c r="AP10" s="188">
        <v>1480868.41</v>
      </c>
      <c r="AQ10" s="188">
        <v>1533989.08</v>
      </c>
      <c r="AR10" s="188">
        <v>1587109.74</v>
      </c>
      <c r="AS10" s="188">
        <v>1640230.41</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1280452.5</v>
      </c>
      <c r="D13" s="188">
        <v>1234442.51</v>
      </c>
      <c r="E13" s="188">
        <v>1983860.05</v>
      </c>
      <c r="F13" s="188">
        <v>1699138.85</v>
      </c>
      <c r="G13" s="188">
        <v>1410111.74</v>
      </c>
      <c r="H13" s="188">
        <v>997958.27</v>
      </c>
      <c r="I13" s="188">
        <v>285680.93</v>
      </c>
      <c r="J13" s="188">
        <v>162050.57</v>
      </c>
      <c r="K13" s="188">
        <v>2618316.94</v>
      </c>
      <c r="L13" s="188">
        <v>2623929.9300000002</v>
      </c>
      <c r="M13" s="188">
        <v>1211839.0900000001</v>
      </c>
      <c r="N13" s="188">
        <v>2631912.89</v>
      </c>
      <c r="O13" s="188">
        <v>3209336.69</v>
      </c>
      <c r="P13" s="188">
        <v>1505121.74</v>
      </c>
      <c r="Q13" s="188">
        <v>1333136.33</v>
      </c>
      <c r="R13" s="188">
        <v>2352161.37</v>
      </c>
      <c r="S13" s="188">
        <v>5100619.57</v>
      </c>
      <c r="T13" s="188">
        <v>2147063.69</v>
      </c>
      <c r="U13" s="188">
        <v>5684198.5499999998</v>
      </c>
      <c r="V13" s="188">
        <v>9193522.9900000002</v>
      </c>
      <c r="W13" s="188">
        <v>5028076.1399999997</v>
      </c>
      <c r="X13" s="188">
        <v>5339036</v>
      </c>
      <c r="Y13" s="188">
        <v>3752909.67</v>
      </c>
      <c r="Z13" s="188">
        <v>3239937.72</v>
      </c>
      <c r="AA13" s="188">
        <v>1345728.49</v>
      </c>
      <c r="AB13" s="188">
        <v>767844.01</v>
      </c>
      <c r="AC13" s="188">
        <v>1176060.92</v>
      </c>
      <c r="AD13" s="188">
        <v>1673230.23</v>
      </c>
      <c r="AE13" s="188">
        <v>1075872.8400000001</v>
      </c>
      <c r="AF13" s="188">
        <v>1189484.8899999999</v>
      </c>
      <c r="AG13" s="188">
        <v>989655.67</v>
      </c>
      <c r="AH13" s="188">
        <v>1924423.63</v>
      </c>
      <c r="AI13" s="188">
        <v>2300554</v>
      </c>
      <c r="AJ13" s="188">
        <v>1082675</v>
      </c>
      <c r="AK13" s="188">
        <v>1810116.5</v>
      </c>
      <c r="AL13" s="188">
        <v>1210468.08</v>
      </c>
      <c r="AM13" s="188">
        <v>2217790.2200000002</v>
      </c>
      <c r="AN13" s="188">
        <v>1970912.8</v>
      </c>
      <c r="AO13" s="188">
        <v>3488799</v>
      </c>
      <c r="AP13" s="188">
        <v>2056984.24</v>
      </c>
      <c r="AQ13" s="188">
        <v>1634247</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1696744200.1199999</v>
      </c>
      <c r="C17" s="33">
        <f t="shared" ref="C17:BN17" si="0">SUM(C4:C13)</f>
        <v>1588801513.4200001</v>
      </c>
      <c r="D17" s="33">
        <f t="shared" si="0"/>
        <v>2317235384.1400003</v>
      </c>
      <c r="E17" s="33">
        <f t="shared" si="0"/>
        <v>2087155717.8099997</v>
      </c>
      <c r="F17" s="33">
        <f t="shared" si="0"/>
        <v>1859882797.4000001</v>
      </c>
      <c r="G17" s="33">
        <f t="shared" si="0"/>
        <v>1818083330.02</v>
      </c>
      <c r="H17" s="33">
        <f t="shared" si="0"/>
        <v>1968107303.2599998</v>
      </c>
      <c r="I17" s="33">
        <f t="shared" si="0"/>
        <v>1607838305.72</v>
      </c>
      <c r="J17" s="33">
        <f t="shared" si="0"/>
        <v>1146935466.0599999</v>
      </c>
      <c r="K17" s="33">
        <f t="shared" si="0"/>
        <v>973473073.52999997</v>
      </c>
      <c r="L17" s="33">
        <f t="shared" si="0"/>
        <v>1532569510.2900002</v>
      </c>
      <c r="M17" s="33">
        <f t="shared" si="0"/>
        <v>1444443950.5999999</v>
      </c>
      <c r="N17" s="33">
        <f t="shared" si="0"/>
        <v>1518532567.6700001</v>
      </c>
      <c r="O17" s="33">
        <f t="shared" si="0"/>
        <v>1349885162.78</v>
      </c>
      <c r="P17" s="33">
        <f t="shared" si="0"/>
        <v>1537926816.7</v>
      </c>
      <c r="Q17" s="33">
        <f t="shared" si="0"/>
        <v>1535672774.6500001</v>
      </c>
      <c r="R17" s="33">
        <f t="shared" si="0"/>
        <v>1698293662.4199998</v>
      </c>
      <c r="S17" s="33">
        <f t="shared" si="0"/>
        <v>1474406832.54</v>
      </c>
      <c r="T17" s="33">
        <f t="shared" si="0"/>
        <v>1605234381.5599999</v>
      </c>
      <c r="U17" s="33">
        <f t="shared" si="0"/>
        <v>1411090090.3299999</v>
      </c>
      <c r="V17" s="33">
        <f t="shared" si="0"/>
        <v>1473211483.7600002</v>
      </c>
      <c r="W17" s="33">
        <f t="shared" si="0"/>
        <v>1227246558.8399999</v>
      </c>
      <c r="X17" s="33">
        <f t="shared" si="0"/>
        <v>1373586027.52</v>
      </c>
      <c r="Y17" s="33">
        <f t="shared" si="0"/>
        <v>1118835233.3200002</v>
      </c>
      <c r="Z17" s="33">
        <f t="shared" si="0"/>
        <v>999573292.24000001</v>
      </c>
      <c r="AA17" s="33">
        <f t="shared" si="0"/>
        <v>654969391.44000006</v>
      </c>
      <c r="AB17" s="33">
        <f t="shared" si="0"/>
        <v>640070206.80999994</v>
      </c>
      <c r="AC17" s="33">
        <f t="shared" si="0"/>
        <v>576512051.78999996</v>
      </c>
      <c r="AD17" s="33">
        <f t="shared" si="0"/>
        <v>575488239.81000006</v>
      </c>
      <c r="AE17" s="33">
        <f t="shared" si="0"/>
        <v>556811064.88999999</v>
      </c>
      <c r="AF17" s="33">
        <f t="shared" si="0"/>
        <v>767377965.5</v>
      </c>
      <c r="AG17" s="33">
        <f t="shared" si="0"/>
        <v>751537281.95999992</v>
      </c>
      <c r="AH17" s="33">
        <f t="shared" si="0"/>
        <v>781833471.58000004</v>
      </c>
      <c r="AI17" s="33">
        <f t="shared" si="0"/>
        <v>650565182.23000002</v>
      </c>
      <c r="AJ17" s="33">
        <f t="shared" si="0"/>
        <v>871669024.28000009</v>
      </c>
      <c r="AK17" s="33">
        <f t="shared" si="0"/>
        <v>971356067.97000003</v>
      </c>
      <c r="AL17" s="33">
        <f t="shared" si="0"/>
        <v>1020166355.99</v>
      </c>
      <c r="AM17" s="33">
        <f t="shared" si="0"/>
        <v>981809759.1500001</v>
      </c>
      <c r="AN17" s="33">
        <f t="shared" si="0"/>
        <v>1013120662.7399999</v>
      </c>
      <c r="AO17" s="33">
        <f t="shared" si="0"/>
        <v>900411208.95000005</v>
      </c>
      <c r="AP17" s="33">
        <f t="shared" si="0"/>
        <v>722356317.48000002</v>
      </c>
      <c r="AQ17" s="33">
        <f t="shared" si="0"/>
        <v>678219620.47000003</v>
      </c>
      <c r="AR17" s="33">
        <f t="shared" si="0"/>
        <v>684145075.19000006</v>
      </c>
      <c r="AS17" s="33">
        <f t="shared" si="0"/>
        <v>796996001.26999998</v>
      </c>
      <c r="AT17" s="33">
        <f t="shared" si="0"/>
        <v>869946817.48000002</v>
      </c>
      <c r="AU17" s="33">
        <f t="shared" si="0"/>
        <v>249995814.53</v>
      </c>
      <c r="AV17" s="33">
        <f t="shared" si="0"/>
        <v>318970673.57999998</v>
      </c>
      <c r="AW17" s="33">
        <f t="shared" si="0"/>
        <v>418955105.27999997</v>
      </c>
      <c r="AX17" s="33">
        <f t="shared" si="0"/>
        <v>163017593.27000001</v>
      </c>
      <c r="AY17" s="33">
        <f t="shared" si="0"/>
        <v>235900683.24000001</v>
      </c>
      <c r="AZ17" s="33">
        <f t="shared" si="0"/>
        <v>212657556.75999999</v>
      </c>
      <c r="BA17" s="33">
        <f t="shared" si="0"/>
        <v>269118657.66000003</v>
      </c>
      <c r="BB17" s="33">
        <f t="shared" si="0"/>
        <v>212228702.91999999</v>
      </c>
      <c r="BC17" s="33">
        <f t="shared" si="0"/>
        <v>295419245.86000001</v>
      </c>
      <c r="BD17" s="33">
        <f t="shared" si="0"/>
        <v>319772549.12</v>
      </c>
      <c r="BE17" s="33">
        <f t="shared" si="0"/>
        <v>478573002.43000001</v>
      </c>
      <c r="BF17" s="33">
        <f t="shared" si="0"/>
        <v>486158873.61000001</v>
      </c>
      <c r="BG17" s="33">
        <f t="shared" si="0"/>
        <v>42751768.759999998</v>
      </c>
      <c r="BH17" s="33">
        <f t="shared" si="0"/>
        <v>9557726.1500000004</v>
      </c>
      <c r="BI17" s="33">
        <f t="shared" si="0"/>
        <v>14916787.01</v>
      </c>
      <c r="BJ17" s="33">
        <f t="shared" si="0"/>
        <v>12122259.640000001</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59833626.299999997</v>
      </c>
      <c r="C19" s="188">
        <v>59195224.329999998</v>
      </c>
      <c r="D19" s="188">
        <v>58482911.240000002</v>
      </c>
      <c r="E19" s="188">
        <v>57828126.149999999</v>
      </c>
      <c r="F19" s="188">
        <v>56409847.630000003</v>
      </c>
      <c r="G19" s="188">
        <v>55343612.409999996</v>
      </c>
      <c r="H19" s="188">
        <v>54712420.270000003</v>
      </c>
      <c r="I19" s="188">
        <v>53877930.880000003</v>
      </c>
      <c r="J19" s="188">
        <v>53934016.920000002</v>
      </c>
      <c r="K19" s="188">
        <v>53121774.780000001</v>
      </c>
      <c r="L19" s="188">
        <v>52335697.979999997</v>
      </c>
      <c r="M19" s="188">
        <v>51328807.280000001</v>
      </c>
      <c r="N19" s="188">
        <v>50434094.880000003</v>
      </c>
      <c r="O19" s="188">
        <v>49639746.32</v>
      </c>
      <c r="P19" s="188">
        <v>48953354.310000002</v>
      </c>
      <c r="Q19" s="188">
        <v>48480778.130000003</v>
      </c>
      <c r="R19" s="188">
        <v>46486926.740000002</v>
      </c>
      <c r="S19" s="188">
        <v>45724712.560000002</v>
      </c>
      <c r="T19" s="188">
        <v>44861176.990000002</v>
      </c>
      <c r="U19" s="188">
        <v>44495224.649999999</v>
      </c>
      <c r="V19" s="188">
        <v>43796247.729999997</v>
      </c>
      <c r="W19" s="188">
        <v>43035511</v>
      </c>
      <c r="X19" s="188">
        <v>42865431.130000003</v>
      </c>
      <c r="Y19" s="188">
        <v>41365518.659999996</v>
      </c>
      <c r="Z19" s="188">
        <v>40798502.920000002</v>
      </c>
      <c r="AA19" s="188">
        <v>39735570.5</v>
      </c>
      <c r="AB19" s="188">
        <v>0</v>
      </c>
      <c r="AC19" s="188">
        <v>0</v>
      </c>
      <c r="AD19" s="188">
        <v>0</v>
      </c>
      <c r="AE19" s="188">
        <v>0</v>
      </c>
      <c r="AF19" s="188">
        <v>400000</v>
      </c>
      <c r="AG19" s="188">
        <v>400000</v>
      </c>
      <c r="AH19" s="188">
        <v>400000</v>
      </c>
      <c r="AI19" s="188">
        <v>400000</v>
      </c>
      <c r="AJ19" s="188">
        <v>400000</v>
      </c>
      <c r="AK19" s="188">
        <v>400000</v>
      </c>
      <c r="AL19" s="188">
        <v>400000</v>
      </c>
      <c r="AM19" s="188">
        <v>400000</v>
      </c>
      <c r="AN19" s="188">
        <v>400000</v>
      </c>
      <c r="AO19" s="188">
        <v>400000</v>
      </c>
      <c r="AP19" s="188">
        <v>443875.6</v>
      </c>
      <c r="AQ19" s="188">
        <v>443875.6</v>
      </c>
      <c r="AR19" s="188">
        <v>443875.6</v>
      </c>
      <c r="AS19" s="188">
        <v>443875.6</v>
      </c>
      <c r="AT19" s="188">
        <v>469754.19</v>
      </c>
      <c r="AU19" s="188">
        <v>1469754.18</v>
      </c>
      <c r="AV19" s="188">
        <v>495384.06</v>
      </c>
      <c r="AW19" s="188">
        <v>10620859.4</v>
      </c>
      <c r="AX19" s="188">
        <v>11118299.699999999</v>
      </c>
      <c r="AY19" s="188">
        <v>13014167.08</v>
      </c>
      <c r="AZ19" s="188">
        <v>13699423.08</v>
      </c>
      <c r="BA19" s="188">
        <v>16764367.109999999</v>
      </c>
      <c r="BB19" s="188">
        <v>16665854.359999999</v>
      </c>
      <c r="BC19" s="188">
        <v>15941057.57</v>
      </c>
      <c r="BD19" s="188">
        <v>15141098.279999999</v>
      </c>
      <c r="BE19" s="188">
        <v>15591138.99</v>
      </c>
      <c r="BF19" s="188">
        <v>16125841.73</v>
      </c>
      <c r="BG19" s="188">
        <v>16575882.439999999</v>
      </c>
      <c r="BH19" s="188">
        <v>17475963.859999999</v>
      </c>
      <c r="BI19" s="188">
        <v>12710112.58</v>
      </c>
      <c r="BJ19" s="188">
        <v>2895176.54</v>
      </c>
      <c r="BK19" s="188">
        <v>0</v>
      </c>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867232899.96000004</v>
      </c>
      <c r="C22" s="188">
        <v>678812943.86000001</v>
      </c>
      <c r="D22" s="188">
        <v>798021894.80999994</v>
      </c>
      <c r="E22" s="188">
        <v>678723166.23000002</v>
      </c>
      <c r="F22" s="188">
        <v>808990744.72000003</v>
      </c>
      <c r="G22" s="188">
        <v>701777141.89999998</v>
      </c>
      <c r="H22" s="188">
        <v>960682620.84000003</v>
      </c>
      <c r="I22" s="188">
        <v>843520455.60000002</v>
      </c>
      <c r="J22" s="188">
        <v>901753366.25</v>
      </c>
      <c r="K22" s="188">
        <v>956676846.01999998</v>
      </c>
      <c r="L22" s="188">
        <v>821772834.14999998</v>
      </c>
      <c r="M22" s="188">
        <v>604773313.11000001</v>
      </c>
      <c r="N22" s="188">
        <v>631241194.11000001</v>
      </c>
      <c r="O22" s="188">
        <v>708261921.30999994</v>
      </c>
      <c r="P22" s="188">
        <v>661472259.64999998</v>
      </c>
      <c r="Q22" s="188">
        <v>486320125.68000001</v>
      </c>
      <c r="R22" s="188">
        <v>682514551.63999999</v>
      </c>
      <c r="S22" s="188">
        <v>914518950</v>
      </c>
      <c r="T22" s="188">
        <v>852149556.66999996</v>
      </c>
      <c r="U22" s="188">
        <v>738445081.88</v>
      </c>
      <c r="V22" s="188">
        <v>537786249.24000001</v>
      </c>
      <c r="W22" s="188">
        <v>503500656.20999998</v>
      </c>
      <c r="X22" s="188">
        <v>613026312.47000003</v>
      </c>
      <c r="Y22" s="188">
        <v>648366387.91999996</v>
      </c>
      <c r="Z22" s="188">
        <v>518829861.12</v>
      </c>
      <c r="AA22" s="188">
        <v>555375618.74000001</v>
      </c>
      <c r="AB22" s="188">
        <v>826777605.61000001</v>
      </c>
      <c r="AC22" s="188">
        <v>789318516.42999995</v>
      </c>
      <c r="AD22" s="188">
        <v>597403924.49000001</v>
      </c>
      <c r="AE22" s="188">
        <v>441311966.49000001</v>
      </c>
      <c r="AF22" s="188">
        <v>450511868.63999999</v>
      </c>
      <c r="AG22" s="188">
        <v>411014376.37</v>
      </c>
      <c r="AH22" s="188">
        <v>303725612.86000001</v>
      </c>
      <c r="AI22" s="188">
        <v>264509503.38</v>
      </c>
      <c r="AJ22" s="188">
        <v>335919731.38999999</v>
      </c>
      <c r="AK22" s="188">
        <v>204513788.36000001</v>
      </c>
      <c r="AL22" s="188">
        <v>161648081.34</v>
      </c>
      <c r="AM22" s="188">
        <v>141968256.62</v>
      </c>
      <c r="AN22" s="188">
        <v>281667197.92000002</v>
      </c>
      <c r="AO22" s="188">
        <v>220051269.34999999</v>
      </c>
      <c r="AP22" s="188">
        <v>241678480.19999999</v>
      </c>
      <c r="AQ22" s="188">
        <v>225814673.53</v>
      </c>
      <c r="AR22" s="188">
        <v>271726222.43000001</v>
      </c>
      <c r="AS22" s="188">
        <v>144590700.41999999</v>
      </c>
      <c r="AT22" s="188">
        <v>127756063.40000001</v>
      </c>
      <c r="AU22" s="188">
        <v>87130286.680000007</v>
      </c>
      <c r="AV22" s="188">
        <v>100888080.5</v>
      </c>
      <c r="AW22" s="188">
        <v>8631361.2799999993</v>
      </c>
      <c r="AX22" s="188">
        <v>95258170.560000002</v>
      </c>
      <c r="AY22" s="188">
        <v>63732026.759999998</v>
      </c>
      <c r="AZ22" s="188">
        <v>34924487.299999997</v>
      </c>
      <c r="BA22" s="188">
        <v>10596043.48</v>
      </c>
      <c r="BB22" s="188">
        <v>41925419.439999998</v>
      </c>
      <c r="BC22" s="188">
        <v>36908039.649999999</v>
      </c>
      <c r="BD22" s="188">
        <v>40563036.719999999</v>
      </c>
      <c r="BE22" s="188">
        <v>2057616</v>
      </c>
      <c r="BF22" s="188">
        <v>21531607.949999999</v>
      </c>
      <c r="BG22" s="188">
        <v>12784349.33</v>
      </c>
      <c r="BH22" s="188">
        <v>1846000</v>
      </c>
      <c r="BI22" s="188">
        <v>2318606.98</v>
      </c>
      <c r="BJ22" s="188">
        <v>6959233.5300000003</v>
      </c>
      <c r="BK22" s="188">
        <v>0</v>
      </c>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2103121447.76</v>
      </c>
      <c r="C23" s="188">
        <v>1583377542.73</v>
      </c>
      <c r="D23" s="188">
        <v>1406651267.4000001</v>
      </c>
      <c r="E23" s="188">
        <v>1394611743.5899999</v>
      </c>
      <c r="F23" s="188">
        <v>1551793666.5799999</v>
      </c>
      <c r="G23" s="188">
        <v>1201233225.8699999</v>
      </c>
      <c r="H23" s="188">
        <v>1157053549.27</v>
      </c>
      <c r="I23" s="188">
        <v>1160117826.72</v>
      </c>
      <c r="J23" s="188">
        <v>1576892272.3299999</v>
      </c>
      <c r="K23" s="188">
        <v>1271407998.22</v>
      </c>
      <c r="L23" s="188">
        <v>1163171116.95</v>
      </c>
      <c r="M23" s="188">
        <v>1057146368.61</v>
      </c>
      <c r="N23" s="188">
        <v>1745131303.3099999</v>
      </c>
      <c r="O23" s="188">
        <v>1330898287.49</v>
      </c>
      <c r="P23" s="188">
        <v>1192307774.0999999</v>
      </c>
      <c r="Q23" s="188">
        <v>1004256291.61</v>
      </c>
      <c r="R23" s="188">
        <v>1215565996.8299999</v>
      </c>
      <c r="S23" s="188">
        <v>793572490.87</v>
      </c>
      <c r="T23" s="188">
        <v>759687633.69000006</v>
      </c>
      <c r="U23" s="188">
        <v>655589352.02999997</v>
      </c>
      <c r="V23" s="188">
        <v>955341922.44000006</v>
      </c>
      <c r="W23" s="188">
        <v>828686898.91999996</v>
      </c>
      <c r="X23" s="188">
        <v>677684867.50999999</v>
      </c>
      <c r="Y23" s="188">
        <v>667350323.52999997</v>
      </c>
      <c r="Z23" s="188">
        <v>863044798.62</v>
      </c>
      <c r="AA23" s="188">
        <v>691119589.03999996</v>
      </c>
      <c r="AB23" s="188">
        <v>689174657.51999998</v>
      </c>
      <c r="AC23" s="188">
        <v>644324794.65999997</v>
      </c>
      <c r="AD23" s="188">
        <v>811191851.53999996</v>
      </c>
      <c r="AE23" s="188">
        <v>661728242.05999994</v>
      </c>
      <c r="AF23" s="188">
        <v>580878344.19000006</v>
      </c>
      <c r="AG23" s="188">
        <v>460117095.70999998</v>
      </c>
      <c r="AH23" s="188">
        <v>595470448.07000005</v>
      </c>
      <c r="AI23" s="188">
        <v>476995435.05000001</v>
      </c>
      <c r="AJ23" s="188">
        <v>470858645.82999998</v>
      </c>
      <c r="AK23" s="188">
        <v>466250441.51999998</v>
      </c>
      <c r="AL23" s="188">
        <v>479488365.25999999</v>
      </c>
      <c r="AM23" s="188">
        <v>374963199.29000002</v>
      </c>
      <c r="AN23" s="188">
        <v>340168506.62</v>
      </c>
      <c r="AO23" s="188">
        <v>286700424.56999999</v>
      </c>
      <c r="AP23" s="188">
        <v>372539306.63</v>
      </c>
      <c r="AQ23" s="188">
        <v>310051278.17000002</v>
      </c>
      <c r="AR23" s="188">
        <v>268446960.04000002</v>
      </c>
      <c r="AS23" s="188">
        <v>201675604.47</v>
      </c>
      <c r="AT23" s="188">
        <v>345900235.68000001</v>
      </c>
      <c r="AU23" s="188">
        <v>297094009.33999997</v>
      </c>
      <c r="AV23" s="188">
        <v>284013567.74000001</v>
      </c>
      <c r="AW23" s="188">
        <v>154747563.34</v>
      </c>
      <c r="AX23" s="188">
        <v>289477993.52999997</v>
      </c>
      <c r="AY23" s="188">
        <v>327303156.38</v>
      </c>
      <c r="AZ23" s="188">
        <v>281259052.08999997</v>
      </c>
      <c r="BA23" s="188">
        <v>159924988.97999999</v>
      </c>
      <c r="BB23" s="188">
        <v>292942431.73000002</v>
      </c>
      <c r="BC23" s="188">
        <v>221783653.59</v>
      </c>
      <c r="BD23" s="188">
        <v>197568430.47999999</v>
      </c>
      <c r="BE23" s="188">
        <v>122653367.16</v>
      </c>
      <c r="BF23" s="188">
        <v>190370342.13999999</v>
      </c>
      <c r="BG23" s="188">
        <v>133739817.16</v>
      </c>
      <c r="BH23" s="188">
        <v>131439320.18000001</v>
      </c>
      <c r="BI23" s="188">
        <v>94915424</v>
      </c>
      <c r="BJ23" s="188">
        <v>62030299.810000002</v>
      </c>
      <c r="BK23" s="188">
        <v>0</v>
      </c>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302006010.35000002</v>
      </c>
      <c r="C24" s="188">
        <v>255496597.21000001</v>
      </c>
      <c r="D24" s="188">
        <v>294595736.83999997</v>
      </c>
      <c r="E24" s="188">
        <v>326628488.10000002</v>
      </c>
      <c r="F24" s="188">
        <v>215405882.72</v>
      </c>
      <c r="G24" s="188">
        <v>174447686.13999999</v>
      </c>
      <c r="H24" s="188">
        <v>188211608.52000001</v>
      </c>
      <c r="I24" s="188">
        <v>157326657.22999999</v>
      </c>
      <c r="J24" s="188">
        <v>221105439.36000001</v>
      </c>
      <c r="K24" s="188">
        <v>175747171.80000001</v>
      </c>
      <c r="L24" s="188">
        <v>184131670.87</v>
      </c>
      <c r="M24" s="188">
        <v>108843307.15000001</v>
      </c>
      <c r="N24" s="188">
        <v>182748372.94</v>
      </c>
      <c r="O24" s="188">
        <v>185715098.28999999</v>
      </c>
      <c r="P24" s="188">
        <v>223284010.37</v>
      </c>
      <c r="Q24" s="188">
        <v>171336580.71000001</v>
      </c>
      <c r="R24" s="188">
        <v>158657280.75</v>
      </c>
      <c r="S24" s="188">
        <v>156345359.44</v>
      </c>
      <c r="T24" s="188">
        <v>224944984</v>
      </c>
      <c r="U24" s="188">
        <v>194362744.27000001</v>
      </c>
      <c r="V24" s="188">
        <v>158796141.62</v>
      </c>
      <c r="W24" s="188">
        <v>141541976.72</v>
      </c>
      <c r="X24" s="188">
        <v>121358894.56</v>
      </c>
      <c r="Y24" s="188">
        <v>129681301.56999999</v>
      </c>
      <c r="Z24" s="188">
        <v>101763160.43000001</v>
      </c>
      <c r="AA24" s="188">
        <v>129869335.40000001</v>
      </c>
      <c r="AB24" s="188">
        <v>150420117.41999999</v>
      </c>
      <c r="AC24" s="188">
        <v>87363592.980000004</v>
      </c>
      <c r="AD24" s="188">
        <v>91521758.780000001</v>
      </c>
      <c r="AE24" s="188">
        <v>128565447.18000001</v>
      </c>
      <c r="AF24" s="188">
        <v>144776581.40000001</v>
      </c>
      <c r="AG24" s="188">
        <v>100230288.73999999</v>
      </c>
      <c r="AH24" s="188">
        <v>106374550.64</v>
      </c>
      <c r="AI24" s="188">
        <v>158024705.52000001</v>
      </c>
      <c r="AJ24" s="188">
        <v>97827351.069999993</v>
      </c>
      <c r="AK24" s="188">
        <v>64765110.579999998</v>
      </c>
      <c r="AL24" s="188">
        <v>85327330.260000005</v>
      </c>
      <c r="AM24" s="188">
        <v>53379934.18</v>
      </c>
      <c r="AN24" s="188">
        <v>31194818.68</v>
      </c>
      <c r="AO24" s="188">
        <v>40331815.490000002</v>
      </c>
      <c r="AP24" s="188">
        <v>64661090.439999998</v>
      </c>
      <c r="AQ24" s="188">
        <v>51729324.630000003</v>
      </c>
      <c r="AR24" s="188">
        <v>41462014.380000003</v>
      </c>
      <c r="AS24" s="188">
        <v>35137528.509999998</v>
      </c>
      <c r="AT24" s="188">
        <v>39876624.039999999</v>
      </c>
      <c r="AU24" s="188">
        <v>47815125.289999999</v>
      </c>
      <c r="AV24" s="188">
        <v>88314222.180000007</v>
      </c>
      <c r="AW24" s="188">
        <v>83382716.5</v>
      </c>
      <c r="AX24" s="188">
        <v>100755944.48999999</v>
      </c>
      <c r="AY24" s="188">
        <v>55648798.060000002</v>
      </c>
      <c r="AZ24" s="188">
        <v>62225473.619999997</v>
      </c>
      <c r="BA24" s="188">
        <v>32605418.07</v>
      </c>
      <c r="BB24" s="188">
        <v>59910606.82</v>
      </c>
      <c r="BC24" s="188">
        <v>53555843.960000001</v>
      </c>
      <c r="BD24" s="188">
        <v>44554757.340000004</v>
      </c>
      <c r="BE24" s="188">
        <v>13491443.710000001</v>
      </c>
      <c r="BF24" s="188">
        <v>22697275.690000001</v>
      </c>
      <c r="BG24" s="188">
        <v>52803808.689999998</v>
      </c>
      <c r="BH24" s="188">
        <v>8517955.8499999996</v>
      </c>
      <c r="BI24" s="188">
        <v>10984495.939999999</v>
      </c>
      <c r="BJ24" s="188">
        <v>5195640.3899999997</v>
      </c>
      <c r="BK24" s="188">
        <v>0</v>
      </c>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24605283.120000001</v>
      </c>
      <c r="C25" s="188">
        <v>15581684.300000001</v>
      </c>
      <c r="D25" s="188">
        <v>12328088.58</v>
      </c>
      <c r="E25" s="188">
        <v>18690041.579999998</v>
      </c>
      <c r="F25" s="188">
        <v>8512347.2300000004</v>
      </c>
      <c r="G25" s="188">
        <v>20092804.32</v>
      </c>
      <c r="H25" s="188">
        <v>46325088.759999998</v>
      </c>
      <c r="I25" s="188">
        <v>55657951.600000001</v>
      </c>
      <c r="J25" s="188">
        <v>8359957.9800000004</v>
      </c>
      <c r="K25" s="188">
        <v>16477980.869999999</v>
      </c>
      <c r="L25" s="188">
        <v>13142260.93</v>
      </c>
      <c r="M25" s="188">
        <v>34924752.460000001</v>
      </c>
      <c r="N25" s="188">
        <v>48880745.759999998</v>
      </c>
      <c r="O25" s="188">
        <v>10508981.710000001</v>
      </c>
      <c r="P25" s="188">
        <v>20352131.640000001</v>
      </c>
      <c r="Q25" s="188">
        <v>48727819.25</v>
      </c>
      <c r="R25" s="188">
        <v>26368806.780000001</v>
      </c>
      <c r="S25" s="188">
        <v>14663394.99</v>
      </c>
      <c r="T25" s="188">
        <v>30886598.920000002</v>
      </c>
      <c r="U25" s="188">
        <v>49842803.539999999</v>
      </c>
      <c r="V25" s="188">
        <v>30092725.920000002</v>
      </c>
      <c r="W25" s="188">
        <v>26969052.469999999</v>
      </c>
      <c r="X25" s="188">
        <v>41584319.710000001</v>
      </c>
      <c r="Y25" s="188">
        <v>37261813.359999999</v>
      </c>
      <c r="Z25" s="188">
        <v>34130403.659999996</v>
      </c>
      <c r="AA25" s="188">
        <v>33556500.950000003</v>
      </c>
      <c r="AB25" s="188">
        <v>36545908.090000004</v>
      </c>
      <c r="AC25" s="188">
        <v>43656907.880000003</v>
      </c>
      <c r="AD25" s="188">
        <v>33616792.18</v>
      </c>
      <c r="AE25" s="188">
        <v>36591766.299999997</v>
      </c>
      <c r="AF25" s="188">
        <v>42100569.909999996</v>
      </c>
      <c r="AG25" s="188">
        <v>36246884.759999998</v>
      </c>
      <c r="AH25" s="188">
        <v>26477110.350000001</v>
      </c>
      <c r="AI25" s="188">
        <v>38109897.020000003</v>
      </c>
      <c r="AJ25" s="188">
        <v>30741513.66</v>
      </c>
      <c r="AK25" s="188">
        <v>38952539.100000001</v>
      </c>
      <c r="AL25" s="188">
        <v>27798764.440000001</v>
      </c>
      <c r="AM25" s="188">
        <v>21722562.609999999</v>
      </c>
      <c r="AN25" s="188">
        <v>29020548.75</v>
      </c>
      <c r="AO25" s="188">
        <v>18519299.030000001</v>
      </c>
      <c r="AP25" s="188">
        <v>40853840.039999999</v>
      </c>
      <c r="AQ25" s="188">
        <v>37846575.359999999</v>
      </c>
      <c r="AR25" s="188">
        <v>35317763.409999996</v>
      </c>
      <c r="AS25" s="188">
        <v>27350561.699999999</v>
      </c>
      <c r="AT25" s="188">
        <v>35643426.170000002</v>
      </c>
      <c r="AU25" s="188">
        <v>23519834.719999999</v>
      </c>
      <c r="AV25" s="188">
        <v>41816429.759999998</v>
      </c>
      <c r="AW25" s="188">
        <v>26709376.039999999</v>
      </c>
      <c r="AX25" s="188">
        <v>25948731.149999999</v>
      </c>
      <c r="AY25" s="188">
        <v>22328343.52</v>
      </c>
      <c r="AZ25" s="188">
        <v>20132141.91</v>
      </c>
      <c r="BA25" s="188">
        <v>19324677.059999999</v>
      </c>
      <c r="BB25" s="188">
        <v>28075614.059999999</v>
      </c>
      <c r="BC25" s="188">
        <v>15771305.27</v>
      </c>
      <c r="BD25" s="188">
        <v>16006534.529999999</v>
      </c>
      <c r="BE25" s="188">
        <v>15762625.710000001</v>
      </c>
      <c r="BF25" s="188">
        <v>17607118.079999998</v>
      </c>
      <c r="BG25" s="188">
        <v>15944690.050000001</v>
      </c>
      <c r="BH25" s="188">
        <v>13006576.199999999</v>
      </c>
      <c r="BI25" s="188">
        <v>10007781.140000001</v>
      </c>
      <c r="BJ25" s="188">
        <v>30402528.84</v>
      </c>
      <c r="BK25" s="188">
        <v>0</v>
      </c>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1918572103.77</v>
      </c>
      <c r="C26" s="188">
        <v>1909306638.47</v>
      </c>
      <c r="D26" s="188">
        <v>1782072806.3299999</v>
      </c>
      <c r="E26" s="188">
        <v>2185899491.7199998</v>
      </c>
      <c r="F26" s="188">
        <v>1470400344.9200001</v>
      </c>
      <c r="G26" s="188">
        <v>1293921923.4300001</v>
      </c>
      <c r="H26" s="188">
        <v>1118765372.3099999</v>
      </c>
      <c r="I26" s="188">
        <v>1696932203.1900001</v>
      </c>
      <c r="J26" s="188">
        <v>964907065.76999998</v>
      </c>
      <c r="K26" s="188">
        <v>1057725660.29</v>
      </c>
      <c r="L26" s="188">
        <v>920959661.87</v>
      </c>
      <c r="M26" s="188">
        <v>1426745280.9300001</v>
      </c>
      <c r="N26" s="188">
        <v>1010846140.4</v>
      </c>
      <c r="O26" s="188">
        <v>1098826788.8199999</v>
      </c>
      <c r="P26" s="188">
        <v>1135582960.8499999</v>
      </c>
      <c r="Q26" s="188">
        <v>1568475227.8800001</v>
      </c>
      <c r="R26" s="188">
        <v>978487335.64999998</v>
      </c>
      <c r="S26" s="188">
        <v>941861832.96000004</v>
      </c>
      <c r="T26" s="188">
        <v>857047457.5</v>
      </c>
      <c r="U26" s="188">
        <v>1325378544.29</v>
      </c>
      <c r="V26" s="188">
        <v>878054202.94000006</v>
      </c>
      <c r="W26" s="188">
        <v>871388665.28999996</v>
      </c>
      <c r="X26" s="188">
        <v>791718974.51999998</v>
      </c>
      <c r="Y26" s="188">
        <v>1073369840.5700001</v>
      </c>
      <c r="Z26" s="188">
        <v>717909540.94000006</v>
      </c>
      <c r="AA26" s="188">
        <v>742018284.57000005</v>
      </c>
      <c r="AB26" s="188">
        <v>764629040.47000003</v>
      </c>
      <c r="AC26" s="188">
        <v>1030294935.02</v>
      </c>
      <c r="AD26" s="188">
        <v>926056707.29999995</v>
      </c>
      <c r="AE26" s="188">
        <v>971723704.05999994</v>
      </c>
      <c r="AF26" s="188">
        <v>859193852.50999999</v>
      </c>
      <c r="AG26" s="188">
        <v>1065910997.37</v>
      </c>
      <c r="AH26" s="188">
        <v>774328296.45000005</v>
      </c>
      <c r="AI26" s="188">
        <v>744906149.55999994</v>
      </c>
      <c r="AJ26" s="188">
        <v>660124469.33000004</v>
      </c>
      <c r="AK26" s="188">
        <v>609153929.08000004</v>
      </c>
      <c r="AL26" s="188">
        <v>451928532.52999997</v>
      </c>
      <c r="AM26" s="188">
        <v>369674847.49000001</v>
      </c>
      <c r="AN26" s="188">
        <v>349318266.39999998</v>
      </c>
      <c r="AO26" s="188">
        <v>401306258.81999999</v>
      </c>
      <c r="AP26" s="188">
        <v>451856996.35000002</v>
      </c>
      <c r="AQ26" s="188">
        <v>447686866.85000002</v>
      </c>
      <c r="AR26" s="188">
        <v>410327776.82999998</v>
      </c>
      <c r="AS26" s="188">
        <v>423691037.51999998</v>
      </c>
      <c r="AT26" s="188">
        <v>386717593.16000003</v>
      </c>
      <c r="AU26" s="188">
        <v>371701744.98000002</v>
      </c>
      <c r="AV26" s="188">
        <v>363693904.29000002</v>
      </c>
      <c r="AW26" s="188">
        <v>373108583.83999997</v>
      </c>
      <c r="AX26" s="188">
        <v>318782897.86000001</v>
      </c>
      <c r="AY26" s="188">
        <v>300631240.80000001</v>
      </c>
      <c r="AZ26" s="188">
        <v>336286463.70999998</v>
      </c>
      <c r="BA26" s="188">
        <v>318488911.10000002</v>
      </c>
      <c r="BB26" s="188">
        <v>281272317.88</v>
      </c>
      <c r="BC26" s="188">
        <v>289181914.31</v>
      </c>
      <c r="BD26" s="188">
        <v>274648278.17000002</v>
      </c>
      <c r="BE26" s="188">
        <v>244401356.97</v>
      </c>
      <c r="BF26" s="188">
        <v>207346234.84999999</v>
      </c>
      <c r="BG26" s="188">
        <v>215414694.71000001</v>
      </c>
      <c r="BH26" s="188">
        <v>170315284</v>
      </c>
      <c r="BI26" s="188">
        <v>128800723.88</v>
      </c>
      <c r="BJ26" s="188">
        <v>86397241.609999999</v>
      </c>
      <c r="BK26" s="188">
        <v>0</v>
      </c>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927519431.44000006</v>
      </c>
      <c r="C27" s="188">
        <v>1050153119.01</v>
      </c>
      <c r="D27" s="188">
        <v>946414169.61000001</v>
      </c>
      <c r="E27" s="188">
        <v>1025576299.53</v>
      </c>
      <c r="F27" s="188">
        <v>929605382.03999996</v>
      </c>
      <c r="G27" s="188">
        <v>734721606.99000001</v>
      </c>
      <c r="H27" s="188">
        <v>928148457.10000002</v>
      </c>
      <c r="I27" s="188">
        <v>981698880.30999994</v>
      </c>
      <c r="J27" s="188">
        <v>607516525.44000006</v>
      </c>
      <c r="K27" s="188">
        <v>988594808.13999999</v>
      </c>
      <c r="L27" s="188">
        <v>1362031292.75</v>
      </c>
      <c r="M27" s="188">
        <v>1375173953.9100001</v>
      </c>
      <c r="N27" s="188">
        <v>553848816.79999995</v>
      </c>
      <c r="O27" s="188">
        <v>422767686.30000001</v>
      </c>
      <c r="P27" s="188">
        <v>407482611.68000001</v>
      </c>
      <c r="Q27" s="188">
        <v>448717689.39999998</v>
      </c>
      <c r="R27" s="188">
        <v>12914573.470000001</v>
      </c>
      <c r="S27" s="188">
        <v>14446105.960000001</v>
      </c>
      <c r="T27" s="188">
        <v>13729557.720000001</v>
      </c>
      <c r="U27" s="188">
        <v>60556880.740000002</v>
      </c>
      <c r="V27" s="188">
        <v>14004004.09</v>
      </c>
      <c r="W27" s="188">
        <v>28485231.890000001</v>
      </c>
      <c r="X27" s="188">
        <v>0</v>
      </c>
      <c r="Y27" s="188">
        <v>12522640.279999999</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6143057176.3999996</v>
      </c>
      <c r="C33" s="35">
        <f t="shared" ref="C33:BN33" si="2">SUM(C22:C29)</f>
        <v>5492728525.5800009</v>
      </c>
      <c r="D33" s="35">
        <f t="shared" si="2"/>
        <v>5240083963.5699997</v>
      </c>
      <c r="E33" s="35">
        <f t="shared" si="2"/>
        <v>5630129230.749999</v>
      </c>
      <c r="F33" s="35">
        <f t="shared" si="2"/>
        <v>4984708368.21</v>
      </c>
      <c r="G33" s="35">
        <f t="shared" si="2"/>
        <v>4126194388.6499996</v>
      </c>
      <c r="H33" s="35">
        <f t="shared" si="2"/>
        <v>4399186696.8000002</v>
      </c>
      <c r="I33" s="35">
        <f t="shared" si="2"/>
        <v>4895253974.6499996</v>
      </c>
      <c r="J33" s="35">
        <f t="shared" si="2"/>
        <v>4280534627.1300001</v>
      </c>
      <c r="K33" s="35">
        <f t="shared" si="2"/>
        <v>4466630465.3400002</v>
      </c>
      <c r="L33" s="35">
        <f t="shared" si="2"/>
        <v>4465208837.5199995</v>
      </c>
      <c r="M33" s="35">
        <f t="shared" si="2"/>
        <v>4607606976.1700001</v>
      </c>
      <c r="N33" s="35">
        <f t="shared" si="2"/>
        <v>4172696573.3200006</v>
      </c>
      <c r="O33" s="35">
        <f t="shared" si="2"/>
        <v>3756978763.9200001</v>
      </c>
      <c r="P33" s="35">
        <f t="shared" si="2"/>
        <v>3640481748.2899995</v>
      </c>
      <c r="Q33" s="35">
        <f t="shared" si="2"/>
        <v>3727833734.5300002</v>
      </c>
      <c r="R33" s="35">
        <f t="shared" si="2"/>
        <v>3074508545.1199994</v>
      </c>
      <c r="S33" s="35">
        <f t="shared" si="2"/>
        <v>2835408134.2200003</v>
      </c>
      <c r="T33" s="35">
        <f t="shared" si="2"/>
        <v>2738445788.5</v>
      </c>
      <c r="U33" s="35">
        <f t="shared" si="2"/>
        <v>3024175406.7499995</v>
      </c>
      <c r="V33" s="35">
        <f t="shared" si="2"/>
        <v>2574075246.2500005</v>
      </c>
      <c r="W33" s="35">
        <f t="shared" si="2"/>
        <v>2400572481.4999995</v>
      </c>
      <c r="X33" s="35">
        <f t="shared" si="2"/>
        <v>2245373368.77</v>
      </c>
      <c r="Y33" s="35">
        <f t="shared" si="2"/>
        <v>2568552307.23</v>
      </c>
      <c r="Z33" s="35">
        <f t="shared" si="2"/>
        <v>2235677764.7700005</v>
      </c>
      <c r="AA33" s="35">
        <f t="shared" si="2"/>
        <v>2151939328.7000003</v>
      </c>
      <c r="AB33" s="35">
        <f t="shared" si="2"/>
        <v>2467547329.1100001</v>
      </c>
      <c r="AC33" s="35">
        <f t="shared" si="2"/>
        <v>2594958746.9700003</v>
      </c>
      <c r="AD33" s="35">
        <f t="shared" si="2"/>
        <v>2459791034.29</v>
      </c>
      <c r="AE33" s="35">
        <f t="shared" si="2"/>
        <v>2239921126.0900002</v>
      </c>
      <c r="AF33" s="35">
        <f t="shared" si="2"/>
        <v>2077461216.6500001</v>
      </c>
      <c r="AG33" s="35">
        <f t="shared" si="2"/>
        <v>2073519642.9499998</v>
      </c>
      <c r="AH33" s="35">
        <f t="shared" si="2"/>
        <v>1806376018.3700001</v>
      </c>
      <c r="AI33" s="35">
        <f t="shared" si="2"/>
        <v>1682545690.53</v>
      </c>
      <c r="AJ33" s="35">
        <f t="shared" si="2"/>
        <v>1595471711.28</v>
      </c>
      <c r="AK33" s="35">
        <f t="shared" si="2"/>
        <v>1383635808.6400001</v>
      </c>
      <c r="AL33" s="35">
        <f t="shared" si="2"/>
        <v>1206191073.8299999</v>
      </c>
      <c r="AM33" s="35">
        <f t="shared" si="2"/>
        <v>961708800.19000006</v>
      </c>
      <c r="AN33" s="35">
        <f t="shared" si="2"/>
        <v>1031369338.3699999</v>
      </c>
      <c r="AO33" s="35">
        <f t="shared" si="2"/>
        <v>966909067.25999999</v>
      </c>
      <c r="AP33" s="35">
        <f t="shared" si="2"/>
        <v>1171589713.6599998</v>
      </c>
      <c r="AQ33" s="35">
        <f t="shared" si="2"/>
        <v>1073128718.5400001</v>
      </c>
      <c r="AR33" s="35">
        <f t="shared" si="2"/>
        <v>1027280737.0899999</v>
      </c>
      <c r="AS33" s="35">
        <f t="shared" si="2"/>
        <v>832445432.61999989</v>
      </c>
      <c r="AT33" s="35">
        <f t="shared" si="2"/>
        <v>935893942.45000005</v>
      </c>
      <c r="AU33" s="35">
        <f t="shared" si="2"/>
        <v>827261001.00999999</v>
      </c>
      <c r="AV33" s="35">
        <f t="shared" si="2"/>
        <v>878726204.47000003</v>
      </c>
      <c r="AW33" s="35">
        <f t="shared" si="2"/>
        <v>646579601</v>
      </c>
      <c r="AX33" s="35">
        <f t="shared" si="2"/>
        <v>830223737.58999991</v>
      </c>
      <c r="AY33" s="35">
        <f t="shared" si="2"/>
        <v>769643565.51999998</v>
      </c>
      <c r="AZ33" s="35">
        <f t="shared" si="2"/>
        <v>734827618.63</v>
      </c>
      <c r="BA33" s="35">
        <f t="shared" si="2"/>
        <v>540940038.69000006</v>
      </c>
      <c r="BB33" s="35">
        <f t="shared" si="2"/>
        <v>704126389.93000007</v>
      </c>
      <c r="BC33" s="35">
        <f t="shared" si="2"/>
        <v>617200756.77999997</v>
      </c>
      <c r="BD33" s="35">
        <f t="shared" si="2"/>
        <v>573341037.24000001</v>
      </c>
      <c r="BE33" s="35">
        <f t="shared" si="2"/>
        <v>398366409.55000001</v>
      </c>
      <c r="BF33" s="35">
        <f t="shared" si="2"/>
        <v>459552578.70999992</v>
      </c>
      <c r="BG33" s="35">
        <f t="shared" si="2"/>
        <v>430687359.94000006</v>
      </c>
      <c r="BH33" s="35">
        <f t="shared" si="2"/>
        <v>325125136.23000002</v>
      </c>
      <c r="BI33" s="35">
        <f t="shared" si="2"/>
        <v>247027031.94</v>
      </c>
      <c r="BJ33" s="35">
        <f t="shared" si="2"/>
        <v>190984944.18000001</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10000000</v>
      </c>
      <c r="AU35" s="188">
        <v>49060000</v>
      </c>
      <c r="AV35" s="188">
        <v>109060000</v>
      </c>
      <c r="AW35" s="188">
        <v>105000000</v>
      </c>
      <c r="AX35" s="188">
        <v>50000000</v>
      </c>
      <c r="AY35" s="188">
        <v>57215000</v>
      </c>
      <c r="AZ35" s="188">
        <v>57215000</v>
      </c>
      <c r="BA35" s="188">
        <v>25000000</v>
      </c>
      <c r="BB35" s="188">
        <v>50000000</v>
      </c>
      <c r="BC35" s="188">
        <v>0</v>
      </c>
      <c r="BD35" s="188">
        <v>10000000</v>
      </c>
      <c r="BE35" s="188">
        <v>10650000</v>
      </c>
      <c r="BF35" s="188">
        <v>14200000</v>
      </c>
      <c r="BG35" s="188">
        <v>20816000</v>
      </c>
      <c r="BH35" s="188">
        <v>3973310.4</v>
      </c>
      <c r="BI35" s="188">
        <v>17496700</v>
      </c>
      <c r="BJ35" s="188">
        <v>26702727.100000001</v>
      </c>
      <c r="BK35" s="188">
        <v>0</v>
      </c>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2319057969.9000001</v>
      </c>
      <c r="D36" s="188">
        <v>2113564323.48</v>
      </c>
      <c r="E36" s="188">
        <v>2307025946.46</v>
      </c>
      <c r="F36" s="188">
        <v>2188428198.6999998</v>
      </c>
      <c r="G36" s="188">
        <v>1892416996.23</v>
      </c>
      <c r="H36" s="188">
        <v>1994872909.9100001</v>
      </c>
      <c r="I36" s="188">
        <v>2062140539.4400001</v>
      </c>
      <c r="J36" s="188">
        <v>1782222783.8</v>
      </c>
      <c r="K36" s="188">
        <v>1635356280.0899999</v>
      </c>
      <c r="L36" s="188">
        <v>1371093156.1700001</v>
      </c>
      <c r="M36" s="188">
        <v>1639633692.9200001</v>
      </c>
      <c r="N36" s="188">
        <v>1719946911.1900001</v>
      </c>
      <c r="O36" s="188">
        <v>1475441127.98</v>
      </c>
      <c r="P36" s="188">
        <v>1359210429.22</v>
      </c>
      <c r="Q36" s="188">
        <v>1593473427.6800001</v>
      </c>
      <c r="R36" s="188">
        <v>1405389881.8599999</v>
      </c>
      <c r="S36" s="188">
        <v>1147970354.29</v>
      </c>
      <c r="T36" s="188">
        <v>1088980902.77</v>
      </c>
      <c r="U36" s="188">
        <v>1252892830.24</v>
      </c>
      <c r="V36" s="188">
        <v>1126751573.03</v>
      </c>
      <c r="W36" s="188">
        <v>921386749.26999998</v>
      </c>
      <c r="X36" s="188">
        <v>866846574.02999997</v>
      </c>
      <c r="Y36" s="188">
        <v>1026468224.26</v>
      </c>
      <c r="Z36" s="188">
        <v>853882437.64999998</v>
      </c>
      <c r="AA36" s="188">
        <v>666977109.16999996</v>
      </c>
      <c r="AB36" s="188">
        <v>767960901.75</v>
      </c>
      <c r="AC36" s="188">
        <v>880621412.09000003</v>
      </c>
      <c r="AD36" s="188">
        <v>819408359.74000001</v>
      </c>
      <c r="AE36" s="188">
        <v>758167429.36000001</v>
      </c>
      <c r="AF36" s="188">
        <v>689437491.66999996</v>
      </c>
      <c r="AG36" s="188">
        <v>829662607.21000004</v>
      </c>
      <c r="AH36" s="188">
        <v>625218748.51999998</v>
      </c>
      <c r="AI36" s="188">
        <v>579213441.11000001</v>
      </c>
      <c r="AJ36" s="188">
        <v>595521129.16999996</v>
      </c>
      <c r="AK36" s="188">
        <v>582952653.5</v>
      </c>
      <c r="AL36" s="188">
        <v>535280136.14999998</v>
      </c>
      <c r="AM36" s="188">
        <v>348921296.87</v>
      </c>
      <c r="AN36" s="188">
        <v>414408959.26999998</v>
      </c>
      <c r="AO36" s="188">
        <v>313645213.47000003</v>
      </c>
      <c r="AP36" s="188">
        <v>467740445.38</v>
      </c>
      <c r="AQ36" s="188">
        <v>352085685.86000001</v>
      </c>
      <c r="AR36" s="188">
        <v>403190443.16000003</v>
      </c>
      <c r="AS36" s="188">
        <v>370956978.00999999</v>
      </c>
      <c r="AT36" s="188">
        <v>276925441.94</v>
      </c>
      <c r="AU36" s="188">
        <v>249574629.41999999</v>
      </c>
      <c r="AV36" s="188">
        <v>238811738.30000001</v>
      </c>
      <c r="AW36" s="188">
        <v>245879563.38</v>
      </c>
      <c r="AX36" s="188">
        <v>241420650</v>
      </c>
      <c r="AY36" s="188">
        <v>203276260.88</v>
      </c>
      <c r="AZ36" s="188">
        <v>217115051.19</v>
      </c>
      <c r="BA36" s="188">
        <v>246287876.72</v>
      </c>
      <c r="BB36" s="188">
        <v>183190791.06999999</v>
      </c>
      <c r="BC36" s="188">
        <v>189855977.78999999</v>
      </c>
      <c r="BD36" s="188">
        <v>180766727.65000001</v>
      </c>
      <c r="BE36" s="188">
        <v>159038217.15000001</v>
      </c>
      <c r="BF36" s="188">
        <v>151318306.66</v>
      </c>
      <c r="BG36" s="188">
        <v>99271932.189999998</v>
      </c>
      <c r="BH36" s="188">
        <v>68630315.319999993</v>
      </c>
      <c r="BI36" s="188">
        <v>55792631.549999997</v>
      </c>
      <c r="BJ36" s="188">
        <v>37620705.450000003</v>
      </c>
      <c r="BK36" s="188">
        <v>0</v>
      </c>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408399964.56999999</v>
      </c>
      <c r="C37" s="188">
        <v>475989646.85000002</v>
      </c>
      <c r="D37" s="188">
        <v>789537210.55999994</v>
      </c>
      <c r="E37" s="188">
        <v>1206020398.54</v>
      </c>
      <c r="F37" s="188">
        <v>693738444.05999994</v>
      </c>
      <c r="G37" s="188">
        <v>418593394.22000003</v>
      </c>
      <c r="H37" s="188">
        <v>443922023.91000003</v>
      </c>
      <c r="I37" s="188">
        <v>779587538.11000001</v>
      </c>
      <c r="J37" s="188">
        <v>312340885.49000001</v>
      </c>
      <c r="K37" s="188">
        <v>271983107.54000002</v>
      </c>
      <c r="L37" s="188">
        <v>328942479.75</v>
      </c>
      <c r="M37" s="188">
        <v>363052756.95999998</v>
      </c>
      <c r="N37" s="188">
        <v>161937952.5</v>
      </c>
      <c r="O37" s="188">
        <v>195329664.72999999</v>
      </c>
      <c r="P37" s="188">
        <v>235972169.18000001</v>
      </c>
      <c r="Q37" s="188">
        <v>355555918.01999998</v>
      </c>
      <c r="R37" s="188">
        <v>231280786.28999999</v>
      </c>
      <c r="S37" s="188">
        <v>249813135.25</v>
      </c>
      <c r="T37" s="188">
        <v>248933735.00999999</v>
      </c>
      <c r="U37" s="188">
        <v>392992316.70999998</v>
      </c>
      <c r="V37" s="188">
        <v>187396199.28999999</v>
      </c>
      <c r="W37" s="188">
        <v>210312256.66</v>
      </c>
      <c r="X37" s="188">
        <v>177355918.16999999</v>
      </c>
      <c r="Y37" s="188">
        <v>280103682.36000001</v>
      </c>
      <c r="Z37" s="188">
        <v>139173142.83000001</v>
      </c>
      <c r="AA37" s="188">
        <v>78892612.640000001</v>
      </c>
      <c r="AB37" s="188">
        <v>108291771.13</v>
      </c>
      <c r="AC37" s="188">
        <v>201169843.61000001</v>
      </c>
      <c r="AD37" s="188">
        <v>169969807.59999999</v>
      </c>
      <c r="AE37" s="188">
        <v>155191827.97</v>
      </c>
      <c r="AF37" s="188">
        <v>158355012.12</v>
      </c>
      <c r="AG37" s="188">
        <v>175223880.08000001</v>
      </c>
      <c r="AH37" s="188">
        <v>121892329.27</v>
      </c>
      <c r="AI37" s="188">
        <v>72496944.450000003</v>
      </c>
      <c r="AJ37" s="188">
        <v>107625573.51000001</v>
      </c>
      <c r="AK37" s="188">
        <v>104795196.81</v>
      </c>
      <c r="AL37" s="188">
        <v>72261007.980000004</v>
      </c>
      <c r="AM37" s="188">
        <v>40267984.719999999</v>
      </c>
      <c r="AN37" s="188">
        <v>42207840.600000001</v>
      </c>
      <c r="AO37" s="188">
        <v>57615940.450000003</v>
      </c>
      <c r="AP37" s="188">
        <v>53481747.950000003</v>
      </c>
      <c r="AQ37" s="188">
        <v>53403031.359999999</v>
      </c>
      <c r="AR37" s="188">
        <v>68808270.25</v>
      </c>
      <c r="AS37" s="188">
        <v>68590144.280000001</v>
      </c>
      <c r="AT37" s="188">
        <v>98562116.719999999</v>
      </c>
      <c r="AU37" s="188">
        <v>97223471.170000002</v>
      </c>
      <c r="AV37" s="188">
        <v>83037026.560000002</v>
      </c>
      <c r="AW37" s="188">
        <v>51595575.229999997</v>
      </c>
      <c r="AX37" s="188">
        <v>107433755.43000001</v>
      </c>
      <c r="AY37" s="188">
        <v>105984087.86</v>
      </c>
      <c r="AZ37" s="188">
        <v>69945197.530000001</v>
      </c>
      <c r="BA37" s="188">
        <v>26573970.170000002</v>
      </c>
      <c r="BB37" s="188">
        <v>84747096.260000005</v>
      </c>
      <c r="BC37" s="188">
        <v>75856176.650000006</v>
      </c>
      <c r="BD37" s="188">
        <v>57489384.57</v>
      </c>
      <c r="BE37" s="188">
        <v>29826631.850000001</v>
      </c>
      <c r="BF37" s="188">
        <v>52419325.469999999</v>
      </c>
      <c r="BG37" s="188">
        <v>32514572.859999999</v>
      </c>
      <c r="BH37" s="188">
        <v>37301086.75</v>
      </c>
      <c r="BI37" s="188">
        <v>15499205.52</v>
      </c>
      <c r="BJ37" s="188">
        <v>18688241.449999999</v>
      </c>
      <c r="BK37" s="188">
        <v>0</v>
      </c>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241849208.71000001</v>
      </c>
      <c r="C39" s="188">
        <v>216818510.68000001</v>
      </c>
      <c r="D39" s="188">
        <v>194705919.47</v>
      </c>
      <c r="E39" s="188">
        <v>239096541.06</v>
      </c>
      <c r="F39" s="188">
        <v>213865706.84</v>
      </c>
      <c r="G39" s="188">
        <v>175512218.52000001</v>
      </c>
      <c r="H39" s="188">
        <v>159530208</v>
      </c>
      <c r="I39" s="188">
        <v>237919276.03</v>
      </c>
      <c r="J39" s="188">
        <v>199592106.15000001</v>
      </c>
      <c r="K39" s="188">
        <v>178221558.86000001</v>
      </c>
      <c r="L39" s="188">
        <v>146010598.09999999</v>
      </c>
      <c r="M39" s="188">
        <v>209100501.69999999</v>
      </c>
      <c r="N39" s="188">
        <v>192272300.30000001</v>
      </c>
      <c r="O39" s="188">
        <v>163165233.31</v>
      </c>
      <c r="P39" s="188">
        <v>147184814.49000001</v>
      </c>
      <c r="Q39" s="188">
        <v>196269219.28999999</v>
      </c>
      <c r="R39" s="188">
        <v>176269305.15000001</v>
      </c>
      <c r="S39" s="188">
        <v>149397907.84</v>
      </c>
      <c r="T39" s="188">
        <v>127886890.98</v>
      </c>
      <c r="U39" s="188">
        <v>191775676.78</v>
      </c>
      <c r="V39" s="188">
        <v>167449277.63999999</v>
      </c>
      <c r="W39" s="188">
        <v>147547894.38</v>
      </c>
      <c r="X39" s="188">
        <v>131934074.3</v>
      </c>
      <c r="Y39" s="188">
        <v>165814611.71000001</v>
      </c>
      <c r="Z39" s="188">
        <v>142612552.69999999</v>
      </c>
      <c r="AA39" s="188">
        <v>116859331.59</v>
      </c>
      <c r="AB39" s="188">
        <v>111064682.40000001</v>
      </c>
      <c r="AC39" s="188">
        <v>150199890.75</v>
      </c>
      <c r="AD39" s="188">
        <v>132673429.19</v>
      </c>
      <c r="AE39" s="188">
        <v>122925136.3</v>
      </c>
      <c r="AF39" s="188">
        <v>110801001.3</v>
      </c>
      <c r="AG39" s="188">
        <v>146890262.38999999</v>
      </c>
      <c r="AH39" s="188">
        <v>140221393.34</v>
      </c>
      <c r="AI39" s="188">
        <v>119934944.65000001</v>
      </c>
      <c r="AJ39" s="188">
        <v>91215157.569999993</v>
      </c>
      <c r="AK39" s="188">
        <v>115970857.8</v>
      </c>
      <c r="AL39" s="188">
        <v>88305183.370000005</v>
      </c>
      <c r="AM39" s="188">
        <v>71984924.560000002</v>
      </c>
      <c r="AN39" s="188">
        <v>56144825.57</v>
      </c>
      <c r="AO39" s="188">
        <v>61924812.219999999</v>
      </c>
      <c r="AP39" s="188">
        <v>44645511.159999996</v>
      </c>
      <c r="AQ39" s="188">
        <v>38706502.25</v>
      </c>
      <c r="AR39" s="188">
        <v>37353420.200000003</v>
      </c>
      <c r="AS39" s="188">
        <v>52570005.439999998</v>
      </c>
      <c r="AT39" s="188">
        <v>37356424.170000002</v>
      </c>
      <c r="AU39" s="188">
        <v>37477273.5</v>
      </c>
      <c r="AV39" s="188">
        <v>26567449.809999999</v>
      </c>
      <c r="AW39" s="188">
        <v>26319891.420000002</v>
      </c>
      <c r="AX39" s="188">
        <v>23657834.16</v>
      </c>
      <c r="AY39" s="188">
        <v>25214967.699999999</v>
      </c>
      <c r="AZ39" s="188">
        <v>26877083.149999999</v>
      </c>
      <c r="BA39" s="188">
        <v>26900456.84</v>
      </c>
      <c r="BB39" s="188">
        <v>24435864.82</v>
      </c>
      <c r="BC39" s="188">
        <v>21165276.239999998</v>
      </c>
      <c r="BD39" s="188">
        <v>19943188.489999998</v>
      </c>
      <c r="BE39" s="188">
        <v>22859707.309999999</v>
      </c>
      <c r="BF39" s="188">
        <v>18174922.800000001</v>
      </c>
      <c r="BG39" s="188">
        <v>17731159.079999998</v>
      </c>
      <c r="BH39" s="188">
        <v>19361233.100000001</v>
      </c>
      <c r="BI39" s="188">
        <v>14028013.279999999</v>
      </c>
      <c r="BJ39" s="188">
        <v>7468642.3099999996</v>
      </c>
      <c r="BK39" s="188">
        <v>0</v>
      </c>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240523947.13999999</v>
      </c>
      <c r="C40" s="188">
        <v>167307506.88999999</v>
      </c>
      <c r="D40" s="188">
        <v>310566046.49000001</v>
      </c>
      <c r="E40" s="188">
        <v>128645212.11</v>
      </c>
      <c r="F40" s="188">
        <v>181124720.28</v>
      </c>
      <c r="G40" s="188">
        <v>150158917.56</v>
      </c>
      <c r="H40" s="188">
        <v>196688431.24000001</v>
      </c>
      <c r="I40" s="188">
        <v>115333892.17</v>
      </c>
      <c r="J40" s="188">
        <v>213348848.44999999</v>
      </c>
      <c r="K40" s="188">
        <v>199657611.34</v>
      </c>
      <c r="L40" s="188">
        <v>175350261.94999999</v>
      </c>
      <c r="M40" s="188">
        <v>95969798.950000003</v>
      </c>
      <c r="N40" s="188">
        <v>238083959.44</v>
      </c>
      <c r="O40" s="188">
        <v>167554936.47999999</v>
      </c>
      <c r="P40" s="188">
        <v>263946505.81</v>
      </c>
      <c r="Q40" s="188">
        <v>134947117.25999999</v>
      </c>
      <c r="R40" s="188">
        <v>181374391.33000001</v>
      </c>
      <c r="S40" s="188">
        <v>133439182.72</v>
      </c>
      <c r="T40" s="188">
        <v>171348126.00999999</v>
      </c>
      <c r="U40" s="188">
        <v>100812762.08</v>
      </c>
      <c r="V40" s="188">
        <v>146845834.02000001</v>
      </c>
      <c r="W40" s="188">
        <v>75785021.060000002</v>
      </c>
      <c r="X40" s="188">
        <v>103984664.8</v>
      </c>
      <c r="Y40" s="188">
        <v>43762855.189999998</v>
      </c>
      <c r="Z40" s="188">
        <v>85522432.549999997</v>
      </c>
      <c r="AA40" s="188">
        <v>29314984.890000001</v>
      </c>
      <c r="AB40" s="188">
        <v>96351556.049999997</v>
      </c>
      <c r="AC40" s="188">
        <v>25371228.350000001</v>
      </c>
      <c r="AD40" s="188">
        <v>79047072.420000002</v>
      </c>
      <c r="AE40" s="188">
        <v>44855058.200000003</v>
      </c>
      <c r="AF40" s="188">
        <v>55913141.960000001</v>
      </c>
      <c r="AG40" s="188">
        <v>9770291.5199999996</v>
      </c>
      <c r="AH40" s="188">
        <v>57297366.640000001</v>
      </c>
      <c r="AI40" s="188">
        <v>22587784.809999999</v>
      </c>
      <c r="AJ40" s="188">
        <v>57108610.939999998</v>
      </c>
      <c r="AK40" s="188">
        <v>42957391.32</v>
      </c>
      <c r="AL40" s="188">
        <v>32068353.890000001</v>
      </c>
      <c r="AM40" s="188">
        <v>29376088.960000001</v>
      </c>
      <c r="AN40" s="188">
        <v>49918350.799999997</v>
      </c>
      <c r="AO40" s="188">
        <v>14597530.59</v>
      </c>
      <c r="AP40" s="188">
        <v>18407038.43</v>
      </c>
      <c r="AQ40" s="188">
        <v>17675176.829999998</v>
      </c>
      <c r="AR40" s="188">
        <v>27609984.140000001</v>
      </c>
      <c r="AS40" s="188">
        <v>26908287.420000002</v>
      </c>
      <c r="AT40" s="188">
        <v>35088289.049999997</v>
      </c>
      <c r="AU40" s="188">
        <v>19947838.530000001</v>
      </c>
      <c r="AV40" s="188">
        <v>18806529.52</v>
      </c>
      <c r="AW40" s="188">
        <v>5624323.8899999997</v>
      </c>
      <c r="AX40" s="188">
        <v>10548870.470000001</v>
      </c>
      <c r="AY40" s="188">
        <v>3527688.98</v>
      </c>
      <c r="AZ40" s="188">
        <v>-1171165.3700000001</v>
      </c>
      <c r="BA40" s="188">
        <v>-4272692.49</v>
      </c>
      <c r="BB40" s="188">
        <v>-3042908.2</v>
      </c>
      <c r="BC40" s="188">
        <v>-4259540.4400000004</v>
      </c>
      <c r="BD40" s="188">
        <v>-1147735.1599999999</v>
      </c>
      <c r="BE40" s="188">
        <v>6211063.1600000001</v>
      </c>
      <c r="BF40" s="188">
        <v>7418144.1500000004</v>
      </c>
      <c r="BG40" s="188">
        <v>-3056829.35</v>
      </c>
      <c r="BH40" s="188">
        <v>16978819.530000001</v>
      </c>
      <c r="BI40" s="188">
        <v>8313463.6900000004</v>
      </c>
      <c r="BJ40" s="188">
        <v>0</v>
      </c>
      <c r="BK40" s="188">
        <v>0</v>
      </c>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499266654.83999997</v>
      </c>
      <c r="C41" s="188">
        <v>104218160.44</v>
      </c>
      <c r="D41" s="188">
        <v>64976393.670000002</v>
      </c>
      <c r="E41" s="188">
        <v>67309426.310000002</v>
      </c>
      <c r="F41" s="188">
        <v>61197164.380000003</v>
      </c>
      <c r="G41" s="188">
        <v>51127826.399999999</v>
      </c>
      <c r="H41" s="188">
        <v>58592597.299999997</v>
      </c>
      <c r="I41" s="188">
        <v>80018747.049999997</v>
      </c>
      <c r="J41" s="188">
        <v>77767461.25</v>
      </c>
      <c r="K41" s="188">
        <v>587947344.21000004</v>
      </c>
      <c r="L41" s="188">
        <v>61867999.829999998</v>
      </c>
      <c r="M41" s="188">
        <v>66612278.630000003</v>
      </c>
      <c r="N41" s="188">
        <v>45897513.170000002</v>
      </c>
      <c r="O41" s="188">
        <v>48463120.789999999</v>
      </c>
      <c r="P41" s="188">
        <v>48474219.899999999</v>
      </c>
      <c r="Q41" s="188">
        <v>52765467.799999997</v>
      </c>
      <c r="R41" s="188">
        <v>45281159.890000001</v>
      </c>
      <c r="S41" s="188">
        <v>61911247.579999998</v>
      </c>
      <c r="T41" s="188">
        <v>61053607.479999997</v>
      </c>
      <c r="U41" s="188">
        <v>50410946.219999999</v>
      </c>
      <c r="V41" s="188">
        <v>45035446.359999999</v>
      </c>
      <c r="W41" s="188">
        <v>47191745.719999999</v>
      </c>
      <c r="X41" s="188">
        <v>42334500.090000004</v>
      </c>
      <c r="Y41" s="188">
        <v>48823073.439999998</v>
      </c>
      <c r="Z41" s="188">
        <v>42924820.329999998</v>
      </c>
      <c r="AA41" s="188">
        <v>48349140.759999998</v>
      </c>
      <c r="AB41" s="188">
        <v>43200454.579999998</v>
      </c>
      <c r="AC41" s="188">
        <v>40522162.270000003</v>
      </c>
      <c r="AD41" s="188">
        <v>81087690.969999999</v>
      </c>
      <c r="AE41" s="188">
        <v>66571942.939999998</v>
      </c>
      <c r="AF41" s="188">
        <v>77368806.540000007</v>
      </c>
      <c r="AG41" s="188">
        <v>31534986.620000001</v>
      </c>
      <c r="AH41" s="188">
        <v>52599325.899999999</v>
      </c>
      <c r="AI41" s="188">
        <v>26047963.120000001</v>
      </c>
      <c r="AJ41" s="188">
        <v>47757948.950000003</v>
      </c>
      <c r="AK41" s="188">
        <v>30190726.07</v>
      </c>
      <c r="AL41" s="188">
        <v>41296199.009999998</v>
      </c>
      <c r="AM41" s="188">
        <v>45844006.43</v>
      </c>
      <c r="AN41" s="188">
        <v>37537029.710000001</v>
      </c>
      <c r="AO41" s="188">
        <v>34285941.119999997</v>
      </c>
      <c r="AP41" s="188">
        <v>37069943.270000003</v>
      </c>
      <c r="AQ41" s="188">
        <v>43801078.880000003</v>
      </c>
      <c r="AR41" s="188">
        <v>34913305.109999999</v>
      </c>
      <c r="AS41" s="188">
        <v>30799084.530000001</v>
      </c>
      <c r="AT41" s="188">
        <v>32901668.82</v>
      </c>
      <c r="AU41" s="188">
        <v>24204425.52</v>
      </c>
      <c r="AV41" s="188">
        <v>38909805.509999998</v>
      </c>
      <c r="AW41" s="188">
        <v>38184574.289999999</v>
      </c>
      <c r="AX41" s="188">
        <v>34063788.43</v>
      </c>
      <c r="AY41" s="188">
        <v>32141740.23</v>
      </c>
      <c r="AZ41" s="188">
        <v>29116075.66</v>
      </c>
      <c r="BA41" s="188">
        <v>22924548.07</v>
      </c>
      <c r="BB41" s="188">
        <v>19006208.309999999</v>
      </c>
      <c r="BC41" s="188">
        <v>15480055.310000001</v>
      </c>
      <c r="BD41" s="188">
        <v>25452849.25</v>
      </c>
      <c r="BE41" s="188">
        <v>14156477.890000001</v>
      </c>
      <c r="BF41" s="188">
        <v>17006664.800000001</v>
      </c>
      <c r="BG41" s="188">
        <v>12285921.98</v>
      </c>
      <c r="BH41" s="188">
        <v>10408252.76</v>
      </c>
      <c r="BI41" s="188">
        <v>11307389.92</v>
      </c>
      <c r="BJ41" s="188">
        <v>892660.44</v>
      </c>
      <c r="BK41" s="188">
        <v>0</v>
      </c>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4746891.07</v>
      </c>
      <c r="C42" s="188">
        <v>4983340.62</v>
      </c>
      <c r="D42" s="188">
        <v>5219790.17</v>
      </c>
      <c r="E42" s="188">
        <v>5456239.7199999997</v>
      </c>
      <c r="F42" s="188">
        <v>6095115.0800000001</v>
      </c>
      <c r="G42" s="188">
        <v>6388727.5800000001</v>
      </c>
      <c r="H42" s="188">
        <v>6682340.0899999999</v>
      </c>
      <c r="I42" s="188">
        <v>6975952.5899999999</v>
      </c>
      <c r="J42" s="188">
        <v>6739979.9199999999</v>
      </c>
      <c r="K42" s="188">
        <v>6739979.9199999999</v>
      </c>
      <c r="L42" s="188">
        <v>7042703.4500000002</v>
      </c>
      <c r="M42" s="188">
        <v>7345426.9699999997</v>
      </c>
      <c r="N42" s="188">
        <v>6462680.7800000003</v>
      </c>
      <c r="O42" s="188">
        <v>6855933.2599999998</v>
      </c>
      <c r="P42" s="188">
        <v>7249185.75</v>
      </c>
      <c r="Q42" s="188">
        <v>7642438.2300000004</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120000</v>
      </c>
      <c r="AU44" s="188">
        <v>120000</v>
      </c>
      <c r="AV44" s="188">
        <v>120000</v>
      </c>
      <c r="AW44" s="188">
        <v>120000</v>
      </c>
      <c r="AX44" s="188">
        <v>120000</v>
      </c>
      <c r="AY44" s="188">
        <v>120000</v>
      </c>
      <c r="AZ44" s="188">
        <v>120000</v>
      </c>
      <c r="BA44" s="188">
        <v>120000</v>
      </c>
      <c r="BB44" s="188">
        <v>120000</v>
      </c>
      <c r="BC44" s="188">
        <v>120000</v>
      </c>
      <c r="BD44" s="188">
        <v>120000</v>
      </c>
      <c r="BE44" s="188">
        <v>120000</v>
      </c>
      <c r="BF44" s="188">
        <v>120000</v>
      </c>
      <c r="BG44" s="188">
        <v>120000</v>
      </c>
      <c r="BH44" s="188">
        <v>120000</v>
      </c>
      <c r="BI44" s="188">
        <v>0</v>
      </c>
      <c r="BJ44" s="188">
        <v>0</v>
      </c>
      <c r="BK44" s="188">
        <v>0</v>
      </c>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132554.04</v>
      </c>
      <c r="T45" s="188">
        <v>134764.88</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4132909.81</v>
      </c>
      <c r="AP45" s="188">
        <v>640000</v>
      </c>
      <c r="AQ45" s="188">
        <v>640000</v>
      </c>
      <c r="AR45" s="188">
        <v>640000</v>
      </c>
      <c r="AS45" s="188">
        <v>640000</v>
      </c>
      <c r="AT45" s="188">
        <v>0</v>
      </c>
      <c r="AU45" s="188">
        <v>0</v>
      </c>
      <c r="AV45" s="188">
        <v>0</v>
      </c>
      <c r="AW45" s="188">
        <v>0</v>
      </c>
      <c r="AX45" s="188">
        <v>0</v>
      </c>
      <c r="AY45" s="188">
        <v>0</v>
      </c>
      <c r="AZ45" s="188">
        <v>0</v>
      </c>
      <c r="BA45" s="188">
        <v>0</v>
      </c>
      <c r="BB45" s="188">
        <v>33550</v>
      </c>
      <c r="BC45" s="188">
        <v>0</v>
      </c>
      <c r="BD45" s="188">
        <v>0</v>
      </c>
      <c r="BE45" s="188">
        <v>0</v>
      </c>
      <c r="BF45" s="188">
        <v>0</v>
      </c>
      <c r="BG45" s="188">
        <v>0</v>
      </c>
      <c r="BH45" s="188">
        <v>0</v>
      </c>
      <c r="BI45" s="188">
        <v>0</v>
      </c>
      <c r="BJ45" s="188">
        <v>0</v>
      </c>
      <c r="BK45" s="188">
        <v>0</v>
      </c>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1390039775.26</v>
      </c>
      <c r="C49" s="35">
        <f>SUM(C35:C41)+SUM(C43:C45)</f>
        <v>3283391794.7599998</v>
      </c>
      <c r="D49" s="35">
        <f>SUM(D35:D41)+SUM(D43:D45)</f>
        <v>3473349893.6700001</v>
      </c>
      <c r="E49" s="35">
        <f>SUM(E35:E45)</f>
        <v>3953553764.1999998</v>
      </c>
      <c r="F49" s="35">
        <f t="shared" ref="F49:BQ49" si="4">SUM(F35:F45)</f>
        <v>3344449349.3400002</v>
      </c>
      <c r="G49" s="35">
        <f t="shared" si="4"/>
        <v>2694198080.5099998</v>
      </c>
      <c r="H49" s="35">
        <f t="shared" si="4"/>
        <v>2860288510.4500008</v>
      </c>
      <c r="I49" s="35">
        <f t="shared" si="4"/>
        <v>3281975945.3900008</v>
      </c>
      <c r="J49" s="35">
        <f t="shared" si="4"/>
        <v>2592012065.0599999</v>
      </c>
      <c r="K49" s="35">
        <f t="shared" si="4"/>
        <v>2879905881.96</v>
      </c>
      <c r="L49" s="35">
        <f t="shared" si="4"/>
        <v>2090307199.25</v>
      </c>
      <c r="M49" s="35">
        <f t="shared" si="4"/>
        <v>2381714456.1299996</v>
      </c>
      <c r="N49" s="35">
        <f t="shared" si="4"/>
        <v>2364601317.3800001</v>
      </c>
      <c r="O49" s="35">
        <f t="shared" si="4"/>
        <v>2056810016.55</v>
      </c>
      <c r="P49" s="35">
        <f t="shared" si="4"/>
        <v>2062037324.3500001</v>
      </c>
      <c r="Q49" s="35">
        <f t="shared" si="4"/>
        <v>2340653588.2800002</v>
      </c>
      <c r="R49" s="35">
        <f t="shared" si="4"/>
        <v>2039595524.52</v>
      </c>
      <c r="S49" s="35">
        <f t="shared" si="4"/>
        <v>1742664381.7199998</v>
      </c>
      <c r="T49" s="35">
        <f t="shared" si="4"/>
        <v>1698338027.1300001</v>
      </c>
      <c r="U49" s="35">
        <f t="shared" si="4"/>
        <v>1988884532.03</v>
      </c>
      <c r="V49" s="35">
        <f t="shared" si="4"/>
        <v>1673478330.3399999</v>
      </c>
      <c r="W49" s="35">
        <f t="shared" si="4"/>
        <v>1402223667.0899999</v>
      </c>
      <c r="X49" s="35">
        <f t="shared" si="4"/>
        <v>1322455731.3899999</v>
      </c>
      <c r="Y49" s="35">
        <f t="shared" si="4"/>
        <v>1564972446.96</v>
      </c>
      <c r="Z49" s="35">
        <f t="shared" si="4"/>
        <v>1264115386.0599999</v>
      </c>
      <c r="AA49" s="35">
        <f t="shared" si="4"/>
        <v>940393179.04999995</v>
      </c>
      <c r="AB49" s="35">
        <f t="shared" si="4"/>
        <v>1126869365.9099998</v>
      </c>
      <c r="AC49" s="35">
        <f t="shared" si="4"/>
        <v>1297884537.0699999</v>
      </c>
      <c r="AD49" s="35">
        <f t="shared" si="4"/>
        <v>1282186359.9200001</v>
      </c>
      <c r="AE49" s="35">
        <f t="shared" si="4"/>
        <v>1147711394.77</v>
      </c>
      <c r="AF49" s="35">
        <f t="shared" si="4"/>
        <v>1091875453.5899999</v>
      </c>
      <c r="AG49" s="35">
        <f t="shared" si="4"/>
        <v>1193082027.8199999</v>
      </c>
      <c r="AH49" s="35">
        <f t="shared" si="4"/>
        <v>997229163.66999996</v>
      </c>
      <c r="AI49" s="35">
        <f t="shared" si="4"/>
        <v>820281078.13999999</v>
      </c>
      <c r="AJ49" s="35">
        <f t="shared" si="4"/>
        <v>899228420.1400001</v>
      </c>
      <c r="AK49" s="35">
        <f t="shared" si="4"/>
        <v>876866825.5</v>
      </c>
      <c r="AL49" s="35">
        <f t="shared" si="4"/>
        <v>769210880.39999998</v>
      </c>
      <c r="AM49" s="35">
        <f t="shared" si="4"/>
        <v>536394301.54000002</v>
      </c>
      <c r="AN49" s="35">
        <f t="shared" si="4"/>
        <v>600217005.95000005</v>
      </c>
      <c r="AO49" s="35">
        <f t="shared" si="4"/>
        <v>486202347.65999997</v>
      </c>
      <c r="AP49" s="35">
        <f t="shared" si="4"/>
        <v>621984686.18999994</v>
      </c>
      <c r="AQ49" s="35">
        <f t="shared" si="4"/>
        <v>506311475.18000001</v>
      </c>
      <c r="AR49" s="35">
        <f t="shared" si="4"/>
        <v>572515422.86000001</v>
      </c>
      <c r="AS49" s="35">
        <f t="shared" si="4"/>
        <v>550464499.67999995</v>
      </c>
      <c r="AT49" s="35">
        <f t="shared" si="4"/>
        <v>490953940.69999999</v>
      </c>
      <c r="AU49" s="35">
        <f t="shared" si="4"/>
        <v>477607638.13999999</v>
      </c>
      <c r="AV49" s="35">
        <f t="shared" si="4"/>
        <v>515312549.69999999</v>
      </c>
      <c r="AW49" s="35">
        <f t="shared" si="4"/>
        <v>472723928.21000004</v>
      </c>
      <c r="AX49" s="35">
        <f t="shared" si="4"/>
        <v>467244898.49000007</v>
      </c>
      <c r="AY49" s="35">
        <f t="shared" si="4"/>
        <v>427479745.65000004</v>
      </c>
      <c r="AZ49" s="35">
        <f t="shared" si="4"/>
        <v>399217242.16000003</v>
      </c>
      <c r="BA49" s="35">
        <f t="shared" si="4"/>
        <v>343534159.31</v>
      </c>
      <c r="BB49" s="35">
        <f t="shared" si="4"/>
        <v>358490602.25999999</v>
      </c>
      <c r="BC49" s="35">
        <f t="shared" si="4"/>
        <v>298217945.55000001</v>
      </c>
      <c r="BD49" s="35">
        <f t="shared" si="4"/>
        <v>292624414.80000001</v>
      </c>
      <c r="BE49" s="35">
        <f t="shared" si="4"/>
        <v>242862097.36000001</v>
      </c>
      <c r="BF49" s="35">
        <f t="shared" si="4"/>
        <v>260657363.88000003</v>
      </c>
      <c r="BG49" s="35">
        <f t="shared" si="4"/>
        <v>179682756.75999999</v>
      </c>
      <c r="BH49" s="35">
        <f t="shared" si="4"/>
        <v>156773017.85999998</v>
      </c>
      <c r="BI49" s="35">
        <f t="shared" si="4"/>
        <v>122437403.95999999</v>
      </c>
      <c r="BJ49" s="35">
        <f t="shared" si="4"/>
        <v>91372976.75</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4753017401.1399994</v>
      </c>
      <c r="C50" s="36">
        <f t="shared" ref="C50:BN50" si="6">C33-C49</f>
        <v>2209336730.8200011</v>
      </c>
      <c r="D50" s="36">
        <f t="shared" si="6"/>
        <v>1766734069.8999996</v>
      </c>
      <c r="E50" s="36">
        <f t="shared" si="6"/>
        <v>1676575466.5499992</v>
      </c>
      <c r="F50" s="36">
        <f t="shared" si="6"/>
        <v>1640259018.8699999</v>
      </c>
      <c r="G50" s="36">
        <f t="shared" si="6"/>
        <v>1431996308.1399999</v>
      </c>
      <c r="H50" s="36">
        <f t="shared" si="6"/>
        <v>1538898186.3499994</v>
      </c>
      <c r="I50" s="36">
        <f t="shared" si="6"/>
        <v>1613278029.2599988</v>
      </c>
      <c r="J50" s="36">
        <f t="shared" si="6"/>
        <v>1688522562.0700002</v>
      </c>
      <c r="K50" s="36">
        <f t="shared" si="6"/>
        <v>1586724583.3800001</v>
      </c>
      <c r="L50" s="36">
        <f t="shared" si="6"/>
        <v>2374901638.2699995</v>
      </c>
      <c r="M50" s="36">
        <f t="shared" si="6"/>
        <v>2225892520.0400004</v>
      </c>
      <c r="N50" s="36">
        <f t="shared" si="6"/>
        <v>1808095255.9400005</v>
      </c>
      <c r="O50" s="36">
        <f t="shared" si="6"/>
        <v>1700168747.3700001</v>
      </c>
      <c r="P50" s="36">
        <f t="shared" si="6"/>
        <v>1578444423.9399993</v>
      </c>
      <c r="Q50" s="36">
        <f t="shared" si="6"/>
        <v>1387180146.25</v>
      </c>
      <c r="R50" s="36">
        <f t="shared" si="6"/>
        <v>1034913020.5999994</v>
      </c>
      <c r="S50" s="36">
        <f t="shared" si="6"/>
        <v>1092743752.5000005</v>
      </c>
      <c r="T50" s="36">
        <f t="shared" si="6"/>
        <v>1040107761.3699999</v>
      </c>
      <c r="U50" s="36">
        <f t="shared" si="6"/>
        <v>1035290874.7199996</v>
      </c>
      <c r="V50" s="36">
        <f t="shared" si="6"/>
        <v>900596915.91000056</v>
      </c>
      <c r="W50" s="36">
        <f t="shared" si="6"/>
        <v>998348814.40999961</v>
      </c>
      <c r="X50" s="36">
        <f t="shared" si="6"/>
        <v>922917637.38000011</v>
      </c>
      <c r="Y50" s="36">
        <f t="shared" si="6"/>
        <v>1003579860.27</v>
      </c>
      <c r="Z50" s="36">
        <f t="shared" si="6"/>
        <v>971562378.71000051</v>
      </c>
      <c r="AA50" s="36">
        <f t="shared" si="6"/>
        <v>1211546149.6500003</v>
      </c>
      <c r="AB50" s="36">
        <f t="shared" si="6"/>
        <v>1340677963.2000003</v>
      </c>
      <c r="AC50" s="36">
        <f t="shared" si="6"/>
        <v>1297074209.9000003</v>
      </c>
      <c r="AD50" s="36">
        <f t="shared" si="6"/>
        <v>1177604674.3699999</v>
      </c>
      <c r="AE50" s="36">
        <f t="shared" si="6"/>
        <v>1092209731.3200002</v>
      </c>
      <c r="AF50" s="36">
        <f t="shared" si="6"/>
        <v>985585763.06000018</v>
      </c>
      <c r="AG50" s="36">
        <f t="shared" si="6"/>
        <v>880437615.12999988</v>
      </c>
      <c r="AH50" s="36">
        <f t="shared" si="6"/>
        <v>809146854.70000017</v>
      </c>
      <c r="AI50" s="36">
        <f t="shared" si="6"/>
        <v>862264612.38999999</v>
      </c>
      <c r="AJ50" s="36">
        <f t="shared" si="6"/>
        <v>696243291.13999987</v>
      </c>
      <c r="AK50" s="36">
        <f t="shared" si="6"/>
        <v>506768983.1400001</v>
      </c>
      <c r="AL50" s="36">
        <f t="shared" si="6"/>
        <v>436980193.42999995</v>
      </c>
      <c r="AM50" s="36">
        <f t="shared" si="6"/>
        <v>425314498.65000004</v>
      </c>
      <c r="AN50" s="36">
        <f t="shared" si="6"/>
        <v>431152332.41999984</v>
      </c>
      <c r="AO50" s="36">
        <f t="shared" si="6"/>
        <v>480706719.60000002</v>
      </c>
      <c r="AP50" s="36">
        <f t="shared" si="6"/>
        <v>549605027.46999991</v>
      </c>
      <c r="AQ50" s="36">
        <f t="shared" si="6"/>
        <v>566817243.36000013</v>
      </c>
      <c r="AR50" s="36">
        <f t="shared" si="6"/>
        <v>454765314.2299999</v>
      </c>
      <c r="AS50" s="36">
        <f t="shared" si="6"/>
        <v>281980932.93999994</v>
      </c>
      <c r="AT50" s="36">
        <f t="shared" si="6"/>
        <v>444940001.75000006</v>
      </c>
      <c r="AU50" s="36">
        <f t="shared" si="6"/>
        <v>349653362.87</v>
      </c>
      <c r="AV50" s="36">
        <f t="shared" si="6"/>
        <v>363413654.77000004</v>
      </c>
      <c r="AW50" s="36">
        <f t="shared" si="6"/>
        <v>173855672.78999996</v>
      </c>
      <c r="AX50" s="36">
        <f t="shared" si="6"/>
        <v>362978839.09999985</v>
      </c>
      <c r="AY50" s="36">
        <f t="shared" si="6"/>
        <v>342163819.86999995</v>
      </c>
      <c r="AZ50" s="36">
        <f t="shared" si="6"/>
        <v>335610376.46999997</v>
      </c>
      <c r="BA50" s="36">
        <f t="shared" si="6"/>
        <v>197405879.38000005</v>
      </c>
      <c r="BB50" s="36">
        <f t="shared" si="6"/>
        <v>345635787.67000008</v>
      </c>
      <c r="BC50" s="36">
        <f t="shared" si="6"/>
        <v>318982811.22999996</v>
      </c>
      <c r="BD50" s="36">
        <f t="shared" si="6"/>
        <v>280716622.44</v>
      </c>
      <c r="BE50" s="36">
        <f t="shared" si="6"/>
        <v>155504312.19</v>
      </c>
      <c r="BF50" s="36">
        <f t="shared" si="6"/>
        <v>198895214.82999989</v>
      </c>
      <c r="BG50" s="36">
        <f t="shared" si="6"/>
        <v>251004603.18000007</v>
      </c>
      <c r="BH50" s="36">
        <f t="shared" si="6"/>
        <v>168352118.37000003</v>
      </c>
      <c r="BI50" s="36">
        <f t="shared" si="6"/>
        <v>124589627.98</v>
      </c>
      <c r="BJ50" s="36">
        <f t="shared" si="6"/>
        <v>99611967.430000007</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845655175.38999999</v>
      </c>
      <c r="C52" s="188">
        <v>846440856.22000003</v>
      </c>
      <c r="D52" s="188">
        <v>846939431.60000002</v>
      </c>
      <c r="E52" s="188">
        <v>829197651.77999997</v>
      </c>
      <c r="F52" s="188">
        <v>835208170.70000005</v>
      </c>
      <c r="G52" s="188">
        <v>845616583.50999999</v>
      </c>
      <c r="H52" s="188">
        <v>863474298.83000004</v>
      </c>
      <c r="I52" s="188">
        <v>885129598.11000001</v>
      </c>
      <c r="J52" s="188">
        <v>865765975.59000003</v>
      </c>
      <c r="K52" s="188">
        <v>882037067.98000002</v>
      </c>
      <c r="L52" s="188">
        <v>899483311.72000003</v>
      </c>
      <c r="M52" s="188">
        <v>920306368.97000003</v>
      </c>
      <c r="N52" s="188">
        <v>938498262.37</v>
      </c>
      <c r="O52" s="188">
        <v>929203611.47000003</v>
      </c>
      <c r="P52" s="188">
        <v>943345350.96000004</v>
      </c>
      <c r="Q52" s="188">
        <v>956192336.23000002</v>
      </c>
      <c r="R52" s="188">
        <v>913385359.46000004</v>
      </c>
      <c r="S52" s="188">
        <v>904565132.10000002</v>
      </c>
      <c r="T52" s="188">
        <v>883686468.32000005</v>
      </c>
      <c r="U52" s="188">
        <v>893776421.03999996</v>
      </c>
      <c r="V52" s="188">
        <v>850469552.28999996</v>
      </c>
      <c r="W52" s="188">
        <v>853882332.91999996</v>
      </c>
      <c r="X52" s="188">
        <v>863361856.91999996</v>
      </c>
      <c r="Y52" s="188">
        <v>883280538.14999998</v>
      </c>
      <c r="Z52" s="188">
        <v>887067679.28999996</v>
      </c>
      <c r="AA52" s="188">
        <v>909275979.10000002</v>
      </c>
      <c r="AB52" s="188">
        <v>858689729.16999996</v>
      </c>
      <c r="AC52" s="188">
        <v>868914923.52999997</v>
      </c>
      <c r="AD52" s="188">
        <v>845497082.80999994</v>
      </c>
      <c r="AE52" s="188">
        <v>813184210.67999995</v>
      </c>
      <c r="AF52" s="188">
        <v>712425897.19000006</v>
      </c>
      <c r="AG52" s="188">
        <v>702337389.64999998</v>
      </c>
      <c r="AH52" s="188">
        <v>658971781.52999997</v>
      </c>
      <c r="AI52" s="188">
        <v>646304383.38</v>
      </c>
      <c r="AJ52" s="188">
        <v>640162996.74000001</v>
      </c>
      <c r="AK52" s="188">
        <v>645105775.27999997</v>
      </c>
      <c r="AL52" s="188">
        <v>595998283.67999995</v>
      </c>
      <c r="AM52" s="188">
        <v>503931312.95999998</v>
      </c>
      <c r="AN52" s="188">
        <v>505664355.61000001</v>
      </c>
      <c r="AO52" s="188">
        <v>518596606.29000002</v>
      </c>
      <c r="AP52" s="188">
        <v>509528475.69999999</v>
      </c>
      <c r="AQ52" s="188">
        <v>498716549.76999998</v>
      </c>
      <c r="AR52" s="188">
        <v>503945044.57999998</v>
      </c>
      <c r="AS52" s="188">
        <v>506396091.01999998</v>
      </c>
      <c r="AT52" s="188">
        <v>481583234.95999998</v>
      </c>
      <c r="AU52" s="188">
        <v>479596911.10000002</v>
      </c>
      <c r="AV52" s="188">
        <v>481222834.00999999</v>
      </c>
      <c r="AW52" s="188">
        <v>587648347.01999998</v>
      </c>
      <c r="AX52" s="188">
        <v>562643881.24000001</v>
      </c>
      <c r="AY52" s="188">
        <v>560711229.44000006</v>
      </c>
      <c r="AZ52" s="188">
        <v>490048653.76999998</v>
      </c>
      <c r="BA52" s="188">
        <v>491515794.08999997</v>
      </c>
      <c r="BB52" s="188">
        <v>382738767.69</v>
      </c>
      <c r="BC52" s="188">
        <v>347154103.98000002</v>
      </c>
      <c r="BD52" s="188">
        <v>357416223.13</v>
      </c>
      <c r="BE52" s="188">
        <v>355137177.74000001</v>
      </c>
      <c r="BF52" s="188">
        <v>183416259.78999999</v>
      </c>
      <c r="BG52" s="188">
        <v>182050145.25999999</v>
      </c>
      <c r="BH52" s="188">
        <v>167178661.13999999</v>
      </c>
      <c r="BI52" s="188">
        <v>157308587.44</v>
      </c>
      <c r="BJ52" s="188">
        <v>97208103.209999993</v>
      </c>
      <c r="BK52" s="188">
        <v>0</v>
      </c>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40007602.5</v>
      </c>
      <c r="C53" s="188">
        <v>30527524.210000001</v>
      </c>
      <c r="D53" s="188">
        <v>31758566.539999999</v>
      </c>
      <c r="E53" s="188">
        <v>23464233.859999999</v>
      </c>
      <c r="F53" s="188">
        <v>25102772.57</v>
      </c>
      <c r="G53" s="188">
        <v>13922816.199999999</v>
      </c>
      <c r="H53" s="188">
        <v>8266946.3300000001</v>
      </c>
      <c r="I53" s="188">
        <v>5986693.8899999997</v>
      </c>
      <c r="J53" s="188">
        <v>32161706.23</v>
      </c>
      <c r="K53" s="188">
        <v>31504596.77</v>
      </c>
      <c r="L53" s="188">
        <v>26478013.510000002</v>
      </c>
      <c r="M53" s="188">
        <v>22568331.629999999</v>
      </c>
      <c r="N53" s="188">
        <v>11643770.859999999</v>
      </c>
      <c r="O53" s="188">
        <v>34359450.270000003</v>
      </c>
      <c r="P53" s="188">
        <v>29478753.859999999</v>
      </c>
      <c r="Q53" s="188">
        <v>24928527.129999999</v>
      </c>
      <c r="R53" s="188">
        <v>58005014.100000001</v>
      </c>
      <c r="S53" s="188">
        <v>44536370.399999999</v>
      </c>
      <c r="T53" s="188">
        <v>57203718.490000002</v>
      </c>
      <c r="U53" s="188">
        <v>61803487.530000001</v>
      </c>
      <c r="V53" s="188">
        <v>88521335.519999996</v>
      </c>
      <c r="W53" s="188">
        <v>77937961.269999996</v>
      </c>
      <c r="X53" s="188">
        <v>73913292.200000003</v>
      </c>
      <c r="Y53" s="188">
        <v>70351646.969999999</v>
      </c>
      <c r="Z53" s="188">
        <v>57455020.57</v>
      </c>
      <c r="AA53" s="188">
        <v>49130371.619999997</v>
      </c>
      <c r="AB53" s="188">
        <v>94903222.590000004</v>
      </c>
      <c r="AC53" s="188">
        <v>82267363.129999995</v>
      </c>
      <c r="AD53" s="188">
        <v>75629967.489999995</v>
      </c>
      <c r="AE53" s="188">
        <v>76361606.340000004</v>
      </c>
      <c r="AF53" s="188">
        <v>137683728.44999999</v>
      </c>
      <c r="AG53" s="188">
        <v>135110309.16999999</v>
      </c>
      <c r="AH53" s="188">
        <v>127028608.65000001</v>
      </c>
      <c r="AI53" s="188">
        <v>95222000.310000002</v>
      </c>
      <c r="AJ53" s="188">
        <v>67128855.920000002</v>
      </c>
      <c r="AK53" s="188">
        <v>41020320.869999997</v>
      </c>
      <c r="AL53" s="188">
        <v>29658580.949999999</v>
      </c>
      <c r="AM53" s="188">
        <v>106446742.56</v>
      </c>
      <c r="AN53" s="188">
        <v>85625358.75</v>
      </c>
      <c r="AO53" s="188">
        <v>58320879.020000003</v>
      </c>
      <c r="AP53" s="188">
        <v>60518202.850000001</v>
      </c>
      <c r="AQ53" s="188">
        <v>30284616.199999999</v>
      </c>
      <c r="AR53" s="188">
        <v>17945942.289999999</v>
      </c>
      <c r="AS53" s="188">
        <v>13922115.26</v>
      </c>
      <c r="AT53" s="188">
        <v>7636009.7599999998</v>
      </c>
      <c r="AU53" s="188">
        <v>8624005.0500000007</v>
      </c>
      <c r="AV53" s="188">
        <v>7931477.0300000003</v>
      </c>
      <c r="AW53" s="188">
        <v>2256444.58</v>
      </c>
      <c r="AX53" s="188">
        <v>9834750.9000000004</v>
      </c>
      <c r="AY53" s="188">
        <v>15071658.35</v>
      </c>
      <c r="AZ53" s="188">
        <v>25638013.98</v>
      </c>
      <c r="BA53" s="188">
        <v>23755902.77</v>
      </c>
      <c r="BB53" s="188">
        <v>106190153.54000001</v>
      </c>
      <c r="BC53" s="188">
        <v>132730659.20999999</v>
      </c>
      <c r="BD53" s="188">
        <v>119395366.63</v>
      </c>
      <c r="BE53" s="188">
        <v>109310437.37</v>
      </c>
      <c r="BF53" s="188">
        <v>176128911.28</v>
      </c>
      <c r="BG53" s="188">
        <v>87979072.959999993</v>
      </c>
      <c r="BH53" s="188">
        <v>40178867.450000003</v>
      </c>
      <c r="BI53" s="188">
        <v>2812603.37</v>
      </c>
      <c r="BJ53" s="188">
        <v>4327605.87</v>
      </c>
      <c r="BK53" s="188">
        <v>0</v>
      </c>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144000</v>
      </c>
      <c r="AW54" s="188">
        <v>0</v>
      </c>
      <c r="AX54" s="188">
        <v>0</v>
      </c>
      <c r="AY54" s="188">
        <v>0</v>
      </c>
      <c r="AZ54" s="188">
        <v>641200</v>
      </c>
      <c r="BA54" s="188">
        <v>641200</v>
      </c>
      <c r="BB54" s="188">
        <v>82813.5</v>
      </c>
      <c r="BC54" s="188">
        <v>82813.5</v>
      </c>
      <c r="BD54" s="188">
        <v>187707.72</v>
      </c>
      <c r="BE54" s="188">
        <v>134431.32999999999</v>
      </c>
      <c r="BF54" s="188">
        <v>16417103.300000001</v>
      </c>
      <c r="BG54" s="188">
        <v>1953916</v>
      </c>
      <c r="BH54" s="188">
        <v>1150000</v>
      </c>
      <c r="BI54" s="188">
        <v>0</v>
      </c>
      <c r="BJ54" s="188">
        <v>0</v>
      </c>
      <c r="BK54" s="188">
        <v>0</v>
      </c>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237028.52</v>
      </c>
      <c r="BA55" s="188">
        <v>0</v>
      </c>
      <c r="BB55" s="188">
        <v>0</v>
      </c>
      <c r="BC55" s="188">
        <v>0</v>
      </c>
      <c r="BD55" s="188">
        <v>0</v>
      </c>
      <c r="BE55" s="188">
        <v>0</v>
      </c>
      <c r="BF55" s="188">
        <v>0</v>
      </c>
      <c r="BG55" s="188">
        <v>0</v>
      </c>
      <c r="BH55" s="188">
        <v>0</v>
      </c>
      <c r="BI55" s="188">
        <v>0</v>
      </c>
      <c r="BJ55" s="188">
        <v>0</v>
      </c>
      <c r="BK55" s="188">
        <v>0</v>
      </c>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397145444.98000002</v>
      </c>
      <c r="C58" s="188">
        <v>332104562.19999999</v>
      </c>
      <c r="D58" s="188">
        <v>334657521.63</v>
      </c>
      <c r="E58" s="188">
        <v>334602690.62</v>
      </c>
      <c r="F58" s="188">
        <v>334747324.38</v>
      </c>
      <c r="G58" s="188">
        <v>318935629.38</v>
      </c>
      <c r="H58" s="188">
        <v>321099496.13</v>
      </c>
      <c r="I58" s="188">
        <v>255692979.28999999</v>
      </c>
      <c r="J58" s="188">
        <v>258652333.74000001</v>
      </c>
      <c r="K58" s="188">
        <v>261465307.84</v>
      </c>
      <c r="L58" s="188">
        <v>263874086.05000001</v>
      </c>
      <c r="M58" s="188">
        <v>220715082.65000001</v>
      </c>
      <c r="N58" s="188">
        <v>219661041.47999999</v>
      </c>
      <c r="O58" s="188">
        <v>221494462.36000001</v>
      </c>
      <c r="P58" s="188">
        <v>223519034.91</v>
      </c>
      <c r="Q58" s="188">
        <v>225590281.93000001</v>
      </c>
      <c r="R58" s="188">
        <v>226066293.47</v>
      </c>
      <c r="S58" s="188">
        <v>228035280.34</v>
      </c>
      <c r="T58" s="188">
        <v>228542750.34</v>
      </c>
      <c r="U58" s="188">
        <v>231184961.19</v>
      </c>
      <c r="V58" s="188">
        <v>231976535.27000001</v>
      </c>
      <c r="W58" s="188">
        <v>232369456.69</v>
      </c>
      <c r="X58" s="188">
        <v>233765392.00999999</v>
      </c>
      <c r="Y58" s="188">
        <v>234716293.40000001</v>
      </c>
      <c r="Z58" s="188">
        <v>235704929.77000001</v>
      </c>
      <c r="AA58" s="188">
        <v>236917241.13</v>
      </c>
      <c r="AB58" s="188">
        <v>232775268.59</v>
      </c>
      <c r="AC58" s="188">
        <v>234767108.08000001</v>
      </c>
      <c r="AD58" s="188">
        <v>232580092.13999999</v>
      </c>
      <c r="AE58" s="188">
        <v>235567171.81999999</v>
      </c>
      <c r="AF58" s="188">
        <v>236061343.33000001</v>
      </c>
      <c r="AG58" s="188">
        <v>237436820.05000001</v>
      </c>
      <c r="AH58" s="188">
        <v>186372543.53999999</v>
      </c>
      <c r="AI58" s="188">
        <v>187735450.88999999</v>
      </c>
      <c r="AJ58" s="188">
        <v>188952039.68000001</v>
      </c>
      <c r="AK58" s="188">
        <v>190411186.41999999</v>
      </c>
      <c r="AL58" s="188">
        <v>211285983.81</v>
      </c>
      <c r="AM58" s="188">
        <v>189416820.86000001</v>
      </c>
      <c r="AN58" s="188">
        <v>190339072.63</v>
      </c>
      <c r="AO58" s="188">
        <v>191678594.69999999</v>
      </c>
      <c r="AP58" s="188">
        <v>193113203.55000001</v>
      </c>
      <c r="AQ58" s="188">
        <v>193935522.08000001</v>
      </c>
      <c r="AR58" s="188">
        <v>194391495.15000001</v>
      </c>
      <c r="AS58" s="188">
        <v>195181555.06</v>
      </c>
      <c r="AT58" s="188">
        <v>206384313.74000001</v>
      </c>
      <c r="AU58" s="188">
        <v>193925009.99000001</v>
      </c>
      <c r="AV58" s="188">
        <v>102237026.77</v>
      </c>
      <c r="AW58" s="188">
        <v>3125764.44</v>
      </c>
      <c r="AX58" s="188">
        <v>201548.34</v>
      </c>
      <c r="AY58" s="188">
        <v>219855.84</v>
      </c>
      <c r="AZ58" s="188">
        <v>238163.34</v>
      </c>
      <c r="BA58" s="188">
        <v>256470.84</v>
      </c>
      <c r="BB58" s="188">
        <v>192650.84</v>
      </c>
      <c r="BC58" s="188">
        <v>218415.84</v>
      </c>
      <c r="BD58" s="188">
        <v>147128.34</v>
      </c>
      <c r="BE58" s="188">
        <v>161340.84</v>
      </c>
      <c r="BF58" s="188">
        <v>262369.34000000003</v>
      </c>
      <c r="BG58" s="188">
        <v>142965.84</v>
      </c>
      <c r="BH58" s="188">
        <v>166710.84</v>
      </c>
      <c r="BI58" s="188">
        <v>62880</v>
      </c>
      <c r="BJ58" s="188">
        <v>82500</v>
      </c>
      <c r="BK58" s="188">
        <v>0</v>
      </c>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122071.4</v>
      </c>
      <c r="AQ60" s="188">
        <v>122071.4</v>
      </c>
      <c r="AR60" s="188">
        <v>122071.4</v>
      </c>
      <c r="AS60" s="188">
        <v>122071.4</v>
      </c>
      <c r="AT60" s="188">
        <v>122071.4</v>
      </c>
      <c r="AU60" s="188">
        <v>122071.4</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3638886.78</v>
      </c>
      <c r="C61" s="188">
        <v>3982797.87</v>
      </c>
      <c r="D61" s="188">
        <v>4322781.66</v>
      </c>
      <c r="E61" s="188">
        <v>0</v>
      </c>
      <c r="F61" s="188">
        <v>0</v>
      </c>
      <c r="G61" s="188">
        <v>0</v>
      </c>
      <c r="H61" s="188">
        <v>0</v>
      </c>
      <c r="I61" s="188">
        <v>0</v>
      </c>
      <c r="J61" s="188">
        <v>0</v>
      </c>
      <c r="K61" s="188">
        <v>0</v>
      </c>
      <c r="L61" s="188">
        <v>0</v>
      </c>
      <c r="M61" s="188">
        <v>0</v>
      </c>
      <c r="N61" s="188">
        <v>0</v>
      </c>
      <c r="O61" s="188">
        <v>0</v>
      </c>
      <c r="P61" s="188">
        <v>0</v>
      </c>
      <c r="Q61" s="188">
        <v>0</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0</v>
      </c>
      <c r="AQ61" s="188">
        <v>0</v>
      </c>
      <c r="AR61" s="188">
        <v>0</v>
      </c>
      <c r="AS61" s="188">
        <v>0</v>
      </c>
      <c r="AT61" s="188">
        <v>0</v>
      </c>
      <c r="AU61" s="188">
        <v>0</v>
      </c>
      <c r="AV61" s="188">
        <v>0</v>
      </c>
      <c r="AW61" s="188">
        <v>0</v>
      </c>
      <c r="AX61" s="188">
        <v>0</v>
      </c>
      <c r="AY61" s="188">
        <v>0</v>
      </c>
      <c r="AZ61" s="188">
        <v>0</v>
      </c>
      <c r="BA61" s="188">
        <v>0</v>
      </c>
      <c r="BB61" s="188">
        <v>0</v>
      </c>
      <c r="BC61" s="188">
        <v>0</v>
      </c>
      <c r="BD61" s="188">
        <v>0</v>
      </c>
      <c r="BE61" s="188">
        <v>0</v>
      </c>
      <c r="BF61" s="188">
        <v>0</v>
      </c>
      <c r="BG61" s="188">
        <v>0</v>
      </c>
      <c r="BH61" s="188">
        <v>0</v>
      </c>
      <c r="BI61" s="188">
        <v>331076.47999999998</v>
      </c>
      <c r="BJ61" s="188">
        <v>683596.76</v>
      </c>
      <c r="BK61" s="188">
        <v>0</v>
      </c>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281409955.99000001</v>
      </c>
      <c r="C62" s="188">
        <v>267641247.88</v>
      </c>
      <c r="D62" s="188">
        <v>260753629.00999999</v>
      </c>
      <c r="E62" s="188">
        <v>209300649.86000001</v>
      </c>
      <c r="F62" s="188">
        <v>231870268.36000001</v>
      </c>
      <c r="G62" s="188">
        <v>217768506.87</v>
      </c>
      <c r="H62" s="188">
        <v>189708050.09</v>
      </c>
      <c r="I62" s="188">
        <v>150419830.47</v>
      </c>
      <c r="J62" s="188">
        <v>175259194.88999999</v>
      </c>
      <c r="K62" s="188">
        <v>162529077.77000001</v>
      </c>
      <c r="L62" s="188">
        <v>153711138.16999999</v>
      </c>
      <c r="M62" s="188">
        <v>129135893.03</v>
      </c>
      <c r="N62" s="188">
        <v>192689995.22999999</v>
      </c>
      <c r="O62" s="188">
        <v>182972667.09999999</v>
      </c>
      <c r="P62" s="188">
        <v>188855111.34</v>
      </c>
      <c r="Q62" s="188">
        <v>114946524.38</v>
      </c>
      <c r="R62" s="188">
        <v>107986780.91</v>
      </c>
      <c r="S62" s="188">
        <v>96899194.269999996</v>
      </c>
      <c r="T62" s="188">
        <v>96418351.75</v>
      </c>
      <c r="U62" s="188">
        <v>70944367.049999997</v>
      </c>
      <c r="V62" s="188">
        <v>75580519.019999996</v>
      </c>
      <c r="W62" s="188">
        <v>58370122.390000001</v>
      </c>
      <c r="X62" s="188">
        <v>58011354.520000003</v>
      </c>
      <c r="Y62" s="188">
        <v>43153451.390000001</v>
      </c>
      <c r="Z62" s="188">
        <v>53403541.060000002</v>
      </c>
      <c r="AA62" s="188">
        <v>47424314.700000003</v>
      </c>
      <c r="AB62" s="188">
        <v>55314763.07</v>
      </c>
      <c r="AC62" s="188">
        <v>34856090.460000001</v>
      </c>
      <c r="AD62" s="188">
        <v>51989755.060000002</v>
      </c>
      <c r="AE62" s="188">
        <v>49167840.859999999</v>
      </c>
      <c r="AF62" s="188">
        <v>45304403.640000001</v>
      </c>
      <c r="AG62" s="188">
        <v>29966500.23</v>
      </c>
      <c r="AH62" s="188">
        <v>50142221.729999997</v>
      </c>
      <c r="AI62" s="188">
        <v>46443198.710000001</v>
      </c>
      <c r="AJ62" s="188">
        <v>35458129.859999999</v>
      </c>
      <c r="AK62" s="188">
        <v>33919156.689999998</v>
      </c>
      <c r="AL62" s="188">
        <v>14203747.050000001</v>
      </c>
      <c r="AM62" s="188">
        <v>16509691.779999999</v>
      </c>
      <c r="AN62" s="188">
        <v>15964953.84</v>
      </c>
      <c r="AO62" s="188">
        <v>14692309.26</v>
      </c>
      <c r="AP62" s="188">
        <v>24100756.059999999</v>
      </c>
      <c r="AQ62" s="188">
        <v>21648453.850000001</v>
      </c>
      <c r="AR62" s="188">
        <v>21137441.329999998</v>
      </c>
      <c r="AS62" s="188">
        <v>20417134.559999999</v>
      </c>
      <c r="AT62" s="188">
        <v>14195711.85</v>
      </c>
      <c r="AU62" s="188">
        <v>14556104.119999999</v>
      </c>
      <c r="AV62" s="188">
        <v>17661053.52</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4484750</v>
      </c>
      <c r="C63" s="188">
        <v>4484750</v>
      </c>
      <c r="D63" s="188">
        <v>4484750</v>
      </c>
      <c r="E63" s="188">
        <v>4484750</v>
      </c>
      <c r="F63" s="188">
        <v>7317692.4500000002</v>
      </c>
      <c r="G63" s="188">
        <v>7496878.0700000003</v>
      </c>
      <c r="H63" s="188">
        <v>6659665.9800000004</v>
      </c>
      <c r="I63" s="188">
        <v>6833704.75</v>
      </c>
      <c r="J63" s="188">
        <v>129255</v>
      </c>
      <c r="K63" s="188">
        <v>4595275.0999999996</v>
      </c>
      <c r="L63" s="188">
        <v>7151962.3300000001</v>
      </c>
      <c r="M63" s="188">
        <v>1660392.12</v>
      </c>
      <c r="N63" s="188">
        <v>3450818.18</v>
      </c>
      <c r="O63" s="188">
        <v>4766904.09</v>
      </c>
      <c r="P63" s="188">
        <v>4609105.49</v>
      </c>
      <c r="Q63" s="188">
        <v>1161698.56</v>
      </c>
      <c r="R63" s="188">
        <v>316790.14</v>
      </c>
      <c r="S63" s="188">
        <v>820819.7</v>
      </c>
      <c r="T63" s="188">
        <v>259486.71</v>
      </c>
      <c r="U63" s="188">
        <v>821062</v>
      </c>
      <c r="V63" s="188">
        <v>1436919.48</v>
      </c>
      <c r="W63" s="188">
        <v>942075.46</v>
      </c>
      <c r="X63" s="188">
        <v>1179673.3799999999</v>
      </c>
      <c r="Y63" s="188">
        <v>556195.81000000006</v>
      </c>
      <c r="Z63" s="188">
        <v>721641.81</v>
      </c>
      <c r="AA63" s="188">
        <v>263655.56</v>
      </c>
      <c r="AB63" s="188">
        <v>117437.04</v>
      </c>
      <c r="AC63" s="188">
        <v>132136.13</v>
      </c>
      <c r="AD63" s="188">
        <v>992886.72</v>
      </c>
      <c r="AE63" s="188">
        <v>1403035.03</v>
      </c>
      <c r="AF63" s="188">
        <v>598650.15</v>
      </c>
      <c r="AG63" s="188">
        <v>548681.98</v>
      </c>
      <c r="AH63" s="188">
        <v>372018.54</v>
      </c>
      <c r="AI63" s="188">
        <v>418033.29</v>
      </c>
      <c r="AJ63" s="188">
        <v>157124.79</v>
      </c>
      <c r="AK63" s="188">
        <v>1952895</v>
      </c>
      <c r="AL63" s="188">
        <v>180532.5</v>
      </c>
      <c r="AM63" s="188">
        <v>1128900.3</v>
      </c>
      <c r="AN63" s="188">
        <v>1123290.7</v>
      </c>
      <c r="AO63" s="188">
        <v>1236501</v>
      </c>
      <c r="AP63" s="188">
        <v>0</v>
      </c>
      <c r="AQ63" s="188">
        <v>0</v>
      </c>
      <c r="AR63" s="188">
        <v>0</v>
      </c>
      <c r="AS63" s="188">
        <v>0</v>
      </c>
      <c r="AT63" s="188">
        <v>25390186.440000001</v>
      </c>
      <c r="AU63" s="188">
        <v>23187365.030000001</v>
      </c>
      <c r="AV63" s="188">
        <v>20546548.620000001</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1563372315.6399999</v>
      </c>
      <c r="C68" s="36">
        <f t="shared" ref="C68:BN68" si="8">SUM(C52:C64)-2*C63</f>
        <v>1476212238.3800001</v>
      </c>
      <c r="D68" s="36">
        <f t="shared" si="8"/>
        <v>1473947180.4400001</v>
      </c>
      <c r="E68" s="36">
        <f t="shared" si="8"/>
        <v>1392080476.1199999</v>
      </c>
      <c r="F68" s="36">
        <f t="shared" si="8"/>
        <v>1419610843.5600002</v>
      </c>
      <c r="G68" s="36">
        <f t="shared" si="8"/>
        <v>1388746657.8899999</v>
      </c>
      <c r="H68" s="36">
        <f t="shared" si="8"/>
        <v>1375889125.3999999</v>
      </c>
      <c r="I68" s="36">
        <f t="shared" si="8"/>
        <v>1290395397.01</v>
      </c>
      <c r="J68" s="36">
        <f t="shared" si="8"/>
        <v>1331709955.4499998</v>
      </c>
      <c r="K68" s="36">
        <f t="shared" si="8"/>
        <v>1332940775.2599998</v>
      </c>
      <c r="L68" s="36">
        <f t="shared" si="8"/>
        <v>1336394587.1199999</v>
      </c>
      <c r="M68" s="36">
        <f t="shared" si="8"/>
        <v>1291065284.1599998</v>
      </c>
      <c r="N68" s="36">
        <f t="shared" si="8"/>
        <v>1359042251.7600002</v>
      </c>
      <c r="O68" s="36">
        <f t="shared" si="8"/>
        <v>1363263287.1099997</v>
      </c>
      <c r="P68" s="36">
        <f t="shared" si="8"/>
        <v>1380589145.5799999</v>
      </c>
      <c r="Q68" s="36">
        <f t="shared" si="8"/>
        <v>1320495971.1100001</v>
      </c>
      <c r="R68" s="36">
        <f t="shared" si="8"/>
        <v>1305126657.8000002</v>
      </c>
      <c r="S68" s="36">
        <f t="shared" si="8"/>
        <v>1273215157.4099998</v>
      </c>
      <c r="T68" s="36">
        <f t="shared" si="8"/>
        <v>1265591802.1900001</v>
      </c>
      <c r="U68" s="36">
        <f t="shared" si="8"/>
        <v>1256888174.8099999</v>
      </c>
      <c r="V68" s="36">
        <f t="shared" si="8"/>
        <v>1245111022.6199999</v>
      </c>
      <c r="W68" s="36">
        <f t="shared" si="8"/>
        <v>1221617797.8099999</v>
      </c>
      <c r="X68" s="36">
        <f t="shared" si="8"/>
        <v>1227872222.2700002</v>
      </c>
      <c r="Y68" s="36">
        <f t="shared" si="8"/>
        <v>1230945734.1000001</v>
      </c>
      <c r="Z68" s="36">
        <f t="shared" si="8"/>
        <v>1232909528.8800001</v>
      </c>
      <c r="AA68" s="36">
        <f t="shared" si="8"/>
        <v>1242484250.99</v>
      </c>
      <c r="AB68" s="36">
        <f t="shared" si="8"/>
        <v>1241565546.3799999</v>
      </c>
      <c r="AC68" s="36">
        <f t="shared" si="8"/>
        <v>1220673349.0700002</v>
      </c>
      <c r="AD68" s="36">
        <f t="shared" si="8"/>
        <v>1204704010.78</v>
      </c>
      <c r="AE68" s="36">
        <f t="shared" si="8"/>
        <v>1172877794.6699998</v>
      </c>
      <c r="AF68" s="36">
        <f t="shared" si="8"/>
        <v>1130876722.4600003</v>
      </c>
      <c r="AG68" s="36">
        <f t="shared" si="8"/>
        <v>1104302337.1199999</v>
      </c>
      <c r="AH68" s="36">
        <f t="shared" si="8"/>
        <v>1022143136.9099998</v>
      </c>
      <c r="AI68" s="36">
        <f t="shared" si="8"/>
        <v>975287000</v>
      </c>
      <c r="AJ68" s="36">
        <f t="shared" si="8"/>
        <v>931544897.40999985</v>
      </c>
      <c r="AK68" s="36">
        <f t="shared" si="8"/>
        <v>908503544.25999999</v>
      </c>
      <c r="AL68" s="36">
        <f t="shared" si="8"/>
        <v>850966062.99000001</v>
      </c>
      <c r="AM68" s="36">
        <f t="shared" si="8"/>
        <v>815175667.8599999</v>
      </c>
      <c r="AN68" s="36">
        <f t="shared" si="8"/>
        <v>796470450.13000011</v>
      </c>
      <c r="AO68" s="36">
        <f t="shared" si="8"/>
        <v>782051888.26999998</v>
      </c>
      <c r="AP68" s="36">
        <f t="shared" si="8"/>
        <v>787382709.55999982</v>
      </c>
      <c r="AQ68" s="36">
        <f t="shared" si="8"/>
        <v>744707213.29999995</v>
      </c>
      <c r="AR68" s="36">
        <f t="shared" si="8"/>
        <v>737541994.75</v>
      </c>
      <c r="AS68" s="36">
        <f t="shared" si="8"/>
        <v>736038967.29999983</v>
      </c>
      <c r="AT68" s="36">
        <f t="shared" si="8"/>
        <v>684531155.2700001</v>
      </c>
      <c r="AU68" s="36">
        <f t="shared" si="8"/>
        <v>673636736.63000011</v>
      </c>
      <c r="AV68" s="36">
        <f t="shared" si="8"/>
        <v>588649842.70999992</v>
      </c>
      <c r="AW68" s="36">
        <f t="shared" si="8"/>
        <v>593030556.04000008</v>
      </c>
      <c r="AX68" s="36">
        <f t="shared" si="8"/>
        <v>572680180.48000002</v>
      </c>
      <c r="AY68" s="36">
        <f t="shared" si="8"/>
        <v>576002743.63000011</v>
      </c>
      <c r="AZ68" s="36">
        <f t="shared" si="8"/>
        <v>516803059.60999995</v>
      </c>
      <c r="BA68" s="36">
        <f t="shared" si="8"/>
        <v>516169367.69999993</v>
      </c>
      <c r="BB68" s="36">
        <f t="shared" si="8"/>
        <v>489204385.56999999</v>
      </c>
      <c r="BC68" s="36">
        <f t="shared" si="8"/>
        <v>480185992.52999997</v>
      </c>
      <c r="BD68" s="36">
        <f t="shared" si="8"/>
        <v>477146425.81999999</v>
      </c>
      <c r="BE68" s="36">
        <f t="shared" si="8"/>
        <v>464743387.27999997</v>
      </c>
      <c r="BF68" s="36">
        <f t="shared" si="8"/>
        <v>376224643.70999998</v>
      </c>
      <c r="BG68" s="36">
        <f t="shared" si="8"/>
        <v>272126100.05999994</v>
      </c>
      <c r="BH68" s="36">
        <f t="shared" si="8"/>
        <v>208674239.42999998</v>
      </c>
      <c r="BI68" s="36">
        <f t="shared" si="8"/>
        <v>160515147.28999999</v>
      </c>
      <c r="BJ68" s="36">
        <f t="shared" si="8"/>
        <v>102301805.84</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6316389716.7799988</v>
      </c>
      <c r="C69" s="33">
        <f t="shared" ref="C69:BN69" si="10">C50+C68</f>
        <v>3685548969.2000012</v>
      </c>
      <c r="D69" s="33">
        <f t="shared" si="10"/>
        <v>3240681250.3399997</v>
      </c>
      <c r="E69" s="33">
        <f t="shared" si="10"/>
        <v>3068655942.6699991</v>
      </c>
      <c r="F69" s="33">
        <f t="shared" si="10"/>
        <v>3059869862.4300003</v>
      </c>
      <c r="G69" s="33">
        <f t="shared" si="10"/>
        <v>2820742966.0299997</v>
      </c>
      <c r="H69" s="33">
        <f t="shared" si="10"/>
        <v>2914787311.749999</v>
      </c>
      <c r="I69" s="33">
        <f t="shared" si="10"/>
        <v>2903673426.2699986</v>
      </c>
      <c r="J69" s="33">
        <f t="shared" si="10"/>
        <v>3020232517.52</v>
      </c>
      <c r="K69" s="33">
        <f t="shared" si="10"/>
        <v>2919665358.6399999</v>
      </c>
      <c r="L69" s="33">
        <f t="shared" si="10"/>
        <v>3711296225.3899994</v>
      </c>
      <c r="M69" s="33">
        <f t="shared" si="10"/>
        <v>3516957804.2000003</v>
      </c>
      <c r="N69" s="33">
        <f t="shared" si="10"/>
        <v>3167137507.7000008</v>
      </c>
      <c r="O69" s="33">
        <f t="shared" si="10"/>
        <v>3063432034.4799995</v>
      </c>
      <c r="P69" s="33">
        <f t="shared" si="10"/>
        <v>2959033569.5199995</v>
      </c>
      <c r="Q69" s="33">
        <f t="shared" si="10"/>
        <v>2707676117.3600001</v>
      </c>
      <c r="R69" s="33">
        <f t="shared" si="10"/>
        <v>2340039678.3999996</v>
      </c>
      <c r="S69" s="33">
        <f t="shared" si="10"/>
        <v>2365958909.9100003</v>
      </c>
      <c r="T69" s="33">
        <f t="shared" si="10"/>
        <v>2305699563.5599999</v>
      </c>
      <c r="U69" s="33">
        <f t="shared" si="10"/>
        <v>2292179049.5299997</v>
      </c>
      <c r="V69" s="33">
        <f t="shared" si="10"/>
        <v>2145707938.5300004</v>
      </c>
      <c r="W69" s="33">
        <f t="shared" si="10"/>
        <v>2219966612.2199993</v>
      </c>
      <c r="X69" s="33">
        <f t="shared" si="10"/>
        <v>2150789859.6500006</v>
      </c>
      <c r="Y69" s="33">
        <f t="shared" si="10"/>
        <v>2234525594.3699999</v>
      </c>
      <c r="Z69" s="33">
        <f t="shared" si="10"/>
        <v>2204471907.5900006</v>
      </c>
      <c r="AA69" s="33">
        <f t="shared" si="10"/>
        <v>2454030400.6400003</v>
      </c>
      <c r="AB69" s="33">
        <f t="shared" si="10"/>
        <v>2582243509.5799999</v>
      </c>
      <c r="AC69" s="33">
        <f t="shared" si="10"/>
        <v>2517747558.9700003</v>
      </c>
      <c r="AD69" s="33">
        <f t="shared" si="10"/>
        <v>2382308685.1499996</v>
      </c>
      <c r="AE69" s="33">
        <f t="shared" si="10"/>
        <v>2265087525.9899998</v>
      </c>
      <c r="AF69" s="33">
        <f t="shared" si="10"/>
        <v>2116462485.5200005</v>
      </c>
      <c r="AG69" s="33">
        <f t="shared" si="10"/>
        <v>1984739952.2499998</v>
      </c>
      <c r="AH69" s="33">
        <f t="shared" si="10"/>
        <v>1831289991.6100001</v>
      </c>
      <c r="AI69" s="33">
        <f t="shared" si="10"/>
        <v>1837551612.3899999</v>
      </c>
      <c r="AJ69" s="33">
        <f t="shared" si="10"/>
        <v>1627788188.5499997</v>
      </c>
      <c r="AK69" s="33">
        <f t="shared" si="10"/>
        <v>1415272527.4000001</v>
      </c>
      <c r="AL69" s="33">
        <f t="shared" si="10"/>
        <v>1287946256.4200001</v>
      </c>
      <c r="AM69" s="33">
        <f t="shared" si="10"/>
        <v>1240490166.51</v>
      </c>
      <c r="AN69" s="33">
        <f t="shared" si="10"/>
        <v>1227622782.55</v>
      </c>
      <c r="AO69" s="33">
        <f t="shared" si="10"/>
        <v>1262758607.8699999</v>
      </c>
      <c r="AP69" s="33">
        <f t="shared" si="10"/>
        <v>1336987737.0299997</v>
      </c>
      <c r="AQ69" s="33">
        <f t="shared" si="10"/>
        <v>1311524456.6600001</v>
      </c>
      <c r="AR69" s="33">
        <f t="shared" si="10"/>
        <v>1192307308.98</v>
      </c>
      <c r="AS69" s="33">
        <f t="shared" si="10"/>
        <v>1018019900.2399998</v>
      </c>
      <c r="AT69" s="33">
        <f t="shared" si="10"/>
        <v>1129471157.0200002</v>
      </c>
      <c r="AU69" s="33">
        <f t="shared" si="10"/>
        <v>1023290099.5000001</v>
      </c>
      <c r="AV69" s="33">
        <f t="shared" si="10"/>
        <v>952063497.48000002</v>
      </c>
      <c r="AW69" s="33">
        <f t="shared" si="10"/>
        <v>766886228.83000004</v>
      </c>
      <c r="AX69" s="33">
        <f t="shared" si="10"/>
        <v>935659019.57999992</v>
      </c>
      <c r="AY69" s="33">
        <f t="shared" si="10"/>
        <v>918166563.5</v>
      </c>
      <c r="AZ69" s="33">
        <f t="shared" si="10"/>
        <v>852413436.07999992</v>
      </c>
      <c r="BA69" s="33">
        <f t="shared" si="10"/>
        <v>713575247.07999992</v>
      </c>
      <c r="BB69" s="33">
        <f t="shared" si="10"/>
        <v>834840173.24000001</v>
      </c>
      <c r="BC69" s="33">
        <f t="shared" si="10"/>
        <v>799168803.75999999</v>
      </c>
      <c r="BD69" s="33">
        <f t="shared" si="10"/>
        <v>757863048.25999999</v>
      </c>
      <c r="BE69" s="33">
        <f t="shared" si="10"/>
        <v>620247699.47000003</v>
      </c>
      <c r="BF69" s="33">
        <f t="shared" si="10"/>
        <v>575119858.53999984</v>
      </c>
      <c r="BG69" s="33">
        <f t="shared" si="10"/>
        <v>523130703.24000001</v>
      </c>
      <c r="BH69" s="33">
        <f t="shared" si="10"/>
        <v>377026357.80000001</v>
      </c>
      <c r="BI69" s="33">
        <f t="shared" si="10"/>
        <v>285104775.26999998</v>
      </c>
      <c r="BJ69" s="33">
        <f t="shared" si="10"/>
        <v>201913773.27000001</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8072967543.1999989</v>
      </c>
      <c r="C70" s="37">
        <f t="shared" ref="C70:BN70" si="12">C17+C19+C69</f>
        <v>5333545706.9500008</v>
      </c>
      <c r="D70" s="37">
        <f t="shared" si="12"/>
        <v>5616399545.7199993</v>
      </c>
      <c r="E70" s="37">
        <f t="shared" si="12"/>
        <v>5213639786.6299992</v>
      </c>
      <c r="F70" s="37">
        <f t="shared" si="12"/>
        <v>4976162507.460001</v>
      </c>
      <c r="G70" s="37">
        <f t="shared" si="12"/>
        <v>4694169908.46</v>
      </c>
      <c r="H70" s="37">
        <f t="shared" si="12"/>
        <v>4937607035.2799988</v>
      </c>
      <c r="I70" s="37">
        <f t="shared" si="12"/>
        <v>4565389662.8699989</v>
      </c>
      <c r="J70" s="37">
        <f t="shared" si="12"/>
        <v>4221102000.5</v>
      </c>
      <c r="K70" s="37">
        <f t="shared" si="12"/>
        <v>3946260206.9499998</v>
      </c>
      <c r="L70" s="37">
        <f t="shared" si="12"/>
        <v>5296201433.6599998</v>
      </c>
      <c r="M70" s="37">
        <f t="shared" si="12"/>
        <v>5012730562.0799999</v>
      </c>
      <c r="N70" s="37">
        <f t="shared" si="12"/>
        <v>4736104170.250001</v>
      </c>
      <c r="O70" s="37">
        <f t="shared" si="12"/>
        <v>4462956943.5799999</v>
      </c>
      <c r="P70" s="37">
        <f t="shared" si="12"/>
        <v>4545913740.5299997</v>
      </c>
      <c r="Q70" s="37">
        <f t="shared" si="12"/>
        <v>4291829670.1400003</v>
      </c>
      <c r="R70" s="37">
        <f t="shared" si="12"/>
        <v>4084820267.5599995</v>
      </c>
      <c r="S70" s="37">
        <f t="shared" si="12"/>
        <v>3886090455.0100002</v>
      </c>
      <c r="T70" s="37">
        <f t="shared" si="12"/>
        <v>3955795122.1099997</v>
      </c>
      <c r="U70" s="37">
        <f t="shared" si="12"/>
        <v>3747764364.5099998</v>
      </c>
      <c r="V70" s="37">
        <f t="shared" si="12"/>
        <v>3662715670.0200005</v>
      </c>
      <c r="W70" s="37">
        <f t="shared" si="12"/>
        <v>3490248682.0599995</v>
      </c>
      <c r="X70" s="37">
        <f t="shared" si="12"/>
        <v>3567241318.3000007</v>
      </c>
      <c r="Y70" s="37">
        <f t="shared" si="12"/>
        <v>3394726346.3500004</v>
      </c>
      <c r="Z70" s="37">
        <f t="shared" si="12"/>
        <v>3244843702.7500005</v>
      </c>
      <c r="AA70" s="37">
        <f t="shared" si="12"/>
        <v>3148735362.5800004</v>
      </c>
      <c r="AB70" s="37">
        <f t="shared" si="12"/>
        <v>3222313716.3899999</v>
      </c>
      <c r="AC70" s="37">
        <f t="shared" si="12"/>
        <v>3094259610.7600002</v>
      </c>
      <c r="AD70" s="37">
        <f t="shared" si="12"/>
        <v>2957796924.9599996</v>
      </c>
      <c r="AE70" s="37">
        <f t="shared" si="12"/>
        <v>2821898590.8799996</v>
      </c>
      <c r="AF70" s="37">
        <f t="shared" si="12"/>
        <v>2884240451.0200005</v>
      </c>
      <c r="AG70" s="37">
        <f t="shared" si="12"/>
        <v>2736677234.2099996</v>
      </c>
      <c r="AH70" s="37">
        <f t="shared" si="12"/>
        <v>2613523463.1900001</v>
      </c>
      <c r="AI70" s="37">
        <f t="shared" si="12"/>
        <v>2488516794.6199999</v>
      </c>
      <c r="AJ70" s="37">
        <f t="shared" si="12"/>
        <v>2499857212.8299999</v>
      </c>
      <c r="AK70" s="37">
        <f t="shared" si="12"/>
        <v>2387028595.3699999</v>
      </c>
      <c r="AL70" s="37">
        <f t="shared" si="12"/>
        <v>2308512612.4099998</v>
      </c>
      <c r="AM70" s="37">
        <f t="shared" si="12"/>
        <v>2222699925.6599998</v>
      </c>
      <c r="AN70" s="37">
        <f t="shared" si="12"/>
        <v>2241143445.29</v>
      </c>
      <c r="AO70" s="37">
        <f t="shared" si="12"/>
        <v>2163569816.8199997</v>
      </c>
      <c r="AP70" s="37">
        <f t="shared" si="12"/>
        <v>2059787930.1099997</v>
      </c>
      <c r="AQ70" s="37">
        <f t="shared" si="12"/>
        <v>1990187952.73</v>
      </c>
      <c r="AR70" s="37">
        <f t="shared" si="12"/>
        <v>1876896259.77</v>
      </c>
      <c r="AS70" s="37">
        <f t="shared" si="12"/>
        <v>1815459777.1099997</v>
      </c>
      <c r="AT70" s="37">
        <f t="shared" si="12"/>
        <v>1999887728.6900003</v>
      </c>
      <c r="AU70" s="37">
        <f t="shared" si="12"/>
        <v>1274755668.21</v>
      </c>
      <c r="AV70" s="37">
        <f t="shared" si="12"/>
        <v>1271529555.1199999</v>
      </c>
      <c r="AW70" s="37">
        <f t="shared" si="12"/>
        <v>1196462193.51</v>
      </c>
      <c r="AX70" s="37">
        <f t="shared" si="12"/>
        <v>1109794912.55</v>
      </c>
      <c r="AY70" s="37">
        <f t="shared" si="12"/>
        <v>1167081413.8199999</v>
      </c>
      <c r="AZ70" s="37">
        <f t="shared" si="12"/>
        <v>1078770415.9199998</v>
      </c>
      <c r="BA70" s="37">
        <f t="shared" si="12"/>
        <v>999458271.8499999</v>
      </c>
      <c r="BB70" s="37">
        <f t="shared" si="12"/>
        <v>1063734730.52</v>
      </c>
      <c r="BC70" s="37">
        <f t="shared" si="12"/>
        <v>1110529107.1900001</v>
      </c>
      <c r="BD70" s="37">
        <f t="shared" si="12"/>
        <v>1092776695.6599998</v>
      </c>
      <c r="BE70" s="37">
        <f t="shared" si="12"/>
        <v>1114411840.8900001</v>
      </c>
      <c r="BF70" s="37">
        <f t="shared" si="12"/>
        <v>1077404573.8799999</v>
      </c>
      <c r="BG70" s="37">
        <f t="shared" si="12"/>
        <v>582458354.44000006</v>
      </c>
      <c r="BH70" s="37">
        <f t="shared" si="12"/>
        <v>404060047.81</v>
      </c>
      <c r="BI70" s="37">
        <f t="shared" si="12"/>
        <v>312731674.85999995</v>
      </c>
      <c r="BJ70" s="37">
        <f t="shared" si="12"/>
        <v>216931209.45000002</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12825</v>
      </c>
      <c r="V72" s="28">
        <f t="shared" si="14"/>
        <v>0</v>
      </c>
      <c r="W72" s="28">
        <f t="shared" si="14"/>
        <v>0</v>
      </c>
      <c r="X72" s="28">
        <f t="shared" si="14"/>
        <v>0</v>
      </c>
      <c r="Y72" s="28">
        <f t="shared" si="14"/>
        <v>146036.97</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944900</v>
      </c>
      <c r="AP72" s="28">
        <f t="shared" si="14"/>
        <v>0</v>
      </c>
      <c r="AQ72" s="28">
        <f t="shared" si="14"/>
        <v>0</v>
      </c>
      <c r="AR72" s="28">
        <f t="shared" si="14"/>
        <v>0</v>
      </c>
      <c r="AS72" s="28">
        <f t="shared" si="14"/>
        <v>8014200</v>
      </c>
      <c r="AT72" s="28">
        <f t="shared" si="14"/>
        <v>305643051.12</v>
      </c>
      <c r="AU72" s="28">
        <f t="shared" si="14"/>
        <v>325458112.5</v>
      </c>
      <c r="AV72" s="28">
        <f t="shared" si="14"/>
        <v>328000000</v>
      </c>
      <c r="AW72" s="28">
        <f t="shared" si="14"/>
        <v>298000000</v>
      </c>
      <c r="AX72" s="28">
        <f t="shared" si="14"/>
        <v>265012191</v>
      </c>
      <c r="AY72" s="28">
        <f t="shared" si="14"/>
        <v>348000000</v>
      </c>
      <c r="AZ72" s="28">
        <f t="shared" si="14"/>
        <v>251609921.59999999</v>
      </c>
      <c r="BA72" s="28">
        <f t="shared" si="14"/>
        <v>195618656</v>
      </c>
      <c r="BB72" s="28">
        <f t="shared" si="14"/>
        <v>278144762.80000001</v>
      </c>
      <c r="BC72" s="28">
        <f t="shared" si="14"/>
        <v>345738534.5</v>
      </c>
      <c r="BD72" s="28">
        <f t="shared" si="14"/>
        <v>280294842.98000002</v>
      </c>
      <c r="BE72" s="28">
        <f t="shared" si="14"/>
        <v>317976911.5</v>
      </c>
      <c r="BF72" s="28">
        <f t="shared" si="14"/>
        <v>369637683.56999999</v>
      </c>
      <c r="BG72" s="28">
        <f t="shared" si="14"/>
        <v>284958573.60000002</v>
      </c>
      <c r="BH72" s="28">
        <f t="shared" si="14"/>
        <v>182507183.52000001</v>
      </c>
      <c r="BI72" s="28">
        <f t="shared" si="14"/>
        <v>109799280.7</v>
      </c>
      <c r="BJ72" s="28">
        <f t="shared" si="14"/>
        <v>58000000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8000000</v>
      </c>
      <c r="AT73" s="188">
        <v>305000000</v>
      </c>
      <c r="AU73" s="188">
        <v>325000000</v>
      </c>
      <c r="AV73" s="188">
        <v>328000000</v>
      </c>
      <c r="AW73" s="188">
        <v>298000000</v>
      </c>
      <c r="AX73" s="188">
        <v>265012191</v>
      </c>
      <c r="AY73" s="188">
        <v>348000000</v>
      </c>
      <c r="AZ73" s="188">
        <v>241009921.59999999</v>
      </c>
      <c r="BA73" s="188">
        <v>185000000</v>
      </c>
      <c r="BB73" s="188">
        <v>258144762.80000001</v>
      </c>
      <c r="BC73" s="188">
        <v>307648934.5</v>
      </c>
      <c r="BD73" s="188">
        <v>280189820</v>
      </c>
      <c r="BE73" s="188">
        <v>317873726.5</v>
      </c>
      <c r="BF73" s="188">
        <v>369637683.56999999</v>
      </c>
      <c r="BG73" s="188">
        <v>284958573.60000002</v>
      </c>
      <c r="BH73" s="188">
        <v>182473633.52000001</v>
      </c>
      <c r="BI73" s="188">
        <v>109799280.7</v>
      </c>
      <c r="BJ73" s="188">
        <v>58000000</v>
      </c>
      <c r="BK73" s="188">
        <v>0</v>
      </c>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v>0</v>
      </c>
      <c r="S74" s="188">
        <v>0</v>
      </c>
      <c r="T74" s="188">
        <v>0</v>
      </c>
      <c r="U74" s="188">
        <v>0</v>
      </c>
      <c r="V74" s="188">
        <v>0</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14200</v>
      </c>
      <c r="AT74" s="188">
        <v>643051.12</v>
      </c>
      <c r="AU74" s="188">
        <v>458112.5</v>
      </c>
      <c r="AV74" s="188">
        <v>0</v>
      </c>
      <c r="AW74" s="188">
        <v>0</v>
      </c>
      <c r="AX74" s="188">
        <v>0</v>
      </c>
      <c r="AY74" s="188">
        <v>0</v>
      </c>
      <c r="AZ74" s="188">
        <v>0</v>
      </c>
      <c r="BA74" s="188">
        <v>18656</v>
      </c>
      <c r="BB74" s="188">
        <v>0</v>
      </c>
      <c r="BC74" s="188">
        <v>89600</v>
      </c>
      <c r="BD74" s="188">
        <v>105022.98</v>
      </c>
      <c r="BE74" s="188">
        <v>103185</v>
      </c>
      <c r="BF74" s="188">
        <v>0</v>
      </c>
      <c r="BG74" s="188">
        <v>0</v>
      </c>
      <c r="BH74" s="188">
        <v>33550</v>
      </c>
      <c r="BI74" s="188">
        <v>0</v>
      </c>
      <c r="BJ74" s="188">
        <v>0</v>
      </c>
      <c r="BK74" s="188">
        <v>0</v>
      </c>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12825</v>
      </c>
      <c r="V75" s="188">
        <v>0</v>
      </c>
      <c r="W75" s="188">
        <v>0</v>
      </c>
      <c r="X75" s="188">
        <v>0</v>
      </c>
      <c r="Y75" s="188">
        <v>146036.97</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944900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10600000</v>
      </c>
      <c r="BA76" s="188">
        <v>10600000</v>
      </c>
      <c r="BB76" s="188">
        <v>20000000</v>
      </c>
      <c r="BC76" s="188">
        <v>38000000</v>
      </c>
      <c r="BD76" s="188">
        <v>0</v>
      </c>
      <c r="BE76" s="188">
        <v>0</v>
      </c>
      <c r="BF76" s="188">
        <v>0</v>
      </c>
      <c r="BG76" s="188">
        <v>0</v>
      </c>
      <c r="BH76" s="188">
        <v>0</v>
      </c>
      <c r="BI76" s="188">
        <v>0</v>
      </c>
      <c r="BJ76" s="188">
        <v>0</v>
      </c>
      <c r="BK76" s="188">
        <v>0</v>
      </c>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20000000</v>
      </c>
      <c r="BC81" s="28">
        <f t="shared" si="16"/>
        <v>20000000</v>
      </c>
      <c r="BD81" s="28">
        <f t="shared" si="16"/>
        <v>58000000</v>
      </c>
      <c r="BE81" s="28">
        <f t="shared" si="16"/>
        <v>58000000</v>
      </c>
      <c r="BF81" s="28">
        <f t="shared" si="16"/>
        <v>58000000</v>
      </c>
      <c r="BG81" s="28">
        <f t="shared" si="16"/>
        <v>58000000</v>
      </c>
      <c r="BH81" s="28">
        <f t="shared" si="16"/>
        <v>20000000</v>
      </c>
      <c r="BI81" s="28">
        <f t="shared" si="16"/>
        <v>40079737.100000001</v>
      </c>
      <c r="BJ81" s="28">
        <f t="shared" si="16"/>
        <v>31307269.920000002</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20000000</v>
      </c>
      <c r="BC82" s="188">
        <v>20000000</v>
      </c>
      <c r="BD82" s="188">
        <v>58000000</v>
      </c>
      <c r="BE82" s="188">
        <v>58000000</v>
      </c>
      <c r="BF82" s="188">
        <v>58000000</v>
      </c>
      <c r="BG82" s="188">
        <v>58000000</v>
      </c>
      <c r="BH82" s="188">
        <v>20000000</v>
      </c>
      <c r="BI82" s="188">
        <v>40079737.100000001</v>
      </c>
      <c r="BJ82" s="188">
        <v>31307269.920000002</v>
      </c>
      <c r="BK82" s="188">
        <v>0</v>
      </c>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12825</v>
      </c>
      <c r="V89" s="33">
        <f t="shared" si="18"/>
        <v>0</v>
      </c>
      <c r="W89" s="33">
        <f t="shared" si="18"/>
        <v>0</v>
      </c>
      <c r="X89" s="33">
        <f t="shared" si="18"/>
        <v>0</v>
      </c>
      <c r="Y89" s="33">
        <f t="shared" si="18"/>
        <v>146036.97</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944900</v>
      </c>
      <c r="AP89" s="33">
        <f t="shared" si="18"/>
        <v>0</v>
      </c>
      <c r="AQ89" s="33">
        <f t="shared" si="18"/>
        <v>0</v>
      </c>
      <c r="AR89" s="33">
        <f t="shared" si="18"/>
        <v>0</v>
      </c>
      <c r="AS89" s="33">
        <f t="shared" si="18"/>
        <v>8014200</v>
      </c>
      <c r="AT89" s="33">
        <f t="shared" si="18"/>
        <v>305643051.12</v>
      </c>
      <c r="AU89" s="33">
        <f t="shared" si="18"/>
        <v>325458112.5</v>
      </c>
      <c r="AV89" s="33">
        <f t="shared" si="18"/>
        <v>328000000</v>
      </c>
      <c r="AW89" s="33">
        <f t="shared" si="18"/>
        <v>298000000</v>
      </c>
      <c r="AX89" s="33">
        <f t="shared" si="18"/>
        <v>265012191</v>
      </c>
      <c r="AY89" s="33">
        <f t="shared" si="18"/>
        <v>348000000</v>
      </c>
      <c r="AZ89" s="33">
        <f t="shared" si="18"/>
        <v>251609921.59999999</v>
      </c>
      <c r="BA89" s="33">
        <f t="shared" si="18"/>
        <v>195618656</v>
      </c>
      <c r="BB89" s="33">
        <f t="shared" si="18"/>
        <v>298144762.80000001</v>
      </c>
      <c r="BC89" s="33">
        <f t="shared" si="18"/>
        <v>365738534.5</v>
      </c>
      <c r="BD89" s="33">
        <f t="shared" si="18"/>
        <v>338294842.98000002</v>
      </c>
      <c r="BE89" s="33">
        <f t="shared" si="18"/>
        <v>375976911.5</v>
      </c>
      <c r="BF89" s="33">
        <f t="shared" si="18"/>
        <v>427637683.56999999</v>
      </c>
      <c r="BG89" s="33">
        <f t="shared" si="18"/>
        <v>342958573.60000002</v>
      </c>
      <c r="BH89" s="33">
        <f t="shared" si="18"/>
        <v>202507183.52000001</v>
      </c>
      <c r="BI89" s="33">
        <f t="shared" si="18"/>
        <v>149879017.80000001</v>
      </c>
      <c r="BJ89" s="33">
        <f t="shared" si="18"/>
        <v>89307269.920000002</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821243960</v>
      </c>
      <c r="C91" s="188">
        <v>821243960</v>
      </c>
      <c r="D91" s="188">
        <v>821287610</v>
      </c>
      <c r="E91" s="188">
        <v>821287610</v>
      </c>
      <c r="F91" s="188">
        <v>821287610</v>
      </c>
      <c r="G91" s="188">
        <v>821287610</v>
      </c>
      <c r="H91" s="188">
        <v>631765700</v>
      </c>
      <c r="I91" s="188">
        <v>631765700</v>
      </c>
      <c r="J91" s="188">
        <v>631765700</v>
      </c>
      <c r="K91" s="188">
        <v>631765700</v>
      </c>
      <c r="L91" s="188">
        <v>632875188</v>
      </c>
      <c r="M91" s="188">
        <v>632875188</v>
      </c>
      <c r="N91" s="188">
        <v>632875188</v>
      </c>
      <c r="O91" s="188">
        <v>632875188</v>
      </c>
      <c r="P91" s="188">
        <v>633853440</v>
      </c>
      <c r="Q91" s="188">
        <v>633853440</v>
      </c>
      <c r="R91" s="188">
        <v>633853440</v>
      </c>
      <c r="S91" s="188">
        <v>633853440</v>
      </c>
      <c r="T91" s="188">
        <v>634394112</v>
      </c>
      <c r="U91" s="188">
        <v>634394112</v>
      </c>
      <c r="V91" s="188">
        <v>634504112</v>
      </c>
      <c r="W91" s="188">
        <v>634977200</v>
      </c>
      <c r="X91" s="188">
        <v>634977200</v>
      </c>
      <c r="Y91" s="188">
        <v>634977200</v>
      </c>
      <c r="Z91" s="188">
        <v>634977200</v>
      </c>
      <c r="AA91" s="188">
        <v>634977200</v>
      </c>
      <c r="AB91" s="188">
        <v>577252000</v>
      </c>
      <c r="AC91" s="188">
        <v>577252000</v>
      </c>
      <c r="AD91" s="188">
        <v>577252000</v>
      </c>
      <c r="AE91" s="188">
        <v>577252000</v>
      </c>
      <c r="AF91" s="188">
        <v>577252000</v>
      </c>
      <c r="AG91" s="188">
        <v>577252000</v>
      </c>
      <c r="AH91" s="188">
        <v>577252000</v>
      </c>
      <c r="AI91" s="188">
        <v>577252000</v>
      </c>
      <c r="AJ91" s="188">
        <v>444040000</v>
      </c>
      <c r="AK91" s="188">
        <v>444040000</v>
      </c>
      <c r="AL91" s="188">
        <v>444040000</v>
      </c>
      <c r="AM91" s="188">
        <v>444040000</v>
      </c>
      <c r="AN91" s="188">
        <v>444040000</v>
      </c>
      <c r="AO91" s="188">
        <v>444040000</v>
      </c>
      <c r="AP91" s="188">
        <v>444040000</v>
      </c>
      <c r="AQ91" s="188">
        <v>444040000</v>
      </c>
      <c r="AR91" s="188">
        <v>432040000</v>
      </c>
      <c r="AS91" s="188">
        <v>216020000</v>
      </c>
      <c r="AT91" s="188">
        <v>216020000</v>
      </c>
      <c r="AU91" s="188">
        <v>176020000</v>
      </c>
      <c r="AV91" s="188">
        <v>176020000</v>
      </c>
      <c r="AW91" s="188">
        <v>176020000</v>
      </c>
      <c r="AX91" s="188">
        <v>176020000</v>
      </c>
      <c r="AY91" s="188">
        <v>176020000</v>
      </c>
      <c r="AZ91" s="188">
        <v>176020000</v>
      </c>
      <c r="BA91" s="188">
        <v>176020000</v>
      </c>
      <c r="BB91" s="188">
        <v>176020000</v>
      </c>
      <c r="BC91" s="188">
        <v>176020000</v>
      </c>
      <c r="BD91" s="188">
        <v>135400000</v>
      </c>
      <c r="BE91" s="188">
        <v>135400000</v>
      </c>
      <c r="BF91" s="188">
        <v>135400000</v>
      </c>
      <c r="BG91" s="188">
        <v>101400000</v>
      </c>
      <c r="BH91" s="188">
        <v>101400000</v>
      </c>
      <c r="BI91" s="188">
        <v>78000000</v>
      </c>
      <c r="BJ91" s="188">
        <v>60000000</v>
      </c>
      <c r="BK91" s="188">
        <v>0</v>
      </c>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128096466.84</v>
      </c>
      <c r="C92" s="188">
        <v>128747489.37</v>
      </c>
      <c r="D92" s="188">
        <v>104566775.37</v>
      </c>
      <c r="E92" s="188">
        <v>93907646.370000005</v>
      </c>
      <c r="F92" s="188">
        <v>60821185.420000002</v>
      </c>
      <c r="G92" s="188">
        <v>60059812.969999999</v>
      </c>
      <c r="H92" s="188">
        <v>41621553.32</v>
      </c>
      <c r="I92" s="188">
        <v>39885839.32</v>
      </c>
      <c r="J92" s="188">
        <v>38075666.32</v>
      </c>
      <c r="K92" s="188">
        <v>36265478.32</v>
      </c>
      <c r="L92" s="188">
        <v>559392209.72000003</v>
      </c>
      <c r="M92" s="188">
        <v>557582021.72000003</v>
      </c>
      <c r="N92" s="188">
        <v>554728653.14999998</v>
      </c>
      <c r="O92" s="188">
        <v>551574030.14999998</v>
      </c>
      <c r="P92" s="188">
        <v>550217414.70000005</v>
      </c>
      <c r="Q92" s="188">
        <v>544286532.14999998</v>
      </c>
      <c r="R92" s="188">
        <v>546297203.13999999</v>
      </c>
      <c r="S92" s="188">
        <v>540430943.63</v>
      </c>
      <c r="T92" s="188">
        <v>535705222.82999998</v>
      </c>
      <c r="U92" s="188">
        <v>531694082.70999998</v>
      </c>
      <c r="V92" s="188">
        <v>629250231.61000001</v>
      </c>
      <c r="W92" s="188">
        <v>627319218.74000001</v>
      </c>
      <c r="X92" s="188">
        <v>622945444.13</v>
      </c>
      <c r="Y92" s="188">
        <v>618571669.51999998</v>
      </c>
      <c r="Z92" s="188">
        <v>652895375.96000004</v>
      </c>
      <c r="AA92" s="188">
        <v>648521601.35000002</v>
      </c>
      <c r="AB92" s="188">
        <v>706191679.13999999</v>
      </c>
      <c r="AC92" s="188">
        <v>706526646.33000004</v>
      </c>
      <c r="AD92" s="188">
        <v>706526646.33000004</v>
      </c>
      <c r="AE92" s="188">
        <v>706526646.33000004</v>
      </c>
      <c r="AF92" s="188">
        <v>706526646.33000004</v>
      </c>
      <c r="AG92" s="188">
        <v>706526646.33000004</v>
      </c>
      <c r="AH92" s="188">
        <v>706526646.33000004</v>
      </c>
      <c r="AI92" s="188">
        <v>706526646.33000004</v>
      </c>
      <c r="AJ92" s="188">
        <v>839738646.33000004</v>
      </c>
      <c r="AK92" s="188">
        <v>839738646.33000004</v>
      </c>
      <c r="AL92" s="188">
        <v>839738646.33000004</v>
      </c>
      <c r="AM92" s="188">
        <v>839738646.33000004</v>
      </c>
      <c r="AN92" s="188">
        <v>839738646.33000004</v>
      </c>
      <c r="AO92" s="188">
        <v>839738646.33000004</v>
      </c>
      <c r="AP92" s="188">
        <v>833550966.33000004</v>
      </c>
      <c r="AQ92" s="188">
        <v>827363286.33000004</v>
      </c>
      <c r="AR92" s="188">
        <v>788818006.33000004</v>
      </c>
      <c r="AS92" s="188">
        <v>1002087926.33</v>
      </c>
      <c r="AT92" s="188">
        <v>996126121.97000003</v>
      </c>
      <c r="AU92" s="188">
        <v>328400281.97000003</v>
      </c>
      <c r="AV92" s="188">
        <v>324275161.97000003</v>
      </c>
      <c r="AW92" s="188">
        <v>318087481.97000003</v>
      </c>
      <c r="AX92" s="188">
        <v>317767481.97000003</v>
      </c>
      <c r="AY92" s="188">
        <v>317937481.97000003</v>
      </c>
      <c r="AZ92" s="188">
        <v>317937481.97000003</v>
      </c>
      <c r="BA92" s="188">
        <v>317937481.97000003</v>
      </c>
      <c r="BB92" s="188">
        <v>317937481.98000002</v>
      </c>
      <c r="BC92" s="188">
        <v>320937481.98000002</v>
      </c>
      <c r="BD92" s="188">
        <v>361557481.98000002</v>
      </c>
      <c r="BE92" s="188">
        <v>361535762.72000003</v>
      </c>
      <c r="BF92" s="188">
        <v>360569005.33999997</v>
      </c>
      <c r="BG92" s="188">
        <v>257664.67</v>
      </c>
      <c r="BH92" s="188">
        <v>245377.56</v>
      </c>
      <c r="BI92" s="188">
        <v>167123.41</v>
      </c>
      <c r="BJ92" s="188">
        <v>3138.86</v>
      </c>
      <c r="BK92" s="188">
        <v>0</v>
      </c>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4300000</v>
      </c>
      <c r="C93" s="188">
        <v>21945167.690000001</v>
      </c>
      <c r="D93" s="188">
        <v>21945167.690000001</v>
      </c>
      <c r="E93" s="188">
        <v>21945167.690000001</v>
      </c>
      <c r="F93" s="188">
        <v>0</v>
      </c>
      <c r="G93" s="188">
        <v>0</v>
      </c>
      <c r="H93" s="188">
        <v>0</v>
      </c>
      <c r="I93" s="188">
        <v>0</v>
      </c>
      <c r="J93" s="188">
        <v>0</v>
      </c>
      <c r="K93" s="188">
        <v>0</v>
      </c>
      <c r="L93" s="188">
        <v>0</v>
      </c>
      <c r="M93" s="188">
        <v>0</v>
      </c>
      <c r="N93" s="188">
        <v>0</v>
      </c>
      <c r="O93" s="188">
        <v>0</v>
      </c>
      <c r="P93" s="188">
        <v>0</v>
      </c>
      <c r="Q93" s="188">
        <v>0</v>
      </c>
      <c r="R93" s="188">
        <v>2729067.34</v>
      </c>
      <c r="S93" s="188">
        <v>2729067.34</v>
      </c>
      <c r="T93" s="188">
        <v>2729067.34</v>
      </c>
      <c r="U93" s="188">
        <v>2729067.34</v>
      </c>
      <c r="V93" s="188">
        <v>1386858.52</v>
      </c>
      <c r="W93" s="188">
        <v>1386858.52</v>
      </c>
      <c r="X93" s="188">
        <v>1386858.52</v>
      </c>
      <c r="Y93" s="188">
        <v>1386858.52</v>
      </c>
      <c r="Z93" s="188">
        <v>34671462.890000001</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-25062369.719999999</v>
      </c>
      <c r="C94" s="188">
        <v>-28916481.059999999</v>
      </c>
      <c r="D94" s="188">
        <v>-35604109.420000002</v>
      </c>
      <c r="E94" s="188">
        <v>-29493764.27</v>
      </c>
      <c r="F94" s="188">
        <v>-27421597.609999999</v>
      </c>
      <c r="G94" s="188">
        <v>-24417425.140000001</v>
      </c>
      <c r="H94" s="188">
        <v>-21868391.539999999</v>
      </c>
      <c r="I94" s="188">
        <v>-21115130.390000001</v>
      </c>
      <c r="J94" s="188">
        <v>-23567793.23</v>
      </c>
      <c r="K94" s="188">
        <v>-24538839.489999998</v>
      </c>
      <c r="L94" s="188">
        <v>-27728833.190000001</v>
      </c>
      <c r="M94" s="188">
        <v>-20233714.960000001</v>
      </c>
      <c r="N94" s="188">
        <v>-27167879.379999999</v>
      </c>
      <c r="O94" s="188">
        <v>-28083373.120000001</v>
      </c>
      <c r="P94" s="188">
        <v>-29234335.260000002</v>
      </c>
      <c r="Q94" s="188">
        <v>-24083236.09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393893137.70999998</v>
      </c>
      <c r="C96" s="188">
        <v>393893137.70999998</v>
      </c>
      <c r="D96" s="188">
        <v>393893137.70999998</v>
      </c>
      <c r="E96" s="188">
        <v>393893137.70999998</v>
      </c>
      <c r="F96" s="188">
        <v>295189204.06</v>
      </c>
      <c r="G96" s="188">
        <v>295681206.47000003</v>
      </c>
      <c r="H96" s="188">
        <v>295681206.47000003</v>
      </c>
      <c r="I96" s="188">
        <v>295681206.47000003</v>
      </c>
      <c r="J96" s="188">
        <v>188929186.03999999</v>
      </c>
      <c r="K96" s="188">
        <v>188929186.03999999</v>
      </c>
      <c r="L96" s="188">
        <v>197410981.99000001</v>
      </c>
      <c r="M96" s="188">
        <v>197410981.99000001</v>
      </c>
      <c r="N96" s="188">
        <v>154971348.5</v>
      </c>
      <c r="O96" s="188">
        <v>154971348.5</v>
      </c>
      <c r="P96" s="188">
        <v>154971348.5</v>
      </c>
      <c r="Q96" s="188">
        <v>154971348.5</v>
      </c>
      <c r="R96" s="188">
        <v>140734083.88999999</v>
      </c>
      <c r="S96" s="188">
        <v>140734083.88999999</v>
      </c>
      <c r="T96" s="188">
        <v>140734083.88999999</v>
      </c>
      <c r="U96" s="188">
        <v>140734083.88999999</v>
      </c>
      <c r="V96" s="188">
        <v>100350805.31</v>
      </c>
      <c r="W96" s="188">
        <v>100350805.31</v>
      </c>
      <c r="X96" s="188">
        <v>100350805.31</v>
      </c>
      <c r="Y96" s="188">
        <v>100350805.31</v>
      </c>
      <c r="Z96" s="188">
        <v>87619991.480000004</v>
      </c>
      <c r="AA96" s="188">
        <v>87619991.480000004</v>
      </c>
      <c r="AB96" s="188">
        <v>87619991.480000004</v>
      </c>
      <c r="AC96" s="188">
        <v>87619991.480000004</v>
      </c>
      <c r="AD96" s="188">
        <v>72019463.530000001</v>
      </c>
      <c r="AE96" s="188">
        <v>72019463.530000001</v>
      </c>
      <c r="AF96" s="188">
        <v>72019463.530000001</v>
      </c>
      <c r="AG96" s="188">
        <v>72019463.530000001</v>
      </c>
      <c r="AH96" s="188">
        <v>55292673.18</v>
      </c>
      <c r="AI96" s="188">
        <v>55292673.18</v>
      </c>
      <c r="AJ96" s="188">
        <v>55292673.18</v>
      </c>
      <c r="AK96" s="188">
        <v>55292673.18</v>
      </c>
      <c r="AL96" s="188">
        <v>26938903.940000001</v>
      </c>
      <c r="AM96" s="188">
        <v>26938903.940000001</v>
      </c>
      <c r="AN96" s="188">
        <v>26938903.940000001</v>
      </c>
      <c r="AO96" s="188">
        <v>26938903.940000001</v>
      </c>
      <c r="AP96" s="188">
        <v>17002277.309999999</v>
      </c>
      <c r="AQ96" s="188">
        <v>17002277.309999999</v>
      </c>
      <c r="AR96" s="188">
        <v>17002277.309999999</v>
      </c>
      <c r="AS96" s="188">
        <v>17002277.309999999</v>
      </c>
      <c r="AT96" s="188">
        <v>48840603.5</v>
      </c>
      <c r="AU96" s="188">
        <v>48840603.5</v>
      </c>
      <c r="AV96" s="188">
        <v>50145199.039999999</v>
      </c>
      <c r="AW96" s="188">
        <v>50145199.039999999</v>
      </c>
      <c r="AX96" s="188">
        <v>40262323.799999997</v>
      </c>
      <c r="AY96" s="188">
        <v>40262323.799999997</v>
      </c>
      <c r="AZ96" s="188">
        <v>40262323.799999997</v>
      </c>
      <c r="BA96" s="188">
        <v>40262323.799999997</v>
      </c>
      <c r="BB96" s="188">
        <v>34032175.009999998</v>
      </c>
      <c r="BC96" s="188">
        <v>34032175.009999998</v>
      </c>
      <c r="BD96" s="188">
        <v>34032175.009999998</v>
      </c>
      <c r="BE96" s="188">
        <v>34032175.009999998</v>
      </c>
      <c r="BF96" s="188">
        <v>24461025.140000001</v>
      </c>
      <c r="BG96" s="188">
        <v>24461025.140000001</v>
      </c>
      <c r="BH96" s="188">
        <v>24461025.140000001</v>
      </c>
      <c r="BI96" s="188">
        <v>13390831.9</v>
      </c>
      <c r="BJ96" s="188">
        <v>5094868.63</v>
      </c>
      <c r="BK96" s="188">
        <v>0</v>
      </c>
      <c r="BL96" s="188">
        <v>0</v>
      </c>
      <c r="BM96" s="188">
        <v>514616932.22000003</v>
      </c>
      <c r="BN96" s="188">
        <v>532995116.52999997</v>
      </c>
      <c r="BO96" s="188">
        <v>532995116.52999997</v>
      </c>
      <c r="BP96" s="188">
        <v>532995116.52999997</v>
      </c>
      <c r="BQ96" s="188">
        <v>509141743.60000002</v>
      </c>
      <c r="BR96" s="188">
        <v>523552327.32999998</v>
      </c>
      <c r="BS96" s="188">
        <v>521485306.50999999</v>
      </c>
      <c r="BT96" s="188">
        <v>449217251.44999999</v>
      </c>
      <c r="BU96" s="188">
        <v>441083881.37</v>
      </c>
      <c r="BV96" s="188">
        <v>378462836.27999997</v>
      </c>
      <c r="BW96" s="188">
        <v>376817081</v>
      </c>
      <c r="BX96" s="188">
        <v>281534785.00999999</v>
      </c>
      <c r="BY96" s="188">
        <v>281534785.00999999</v>
      </c>
      <c r="BZ96" s="188">
        <v>163247580</v>
      </c>
      <c r="CA96" s="188">
        <v>163247576.69999999</v>
      </c>
      <c r="CB96" s="188">
        <v>109984000</v>
      </c>
      <c r="CC96" s="188">
        <v>0</v>
      </c>
      <c r="CD96" s="188">
        <v>0</v>
      </c>
      <c r="CE96" s="188">
        <v>0</v>
      </c>
      <c r="CF96" s="188">
        <v>0</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4012546683.4299998</v>
      </c>
      <c r="C98" s="188">
        <v>4025147518.9499998</v>
      </c>
      <c r="D98" s="188">
        <v>4333296405.4300003</v>
      </c>
      <c r="E98" s="188">
        <v>3940017051.6199999</v>
      </c>
      <c r="F98" s="188">
        <v>3809890609.5100002</v>
      </c>
      <c r="G98" s="188">
        <v>3514924126.79</v>
      </c>
      <c r="H98" s="188">
        <v>3960589789.8000002</v>
      </c>
      <c r="I98" s="188">
        <v>3594110982.1900001</v>
      </c>
      <c r="J98" s="188">
        <v>3365483897.3699999</v>
      </c>
      <c r="K98" s="188">
        <v>3093880017.5599999</v>
      </c>
      <c r="L98" s="188">
        <v>3328676875.1500001</v>
      </c>
      <c r="M98" s="188">
        <v>3053468801.7800002</v>
      </c>
      <c r="N98" s="188">
        <v>2843911983.9299998</v>
      </c>
      <c r="O98" s="188">
        <v>2601985060.6599998</v>
      </c>
      <c r="P98" s="188">
        <v>2709662334.0599999</v>
      </c>
      <c r="Q98" s="188">
        <v>2479039992.0700002</v>
      </c>
      <c r="R98" s="188">
        <v>2311580036.2800002</v>
      </c>
      <c r="S98" s="188">
        <v>2134766858.8199999</v>
      </c>
      <c r="T98" s="188">
        <v>2227531437.3499999</v>
      </c>
      <c r="U98" s="188">
        <v>2038044079.3299999</v>
      </c>
      <c r="V98" s="188">
        <v>1922515755.6300001</v>
      </c>
      <c r="W98" s="188">
        <v>1764682686.45</v>
      </c>
      <c r="X98" s="188">
        <v>1857688740.76</v>
      </c>
      <c r="Y98" s="188">
        <v>1699424373.4200001</v>
      </c>
      <c r="Z98" s="188">
        <v>1576175709.01</v>
      </c>
      <c r="AA98" s="188">
        <v>1463053561.4200001</v>
      </c>
      <c r="AB98" s="188">
        <v>1544958208.8</v>
      </c>
      <c r="AC98" s="188">
        <v>1416191742.78</v>
      </c>
      <c r="AD98" s="188">
        <v>1308698959.26</v>
      </c>
      <c r="AE98" s="188">
        <v>1187316081.96</v>
      </c>
      <c r="AF98" s="188">
        <v>1258540888.3</v>
      </c>
      <c r="AG98" s="188">
        <v>1117782670.01</v>
      </c>
      <c r="AH98" s="188">
        <v>1026872067.9400001</v>
      </c>
      <c r="AI98" s="188">
        <v>909811452.71000004</v>
      </c>
      <c r="AJ98" s="188">
        <v>925217902.53999996</v>
      </c>
      <c r="AK98" s="188">
        <v>819391236.27999997</v>
      </c>
      <c r="AL98" s="188">
        <v>740715251.50999999</v>
      </c>
      <c r="AM98" s="188">
        <v>660912099.42999995</v>
      </c>
      <c r="AN98" s="188">
        <v>691994278.77999997</v>
      </c>
      <c r="AO98" s="188">
        <v>626136248.87</v>
      </c>
      <c r="AP98" s="188">
        <v>553271386.09000003</v>
      </c>
      <c r="AQ98" s="188">
        <v>501857721.25999999</v>
      </c>
      <c r="AR98" s="188">
        <v>452937934.54000002</v>
      </c>
      <c r="AS98" s="188">
        <v>399565884.54000002</v>
      </c>
      <c r="AT98" s="188">
        <v>275077725.54000002</v>
      </c>
      <c r="AU98" s="188">
        <v>246376839.16</v>
      </c>
      <c r="AV98" s="188">
        <v>249975200.00999999</v>
      </c>
      <c r="AW98" s="188">
        <v>228954861.94999999</v>
      </c>
      <c r="AX98" s="188">
        <v>196821140.66</v>
      </c>
      <c r="AY98" s="188">
        <v>179173990.25999999</v>
      </c>
      <c r="AZ98" s="188">
        <v>194932728.91</v>
      </c>
      <c r="BA98" s="188">
        <v>171831320.43000001</v>
      </c>
      <c r="BB98" s="188">
        <v>151388446.02000001</v>
      </c>
      <c r="BC98" s="188">
        <v>138329393</v>
      </c>
      <c r="BD98" s="188">
        <v>150340064.38999999</v>
      </c>
      <c r="BE98" s="188">
        <v>135914216.56</v>
      </c>
      <c r="BF98" s="188">
        <v>119014478.76000001</v>
      </c>
      <c r="BG98" s="188">
        <v>105377473.61</v>
      </c>
      <c r="BH98" s="188">
        <v>82336547.469999999</v>
      </c>
      <c r="BI98" s="188">
        <v>40332782.049999997</v>
      </c>
      <c r="BJ98" s="188">
        <v>30935816.93</v>
      </c>
      <c r="BK98" s="188">
        <v>0</v>
      </c>
      <c r="BL98" s="188">
        <v>0</v>
      </c>
      <c r="BM98" s="188">
        <v>-844702753.35000002</v>
      </c>
      <c r="BN98" s="188">
        <v>23308984.289999999</v>
      </c>
      <c r="BO98" s="188">
        <v>16419357.449999999</v>
      </c>
      <c r="BP98" s="188">
        <v>14625494.76</v>
      </c>
      <c r="BQ98" s="188">
        <v>-96131665.379999995</v>
      </c>
      <c r="BR98" s="188">
        <v>90055038.739999995</v>
      </c>
      <c r="BS98" s="188">
        <v>-7638774.2199999997</v>
      </c>
      <c r="BT98" s="188">
        <v>111880296.84999999</v>
      </c>
      <c r="BU98" s="188">
        <v>5559599.3700000001</v>
      </c>
      <c r="BV98" s="188">
        <v>130516314.52</v>
      </c>
      <c r="BW98" s="188">
        <v>1192309.3700000001</v>
      </c>
      <c r="BX98" s="188">
        <v>139112375.13999999</v>
      </c>
      <c r="BY98" s="188">
        <v>8664960.5399999991</v>
      </c>
      <c r="BZ98" s="188">
        <v>113810140</v>
      </c>
      <c r="CA98" s="188">
        <v>1005645.92</v>
      </c>
      <c r="CB98" s="188">
        <v>97456000</v>
      </c>
      <c r="CC98" s="188">
        <v>0</v>
      </c>
      <c r="CD98" s="188">
        <v>0</v>
      </c>
      <c r="CE98" s="188">
        <v>0</v>
      </c>
      <c r="CF98" s="188">
        <v>0</v>
      </c>
      <c r="CG98" s="188">
        <v>12975517.09</v>
      </c>
      <c r="CH98" s="188">
        <v>0</v>
      </c>
      <c r="CI98" s="188">
        <v>0</v>
      </c>
      <c r="CJ98" s="188">
        <v>0</v>
      </c>
      <c r="CK98" s="188">
        <v>0</v>
      </c>
      <c r="CL98" s="188">
        <v>0</v>
      </c>
    </row>
    <row r="99" spans="1:90" x14ac:dyDescent="0.25">
      <c r="A99" s="127" t="s">
        <v>70</v>
      </c>
      <c r="B99" s="188">
        <v>0</v>
      </c>
      <c r="C99" s="188">
        <v>199.21</v>
      </c>
      <c r="D99" s="188">
        <v>199.21</v>
      </c>
      <c r="E99" s="188">
        <v>0</v>
      </c>
      <c r="F99" s="188">
        <v>0</v>
      </c>
      <c r="G99" s="188">
        <v>0</v>
      </c>
      <c r="H99" s="188">
        <v>0</v>
      </c>
      <c r="I99" s="188">
        <v>0</v>
      </c>
      <c r="J99" s="188">
        <v>0</v>
      </c>
      <c r="K99" s="188">
        <v>0</v>
      </c>
      <c r="L99" s="188">
        <v>0</v>
      </c>
      <c r="M99" s="188">
        <v>0</v>
      </c>
      <c r="N99" s="188">
        <v>0</v>
      </c>
      <c r="O99" s="188">
        <v>0</v>
      </c>
      <c r="P99" s="188">
        <v>0</v>
      </c>
      <c r="Q99" s="188">
        <v>0</v>
      </c>
      <c r="R99" s="188">
        <v>66675.850000000006</v>
      </c>
      <c r="S99" s="188">
        <v>66675.850000000006</v>
      </c>
      <c r="T99" s="188">
        <v>0</v>
      </c>
      <c r="U99" s="188">
        <v>0</v>
      </c>
      <c r="V99" s="188">
        <v>36300</v>
      </c>
      <c r="W99" s="188">
        <v>36300</v>
      </c>
      <c r="X99" s="188">
        <v>0</v>
      </c>
      <c r="Y99" s="188">
        <v>0</v>
      </c>
      <c r="Z99" s="188">
        <v>0</v>
      </c>
      <c r="AA99" s="188">
        <v>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0</v>
      </c>
      <c r="AQ99" s="188">
        <v>0</v>
      </c>
      <c r="AR99" s="188">
        <v>0</v>
      </c>
      <c r="AS99" s="188">
        <v>0</v>
      </c>
      <c r="AT99" s="188">
        <v>0</v>
      </c>
      <c r="AU99" s="188">
        <v>0</v>
      </c>
      <c r="AV99" s="188">
        <v>0</v>
      </c>
      <c r="AW99" s="188">
        <v>0</v>
      </c>
      <c r="AX99" s="188">
        <v>0</v>
      </c>
      <c r="AY99" s="188">
        <v>0</v>
      </c>
      <c r="AZ99" s="188">
        <v>0</v>
      </c>
      <c r="BA99" s="188">
        <v>0</v>
      </c>
      <c r="BB99" s="188">
        <v>0</v>
      </c>
      <c r="BC99" s="188">
        <v>0</v>
      </c>
      <c r="BD99" s="188">
        <v>0</v>
      </c>
      <c r="BE99" s="188">
        <v>0</v>
      </c>
      <c r="BF99" s="188">
        <v>0</v>
      </c>
      <c r="BG99" s="188">
        <v>0</v>
      </c>
      <c r="BH99" s="188">
        <v>0</v>
      </c>
      <c r="BI99" s="188">
        <v>15600000</v>
      </c>
      <c r="BJ99" s="188">
        <v>3489043.57</v>
      </c>
      <c r="BK99" s="188">
        <v>0</v>
      </c>
      <c r="BL99" s="188">
        <v>0</v>
      </c>
      <c r="BM99" s="188">
        <v>9518525.0800000001</v>
      </c>
      <c r="BN99" s="188">
        <v>7066374.0300000003</v>
      </c>
      <c r="BO99" s="188">
        <v>11783023.49</v>
      </c>
      <c r="BP99" s="188">
        <v>23493855.32</v>
      </c>
      <c r="BQ99" s="188">
        <v>12629036.779999999</v>
      </c>
      <c r="BR99" s="188">
        <v>50390900.770000003</v>
      </c>
      <c r="BS99" s="188">
        <v>120358214.53</v>
      </c>
      <c r="BT99" s="188">
        <v>93746556</v>
      </c>
      <c r="BU99" s="188">
        <v>115988482</v>
      </c>
      <c r="BV99" s="188">
        <v>136913940</v>
      </c>
      <c r="BW99" s="188">
        <v>150111252</v>
      </c>
      <c r="BX99" s="188">
        <v>143925012</v>
      </c>
      <c r="BY99" s="188">
        <v>143925012</v>
      </c>
      <c r="BZ99" s="188">
        <v>0</v>
      </c>
      <c r="CA99" s="188">
        <v>124569132</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c r="BK101" s="188"/>
      <c r="BL101" s="188">
        <v>0</v>
      </c>
      <c r="BM101" s="188">
        <v>-53564061.170000002</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5326417878.2600002</v>
      </c>
      <c r="C102" s="188">
        <v>5318170457.2799997</v>
      </c>
      <c r="D102" s="188">
        <v>5595494651.3999996</v>
      </c>
      <c r="E102" s="188">
        <v>5197666513.7399998</v>
      </c>
      <c r="F102" s="188">
        <v>4959767011.3800001</v>
      </c>
      <c r="G102" s="188">
        <v>4667535331.0900002</v>
      </c>
      <c r="H102" s="188">
        <v>4907789858.0500002</v>
      </c>
      <c r="I102" s="188">
        <v>4540328597.5900002</v>
      </c>
      <c r="J102" s="188">
        <v>4200686656.5</v>
      </c>
      <c r="K102" s="188">
        <v>3926301542.4299998</v>
      </c>
      <c r="L102" s="188">
        <v>4690626421.6700001</v>
      </c>
      <c r="M102" s="188">
        <v>4421103278.5299997</v>
      </c>
      <c r="N102" s="188">
        <v>4159319294.1999998</v>
      </c>
      <c r="O102" s="188">
        <v>3913322254.1900001</v>
      </c>
      <c r="P102" s="188">
        <v>4019470202</v>
      </c>
      <c r="Q102" s="188">
        <v>3788068076.6300001</v>
      </c>
      <c r="R102" s="188">
        <v>3601770784.8299999</v>
      </c>
      <c r="S102" s="188">
        <v>3420172932.6100001</v>
      </c>
      <c r="T102" s="188">
        <v>3508743550.04</v>
      </c>
      <c r="U102" s="188">
        <v>3318850290.5999999</v>
      </c>
      <c r="V102" s="188">
        <v>3258207932.6700001</v>
      </c>
      <c r="W102" s="188">
        <v>3100442245.29</v>
      </c>
      <c r="X102" s="188">
        <v>3190514058.3099999</v>
      </c>
      <c r="Y102" s="188">
        <v>3032744003.4299998</v>
      </c>
      <c r="Z102" s="188">
        <v>2894422696.8400002</v>
      </c>
      <c r="AA102" s="188">
        <v>2811362369.6199999</v>
      </c>
      <c r="AB102" s="188">
        <v>2895968075.4299998</v>
      </c>
      <c r="AC102" s="188">
        <v>2768635583.3200002</v>
      </c>
      <c r="AD102" s="188">
        <v>2643012932.0100002</v>
      </c>
      <c r="AE102" s="188">
        <v>2523248024.3600001</v>
      </c>
      <c r="AF102" s="188">
        <v>2595558337.71</v>
      </c>
      <c r="AG102" s="188">
        <v>2460371246.9699998</v>
      </c>
      <c r="AH102" s="188">
        <v>2353469231.54</v>
      </c>
      <c r="AI102" s="188">
        <v>2238154181.5900002</v>
      </c>
      <c r="AJ102" s="188">
        <v>2253825122.4299998</v>
      </c>
      <c r="AK102" s="188">
        <v>2149616362.6100001</v>
      </c>
      <c r="AL102" s="188">
        <v>2045671378.5799999</v>
      </c>
      <c r="AM102" s="188">
        <v>1965636495.6600001</v>
      </c>
      <c r="AN102" s="188">
        <v>1996711502.05</v>
      </c>
      <c r="AO102" s="188">
        <v>1930606743.6500001</v>
      </c>
      <c r="AP102" s="188">
        <v>1843060068.78</v>
      </c>
      <c r="AQ102" s="188">
        <v>1784890793.8</v>
      </c>
      <c r="AR102" s="188">
        <v>1688075705</v>
      </c>
      <c r="AS102" s="188">
        <v>1633339955.8800001</v>
      </c>
      <c r="AT102" s="188">
        <v>1536087624.99</v>
      </c>
      <c r="AU102" s="188">
        <v>799546936.37</v>
      </c>
      <c r="AV102" s="188">
        <v>800415561.01999998</v>
      </c>
      <c r="AW102" s="188">
        <v>773207542.96000004</v>
      </c>
      <c r="AX102" s="188">
        <v>730870946.42999995</v>
      </c>
      <c r="AY102" s="188">
        <v>713393796.02999997</v>
      </c>
      <c r="AZ102" s="188">
        <v>729152534.67999995</v>
      </c>
      <c r="BA102" s="188">
        <v>706051126.20000005</v>
      </c>
      <c r="BB102" s="188">
        <v>679378103.00999999</v>
      </c>
      <c r="BC102" s="188">
        <v>669319049.99000001</v>
      </c>
      <c r="BD102" s="188">
        <v>681329721.38</v>
      </c>
      <c r="BE102" s="188">
        <v>666882154.28999996</v>
      </c>
      <c r="BF102" s="188">
        <v>639444509.24000001</v>
      </c>
      <c r="BG102" s="188">
        <v>231496163.41999999</v>
      </c>
      <c r="BH102" s="188">
        <v>208442950.16999999</v>
      </c>
      <c r="BI102" s="188">
        <v>131890737.36</v>
      </c>
      <c r="BJ102" s="188">
        <v>96033824.420000002</v>
      </c>
      <c r="BK102" s="188">
        <v>0</v>
      </c>
      <c r="BL102" s="188">
        <v>1232986711.73</v>
      </c>
      <c r="BM102" s="188">
        <v>1088684900.8699999</v>
      </c>
      <c r="BN102" s="188">
        <v>2002189786.72</v>
      </c>
      <c r="BO102" s="188">
        <v>2003629182.0799999</v>
      </c>
      <c r="BP102" s="188">
        <v>2008131495.1099999</v>
      </c>
      <c r="BQ102" s="188">
        <v>1885176795.4000001</v>
      </c>
      <c r="BR102" s="188">
        <v>2084143143.1700001</v>
      </c>
      <c r="BS102" s="188">
        <v>1984382309.3900001</v>
      </c>
      <c r="BT102" s="188">
        <v>2030772023.45</v>
      </c>
      <c r="BU102" s="188">
        <v>1916317955.8900001</v>
      </c>
      <c r="BV102" s="188">
        <v>1978580024.24</v>
      </c>
      <c r="BW102" s="188">
        <v>1847610264</v>
      </c>
      <c r="BX102" s="188">
        <v>1900095026.55</v>
      </c>
      <c r="BY102" s="188">
        <v>1748382626.23</v>
      </c>
      <c r="BZ102" s="188">
        <v>1730822380</v>
      </c>
      <c r="CA102" s="188">
        <v>897055696.82000005</v>
      </c>
      <c r="CB102" s="188">
        <v>632687000</v>
      </c>
      <c r="CC102" s="188">
        <v>535868324.89999998</v>
      </c>
      <c r="CD102" s="188">
        <v>302480905.87</v>
      </c>
      <c r="CE102" s="188">
        <v>222188111.08000001</v>
      </c>
      <c r="CF102" s="188">
        <v>0</v>
      </c>
      <c r="CG102" s="188">
        <v>492362941.67000002</v>
      </c>
      <c r="CH102" s="188">
        <v>203800000</v>
      </c>
      <c r="CI102" s="188">
        <v>162870000</v>
      </c>
      <c r="CJ102" s="188">
        <v>92660000</v>
      </c>
      <c r="CK102" s="188">
        <v>75420000</v>
      </c>
      <c r="CL102" s="188">
        <v>0</v>
      </c>
    </row>
    <row r="103" spans="1:90" x14ac:dyDescent="0.25">
      <c r="A103" s="127" t="s">
        <v>73</v>
      </c>
      <c r="B103" s="188">
        <v>-92540.12</v>
      </c>
      <c r="C103" s="188">
        <v>241709.84</v>
      </c>
      <c r="D103" s="188">
        <v>534904.93999999994</v>
      </c>
      <c r="E103" s="188">
        <v>823272.89</v>
      </c>
      <c r="F103" s="188">
        <v>1245496.08</v>
      </c>
      <c r="G103" s="188">
        <v>11484577.369999999</v>
      </c>
      <c r="H103" s="188">
        <v>19667177.23</v>
      </c>
      <c r="I103" s="188">
        <v>17911065.280000001</v>
      </c>
      <c r="J103" s="188">
        <v>17415344</v>
      </c>
      <c r="K103" s="188">
        <v>16958664.52</v>
      </c>
      <c r="L103" s="188">
        <v>602575011.99000001</v>
      </c>
      <c r="M103" s="188">
        <v>588627283.54999995</v>
      </c>
      <c r="N103" s="188">
        <v>563771521.04999995</v>
      </c>
      <c r="O103" s="188">
        <v>536621334.38999999</v>
      </c>
      <c r="P103" s="188">
        <v>513430183.52999997</v>
      </c>
      <c r="Q103" s="188">
        <v>490748238.50999999</v>
      </c>
      <c r="R103" s="188">
        <v>473809451.88</v>
      </c>
      <c r="S103" s="188">
        <v>451010191.55000001</v>
      </c>
      <c r="T103" s="188">
        <v>432210917.06999999</v>
      </c>
      <c r="U103" s="188">
        <v>414060593.91000003</v>
      </c>
      <c r="V103" s="188">
        <v>404471437.35000002</v>
      </c>
      <c r="W103" s="188">
        <v>389770136.76999998</v>
      </c>
      <c r="X103" s="188">
        <v>376727259.99000001</v>
      </c>
      <c r="Y103" s="188">
        <v>361836305.94999999</v>
      </c>
      <c r="Z103" s="188">
        <v>350421005.91000003</v>
      </c>
      <c r="AA103" s="188">
        <v>337372992.95999998</v>
      </c>
      <c r="AB103" s="188">
        <v>326345640.95999998</v>
      </c>
      <c r="AC103" s="188">
        <v>325624027.44</v>
      </c>
      <c r="AD103" s="188">
        <v>314783992.94999999</v>
      </c>
      <c r="AE103" s="188">
        <v>298650566.51999998</v>
      </c>
      <c r="AF103" s="188">
        <v>288682113.31</v>
      </c>
      <c r="AG103" s="188">
        <v>276305987.24000001</v>
      </c>
      <c r="AH103" s="188">
        <v>260054231.65000001</v>
      </c>
      <c r="AI103" s="188">
        <v>250362613.03</v>
      </c>
      <c r="AJ103" s="188">
        <v>246032090.40000001</v>
      </c>
      <c r="AK103" s="188">
        <v>237412232.75999999</v>
      </c>
      <c r="AL103" s="188">
        <v>262841233.83000001</v>
      </c>
      <c r="AM103" s="188">
        <v>257063430</v>
      </c>
      <c r="AN103" s="188">
        <v>244431943.24000001</v>
      </c>
      <c r="AO103" s="188">
        <v>232018173.16999999</v>
      </c>
      <c r="AP103" s="188">
        <v>216727861.33000001</v>
      </c>
      <c r="AQ103" s="188">
        <v>205297158.93000001</v>
      </c>
      <c r="AR103" s="188">
        <v>188820554.77000001</v>
      </c>
      <c r="AS103" s="188">
        <v>174105621.22999999</v>
      </c>
      <c r="AT103" s="188">
        <v>158157052.58000001</v>
      </c>
      <c r="AU103" s="188">
        <v>149750619.34</v>
      </c>
      <c r="AV103" s="188">
        <v>143113994.09999999</v>
      </c>
      <c r="AW103" s="188">
        <v>132455855.14</v>
      </c>
      <c r="AX103" s="188">
        <v>118700288.06999999</v>
      </c>
      <c r="AY103" s="188">
        <v>115031094.72</v>
      </c>
      <c r="AZ103" s="188">
        <v>108816839.86</v>
      </c>
      <c r="BA103" s="188">
        <v>101851989.16</v>
      </c>
      <c r="BB103" s="188">
        <v>95552196.859999999</v>
      </c>
      <c r="BC103" s="188">
        <v>82521743.069999993</v>
      </c>
      <c r="BD103" s="188">
        <v>77016251.519999996</v>
      </c>
      <c r="BE103" s="188">
        <v>71970804.900000006</v>
      </c>
      <c r="BF103" s="188">
        <v>23500251.579999998</v>
      </c>
      <c r="BG103" s="188">
        <v>11267449.98</v>
      </c>
      <c r="BH103" s="188">
        <v>5579379.2000000002</v>
      </c>
      <c r="BI103" s="188">
        <v>3418650.15</v>
      </c>
      <c r="BJ103" s="188">
        <v>357132.65</v>
      </c>
      <c r="BK103" s="188">
        <v>0</v>
      </c>
      <c r="BL103" s="188">
        <v>0</v>
      </c>
      <c r="BM103" s="188">
        <v>49129344.689999998</v>
      </c>
      <c r="BN103" s="188">
        <v>97630625.879999995</v>
      </c>
      <c r="BO103" s="188">
        <v>98846995.099999994</v>
      </c>
      <c r="BP103" s="188">
        <v>95559224.959999993</v>
      </c>
      <c r="BQ103" s="188">
        <v>82755680.549999997</v>
      </c>
      <c r="BR103" s="188">
        <v>93315369.640000001</v>
      </c>
      <c r="BS103" s="188">
        <v>90032682.209999993</v>
      </c>
      <c r="BT103" s="188">
        <v>107370067.22</v>
      </c>
      <c r="BU103" s="188">
        <v>105294470.2</v>
      </c>
      <c r="BV103" s="188">
        <v>82251355.680000007</v>
      </c>
      <c r="BW103" s="188">
        <v>56129392.289999999</v>
      </c>
      <c r="BX103" s="188">
        <v>23381530.399999999</v>
      </c>
      <c r="BY103" s="188">
        <v>9921301</v>
      </c>
      <c r="BZ103" s="188">
        <v>10824070</v>
      </c>
      <c r="CA103" s="188">
        <v>8979658.0500000007</v>
      </c>
      <c r="CB103" s="188">
        <v>6066000</v>
      </c>
      <c r="CC103" s="188">
        <v>0</v>
      </c>
      <c r="CD103" s="188">
        <v>0</v>
      </c>
      <c r="CE103" s="188">
        <v>0</v>
      </c>
      <c r="CF103" s="188">
        <v>0</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5326325338.1400003</v>
      </c>
      <c r="C107" s="33">
        <f>C102+C103</f>
        <v>5318412167.1199999</v>
      </c>
      <c r="D107" s="33">
        <f>D102+D103</f>
        <v>5596029556.3399992</v>
      </c>
      <c r="E107" s="33">
        <f>E102+E103</f>
        <v>5198489786.6300001</v>
      </c>
      <c r="F107" s="33">
        <f t="shared" ref="F107:BQ107" si="20">F102+F103</f>
        <v>4961012507.46</v>
      </c>
      <c r="G107" s="33">
        <f t="shared" si="20"/>
        <v>4679019908.46</v>
      </c>
      <c r="H107" s="33">
        <f t="shared" si="20"/>
        <v>4927457035.2799997</v>
      </c>
      <c r="I107" s="33">
        <f t="shared" si="20"/>
        <v>4558239662.8699999</v>
      </c>
      <c r="J107" s="33">
        <f t="shared" si="20"/>
        <v>4218102000.5</v>
      </c>
      <c r="K107" s="33">
        <f t="shared" si="20"/>
        <v>3943260206.9499998</v>
      </c>
      <c r="L107" s="33">
        <f t="shared" si="20"/>
        <v>5293201433.6599998</v>
      </c>
      <c r="M107" s="33">
        <f t="shared" si="20"/>
        <v>5009730562.0799999</v>
      </c>
      <c r="N107" s="33">
        <f t="shared" si="20"/>
        <v>4723090815.25</v>
      </c>
      <c r="O107" s="33">
        <f t="shared" si="20"/>
        <v>4449943588.5799999</v>
      </c>
      <c r="P107" s="33">
        <f t="shared" si="20"/>
        <v>4532900385.5299997</v>
      </c>
      <c r="Q107" s="33">
        <f t="shared" si="20"/>
        <v>4278816315.1400003</v>
      </c>
      <c r="R107" s="33">
        <f t="shared" si="20"/>
        <v>4075580236.71</v>
      </c>
      <c r="S107" s="33">
        <f t="shared" si="20"/>
        <v>3871183124.1600003</v>
      </c>
      <c r="T107" s="33">
        <f t="shared" si="20"/>
        <v>3940954467.1100001</v>
      </c>
      <c r="U107" s="33">
        <f t="shared" si="20"/>
        <v>3732910884.5099998</v>
      </c>
      <c r="V107" s="33">
        <f t="shared" si="20"/>
        <v>3662679370.02</v>
      </c>
      <c r="W107" s="33">
        <f t="shared" si="20"/>
        <v>3490212382.0599999</v>
      </c>
      <c r="X107" s="33">
        <f t="shared" si="20"/>
        <v>3567241318.3000002</v>
      </c>
      <c r="Y107" s="33">
        <f t="shared" si="20"/>
        <v>3394580309.3799996</v>
      </c>
      <c r="Z107" s="33">
        <f t="shared" si="20"/>
        <v>3244843702.75</v>
      </c>
      <c r="AA107" s="33">
        <f t="shared" si="20"/>
        <v>3148735362.5799999</v>
      </c>
      <c r="AB107" s="33">
        <f t="shared" si="20"/>
        <v>3222313716.3899999</v>
      </c>
      <c r="AC107" s="33">
        <f t="shared" si="20"/>
        <v>3094259610.7600002</v>
      </c>
      <c r="AD107" s="33">
        <f t="shared" si="20"/>
        <v>2957796924.96</v>
      </c>
      <c r="AE107" s="33">
        <f t="shared" si="20"/>
        <v>2821898590.8800001</v>
      </c>
      <c r="AF107" s="33">
        <f t="shared" si="20"/>
        <v>2884240451.02</v>
      </c>
      <c r="AG107" s="33">
        <f t="shared" si="20"/>
        <v>2736677234.21</v>
      </c>
      <c r="AH107" s="33">
        <f t="shared" si="20"/>
        <v>2613523463.1900001</v>
      </c>
      <c r="AI107" s="33">
        <f t="shared" si="20"/>
        <v>2488516794.6200004</v>
      </c>
      <c r="AJ107" s="33">
        <f t="shared" si="20"/>
        <v>2499857212.8299999</v>
      </c>
      <c r="AK107" s="33">
        <f t="shared" si="20"/>
        <v>2387028595.3699999</v>
      </c>
      <c r="AL107" s="33">
        <f t="shared" si="20"/>
        <v>2308512612.4099998</v>
      </c>
      <c r="AM107" s="33">
        <f t="shared" si="20"/>
        <v>2222699925.6599998</v>
      </c>
      <c r="AN107" s="33">
        <f t="shared" si="20"/>
        <v>2241143445.29</v>
      </c>
      <c r="AO107" s="33">
        <f t="shared" si="20"/>
        <v>2162624916.8200002</v>
      </c>
      <c r="AP107" s="33">
        <f t="shared" si="20"/>
        <v>2059787930.1099999</v>
      </c>
      <c r="AQ107" s="33">
        <f t="shared" si="20"/>
        <v>1990187952.73</v>
      </c>
      <c r="AR107" s="33">
        <f t="shared" si="20"/>
        <v>1876896259.77</v>
      </c>
      <c r="AS107" s="33">
        <f t="shared" si="20"/>
        <v>1807445577.1100001</v>
      </c>
      <c r="AT107" s="33">
        <f t="shared" si="20"/>
        <v>1694244677.5699999</v>
      </c>
      <c r="AU107" s="33">
        <f t="shared" si="20"/>
        <v>949297555.71000004</v>
      </c>
      <c r="AV107" s="33">
        <f t="shared" si="20"/>
        <v>943529555.12</v>
      </c>
      <c r="AW107" s="33">
        <f t="shared" si="20"/>
        <v>905663398.10000002</v>
      </c>
      <c r="AX107" s="33">
        <f t="shared" si="20"/>
        <v>849571234.5</v>
      </c>
      <c r="AY107" s="33">
        <f t="shared" si="20"/>
        <v>828424890.75</v>
      </c>
      <c r="AZ107" s="33">
        <f t="shared" si="20"/>
        <v>837969374.53999996</v>
      </c>
      <c r="BA107" s="33">
        <f t="shared" si="20"/>
        <v>807903115.36000001</v>
      </c>
      <c r="BB107" s="33">
        <f t="shared" si="20"/>
        <v>774930299.87</v>
      </c>
      <c r="BC107" s="33">
        <f t="shared" si="20"/>
        <v>751840793.05999994</v>
      </c>
      <c r="BD107" s="33">
        <f t="shared" si="20"/>
        <v>758345972.89999998</v>
      </c>
      <c r="BE107" s="33">
        <f t="shared" si="20"/>
        <v>738852959.18999994</v>
      </c>
      <c r="BF107" s="33">
        <f t="shared" si="20"/>
        <v>662944760.82000005</v>
      </c>
      <c r="BG107" s="33">
        <f t="shared" si="20"/>
        <v>242763613.39999998</v>
      </c>
      <c r="BH107" s="33">
        <f t="shared" si="20"/>
        <v>214022329.36999997</v>
      </c>
      <c r="BI107" s="33">
        <f t="shared" si="20"/>
        <v>135309387.50999999</v>
      </c>
      <c r="BJ107" s="33">
        <f t="shared" si="20"/>
        <v>96390957.070000008</v>
      </c>
      <c r="BK107" s="33">
        <f t="shared" si="20"/>
        <v>0</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5326325338.1400003</v>
      </c>
      <c r="C108" s="38">
        <f t="shared" ref="C108:BN108" si="22">SUM(C89+C107)</f>
        <v>5318412167.1199999</v>
      </c>
      <c r="D108" s="38">
        <f t="shared" si="22"/>
        <v>5596029556.3399992</v>
      </c>
      <c r="E108" s="38">
        <f>SUM(E107+E89)</f>
        <v>5198489786.6300001</v>
      </c>
      <c r="F108" s="38">
        <f t="shared" si="22"/>
        <v>4961012507.46</v>
      </c>
      <c r="G108" s="38">
        <f t="shared" si="22"/>
        <v>4679019908.46</v>
      </c>
      <c r="H108" s="38">
        <f t="shared" si="22"/>
        <v>4927457035.2799997</v>
      </c>
      <c r="I108" s="38">
        <f t="shared" si="22"/>
        <v>4558239662.8699999</v>
      </c>
      <c r="J108" s="38">
        <f t="shared" si="22"/>
        <v>4218102000.5</v>
      </c>
      <c r="K108" s="38">
        <f t="shared" si="22"/>
        <v>3943260206.9499998</v>
      </c>
      <c r="L108" s="38">
        <f t="shared" si="22"/>
        <v>5293201433.6599998</v>
      </c>
      <c r="M108" s="38">
        <f t="shared" si="22"/>
        <v>5009730562.0799999</v>
      </c>
      <c r="N108" s="38">
        <f t="shared" si="22"/>
        <v>4723090815.25</v>
      </c>
      <c r="O108" s="38">
        <f t="shared" si="22"/>
        <v>4449943588.5799999</v>
      </c>
      <c r="P108" s="38">
        <f t="shared" si="22"/>
        <v>4532900385.5299997</v>
      </c>
      <c r="Q108" s="38">
        <f t="shared" si="22"/>
        <v>4278816315.1400003</v>
      </c>
      <c r="R108" s="38">
        <f t="shared" si="22"/>
        <v>4075580236.71</v>
      </c>
      <c r="S108" s="38">
        <f t="shared" si="22"/>
        <v>3871183124.1600003</v>
      </c>
      <c r="T108" s="38">
        <f t="shared" si="22"/>
        <v>3940954467.1100001</v>
      </c>
      <c r="U108" s="38">
        <f t="shared" si="22"/>
        <v>3732923709.5099998</v>
      </c>
      <c r="V108" s="38">
        <f t="shared" si="22"/>
        <v>3662679370.02</v>
      </c>
      <c r="W108" s="38">
        <f t="shared" si="22"/>
        <v>3490212382.0599999</v>
      </c>
      <c r="X108" s="38">
        <f t="shared" si="22"/>
        <v>3567241318.3000002</v>
      </c>
      <c r="Y108" s="38">
        <f t="shared" si="22"/>
        <v>3394726346.3499994</v>
      </c>
      <c r="Z108" s="38">
        <f t="shared" si="22"/>
        <v>3244843702.75</v>
      </c>
      <c r="AA108" s="38">
        <f t="shared" si="22"/>
        <v>3148735362.5799999</v>
      </c>
      <c r="AB108" s="38">
        <f t="shared" si="22"/>
        <v>3222313716.3899999</v>
      </c>
      <c r="AC108" s="38">
        <f t="shared" si="22"/>
        <v>3094259610.7600002</v>
      </c>
      <c r="AD108" s="38">
        <f t="shared" si="22"/>
        <v>2957796924.96</v>
      </c>
      <c r="AE108" s="38">
        <f t="shared" si="22"/>
        <v>2821898590.8800001</v>
      </c>
      <c r="AF108" s="38">
        <f t="shared" si="22"/>
        <v>2884240451.02</v>
      </c>
      <c r="AG108" s="38">
        <f t="shared" si="22"/>
        <v>2736677234.21</v>
      </c>
      <c r="AH108" s="38">
        <f t="shared" si="22"/>
        <v>2613523463.1900001</v>
      </c>
      <c r="AI108" s="38">
        <f t="shared" si="22"/>
        <v>2488516794.6200004</v>
      </c>
      <c r="AJ108" s="38">
        <f t="shared" si="22"/>
        <v>2499857212.8299999</v>
      </c>
      <c r="AK108" s="38">
        <f t="shared" si="22"/>
        <v>2387028595.3699999</v>
      </c>
      <c r="AL108" s="38">
        <f t="shared" si="22"/>
        <v>2308512612.4099998</v>
      </c>
      <c r="AM108" s="38">
        <f t="shared" si="22"/>
        <v>2222699925.6599998</v>
      </c>
      <c r="AN108" s="38">
        <f t="shared" si="22"/>
        <v>2241143445.29</v>
      </c>
      <c r="AO108" s="38">
        <f t="shared" si="22"/>
        <v>2163569816.8200002</v>
      </c>
      <c r="AP108" s="38">
        <f t="shared" si="22"/>
        <v>2059787930.1099999</v>
      </c>
      <c r="AQ108" s="38">
        <f t="shared" si="22"/>
        <v>1990187952.73</v>
      </c>
      <c r="AR108" s="38">
        <f t="shared" si="22"/>
        <v>1876896259.77</v>
      </c>
      <c r="AS108" s="38">
        <f t="shared" si="22"/>
        <v>1815459777.1100001</v>
      </c>
      <c r="AT108" s="38">
        <f t="shared" si="22"/>
        <v>1999887728.6900001</v>
      </c>
      <c r="AU108" s="38">
        <f t="shared" si="22"/>
        <v>1274755668.21</v>
      </c>
      <c r="AV108" s="38">
        <f t="shared" si="22"/>
        <v>1271529555.1199999</v>
      </c>
      <c r="AW108" s="38">
        <f t="shared" si="22"/>
        <v>1203663398.0999999</v>
      </c>
      <c r="AX108" s="38">
        <f t="shared" si="22"/>
        <v>1114583425.5</v>
      </c>
      <c r="AY108" s="38">
        <f t="shared" si="22"/>
        <v>1176424890.75</v>
      </c>
      <c r="AZ108" s="38">
        <f t="shared" si="22"/>
        <v>1089579296.1399999</v>
      </c>
      <c r="BA108" s="38">
        <f t="shared" si="22"/>
        <v>1003521771.36</v>
      </c>
      <c r="BB108" s="38">
        <f t="shared" si="22"/>
        <v>1073075062.6700001</v>
      </c>
      <c r="BC108" s="38">
        <f t="shared" si="22"/>
        <v>1117579327.5599999</v>
      </c>
      <c r="BD108" s="38">
        <f t="shared" si="22"/>
        <v>1096640815.8800001</v>
      </c>
      <c r="BE108" s="38">
        <f t="shared" si="22"/>
        <v>1114829870.6900001</v>
      </c>
      <c r="BF108" s="38">
        <f t="shared" si="22"/>
        <v>1090582444.3900001</v>
      </c>
      <c r="BG108" s="38">
        <f t="shared" si="22"/>
        <v>585722187</v>
      </c>
      <c r="BH108" s="38">
        <f t="shared" si="22"/>
        <v>416529512.88999999</v>
      </c>
      <c r="BI108" s="38">
        <f t="shared" si="22"/>
        <v>285188405.31</v>
      </c>
      <c r="BJ108" s="38">
        <f t="shared" si="22"/>
        <v>185698226.99000001</v>
      </c>
      <c r="BK108" s="38">
        <f t="shared" si="22"/>
        <v>0</v>
      </c>
      <c r="BL108" s="38">
        <f t="shared" si="22"/>
        <v>1232986711.73</v>
      </c>
      <c r="BM108" s="38">
        <f t="shared" si="22"/>
        <v>1137814245.5599999</v>
      </c>
      <c r="BN108" s="38">
        <f t="shared" si="22"/>
        <v>2099820412.5999999</v>
      </c>
      <c r="BO108" s="38">
        <f t="shared" ref="BO108:CK108" si="23">SUM(BO89+BO107)</f>
        <v>2102476177.1799998</v>
      </c>
      <c r="BP108" s="38">
        <f t="shared" si="23"/>
        <v>2103690720.0699999</v>
      </c>
      <c r="BQ108" s="38">
        <f t="shared" si="23"/>
        <v>1967932475.95</v>
      </c>
      <c r="BR108" s="38">
        <f t="shared" si="23"/>
        <v>2177458512.8099999</v>
      </c>
      <c r="BS108" s="38">
        <f t="shared" si="23"/>
        <v>2074414991.6000001</v>
      </c>
      <c r="BT108" s="38">
        <f t="shared" si="23"/>
        <v>2138142090.6700001</v>
      </c>
      <c r="BU108" s="38">
        <f t="shared" si="23"/>
        <v>2021612426.0900002</v>
      </c>
      <c r="BV108" s="38">
        <f t="shared" si="23"/>
        <v>2060831379.9200001</v>
      </c>
      <c r="BW108" s="38">
        <f t="shared" si="23"/>
        <v>1903739656.29</v>
      </c>
      <c r="BX108" s="38">
        <f t="shared" si="23"/>
        <v>1923476556.95</v>
      </c>
      <c r="BY108" s="38">
        <f t="shared" si="23"/>
        <v>1758303927.23</v>
      </c>
      <c r="BZ108" s="38">
        <f t="shared" si="23"/>
        <v>1741646450</v>
      </c>
      <c r="CA108" s="38">
        <f t="shared" si="23"/>
        <v>906035354.87</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AG55" sqref="AG55"/>
    </sheetView>
  </sheetViews>
  <sheetFormatPr defaultRowHeight="14.4" x14ac:dyDescent="0.25"/>
  <cols>
    <col min="1" max="1" width="57.21875" style="17" bestFit="1" customWidth="1"/>
    <col min="2" max="2" width="21.44140625" hidden="1" customWidth="1"/>
    <col min="3" max="4" width="19.33203125" hidden="1" customWidth="1"/>
    <col min="5" max="5" width="21.44140625" bestFit="1" customWidth="1"/>
    <col min="6" max="6" width="21.44140625" hidden="1" customWidth="1"/>
    <col min="7" max="8" width="19.3320312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0" width="19.33203125" hidden="1" customWidth="1"/>
    <col min="31" max="32" width="19" hidden="1" customWidth="1"/>
    <col min="33" max="33" width="19.33203125" bestFit="1" customWidth="1"/>
    <col min="34" max="34" width="19.33203125" hidden="1" customWidth="1"/>
    <col min="35" max="36" width="19" hidden="1" customWidth="1"/>
    <col min="37" max="37" width="19.33203125" bestFit="1" customWidth="1"/>
    <col min="38" max="39" width="19" hidden="1" customWidth="1"/>
    <col min="40" max="40" width="20.21875" hidden="1" customWidth="1"/>
    <col min="41" max="41" width="19.33203125"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6" width="19" hidden="1" customWidth="1"/>
    <col min="57" max="57" width="17.77734375" bestFit="1" customWidth="1"/>
    <col min="58" max="58" width="19" hidden="1" customWidth="1"/>
    <col min="59" max="60" width="17.77734375" hidden="1" customWidth="1"/>
    <col min="61" max="61" width="17.77734375" bestFit="1" customWidth="1"/>
    <col min="62" max="63" width="17.77734375" hidden="1" customWidth="1"/>
    <col min="64" max="65" width="17.77734375" bestFit="1" customWidth="1"/>
    <col min="66" max="66" width="9.5546875" hidden="1" customWidth="1"/>
    <col min="67" max="79" width="20.21875" bestFit="1" customWidth="1"/>
    <col min="80" max="81" width="19" bestFit="1" customWidth="1"/>
    <col min="82" max="83" width="12.77734375" bestFit="1" customWidth="1"/>
    <col min="84" max="84" width="9.5546875" bestFit="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386</v>
      </c>
      <c r="B5" s="188">
        <v>9347399219.5300007</v>
      </c>
      <c r="C5" s="188">
        <v>6173909538.8800001</v>
      </c>
      <c r="D5" s="188">
        <v>3368719350.77</v>
      </c>
      <c r="E5" s="188">
        <v>9994038739.0300007</v>
      </c>
      <c r="F5" s="188">
        <v>7393683346.5900002</v>
      </c>
      <c r="G5" s="188">
        <v>4834039606.04</v>
      </c>
      <c r="H5" s="188">
        <v>2717483854.0999999</v>
      </c>
      <c r="I5" s="188">
        <v>8299999071.7799997</v>
      </c>
      <c r="J5" s="188">
        <v>6175639591.1999998</v>
      </c>
      <c r="K5" s="188">
        <v>4012799751.8000002</v>
      </c>
      <c r="L5" s="188">
        <v>2157873063.1100001</v>
      </c>
      <c r="M5" s="188">
        <v>7749205984.6800003</v>
      </c>
      <c r="N5" s="188">
        <v>5917522087.8100004</v>
      </c>
      <c r="O5" s="188">
        <v>3826621021.75</v>
      </c>
      <c r="P5" s="188">
        <v>2119536321.05</v>
      </c>
      <c r="Q5" s="188">
        <v>6766783798.5900002</v>
      </c>
      <c r="R5" s="188">
        <v>5105893650.71</v>
      </c>
      <c r="S5" s="188">
        <v>3272332302.5599999</v>
      </c>
      <c r="T5" s="188">
        <v>1809225118.5</v>
      </c>
      <c r="U5" s="188">
        <v>5990546429.8400002</v>
      </c>
      <c r="V5" s="188">
        <v>4543607402.7299995</v>
      </c>
      <c r="W5" s="188">
        <v>2972551661.21</v>
      </c>
      <c r="X5" s="188">
        <v>1617435886.8800001</v>
      </c>
      <c r="Y5" s="188">
        <v>4883816910.9799995</v>
      </c>
      <c r="Z5" s="188">
        <v>3637694852.5300002</v>
      </c>
      <c r="AA5" s="188">
        <v>2373210048.5100002</v>
      </c>
      <c r="AB5" s="188">
        <v>1344332758.29</v>
      </c>
      <c r="AC5" s="188">
        <v>5177587426.1999998</v>
      </c>
      <c r="AD5" s="188">
        <v>3860633717.8899999</v>
      </c>
      <c r="AE5" s="188">
        <v>2496676794.8600001</v>
      </c>
      <c r="AF5" s="188">
        <v>1358295682.6600001</v>
      </c>
      <c r="AG5" s="188">
        <v>4050296293.5</v>
      </c>
      <c r="AH5" s="188">
        <v>2960460127.6900001</v>
      </c>
      <c r="AI5" s="188">
        <v>1875365183</v>
      </c>
      <c r="AJ5" s="188">
        <v>993455551.94000006</v>
      </c>
      <c r="AK5" s="188">
        <v>2838977342.4699998</v>
      </c>
      <c r="AL5" s="188">
        <v>1967777388.4000001</v>
      </c>
      <c r="AM5" s="188">
        <v>1207313239.52</v>
      </c>
      <c r="AN5" s="188">
        <v>641973107.02999997</v>
      </c>
      <c r="AO5" s="188">
        <v>2620554181.21</v>
      </c>
      <c r="AP5" s="188">
        <v>1998835580.3</v>
      </c>
      <c r="AQ5" s="188">
        <v>1278392611.24</v>
      </c>
      <c r="AR5" s="188">
        <v>659435870.07000005</v>
      </c>
      <c r="AS5" s="188">
        <v>2148775148.0300002</v>
      </c>
      <c r="AT5" s="188">
        <v>1498759961.8800001</v>
      </c>
      <c r="AU5" s="188">
        <v>973161667.58000004</v>
      </c>
      <c r="AV5" s="188">
        <v>483136840.17000002</v>
      </c>
      <c r="AW5" s="188">
        <v>1517457672.6099999</v>
      </c>
      <c r="AX5" s="188">
        <v>1005686269.8099999</v>
      </c>
      <c r="AY5" s="188">
        <v>686077206.70000005</v>
      </c>
      <c r="AZ5" s="188">
        <v>359053640.45999998</v>
      </c>
      <c r="BA5" s="188">
        <v>1104147473.76</v>
      </c>
      <c r="BB5" s="188">
        <v>657317342.32000005</v>
      </c>
      <c r="BC5" s="188">
        <v>412465271.30000001</v>
      </c>
      <c r="BD5" s="188">
        <v>221081799.97999999</v>
      </c>
      <c r="BE5" s="188">
        <v>726513585.96000004</v>
      </c>
      <c r="BF5" s="188">
        <v>498366992.25</v>
      </c>
      <c r="BG5" s="188">
        <v>297904515.07999998</v>
      </c>
      <c r="BH5" s="188">
        <v>149935201.59</v>
      </c>
      <c r="BI5" s="188">
        <v>596658019.77999997</v>
      </c>
      <c r="BJ5" s="188">
        <v>406494610.31999999</v>
      </c>
      <c r="BK5" s="188">
        <v>258437151.44999999</v>
      </c>
      <c r="BL5" s="188">
        <v>429677830.88999999</v>
      </c>
      <c r="BM5" s="188">
        <v>312345786.75</v>
      </c>
      <c r="BN5" s="188">
        <v>0</v>
      </c>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387</v>
      </c>
      <c r="B6" s="27">
        <f>B4-B5</f>
        <v>4046182928.4299984</v>
      </c>
      <c r="C6" s="27">
        <f t="shared" ref="C6:BN6" si="0">C4-C5</f>
        <v>2675250007.5999994</v>
      </c>
      <c r="D6" s="27">
        <f t="shared" si="0"/>
        <v>1518283154.6100001</v>
      </c>
      <c r="E6" s="27">
        <f t="shared" si="0"/>
        <v>4193308686.7399998</v>
      </c>
      <c r="F6" s="27">
        <f t="shared" si="0"/>
        <v>3102954938.6900005</v>
      </c>
      <c r="G6" s="27">
        <f t="shared" si="0"/>
        <v>2075427027.0299997</v>
      </c>
      <c r="H6" s="27">
        <f t="shared" si="0"/>
        <v>1229073886.4500003</v>
      </c>
      <c r="I6" s="27">
        <f t="shared" si="0"/>
        <v>3647124129.3400011</v>
      </c>
      <c r="J6" s="27">
        <f t="shared" si="0"/>
        <v>2655950290.1400003</v>
      </c>
      <c r="K6" s="27">
        <f t="shared" si="0"/>
        <v>1739121065.9799995</v>
      </c>
      <c r="L6" s="27">
        <f t="shared" si="0"/>
        <v>975288783.36999989</v>
      </c>
      <c r="M6" s="27">
        <f t="shared" si="0"/>
        <v>3160480641.2199993</v>
      </c>
      <c r="N6" s="27">
        <f t="shared" si="0"/>
        <v>2361099655.7999992</v>
      </c>
      <c r="O6" s="27">
        <f t="shared" si="0"/>
        <v>1552953830.3400002</v>
      </c>
      <c r="P6" s="27">
        <f t="shared" si="0"/>
        <v>887197478.91999984</v>
      </c>
      <c r="Q6" s="27">
        <f t="shared" si="0"/>
        <v>2767860147.25</v>
      </c>
      <c r="R6" s="27">
        <f t="shared" si="0"/>
        <v>2059500282.6700001</v>
      </c>
      <c r="S6" s="27">
        <f t="shared" si="0"/>
        <v>1370571444.2500005</v>
      </c>
      <c r="T6" s="27">
        <f t="shared" si="0"/>
        <v>787959357.84000015</v>
      </c>
      <c r="U6" s="27">
        <f t="shared" si="0"/>
        <v>2392703196.7699995</v>
      </c>
      <c r="V6" s="27">
        <f t="shared" si="0"/>
        <v>1765516483.8300009</v>
      </c>
      <c r="W6" s="27">
        <f t="shared" si="0"/>
        <v>1164730064.52</v>
      </c>
      <c r="X6" s="27">
        <f t="shared" si="0"/>
        <v>653686602.57999992</v>
      </c>
      <c r="Y6" s="27">
        <f t="shared" si="0"/>
        <v>2005643536.5200005</v>
      </c>
      <c r="Z6" s="27">
        <f t="shared" si="0"/>
        <v>1456570157.6900001</v>
      </c>
      <c r="AA6" s="27">
        <f t="shared" si="0"/>
        <v>964781379.56999969</v>
      </c>
      <c r="AB6" s="27">
        <f t="shared" si="0"/>
        <v>577247334.49000001</v>
      </c>
      <c r="AC6" s="27">
        <f t="shared" si="0"/>
        <v>1948065584.4000006</v>
      </c>
      <c r="AD6" s="27">
        <f t="shared" si="0"/>
        <v>1460271704.27</v>
      </c>
      <c r="AE6" s="27">
        <f t="shared" si="0"/>
        <v>981784013.03999996</v>
      </c>
      <c r="AF6" s="27">
        <f t="shared" si="0"/>
        <v>558316022.1099999</v>
      </c>
      <c r="AG6" s="27">
        <f t="shared" si="0"/>
        <v>1571768184.1899996</v>
      </c>
      <c r="AH6" s="27">
        <f t="shared" si="0"/>
        <v>1171238750.5700002</v>
      </c>
      <c r="AI6" s="27">
        <f t="shared" si="0"/>
        <v>762022673.57999992</v>
      </c>
      <c r="AJ6" s="27">
        <f t="shared" si="0"/>
        <v>416368591.39999986</v>
      </c>
      <c r="AK6" s="27">
        <f t="shared" si="0"/>
        <v>1276717070.5800004</v>
      </c>
      <c r="AL6" s="27">
        <f t="shared" si="0"/>
        <v>902074846.57999992</v>
      </c>
      <c r="AM6" s="27">
        <f t="shared" si="0"/>
        <v>582330283.05999994</v>
      </c>
      <c r="AN6" s="27">
        <f t="shared" si="0"/>
        <v>332796686.23000002</v>
      </c>
      <c r="AO6" s="27">
        <f t="shared" si="0"/>
        <v>1001918511.7399998</v>
      </c>
      <c r="AP6" s="27">
        <f t="shared" si="0"/>
        <v>738675048.52999997</v>
      </c>
      <c r="AQ6" s="27">
        <f t="shared" si="0"/>
        <v>491698128.86999989</v>
      </c>
      <c r="AR6" s="27">
        <f t="shared" si="0"/>
        <v>289434188.92999995</v>
      </c>
      <c r="AS6" s="27">
        <f t="shared" si="0"/>
        <v>784927705.58999968</v>
      </c>
      <c r="AT6" s="27">
        <f t="shared" si="0"/>
        <v>538226296.13999987</v>
      </c>
      <c r="AU6" s="27">
        <f t="shared" si="0"/>
        <v>369905428.53999984</v>
      </c>
      <c r="AV6" s="27">
        <f t="shared" si="0"/>
        <v>207377038.44</v>
      </c>
      <c r="AW6" s="27">
        <f t="shared" si="0"/>
        <v>561476168.4000001</v>
      </c>
      <c r="AX6" s="27">
        <f t="shared" si="0"/>
        <v>389643305.24000001</v>
      </c>
      <c r="AY6" s="27">
        <f t="shared" si="0"/>
        <v>264546731.28999996</v>
      </c>
      <c r="AZ6" s="27">
        <f t="shared" si="0"/>
        <v>138547628.28000003</v>
      </c>
      <c r="BA6" s="27">
        <f t="shared" si="0"/>
        <v>365509765</v>
      </c>
      <c r="BB6" s="27">
        <f t="shared" si="0"/>
        <v>235632610.94999993</v>
      </c>
      <c r="BC6" s="27">
        <f t="shared" si="0"/>
        <v>158868729.56</v>
      </c>
      <c r="BD6" s="27">
        <f t="shared" si="0"/>
        <v>86359528.080000013</v>
      </c>
      <c r="BE6" s="27">
        <f t="shared" si="0"/>
        <v>278586835.25</v>
      </c>
      <c r="BF6" s="27">
        <f t="shared" si="0"/>
        <v>192393999.79999995</v>
      </c>
      <c r="BG6" s="27">
        <f t="shared" si="0"/>
        <v>123350623.42000002</v>
      </c>
      <c r="BH6" s="27">
        <f t="shared" si="0"/>
        <v>65398081.079999983</v>
      </c>
      <c r="BI6" s="27">
        <f t="shared" si="0"/>
        <v>239864170.31000006</v>
      </c>
      <c r="BJ6" s="27">
        <f t="shared" si="0"/>
        <v>158546745.37000006</v>
      </c>
      <c r="BK6" s="27">
        <f t="shared" si="0"/>
        <v>100750750.86000001</v>
      </c>
      <c r="BL6" s="27">
        <f t="shared" si="0"/>
        <v>185466331.60000002</v>
      </c>
      <c r="BM6" s="27">
        <f t="shared" si="0"/>
        <v>157105897.14999998</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30.20986382680514</v>
      </c>
      <c r="C7" s="57">
        <f t="shared" ref="C7:D7" si="2">C6/C4*100</f>
        <v>30.231684642460255</v>
      </c>
      <c r="D7" s="57">
        <f t="shared" si="2"/>
        <v>31.067779337918356</v>
      </c>
      <c r="E7" s="57">
        <f>E6/E4</f>
        <v>0.29556678643981349</v>
      </c>
      <c r="F7" s="57">
        <f t="shared" ref="F7:BQ7" si="3">F6/F4</f>
        <v>0.2956141627783288</v>
      </c>
      <c r="G7" s="57">
        <f t="shared" si="3"/>
        <v>0.30037441922023589</v>
      </c>
      <c r="H7" s="57">
        <f t="shared" si="3"/>
        <v>0.3114293435571816</v>
      </c>
      <c r="I7" s="57">
        <f t="shared" si="3"/>
        <v>0.30527216200449797</v>
      </c>
      <c r="J7" s="57">
        <f t="shared" si="3"/>
        <v>0.30073297399731813</v>
      </c>
      <c r="K7" s="57">
        <f t="shared" si="3"/>
        <v>0.30235483433710192</v>
      </c>
      <c r="L7" s="57">
        <f t="shared" si="3"/>
        <v>0.31127941394591646</v>
      </c>
      <c r="M7" s="57">
        <f t="shared" si="3"/>
        <v>0.28969490596704228</v>
      </c>
      <c r="N7" s="57">
        <f t="shared" si="3"/>
        <v>0.2852044372751365</v>
      </c>
      <c r="O7" s="57">
        <f t="shared" si="3"/>
        <v>0.2886759405785882</v>
      </c>
      <c r="P7" s="57">
        <f t="shared" si="3"/>
        <v>0.29507017845372674</v>
      </c>
      <c r="Q7" s="57">
        <f t="shared" si="3"/>
        <v>0.29029507163270918</v>
      </c>
      <c r="R7" s="57">
        <f t="shared" si="3"/>
        <v>0.28742317614608937</v>
      </c>
      <c r="S7" s="57">
        <f t="shared" si="3"/>
        <v>0.29519704025561133</v>
      </c>
      <c r="T7" s="57">
        <f t="shared" si="3"/>
        <v>0.30338983041759393</v>
      </c>
      <c r="U7" s="57">
        <f t="shared" si="3"/>
        <v>0.28541476197668181</v>
      </c>
      <c r="V7" s="57">
        <f t="shared" si="3"/>
        <v>0.27983544396568105</v>
      </c>
      <c r="W7" s="57">
        <f t="shared" si="3"/>
        <v>0.28152060742600021</v>
      </c>
      <c r="X7" s="57">
        <f t="shared" si="3"/>
        <v>0.28782533994255222</v>
      </c>
      <c r="Y7" s="57">
        <f t="shared" si="3"/>
        <v>0.29111765018518898</v>
      </c>
      <c r="Z7" s="57">
        <f t="shared" si="3"/>
        <v>0.28592351492666002</v>
      </c>
      <c r="AA7" s="57">
        <f t="shared" si="3"/>
        <v>0.28903051441475341</v>
      </c>
      <c r="AB7" s="57">
        <f t="shared" si="3"/>
        <v>0.30040243269531441</v>
      </c>
      <c r="AC7" s="57">
        <f t="shared" si="3"/>
        <v>0.27338765745428401</v>
      </c>
      <c r="AD7" s="57">
        <f t="shared" si="3"/>
        <v>0.27444045484973284</v>
      </c>
      <c r="AE7" s="57">
        <f t="shared" si="3"/>
        <v>0.28224667956880561</v>
      </c>
      <c r="AF7" s="57">
        <f t="shared" si="3"/>
        <v>0.29130366924113077</v>
      </c>
      <c r="AG7" s="57">
        <f t="shared" si="3"/>
        <v>0.27957135504710712</v>
      </c>
      <c r="AH7" s="57">
        <f t="shared" si="3"/>
        <v>0.28347630964414544</v>
      </c>
      <c r="AI7" s="57">
        <f t="shared" si="3"/>
        <v>0.28893083422631033</v>
      </c>
      <c r="AJ7" s="57">
        <f t="shared" si="3"/>
        <v>0.29533370765915906</v>
      </c>
      <c r="AK7" s="57">
        <f t="shared" si="3"/>
        <v>0.31020696447525342</v>
      </c>
      <c r="AL7" s="57">
        <f t="shared" si="3"/>
        <v>0.31432797674556456</v>
      </c>
      <c r="AM7" s="57">
        <f t="shared" si="3"/>
        <v>0.32538898149978851</v>
      </c>
      <c r="AN7" s="57">
        <f t="shared" si="3"/>
        <v>0.34141054486003475</v>
      </c>
      <c r="AO7" s="57">
        <f t="shared" si="3"/>
        <v>0.27658414477213811</v>
      </c>
      <c r="AP7" s="57">
        <f t="shared" si="3"/>
        <v>0.26983458648549852</v>
      </c>
      <c r="AQ7" s="57">
        <f t="shared" si="3"/>
        <v>0.27778131240856274</v>
      </c>
      <c r="AR7" s="57">
        <f t="shared" si="3"/>
        <v>0.30503037395344768</v>
      </c>
      <c r="AS7" s="57">
        <f t="shared" si="3"/>
        <v>0.26755528584684357</v>
      </c>
      <c r="AT7" s="57">
        <f t="shared" si="3"/>
        <v>0.2642267683549171</v>
      </c>
      <c r="AU7" s="57">
        <f t="shared" si="3"/>
        <v>0.27541842816983858</v>
      </c>
      <c r="AV7" s="57">
        <f t="shared" si="3"/>
        <v>0.30032276665814256</v>
      </c>
      <c r="AW7" s="57">
        <f t="shared" si="3"/>
        <v>0.27007890165817899</v>
      </c>
      <c r="AX7" s="57">
        <f t="shared" si="3"/>
        <v>0.27924822365070101</v>
      </c>
      <c r="AY7" s="57">
        <f t="shared" si="3"/>
        <v>0.27828747069988347</v>
      </c>
      <c r="AZ7" s="57">
        <f t="shared" si="3"/>
        <v>0.27843101893775934</v>
      </c>
      <c r="BA7" s="57">
        <f t="shared" si="3"/>
        <v>0.24870408919864409</v>
      </c>
      <c r="BB7" s="57">
        <f t="shared" si="3"/>
        <v>0.26388109444108121</v>
      </c>
      <c r="BC7" s="57">
        <f t="shared" si="3"/>
        <v>0.27806629628354512</v>
      </c>
      <c r="BD7" s="57">
        <f t="shared" si="3"/>
        <v>0.28089758987492452</v>
      </c>
      <c r="BE7" s="57">
        <f t="shared" si="3"/>
        <v>0.27717313551079853</v>
      </c>
      <c r="BF7" s="57">
        <f t="shared" si="3"/>
        <v>0.27852470248649147</v>
      </c>
      <c r="BG7" s="57">
        <f t="shared" si="3"/>
        <v>0.29281689918187198</v>
      </c>
      <c r="BH7" s="57">
        <f t="shared" si="3"/>
        <v>0.30370633034106054</v>
      </c>
      <c r="BI7" s="57">
        <f t="shared" si="3"/>
        <v>0.28673975795453016</v>
      </c>
      <c r="BJ7" s="57">
        <f t="shared" si="3"/>
        <v>0.28059317034660369</v>
      </c>
      <c r="BK7" s="57">
        <f t="shared" si="3"/>
        <v>0.28049594714090975</v>
      </c>
      <c r="BL7" s="57">
        <f t="shared" si="3"/>
        <v>0.30150059597292372</v>
      </c>
      <c r="BM7" s="57">
        <f t="shared" si="3"/>
        <v>0.33465828867591368</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8">
        <v>89378439.560000002</v>
      </c>
      <c r="C8" s="188">
        <v>63509908.939999998</v>
      </c>
      <c r="D8" s="188">
        <v>37446299.479999997</v>
      </c>
      <c r="E8" s="188">
        <v>94669364.010000005</v>
      </c>
      <c r="F8" s="188">
        <v>75516050.370000005</v>
      </c>
      <c r="G8" s="188">
        <v>54176909.359999999</v>
      </c>
      <c r="H8" s="188">
        <v>35272498.380000003</v>
      </c>
      <c r="I8" s="188">
        <v>90080740.530000001</v>
      </c>
      <c r="J8" s="188">
        <v>58670601.93</v>
      </c>
      <c r="K8" s="188">
        <v>42812300.270000003</v>
      </c>
      <c r="L8" s="188">
        <v>27721130.620000001</v>
      </c>
      <c r="M8" s="188">
        <v>69393906.780000001</v>
      </c>
      <c r="N8" s="188">
        <v>51272865.100000001</v>
      </c>
      <c r="O8" s="188">
        <v>33897319.039999999</v>
      </c>
      <c r="P8" s="188">
        <v>19175132.039999999</v>
      </c>
      <c r="Q8" s="188">
        <v>55817139.789999999</v>
      </c>
      <c r="R8" s="188">
        <v>44771399.710000001</v>
      </c>
      <c r="S8" s="188">
        <v>31104137.969999999</v>
      </c>
      <c r="T8" s="188">
        <v>16757113.970000001</v>
      </c>
      <c r="U8" s="188">
        <v>53068388.009999998</v>
      </c>
      <c r="V8" s="188">
        <v>39989896.649999999</v>
      </c>
      <c r="W8" s="188">
        <v>25593022.23</v>
      </c>
      <c r="X8" s="188">
        <v>16333377.91</v>
      </c>
      <c r="Y8" s="188">
        <v>48244928.579999998</v>
      </c>
      <c r="Z8" s="188">
        <v>41485117.619999997</v>
      </c>
      <c r="AA8" s="188">
        <v>29020536.370000001</v>
      </c>
      <c r="AB8" s="188">
        <v>19520447.210000001</v>
      </c>
      <c r="AC8" s="188">
        <v>43677795.950000003</v>
      </c>
      <c r="AD8" s="188">
        <v>34822886.759999998</v>
      </c>
      <c r="AE8" s="188">
        <v>24407095.870000001</v>
      </c>
      <c r="AF8" s="188">
        <v>16459457.880000001</v>
      </c>
      <c r="AG8" s="188">
        <v>10972986.42</v>
      </c>
      <c r="AH8" s="188">
        <v>8684846</v>
      </c>
      <c r="AI8" s="188">
        <v>5830719.3300000001</v>
      </c>
      <c r="AJ8" s="188">
        <v>4097861.54</v>
      </c>
      <c r="AK8" s="188">
        <v>6621860.0499999998</v>
      </c>
      <c r="AL8" s="188">
        <v>5804095.9900000002</v>
      </c>
      <c r="AM8" s="188">
        <v>3704731.77</v>
      </c>
      <c r="AN8" s="188">
        <v>2040258.54</v>
      </c>
      <c r="AO8" s="188">
        <v>7305027.3399999999</v>
      </c>
      <c r="AP8" s="188">
        <v>6301645.7699999996</v>
      </c>
      <c r="AQ8" s="188">
        <v>4757380.09</v>
      </c>
      <c r="AR8" s="188">
        <v>2433264.62</v>
      </c>
      <c r="AS8" s="188">
        <v>7217348.5499999998</v>
      </c>
      <c r="AT8" s="188">
        <v>5121444.57</v>
      </c>
      <c r="AU8" s="188">
        <v>3776975.54</v>
      </c>
      <c r="AV8" s="188">
        <v>1810158.74</v>
      </c>
      <c r="AW8" s="188">
        <v>4813968.04</v>
      </c>
      <c r="AX8" s="188">
        <v>2865566.44</v>
      </c>
      <c r="AY8" s="188">
        <v>942207.71</v>
      </c>
      <c r="AZ8" s="188">
        <v>548266.6</v>
      </c>
      <c r="BA8" s="188">
        <v>3626606.18</v>
      </c>
      <c r="BB8" s="188">
        <v>3067472.06</v>
      </c>
      <c r="BC8" s="188">
        <v>1864554.05</v>
      </c>
      <c r="BD8" s="188">
        <v>994235.43</v>
      </c>
      <c r="BE8" s="188">
        <v>1982960.54</v>
      </c>
      <c r="BF8" s="188">
        <v>1443954.84</v>
      </c>
      <c r="BG8" s="188">
        <v>1053578.31</v>
      </c>
      <c r="BH8" s="188">
        <v>1079851.21</v>
      </c>
      <c r="BI8" s="188">
        <v>2164865.52</v>
      </c>
      <c r="BJ8" s="188">
        <v>1706479.41</v>
      </c>
      <c r="BK8" s="188">
        <v>1118198.53</v>
      </c>
      <c r="BL8" s="188">
        <v>2113014</v>
      </c>
      <c r="BM8" s="188">
        <v>3173699.56</v>
      </c>
      <c r="BN8" s="188">
        <v>0</v>
      </c>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390</v>
      </c>
      <c r="B9" s="188">
        <v>2158977983.3499999</v>
      </c>
      <c r="C9" s="188">
        <v>1450751427.1800001</v>
      </c>
      <c r="D9" s="188">
        <v>773963198.44000006</v>
      </c>
      <c r="E9" s="188">
        <v>2213078313.5500002</v>
      </c>
      <c r="F9" s="188">
        <v>1673160982.28</v>
      </c>
      <c r="G9" s="188">
        <v>1134645241.04</v>
      </c>
      <c r="H9" s="188">
        <v>664223550.48000002</v>
      </c>
      <c r="I9" s="188">
        <v>1891733488.76</v>
      </c>
      <c r="J9" s="188">
        <v>1369613715.3099999</v>
      </c>
      <c r="K9" s="188">
        <v>907452327.58000004</v>
      </c>
      <c r="L9" s="188">
        <v>524687333.88</v>
      </c>
      <c r="M9" s="188">
        <v>1580066582.1400001</v>
      </c>
      <c r="N9" s="188">
        <v>1201856740.8</v>
      </c>
      <c r="O9" s="188">
        <v>836869586.53999996</v>
      </c>
      <c r="P9" s="188">
        <v>487094622.23000002</v>
      </c>
      <c r="Q9" s="188">
        <v>1481090948.9000001</v>
      </c>
      <c r="R9" s="188">
        <v>1140301118.1099999</v>
      </c>
      <c r="S9" s="188">
        <v>774811596.87</v>
      </c>
      <c r="T9" s="188">
        <v>445558620.87</v>
      </c>
      <c r="U9" s="188">
        <v>1261860049.78</v>
      </c>
      <c r="V9" s="188">
        <v>932531283.02999997</v>
      </c>
      <c r="W9" s="188">
        <v>608247903.53999996</v>
      </c>
      <c r="X9" s="188">
        <v>338315240.57999998</v>
      </c>
      <c r="Y9" s="188">
        <v>1106551587.3699999</v>
      </c>
      <c r="Z9" s="188">
        <v>813262610.95000005</v>
      </c>
      <c r="AA9" s="188">
        <v>548386013.52999997</v>
      </c>
      <c r="AB9" s="188">
        <v>317800476.48000002</v>
      </c>
      <c r="AC9" s="188">
        <v>1061192999.8099999</v>
      </c>
      <c r="AD9" s="188">
        <v>796400481.16999996</v>
      </c>
      <c r="AE9" s="188">
        <v>524425749.36000001</v>
      </c>
      <c r="AF9" s="188">
        <v>291216610.64999998</v>
      </c>
      <c r="AG9" s="188">
        <v>827871035.55999994</v>
      </c>
      <c r="AH9" s="188">
        <v>603220413.88999999</v>
      </c>
      <c r="AI9" s="188">
        <v>407145518.23000002</v>
      </c>
      <c r="AJ9" s="188">
        <v>217259193.58000001</v>
      </c>
      <c r="AK9" s="188">
        <v>687519974.51999998</v>
      </c>
      <c r="AL9" s="188">
        <v>483065903.81</v>
      </c>
      <c r="AM9" s="188">
        <v>309947876.49000001</v>
      </c>
      <c r="AN9" s="188">
        <v>181704858.06999999</v>
      </c>
      <c r="AO9" s="188">
        <v>477767391.52999997</v>
      </c>
      <c r="AP9" s="188">
        <v>385578417.63999999</v>
      </c>
      <c r="AQ9" s="188">
        <v>251513552.56</v>
      </c>
      <c r="AR9" s="188">
        <v>162661336.31</v>
      </c>
      <c r="AS9" s="188">
        <v>379371992.24000001</v>
      </c>
      <c r="AT9" s="188">
        <v>249988993.84</v>
      </c>
      <c r="AU9" s="188">
        <v>165486439.28999999</v>
      </c>
      <c r="AV9" s="188">
        <v>106272099.56</v>
      </c>
      <c r="AW9" s="188">
        <v>255516718.46000001</v>
      </c>
      <c r="AX9" s="188">
        <v>200495379.09999999</v>
      </c>
      <c r="AY9" s="188">
        <v>134394727.46000001</v>
      </c>
      <c r="AZ9" s="188">
        <v>71658688.400000006</v>
      </c>
      <c r="BA9" s="188">
        <v>171051130.61000001</v>
      </c>
      <c r="BB9" s="188">
        <v>110135629.19</v>
      </c>
      <c r="BC9" s="188">
        <v>74104494.620000005</v>
      </c>
      <c r="BD9" s="188">
        <v>44656969.390000001</v>
      </c>
      <c r="BE9" s="188">
        <v>134957526.19999999</v>
      </c>
      <c r="BF9" s="188">
        <v>89951376.379999995</v>
      </c>
      <c r="BG9" s="188">
        <v>61473698.689999998</v>
      </c>
      <c r="BH9" s="188">
        <v>35602845.32</v>
      </c>
      <c r="BI9" s="188">
        <v>104517598.7</v>
      </c>
      <c r="BJ9" s="188">
        <v>66747469.539999999</v>
      </c>
      <c r="BK9" s="188">
        <v>43447414.619999997</v>
      </c>
      <c r="BL9" s="188">
        <v>82245193.959999993</v>
      </c>
      <c r="BM9" s="188">
        <v>90187798.849999994</v>
      </c>
      <c r="BN9" s="188">
        <v>0</v>
      </c>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391</v>
      </c>
      <c r="B10" s="188">
        <v>257147682.87</v>
      </c>
      <c r="C10" s="188">
        <v>260880196.28</v>
      </c>
      <c r="D10" s="188">
        <v>121047571</v>
      </c>
      <c r="E10" s="188">
        <v>415194235.98000002</v>
      </c>
      <c r="F10" s="188">
        <v>298600011.56999999</v>
      </c>
      <c r="G10" s="188">
        <v>193325749.99000001</v>
      </c>
      <c r="H10" s="188">
        <v>80396259.319999993</v>
      </c>
      <c r="I10" s="188">
        <v>388306153.91000003</v>
      </c>
      <c r="J10" s="188">
        <v>279135592.45999998</v>
      </c>
      <c r="K10" s="188">
        <v>179836717.36000001</v>
      </c>
      <c r="L10" s="188">
        <v>80391177.230000004</v>
      </c>
      <c r="M10" s="188">
        <v>367200921.75999999</v>
      </c>
      <c r="N10" s="188">
        <v>248331379.33000001</v>
      </c>
      <c r="O10" s="188">
        <v>161745534.05000001</v>
      </c>
      <c r="P10" s="188">
        <v>79904826.980000004</v>
      </c>
      <c r="Q10" s="188">
        <v>324558437.29000002</v>
      </c>
      <c r="R10" s="188">
        <v>232568064.91999999</v>
      </c>
      <c r="S10" s="188">
        <v>157525244.25</v>
      </c>
      <c r="T10" s="188">
        <v>75980856.230000004</v>
      </c>
      <c r="U10" s="188">
        <v>280696194.50999999</v>
      </c>
      <c r="V10" s="188">
        <v>211361935</v>
      </c>
      <c r="W10" s="188">
        <v>145988493.90000001</v>
      </c>
      <c r="X10" s="188">
        <v>67891314.530000001</v>
      </c>
      <c r="Y10" s="188">
        <v>251720840.91999999</v>
      </c>
      <c r="Z10" s="188">
        <v>176397203.68000001</v>
      </c>
      <c r="AA10" s="188">
        <v>110992321.62</v>
      </c>
      <c r="AB10" s="188">
        <v>55369203.649999999</v>
      </c>
      <c r="AC10" s="188">
        <v>212566272.22999999</v>
      </c>
      <c r="AD10" s="188">
        <v>156485513.28999999</v>
      </c>
      <c r="AE10" s="188">
        <v>108622455.31</v>
      </c>
      <c r="AF10" s="188">
        <v>51136235.210000001</v>
      </c>
      <c r="AG10" s="188">
        <v>216252564.03</v>
      </c>
      <c r="AH10" s="188">
        <v>155745047.87</v>
      </c>
      <c r="AI10" s="188">
        <v>98140658.659999996</v>
      </c>
      <c r="AJ10" s="188">
        <v>43772504.399999999</v>
      </c>
      <c r="AK10" s="188">
        <v>187356884.34999999</v>
      </c>
      <c r="AL10" s="188">
        <v>133366139.19</v>
      </c>
      <c r="AM10" s="188">
        <v>84763348.359999999</v>
      </c>
      <c r="AN10" s="188">
        <v>40166571.460000001</v>
      </c>
      <c r="AO10" s="188">
        <v>206713755.66</v>
      </c>
      <c r="AP10" s="188">
        <v>136604138.33000001</v>
      </c>
      <c r="AQ10" s="188">
        <v>88724436.450000003</v>
      </c>
      <c r="AR10" s="188">
        <v>42570323.770000003</v>
      </c>
      <c r="AS10" s="188">
        <v>122649947.5</v>
      </c>
      <c r="AT10" s="188">
        <v>86368594.909999996</v>
      </c>
      <c r="AU10" s="188">
        <v>58575355.189999998</v>
      </c>
      <c r="AV10" s="188">
        <v>25540101.48</v>
      </c>
      <c r="AW10" s="188">
        <v>121883647.76000001</v>
      </c>
      <c r="AX10" s="188">
        <v>75797570.909999996</v>
      </c>
      <c r="AY10" s="188">
        <v>54569158.25</v>
      </c>
      <c r="AZ10" s="188">
        <v>26659418.57</v>
      </c>
      <c r="BA10" s="188">
        <v>79418100.099999994</v>
      </c>
      <c r="BB10" s="188">
        <v>60338328.299999997</v>
      </c>
      <c r="BC10" s="188">
        <v>38424302.530000001</v>
      </c>
      <c r="BD10" s="188">
        <v>20772278.649999999</v>
      </c>
      <c r="BE10" s="188">
        <v>62140923.880000003</v>
      </c>
      <c r="BF10" s="188">
        <v>42798796.950000003</v>
      </c>
      <c r="BG10" s="188">
        <v>25949718.640000001</v>
      </c>
      <c r="BH10" s="188">
        <v>15635214.68</v>
      </c>
      <c r="BI10" s="188">
        <v>45169507.310000002</v>
      </c>
      <c r="BJ10" s="188">
        <v>31953956.25</v>
      </c>
      <c r="BK10" s="188">
        <v>19483467.449999999</v>
      </c>
      <c r="BL10" s="188">
        <v>30986823.75</v>
      </c>
      <c r="BM10" s="188">
        <v>21330339.460000001</v>
      </c>
      <c r="BN10" s="188">
        <v>0</v>
      </c>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392</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393</v>
      </c>
      <c r="B12" s="29">
        <f>B55</f>
        <v>463</v>
      </c>
      <c r="C12" s="29">
        <f t="shared" ref="C12:BN12" si="5">C55</f>
        <v>603</v>
      </c>
      <c r="D12" s="29">
        <f t="shared" si="5"/>
        <v>653</v>
      </c>
      <c r="E12" s="29">
        <f t="shared" si="5"/>
        <v>528511.43999999994</v>
      </c>
      <c r="F12" s="29">
        <f t="shared" si="5"/>
        <v>1204</v>
      </c>
      <c r="G12" s="29">
        <f t="shared" si="5"/>
        <v>868</v>
      </c>
      <c r="H12" s="29">
        <f t="shared" si="5"/>
        <v>644</v>
      </c>
      <c r="I12" s="29">
        <f t="shared" si="5"/>
        <v>591699.29</v>
      </c>
      <c r="J12" s="29">
        <f t="shared" si="5"/>
        <v>0</v>
      </c>
      <c r="K12" s="29">
        <f t="shared" si="5"/>
        <v>0</v>
      </c>
      <c r="L12" s="29">
        <f t="shared" si="5"/>
        <v>0</v>
      </c>
      <c r="M12" s="29">
        <f t="shared" si="5"/>
        <v>574431.84</v>
      </c>
      <c r="N12" s="29">
        <f t="shared" si="5"/>
        <v>0</v>
      </c>
      <c r="O12" s="29">
        <f t="shared" si="5"/>
        <v>0</v>
      </c>
      <c r="P12" s="29">
        <f t="shared" si="5"/>
        <v>0</v>
      </c>
      <c r="Q12" s="29">
        <f t="shared" si="5"/>
        <v>784649.75</v>
      </c>
      <c r="R12" s="29">
        <f t="shared" si="5"/>
        <v>0</v>
      </c>
      <c r="S12" s="29">
        <f t="shared" si="5"/>
        <v>0</v>
      </c>
      <c r="T12" s="29">
        <f t="shared" si="5"/>
        <v>0</v>
      </c>
      <c r="U12" s="29">
        <f t="shared" si="5"/>
        <v>957328.37</v>
      </c>
      <c r="V12" s="29">
        <f t="shared" si="5"/>
        <v>0</v>
      </c>
      <c r="W12" s="29">
        <f t="shared" si="5"/>
        <v>0</v>
      </c>
      <c r="X12" s="29">
        <f t="shared" si="5"/>
        <v>0</v>
      </c>
      <c r="Y12" s="29">
        <f t="shared" si="5"/>
        <v>1143800.3899999999</v>
      </c>
      <c r="Z12" s="29">
        <f t="shared" si="5"/>
        <v>0</v>
      </c>
      <c r="AA12" s="29">
        <f t="shared" si="5"/>
        <v>0</v>
      </c>
      <c r="AB12" s="29">
        <f t="shared" si="5"/>
        <v>0</v>
      </c>
      <c r="AC12" s="29">
        <f t="shared" si="5"/>
        <v>1277205.74</v>
      </c>
      <c r="AD12" s="29">
        <f t="shared" si="5"/>
        <v>0</v>
      </c>
      <c r="AE12" s="29">
        <f t="shared" si="5"/>
        <v>0</v>
      </c>
      <c r="AF12" s="29">
        <f t="shared" si="5"/>
        <v>0</v>
      </c>
      <c r="AG12" s="29">
        <f t="shared" si="5"/>
        <v>1443253.9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8">
        <v>7916423.1699999999</v>
      </c>
      <c r="C13" s="188">
        <v>7103470.0899999999</v>
      </c>
      <c r="D13" s="188">
        <v>781736.23</v>
      </c>
      <c r="E13" s="188">
        <v>7033906.4500000002</v>
      </c>
      <c r="F13" s="188">
        <v>26782828.48</v>
      </c>
      <c r="G13" s="188">
        <v>23301240.23</v>
      </c>
      <c r="H13" s="188">
        <v>5317175.8</v>
      </c>
      <c r="I13" s="188">
        <v>69386620.680000007</v>
      </c>
      <c r="J13" s="188">
        <v>25781571.260000002</v>
      </c>
      <c r="K13" s="188">
        <v>19343027.719999999</v>
      </c>
      <c r="L13" s="188">
        <v>16088490.970000001</v>
      </c>
      <c r="M13" s="188">
        <v>48607593.759999998</v>
      </c>
      <c r="N13" s="188">
        <v>31187347.07</v>
      </c>
      <c r="O13" s="188">
        <v>19887567.43</v>
      </c>
      <c r="P13" s="188">
        <v>12042239</v>
      </c>
      <c r="Q13" s="188">
        <v>32746697.98</v>
      </c>
      <c r="R13" s="188">
        <v>22324503.550000001</v>
      </c>
      <c r="S13" s="188">
        <v>11335308.359999999</v>
      </c>
      <c r="T13" s="188">
        <v>1441749.82</v>
      </c>
      <c r="U13" s="188">
        <v>26506570.829999998</v>
      </c>
      <c r="V13" s="188">
        <v>17915652.739999998</v>
      </c>
      <c r="W13" s="188">
        <v>6293333.4299999997</v>
      </c>
      <c r="X13" s="188">
        <v>4171824.79</v>
      </c>
      <c r="Y13" s="188">
        <v>31872332.440000001</v>
      </c>
      <c r="Z13" s="188">
        <v>14497079.779999999</v>
      </c>
      <c r="AA13" s="188">
        <v>3721851.7</v>
      </c>
      <c r="AB13" s="188">
        <v>2075061.54</v>
      </c>
      <c r="AC13" s="188">
        <v>39564100.850000001</v>
      </c>
      <c r="AD13" s="188">
        <v>24003599.399999999</v>
      </c>
      <c r="AE13" s="188">
        <v>6738777.0499999998</v>
      </c>
      <c r="AF13" s="188">
        <v>2490887.85</v>
      </c>
      <c r="AG13" s="188">
        <v>36828926.869999997</v>
      </c>
      <c r="AH13" s="188">
        <v>8285355.8899999997</v>
      </c>
      <c r="AI13" s="188">
        <v>4802827.21</v>
      </c>
      <c r="AJ13" s="188">
        <v>568192.41</v>
      </c>
      <c r="AK13" s="188">
        <v>12143118.039999999</v>
      </c>
      <c r="AL13" s="188">
        <v>4964104.26</v>
      </c>
      <c r="AM13" s="188">
        <v>3881464.25</v>
      </c>
      <c r="AN13" s="188">
        <v>44081.09</v>
      </c>
      <c r="AO13" s="188">
        <v>7417327.6299999999</v>
      </c>
      <c r="AP13" s="188">
        <v>3208275.35</v>
      </c>
      <c r="AQ13" s="188">
        <v>2919831.42</v>
      </c>
      <c r="AR13" s="188">
        <v>1682680.48</v>
      </c>
      <c r="AS13" s="188">
        <v>3452150.28</v>
      </c>
      <c r="AT13" s="188">
        <v>3377479.22</v>
      </c>
      <c r="AU13" s="188">
        <v>827628.65</v>
      </c>
      <c r="AV13" s="188">
        <v>99709.21</v>
      </c>
      <c r="AW13" s="188">
        <v>165767.84</v>
      </c>
      <c r="AX13" s="188">
        <v>212864.33</v>
      </c>
      <c r="AY13" s="188">
        <v>108908.36</v>
      </c>
      <c r="AZ13" s="188">
        <v>46715.16</v>
      </c>
      <c r="BA13" s="188">
        <v>220702.64</v>
      </c>
      <c r="BB13" s="188">
        <v>78383.7</v>
      </c>
      <c r="BC13" s="188">
        <v>21761</v>
      </c>
      <c r="BD13" s="188">
        <v>13086.96</v>
      </c>
      <c r="BE13" s="188">
        <v>71862.009999999995</v>
      </c>
      <c r="BF13" s="188">
        <v>61094.39</v>
      </c>
      <c r="BG13" s="188">
        <v>36247.279999999999</v>
      </c>
      <c r="BH13" s="188">
        <v>10344.129999999999</v>
      </c>
      <c r="BI13" s="188">
        <v>13308.24</v>
      </c>
      <c r="BJ13" s="188">
        <v>10541.01</v>
      </c>
      <c r="BK13" s="188">
        <v>4622.26</v>
      </c>
      <c r="BL13" s="188">
        <v>5908.78</v>
      </c>
      <c r="BM13" s="188">
        <v>422992.3</v>
      </c>
      <c r="BN13" s="188">
        <v>0</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395</v>
      </c>
      <c r="B14" s="188">
        <v>2804227.75</v>
      </c>
      <c r="C14" s="188">
        <v>1577988.03</v>
      </c>
      <c r="D14" s="188">
        <v>615208.53</v>
      </c>
      <c r="E14" s="188">
        <v>16490093.75</v>
      </c>
      <c r="F14" s="188">
        <v>12743074.49</v>
      </c>
      <c r="G14" s="188">
        <v>12091158.710000001</v>
      </c>
      <c r="H14" s="188">
        <v>5630418.2599999998</v>
      </c>
      <c r="I14" s="188">
        <v>17741169.91</v>
      </c>
      <c r="J14" s="188">
        <v>8017433.46</v>
      </c>
      <c r="K14" s="188">
        <v>5948132.6100000003</v>
      </c>
      <c r="L14" s="188">
        <v>3209568.25</v>
      </c>
      <c r="M14" s="188">
        <v>19395818.73</v>
      </c>
      <c r="N14" s="188">
        <v>10375914.300000001</v>
      </c>
      <c r="O14" s="188">
        <v>5219796.3499999996</v>
      </c>
      <c r="P14" s="188">
        <v>2672233.7799999998</v>
      </c>
      <c r="Q14" s="188">
        <v>29981795.699999999</v>
      </c>
      <c r="R14" s="188">
        <v>10431136.529999999</v>
      </c>
      <c r="S14" s="188">
        <v>6557874.2400000002</v>
      </c>
      <c r="T14" s="188">
        <v>3219176.63</v>
      </c>
      <c r="U14" s="188">
        <v>35761868.149999999</v>
      </c>
      <c r="V14" s="188">
        <v>18022270.989999998</v>
      </c>
      <c r="W14" s="188">
        <v>15160123.41</v>
      </c>
      <c r="X14" s="188">
        <v>11966058.109999999</v>
      </c>
      <c r="Y14" s="188">
        <v>13543682.41</v>
      </c>
      <c r="Z14" s="188">
        <v>8333107.2699999996</v>
      </c>
      <c r="AA14" s="188">
        <v>4312266.01</v>
      </c>
      <c r="AB14" s="188">
        <v>2282725.23</v>
      </c>
      <c r="AC14" s="188">
        <v>12321721.68</v>
      </c>
      <c r="AD14" s="188">
        <v>9486716.4100000001</v>
      </c>
      <c r="AE14" s="188">
        <v>5664122.4900000002</v>
      </c>
      <c r="AF14" s="188">
        <v>2411429.2200000002</v>
      </c>
      <c r="AG14" s="188">
        <v>10958813.34</v>
      </c>
      <c r="AH14" s="188">
        <v>6878369.7800000003</v>
      </c>
      <c r="AI14" s="188">
        <v>3640081.28</v>
      </c>
      <c r="AJ14" s="188">
        <v>1790729.77</v>
      </c>
      <c r="AK14" s="188">
        <v>9972570.1400000006</v>
      </c>
      <c r="AL14" s="188">
        <v>7631520.7199999997</v>
      </c>
      <c r="AM14" s="188">
        <v>4886510.54</v>
      </c>
      <c r="AN14" s="188">
        <v>1859782.05</v>
      </c>
      <c r="AO14" s="188">
        <v>4638770.6900000004</v>
      </c>
      <c r="AP14" s="188">
        <v>4325657.2</v>
      </c>
      <c r="AQ14" s="188">
        <v>2114160.2999999998</v>
      </c>
      <c r="AR14" s="188">
        <v>1382334.24</v>
      </c>
      <c r="AS14" s="188">
        <v>5584118.8799999999</v>
      </c>
      <c r="AT14" s="188">
        <v>3221906.23</v>
      </c>
      <c r="AU14" s="188">
        <v>1538697.72</v>
      </c>
      <c r="AV14" s="188">
        <v>751887.3</v>
      </c>
      <c r="AW14" s="188">
        <v>6912553.8799999999</v>
      </c>
      <c r="AX14" s="188">
        <v>2477069.5299999998</v>
      </c>
      <c r="AY14" s="188">
        <v>1486024.96</v>
      </c>
      <c r="AZ14" s="188">
        <v>517624.26</v>
      </c>
      <c r="BA14" s="188">
        <v>3971777.53</v>
      </c>
      <c r="BB14" s="188">
        <v>2722908.98</v>
      </c>
      <c r="BC14" s="188">
        <v>1703815.62</v>
      </c>
      <c r="BD14" s="188">
        <v>430193.8</v>
      </c>
      <c r="BE14" s="188">
        <v>1106755.83</v>
      </c>
      <c r="BF14" s="188">
        <v>889947.89</v>
      </c>
      <c r="BG14" s="188">
        <v>438070.95</v>
      </c>
      <c r="BH14" s="188">
        <v>357756.36</v>
      </c>
      <c r="BI14" s="188">
        <v>1036109.1</v>
      </c>
      <c r="BJ14" s="188">
        <v>863614.73</v>
      </c>
      <c r="BK14" s="188">
        <v>534029.13</v>
      </c>
      <c r="BL14" s="188">
        <v>995249.03</v>
      </c>
      <c r="BM14" s="188">
        <v>1197132.3700000001</v>
      </c>
      <c r="BN14" s="188">
        <v>0</v>
      </c>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398</v>
      </c>
      <c r="B15" s="28">
        <f>B6-(B8+B9+B10+B11+B12)+B13-B14</f>
        <v>1516657543.6899986</v>
      </c>
      <c r="C15" s="28">
        <f t="shared" ref="C15:BN15" si="7">C6-(C8+C9+C10+C11+C12)+C13-C14</f>
        <v>899225047.82999933</v>
      </c>
      <c r="D15" s="28">
        <f t="shared" si="7"/>
        <v>585346829.10000014</v>
      </c>
      <c r="E15" s="28">
        <f t="shared" si="7"/>
        <v>1409390769.4199994</v>
      </c>
      <c r="F15" s="28">
        <f t="shared" si="7"/>
        <v>1044110474.7500005</v>
      </c>
      <c r="G15" s="28">
        <f t="shared" si="7"/>
        <v>700551916.79999995</v>
      </c>
      <c r="H15" s="28">
        <f t="shared" si="7"/>
        <v>449887739.51000029</v>
      </c>
      <c r="I15" s="28">
        <f t="shared" si="7"/>
        <v>1279587994.7100015</v>
      </c>
      <c r="J15" s="28">
        <f t="shared" si="7"/>
        <v>947177221.15000033</v>
      </c>
      <c r="K15" s="28">
        <f t="shared" si="7"/>
        <v>609194090.88999951</v>
      </c>
      <c r="L15" s="28">
        <f t="shared" si="7"/>
        <v>356227611.4799999</v>
      </c>
      <c r="M15" s="28">
        <f t="shared" si="7"/>
        <v>1112979758.4799993</v>
      </c>
      <c r="N15" s="28">
        <f t="shared" si="7"/>
        <v>832426064.46999967</v>
      </c>
      <c r="O15" s="28">
        <f t="shared" si="7"/>
        <v>512476378.80000025</v>
      </c>
      <c r="P15" s="28">
        <f t="shared" si="7"/>
        <v>299499826.67999983</v>
      </c>
      <c r="Q15" s="28">
        <f t="shared" si="7"/>
        <v>858063384.47000003</v>
      </c>
      <c r="R15" s="28">
        <f t="shared" si="7"/>
        <v>648702634.68000007</v>
      </c>
      <c r="S15" s="28">
        <f t="shared" si="7"/>
        <v>416078255.63000047</v>
      </c>
      <c r="T15" s="28">
        <f t="shared" si="7"/>
        <v>237610740.29000014</v>
      </c>
      <c r="U15" s="28">
        <f t="shared" si="7"/>
        <v>727832719.08999968</v>
      </c>
      <c r="V15" s="28">
        <f t="shared" si="7"/>
        <v>564821706.78000116</v>
      </c>
      <c r="W15" s="28">
        <f t="shared" si="7"/>
        <v>362595584.13999999</v>
      </c>
      <c r="X15" s="28">
        <f t="shared" si="7"/>
        <v>211520702.55999994</v>
      </c>
      <c r="Y15" s="28">
        <f t="shared" si="7"/>
        <v>586519668.11000049</v>
      </c>
      <c r="Z15" s="28">
        <f t="shared" si="7"/>
        <v>437008558.28000009</v>
      </c>
      <c r="AA15" s="28">
        <f t="shared" si="7"/>
        <v>285567474.39999968</v>
      </c>
      <c r="AB15" s="28">
        <f t="shared" si="7"/>
        <v>174065162.39000005</v>
      </c>
      <c r="AC15" s="28">
        <f t="shared" si="7"/>
        <v>624832286.40000057</v>
      </c>
      <c r="AD15" s="28">
        <f t="shared" si="7"/>
        <v>475419167.82999998</v>
      </c>
      <c r="AE15" s="28">
        <f t="shared" si="7"/>
        <v>307894210.86999995</v>
      </c>
      <c r="AF15" s="28">
        <f t="shared" si="7"/>
        <v>187079685.04999995</v>
      </c>
      <c r="AG15" s="28">
        <f t="shared" si="7"/>
        <v>529634603.3999998</v>
      </c>
      <c r="AH15" s="28">
        <f t="shared" si="7"/>
        <v>388568898.26000023</v>
      </c>
      <c r="AI15" s="28">
        <f t="shared" si="7"/>
        <v>240334963.6099999</v>
      </c>
      <c r="AJ15" s="28">
        <f t="shared" si="7"/>
        <v>142170582.3299998</v>
      </c>
      <c r="AK15" s="28">
        <f t="shared" si="7"/>
        <v>394410631.00000054</v>
      </c>
      <c r="AL15" s="28">
        <f t="shared" si="7"/>
        <v>272989734.68999982</v>
      </c>
      <c r="AM15" s="28">
        <f t="shared" si="7"/>
        <v>182676215.90999994</v>
      </c>
      <c r="AN15" s="28">
        <f t="shared" si="7"/>
        <v>100538764.15000002</v>
      </c>
      <c r="AO15" s="28">
        <f t="shared" si="7"/>
        <v>312565488.05999976</v>
      </c>
      <c r="AP15" s="28">
        <f t="shared" si="7"/>
        <v>202211127.08999994</v>
      </c>
      <c r="AQ15" s="28">
        <f t="shared" si="7"/>
        <v>142601683.39999983</v>
      </c>
      <c r="AR15" s="28">
        <f t="shared" si="7"/>
        <v>79031720.609999925</v>
      </c>
      <c r="AS15" s="28">
        <f t="shared" si="7"/>
        <v>263805950.34999961</v>
      </c>
      <c r="AT15" s="28">
        <f t="shared" si="7"/>
        <v>184254919.45999986</v>
      </c>
      <c r="AU15" s="28">
        <f t="shared" si="7"/>
        <v>131901671.65999988</v>
      </c>
      <c r="AV15" s="28">
        <f t="shared" si="7"/>
        <v>65733420.789999999</v>
      </c>
      <c r="AW15" s="28">
        <f t="shared" si="7"/>
        <v>172515048.10000011</v>
      </c>
      <c r="AX15" s="28">
        <f t="shared" si="7"/>
        <v>108220583.59000002</v>
      </c>
      <c r="AY15" s="28">
        <f t="shared" si="7"/>
        <v>73263521.269999951</v>
      </c>
      <c r="AZ15" s="28">
        <f t="shared" si="7"/>
        <v>39210345.610000037</v>
      </c>
      <c r="BA15" s="28">
        <f t="shared" si="7"/>
        <v>107662853.21999998</v>
      </c>
      <c r="BB15" s="28">
        <f t="shared" si="7"/>
        <v>59446656.119999923</v>
      </c>
      <c r="BC15" s="28">
        <f t="shared" si="7"/>
        <v>42793323.740000002</v>
      </c>
      <c r="BD15" s="28">
        <f t="shared" si="7"/>
        <v>19518937.770000014</v>
      </c>
      <c r="BE15" s="28">
        <f t="shared" si="7"/>
        <v>78470530.810000032</v>
      </c>
      <c r="BF15" s="28">
        <f t="shared" si="7"/>
        <v>57371018.129999951</v>
      </c>
      <c r="BG15" s="28">
        <f t="shared" si="7"/>
        <v>34471804.110000014</v>
      </c>
      <c r="BH15" s="28">
        <f t="shared" si="7"/>
        <v>12732757.639999984</v>
      </c>
      <c r="BI15" s="28">
        <f t="shared" si="7"/>
        <v>86989397.920000061</v>
      </c>
      <c r="BJ15" s="28">
        <f t="shared" si="7"/>
        <v>57285766.450000063</v>
      </c>
      <c r="BK15" s="28">
        <f t="shared" si="7"/>
        <v>36172263.390000015</v>
      </c>
      <c r="BL15" s="28">
        <f t="shared" si="7"/>
        <v>69131959.64000003</v>
      </c>
      <c r="BM15" s="28">
        <f t="shared" si="7"/>
        <v>41639919.209999971</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264673581.25094479</v>
      </c>
      <c r="C16" s="26">
        <f t="shared" ref="C16:BN16" si="9">C15*C41</f>
        <v>194009960.52220178</v>
      </c>
      <c r="D16" s="26">
        <f t="shared" si="9"/>
        <v>148809090.8181428</v>
      </c>
      <c r="E16" s="26">
        <f t="shared" si="9"/>
        <v>247458152.63985822</v>
      </c>
      <c r="F16" s="26">
        <f t="shared" si="9"/>
        <v>188855608.50823423</v>
      </c>
      <c r="G16" s="26">
        <f t="shared" si="9"/>
        <v>127111683.72454022</v>
      </c>
      <c r="H16" s="26">
        <f t="shared" si="9"/>
        <v>95900132.988117844</v>
      </c>
      <c r="I16" s="26">
        <f t="shared" si="9"/>
        <v>216853925.87433895</v>
      </c>
      <c r="J16" s="26">
        <f t="shared" si="9"/>
        <v>203060895.876809</v>
      </c>
      <c r="K16" s="26">
        <f t="shared" si="9"/>
        <v>132061000.69662826</v>
      </c>
      <c r="L16" s="26">
        <f t="shared" si="9"/>
        <v>77187535.035399571</v>
      </c>
      <c r="M16" s="26">
        <f t="shared" si="9"/>
        <v>175340192.57244325</v>
      </c>
      <c r="N16" s="26">
        <f t="shared" si="9"/>
        <v>167760207.25165585</v>
      </c>
      <c r="O16" s="26">
        <f t="shared" si="9"/>
        <v>99208227.472934797</v>
      </c>
      <c r="P16" s="26">
        <f t="shared" si="9"/>
        <v>60820388.54450132</v>
      </c>
      <c r="Q16" s="26">
        <f t="shared" si="9"/>
        <v>135593239.98658222</v>
      </c>
      <c r="R16" s="26">
        <f t="shared" si="9"/>
        <v>112740737.23061377</v>
      </c>
      <c r="S16" s="26">
        <f t="shared" si="9"/>
        <v>71745855.823380128</v>
      </c>
      <c r="T16" s="26">
        <f t="shared" si="9"/>
        <v>39218412.000634447</v>
      </c>
      <c r="U16" s="26">
        <f t="shared" si="9"/>
        <v>107546975.16783614</v>
      </c>
      <c r="V16" s="26">
        <f t="shared" si="9"/>
        <v>101173994.09517342</v>
      </c>
      <c r="W16" s="26">
        <f t="shared" si="9"/>
        <v>64390295.83696615</v>
      </c>
      <c r="X16" s="26">
        <f t="shared" si="9"/>
        <v>40630203.33190643</v>
      </c>
      <c r="Y16" s="26">
        <f t="shared" si="9"/>
        <v>78316383.862237111</v>
      </c>
      <c r="Z16" s="26">
        <f t="shared" si="9"/>
        <v>80314085.696853042</v>
      </c>
      <c r="AA16" s="26">
        <f t="shared" si="9"/>
        <v>50007607.415870897</v>
      </c>
      <c r="AB16" s="26">
        <f t="shared" si="9"/>
        <v>35091811.052664734</v>
      </c>
      <c r="AC16" s="26">
        <f t="shared" si="9"/>
        <v>102029653.3903155</v>
      </c>
      <c r="AD16" s="26">
        <f t="shared" si="9"/>
        <v>81685343.340827048</v>
      </c>
      <c r="AE16" s="26">
        <f t="shared" si="9"/>
        <v>52950507.383154467</v>
      </c>
      <c r="AF16" s="26">
        <f t="shared" si="9"/>
        <v>28459156.059631128</v>
      </c>
      <c r="AG16" s="26">
        <f t="shared" si="9"/>
        <v>85749098.624073043</v>
      </c>
      <c r="AH16" s="26">
        <f t="shared" si="9"/>
        <v>72416775.558629006</v>
      </c>
      <c r="AI16" s="26">
        <f t="shared" si="9"/>
        <v>46529001.093614943</v>
      </c>
      <c r="AJ16" s="26">
        <f t="shared" si="9"/>
        <v>27194709.695972316</v>
      </c>
      <c r="AK16" s="26">
        <f t="shared" si="9"/>
        <v>66856331.478896737</v>
      </c>
      <c r="AL16" s="26">
        <f t="shared" si="9"/>
        <v>50238404.167501852</v>
      </c>
      <c r="AM16" s="26">
        <f t="shared" si="9"/>
        <v>41538716.06903781</v>
      </c>
      <c r="AN16" s="26">
        <f t="shared" si="9"/>
        <v>24227566.342032768</v>
      </c>
      <c r="AO16" s="26">
        <f t="shared" si="9"/>
        <v>42414575.531206973</v>
      </c>
      <c r="AP16" s="26">
        <f t="shared" si="9"/>
        <v>28400568.586771335</v>
      </c>
      <c r="AQ16" s="26">
        <f t="shared" si="9"/>
        <v>19482586.774240483</v>
      </c>
      <c r="AR16" s="26">
        <f t="shared" si="9"/>
        <v>11793731.375872578</v>
      </c>
      <c r="AS16" s="26">
        <f t="shared" si="9"/>
        <v>29282364.779370967</v>
      </c>
      <c r="AT16" s="26">
        <f t="shared" si="9"/>
        <v>50687198.387774773</v>
      </c>
      <c r="AU16" s="26">
        <f t="shared" si="9"/>
        <v>38559532.079962343</v>
      </c>
      <c r="AV16" s="26">
        <f t="shared" si="9"/>
        <v>14275918.920232011</v>
      </c>
      <c r="AW16" s="26">
        <f t="shared" si="9"/>
        <v>18995646.1837801</v>
      </c>
      <c r="AX16" s="26">
        <f t="shared" si="9"/>
        <v>21134669.15732095</v>
      </c>
      <c r="AY16" s="26">
        <f t="shared" si="9"/>
        <v>13642388.543302035</v>
      </c>
      <c r="AZ16" s="26">
        <f t="shared" si="9"/>
        <v>7904889.8052990716</v>
      </c>
      <c r="BA16" s="26">
        <f t="shared" si="9"/>
        <v>4680228.7624639506</v>
      </c>
      <c r="BB16" s="26">
        <f t="shared" si="9"/>
        <v>3069657.6864385884</v>
      </c>
      <c r="BC16" s="26">
        <f t="shared" si="9"/>
        <v>2600064.7751007047</v>
      </c>
      <c r="BD16" s="26">
        <f t="shared" si="9"/>
        <v>1265979.6310838768</v>
      </c>
      <c r="BE16" s="26">
        <f t="shared" si="9"/>
        <v>5879099.5966756819</v>
      </c>
      <c r="BF16" s="26">
        <f t="shared" si="9"/>
        <v>11834743.477167994</v>
      </c>
      <c r="BG16" s="26">
        <f t="shared" si="9"/>
        <v>8211079.6779647721</v>
      </c>
      <c r="BH16" s="26">
        <f t="shared" si="9"/>
        <v>3597266.3158737388</v>
      </c>
      <c r="BI16" s="26">
        <f t="shared" si="9"/>
        <v>34571061.602136374</v>
      </c>
      <c r="BJ16" s="26">
        <f t="shared" si="9"/>
        <v>25553102.034637105</v>
      </c>
      <c r="BK16" s="26">
        <f t="shared" si="9"/>
        <v>18690943.732826259</v>
      </c>
      <c r="BL16" s="26">
        <f t="shared" si="9"/>
        <v>29429825.535615422</v>
      </c>
      <c r="BM16" s="26">
        <f t="shared" si="9"/>
        <v>17542352.542277686</v>
      </c>
      <c r="BN16" s="26" t="e">
        <f t="shared" si="9"/>
        <v>#DIV/0!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t="e">
        <f t="shared" si="10"/>
        <v>#DIV/0!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1251983962.4390538</v>
      </c>
      <c r="C17" s="27">
        <f t="shared" ref="C17:BN17" si="11">C15-C16</f>
        <v>705215087.30779755</v>
      </c>
      <c r="D17" s="27">
        <f t="shared" si="11"/>
        <v>436537738.28185737</v>
      </c>
      <c r="E17" s="27">
        <f t="shared" si="11"/>
        <v>1161932616.7801411</v>
      </c>
      <c r="F17" s="27">
        <f t="shared" si="11"/>
        <v>855254866.24176621</v>
      </c>
      <c r="G17" s="27">
        <f t="shared" si="11"/>
        <v>573440233.07545972</v>
      </c>
      <c r="H17" s="27">
        <f t="shared" si="11"/>
        <v>353987606.52188241</v>
      </c>
      <c r="I17" s="27">
        <f t="shared" si="11"/>
        <v>1062734068.8356625</v>
      </c>
      <c r="J17" s="27">
        <f t="shared" si="11"/>
        <v>744116325.27319133</v>
      </c>
      <c r="K17" s="27">
        <f t="shared" si="11"/>
        <v>477133090.19337124</v>
      </c>
      <c r="L17" s="27">
        <f t="shared" si="11"/>
        <v>279040076.44460034</v>
      </c>
      <c r="M17" s="27">
        <f t="shared" si="11"/>
        <v>937639565.90755606</v>
      </c>
      <c r="N17" s="27">
        <f t="shared" si="11"/>
        <v>664665857.21834385</v>
      </c>
      <c r="O17" s="27">
        <f t="shared" si="11"/>
        <v>413268151.32706547</v>
      </c>
      <c r="P17" s="27">
        <f t="shared" si="11"/>
        <v>238679438.13549852</v>
      </c>
      <c r="Q17" s="27">
        <f t="shared" si="11"/>
        <v>722470144.48341775</v>
      </c>
      <c r="R17" s="27">
        <f t="shared" si="11"/>
        <v>535961897.4493863</v>
      </c>
      <c r="S17" s="27">
        <f t="shared" si="11"/>
        <v>344332399.80662036</v>
      </c>
      <c r="T17" s="27">
        <f t="shared" si="11"/>
        <v>198392328.28936571</v>
      </c>
      <c r="U17" s="27">
        <f t="shared" si="11"/>
        <v>620285743.92216349</v>
      </c>
      <c r="V17" s="27">
        <f t="shared" si="11"/>
        <v>463647712.68482774</v>
      </c>
      <c r="W17" s="27">
        <f t="shared" si="11"/>
        <v>298205288.30303383</v>
      </c>
      <c r="X17" s="27">
        <f t="shared" si="11"/>
        <v>170890499.2280935</v>
      </c>
      <c r="Y17" s="27">
        <f t="shared" si="11"/>
        <v>508203284.2477634</v>
      </c>
      <c r="Z17" s="27">
        <f t="shared" si="11"/>
        <v>356694472.58314705</v>
      </c>
      <c r="AA17" s="27">
        <f t="shared" si="11"/>
        <v>235559866.98412877</v>
      </c>
      <c r="AB17" s="27">
        <f t="shared" si="11"/>
        <v>138973351.33733532</v>
      </c>
      <c r="AC17" s="27">
        <f t="shared" si="11"/>
        <v>522802633.00968504</v>
      </c>
      <c r="AD17" s="27">
        <f t="shared" si="11"/>
        <v>393733824.48917294</v>
      </c>
      <c r="AE17" s="27">
        <f t="shared" si="11"/>
        <v>254943703.48684549</v>
      </c>
      <c r="AF17" s="27">
        <f t="shared" si="11"/>
        <v>158620528.99036881</v>
      </c>
      <c r="AG17" s="27">
        <f t="shared" si="11"/>
        <v>443885504.77592677</v>
      </c>
      <c r="AH17" s="27">
        <f t="shared" si="11"/>
        <v>316152122.70137119</v>
      </c>
      <c r="AI17" s="27">
        <f t="shared" si="11"/>
        <v>193805962.51638496</v>
      </c>
      <c r="AJ17" s="27">
        <f t="shared" si="11"/>
        <v>114975872.63402748</v>
      </c>
      <c r="AK17" s="27">
        <f t="shared" si="11"/>
        <v>327554299.5211038</v>
      </c>
      <c r="AL17" s="27">
        <f t="shared" si="11"/>
        <v>222751330.52249795</v>
      </c>
      <c r="AM17" s="27">
        <f t="shared" si="11"/>
        <v>141137499.84096211</v>
      </c>
      <c r="AN17" s="27">
        <f t="shared" si="11"/>
        <v>76311197.807967246</v>
      </c>
      <c r="AO17" s="27">
        <f t="shared" si="11"/>
        <v>270150912.5287928</v>
      </c>
      <c r="AP17" s="27">
        <f t="shared" si="11"/>
        <v>173810558.5032286</v>
      </c>
      <c r="AQ17" s="27">
        <f t="shared" si="11"/>
        <v>123119096.62575935</v>
      </c>
      <c r="AR17" s="27">
        <f t="shared" si="11"/>
        <v>67237989.234127343</v>
      </c>
      <c r="AS17" s="27">
        <f t="shared" si="11"/>
        <v>234523585.57062864</v>
      </c>
      <c r="AT17" s="27">
        <f t="shared" si="11"/>
        <v>133567721.07222509</v>
      </c>
      <c r="AU17" s="27">
        <f t="shared" si="11"/>
        <v>93342139.580037534</v>
      </c>
      <c r="AV17" s="27">
        <f t="shared" si="11"/>
        <v>51457501.869767986</v>
      </c>
      <c r="AW17" s="27">
        <f t="shared" si="11"/>
        <v>153519401.91622001</v>
      </c>
      <c r="AX17" s="27">
        <f t="shared" si="11"/>
        <v>87085914.432679072</v>
      </c>
      <c r="AY17" s="27">
        <f t="shared" si="11"/>
        <v>59621132.726697914</v>
      </c>
      <c r="AZ17" s="27">
        <f t="shared" si="11"/>
        <v>31305455.804700963</v>
      </c>
      <c r="BA17" s="27">
        <f t="shared" si="11"/>
        <v>102982624.45753603</v>
      </c>
      <c r="BB17" s="27">
        <f t="shared" si="11"/>
        <v>56376998.433561333</v>
      </c>
      <c r="BC17" s="27">
        <f t="shared" si="11"/>
        <v>40193258.964899294</v>
      </c>
      <c r="BD17" s="27">
        <f t="shared" si="11"/>
        <v>18252958.138916139</v>
      </c>
      <c r="BE17" s="27">
        <f t="shared" si="11"/>
        <v>72591431.213324353</v>
      </c>
      <c r="BF17" s="27">
        <f t="shared" si="11"/>
        <v>45536274.652831957</v>
      </c>
      <c r="BG17" s="27">
        <f t="shared" si="11"/>
        <v>26260724.432035241</v>
      </c>
      <c r="BH17" s="27">
        <f t="shared" si="11"/>
        <v>9135491.3241262455</v>
      </c>
      <c r="BI17" s="27">
        <f t="shared" si="11"/>
        <v>52418336.317863688</v>
      </c>
      <c r="BJ17" s="27">
        <f t="shared" si="11"/>
        <v>31732664.415362958</v>
      </c>
      <c r="BK17" s="27">
        <f t="shared" si="11"/>
        <v>17481319.657173757</v>
      </c>
      <c r="BL17" s="27">
        <f t="shared" si="11"/>
        <v>39702134.104384609</v>
      </c>
      <c r="BM17" s="27">
        <f t="shared" si="11"/>
        <v>24097566.667722285</v>
      </c>
      <c r="BN17" s="27" t="e">
        <f t="shared" si="11"/>
        <v>#DIV/0!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t="e">
        <f t="shared" si="12"/>
        <v>#DIV/0!</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9.3476408970228011</v>
      </c>
      <c r="C18" s="57">
        <f t="shared" ref="C18:D18" si="13">C17/C4*100</f>
        <v>7.9692888754426008</v>
      </c>
      <c r="D18" s="57">
        <f t="shared" si="13"/>
        <v>8.932627675170659</v>
      </c>
      <c r="E18" s="57">
        <f>E17/E4</f>
        <v>8.18992149772549E-2</v>
      </c>
      <c r="F18" s="57">
        <f t="shared" ref="F18:BQ18" si="14">F17/F4</f>
        <v>8.1478930967940094E-2</v>
      </c>
      <c r="G18" s="57">
        <f t="shared" si="14"/>
        <v>8.2993415198051257E-2</v>
      </c>
      <c r="H18" s="57">
        <f t="shared" si="14"/>
        <v>8.9695281253518416E-2</v>
      </c>
      <c r="I18" s="57">
        <f t="shared" si="14"/>
        <v>8.8953135490896659E-2</v>
      </c>
      <c r="J18" s="57">
        <f t="shared" si="14"/>
        <v>8.4256213804199884E-2</v>
      </c>
      <c r="K18" s="57">
        <f t="shared" si="14"/>
        <v>8.2951957321541259E-2</v>
      </c>
      <c r="L18" s="57">
        <f t="shared" si="14"/>
        <v>8.9060217798225871E-2</v>
      </c>
      <c r="M18" s="57">
        <f t="shared" si="14"/>
        <v>8.5945600277973613E-2</v>
      </c>
      <c r="N18" s="57">
        <f t="shared" si="14"/>
        <v>8.0287018516261827E-2</v>
      </c>
      <c r="O18" s="57">
        <f t="shared" si="14"/>
        <v>7.682171225231825E-2</v>
      </c>
      <c r="P18" s="57">
        <f t="shared" si="14"/>
        <v>7.9381632699868532E-2</v>
      </c>
      <c r="Q18" s="57">
        <f t="shared" si="14"/>
        <v>7.5773164534228263E-2</v>
      </c>
      <c r="R18" s="57">
        <f t="shared" si="14"/>
        <v>7.4798664585991131E-2</v>
      </c>
      <c r="S18" s="57">
        <f t="shared" si="14"/>
        <v>7.4163157063766569E-2</v>
      </c>
      <c r="T18" s="57">
        <f t="shared" si="14"/>
        <v>7.6387461151371044E-2</v>
      </c>
      <c r="U18" s="57">
        <f t="shared" si="14"/>
        <v>7.3991085980937593E-2</v>
      </c>
      <c r="V18" s="57">
        <f t="shared" si="14"/>
        <v>7.3488446418450024E-2</v>
      </c>
      <c r="W18" s="57">
        <f t="shared" si="14"/>
        <v>7.2077588153709113E-2</v>
      </c>
      <c r="X18" s="57">
        <f t="shared" si="14"/>
        <v>7.5244950468843178E-2</v>
      </c>
      <c r="Y18" s="57">
        <f t="shared" si="14"/>
        <v>7.3765324312468725E-2</v>
      </c>
      <c r="Z18" s="57">
        <f t="shared" si="14"/>
        <v>7.0018829383150391E-2</v>
      </c>
      <c r="AA18" s="57">
        <f t="shared" si="14"/>
        <v>7.0569344487388913E-2</v>
      </c>
      <c r="AB18" s="57">
        <f t="shared" si="14"/>
        <v>7.2322434989570986E-2</v>
      </c>
      <c r="AC18" s="57">
        <f t="shared" si="14"/>
        <v>7.3369083820384276E-2</v>
      </c>
      <c r="AD18" s="57">
        <f t="shared" si="14"/>
        <v>7.3997523588633582E-2</v>
      </c>
      <c r="AE18" s="57">
        <f t="shared" si="14"/>
        <v>7.329210175599446E-2</v>
      </c>
      <c r="AF18" s="57">
        <f t="shared" si="14"/>
        <v>8.2760910097543119E-2</v>
      </c>
      <c r="AG18" s="57">
        <f t="shared" si="14"/>
        <v>7.8954182496019848E-2</v>
      </c>
      <c r="AH18" s="57">
        <f t="shared" si="14"/>
        <v>7.6518674767148978E-2</v>
      </c>
      <c r="AI18" s="57">
        <f t="shared" si="14"/>
        <v>7.3484058111839667E-2</v>
      </c>
      <c r="AJ18" s="57">
        <f t="shared" si="14"/>
        <v>8.1553343498316971E-2</v>
      </c>
      <c r="AK18" s="57">
        <f t="shared" si="14"/>
        <v>7.9586642410208616E-2</v>
      </c>
      <c r="AL18" s="57">
        <f t="shared" si="14"/>
        <v>7.7617700245131371E-2</v>
      </c>
      <c r="AM18" s="57">
        <f t="shared" si="14"/>
        <v>7.8863470886925219E-2</v>
      </c>
      <c r="AN18" s="57">
        <f t="shared" si="14"/>
        <v>7.8286379343735765E-2</v>
      </c>
      <c r="AO18" s="57">
        <f t="shared" si="14"/>
        <v>7.4576383434043908E-2</v>
      </c>
      <c r="AP18" s="57">
        <f t="shared" si="14"/>
        <v>6.3492194942641911E-2</v>
      </c>
      <c r="AQ18" s="57">
        <f t="shared" si="14"/>
        <v>6.9555245861637735E-2</v>
      </c>
      <c r="AR18" s="57">
        <f t="shared" si="14"/>
        <v>7.0861113802018857E-2</v>
      </c>
      <c r="AS18" s="57">
        <f t="shared" si="14"/>
        <v>7.9941151940879654E-2</v>
      </c>
      <c r="AT18" s="57">
        <f t="shared" si="14"/>
        <v>6.5571243078515487E-2</v>
      </c>
      <c r="AU18" s="57">
        <f t="shared" si="14"/>
        <v>6.9499237863614255E-2</v>
      </c>
      <c r="AV18" s="57">
        <f t="shared" si="14"/>
        <v>7.452059033679613E-2</v>
      </c>
      <c r="AW18" s="57">
        <f t="shared" si="14"/>
        <v>7.3845256105714407E-2</v>
      </c>
      <c r="AX18" s="57">
        <f t="shared" si="14"/>
        <v>6.2412433585490694E-2</v>
      </c>
      <c r="AY18" s="57">
        <f t="shared" si="14"/>
        <v>6.2717895420097342E-2</v>
      </c>
      <c r="AZ18" s="57">
        <f t="shared" si="14"/>
        <v>6.2912733088424405E-2</v>
      </c>
      <c r="BA18" s="57">
        <f t="shared" si="14"/>
        <v>7.0072545993395019E-2</v>
      </c>
      <c r="BB18" s="57">
        <f t="shared" si="14"/>
        <v>6.3135675439712685E-2</v>
      </c>
      <c r="BC18" s="57">
        <f t="shared" si="14"/>
        <v>7.0349845982207296E-2</v>
      </c>
      <c r="BD18" s="57">
        <f t="shared" si="14"/>
        <v>5.9370541540706284E-2</v>
      </c>
      <c r="BE18" s="57">
        <f t="shared" si="14"/>
        <v>7.2223063170080495E-2</v>
      </c>
      <c r="BF18" s="57">
        <f t="shared" si="14"/>
        <v>6.5921896541511524E-2</v>
      </c>
      <c r="BG18" s="57">
        <f t="shared" si="14"/>
        <v>6.2339238223999116E-2</v>
      </c>
      <c r="BH18" s="57">
        <f t="shared" si="14"/>
        <v>4.2424892291854671E-2</v>
      </c>
      <c r="BI18" s="57">
        <f t="shared" si="14"/>
        <v>6.2662218574529485E-2</v>
      </c>
      <c r="BJ18" s="57">
        <f t="shared" si="14"/>
        <v>5.6159897139940539E-2</v>
      </c>
      <c r="BK18" s="57">
        <f t="shared" si="14"/>
        <v>4.8669010132992629E-2</v>
      </c>
      <c r="BL18" s="57">
        <f t="shared" si="14"/>
        <v>6.454118648168107E-2</v>
      </c>
      <c r="BM18" s="57">
        <f t="shared" si="14"/>
        <v>5.1331303080074615E-2</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8">
        <v>2580391.4500000002</v>
      </c>
      <c r="C20" s="188">
        <v>1770564.71</v>
      </c>
      <c r="D20" s="188">
        <v>623113.37</v>
      </c>
      <c r="E20" s="188">
        <v>3933753.55</v>
      </c>
      <c r="F20" s="188">
        <v>2715833.09</v>
      </c>
      <c r="G20" s="188">
        <v>1822909.46</v>
      </c>
      <c r="H20" s="188">
        <v>1060099</v>
      </c>
      <c r="I20" s="188">
        <v>2349174.5299999998</v>
      </c>
      <c r="J20" s="188">
        <v>0</v>
      </c>
      <c r="K20" s="188">
        <v>0</v>
      </c>
      <c r="L20" s="188">
        <v>1162504.93</v>
      </c>
      <c r="M20" s="188">
        <v>3290945.74</v>
      </c>
      <c r="N20" s="188">
        <v>0</v>
      </c>
      <c r="O20" s="188">
        <v>0</v>
      </c>
      <c r="P20" s="188">
        <v>0</v>
      </c>
      <c r="Q20" s="188">
        <v>2614494.84</v>
      </c>
      <c r="R20" s="188">
        <v>0</v>
      </c>
      <c r="S20" s="188">
        <v>0</v>
      </c>
      <c r="T20" s="188">
        <v>0</v>
      </c>
      <c r="U20" s="188">
        <v>3862222.39</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401</v>
      </c>
      <c r="B22" s="188">
        <v>-8820716.8100000005</v>
      </c>
      <c r="C22" s="188">
        <v>-13977517.48</v>
      </c>
      <c r="D22" s="188">
        <v>-776945.53</v>
      </c>
      <c r="E22" s="188">
        <v>8541712.75</v>
      </c>
      <c r="F22" s="188">
        <v>-1914051.36</v>
      </c>
      <c r="G22" s="188">
        <v>2346163.5099999998</v>
      </c>
      <c r="H22" s="188">
        <v>2992977.8</v>
      </c>
      <c r="I22" s="188">
        <v>4769895.1900000004</v>
      </c>
      <c r="J22" s="188">
        <v>559333.32999999996</v>
      </c>
      <c r="K22" s="188">
        <v>-349986.11</v>
      </c>
      <c r="L22" s="188">
        <v>4211222.22</v>
      </c>
      <c r="M22" s="188">
        <v>-1436259.57</v>
      </c>
      <c r="N22" s="188">
        <v>5858714.1600000001</v>
      </c>
      <c r="O22" s="188">
        <v>-1966929.68</v>
      </c>
      <c r="P22" s="188">
        <v>8398317.4499999993</v>
      </c>
      <c r="Q22" s="188">
        <v>3667973.86</v>
      </c>
      <c r="R22" s="188">
        <v>12825</v>
      </c>
      <c r="S22" s="188">
        <v>12825</v>
      </c>
      <c r="T22" s="188">
        <v>12825</v>
      </c>
      <c r="U22" s="188">
        <v>133211.97</v>
      </c>
      <c r="V22" s="188">
        <v>876438.61</v>
      </c>
      <c r="W22" s="188">
        <v>499382.3</v>
      </c>
      <c r="X22" s="188">
        <v>437519.41</v>
      </c>
      <c r="Y22" s="188">
        <v>-146036.97</v>
      </c>
      <c r="Z22" s="188">
        <v>0</v>
      </c>
      <c r="AA22" s="188">
        <v>0</v>
      </c>
      <c r="AB22" s="188">
        <v>0</v>
      </c>
      <c r="AC22" s="188">
        <v>-2703150</v>
      </c>
      <c r="AD22" s="188">
        <v>1891536.98</v>
      </c>
      <c r="AE22" s="188">
        <v>4730712.04</v>
      </c>
      <c r="AF22" s="188">
        <v>-439899.99</v>
      </c>
      <c r="AG22" s="188">
        <v>-7820010</v>
      </c>
      <c r="AH22" s="188">
        <v>-10203660.01</v>
      </c>
      <c r="AI22" s="188">
        <v>-10391961.43</v>
      </c>
      <c r="AJ22" s="188">
        <v>-10268061.439999999</v>
      </c>
      <c r="AK22" s="188">
        <v>9653400</v>
      </c>
      <c r="AL22" s="188">
        <v>-2051395</v>
      </c>
      <c r="AM22" s="188">
        <v>1572600</v>
      </c>
      <c r="AN22" s="188">
        <v>1878060</v>
      </c>
      <c r="AO22" s="188">
        <v>869760</v>
      </c>
      <c r="AP22" s="188">
        <v>0</v>
      </c>
      <c r="AQ22" s="188">
        <v>0</v>
      </c>
      <c r="AR22" s="188">
        <v>0</v>
      </c>
      <c r="AS22" s="188">
        <v>0</v>
      </c>
      <c r="AT22" s="188">
        <v>177205</v>
      </c>
      <c r="AU22" s="188">
        <v>-285400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402</v>
      </c>
      <c r="B23" s="29">
        <f>-B52</f>
        <v>25636</v>
      </c>
      <c r="C23" s="29">
        <f t="shared" ref="C23:BN23" si="16">-C52</f>
        <v>27718</v>
      </c>
      <c r="D23" s="29">
        <f t="shared" si="16"/>
        <v>35317</v>
      </c>
      <c r="E23" s="29">
        <f t="shared" si="16"/>
        <v>8240251.7699999996</v>
      </c>
      <c r="F23" s="29">
        <f t="shared" si="16"/>
        <v>34414</v>
      </c>
      <c r="G23" s="29">
        <f t="shared" si="16"/>
        <v>23309</v>
      </c>
      <c r="H23" s="29">
        <f t="shared" si="16"/>
        <v>16814</v>
      </c>
      <c r="I23" s="29">
        <f t="shared" si="16"/>
        <v>10130839.189999999</v>
      </c>
      <c r="J23" s="29">
        <f t="shared" si="16"/>
        <v>0</v>
      </c>
      <c r="K23" s="29">
        <f t="shared" si="16"/>
        <v>0</v>
      </c>
      <c r="L23" s="29">
        <f t="shared" si="16"/>
        <v>0</v>
      </c>
      <c r="M23" s="29">
        <f t="shared" si="16"/>
        <v>11023634.26</v>
      </c>
      <c r="N23" s="29">
        <f t="shared" si="16"/>
        <v>0</v>
      </c>
      <c r="O23" s="29">
        <f t="shared" si="16"/>
        <v>0</v>
      </c>
      <c r="P23" s="29">
        <f t="shared" si="16"/>
        <v>0</v>
      </c>
      <c r="Q23" s="29">
        <f t="shared" si="16"/>
        <v>18099714.539999999</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7943552.8700000001</v>
      </c>
      <c r="AD23" s="29">
        <f t="shared" si="16"/>
        <v>0</v>
      </c>
      <c r="AE23" s="29">
        <f t="shared" si="16"/>
        <v>0</v>
      </c>
      <c r="AF23" s="29">
        <f t="shared" si="16"/>
        <v>0</v>
      </c>
      <c r="AG23" s="29">
        <f t="shared" si="16"/>
        <v>9975616.7799999993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64450792.619999997</v>
      </c>
      <c r="C24" s="26">
        <f t="shared" ref="C24:BN24" si="18">C67</f>
        <v>44839199.420000002</v>
      </c>
      <c r="D24" s="26">
        <f t="shared" si="18"/>
        <v>13066918.98</v>
      </c>
      <c r="E24" s="26">
        <f>E67</f>
        <v>59338965.480000004</v>
      </c>
      <c r="F24" s="26">
        <f t="shared" si="18"/>
        <v>48343568.730000004</v>
      </c>
      <c r="G24" s="26">
        <f t="shared" si="18"/>
        <v>22872698.859999999</v>
      </c>
      <c r="H24" s="26">
        <f t="shared" si="18"/>
        <v>10495121.83</v>
      </c>
      <c r="I24" s="26">
        <f t="shared" si="18"/>
        <v>58730747.75</v>
      </c>
      <c r="J24" s="26">
        <f t="shared" si="18"/>
        <v>56675868.310000002</v>
      </c>
      <c r="K24" s="26">
        <f t="shared" si="18"/>
        <v>53398678.799999997</v>
      </c>
      <c r="L24" s="26">
        <f t="shared" si="18"/>
        <v>23170306.140000001</v>
      </c>
      <c r="M24" s="26">
        <f t="shared" si="18"/>
        <v>35222288.449999996</v>
      </c>
      <c r="N24" s="26">
        <f t="shared" si="18"/>
        <v>32604316.16</v>
      </c>
      <c r="O24" s="26">
        <f t="shared" si="18"/>
        <v>27358833.379999999</v>
      </c>
      <c r="P24" s="26">
        <f t="shared" si="18"/>
        <v>5095087.51</v>
      </c>
      <c r="Q24" s="26">
        <f t="shared" si="18"/>
        <v>23663549.600000001</v>
      </c>
      <c r="R24" s="26">
        <f t="shared" si="18"/>
        <v>23398594.149999999</v>
      </c>
      <c r="S24" s="26">
        <f t="shared" si="18"/>
        <v>18142407.359999999</v>
      </c>
      <c r="T24" s="26">
        <f t="shared" si="18"/>
        <v>9086329.9299999997</v>
      </c>
      <c r="U24" s="26">
        <f t="shared" si="18"/>
        <v>4089396.93</v>
      </c>
      <c r="V24" s="26">
        <f t="shared" si="18"/>
        <v>4335869.8600000003</v>
      </c>
      <c r="W24" s="26">
        <f t="shared" si="18"/>
        <v>2796653.81</v>
      </c>
      <c r="X24" s="26">
        <f t="shared" si="18"/>
        <v>1499388.44</v>
      </c>
      <c r="Y24" s="26">
        <f t="shared" si="18"/>
        <v>1765518.66</v>
      </c>
      <c r="Z24" s="26">
        <f t="shared" si="18"/>
        <v>492477.79</v>
      </c>
      <c r="AA24" s="26">
        <f t="shared" si="18"/>
        <v>-107635.99</v>
      </c>
      <c r="AB24" s="26">
        <f t="shared" si="18"/>
        <v>0</v>
      </c>
      <c r="AC24" s="26">
        <f t="shared" si="18"/>
        <v>20294802.800000001</v>
      </c>
      <c r="AD24" s="26">
        <f t="shared" si="18"/>
        <v>15054865.800000001</v>
      </c>
      <c r="AE24" s="26">
        <f t="shared" si="18"/>
        <v>4582135</v>
      </c>
      <c r="AF24" s="26">
        <f t="shared" si="18"/>
        <v>2228550</v>
      </c>
      <c r="AG24" s="26">
        <f t="shared" si="18"/>
        <v>10349189.859999999</v>
      </c>
      <c r="AH24" s="26">
        <f t="shared" si="18"/>
        <v>7595539.8600000003</v>
      </c>
      <c r="AI24" s="26">
        <f t="shared" si="18"/>
        <v>6723389.8600000003</v>
      </c>
      <c r="AJ24" s="26">
        <f t="shared" si="18"/>
        <v>8682514.8699999992</v>
      </c>
      <c r="AK24" s="26">
        <f t="shared" si="18"/>
        <v>13165400.689999999</v>
      </c>
      <c r="AL24" s="26">
        <f t="shared" si="18"/>
        <v>10624382.029999999</v>
      </c>
      <c r="AM24" s="26">
        <f t="shared" si="18"/>
        <v>3324053.11</v>
      </c>
      <c r="AN24" s="26">
        <f t="shared" si="18"/>
        <v>-1970729.36</v>
      </c>
      <c r="AO24" s="26">
        <f t="shared" si="18"/>
        <v>25312439.300000001</v>
      </c>
      <c r="AP24" s="26">
        <f t="shared" si="18"/>
        <v>1718320</v>
      </c>
      <c r="AQ24" s="26">
        <f t="shared" si="18"/>
        <v>1674895</v>
      </c>
      <c r="AR24" s="26">
        <f t="shared" si="18"/>
        <v>243175</v>
      </c>
      <c r="AS24" s="26">
        <f t="shared" si="18"/>
        <v>2292168.83</v>
      </c>
      <c r="AT24" s="26">
        <f t="shared" si="18"/>
        <v>2077189.81</v>
      </c>
      <c r="AU24" s="26">
        <f t="shared" si="18"/>
        <v>205985</v>
      </c>
      <c r="AV24" s="26">
        <f t="shared" si="18"/>
        <v>95050.01</v>
      </c>
      <c r="AW24" s="26">
        <f t="shared" si="18"/>
        <v>-371609.94</v>
      </c>
      <c r="AX24" s="26">
        <f t="shared" si="18"/>
        <v>-1311379.6399999999</v>
      </c>
      <c r="AY24" s="26">
        <f t="shared" si="18"/>
        <v>806913.41</v>
      </c>
      <c r="AZ24" s="26">
        <f t="shared" si="18"/>
        <v>517525.97</v>
      </c>
      <c r="BA24" s="26">
        <f t="shared" si="18"/>
        <v>-2727880.73</v>
      </c>
      <c r="BB24" s="26">
        <f t="shared" si="18"/>
        <v>-1911577.13</v>
      </c>
      <c r="BC24" s="26">
        <f t="shared" si="18"/>
        <v>-1298141.42</v>
      </c>
      <c r="BD24" s="26">
        <f t="shared" si="18"/>
        <v>-962525.71</v>
      </c>
      <c r="BE24" s="26">
        <f t="shared" si="18"/>
        <v>5301985.13</v>
      </c>
      <c r="BF24" s="26">
        <f t="shared" si="18"/>
        <v>4827027.87</v>
      </c>
      <c r="BG24" s="26">
        <f t="shared" si="18"/>
        <v>4855118.58</v>
      </c>
      <c r="BH24" s="26">
        <f t="shared" si="18"/>
        <v>5764659.29</v>
      </c>
      <c r="BI24" s="26">
        <f t="shared" si="18"/>
        <v>5180796.34</v>
      </c>
      <c r="BJ24" s="26">
        <f t="shared" si="18"/>
        <v>2051322.1</v>
      </c>
      <c r="BK24" s="26">
        <f t="shared" si="18"/>
        <v>2614447.62</v>
      </c>
      <c r="BL24" s="26">
        <f t="shared" si="18"/>
        <v>-2413929.23</v>
      </c>
      <c r="BM24" s="26">
        <f t="shared" si="18"/>
        <v>-1136492.23</v>
      </c>
      <c r="BN24" s="26">
        <f t="shared" si="18"/>
        <v>0</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-7548393.79</v>
      </c>
      <c r="F25" s="29">
        <f t="shared" si="20"/>
        <v>-2684</v>
      </c>
      <c r="G25" s="29">
        <f t="shared" si="20"/>
        <v>377</v>
      </c>
      <c r="H25" s="29">
        <f t="shared" si="20"/>
        <v>-1008</v>
      </c>
      <c r="I25" s="29">
        <f t="shared" si="20"/>
        <v>11899044.460000001</v>
      </c>
      <c r="J25" s="29">
        <f t="shared" si="20"/>
        <v>0</v>
      </c>
      <c r="K25" s="29">
        <f t="shared" si="20"/>
        <v>0</v>
      </c>
      <c r="L25" s="29">
        <f t="shared" si="20"/>
        <v>0</v>
      </c>
      <c r="M25" s="29">
        <f t="shared" si="20"/>
        <v>11152301.529999999</v>
      </c>
      <c r="N25" s="29">
        <f t="shared" si="20"/>
        <v>0</v>
      </c>
      <c r="O25" s="29">
        <f t="shared" si="20"/>
        <v>0</v>
      </c>
      <c r="P25" s="29">
        <f t="shared" si="20"/>
        <v>0</v>
      </c>
      <c r="Q25" s="29">
        <f t="shared" si="20"/>
        <v>-725192.11</v>
      </c>
      <c r="R25" s="29">
        <f t="shared" si="20"/>
        <v>0</v>
      </c>
      <c r="S25" s="29">
        <f t="shared" si="20"/>
        <v>0</v>
      </c>
      <c r="T25" s="29">
        <f t="shared" si="20"/>
        <v>0</v>
      </c>
      <c r="U25" s="29">
        <f t="shared" si="20"/>
        <v>-14634105.470000001</v>
      </c>
      <c r="V25" s="29">
        <f t="shared" si="20"/>
        <v>0</v>
      </c>
      <c r="W25" s="29">
        <f t="shared" si="20"/>
        <v>0</v>
      </c>
      <c r="X25" s="29">
        <f t="shared" si="20"/>
        <v>0</v>
      </c>
      <c r="Y25" s="29">
        <f t="shared" si="20"/>
        <v>-7281768.7400000002</v>
      </c>
      <c r="Z25" s="29">
        <f t="shared" si="20"/>
        <v>0</v>
      </c>
      <c r="AA25" s="29">
        <f t="shared" si="20"/>
        <v>0</v>
      </c>
      <c r="AB25" s="29">
        <f t="shared" si="20"/>
        <v>0</v>
      </c>
      <c r="AC25" s="29">
        <f t="shared" si="20"/>
        <v>-30209156.75</v>
      </c>
      <c r="AD25" s="29">
        <f t="shared" si="20"/>
        <v>0</v>
      </c>
      <c r="AE25" s="29">
        <f t="shared" si="20"/>
        <v>0</v>
      </c>
      <c r="AF25" s="29">
        <f t="shared" si="20"/>
        <v>0</v>
      </c>
      <c r="AG25" s="29">
        <f t="shared" si="20"/>
        <v>-17197994.539999999</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8">
        <v>4415618.63</v>
      </c>
      <c r="C26" s="188">
        <v>575328.18000000005</v>
      </c>
      <c r="D26" s="188">
        <v>-6152433.6200000001</v>
      </c>
      <c r="E26" s="188">
        <v>-8431035.5399999991</v>
      </c>
      <c r="F26" s="188">
        <v>-6306467.2199999997</v>
      </c>
      <c r="G26" s="188">
        <v>-3302294.75</v>
      </c>
      <c r="H26" s="188">
        <v>-753261.15</v>
      </c>
      <c r="I26" s="188">
        <v>-881415.43</v>
      </c>
      <c r="J26" s="188">
        <v>-3334078.27</v>
      </c>
      <c r="K26" s="188">
        <v>-4305124.53</v>
      </c>
      <c r="L26" s="188">
        <v>-7495118.2300000004</v>
      </c>
      <c r="M26" s="188">
        <v>3849521.13</v>
      </c>
      <c r="N26" s="188">
        <v>-3079567.88</v>
      </c>
      <c r="O26" s="188">
        <v>-3912380.81</v>
      </c>
      <c r="P26" s="188">
        <v>-5151099.17</v>
      </c>
      <c r="Q26" s="188">
        <v>-796236.1</v>
      </c>
      <c r="R26" s="188">
        <v>-4677911.1500000004</v>
      </c>
      <c r="S26" s="188">
        <v>-3596326.4</v>
      </c>
      <c r="T26" s="188">
        <v>-3605238.7</v>
      </c>
      <c r="U26" s="188">
        <v>-4093813.69</v>
      </c>
      <c r="V26" s="188">
        <v>-7832927.0599999996</v>
      </c>
      <c r="W26" s="188">
        <v>-6307620.3899999997</v>
      </c>
      <c r="X26" s="188">
        <v>-4868087.07</v>
      </c>
      <c r="Y26" s="188">
        <v>-238389.03</v>
      </c>
      <c r="Z26" s="188">
        <v>-3619319.45</v>
      </c>
      <c r="AA26" s="188">
        <v>-3855187.36</v>
      </c>
      <c r="AB26" s="188">
        <v>-1099006.72</v>
      </c>
      <c r="AC26" s="188">
        <v>-5745264.3700000001</v>
      </c>
      <c r="AD26" s="188">
        <v>-8274604.21</v>
      </c>
      <c r="AE26" s="188">
        <v>-6656634.5599999996</v>
      </c>
      <c r="AF26" s="188">
        <v>-5571127.5499999998</v>
      </c>
      <c r="AG26" s="188">
        <v>-4363339.72</v>
      </c>
      <c r="AH26" s="188">
        <v>-3627962.73</v>
      </c>
      <c r="AI26" s="188">
        <v>-1882397.45</v>
      </c>
      <c r="AJ26" s="188">
        <v>-1617906.44</v>
      </c>
      <c r="AK26" s="188">
        <v>-2599137.69</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406</v>
      </c>
      <c r="B27" s="26">
        <f>SUM(B22:B26)</f>
        <v>60068226.439999998</v>
      </c>
      <c r="C27" s="26">
        <f t="shared" ref="C27:BN27" si="22">SUM(C22:C26)</f>
        <v>31466152.120000001</v>
      </c>
      <c r="D27" s="26">
        <f t="shared" si="22"/>
        <v>6173196.830000001</v>
      </c>
      <c r="E27" s="26">
        <f t="shared" si="22"/>
        <v>60141500.669999994</v>
      </c>
      <c r="F27" s="26">
        <f t="shared" si="22"/>
        <v>40154780.150000006</v>
      </c>
      <c r="G27" s="26">
        <f t="shared" si="22"/>
        <v>21940253.619999997</v>
      </c>
      <c r="H27" s="26">
        <f t="shared" si="22"/>
        <v>12750644.479999999</v>
      </c>
      <c r="I27" s="26">
        <f t="shared" si="22"/>
        <v>84649111.159999996</v>
      </c>
      <c r="J27" s="26">
        <f t="shared" si="22"/>
        <v>53901123.369999997</v>
      </c>
      <c r="K27" s="26">
        <f t="shared" si="22"/>
        <v>48743568.159999996</v>
      </c>
      <c r="L27" s="26">
        <f t="shared" si="22"/>
        <v>19886410.129999999</v>
      </c>
      <c r="M27" s="26">
        <f t="shared" si="22"/>
        <v>59811485.799999997</v>
      </c>
      <c r="N27" s="26">
        <f t="shared" si="22"/>
        <v>35383462.439999998</v>
      </c>
      <c r="O27" s="26">
        <f t="shared" si="22"/>
        <v>21479522.890000001</v>
      </c>
      <c r="P27" s="26">
        <f t="shared" si="22"/>
        <v>8342305.7899999991</v>
      </c>
      <c r="Q27" s="26">
        <f t="shared" si="22"/>
        <v>43909809.789999999</v>
      </c>
      <c r="R27" s="26">
        <f t="shared" si="22"/>
        <v>18733508</v>
      </c>
      <c r="S27" s="26">
        <f t="shared" si="22"/>
        <v>14558905.959999999</v>
      </c>
      <c r="T27" s="26">
        <f t="shared" si="22"/>
        <v>5493916.2299999995</v>
      </c>
      <c r="U27" s="26">
        <f t="shared" si="22"/>
        <v>-14505310.26</v>
      </c>
      <c r="V27" s="26">
        <f t="shared" si="22"/>
        <v>-2620618.5899999989</v>
      </c>
      <c r="W27" s="26">
        <f t="shared" si="22"/>
        <v>-3011584.28</v>
      </c>
      <c r="X27" s="26">
        <f t="shared" si="22"/>
        <v>-2931179.2200000007</v>
      </c>
      <c r="Y27" s="26">
        <f t="shared" si="22"/>
        <v>-5900676.080000001</v>
      </c>
      <c r="Z27" s="26">
        <f t="shared" si="22"/>
        <v>-3126841.66</v>
      </c>
      <c r="AA27" s="26">
        <f t="shared" si="22"/>
        <v>-3962823.35</v>
      </c>
      <c r="AB27" s="26">
        <f t="shared" si="22"/>
        <v>-1099006.72</v>
      </c>
      <c r="AC27" s="26">
        <f t="shared" si="22"/>
        <v>-10419215.449999999</v>
      </c>
      <c r="AD27" s="26">
        <f t="shared" si="22"/>
        <v>8671798.5700000003</v>
      </c>
      <c r="AE27" s="26">
        <f t="shared" si="22"/>
        <v>2656212.4799999995</v>
      </c>
      <c r="AF27" s="26">
        <f t="shared" si="22"/>
        <v>-3782477.54</v>
      </c>
      <c r="AG27" s="26">
        <f t="shared" si="22"/>
        <v>-9056537.620000001</v>
      </c>
      <c r="AH27" s="26">
        <f t="shared" si="22"/>
        <v>-6236082.879999999</v>
      </c>
      <c r="AI27" s="26">
        <f t="shared" si="22"/>
        <v>-5550969.0199999996</v>
      </c>
      <c r="AJ27" s="26">
        <f t="shared" si="22"/>
        <v>-3203453.0100000002</v>
      </c>
      <c r="AK27" s="26">
        <f t="shared" si="22"/>
        <v>20219662.999999996</v>
      </c>
      <c r="AL27" s="26">
        <f t="shared" si="22"/>
        <v>8572987.0299999993</v>
      </c>
      <c r="AM27" s="26">
        <f t="shared" si="22"/>
        <v>4896653.1099999994</v>
      </c>
      <c r="AN27" s="26">
        <f t="shared" si="22"/>
        <v>-92669.360000000102</v>
      </c>
      <c r="AO27" s="26">
        <f t="shared" si="22"/>
        <v>26182199.300000001</v>
      </c>
      <c r="AP27" s="26">
        <f t="shared" si="22"/>
        <v>1718320</v>
      </c>
      <c r="AQ27" s="26">
        <f t="shared" si="22"/>
        <v>1674895</v>
      </c>
      <c r="AR27" s="26">
        <f t="shared" si="22"/>
        <v>243175</v>
      </c>
      <c r="AS27" s="26">
        <f t="shared" si="22"/>
        <v>2292168.83</v>
      </c>
      <c r="AT27" s="26">
        <f t="shared" si="22"/>
        <v>2254394.81</v>
      </c>
      <c r="AU27" s="26">
        <f t="shared" si="22"/>
        <v>-79415</v>
      </c>
      <c r="AV27" s="26">
        <f t="shared" si="22"/>
        <v>95050.01</v>
      </c>
      <c r="AW27" s="26">
        <f t="shared" si="22"/>
        <v>-371609.94</v>
      </c>
      <c r="AX27" s="26">
        <f t="shared" si="22"/>
        <v>-1311379.6399999999</v>
      </c>
      <c r="AY27" s="26">
        <f t="shared" si="22"/>
        <v>806913.41</v>
      </c>
      <c r="AZ27" s="26">
        <f t="shared" si="22"/>
        <v>517525.97</v>
      </c>
      <c r="BA27" s="26">
        <f t="shared" si="22"/>
        <v>-2727880.73</v>
      </c>
      <c r="BB27" s="26">
        <f t="shared" si="22"/>
        <v>-1911577.13</v>
      </c>
      <c r="BC27" s="26">
        <f t="shared" si="22"/>
        <v>-1298141.42</v>
      </c>
      <c r="BD27" s="26">
        <f t="shared" si="22"/>
        <v>-962525.71</v>
      </c>
      <c r="BE27" s="26">
        <f t="shared" si="22"/>
        <v>5301985.13</v>
      </c>
      <c r="BF27" s="26">
        <f t="shared" si="22"/>
        <v>4827027.87</v>
      </c>
      <c r="BG27" s="26">
        <f t="shared" si="22"/>
        <v>4855118.58</v>
      </c>
      <c r="BH27" s="26">
        <f t="shared" si="22"/>
        <v>5764659.29</v>
      </c>
      <c r="BI27" s="26">
        <f t="shared" si="22"/>
        <v>5180796.34</v>
      </c>
      <c r="BJ27" s="26">
        <f t="shared" si="22"/>
        <v>2051322.1</v>
      </c>
      <c r="BK27" s="26">
        <f t="shared" si="22"/>
        <v>2614447.62</v>
      </c>
      <c r="BL27" s="26">
        <f t="shared" si="22"/>
        <v>-2413929.23</v>
      </c>
      <c r="BM27" s="26">
        <f t="shared" si="22"/>
        <v>-1136492.23</v>
      </c>
      <c r="BN27" s="26">
        <f t="shared" si="22"/>
        <v>0</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407</v>
      </c>
      <c r="B28" s="26">
        <f>SUM(B22:B25)*B41</f>
        <v>9711997.9894668516</v>
      </c>
      <c r="C28" s="26">
        <f t="shared" ref="C28:BN28" si="24">SUM(C22:C25)*C41</f>
        <v>6664769.3450713363</v>
      </c>
      <c r="D28" s="26">
        <f t="shared" si="24"/>
        <v>3133468.5178786013</v>
      </c>
      <c r="E28" s="26">
        <f t="shared" si="24"/>
        <v>12039835.580404358</v>
      </c>
      <c r="F28" s="26">
        <f t="shared" si="24"/>
        <v>8403772.7389085777</v>
      </c>
      <c r="G28" s="26">
        <f t="shared" si="24"/>
        <v>4580135.6728353295</v>
      </c>
      <c r="H28" s="26">
        <f t="shared" si="24"/>
        <v>2878554.4304596609</v>
      </c>
      <c r="I28" s="26">
        <f t="shared" si="24"/>
        <v>14495001.945797848</v>
      </c>
      <c r="J28" s="26">
        <f t="shared" si="24"/>
        <v>12270387.274091387</v>
      </c>
      <c r="K28" s="26">
        <f t="shared" si="24"/>
        <v>11499887.387375038</v>
      </c>
      <c r="L28" s="26">
        <f t="shared" si="24"/>
        <v>5933040.0325493813</v>
      </c>
      <c r="M28" s="26">
        <f t="shared" si="24"/>
        <v>8816316.3680270985</v>
      </c>
      <c r="N28" s="26">
        <f t="shared" si="24"/>
        <v>7751518.3791346448</v>
      </c>
      <c r="O28" s="26">
        <f t="shared" si="24"/>
        <v>4915515.8412160818</v>
      </c>
      <c r="P28" s="26">
        <f t="shared" si="24"/>
        <v>2740148.9394928743</v>
      </c>
      <c r="Q28" s="26">
        <f t="shared" si="24"/>
        <v>7064556.9067815915</v>
      </c>
      <c r="R28" s="26">
        <f t="shared" si="24"/>
        <v>4068768.2051544534</v>
      </c>
      <c r="S28" s="26">
        <f t="shared" si="24"/>
        <v>3130571.390634831</v>
      </c>
      <c r="T28" s="26">
        <f t="shared" si="24"/>
        <v>1501844.5987197757</v>
      </c>
      <c r="U28" s="26">
        <f t="shared" si="24"/>
        <v>-1538437.2448572794</v>
      </c>
      <c r="V28" s="26">
        <f t="shared" si="24"/>
        <v>933657.57731298741</v>
      </c>
      <c r="W28" s="26">
        <f t="shared" si="24"/>
        <v>585315.29200940009</v>
      </c>
      <c r="X28" s="26">
        <f t="shared" si="24"/>
        <v>372053.22612968599</v>
      </c>
      <c r="Y28" s="26">
        <f t="shared" si="24"/>
        <v>-756069.86475823727</v>
      </c>
      <c r="Z28" s="26">
        <f t="shared" si="24"/>
        <v>90508.303968991051</v>
      </c>
      <c r="AA28" s="26">
        <f t="shared" si="24"/>
        <v>-18848.849446345113</v>
      </c>
      <c r="AB28" s="26">
        <f t="shared" si="24"/>
        <v>0</v>
      </c>
      <c r="AC28" s="26">
        <f t="shared" si="24"/>
        <v>-763215.37640646822</v>
      </c>
      <c r="AD28" s="26">
        <f t="shared" si="24"/>
        <v>2911688.9329359839</v>
      </c>
      <c r="AE28" s="26">
        <f t="shared" si="24"/>
        <v>1601588.9826454541</v>
      </c>
      <c r="AF28" s="26">
        <f t="shared" si="24"/>
        <v>272095.12223118206</v>
      </c>
      <c r="AG28" s="26">
        <f t="shared" si="24"/>
        <v>-759839.87263282482</v>
      </c>
      <c r="AH28" s="26">
        <f t="shared" si="24"/>
        <v>-486069.91547251801</v>
      </c>
      <c r="AI28" s="26">
        <f t="shared" si="24"/>
        <v>-710237.77825987677</v>
      </c>
      <c r="AJ28" s="26">
        <f t="shared" si="24"/>
        <v>-303286.92457986868</v>
      </c>
      <c r="AK28" s="26">
        <f t="shared" si="24"/>
        <v>3868002.490230836</v>
      </c>
      <c r="AL28" s="26">
        <f t="shared" si="24"/>
        <v>1577690.0469351914</v>
      </c>
      <c r="AM28" s="26">
        <f t="shared" si="24"/>
        <v>1113449.1822683224</v>
      </c>
      <c r="AN28" s="26">
        <f t="shared" si="24"/>
        <v>-22331.218075488148</v>
      </c>
      <c r="AO28" s="26">
        <f t="shared" si="24"/>
        <v>3552877.4359432561</v>
      </c>
      <c r="AP28" s="26">
        <f t="shared" si="24"/>
        <v>241338.17815228587</v>
      </c>
      <c r="AQ28" s="26">
        <f t="shared" si="24"/>
        <v>228828.20452904663</v>
      </c>
      <c r="AR28" s="26">
        <f t="shared" si="24"/>
        <v>36288.475123556047</v>
      </c>
      <c r="AS28" s="26">
        <f t="shared" si="24"/>
        <v>254429.90852523831</v>
      </c>
      <c r="AT28" s="26">
        <f t="shared" si="24"/>
        <v>620167.73996444966</v>
      </c>
      <c r="AU28" s="26">
        <f t="shared" si="24"/>
        <v>-23215.818280329233</v>
      </c>
      <c r="AV28" s="26">
        <f t="shared" si="24"/>
        <v>20642.866593878382</v>
      </c>
      <c r="AW28" s="26">
        <f t="shared" si="24"/>
        <v>-40918.001161985288</v>
      </c>
      <c r="AX28" s="26">
        <f t="shared" si="24"/>
        <v>-256102.61848197677</v>
      </c>
      <c r="AY28" s="26">
        <f t="shared" si="24"/>
        <v>150255.21663710207</v>
      </c>
      <c r="AZ28" s="26">
        <f t="shared" si="24"/>
        <v>104334.34596371336</v>
      </c>
      <c r="BA28" s="26">
        <f t="shared" si="24"/>
        <v>-118584.13065673312</v>
      </c>
      <c r="BB28" s="26">
        <f t="shared" si="24"/>
        <v>-98708.452473419369</v>
      </c>
      <c r="BC28" s="26">
        <f t="shared" si="24"/>
        <v>-78873.326123211984</v>
      </c>
      <c r="BD28" s="26">
        <f t="shared" si="24"/>
        <v>-62428.496755976164</v>
      </c>
      <c r="BE28" s="26">
        <f t="shared" si="24"/>
        <v>397230.63317664142</v>
      </c>
      <c r="BF28" s="26">
        <f t="shared" si="24"/>
        <v>995740.33127919096</v>
      </c>
      <c r="BG28" s="26">
        <f t="shared" si="24"/>
        <v>1156474.5894683946</v>
      </c>
      <c r="BH28" s="26">
        <f t="shared" si="24"/>
        <v>1628634.9958676863</v>
      </c>
      <c r="BI28" s="26">
        <f t="shared" si="24"/>
        <v>2058936.3037433301</v>
      </c>
      <c r="BJ28" s="26">
        <f t="shared" si="24"/>
        <v>915020.36501435342</v>
      </c>
      <c r="BK28" s="26">
        <f t="shared" si="24"/>
        <v>1350938.2266455267</v>
      </c>
      <c r="BL28" s="26">
        <f t="shared" si="24"/>
        <v>-1027621.9054713092</v>
      </c>
      <c r="BM28" s="26">
        <f t="shared" si="24"/>
        <v>-478789.29014423874</v>
      </c>
      <c r="BN28" s="26" t="e">
        <f t="shared" si="24"/>
        <v>#DIV/0!</v>
      </c>
      <c r="BO28" s="26">
        <f t="shared" ref="BO28:CJ28" si="25">SUM(BO22:BO25)*BO41</f>
        <v>6485508.8608327927</v>
      </c>
      <c r="BP28" s="26">
        <f t="shared" si="25"/>
        <v>-16056262.612077774</v>
      </c>
      <c r="BQ28" s="26">
        <f t="shared" si="25"/>
        <v>54522722.989299633</v>
      </c>
      <c r="BR28" s="26">
        <f t="shared" si="25"/>
        <v>25974013.439478364</v>
      </c>
      <c r="BS28" s="26">
        <f t="shared" si="25"/>
        <v>-167065960.72852409</v>
      </c>
      <c r="BT28" s="26">
        <f t="shared" si="25"/>
        <v>-29384225.168171935</v>
      </c>
      <c r="BU28" s="26">
        <f t="shared" si="25"/>
        <v>35910481.137297906</v>
      </c>
      <c r="BV28" s="26">
        <f t="shared" si="25"/>
        <v>21561187.313979451</v>
      </c>
      <c r="BW28" s="26">
        <f t="shared" si="25"/>
        <v>98043096.258293957</v>
      </c>
      <c r="BX28" s="26">
        <f t="shared" si="25"/>
        <v>38430875.239629582</v>
      </c>
      <c r="BY28" s="26">
        <f t="shared" si="25"/>
        <v>82725386.560330227</v>
      </c>
      <c r="BZ28" s="26">
        <f t="shared" si="25"/>
        <v>19864020</v>
      </c>
      <c r="CA28" s="26">
        <f t="shared" si="25"/>
        <v>25712996.711588454</v>
      </c>
      <c r="CB28" s="26">
        <f t="shared" si="25"/>
        <v>16912000</v>
      </c>
      <c r="CC28" s="26">
        <f t="shared" si="25"/>
        <v>-2289833.8669608254</v>
      </c>
      <c r="CD28" s="26" t="e">
        <f t="shared" si="25"/>
        <v>#DIV/0!</v>
      </c>
      <c r="CE28" s="26" t="e">
        <f t="shared" si="25"/>
        <v>#DIV/0!</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50356228.450533144</v>
      </c>
      <c r="C29" s="28">
        <f t="shared" ref="C29:BN29" si="26">C27-C28</f>
        <v>24801382.774928667</v>
      </c>
      <c r="D29" s="28">
        <f t="shared" si="26"/>
        <v>3039728.3121213997</v>
      </c>
      <c r="E29" s="28">
        <f t="shared" si="26"/>
        <v>48101665.089595638</v>
      </c>
      <c r="F29" s="28">
        <f t="shared" si="26"/>
        <v>31751007.411091428</v>
      </c>
      <c r="G29" s="28">
        <f t="shared" si="26"/>
        <v>17360117.94716467</v>
      </c>
      <c r="H29" s="28">
        <f t="shared" si="26"/>
        <v>9872090.0495403372</v>
      </c>
      <c r="I29" s="28">
        <f t="shared" si="26"/>
        <v>70154109.214202151</v>
      </c>
      <c r="J29" s="28">
        <f t="shared" si="26"/>
        <v>41630736.095908612</v>
      </c>
      <c r="K29" s="28">
        <f t="shared" si="26"/>
        <v>37243680.772624955</v>
      </c>
      <c r="L29" s="28">
        <f t="shared" si="26"/>
        <v>13953370.097450618</v>
      </c>
      <c r="M29" s="28">
        <f t="shared" si="26"/>
        <v>50995169.431972899</v>
      </c>
      <c r="N29" s="28">
        <f t="shared" si="26"/>
        <v>27631944.060865354</v>
      </c>
      <c r="O29" s="28">
        <f t="shared" si="26"/>
        <v>16564007.048783919</v>
      </c>
      <c r="P29" s="28">
        <f t="shared" si="26"/>
        <v>5602156.8505071253</v>
      </c>
      <c r="Q29" s="28">
        <f t="shared" si="26"/>
        <v>36845252.883218408</v>
      </c>
      <c r="R29" s="28">
        <f t="shared" si="26"/>
        <v>14664739.794845548</v>
      </c>
      <c r="S29" s="28">
        <f t="shared" si="26"/>
        <v>11428334.569365168</v>
      </c>
      <c r="T29" s="28">
        <f t="shared" si="26"/>
        <v>3992071.6312802238</v>
      </c>
      <c r="U29" s="28">
        <f t="shared" si="26"/>
        <v>-12966873.01514272</v>
      </c>
      <c r="V29" s="28">
        <f t="shared" si="26"/>
        <v>-3554276.1673129862</v>
      </c>
      <c r="W29" s="28">
        <f t="shared" si="26"/>
        <v>-3596899.5720094</v>
      </c>
      <c r="X29" s="28">
        <f t="shared" si="26"/>
        <v>-3303232.4461296867</v>
      </c>
      <c r="Y29" s="28">
        <f t="shared" si="26"/>
        <v>-5144606.2152417637</v>
      </c>
      <c r="Z29" s="28">
        <f t="shared" si="26"/>
        <v>-3217349.9639689913</v>
      </c>
      <c r="AA29" s="28">
        <f t="shared" si="26"/>
        <v>-3943974.500553655</v>
      </c>
      <c r="AB29" s="28">
        <f t="shared" si="26"/>
        <v>-1099006.72</v>
      </c>
      <c r="AC29" s="28">
        <f t="shared" si="26"/>
        <v>-9656000.0735935308</v>
      </c>
      <c r="AD29" s="28">
        <f t="shared" si="26"/>
        <v>5760109.6370640164</v>
      </c>
      <c r="AE29" s="28">
        <f t="shared" si="26"/>
        <v>1054623.4973545454</v>
      </c>
      <c r="AF29" s="28">
        <f t="shared" si="26"/>
        <v>-4054572.6622311822</v>
      </c>
      <c r="AG29" s="28">
        <f t="shared" si="26"/>
        <v>-8296697.7473671762</v>
      </c>
      <c r="AH29" s="28">
        <f t="shared" si="26"/>
        <v>-5750012.9645274812</v>
      </c>
      <c r="AI29" s="28">
        <f t="shared" si="26"/>
        <v>-4840731.2417401224</v>
      </c>
      <c r="AJ29" s="28">
        <f t="shared" si="26"/>
        <v>-2900166.0854201317</v>
      </c>
      <c r="AK29" s="28">
        <f t="shared" si="26"/>
        <v>16351660.50976916</v>
      </c>
      <c r="AL29" s="28">
        <f t="shared" si="26"/>
        <v>6995296.983064808</v>
      </c>
      <c r="AM29" s="28">
        <f t="shared" si="26"/>
        <v>3783203.927731677</v>
      </c>
      <c r="AN29" s="28">
        <f t="shared" si="26"/>
        <v>-70338.141924511961</v>
      </c>
      <c r="AO29" s="28">
        <f t="shared" si="26"/>
        <v>22629321.864056744</v>
      </c>
      <c r="AP29" s="28">
        <f t="shared" si="26"/>
        <v>1476981.821847714</v>
      </c>
      <c r="AQ29" s="28">
        <f t="shared" si="26"/>
        <v>1446066.7954709535</v>
      </c>
      <c r="AR29" s="28">
        <f t="shared" si="26"/>
        <v>206886.52487644396</v>
      </c>
      <c r="AS29" s="28">
        <f t="shared" si="26"/>
        <v>2037738.9214747618</v>
      </c>
      <c r="AT29" s="28">
        <f t="shared" si="26"/>
        <v>1634227.0700355503</v>
      </c>
      <c r="AU29" s="28">
        <f t="shared" si="26"/>
        <v>-56199.181719670771</v>
      </c>
      <c r="AV29" s="28">
        <f t="shared" si="26"/>
        <v>74407.143406121613</v>
      </c>
      <c r="AW29" s="28">
        <f t="shared" si="26"/>
        <v>-330691.93883801473</v>
      </c>
      <c r="AX29" s="28">
        <f t="shared" si="26"/>
        <v>-1055277.0215180232</v>
      </c>
      <c r="AY29" s="28">
        <f t="shared" si="26"/>
        <v>656658.19336289796</v>
      </c>
      <c r="AZ29" s="28">
        <f t="shared" si="26"/>
        <v>413191.62403628661</v>
      </c>
      <c r="BA29" s="28">
        <f t="shared" si="26"/>
        <v>-2609296.5993432668</v>
      </c>
      <c r="BB29" s="28">
        <f t="shared" si="26"/>
        <v>-1812868.6775265806</v>
      </c>
      <c r="BC29" s="28">
        <f t="shared" si="26"/>
        <v>-1219268.0938767879</v>
      </c>
      <c r="BD29" s="28">
        <f t="shared" si="26"/>
        <v>-900097.21324402385</v>
      </c>
      <c r="BE29" s="28">
        <f t="shared" si="26"/>
        <v>4904754.4968233583</v>
      </c>
      <c r="BF29" s="28">
        <f t="shared" si="26"/>
        <v>3831287.5387208089</v>
      </c>
      <c r="BG29" s="28">
        <f t="shared" si="26"/>
        <v>3698643.9905316057</v>
      </c>
      <c r="BH29" s="28">
        <f t="shared" si="26"/>
        <v>4136024.2941323137</v>
      </c>
      <c r="BI29" s="28">
        <f t="shared" si="26"/>
        <v>3121860.03625667</v>
      </c>
      <c r="BJ29" s="28">
        <f t="shared" si="26"/>
        <v>1136301.7349856468</v>
      </c>
      <c r="BK29" s="28">
        <f t="shared" si="26"/>
        <v>1263509.3933544734</v>
      </c>
      <c r="BL29" s="28">
        <f t="shared" si="26"/>
        <v>-1386307.3245286909</v>
      </c>
      <c r="BM29" s="28">
        <f t="shared" si="26"/>
        <v>-657702.93985576124</v>
      </c>
      <c r="BN29" s="28" t="e">
        <f t="shared" si="26"/>
        <v>#DIV/0!</v>
      </c>
      <c r="BO29" s="28">
        <f t="shared" ref="BO29:CK29" si="27">BO27-BO28</f>
        <v>-17111227.790832791</v>
      </c>
      <c r="BP29" s="28">
        <f t="shared" si="27"/>
        <v>20613942.302077774</v>
      </c>
      <c r="BQ29" s="28">
        <f t="shared" si="27"/>
        <v>-33268028.619299632</v>
      </c>
      <c r="BR29" s="28">
        <f t="shared" si="27"/>
        <v>-11554788.779478364</v>
      </c>
      <c r="BS29" s="28">
        <f t="shared" si="27"/>
        <v>184340540.55852407</v>
      </c>
      <c r="BT29" s="28">
        <f t="shared" si="27"/>
        <v>35931925.248171933</v>
      </c>
      <c r="BU29" s="28">
        <f t="shared" si="27"/>
        <v>-60282043.617297903</v>
      </c>
      <c r="BV29" s="28">
        <f t="shared" si="27"/>
        <v>-30536221.94397945</v>
      </c>
      <c r="BW29" s="28">
        <f t="shared" si="27"/>
        <v>-143689550.34829396</v>
      </c>
      <c r="BX29" s="28">
        <f t="shared" si="27"/>
        <v>-49514944.489629582</v>
      </c>
      <c r="BY29" s="28">
        <f t="shared" si="27"/>
        <v>-105465390.66033024</v>
      </c>
      <c r="BZ29" s="28">
        <f t="shared" si="27"/>
        <v>-23306390</v>
      </c>
      <c r="CA29" s="28">
        <f t="shared" si="27"/>
        <v>-38002824.851588458</v>
      </c>
      <c r="CB29" s="28">
        <f t="shared" si="27"/>
        <v>-18178000</v>
      </c>
      <c r="CC29" s="28">
        <f t="shared" si="27"/>
        <v>3035820.7769608255</v>
      </c>
      <c r="CD29" s="28" t="e">
        <f t="shared" si="27"/>
        <v>#DIV/0!</v>
      </c>
      <c r="CE29" s="28" t="e">
        <f t="shared" si="27"/>
        <v>#DIV/0!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1579306161.5799987</v>
      </c>
      <c r="C31" s="26">
        <f t="shared" ref="C31:BN31" si="28">C15+C20+C27</f>
        <v>932461764.65999937</v>
      </c>
      <c r="D31" s="26">
        <f t="shared" si="28"/>
        <v>592143139.30000019</v>
      </c>
      <c r="E31" s="26">
        <f t="shared" si="28"/>
        <v>1473466023.6399994</v>
      </c>
      <c r="F31" s="26">
        <f t="shared" si="28"/>
        <v>1086981087.9900005</v>
      </c>
      <c r="G31" s="26">
        <f t="shared" si="28"/>
        <v>724315079.88</v>
      </c>
      <c r="H31" s="26">
        <f t="shared" si="28"/>
        <v>463698482.99000031</v>
      </c>
      <c r="I31" s="26">
        <f t="shared" si="28"/>
        <v>1366586280.4000015</v>
      </c>
      <c r="J31" s="26">
        <f t="shared" si="28"/>
        <v>1001078344.5200003</v>
      </c>
      <c r="K31" s="26">
        <f t="shared" si="28"/>
        <v>657937659.04999948</v>
      </c>
      <c r="L31" s="26">
        <f t="shared" si="28"/>
        <v>377276526.5399999</v>
      </c>
      <c r="M31" s="26">
        <f t="shared" si="28"/>
        <v>1176082190.0199993</v>
      </c>
      <c r="N31" s="26">
        <f t="shared" si="28"/>
        <v>867809526.90999961</v>
      </c>
      <c r="O31" s="26">
        <f t="shared" si="28"/>
        <v>533955901.69000024</v>
      </c>
      <c r="P31" s="26">
        <f t="shared" si="28"/>
        <v>307842132.46999985</v>
      </c>
      <c r="Q31" s="26">
        <f t="shared" si="28"/>
        <v>904587689.10000002</v>
      </c>
      <c r="R31" s="26">
        <f t="shared" si="28"/>
        <v>667436142.68000007</v>
      </c>
      <c r="S31" s="26">
        <f t="shared" si="28"/>
        <v>430637161.59000045</v>
      </c>
      <c r="T31" s="26">
        <f t="shared" si="28"/>
        <v>243104656.52000013</v>
      </c>
      <c r="U31" s="26">
        <f t="shared" si="28"/>
        <v>717189631.21999967</v>
      </c>
      <c r="V31" s="26">
        <f t="shared" si="28"/>
        <v>562201088.19000113</v>
      </c>
      <c r="W31" s="26">
        <f t="shared" si="28"/>
        <v>359583999.86000001</v>
      </c>
      <c r="X31" s="26">
        <f t="shared" si="28"/>
        <v>208589523.33999994</v>
      </c>
      <c r="Y31" s="26">
        <f t="shared" si="28"/>
        <v>580618992.03000045</v>
      </c>
      <c r="Z31" s="26">
        <f t="shared" si="28"/>
        <v>433881716.62000006</v>
      </c>
      <c r="AA31" s="26">
        <f t="shared" si="28"/>
        <v>281604651.04999965</v>
      </c>
      <c r="AB31" s="26">
        <f t="shared" si="28"/>
        <v>172966155.67000005</v>
      </c>
      <c r="AC31" s="26">
        <f t="shared" si="28"/>
        <v>614413070.95000052</v>
      </c>
      <c r="AD31" s="26">
        <f t="shared" si="28"/>
        <v>484090966.39999998</v>
      </c>
      <c r="AE31" s="26">
        <f t="shared" si="28"/>
        <v>310550423.34999996</v>
      </c>
      <c r="AF31" s="26">
        <f t="shared" si="28"/>
        <v>183297207.50999996</v>
      </c>
      <c r="AG31" s="26">
        <f t="shared" si="28"/>
        <v>520578065.77999979</v>
      </c>
      <c r="AH31" s="26">
        <f t="shared" si="28"/>
        <v>382332815.38000023</v>
      </c>
      <c r="AI31" s="26">
        <f t="shared" si="28"/>
        <v>234783994.58999988</v>
      </c>
      <c r="AJ31" s="26">
        <f t="shared" si="28"/>
        <v>138967129.31999981</v>
      </c>
      <c r="AK31" s="26">
        <f t="shared" si="28"/>
        <v>414630294.00000054</v>
      </c>
      <c r="AL31" s="26">
        <f t="shared" si="28"/>
        <v>281562721.71999979</v>
      </c>
      <c r="AM31" s="26">
        <f t="shared" si="28"/>
        <v>187572869.01999992</v>
      </c>
      <c r="AN31" s="26">
        <f t="shared" si="28"/>
        <v>100446094.79000002</v>
      </c>
      <c r="AO31" s="26">
        <f t="shared" si="28"/>
        <v>338747687.35999978</v>
      </c>
      <c r="AP31" s="26">
        <f t="shared" si="28"/>
        <v>203929447.08999994</v>
      </c>
      <c r="AQ31" s="26">
        <f t="shared" si="28"/>
        <v>144276578.39999983</v>
      </c>
      <c r="AR31" s="26">
        <f t="shared" si="28"/>
        <v>79274895.609999925</v>
      </c>
      <c r="AS31" s="26">
        <f t="shared" si="28"/>
        <v>266098119.17999962</v>
      </c>
      <c r="AT31" s="26">
        <f t="shared" si="28"/>
        <v>186509314.26999986</v>
      </c>
      <c r="AU31" s="26">
        <f t="shared" si="28"/>
        <v>131822256.65999988</v>
      </c>
      <c r="AV31" s="26">
        <f t="shared" si="28"/>
        <v>65828470.799999997</v>
      </c>
      <c r="AW31" s="26">
        <f t="shared" si="28"/>
        <v>172143438.16000012</v>
      </c>
      <c r="AX31" s="26">
        <f t="shared" si="28"/>
        <v>106909203.95000002</v>
      </c>
      <c r="AY31" s="26">
        <f t="shared" si="28"/>
        <v>74070434.679999948</v>
      </c>
      <c r="AZ31" s="26">
        <f t="shared" si="28"/>
        <v>39727871.580000035</v>
      </c>
      <c r="BA31" s="26">
        <f t="shared" si="28"/>
        <v>104934972.48999998</v>
      </c>
      <c r="BB31" s="26">
        <f t="shared" si="28"/>
        <v>57535078.98999992</v>
      </c>
      <c r="BC31" s="26">
        <f t="shared" si="28"/>
        <v>41495182.32</v>
      </c>
      <c r="BD31" s="26">
        <f t="shared" si="28"/>
        <v>18556412.060000014</v>
      </c>
      <c r="BE31" s="26">
        <f t="shared" si="28"/>
        <v>83772515.940000027</v>
      </c>
      <c r="BF31" s="26">
        <f t="shared" si="28"/>
        <v>62198045.999999948</v>
      </c>
      <c r="BG31" s="26">
        <f t="shared" si="28"/>
        <v>39326922.690000013</v>
      </c>
      <c r="BH31" s="26">
        <f t="shared" si="28"/>
        <v>18497416.929999985</v>
      </c>
      <c r="BI31" s="26">
        <f t="shared" si="28"/>
        <v>92170194.260000065</v>
      </c>
      <c r="BJ31" s="26">
        <f t="shared" si="28"/>
        <v>59337088.550000064</v>
      </c>
      <c r="BK31" s="26">
        <f t="shared" si="28"/>
        <v>38786711.010000013</v>
      </c>
      <c r="BL31" s="26">
        <f t="shared" si="28"/>
        <v>66718030.410000034</v>
      </c>
      <c r="BM31" s="26">
        <f t="shared" si="28"/>
        <v>40503426.979999974</v>
      </c>
      <c r="BN31" s="26">
        <f t="shared" si="28"/>
        <v>0</v>
      </c>
      <c r="BO31" s="26">
        <f t="shared" ref="BO31:CJ31" si="29">BO15+BO20+BO27</f>
        <v>-10625718.93</v>
      </c>
      <c r="BP31" s="26">
        <f t="shared" si="29"/>
        <v>4557679.6900000004</v>
      </c>
      <c r="BQ31" s="26">
        <f t="shared" si="29"/>
        <v>21254694.370000001</v>
      </c>
      <c r="BR31" s="26">
        <f t="shared" si="29"/>
        <v>14419224.66</v>
      </c>
      <c r="BS31" s="26">
        <f t="shared" si="29"/>
        <v>17274579.829999998</v>
      </c>
      <c r="BT31" s="26">
        <f t="shared" si="29"/>
        <v>6547700.0800000001</v>
      </c>
      <c r="BU31" s="26">
        <f t="shared" si="29"/>
        <v>-24371562.48</v>
      </c>
      <c r="BV31" s="26">
        <f t="shared" si="29"/>
        <v>-8975034.6300000008</v>
      </c>
      <c r="BW31" s="26">
        <f t="shared" si="29"/>
        <v>-45646454.090000004</v>
      </c>
      <c r="BX31" s="26">
        <f t="shared" si="29"/>
        <v>-11084069.25</v>
      </c>
      <c r="BY31" s="26">
        <f t="shared" si="29"/>
        <v>-22740004.100000001</v>
      </c>
      <c r="BZ31" s="26">
        <f t="shared" si="29"/>
        <v>-3442370</v>
      </c>
      <c r="CA31" s="26">
        <f t="shared" si="29"/>
        <v>-12289828.140000001</v>
      </c>
      <c r="CB31" s="26">
        <f t="shared" si="29"/>
        <v>-1266000</v>
      </c>
      <c r="CC31" s="26">
        <f t="shared" si="29"/>
        <v>745986.91</v>
      </c>
      <c r="CD31" s="26">
        <f t="shared" si="29"/>
        <v>0</v>
      </c>
      <c r="CE31" s="26">
        <f t="shared" si="29"/>
        <v>0</v>
      </c>
      <c r="CF31" s="26">
        <f t="shared" si="29"/>
        <v>0</v>
      </c>
      <c r="CG31" s="26">
        <f t="shared" si="29"/>
        <v>0</v>
      </c>
      <c r="CH31" s="26">
        <f t="shared" si="29"/>
        <v>0</v>
      </c>
      <c r="CI31" s="26">
        <f t="shared" si="29"/>
        <v>0</v>
      </c>
      <c r="CJ31" s="26">
        <f t="shared" si="29"/>
        <v>0</v>
      </c>
    </row>
    <row r="32" spans="1:89" s="57" customFormat="1" x14ac:dyDescent="0.25">
      <c r="A32" s="57" t="s">
        <v>410</v>
      </c>
      <c r="B32" s="57">
        <f>B31/B4*100</f>
        <v>11.791514354660867</v>
      </c>
      <c r="C32" s="57">
        <f t="shared" ref="C32:D32" si="30">C31/C4*100</f>
        <v>10.537291815818962</v>
      </c>
      <c r="D32" s="57">
        <f t="shared" si="30"/>
        <v>12.116693998992675</v>
      </c>
      <c r="E32" s="57">
        <f>E31/E4</f>
        <v>0.10385775292734321</v>
      </c>
      <c r="F32" s="57">
        <f t="shared" ref="F32:BQ32" si="31">F31/F4</f>
        <v>0.1035551629433904</v>
      </c>
      <c r="G32" s="57">
        <f t="shared" si="31"/>
        <v>0.10482937661400557</v>
      </c>
      <c r="H32" s="57">
        <f t="shared" si="31"/>
        <v>0.11749441246623656</v>
      </c>
      <c r="I32" s="57">
        <f t="shared" si="31"/>
        <v>0.11438622146893813</v>
      </c>
      <c r="J32" s="57">
        <f t="shared" si="31"/>
        <v>0.11335199640951948</v>
      </c>
      <c r="K32" s="57">
        <f t="shared" si="31"/>
        <v>0.11438572954902669</v>
      </c>
      <c r="L32" s="57">
        <f t="shared" si="31"/>
        <v>0.12041399232658764</v>
      </c>
      <c r="M32" s="57">
        <f t="shared" si="31"/>
        <v>0.1078016473202756</v>
      </c>
      <c r="N32" s="57">
        <f t="shared" si="31"/>
        <v>0.10482536269758112</v>
      </c>
      <c r="O32" s="57">
        <f t="shared" si="31"/>
        <v>9.9256152460180908E-2</v>
      </c>
      <c r="P32" s="57">
        <f t="shared" si="31"/>
        <v>0.10238423250939986</v>
      </c>
      <c r="Q32" s="57">
        <f t="shared" si="31"/>
        <v>9.4873777588168354E-2</v>
      </c>
      <c r="R32" s="57">
        <f t="shared" si="31"/>
        <v>9.3147166629701628E-2</v>
      </c>
      <c r="S32" s="57">
        <f t="shared" si="31"/>
        <v>9.2751688398855628E-2</v>
      </c>
      <c r="T32" s="57">
        <f t="shared" si="31"/>
        <v>9.3603153235609846E-2</v>
      </c>
      <c r="U32" s="57">
        <f t="shared" si="31"/>
        <v>8.5550313203546488E-2</v>
      </c>
      <c r="V32" s="57">
        <f t="shared" si="31"/>
        <v>8.9109216794368062E-2</v>
      </c>
      <c r="W32" s="57">
        <f t="shared" si="31"/>
        <v>8.6913104714074901E-2</v>
      </c>
      <c r="X32" s="57">
        <f t="shared" si="31"/>
        <v>9.1844241914752836E-2</v>
      </c>
      <c r="Y32" s="57">
        <f t="shared" si="31"/>
        <v>8.4276409808070163E-2</v>
      </c>
      <c r="Z32" s="57">
        <f t="shared" si="31"/>
        <v>8.5170621424200801E-2</v>
      </c>
      <c r="AA32" s="57">
        <f t="shared" si="31"/>
        <v>8.4363503357459971E-2</v>
      </c>
      <c r="AB32" s="57">
        <f t="shared" si="31"/>
        <v>9.0012462306354041E-2</v>
      </c>
      <c r="AC32" s="57">
        <f t="shared" si="31"/>
        <v>8.6225510845954756E-2</v>
      </c>
      <c r="AD32" s="57">
        <f t="shared" si="31"/>
        <v>9.0979058636130622E-2</v>
      </c>
      <c r="AE32" s="57">
        <f t="shared" si="31"/>
        <v>8.9278114804313122E-2</v>
      </c>
      <c r="AF32" s="57">
        <f t="shared" si="31"/>
        <v>9.5636068095491605E-2</v>
      </c>
      <c r="AG32" s="57">
        <f t="shared" si="31"/>
        <v>9.2595534584458475E-2</v>
      </c>
      <c r="AH32" s="57">
        <f t="shared" si="31"/>
        <v>9.2536466631618047E-2</v>
      </c>
      <c r="AI32" s="57">
        <f t="shared" si="31"/>
        <v>8.9021413367108296E-2</v>
      </c>
      <c r="AJ32" s="57">
        <f t="shared" si="31"/>
        <v>9.8570541564690625E-2</v>
      </c>
      <c r="AK32" s="57">
        <f t="shared" si="31"/>
        <v>0.10074370261438634</v>
      </c>
      <c r="AL32" s="57">
        <f t="shared" si="31"/>
        <v>9.811052927676675E-2</v>
      </c>
      <c r="AM32" s="57">
        <f t="shared" si="31"/>
        <v>0.10481018518681846</v>
      </c>
      <c r="AN32" s="57">
        <f t="shared" si="31"/>
        <v>0.10304596581113801</v>
      </c>
      <c r="AO32" s="57">
        <f t="shared" si="31"/>
        <v>9.3512833932265463E-2</v>
      </c>
      <c r="AP32" s="57">
        <f t="shared" si="31"/>
        <v>7.4494485954620202E-2</v>
      </c>
      <c r="AQ32" s="57">
        <f t="shared" si="31"/>
        <v>8.150801262936043E-2</v>
      </c>
      <c r="AR32" s="57">
        <f t="shared" si="31"/>
        <v>8.3546629865786426E-2</v>
      </c>
      <c r="AS32" s="57">
        <f t="shared" si="31"/>
        <v>9.0703841683097433E-2</v>
      </c>
      <c r="AT32" s="57">
        <f t="shared" si="31"/>
        <v>9.1561400346063915E-2</v>
      </c>
      <c r="AU32" s="57">
        <f t="shared" si="31"/>
        <v>9.8150164679651916E-2</v>
      </c>
      <c r="AV32" s="57">
        <f t="shared" si="31"/>
        <v>9.5332581775926475E-2</v>
      </c>
      <c r="AW32" s="57">
        <f t="shared" si="31"/>
        <v>8.2803711577646155E-2</v>
      </c>
      <c r="AX32" s="57">
        <f t="shared" si="31"/>
        <v>7.6619320525882967E-2</v>
      </c>
      <c r="AY32" s="57">
        <f t="shared" si="31"/>
        <v>7.7917704067724747E-2</v>
      </c>
      <c r="AZ32" s="57">
        <f t="shared" si="31"/>
        <v>7.9838766650649581E-2</v>
      </c>
      <c r="BA32" s="57">
        <f t="shared" si="31"/>
        <v>7.1400983659657399E-2</v>
      </c>
      <c r="BB32" s="57">
        <f t="shared" si="31"/>
        <v>6.4432590851598512E-2</v>
      </c>
      <c r="BC32" s="57">
        <f t="shared" si="31"/>
        <v>7.2628588982170519E-2</v>
      </c>
      <c r="BD32" s="57">
        <f t="shared" si="31"/>
        <v>6.0357571888898939E-2</v>
      </c>
      <c r="BE32" s="57">
        <f t="shared" si="31"/>
        <v>8.3347409047097656E-2</v>
      </c>
      <c r="BF32" s="57">
        <f t="shared" si="31"/>
        <v>9.0042788628541745E-2</v>
      </c>
      <c r="BG32" s="57">
        <f t="shared" si="31"/>
        <v>9.3356541192672032E-2</v>
      </c>
      <c r="BH32" s="57">
        <f t="shared" si="31"/>
        <v>8.5901337223133437E-2</v>
      </c>
      <c r="BI32" s="57">
        <f t="shared" si="31"/>
        <v>0.11018260525770826</v>
      </c>
      <c r="BJ32" s="57">
        <f t="shared" si="31"/>
        <v>0.10501370908955965</v>
      </c>
      <c r="BK32" s="57">
        <f t="shared" si="31"/>
        <v>0.10798445816397466</v>
      </c>
      <c r="BL32" s="57">
        <f t="shared" si="31"/>
        <v>0.10845917831673259</v>
      </c>
      <c r="BM32" s="57">
        <f t="shared" si="31"/>
        <v>8.6278158901284915E-2</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1304920582.339587</v>
      </c>
      <c r="C33" s="26">
        <f t="shared" ref="C33:BN33" si="33">C17+C20+C29</f>
        <v>731787034.79272628</v>
      </c>
      <c r="D33" s="26">
        <f t="shared" si="33"/>
        <v>440200579.96397877</v>
      </c>
      <c r="E33" s="26">
        <f t="shared" si="33"/>
        <v>1213968035.4197366</v>
      </c>
      <c r="F33" s="26">
        <f t="shared" si="33"/>
        <v>889721706.74285769</v>
      </c>
      <c r="G33" s="26">
        <f t="shared" si="33"/>
        <v>592623260.48262441</v>
      </c>
      <c r="H33" s="26">
        <f t="shared" si="33"/>
        <v>364919795.57142276</v>
      </c>
      <c r="I33" s="26">
        <f t="shared" si="33"/>
        <v>1135237352.5798645</v>
      </c>
      <c r="J33" s="26">
        <f t="shared" si="33"/>
        <v>785747061.36909997</v>
      </c>
      <c r="K33" s="26">
        <f t="shared" si="33"/>
        <v>514376770.96599621</v>
      </c>
      <c r="L33" s="26">
        <f t="shared" si="33"/>
        <v>294155951.47205096</v>
      </c>
      <c r="M33" s="26">
        <f t="shared" si="33"/>
        <v>991925681.07952893</v>
      </c>
      <c r="N33" s="26">
        <f t="shared" si="33"/>
        <v>692297801.27920926</v>
      </c>
      <c r="O33" s="26">
        <f t="shared" si="33"/>
        <v>429832158.37584937</v>
      </c>
      <c r="P33" s="26">
        <f t="shared" si="33"/>
        <v>244281594.98600566</v>
      </c>
      <c r="Q33" s="26">
        <f t="shared" si="33"/>
        <v>761929892.20663619</v>
      </c>
      <c r="R33" s="26">
        <f t="shared" si="33"/>
        <v>550626637.24423182</v>
      </c>
      <c r="S33" s="26">
        <f t="shared" si="33"/>
        <v>355760734.3759855</v>
      </c>
      <c r="T33" s="26">
        <f t="shared" si="33"/>
        <v>202384399.92064592</v>
      </c>
      <c r="U33" s="26">
        <f t="shared" si="33"/>
        <v>611181093.29702079</v>
      </c>
      <c r="V33" s="26">
        <f t="shared" si="33"/>
        <v>460093436.51751477</v>
      </c>
      <c r="W33" s="26">
        <f t="shared" si="33"/>
        <v>294608388.73102444</v>
      </c>
      <c r="X33" s="26">
        <f t="shared" si="33"/>
        <v>167587266.78196383</v>
      </c>
      <c r="Y33" s="26">
        <f t="shared" si="33"/>
        <v>503058678.03252161</v>
      </c>
      <c r="Z33" s="26">
        <f t="shared" si="33"/>
        <v>353477122.61917806</v>
      </c>
      <c r="AA33" s="26">
        <f t="shared" si="33"/>
        <v>231615892.48357511</v>
      </c>
      <c r="AB33" s="26">
        <f t="shared" si="33"/>
        <v>137874344.61733532</v>
      </c>
      <c r="AC33" s="26">
        <f t="shared" si="33"/>
        <v>513146632.93609148</v>
      </c>
      <c r="AD33" s="26">
        <f t="shared" si="33"/>
        <v>399493934.12623698</v>
      </c>
      <c r="AE33" s="26">
        <f t="shared" si="33"/>
        <v>255998326.98420003</v>
      </c>
      <c r="AF33" s="26">
        <f t="shared" si="33"/>
        <v>154565956.32813764</v>
      </c>
      <c r="AG33" s="26">
        <f t="shared" si="33"/>
        <v>435588807.02855957</v>
      </c>
      <c r="AH33" s="26">
        <f t="shared" si="33"/>
        <v>310402109.73684371</v>
      </c>
      <c r="AI33" s="26">
        <f t="shared" si="33"/>
        <v>188965231.27464485</v>
      </c>
      <c r="AJ33" s="26">
        <f t="shared" si="33"/>
        <v>112075706.54860735</v>
      </c>
      <c r="AK33" s="26">
        <f t="shared" si="33"/>
        <v>343905960.03087294</v>
      </c>
      <c r="AL33" s="26">
        <f t="shared" si="33"/>
        <v>229746627.50556275</v>
      </c>
      <c r="AM33" s="26">
        <f t="shared" si="33"/>
        <v>144920703.76869377</v>
      </c>
      <c r="AN33" s="26">
        <f t="shared" si="33"/>
        <v>76240859.66604273</v>
      </c>
      <c r="AO33" s="26">
        <f t="shared" si="33"/>
        <v>292780234.39284956</v>
      </c>
      <c r="AP33" s="26">
        <f t="shared" si="33"/>
        <v>175287540.32507631</v>
      </c>
      <c r="AQ33" s="26">
        <f t="shared" si="33"/>
        <v>124565163.4212303</v>
      </c>
      <c r="AR33" s="26">
        <f t="shared" si="33"/>
        <v>67444875.759003788</v>
      </c>
      <c r="AS33" s="26">
        <f t="shared" si="33"/>
        <v>236561324.4921034</v>
      </c>
      <c r="AT33" s="26">
        <f t="shared" si="33"/>
        <v>135201948.14226064</v>
      </c>
      <c r="AU33" s="26">
        <f t="shared" si="33"/>
        <v>93285940.398317859</v>
      </c>
      <c r="AV33" s="26">
        <f t="shared" si="33"/>
        <v>51531909.013174109</v>
      </c>
      <c r="AW33" s="26">
        <f t="shared" si="33"/>
        <v>153188709.977382</v>
      </c>
      <c r="AX33" s="26">
        <f t="shared" si="33"/>
        <v>86030637.41116105</v>
      </c>
      <c r="AY33" s="26">
        <f t="shared" si="33"/>
        <v>60277790.920060813</v>
      </c>
      <c r="AZ33" s="26">
        <f t="shared" si="33"/>
        <v>31718647.428737249</v>
      </c>
      <c r="BA33" s="26">
        <f t="shared" si="33"/>
        <v>100373327.85819276</v>
      </c>
      <c r="BB33" s="26">
        <f t="shared" si="33"/>
        <v>54564129.756034754</v>
      </c>
      <c r="BC33" s="26">
        <f t="shared" si="33"/>
        <v>38973990.871022508</v>
      </c>
      <c r="BD33" s="26">
        <f t="shared" si="33"/>
        <v>17352860.925672114</v>
      </c>
      <c r="BE33" s="26">
        <f t="shared" si="33"/>
        <v>77496185.710147709</v>
      </c>
      <c r="BF33" s="26">
        <f t="shared" si="33"/>
        <v>49367562.191552766</v>
      </c>
      <c r="BG33" s="26">
        <f t="shared" si="33"/>
        <v>29959368.422566846</v>
      </c>
      <c r="BH33" s="26">
        <f t="shared" si="33"/>
        <v>13271515.618258558</v>
      </c>
      <c r="BI33" s="26">
        <f t="shared" si="33"/>
        <v>55540196.354120359</v>
      </c>
      <c r="BJ33" s="26">
        <f t="shared" si="33"/>
        <v>32868966.150348604</v>
      </c>
      <c r="BK33" s="26">
        <f t="shared" si="33"/>
        <v>18744829.050528228</v>
      </c>
      <c r="BL33" s="26">
        <f t="shared" si="33"/>
        <v>38315826.779855914</v>
      </c>
      <c r="BM33" s="26">
        <f t="shared" si="33"/>
        <v>23439863.727866523</v>
      </c>
      <c r="BN33" s="26" t="e">
        <f t="shared" si="33"/>
        <v>#DIV/0!</v>
      </c>
      <c r="BO33" s="26">
        <f t="shared" ref="BO33:CJ33" si="34">BO17+BO20+BO29</f>
        <v>-17111227.790832791</v>
      </c>
      <c r="BP33" s="26">
        <f t="shared" si="34"/>
        <v>20613942.302077774</v>
      </c>
      <c r="BQ33" s="26">
        <f t="shared" si="34"/>
        <v>-33268028.619299632</v>
      </c>
      <c r="BR33" s="26">
        <f t="shared" si="34"/>
        <v>-11554788.779478364</v>
      </c>
      <c r="BS33" s="26">
        <f t="shared" si="34"/>
        <v>184340540.55852407</v>
      </c>
      <c r="BT33" s="26">
        <f t="shared" si="34"/>
        <v>35931925.248171933</v>
      </c>
      <c r="BU33" s="26">
        <f t="shared" si="34"/>
        <v>-60282043.617297903</v>
      </c>
      <c r="BV33" s="26">
        <f t="shared" si="34"/>
        <v>-30536221.94397945</v>
      </c>
      <c r="BW33" s="26">
        <f t="shared" si="34"/>
        <v>-143689550.34829396</v>
      </c>
      <c r="BX33" s="26">
        <f t="shared" si="34"/>
        <v>-49514944.489629582</v>
      </c>
      <c r="BY33" s="26">
        <f t="shared" si="34"/>
        <v>-105465390.66033024</v>
      </c>
      <c r="BZ33" s="26">
        <f t="shared" si="34"/>
        <v>-23306390</v>
      </c>
      <c r="CA33" s="26">
        <f t="shared" si="34"/>
        <v>-38002824.851588458</v>
      </c>
      <c r="CB33" s="26">
        <f t="shared" si="34"/>
        <v>-18178000</v>
      </c>
      <c r="CC33" s="26">
        <f t="shared" si="34"/>
        <v>3035820.7769608255</v>
      </c>
      <c r="CD33" s="26" t="e">
        <f t="shared" si="34"/>
        <v>#DIV/0!</v>
      </c>
      <c r="CE33" s="26" t="e">
        <f t="shared" si="34"/>
        <v>#DIV/0!</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9.7428795965412576</v>
      </c>
      <c r="C34" s="57">
        <f t="shared" ref="C34:D34" si="35">C33/C4*100</f>
        <v>8.2695653858316405</v>
      </c>
      <c r="D34" s="57">
        <f t="shared" si="35"/>
        <v>9.0075783566587297</v>
      </c>
      <c r="E34" s="57">
        <f>E33/E4</f>
        <v>8.5566949126422057E-2</v>
      </c>
      <c r="F34" s="57">
        <f t="shared" ref="F34:BQ34" si="36">F33/F4</f>
        <v>8.4762538496783515E-2</v>
      </c>
      <c r="G34" s="57">
        <f t="shared" si="36"/>
        <v>8.5769755026562922E-2</v>
      </c>
      <c r="H34" s="57">
        <f t="shared" si="36"/>
        <v>9.246533803926224E-2</v>
      </c>
      <c r="I34" s="57">
        <f t="shared" si="36"/>
        <v>9.5021816839843079E-2</v>
      </c>
      <c r="J34" s="57">
        <f t="shared" si="36"/>
        <v>8.897005770493048E-2</v>
      </c>
      <c r="K34" s="57">
        <f t="shared" si="36"/>
        <v>8.9426956187572154E-2</v>
      </c>
      <c r="L34" s="57">
        <f t="shared" si="36"/>
        <v>9.3884697275541357E-2</v>
      </c>
      <c r="M34" s="57">
        <f t="shared" si="36"/>
        <v>9.0921555778207291E-2</v>
      </c>
      <c r="N34" s="57">
        <f t="shared" si="36"/>
        <v>8.3624765416244737E-2</v>
      </c>
      <c r="O34" s="57">
        <f t="shared" si="36"/>
        <v>7.9900767289975846E-2</v>
      </c>
      <c r="P34" s="57">
        <f t="shared" si="36"/>
        <v>8.1244836170213344E-2</v>
      </c>
      <c r="Q34" s="57">
        <f t="shared" si="36"/>
        <v>7.9911729953908661E-2</v>
      </c>
      <c r="R34" s="57">
        <f t="shared" si="36"/>
        <v>7.6845270806275789E-2</v>
      </c>
      <c r="S34" s="57">
        <f t="shared" si="36"/>
        <v>7.6624619801868174E-2</v>
      </c>
      <c r="T34" s="57">
        <f t="shared" si="36"/>
        <v>7.7924537807899472E-2</v>
      </c>
      <c r="U34" s="57">
        <f t="shared" si="36"/>
        <v>7.2905033312740425E-2</v>
      </c>
      <c r="V34" s="57">
        <f t="shared" si="36"/>
        <v>7.2925091469138517E-2</v>
      </c>
      <c r="W34" s="57">
        <f t="shared" si="36"/>
        <v>7.1208201002807572E-2</v>
      </c>
      <c r="X34" s="57">
        <f t="shared" si="36"/>
        <v>7.3790501199171646E-2</v>
      </c>
      <c r="Y34" s="57">
        <f t="shared" si="36"/>
        <v>7.3018588591370476E-2</v>
      </c>
      <c r="Z34" s="57">
        <f t="shared" si="36"/>
        <v>6.9387266251370941E-2</v>
      </c>
      <c r="AA34" s="57">
        <f t="shared" si="36"/>
        <v>6.9387803256522954E-2</v>
      </c>
      <c r="AB34" s="57">
        <f t="shared" si="36"/>
        <v>7.1750506333498137E-2</v>
      </c>
      <c r="AC34" s="57">
        <f t="shared" si="36"/>
        <v>7.2013979935978259E-2</v>
      </c>
      <c r="AD34" s="57">
        <f t="shared" si="36"/>
        <v>7.5080066723693814E-2</v>
      </c>
      <c r="AE34" s="57">
        <f t="shared" si="36"/>
        <v>7.3595288583616428E-2</v>
      </c>
      <c r="AF34" s="57">
        <f t="shared" si="36"/>
        <v>8.0645420219160185E-2</v>
      </c>
      <c r="AG34" s="57">
        <f t="shared" si="36"/>
        <v>7.7478443862944599E-2</v>
      </c>
      <c r="AH34" s="57">
        <f t="shared" si="36"/>
        <v>7.5126992281578042E-2</v>
      </c>
      <c r="AI34" s="57">
        <f t="shared" si="36"/>
        <v>7.1648631733552903E-2</v>
      </c>
      <c r="AJ34" s="57">
        <f t="shared" si="36"/>
        <v>7.949623155345456E-2</v>
      </c>
      <c r="AK34" s="57">
        <f t="shared" si="36"/>
        <v>8.3559644015459358E-2</v>
      </c>
      <c r="AL34" s="57">
        <f t="shared" si="36"/>
        <v>8.0055211451388136E-2</v>
      </c>
      <c r="AM34" s="57">
        <f t="shared" si="36"/>
        <v>8.097741362468211E-2</v>
      </c>
      <c r="AN34" s="57">
        <f t="shared" si="36"/>
        <v>7.8214220622352656E-2</v>
      </c>
      <c r="AO34" s="57">
        <f t="shared" si="36"/>
        <v>8.0823310266121232E-2</v>
      </c>
      <c r="AP34" s="57">
        <f t="shared" si="36"/>
        <v>6.4031729586377331E-2</v>
      </c>
      <c r="AQ34" s="57">
        <f t="shared" si="36"/>
        <v>7.0372190870559195E-2</v>
      </c>
      <c r="AR34" s="57">
        <f t="shared" si="36"/>
        <v>7.1079148424266797E-2</v>
      </c>
      <c r="AS34" s="57">
        <f t="shared" si="36"/>
        <v>8.0635748163861237E-2</v>
      </c>
      <c r="AT34" s="57">
        <f t="shared" si="36"/>
        <v>6.6373520002869446E-2</v>
      </c>
      <c r="AU34" s="57">
        <f t="shared" si="36"/>
        <v>6.945739395136144E-2</v>
      </c>
      <c r="AV34" s="57">
        <f t="shared" si="36"/>
        <v>7.4628346524920702E-2</v>
      </c>
      <c r="AW34" s="57">
        <f t="shared" si="36"/>
        <v>7.3686188062126567E-2</v>
      </c>
      <c r="AX34" s="57">
        <f t="shared" si="36"/>
        <v>6.1656141279796385E-2</v>
      </c>
      <c r="AY34" s="57">
        <f t="shared" si="36"/>
        <v>6.340866089224749E-2</v>
      </c>
      <c r="AZ34" s="57">
        <f t="shared" si="36"/>
        <v>6.3743099990587956E-2</v>
      </c>
      <c r="BA34" s="57">
        <f t="shared" si="36"/>
        <v>6.8297100310873271E-2</v>
      </c>
      <c r="BB34" s="57">
        <f t="shared" si="36"/>
        <v>6.1105473555622972E-2</v>
      </c>
      <c r="BC34" s="57">
        <f t="shared" si="36"/>
        <v>6.8215773632160775E-2</v>
      </c>
      <c r="BD34" s="57">
        <f t="shared" si="36"/>
        <v>5.6442837516905153E-2</v>
      </c>
      <c r="BE34" s="57">
        <f t="shared" si="36"/>
        <v>7.7102928299296866E-2</v>
      </c>
      <c r="BF34" s="57">
        <f t="shared" si="36"/>
        <v>7.1468370043656651E-2</v>
      </c>
      <c r="BG34" s="57">
        <f t="shared" si="36"/>
        <v>7.1119294898682517E-2</v>
      </c>
      <c r="BH34" s="57">
        <f t="shared" si="36"/>
        <v>6.1632439972585495E-2</v>
      </c>
      <c r="BI34" s="57">
        <f t="shared" si="36"/>
        <v>6.6394169828471475E-2</v>
      </c>
      <c r="BJ34" s="57">
        <f t="shared" si="36"/>
        <v>5.8170903455749143E-2</v>
      </c>
      <c r="BK34" s="57">
        <f t="shared" si="36"/>
        <v>5.2186693733215862E-2</v>
      </c>
      <c r="BL34" s="57">
        <f t="shared" si="36"/>
        <v>6.2287556505063624E-2</v>
      </c>
      <c r="BM34" s="57">
        <f t="shared" si="36"/>
        <v>4.993030067149478E-2</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-6889308.4699999997</v>
      </c>
      <c r="C35" s="26">
        <f t="shared" ref="C35:BN35" si="38">C23+C68</f>
        <v>-4104206.83</v>
      </c>
      <c r="D35" s="26">
        <f t="shared" si="38"/>
        <v>-123538.94</v>
      </c>
      <c r="E35" s="26">
        <f t="shared" si="38"/>
        <v>8113272.8999999994</v>
      </c>
      <c r="F35" s="26">
        <f t="shared" si="38"/>
        <v>-358335.17</v>
      </c>
      <c r="G35" s="26">
        <f t="shared" si="38"/>
        <v>-1325295.52</v>
      </c>
      <c r="H35" s="26">
        <f t="shared" si="38"/>
        <v>-1497118.95</v>
      </c>
      <c r="I35" s="26">
        <f t="shared" si="38"/>
        <v>-11307345.17</v>
      </c>
      <c r="J35" s="26">
        <f t="shared" si="38"/>
        <v>-10543344.310000001</v>
      </c>
      <c r="K35" s="26">
        <f t="shared" si="38"/>
        <v>-8175484.3200000003</v>
      </c>
      <c r="L35" s="26">
        <f t="shared" si="38"/>
        <v>-2103556.9900000002</v>
      </c>
      <c r="M35" s="26">
        <f t="shared" si="38"/>
        <v>-12027611.540000001</v>
      </c>
      <c r="N35" s="26">
        <f t="shared" si="38"/>
        <v>-17569300.5</v>
      </c>
      <c r="O35" s="26">
        <f t="shared" si="38"/>
        <v>-7892741.8300000001</v>
      </c>
      <c r="P35" s="26">
        <f t="shared" si="38"/>
        <v>-3545548.55</v>
      </c>
      <c r="Q35" s="26">
        <f t="shared" si="38"/>
        <v>-1180904.0399999991</v>
      </c>
      <c r="R35" s="26">
        <f t="shared" si="38"/>
        <v>-14394832.18</v>
      </c>
      <c r="S35" s="26">
        <f t="shared" si="38"/>
        <v>-10175630.630000001</v>
      </c>
      <c r="T35" s="26">
        <f t="shared" si="38"/>
        <v>-1261141.8899999999</v>
      </c>
      <c r="U35" s="26">
        <f t="shared" si="38"/>
        <v>-11788240.66</v>
      </c>
      <c r="V35" s="26">
        <f t="shared" si="38"/>
        <v>-7235635.9000000004</v>
      </c>
      <c r="W35" s="26">
        <f t="shared" si="38"/>
        <v>-849316.48</v>
      </c>
      <c r="X35" s="26">
        <f t="shared" si="38"/>
        <v>291026.96999999997</v>
      </c>
      <c r="Y35" s="26">
        <f t="shared" si="38"/>
        <v>-3584309.11</v>
      </c>
      <c r="Z35" s="26">
        <f t="shared" si="38"/>
        <v>-12458328.18</v>
      </c>
      <c r="AA35" s="26">
        <f t="shared" si="38"/>
        <v>-6805781.71</v>
      </c>
      <c r="AB35" s="26">
        <f t="shared" si="38"/>
        <v>-1358250.96</v>
      </c>
      <c r="AC35" s="26">
        <f t="shared" si="38"/>
        <v>31502253.050000001</v>
      </c>
      <c r="AD35" s="26">
        <f t="shared" si="38"/>
        <v>21999726.850000001</v>
      </c>
      <c r="AE35" s="26">
        <f t="shared" si="38"/>
        <v>12494300.15</v>
      </c>
      <c r="AF35" s="26">
        <f t="shared" si="38"/>
        <v>7926631.5099999998</v>
      </c>
      <c r="AG35" s="26">
        <f t="shared" si="38"/>
        <v>19663403.32</v>
      </c>
      <c r="AH35" s="26">
        <f t="shared" si="38"/>
        <v>5206833.59</v>
      </c>
      <c r="AI35" s="26">
        <f t="shared" si="38"/>
        <v>-1198580.6499999999</v>
      </c>
      <c r="AJ35" s="26">
        <f t="shared" si="38"/>
        <v>-548317.52</v>
      </c>
      <c r="AK35" s="26">
        <f t="shared" si="38"/>
        <v>-10030385.25</v>
      </c>
      <c r="AL35" s="26">
        <f t="shared" si="38"/>
        <v>-5470100.4500000002</v>
      </c>
      <c r="AM35" s="26">
        <f t="shared" si="38"/>
        <v>-4799838.04</v>
      </c>
      <c r="AN35" s="26">
        <f t="shared" si="38"/>
        <v>-2675730.89</v>
      </c>
      <c r="AO35" s="26">
        <f t="shared" si="38"/>
        <v>-7668293.0800000001</v>
      </c>
      <c r="AP35" s="26">
        <f t="shared" si="38"/>
        <v>-24478160.940000001</v>
      </c>
      <c r="AQ35" s="26">
        <f t="shared" si="38"/>
        <v>-10329444.710000001</v>
      </c>
      <c r="AR35" s="26">
        <f t="shared" si="38"/>
        <v>-754735.27</v>
      </c>
      <c r="AS35" s="26">
        <f t="shared" si="38"/>
        <v>23902541.800000001</v>
      </c>
      <c r="AT35" s="26">
        <f t="shared" si="38"/>
        <v>18297639.66</v>
      </c>
      <c r="AU35" s="26">
        <f t="shared" si="38"/>
        <v>11948320.310000001</v>
      </c>
      <c r="AV35" s="26">
        <f t="shared" si="38"/>
        <v>4492686.0999999996</v>
      </c>
      <c r="AW35" s="26">
        <f t="shared" si="38"/>
        <v>26408729.390000001</v>
      </c>
      <c r="AX35" s="26">
        <f t="shared" si="38"/>
        <v>14263102.16</v>
      </c>
      <c r="AY35" s="26">
        <f t="shared" si="38"/>
        <v>7785231.5599999996</v>
      </c>
      <c r="AZ35" s="26">
        <f t="shared" si="38"/>
        <v>3253033.44</v>
      </c>
      <c r="BA35" s="26">
        <f t="shared" si="38"/>
        <v>13521065.15</v>
      </c>
      <c r="BB35" s="26">
        <f t="shared" si="38"/>
        <v>11892293.560000001</v>
      </c>
      <c r="BC35" s="26">
        <f t="shared" si="38"/>
        <v>8063724.1299999999</v>
      </c>
      <c r="BD35" s="26">
        <f t="shared" si="38"/>
        <v>4582715.67</v>
      </c>
      <c r="BE35" s="26">
        <f t="shared" si="38"/>
        <v>15737562.41</v>
      </c>
      <c r="BF35" s="26">
        <f t="shared" si="38"/>
        <v>10574344.9</v>
      </c>
      <c r="BG35" s="26">
        <f t="shared" si="38"/>
        <v>6419438.9000000004</v>
      </c>
      <c r="BH35" s="26">
        <f t="shared" si="38"/>
        <v>3463936.63</v>
      </c>
      <c r="BI35" s="26">
        <f t="shared" si="38"/>
        <v>9760977.4600000009</v>
      </c>
      <c r="BJ35" s="26">
        <f t="shared" si="38"/>
        <v>6217905.1799999997</v>
      </c>
      <c r="BK35" s="26">
        <f t="shared" si="38"/>
        <v>3343791.82</v>
      </c>
      <c r="BL35" s="26">
        <f t="shared" si="38"/>
        <v>8496934.75</v>
      </c>
      <c r="BM35" s="26">
        <f t="shared" si="38"/>
        <v>8188261.04</v>
      </c>
      <c r="BN35" s="26">
        <f t="shared" si="38"/>
        <v>0</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-1202260.8219526119</v>
      </c>
      <c r="C36" s="26">
        <f t="shared" ref="C36:BN36" si="40">C35*C41</f>
        <v>-885492.4659680801</v>
      </c>
      <c r="D36" s="26">
        <f t="shared" si="40"/>
        <v>-31406.537847489453</v>
      </c>
      <c r="E36" s="26">
        <f t="shared" si="40"/>
        <v>1424513.0358865934</v>
      </c>
      <c r="F36" s="26">
        <f t="shared" si="40"/>
        <v>-64814.603642833077</v>
      </c>
      <c r="G36" s="26">
        <f t="shared" si="40"/>
        <v>-240468.32353166444</v>
      </c>
      <c r="H36" s="26">
        <f t="shared" si="40"/>
        <v>-319132.73867033207</v>
      </c>
      <c r="I36" s="26">
        <f t="shared" si="40"/>
        <v>-1916274.7708386101</v>
      </c>
      <c r="J36" s="26">
        <f t="shared" si="40"/>
        <v>-2260338.2907866673</v>
      </c>
      <c r="K36" s="26">
        <f t="shared" si="40"/>
        <v>-1772280.2250124668</v>
      </c>
      <c r="L36" s="26">
        <f t="shared" si="40"/>
        <v>-455799.53274818143</v>
      </c>
      <c r="M36" s="26">
        <f t="shared" si="40"/>
        <v>-1894844.6344525674</v>
      </c>
      <c r="N36" s="26">
        <f t="shared" si="40"/>
        <v>-3540770.3085597521</v>
      </c>
      <c r="O36" s="26">
        <f t="shared" si="40"/>
        <v>-1527923.9380540738</v>
      </c>
      <c r="P36" s="26">
        <f t="shared" si="40"/>
        <v>-720005.89384245372</v>
      </c>
      <c r="Q36" s="26">
        <f t="shared" si="40"/>
        <v>-186609.29692944221</v>
      </c>
      <c r="R36" s="26">
        <f t="shared" si="40"/>
        <v>-2501737.9389629257</v>
      </c>
      <c r="S36" s="26">
        <f t="shared" si="40"/>
        <v>-1754620.2384129378</v>
      </c>
      <c r="T36" s="26">
        <f t="shared" si="40"/>
        <v>-208155.49908608373</v>
      </c>
      <c r="U36" s="26">
        <f t="shared" si="40"/>
        <v>-1741869.515180079</v>
      </c>
      <c r="V36" s="26">
        <f t="shared" si="40"/>
        <v>-1296087.1989053397</v>
      </c>
      <c r="W36" s="26">
        <f t="shared" si="40"/>
        <v>-150822.96034056367</v>
      </c>
      <c r="X36" s="26">
        <f t="shared" si="40"/>
        <v>55902.258374990502</v>
      </c>
      <c r="Y36" s="26">
        <f t="shared" si="40"/>
        <v>-478603.09449507989</v>
      </c>
      <c r="Z36" s="26">
        <f t="shared" si="40"/>
        <v>-2289610.1646754206</v>
      </c>
      <c r="AA36" s="26">
        <f t="shared" si="40"/>
        <v>-1191805.4065046385</v>
      </c>
      <c r="AB36" s="26">
        <f t="shared" si="40"/>
        <v>-273825.53404700541</v>
      </c>
      <c r="AC36" s="26">
        <f t="shared" si="40"/>
        <v>5144042.6969996383</v>
      </c>
      <c r="AD36" s="26">
        <f t="shared" si="40"/>
        <v>3779938.5526442453</v>
      </c>
      <c r="AE36" s="26">
        <f t="shared" si="40"/>
        <v>2148723.5192585583</v>
      </c>
      <c r="AF36" s="26">
        <f t="shared" si="40"/>
        <v>1205824.3689580103</v>
      </c>
      <c r="AG36" s="26">
        <f t="shared" si="40"/>
        <v>3183551.640598123</v>
      </c>
      <c r="AH36" s="26">
        <f t="shared" si="40"/>
        <v>970386.72201154847</v>
      </c>
      <c r="AI36" s="26">
        <f t="shared" si="40"/>
        <v>-232045.97257490031</v>
      </c>
      <c r="AJ36" s="26">
        <f t="shared" si="40"/>
        <v>-104883.41211829596</v>
      </c>
      <c r="AK36" s="26">
        <f t="shared" si="40"/>
        <v>-1700245.146624954</v>
      </c>
      <c r="AL36" s="26">
        <f t="shared" si="40"/>
        <v>-1006664.6555629646</v>
      </c>
      <c r="AM36" s="26">
        <f t="shared" si="40"/>
        <v>-1091434.4186938717</v>
      </c>
      <c r="AN36" s="26">
        <f t="shared" si="40"/>
        <v>-644790.57604271709</v>
      </c>
      <c r="AO36" s="26">
        <f t="shared" si="40"/>
        <v>-1040573.6028497734</v>
      </c>
      <c r="AP36" s="26">
        <f t="shared" si="40"/>
        <v>-3437959.6150763799</v>
      </c>
      <c r="AQ36" s="26">
        <f t="shared" si="40"/>
        <v>-1411233.7112304706</v>
      </c>
      <c r="AR36" s="26">
        <f t="shared" si="40"/>
        <v>-112627.49900386701</v>
      </c>
      <c r="AS36" s="26">
        <f t="shared" si="40"/>
        <v>2653173.467896204</v>
      </c>
      <c r="AT36" s="26">
        <f t="shared" si="40"/>
        <v>5033548.5977392225</v>
      </c>
      <c r="AU36" s="26">
        <f t="shared" si="40"/>
        <v>3492917.3716820129</v>
      </c>
      <c r="AV36" s="26">
        <f t="shared" si="40"/>
        <v>975717.09682588931</v>
      </c>
      <c r="AW36" s="26">
        <f t="shared" si="40"/>
        <v>2907867.3726181141</v>
      </c>
      <c r="AX36" s="26">
        <f t="shared" si="40"/>
        <v>2785476.9888389749</v>
      </c>
      <c r="AY36" s="26">
        <f t="shared" si="40"/>
        <v>1449686.7199391369</v>
      </c>
      <c r="AZ36" s="26">
        <f t="shared" si="40"/>
        <v>655818.5212627853</v>
      </c>
      <c r="BA36" s="26">
        <f t="shared" si="40"/>
        <v>587776.3418072171</v>
      </c>
      <c r="BB36" s="26">
        <f t="shared" si="40"/>
        <v>614084.50396516896</v>
      </c>
      <c r="BC36" s="26">
        <f t="shared" si="40"/>
        <v>489941.02897749294</v>
      </c>
      <c r="BD36" s="26">
        <f t="shared" si="40"/>
        <v>297230.55432790064</v>
      </c>
      <c r="BE36" s="26">
        <f t="shared" si="40"/>
        <v>1179075.7098523229</v>
      </c>
      <c r="BF36" s="26">
        <f t="shared" si="40"/>
        <v>2181321.9184471839</v>
      </c>
      <c r="BG36" s="26">
        <f t="shared" si="40"/>
        <v>1529090.9674331667</v>
      </c>
      <c r="BH36" s="26">
        <f t="shared" si="40"/>
        <v>978633.45174142579</v>
      </c>
      <c r="BI36" s="26">
        <f t="shared" si="40"/>
        <v>3879177.9358797111</v>
      </c>
      <c r="BJ36" s="26">
        <f t="shared" si="40"/>
        <v>2773581.9096514578</v>
      </c>
      <c r="BK36" s="26">
        <f t="shared" si="40"/>
        <v>1727805.1994717789</v>
      </c>
      <c r="BL36" s="26">
        <f t="shared" si="40"/>
        <v>3617188.180144114</v>
      </c>
      <c r="BM36" s="26">
        <f t="shared" si="40"/>
        <v>3449607.1221334492</v>
      </c>
      <c r="BN36" s="26" t="e">
        <f t="shared" si="40"/>
        <v>#DIV/0!</v>
      </c>
      <c r="BO36" s="26">
        <f t="shared" ref="BO36:CJ36" si="41">BO35*BO41</f>
        <v>-5640954.6291672075</v>
      </c>
      <c r="BP36" s="26">
        <f t="shared" si="41"/>
        <v>-26749803.922077775</v>
      </c>
      <c r="BQ36" s="26">
        <f t="shared" si="41"/>
        <v>5778705.4792996449</v>
      </c>
      <c r="BR36" s="26">
        <f t="shared" si="41"/>
        <v>6278197.0494783623</v>
      </c>
      <c r="BS36" s="26">
        <f t="shared" si="41"/>
        <v>-209042887.59852406</v>
      </c>
      <c r="BT36" s="26">
        <f t="shared" si="41"/>
        <v>-54200865.898171939</v>
      </c>
      <c r="BU36" s="26">
        <f t="shared" si="41"/>
        <v>-32450867.372702096</v>
      </c>
      <c r="BV36" s="26">
        <f t="shared" si="41"/>
        <v>-14576375.576020552</v>
      </c>
      <c r="BW36" s="26">
        <f t="shared" si="41"/>
        <v>33422879.058293946</v>
      </c>
      <c r="BX36" s="26">
        <f t="shared" si="41"/>
        <v>6519956.7196295839</v>
      </c>
      <c r="BY36" s="26">
        <f t="shared" si="41"/>
        <v>24410580.510330237</v>
      </c>
      <c r="BZ36" s="26">
        <f t="shared" si="41"/>
        <v>0</v>
      </c>
      <c r="CA36" s="26">
        <f t="shared" si="41"/>
        <v>-10504250.168411553</v>
      </c>
      <c r="CB36" s="26">
        <f t="shared" si="41"/>
        <v>0</v>
      </c>
      <c r="CC36" s="26">
        <f t="shared" si="41"/>
        <v>-28135202.986960825</v>
      </c>
      <c r="CD36" s="26" t="e">
        <f t="shared" si="41"/>
        <v>#DIV/0!</v>
      </c>
      <c r="CE36" s="26" t="e">
        <f t="shared" si="41"/>
        <v>#DIV/0!</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-5687047.6480473876</v>
      </c>
      <c r="C37" s="26">
        <f t="shared" ref="C37:BN37" si="42">C35-C36</f>
        <v>-3218714.3640319202</v>
      </c>
      <c r="D37" s="26">
        <f t="shared" si="42"/>
        <v>-92132.402152510549</v>
      </c>
      <c r="E37" s="26">
        <f t="shared" si="42"/>
        <v>6688759.8641134063</v>
      </c>
      <c r="F37" s="26">
        <f t="shared" si="42"/>
        <v>-293520.56635716691</v>
      </c>
      <c r="G37" s="26">
        <f t="shared" si="42"/>
        <v>-1084827.1964683356</v>
      </c>
      <c r="H37" s="26">
        <f t="shared" si="42"/>
        <v>-1177986.2113296678</v>
      </c>
      <c r="I37" s="26">
        <f t="shared" si="42"/>
        <v>-9391070.3991613891</v>
      </c>
      <c r="J37" s="26">
        <f t="shared" si="42"/>
        <v>-8283006.0192133337</v>
      </c>
      <c r="K37" s="26">
        <f t="shared" si="42"/>
        <v>-6403204.094987534</v>
      </c>
      <c r="L37" s="26">
        <f t="shared" si="42"/>
        <v>-1647757.4572518189</v>
      </c>
      <c r="M37" s="26">
        <f t="shared" si="42"/>
        <v>-10132766.905547433</v>
      </c>
      <c r="N37" s="26">
        <f t="shared" si="42"/>
        <v>-14028530.191440247</v>
      </c>
      <c r="O37" s="26">
        <f t="shared" si="42"/>
        <v>-6364817.8919459265</v>
      </c>
      <c r="P37" s="26">
        <f t="shared" si="42"/>
        <v>-2825542.6561575462</v>
      </c>
      <c r="Q37" s="26">
        <f t="shared" si="42"/>
        <v>-994294.7430705569</v>
      </c>
      <c r="R37" s="26">
        <f t="shared" si="42"/>
        <v>-11893094.241037074</v>
      </c>
      <c r="S37" s="26">
        <f t="shared" si="42"/>
        <v>-8421010.3915870637</v>
      </c>
      <c r="T37" s="26">
        <f t="shared" si="42"/>
        <v>-1052986.3909139163</v>
      </c>
      <c r="U37" s="26">
        <f t="shared" si="42"/>
        <v>-10046371.144819921</v>
      </c>
      <c r="V37" s="26">
        <f t="shared" si="42"/>
        <v>-5939548.7010946609</v>
      </c>
      <c r="W37" s="26">
        <f t="shared" si="42"/>
        <v>-698493.51965943631</v>
      </c>
      <c r="X37" s="26">
        <f t="shared" si="42"/>
        <v>235124.71162500948</v>
      </c>
      <c r="Y37" s="26">
        <f t="shared" si="42"/>
        <v>-3105706.0155049199</v>
      </c>
      <c r="Z37" s="26">
        <f t="shared" si="42"/>
        <v>-10168718.01532458</v>
      </c>
      <c r="AA37" s="26">
        <f t="shared" si="42"/>
        <v>-5613976.3034953615</v>
      </c>
      <c r="AB37" s="26">
        <f t="shared" si="42"/>
        <v>-1084425.4259529945</v>
      </c>
      <c r="AC37" s="26">
        <f t="shared" si="42"/>
        <v>26358210.353000361</v>
      </c>
      <c r="AD37" s="26">
        <f t="shared" si="42"/>
        <v>18219788.297355756</v>
      </c>
      <c r="AE37" s="26">
        <f t="shared" si="42"/>
        <v>10345576.630741442</v>
      </c>
      <c r="AF37" s="26">
        <f t="shared" si="42"/>
        <v>6720807.1410419894</v>
      </c>
      <c r="AG37" s="26">
        <f t="shared" si="42"/>
        <v>16479851.679401878</v>
      </c>
      <c r="AH37" s="26">
        <f t="shared" si="42"/>
        <v>4236446.8679884514</v>
      </c>
      <c r="AI37" s="26">
        <f t="shared" si="42"/>
        <v>-966534.67742509954</v>
      </c>
      <c r="AJ37" s="26">
        <f t="shared" si="42"/>
        <v>-443434.10788170405</v>
      </c>
      <c r="AK37" s="26">
        <f t="shared" si="42"/>
        <v>-8330140.1033750456</v>
      </c>
      <c r="AL37" s="26">
        <f t="shared" si="42"/>
        <v>-4463435.7944370359</v>
      </c>
      <c r="AM37" s="26">
        <f t="shared" si="42"/>
        <v>-3708403.6213061283</v>
      </c>
      <c r="AN37" s="26">
        <f t="shared" si="42"/>
        <v>-2030940.313957283</v>
      </c>
      <c r="AO37" s="26">
        <f t="shared" si="42"/>
        <v>-6627719.4771502269</v>
      </c>
      <c r="AP37" s="26">
        <f t="shared" si="42"/>
        <v>-21040201.32492362</v>
      </c>
      <c r="AQ37" s="26">
        <f t="shared" si="42"/>
        <v>-8918210.998769531</v>
      </c>
      <c r="AR37" s="26">
        <f t="shared" si="42"/>
        <v>-642107.77099613298</v>
      </c>
      <c r="AS37" s="26">
        <f t="shared" si="42"/>
        <v>21249368.332103796</v>
      </c>
      <c r="AT37" s="26">
        <f t="shared" si="42"/>
        <v>13264091.062260777</v>
      </c>
      <c r="AU37" s="26">
        <f t="shared" si="42"/>
        <v>8455402.9383179881</v>
      </c>
      <c r="AV37" s="26">
        <f t="shared" si="42"/>
        <v>3516969.0031741103</v>
      </c>
      <c r="AW37" s="26">
        <f t="shared" si="42"/>
        <v>23500862.017381888</v>
      </c>
      <c r="AX37" s="26">
        <f t="shared" si="42"/>
        <v>11477625.171161026</v>
      </c>
      <c r="AY37" s="26">
        <f t="shared" si="42"/>
        <v>6335544.8400608627</v>
      </c>
      <c r="AZ37" s="26">
        <f t="shared" si="42"/>
        <v>2597214.9187372145</v>
      </c>
      <c r="BA37" s="26">
        <f t="shared" si="42"/>
        <v>12933288.808192784</v>
      </c>
      <c r="BB37" s="26">
        <f t="shared" si="42"/>
        <v>11278209.056034831</v>
      </c>
      <c r="BC37" s="26">
        <f t="shared" si="42"/>
        <v>7573783.1010225071</v>
      </c>
      <c r="BD37" s="26">
        <f t="shared" si="42"/>
        <v>4285485.1156720994</v>
      </c>
      <c r="BE37" s="26">
        <f t="shared" si="42"/>
        <v>14558486.700147677</v>
      </c>
      <c r="BF37" s="26">
        <f t="shared" si="42"/>
        <v>8393022.9815528169</v>
      </c>
      <c r="BG37" s="26">
        <f t="shared" si="42"/>
        <v>4890347.9325668337</v>
      </c>
      <c r="BH37" s="26">
        <f t="shared" si="42"/>
        <v>2485303.1782585741</v>
      </c>
      <c r="BI37" s="26">
        <f t="shared" si="42"/>
        <v>5881799.5241202898</v>
      </c>
      <c r="BJ37" s="26">
        <f t="shared" si="42"/>
        <v>3444323.2703485419</v>
      </c>
      <c r="BK37" s="26">
        <f t="shared" si="42"/>
        <v>1615986.6205282209</v>
      </c>
      <c r="BL37" s="26">
        <f t="shared" si="42"/>
        <v>4879746.5698558856</v>
      </c>
      <c r="BM37" s="26">
        <f t="shared" si="42"/>
        <v>4738653.9178665504</v>
      </c>
      <c r="BN37" s="26" t="e">
        <f t="shared" si="42"/>
        <v>#DIV/0!</v>
      </c>
      <c r="BO37" s="26">
        <f t="shared" ref="BO37:CJ37" si="43">BO35-BO36</f>
        <v>14882973.979167208</v>
      </c>
      <c r="BP37" s="26">
        <f t="shared" si="43"/>
        <v>34342918.272077776</v>
      </c>
      <c r="BQ37" s="26">
        <f t="shared" si="43"/>
        <v>-3525981.9892996447</v>
      </c>
      <c r="BR37" s="26">
        <f t="shared" si="43"/>
        <v>-2792916.1194783621</v>
      </c>
      <c r="BS37" s="26">
        <f t="shared" si="43"/>
        <v>230657871.48852408</v>
      </c>
      <c r="BT37" s="26">
        <f t="shared" si="43"/>
        <v>66278469.168171942</v>
      </c>
      <c r="BU37" s="26">
        <f t="shared" si="43"/>
        <v>54474474.872702092</v>
      </c>
      <c r="BV37" s="26">
        <f t="shared" si="43"/>
        <v>20643920.636020552</v>
      </c>
      <c r="BW37" s="26">
        <f t="shared" si="43"/>
        <v>-48983749.458293945</v>
      </c>
      <c r="BX37" s="26">
        <f t="shared" si="43"/>
        <v>-8400414.8496295847</v>
      </c>
      <c r="BY37" s="26">
        <f t="shared" si="43"/>
        <v>-31120693.620330237</v>
      </c>
      <c r="BZ37" s="26">
        <f t="shared" si="43"/>
        <v>0</v>
      </c>
      <c r="CA37" s="26">
        <f t="shared" si="43"/>
        <v>15524879.648411553</v>
      </c>
      <c r="CB37" s="26">
        <f t="shared" si="43"/>
        <v>0</v>
      </c>
      <c r="CC37" s="26">
        <f t="shared" si="43"/>
        <v>37301148.796960823</v>
      </c>
      <c r="CD37" s="26" t="e">
        <f t="shared" si="43"/>
        <v>#DIV/0!</v>
      </c>
      <c r="CE37" s="26" t="e">
        <f t="shared" si="43"/>
        <v>#DIV/0!</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1586195470.0499988</v>
      </c>
      <c r="C38" s="28">
        <f t="shared" ref="C38:BN38" si="44">C31-C35</f>
        <v>936565971.48999941</v>
      </c>
      <c r="D38" s="28">
        <f t="shared" si="44"/>
        <v>592266678.24000025</v>
      </c>
      <c r="E38" s="28">
        <f t="shared" si="44"/>
        <v>1465352750.7399993</v>
      </c>
      <c r="F38" s="28">
        <f t="shared" si="44"/>
        <v>1087339423.1600006</v>
      </c>
      <c r="G38" s="28">
        <f t="shared" si="44"/>
        <v>725640375.39999998</v>
      </c>
      <c r="H38" s="28">
        <f t="shared" si="44"/>
        <v>465195601.9400003</v>
      </c>
      <c r="I38" s="28">
        <f t="shared" si="44"/>
        <v>1377893625.5700016</v>
      </c>
      <c r="J38" s="28">
        <f t="shared" si="44"/>
        <v>1011621688.8300003</v>
      </c>
      <c r="K38" s="28">
        <f t="shared" si="44"/>
        <v>666113143.36999953</v>
      </c>
      <c r="L38" s="28">
        <f t="shared" si="44"/>
        <v>379380083.52999991</v>
      </c>
      <c r="M38" s="28">
        <f t="shared" si="44"/>
        <v>1188109801.5599992</v>
      </c>
      <c r="N38" s="28">
        <f t="shared" si="44"/>
        <v>885378827.40999961</v>
      </c>
      <c r="O38" s="28">
        <f t="shared" si="44"/>
        <v>541848643.52000022</v>
      </c>
      <c r="P38" s="28">
        <f t="shared" si="44"/>
        <v>311387681.01999986</v>
      </c>
      <c r="Q38" s="28">
        <f t="shared" si="44"/>
        <v>905768593.13999999</v>
      </c>
      <c r="R38" s="28">
        <f t="shared" si="44"/>
        <v>681830974.86000001</v>
      </c>
      <c r="S38" s="28">
        <f t="shared" si="44"/>
        <v>440812792.22000045</v>
      </c>
      <c r="T38" s="28">
        <f t="shared" si="44"/>
        <v>244365798.41000012</v>
      </c>
      <c r="U38" s="28">
        <f t="shared" si="44"/>
        <v>728977871.87999964</v>
      </c>
      <c r="V38" s="28">
        <f t="shared" si="44"/>
        <v>569436724.09000111</v>
      </c>
      <c r="W38" s="28">
        <f t="shared" si="44"/>
        <v>360433316.34000003</v>
      </c>
      <c r="X38" s="28">
        <f t="shared" si="44"/>
        <v>208298496.36999995</v>
      </c>
      <c r="Y38" s="28">
        <f t="shared" si="44"/>
        <v>584203301.14000046</v>
      </c>
      <c r="Z38" s="28">
        <f t="shared" si="44"/>
        <v>446340044.80000007</v>
      </c>
      <c r="AA38" s="28">
        <f t="shared" si="44"/>
        <v>288410432.75999963</v>
      </c>
      <c r="AB38" s="28">
        <f t="shared" si="44"/>
        <v>174324406.63000005</v>
      </c>
      <c r="AC38" s="28">
        <f t="shared" si="44"/>
        <v>582910817.90000057</v>
      </c>
      <c r="AD38" s="28">
        <f t="shared" si="44"/>
        <v>462091239.54999995</v>
      </c>
      <c r="AE38" s="28">
        <f t="shared" si="44"/>
        <v>298056123.19999999</v>
      </c>
      <c r="AF38" s="28">
        <f t="shared" si="44"/>
        <v>175370575.99999997</v>
      </c>
      <c r="AG38" s="28">
        <f t="shared" si="44"/>
        <v>500914662.4599998</v>
      </c>
      <c r="AH38" s="28">
        <f t="shared" si="44"/>
        <v>377125981.79000026</v>
      </c>
      <c r="AI38" s="28">
        <f t="shared" si="44"/>
        <v>235982575.23999989</v>
      </c>
      <c r="AJ38" s="28">
        <f t="shared" si="44"/>
        <v>139515446.83999982</v>
      </c>
      <c r="AK38" s="28">
        <f t="shared" si="44"/>
        <v>424660679.25000054</v>
      </c>
      <c r="AL38" s="28">
        <f t="shared" si="44"/>
        <v>287032822.16999978</v>
      </c>
      <c r="AM38" s="28">
        <f t="shared" si="44"/>
        <v>192372707.05999991</v>
      </c>
      <c r="AN38" s="28">
        <f t="shared" si="44"/>
        <v>103121825.68000002</v>
      </c>
      <c r="AO38" s="28">
        <f t="shared" si="44"/>
        <v>346415980.43999976</v>
      </c>
      <c r="AP38" s="28">
        <f t="shared" si="44"/>
        <v>228407608.02999994</v>
      </c>
      <c r="AQ38" s="28">
        <f t="shared" si="44"/>
        <v>154606023.10999984</v>
      </c>
      <c r="AR38" s="28">
        <f t="shared" si="44"/>
        <v>80029630.879999921</v>
      </c>
      <c r="AS38" s="28">
        <f t="shared" si="44"/>
        <v>242195577.37999961</v>
      </c>
      <c r="AT38" s="28">
        <f t="shared" si="44"/>
        <v>168211674.60999987</v>
      </c>
      <c r="AU38" s="28">
        <f t="shared" si="44"/>
        <v>119873936.34999987</v>
      </c>
      <c r="AV38" s="28">
        <f t="shared" si="44"/>
        <v>61335784.699999996</v>
      </c>
      <c r="AW38" s="28">
        <f t="shared" si="44"/>
        <v>145734708.7700001</v>
      </c>
      <c r="AX38" s="28">
        <f t="shared" si="44"/>
        <v>92646101.790000021</v>
      </c>
      <c r="AY38" s="28">
        <f t="shared" si="44"/>
        <v>66285203.119999945</v>
      </c>
      <c r="AZ38" s="28">
        <f t="shared" si="44"/>
        <v>36474838.140000038</v>
      </c>
      <c r="BA38" s="28">
        <f t="shared" si="44"/>
        <v>91413907.339999974</v>
      </c>
      <c r="BB38" s="28">
        <f t="shared" si="44"/>
        <v>45642785.429999918</v>
      </c>
      <c r="BC38" s="28">
        <f t="shared" si="44"/>
        <v>33431458.190000001</v>
      </c>
      <c r="BD38" s="28">
        <f t="shared" si="44"/>
        <v>13973696.390000014</v>
      </c>
      <c r="BE38" s="28">
        <f t="shared" si="44"/>
        <v>68034953.530000031</v>
      </c>
      <c r="BF38" s="28">
        <f t="shared" si="44"/>
        <v>51623701.099999949</v>
      </c>
      <c r="BG38" s="28">
        <f t="shared" si="44"/>
        <v>32907483.790000014</v>
      </c>
      <c r="BH38" s="28">
        <f t="shared" si="44"/>
        <v>15033480.299999986</v>
      </c>
      <c r="BI38" s="28">
        <f t="shared" si="44"/>
        <v>82409216.800000072</v>
      </c>
      <c r="BJ38" s="28">
        <f t="shared" si="44"/>
        <v>53119183.370000064</v>
      </c>
      <c r="BK38" s="28">
        <f t="shared" si="44"/>
        <v>35442919.190000013</v>
      </c>
      <c r="BL38" s="28">
        <f t="shared" si="44"/>
        <v>58221095.660000034</v>
      </c>
      <c r="BM38" s="28">
        <f t="shared" si="44"/>
        <v>32315165.939999975</v>
      </c>
      <c r="BN38" s="28">
        <f t="shared" si="44"/>
        <v>0</v>
      </c>
      <c r="BO38" s="28">
        <f t="shared" ref="BO38:CJ38" si="45">BO31-BO35</f>
        <v>-19867738.280000001</v>
      </c>
      <c r="BP38" s="28">
        <f t="shared" si="45"/>
        <v>-3035434.6599999992</v>
      </c>
      <c r="BQ38" s="28">
        <f t="shared" si="45"/>
        <v>19001970.880000003</v>
      </c>
      <c r="BR38" s="28">
        <f t="shared" si="45"/>
        <v>10933943.73</v>
      </c>
      <c r="BS38" s="28">
        <f t="shared" si="45"/>
        <v>-4340404.0600000024</v>
      </c>
      <c r="BT38" s="28">
        <f t="shared" si="45"/>
        <v>-5529903.1899999995</v>
      </c>
      <c r="BU38" s="28">
        <f t="shared" si="45"/>
        <v>-46395169.980000004</v>
      </c>
      <c r="BV38" s="28">
        <f t="shared" si="45"/>
        <v>-15042579.690000001</v>
      </c>
      <c r="BW38" s="28">
        <f t="shared" si="45"/>
        <v>-30085583.690000005</v>
      </c>
      <c r="BX38" s="28">
        <f t="shared" si="45"/>
        <v>-9203611.120000001</v>
      </c>
      <c r="BY38" s="28">
        <f t="shared" si="45"/>
        <v>-16029890.990000002</v>
      </c>
      <c r="BZ38" s="28">
        <f t="shared" si="45"/>
        <v>-3442370</v>
      </c>
      <c r="CA38" s="28">
        <f t="shared" si="45"/>
        <v>-17310457.620000001</v>
      </c>
      <c r="CB38" s="28">
        <f t="shared" si="45"/>
        <v>-1266000</v>
      </c>
      <c r="CC38" s="28">
        <f t="shared" si="45"/>
        <v>-8419958.9000000004</v>
      </c>
      <c r="CD38" s="28">
        <f t="shared" si="45"/>
        <v>0</v>
      </c>
      <c r="CE38" s="28">
        <f t="shared" si="45"/>
        <v>0</v>
      </c>
      <c r="CF38" s="28">
        <f t="shared" si="45"/>
        <v>0</v>
      </c>
      <c r="CG38" s="28">
        <f t="shared" si="45"/>
        <v>0</v>
      </c>
      <c r="CH38" s="28">
        <f t="shared" si="45"/>
        <v>0</v>
      </c>
      <c r="CI38" s="28">
        <f t="shared" si="45"/>
        <v>0</v>
      </c>
      <c r="CJ38" s="28">
        <f t="shared" si="45"/>
        <v>0</v>
      </c>
    </row>
    <row r="39" spans="1:89" s="57" customFormat="1" x14ac:dyDescent="0.25">
      <c r="A39" s="57" t="s">
        <v>417</v>
      </c>
      <c r="B39" s="57">
        <f>B38/B4*100</f>
        <v>11.842951740073474</v>
      </c>
      <c r="C39" s="57">
        <f t="shared" ref="C39:D39" si="46">C38/C4*100</f>
        <v>10.583671438747476</v>
      </c>
      <c r="D39" s="57">
        <f t="shared" si="46"/>
        <v>12.11922190725268</v>
      </c>
      <c r="E39" s="57">
        <f>E38/E4</f>
        <v>0.10328588613247899</v>
      </c>
      <c r="F39" s="57">
        <f t="shared" ref="F39:BQ39" si="47">F38/F4</f>
        <v>0.10358930103220143</v>
      </c>
      <c r="G39" s="57">
        <f t="shared" si="47"/>
        <v>0.10502118527166039</v>
      </c>
      <c r="H39" s="57">
        <f t="shared" si="47"/>
        <v>0.11787376050785202</v>
      </c>
      <c r="I39" s="57">
        <f t="shared" si="47"/>
        <v>0.11533267066676176</v>
      </c>
      <c r="J39" s="57">
        <f t="shared" si="47"/>
        <v>0.11454581818472179</v>
      </c>
      <c r="K39" s="57">
        <f t="shared" si="47"/>
        <v>0.11580707810005827</v>
      </c>
      <c r="L39" s="57">
        <f t="shared" si="47"/>
        <v>0.12108537704690246</v>
      </c>
      <c r="M39" s="57">
        <f t="shared" si="47"/>
        <v>0.10890411817507045</v>
      </c>
      <c r="N39" s="57">
        <f t="shared" si="47"/>
        <v>0.10694761215457088</v>
      </c>
      <c r="O39" s="57">
        <f t="shared" si="47"/>
        <v>0.10072332078611909</v>
      </c>
      <c r="P39" s="57">
        <f t="shared" si="47"/>
        <v>0.10356343518774651</v>
      </c>
      <c r="Q39" s="57">
        <f t="shared" si="47"/>
        <v>9.499763161425552E-2</v>
      </c>
      <c r="R39" s="57">
        <f t="shared" si="47"/>
        <v>9.51561046328087E-2</v>
      </c>
      <c r="S39" s="57">
        <f t="shared" si="47"/>
        <v>9.4943340689082709E-2</v>
      </c>
      <c r="T39" s="57">
        <f t="shared" si="47"/>
        <v>9.4088733640655689E-2</v>
      </c>
      <c r="U39" s="57">
        <f t="shared" si="47"/>
        <v>8.6956479211365456E-2</v>
      </c>
      <c r="V39" s="57">
        <f t="shared" si="47"/>
        <v>9.0256069515934317E-2</v>
      </c>
      <c r="W39" s="57">
        <f t="shared" si="47"/>
        <v>8.7118388409095734E-2</v>
      </c>
      <c r="X39" s="57">
        <f t="shared" si="47"/>
        <v>9.171609956604615E-2</v>
      </c>
      <c r="Y39" s="57">
        <f t="shared" si="47"/>
        <v>8.4796669578383624E-2</v>
      </c>
      <c r="Z39" s="57">
        <f t="shared" si="47"/>
        <v>8.761618092199025E-2</v>
      </c>
      <c r="AA39" s="57">
        <f t="shared" si="47"/>
        <v>8.6402388674165123E-2</v>
      </c>
      <c r="AB39" s="57">
        <f t="shared" si="47"/>
        <v>9.0719302976229529E-2</v>
      </c>
      <c r="AC39" s="57">
        <f t="shared" si="47"/>
        <v>8.1804547180850978E-2</v>
      </c>
      <c r="AD39" s="57">
        <f t="shared" si="47"/>
        <v>8.6844475307816291E-2</v>
      </c>
      <c r="AE39" s="57">
        <f t="shared" si="47"/>
        <v>8.5686209982035424E-2</v>
      </c>
      <c r="AF39" s="57">
        <f t="shared" si="47"/>
        <v>9.1500315668292892E-2</v>
      </c>
      <c r="AG39" s="57">
        <f t="shared" si="47"/>
        <v>8.9097993174531542E-2</v>
      </c>
      <c r="AH39" s="57">
        <f t="shared" si="47"/>
        <v>9.1276250496943503E-2</v>
      </c>
      <c r="AI39" s="57">
        <f t="shared" si="47"/>
        <v>8.9475870851247252E-2</v>
      </c>
      <c r="AJ39" s="57">
        <f t="shared" si="47"/>
        <v>9.8959467745725518E-2</v>
      </c>
      <c r="AK39" s="57">
        <f t="shared" si="47"/>
        <v>0.10318080902787412</v>
      </c>
      <c r="AL39" s="57">
        <f t="shared" si="47"/>
        <v>0.10001658575707126</v>
      </c>
      <c r="AM39" s="57">
        <f t="shared" si="47"/>
        <v>0.10749219307243381</v>
      </c>
      <c r="AN39" s="57">
        <f t="shared" si="47"/>
        <v>0.10579095330305786</v>
      </c>
      <c r="AO39" s="57">
        <f t="shared" si="47"/>
        <v>9.5629700981373619E-2</v>
      </c>
      <c r="AP39" s="57">
        <f t="shared" si="47"/>
        <v>8.3436245187336625E-2</v>
      </c>
      <c r="AQ39" s="57">
        <f t="shared" si="47"/>
        <v>8.734355793556213E-2</v>
      </c>
      <c r="AR39" s="57">
        <f t="shared" si="47"/>
        <v>8.4342034107749125E-2</v>
      </c>
      <c r="AS39" s="57">
        <f t="shared" si="47"/>
        <v>8.2556274259728085E-2</v>
      </c>
      <c r="AT39" s="57">
        <f t="shared" si="47"/>
        <v>8.2578698775074552E-2</v>
      </c>
      <c r="AU39" s="57">
        <f t="shared" si="47"/>
        <v>8.9253870261809629E-2</v>
      </c>
      <c r="AV39" s="57">
        <f t="shared" si="47"/>
        <v>8.8826288073265869E-2</v>
      </c>
      <c r="AW39" s="57">
        <f t="shared" si="47"/>
        <v>7.0100695796648529E-2</v>
      </c>
      <c r="AX39" s="57">
        <f t="shared" si="47"/>
        <v>6.6397289534037257E-2</v>
      </c>
      <c r="AY39" s="57">
        <f t="shared" si="47"/>
        <v>6.9728102219005161E-2</v>
      </c>
      <c r="AZ39" s="57">
        <f t="shared" si="47"/>
        <v>7.330133669546246E-2</v>
      </c>
      <c r="BA39" s="57">
        <f t="shared" si="47"/>
        <v>6.2200834949194692E-2</v>
      </c>
      <c r="BB39" s="57">
        <f t="shared" si="47"/>
        <v>5.1114606437746207E-2</v>
      </c>
      <c r="BC39" s="57">
        <f t="shared" si="47"/>
        <v>5.8514735933232274E-2</v>
      </c>
      <c r="BD39" s="57">
        <f t="shared" si="47"/>
        <v>4.5451587391246627E-2</v>
      </c>
      <c r="BE39" s="57">
        <f t="shared" si="47"/>
        <v>6.7689707510116728E-2</v>
      </c>
      <c r="BF39" s="57">
        <f t="shared" si="47"/>
        <v>7.4734534367370917E-2</v>
      </c>
      <c r="BG39" s="57">
        <f t="shared" si="47"/>
        <v>7.811770298441123E-2</v>
      </c>
      <c r="BH39" s="57">
        <f t="shared" si="47"/>
        <v>6.981494041977207E-2</v>
      </c>
      <c r="BI39" s="57">
        <f t="shared" si="47"/>
        <v>9.8514083399429964E-2</v>
      </c>
      <c r="BJ39" s="57">
        <f t="shared" si="47"/>
        <v>9.4009372650491377E-2</v>
      </c>
      <c r="BK39" s="57">
        <f t="shared" si="47"/>
        <v>9.8675147358974008E-2</v>
      </c>
      <c r="BL39" s="57">
        <f t="shared" si="47"/>
        <v>9.4646262145008153E-2</v>
      </c>
      <c r="BM39" s="57">
        <f t="shared" si="47"/>
        <v>6.8835978330165234E-2</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276808721.5</v>
      </c>
      <c r="C40" s="26">
        <f t="shared" ref="C40:BN40" si="49">C60</f>
        <v>202066354.34999999</v>
      </c>
      <c r="D40" s="26">
        <f t="shared" si="49"/>
        <v>150568281.11000001</v>
      </c>
      <c r="E40" s="26">
        <f t="shared" si="49"/>
        <v>257283850.96000001</v>
      </c>
      <c r="F40" s="26">
        <f t="shared" si="49"/>
        <v>196674732.59</v>
      </c>
      <c r="G40" s="26">
        <f t="shared" si="49"/>
        <v>131663860.56999999</v>
      </c>
      <c r="H40" s="26">
        <f t="shared" si="49"/>
        <v>99163227.120000005</v>
      </c>
      <c r="I40" s="26">
        <f t="shared" si="49"/>
        <v>233513946.19</v>
      </c>
      <c r="J40" s="26">
        <f t="shared" si="49"/>
        <v>216876843.99000001</v>
      </c>
      <c r="K40" s="26">
        <f t="shared" si="49"/>
        <v>144399904.08000001</v>
      </c>
      <c r="L40" s="26">
        <f t="shared" si="49"/>
        <v>82204221.530000001</v>
      </c>
      <c r="M40" s="26">
        <f t="shared" si="49"/>
        <v>187176271.46000001</v>
      </c>
      <c r="N40" s="26">
        <f t="shared" si="49"/>
        <v>178431865.50999999</v>
      </c>
      <c r="O40" s="26">
        <f t="shared" si="49"/>
        <v>104894285.29000001</v>
      </c>
      <c r="P40" s="26">
        <f t="shared" si="49"/>
        <v>63234493.18</v>
      </c>
      <c r="Q40" s="26">
        <f t="shared" si="49"/>
        <v>143131731.81</v>
      </c>
      <c r="R40" s="26">
        <f t="shared" si="49"/>
        <v>118498249.68000001</v>
      </c>
      <c r="S40" s="26">
        <f t="shared" si="49"/>
        <v>76010920.079999998</v>
      </c>
      <c r="T40" s="26">
        <f t="shared" si="49"/>
        <v>40333355.93</v>
      </c>
      <c r="U40" s="26">
        <f t="shared" si="49"/>
        <v>107716186.73999999</v>
      </c>
      <c r="V40" s="26">
        <f t="shared" si="49"/>
        <v>102000661.56999999</v>
      </c>
      <c r="W40" s="26">
        <f t="shared" si="49"/>
        <v>64006316.909999996</v>
      </c>
      <c r="X40" s="26">
        <f t="shared" si="49"/>
        <v>40011262.060000002</v>
      </c>
      <c r="Y40" s="26">
        <f t="shared" si="49"/>
        <v>78007085.650000006</v>
      </c>
      <c r="Z40" s="26">
        <f t="shared" si="49"/>
        <v>82029040.230000004</v>
      </c>
      <c r="AA40" s="26">
        <f t="shared" si="49"/>
        <v>50505456.640000001</v>
      </c>
      <c r="AB40" s="26">
        <f t="shared" si="49"/>
        <v>35144075.100000001</v>
      </c>
      <c r="AC40" s="26">
        <f t="shared" si="49"/>
        <v>95184243.840000004</v>
      </c>
      <c r="AD40" s="26">
        <f t="shared" si="49"/>
        <v>79395371.730000004</v>
      </c>
      <c r="AE40" s="26">
        <f t="shared" si="49"/>
        <v>51258589.460000001</v>
      </c>
      <c r="AF40" s="26">
        <f t="shared" si="49"/>
        <v>26677929.190000001</v>
      </c>
      <c r="AG40" s="26">
        <f t="shared" si="49"/>
        <v>81099272.060000002</v>
      </c>
      <c r="AH40" s="26">
        <f t="shared" si="49"/>
        <v>70284183.069999993</v>
      </c>
      <c r="AI40" s="26">
        <f t="shared" si="49"/>
        <v>45686375.950000003</v>
      </c>
      <c r="AJ40" s="26">
        <f t="shared" si="49"/>
        <v>26686829.390000001</v>
      </c>
      <c r="AK40" s="26">
        <f t="shared" si="49"/>
        <v>71984000.700000003</v>
      </c>
      <c r="AL40" s="26">
        <f t="shared" si="49"/>
        <v>52822758.869999997</v>
      </c>
      <c r="AM40" s="26">
        <f t="shared" si="49"/>
        <v>43743599.670000002</v>
      </c>
      <c r="AN40" s="26">
        <f t="shared" si="49"/>
        <v>24850025.699999999</v>
      </c>
      <c r="AO40" s="26">
        <f t="shared" si="49"/>
        <v>47008026.57</v>
      </c>
      <c r="AP40" s="26">
        <f t="shared" si="49"/>
        <v>32079866.379999999</v>
      </c>
      <c r="AQ40" s="26">
        <f t="shared" si="49"/>
        <v>21122648.690000001</v>
      </c>
      <c r="AR40" s="26">
        <f t="shared" si="49"/>
        <v>11942647.35</v>
      </c>
      <c r="AS40" s="26">
        <f t="shared" si="49"/>
        <v>26883621.219999999</v>
      </c>
      <c r="AT40" s="26">
        <f t="shared" si="49"/>
        <v>46273817.530000001</v>
      </c>
      <c r="AU40" s="26">
        <f t="shared" si="49"/>
        <v>35043398.890000001</v>
      </c>
      <c r="AV40" s="26">
        <f t="shared" si="49"/>
        <v>13320844.689999999</v>
      </c>
      <c r="AW40" s="26">
        <f t="shared" si="49"/>
        <v>16046860.810000001</v>
      </c>
      <c r="AX40" s="26">
        <f t="shared" si="49"/>
        <v>18093089.550000001</v>
      </c>
      <c r="AY40" s="26">
        <f t="shared" si="49"/>
        <v>12342957.039999999</v>
      </c>
      <c r="AZ40" s="26">
        <f t="shared" si="49"/>
        <v>7353405.6299999999</v>
      </c>
      <c r="BA40" s="26">
        <f t="shared" si="49"/>
        <v>3973868.29</v>
      </c>
      <c r="BB40" s="26">
        <f t="shared" si="49"/>
        <v>2356864.73</v>
      </c>
      <c r="BC40" s="26">
        <f t="shared" si="49"/>
        <v>2031250.42</v>
      </c>
      <c r="BD40" s="26">
        <f t="shared" si="49"/>
        <v>906320.58</v>
      </c>
      <c r="BE40" s="26">
        <f t="shared" si="49"/>
        <v>5097254.5199999996</v>
      </c>
      <c r="BF40" s="26">
        <f t="shared" si="49"/>
        <v>10649161.890000001</v>
      </c>
      <c r="BG40" s="26">
        <f t="shared" si="49"/>
        <v>7838463.2999999998</v>
      </c>
      <c r="BH40" s="26">
        <f t="shared" si="49"/>
        <v>4247267.8600000003</v>
      </c>
      <c r="BI40" s="26">
        <f t="shared" si="49"/>
        <v>32750819.969999999</v>
      </c>
      <c r="BJ40" s="26">
        <f t="shared" si="49"/>
        <v>23694540.489999998</v>
      </c>
      <c r="BK40" s="26">
        <f t="shared" si="49"/>
        <v>18314076.760000002</v>
      </c>
      <c r="BL40" s="26">
        <f t="shared" si="49"/>
        <v>24785015.449999999</v>
      </c>
      <c r="BM40" s="26">
        <f t="shared" si="49"/>
        <v>13613956.130000001</v>
      </c>
      <c r="BN40" s="26">
        <f t="shared" si="49"/>
        <v>0</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609</v>
      </c>
      <c r="B41" s="57">
        <f>B40/B38</f>
        <v>0.1745111032824187</v>
      </c>
      <c r="C41" s="57">
        <f t="shared" ref="C41:BN41" si="51">C40/C38</f>
        <v>0.21575239812367841</v>
      </c>
      <c r="D41" s="57">
        <f t="shared" si="51"/>
        <v>0.25422379249400595</v>
      </c>
      <c r="E41" s="57">
        <f t="shared" si="51"/>
        <v>0.17557809942354996</v>
      </c>
      <c r="F41" s="57">
        <f t="shared" si="51"/>
        <v>0.18087703655444448</v>
      </c>
      <c r="G41" s="57">
        <f t="shared" si="51"/>
        <v>0.18144505878331532</v>
      </c>
      <c r="H41" s="57">
        <f t="shared" si="51"/>
        <v>0.21316458433067864</v>
      </c>
      <c r="I41" s="57">
        <f t="shared" si="51"/>
        <v>0.16947167898639554</v>
      </c>
      <c r="J41" s="57">
        <f t="shared" si="51"/>
        <v>0.21438532445941405</v>
      </c>
      <c r="K41" s="57">
        <f t="shared" si="51"/>
        <v>0.21677984516181747</v>
      </c>
      <c r="L41" s="57">
        <f t="shared" si="51"/>
        <v>0.21668038228343003</v>
      </c>
      <c r="M41" s="57">
        <f t="shared" si="51"/>
        <v>0.15754122322215997</v>
      </c>
      <c r="N41" s="57">
        <f t="shared" si="51"/>
        <v>0.20153166078295218</v>
      </c>
      <c r="O41" s="57">
        <f t="shared" si="51"/>
        <v>0.19358595162032227</v>
      </c>
      <c r="P41" s="57">
        <f t="shared" si="51"/>
        <v>0.20307320113906036</v>
      </c>
      <c r="Q41" s="57">
        <f t="shared" si="51"/>
        <v>0.15802240538481208</v>
      </c>
      <c r="R41" s="57">
        <f t="shared" si="51"/>
        <v>0.17379417194170621</v>
      </c>
      <c r="S41" s="57">
        <f t="shared" si="51"/>
        <v>0.17243356232290222</v>
      </c>
      <c r="T41" s="57">
        <f t="shared" si="51"/>
        <v>0.16505319562898965</v>
      </c>
      <c r="U41" s="57">
        <f t="shared" si="51"/>
        <v>0.147763314765927</v>
      </c>
      <c r="V41" s="57">
        <f t="shared" si="51"/>
        <v>0.17912554153054325</v>
      </c>
      <c r="W41" s="57">
        <f t="shared" si="51"/>
        <v>0.17758157752992582</v>
      </c>
      <c r="X41" s="57">
        <f t="shared" si="51"/>
        <v>0.19208617804387856</v>
      </c>
      <c r="Y41" s="57">
        <f t="shared" si="51"/>
        <v>0.13352729349145892</v>
      </c>
      <c r="Z41" s="57">
        <f t="shared" si="51"/>
        <v>0.18378149392075338</v>
      </c>
      <c r="AA41" s="57">
        <f t="shared" si="51"/>
        <v>0.17511660780325533</v>
      </c>
      <c r="AB41" s="57">
        <f t="shared" si="51"/>
        <v>0.20160157593189215</v>
      </c>
      <c r="AC41" s="57">
        <f t="shared" si="51"/>
        <v>0.16329126328948837</v>
      </c>
      <c r="AD41" s="57">
        <f t="shared" si="51"/>
        <v>0.17181752202729031</v>
      </c>
      <c r="AE41" s="57">
        <f t="shared" si="51"/>
        <v>0.17197630067007461</v>
      </c>
      <c r="AF41" s="57">
        <f t="shared" si="51"/>
        <v>0.15212317709442891</v>
      </c>
      <c r="AG41" s="57">
        <f t="shared" si="51"/>
        <v>0.16190237207615404</v>
      </c>
      <c r="AH41" s="57">
        <f t="shared" si="51"/>
        <v>0.1863679154016421</v>
      </c>
      <c r="AI41" s="57">
        <f t="shared" si="51"/>
        <v>0.19360063302782365</v>
      </c>
      <c r="AJ41" s="57">
        <f t="shared" si="51"/>
        <v>0.19128225579641511</v>
      </c>
      <c r="AK41" s="57">
        <f t="shared" si="51"/>
        <v>0.16950945594287656</v>
      </c>
      <c r="AL41" s="57">
        <f t="shared" si="51"/>
        <v>0.1840303783750378</v>
      </c>
      <c r="AM41" s="57">
        <f t="shared" si="51"/>
        <v>0.22738984307351162</v>
      </c>
      <c r="AN41" s="57">
        <f t="shared" si="51"/>
        <v>0.2409773637746945</v>
      </c>
      <c r="AO41" s="57">
        <f t="shared" si="51"/>
        <v>0.13569820454094764</v>
      </c>
      <c r="AP41" s="57">
        <f t="shared" si="51"/>
        <v>0.14045007807177118</v>
      </c>
      <c r="AQ41" s="57">
        <f t="shared" si="51"/>
        <v>0.13662241784054918</v>
      </c>
      <c r="AR41" s="57">
        <f t="shared" si="51"/>
        <v>0.14922781997966916</v>
      </c>
      <c r="AS41" s="57">
        <f t="shared" si="51"/>
        <v>0.11099963719742158</v>
      </c>
      <c r="AT41" s="57">
        <f t="shared" si="51"/>
        <v>0.27509278198012249</v>
      </c>
      <c r="AU41" s="57">
        <f t="shared" si="51"/>
        <v>0.29233543134583179</v>
      </c>
      <c r="AV41" s="57">
        <f t="shared" si="51"/>
        <v>0.21717900496673681</v>
      </c>
      <c r="AW41" s="57">
        <f t="shared" si="51"/>
        <v>0.11011008252896919</v>
      </c>
      <c r="AX41" s="57">
        <f t="shared" si="51"/>
        <v>0.19529250773023804</v>
      </c>
      <c r="AY41" s="57">
        <f t="shared" si="51"/>
        <v>0.18620983958749932</v>
      </c>
      <c r="AZ41" s="57">
        <f t="shared" si="51"/>
        <v>0.20160214561544296</v>
      </c>
      <c r="BA41" s="57">
        <f t="shared" si="51"/>
        <v>4.3471156694131978E-2</v>
      </c>
      <c r="BB41" s="57">
        <f t="shared" si="51"/>
        <v>5.1637180066817064E-2</v>
      </c>
      <c r="BC41" s="57">
        <f t="shared" si="51"/>
        <v>6.0758654571866279E-2</v>
      </c>
      <c r="BD41" s="57">
        <f t="shared" si="51"/>
        <v>6.4859043355814536E-2</v>
      </c>
      <c r="BE41" s="57">
        <f t="shared" si="51"/>
        <v>7.4921114155716506E-2</v>
      </c>
      <c r="BF41" s="57">
        <f t="shared" si="51"/>
        <v>0.20628435511377954</v>
      </c>
      <c r="BG41" s="57">
        <f t="shared" si="51"/>
        <v>0.238196981270928</v>
      </c>
      <c r="BH41" s="57">
        <f t="shared" si="51"/>
        <v>0.28252059903919946</v>
      </c>
      <c r="BI41" s="57">
        <f t="shared" si="51"/>
        <v>0.39741695458025478</v>
      </c>
      <c r="BJ41" s="57">
        <f t="shared" si="51"/>
        <v>0.44606371910796133</v>
      </c>
      <c r="BK41" s="57">
        <f t="shared" si="51"/>
        <v>0.51672032604941864</v>
      </c>
      <c r="BL41" s="57">
        <f t="shared" si="51"/>
        <v>0.42570506736492403</v>
      </c>
      <c r="BM41" s="57">
        <f t="shared" si="51"/>
        <v>0.42128690149006892</v>
      </c>
      <c r="BN41" s="57" t="e">
        <f t="shared" si="51"/>
        <v>#DIV/0!</v>
      </c>
      <c r="BO41" s="57">
        <f t="shared" ref="BO41:CJ41" si="52">BO40/BO38</f>
        <v>-0.6103595345931847</v>
      </c>
      <c r="BP41" s="57">
        <f t="shared" si="52"/>
        <v>-3.5229028155064959</v>
      </c>
      <c r="BQ41" s="57">
        <f t="shared" si="52"/>
        <v>2.565208515360065</v>
      </c>
      <c r="BR41" s="57">
        <f t="shared" si="52"/>
        <v>1.8013460537536532</v>
      </c>
      <c r="BS41" s="57">
        <f t="shared" si="52"/>
        <v>-9.6712025631088299</v>
      </c>
      <c r="BT41" s="57">
        <f t="shared" si="52"/>
        <v>-4.4877170318057598</v>
      </c>
      <c r="BU41" s="57">
        <f t="shared" si="52"/>
        <v>-1.4734583048077885</v>
      </c>
      <c r="BV41" s="57">
        <f t="shared" si="52"/>
        <v>-2.4023514340444887</v>
      </c>
      <c r="BW41" s="57">
        <f t="shared" si="52"/>
        <v>-2.1478797907277696</v>
      </c>
      <c r="BX41" s="57">
        <f t="shared" si="52"/>
        <v>-3.4672171720354039</v>
      </c>
      <c r="BY41" s="57">
        <f t="shared" si="52"/>
        <v>-3.6378791400626977</v>
      </c>
      <c r="BZ41" s="57">
        <f t="shared" si="52"/>
        <v>-5.7704488477415268</v>
      </c>
      <c r="CA41" s="57">
        <f t="shared" si="52"/>
        <v>-2.0922177607919301</v>
      </c>
      <c r="CB41" s="57">
        <f t="shared" si="52"/>
        <v>-13.358609794628752</v>
      </c>
      <c r="CC41" s="57">
        <f t="shared" si="52"/>
        <v>-3.0695362562874267</v>
      </c>
      <c r="CD41" s="57" t="e">
        <f t="shared" si="52"/>
        <v>#DIV/0!</v>
      </c>
      <c r="CE41" s="57" t="e">
        <f t="shared" si="52"/>
        <v>#DIV/0!</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1309386748.5499988</v>
      </c>
      <c r="C42" s="28">
        <f t="shared" ref="C42:BN42" si="53">C38-C40</f>
        <v>734499617.13999939</v>
      </c>
      <c r="D42" s="28">
        <f t="shared" si="53"/>
        <v>441698397.13000023</v>
      </c>
      <c r="E42" s="28">
        <f t="shared" si="53"/>
        <v>1208068899.7799993</v>
      </c>
      <c r="F42" s="28">
        <f t="shared" si="53"/>
        <v>890664690.57000053</v>
      </c>
      <c r="G42" s="28">
        <f t="shared" si="53"/>
        <v>593976514.82999992</v>
      </c>
      <c r="H42" s="28">
        <f t="shared" si="53"/>
        <v>366032374.82000029</v>
      </c>
      <c r="I42" s="28">
        <f t="shared" si="53"/>
        <v>1144379679.3800015</v>
      </c>
      <c r="J42" s="28">
        <f t="shared" si="53"/>
        <v>794744844.84000027</v>
      </c>
      <c r="K42" s="28">
        <f t="shared" si="53"/>
        <v>521713239.28999949</v>
      </c>
      <c r="L42" s="28">
        <f t="shared" si="53"/>
        <v>297175861.99999988</v>
      </c>
      <c r="M42" s="28">
        <f t="shared" si="53"/>
        <v>1000933530.0999992</v>
      </c>
      <c r="N42" s="28">
        <f t="shared" si="53"/>
        <v>706946961.89999962</v>
      </c>
      <c r="O42" s="28">
        <f t="shared" si="53"/>
        <v>436954358.2300002</v>
      </c>
      <c r="P42" s="28">
        <f t="shared" si="53"/>
        <v>248153187.83999985</v>
      </c>
      <c r="Q42" s="28">
        <f t="shared" si="53"/>
        <v>762636861.32999992</v>
      </c>
      <c r="R42" s="28">
        <f t="shared" si="53"/>
        <v>563332725.18000007</v>
      </c>
      <c r="S42" s="28">
        <f t="shared" si="53"/>
        <v>364801872.14000046</v>
      </c>
      <c r="T42" s="28">
        <f t="shared" si="53"/>
        <v>204032442.48000011</v>
      </c>
      <c r="U42" s="28">
        <f t="shared" si="53"/>
        <v>621261685.13999963</v>
      </c>
      <c r="V42" s="28">
        <f t="shared" si="53"/>
        <v>467436062.52000111</v>
      </c>
      <c r="W42" s="28">
        <f t="shared" si="53"/>
        <v>296426999.43000007</v>
      </c>
      <c r="X42" s="28">
        <f t="shared" si="53"/>
        <v>168287234.30999994</v>
      </c>
      <c r="Y42" s="28">
        <f t="shared" si="53"/>
        <v>506196215.49000049</v>
      </c>
      <c r="Z42" s="28">
        <f t="shared" si="53"/>
        <v>364311004.57000005</v>
      </c>
      <c r="AA42" s="28">
        <f t="shared" si="53"/>
        <v>237904976.11999965</v>
      </c>
      <c r="AB42" s="28">
        <f t="shared" si="53"/>
        <v>139180331.53000006</v>
      </c>
      <c r="AC42" s="28">
        <f t="shared" si="53"/>
        <v>487726574.06000054</v>
      </c>
      <c r="AD42" s="28">
        <f t="shared" si="53"/>
        <v>382695867.81999993</v>
      </c>
      <c r="AE42" s="28">
        <f t="shared" si="53"/>
        <v>246797533.73999998</v>
      </c>
      <c r="AF42" s="28">
        <f t="shared" si="53"/>
        <v>148692646.80999997</v>
      </c>
      <c r="AG42" s="28">
        <f t="shared" si="53"/>
        <v>419815390.3999998</v>
      </c>
      <c r="AH42" s="28">
        <f t="shared" si="53"/>
        <v>306841798.72000027</v>
      </c>
      <c r="AI42" s="28">
        <f t="shared" si="53"/>
        <v>190296199.2899999</v>
      </c>
      <c r="AJ42" s="28">
        <f t="shared" si="53"/>
        <v>112828617.44999982</v>
      </c>
      <c r="AK42" s="28">
        <f t="shared" si="53"/>
        <v>352676678.55000055</v>
      </c>
      <c r="AL42" s="28">
        <f t="shared" si="53"/>
        <v>234210063.29999977</v>
      </c>
      <c r="AM42" s="28">
        <f t="shared" si="53"/>
        <v>148629107.38999993</v>
      </c>
      <c r="AN42" s="28">
        <f t="shared" si="53"/>
        <v>78271799.980000019</v>
      </c>
      <c r="AO42" s="28">
        <f t="shared" si="53"/>
        <v>299407953.86999977</v>
      </c>
      <c r="AP42" s="28">
        <f t="shared" si="53"/>
        <v>196327741.64999995</v>
      </c>
      <c r="AQ42" s="28">
        <f t="shared" si="53"/>
        <v>133483374.41999984</v>
      </c>
      <c r="AR42" s="28">
        <f t="shared" si="53"/>
        <v>68086983.529999927</v>
      </c>
      <c r="AS42" s="28">
        <f t="shared" si="53"/>
        <v>215311956.15999961</v>
      </c>
      <c r="AT42" s="28">
        <f t="shared" si="53"/>
        <v>121937857.07999986</v>
      </c>
      <c r="AU42" s="28">
        <f t="shared" si="53"/>
        <v>84830537.459999874</v>
      </c>
      <c r="AV42" s="28">
        <f t="shared" si="53"/>
        <v>48014940.009999998</v>
      </c>
      <c r="AW42" s="28">
        <f t="shared" si="53"/>
        <v>129687847.9600001</v>
      </c>
      <c r="AX42" s="28">
        <f t="shared" si="53"/>
        <v>74553012.240000024</v>
      </c>
      <c r="AY42" s="28">
        <f t="shared" si="53"/>
        <v>53942246.079999946</v>
      </c>
      <c r="AZ42" s="28">
        <f t="shared" si="53"/>
        <v>29121432.510000039</v>
      </c>
      <c r="BA42" s="28">
        <f t="shared" si="53"/>
        <v>87440039.049999967</v>
      </c>
      <c r="BB42" s="28">
        <f t="shared" si="53"/>
        <v>43285920.699999921</v>
      </c>
      <c r="BC42" s="28">
        <f t="shared" si="53"/>
        <v>31400207.770000003</v>
      </c>
      <c r="BD42" s="28">
        <f t="shared" si="53"/>
        <v>13067375.810000014</v>
      </c>
      <c r="BE42" s="28">
        <f t="shared" si="53"/>
        <v>62937699.010000035</v>
      </c>
      <c r="BF42" s="28">
        <f t="shared" si="53"/>
        <v>40974539.209999949</v>
      </c>
      <c r="BG42" s="28">
        <f t="shared" si="53"/>
        <v>25069020.490000013</v>
      </c>
      <c r="BH42" s="28">
        <f t="shared" si="53"/>
        <v>10786212.439999986</v>
      </c>
      <c r="BI42" s="28">
        <f t="shared" si="53"/>
        <v>49658396.830000073</v>
      </c>
      <c r="BJ42" s="28">
        <f t="shared" si="53"/>
        <v>29424642.880000066</v>
      </c>
      <c r="BK42" s="28">
        <f t="shared" si="53"/>
        <v>17128842.430000011</v>
      </c>
      <c r="BL42" s="28">
        <f t="shared" si="53"/>
        <v>33436080.210000034</v>
      </c>
      <c r="BM42" s="28">
        <f t="shared" si="53"/>
        <v>18701209.809999973</v>
      </c>
      <c r="BN42" s="28">
        <f t="shared" si="53"/>
        <v>0</v>
      </c>
      <c r="BO42" s="28">
        <f t="shared" ref="BO42:CK42" si="54">BO38-BO40</f>
        <v>-31994201.770000003</v>
      </c>
      <c r="BP42" s="28">
        <f t="shared" si="54"/>
        <v>-13728975.969999999</v>
      </c>
      <c r="BQ42" s="28">
        <f t="shared" si="54"/>
        <v>-29742046.629999995</v>
      </c>
      <c r="BR42" s="28">
        <f t="shared" si="54"/>
        <v>-8761872.6600000001</v>
      </c>
      <c r="BS42" s="28">
        <f t="shared" si="54"/>
        <v>-46317330.93</v>
      </c>
      <c r="BT42" s="28">
        <f t="shared" si="54"/>
        <v>-30346543.920000002</v>
      </c>
      <c r="BU42" s="28">
        <f t="shared" si="54"/>
        <v>-114756518.49000001</v>
      </c>
      <c r="BV42" s="28">
        <f t="shared" si="54"/>
        <v>-51180142.579999998</v>
      </c>
      <c r="BW42" s="28">
        <f t="shared" si="54"/>
        <v>-94705800.890000015</v>
      </c>
      <c r="BX42" s="28">
        <f t="shared" si="54"/>
        <v>-41114529.640000001</v>
      </c>
      <c r="BY42" s="28">
        <f t="shared" si="54"/>
        <v>-74344697.039999992</v>
      </c>
      <c r="BZ42" s="28">
        <f t="shared" si="54"/>
        <v>-23306390</v>
      </c>
      <c r="CA42" s="28">
        <f t="shared" si="54"/>
        <v>-53527704.5</v>
      </c>
      <c r="CB42" s="28">
        <f t="shared" si="54"/>
        <v>-18178000</v>
      </c>
      <c r="CC42" s="28">
        <f t="shared" si="54"/>
        <v>-34265328.020000003</v>
      </c>
      <c r="CD42" s="28">
        <f t="shared" si="54"/>
        <v>0</v>
      </c>
      <c r="CE42" s="28">
        <f t="shared" si="54"/>
        <v>0</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9.7762251657928108</v>
      </c>
      <c r="C43" s="57">
        <f t="shared" ref="C43:D43" si="55">C42/C4*100</f>
        <v>8.3002189448846249</v>
      </c>
      <c r="D43" s="57">
        <f t="shared" si="55"/>
        <v>9.0382273519144629</v>
      </c>
      <c r="E43" s="57">
        <f>E42/E4</f>
        <v>8.5151146548061135E-2</v>
      </c>
      <c r="F43" s="57">
        <f t="shared" ref="F43:BQ43" si="56">F42/F4</f>
        <v>8.4852375242750577E-2</v>
      </c>
      <c r="G43" s="57">
        <f t="shared" si="56"/>
        <v>8.5965610136550519E-2</v>
      </c>
      <c r="H43" s="57">
        <f t="shared" si="56"/>
        <v>9.2747249345701777E-2</v>
      </c>
      <c r="I43" s="57">
        <f t="shared" si="56"/>
        <v>9.5787049326880633E-2</v>
      </c>
      <c r="J43" s="57">
        <f t="shared" si="56"/>
        <v>8.9988875787721148E-2</v>
      </c>
      <c r="K43" s="57">
        <f t="shared" si="56"/>
        <v>9.0702437640885133E-2</v>
      </c>
      <c r="L43" s="57">
        <f t="shared" si="56"/>
        <v>9.4848551259446356E-2</v>
      </c>
      <c r="M43" s="57">
        <f t="shared" si="56"/>
        <v>9.1747230183839193E-2</v>
      </c>
      <c r="N43" s="57">
        <f t="shared" si="56"/>
        <v>8.5394282260289167E-2</v>
      </c>
      <c r="O43" s="57">
        <f t="shared" si="56"/>
        <v>8.122470088137923E-2</v>
      </c>
      <c r="P43" s="57">
        <f t="shared" si="56"/>
        <v>8.2532476883213218E-2</v>
      </c>
      <c r="Q43" s="57">
        <f t="shared" si="56"/>
        <v>7.9985877360710583E-2</v>
      </c>
      <c r="R43" s="57">
        <f t="shared" si="56"/>
        <v>7.8618528222951373E-2</v>
      </c>
      <c r="S43" s="57">
        <f t="shared" si="56"/>
        <v>7.8571922235227229E-2</v>
      </c>
      <c r="T43" s="57">
        <f t="shared" si="56"/>
        <v>7.8559087480580644E-2</v>
      </c>
      <c r="U43" s="57">
        <f t="shared" si="56"/>
        <v>7.4107501602719672E-2</v>
      </c>
      <c r="V43" s="57">
        <f t="shared" si="56"/>
        <v>7.4088902187474229E-2</v>
      </c>
      <c r="W43" s="57">
        <f t="shared" si="56"/>
        <v>7.1647767563543713E-2</v>
      </c>
      <c r="X43" s="57">
        <f t="shared" si="56"/>
        <v>7.4098704535312504E-2</v>
      </c>
      <c r="Y43" s="57">
        <f t="shared" si="56"/>
        <v>7.3473999792492528E-2</v>
      </c>
      <c r="Z43" s="57">
        <f t="shared" si="56"/>
        <v>7.151394830051587E-2</v>
      </c>
      <c r="AA43" s="57">
        <f t="shared" si="56"/>
        <v>7.1271895463446922E-2</v>
      </c>
      <c r="AB43" s="57">
        <f t="shared" si="56"/>
        <v>7.2430148528778854E-2</v>
      </c>
      <c r="AC43" s="57">
        <f t="shared" si="56"/>
        <v>6.8446579328865262E-2</v>
      </c>
      <c r="AD43" s="57">
        <f t="shared" si="56"/>
        <v>7.1923072758667092E-2</v>
      </c>
      <c r="AE43" s="57">
        <f t="shared" si="56"/>
        <v>7.0950212570885754E-2</v>
      </c>
      <c r="AF43" s="57">
        <f t="shared" si="56"/>
        <v>7.7580996943689015E-2</v>
      </c>
      <c r="AG43" s="57">
        <f t="shared" si="56"/>
        <v>7.4672816732349906E-2</v>
      </c>
      <c r="AH43" s="57">
        <f t="shared" si="56"/>
        <v>7.4265285966150049E-2</v>
      </c>
      <c r="AI43" s="57">
        <f t="shared" si="56"/>
        <v>7.2153285613729995E-2</v>
      </c>
      <c r="AJ43" s="57">
        <f t="shared" si="56"/>
        <v>8.0030277522910559E-2</v>
      </c>
      <c r="AK43" s="57">
        <f t="shared" si="56"/>
        <v>8.5690686225813328E-2</v>
      </c>
      <c r="AL43" s="57">
        <f t="shared" si="56"/>
        <v>8.1610495636418007E-2</v>
      </c>
      <c r="AM43" s="57">
        <f t="shared" si="56"/>
        <v>8.3049560158065486E-2</v>
      </c>
      <c r="AN43" s="57">
        <f t="shared" si="56"/>
        <v>8.0297728264875162E-2</v>
      </c>
      <c r="AO43" s="57">
        <f t="shared" si="56"/>
        <v>8.2652922257413525E-2</v>
      </c>
      <c r="AP43" s="57">
        <f t="shared" si="56"/>
        <v>7.1717618036759759E-2</v>
      </c>
      <c r="AQ43" s="57">
        <f t="shared" si="56"/>
        <v>7.5410469867609548E-2</v>
      </c>
      <c r="AR43" s="57">
        <f t="shared" si="56"/>
        <v>7.1755856225198825E-2</v>
      </c>
      <c r="AS43" s="57">
        <f t="shared" si="56"/>
        <v>7.3392557768527433E-2</v>
      </c>
      <c r="AT43" s="57">
        <f t="shared" si="56"/>
        <v>5.9861894796740756E-2</v>
      </c>
      <c r="AU43" s="57">
        <f t="shared" si="56"/>
        <v>6.3161801599538603E-2</v>
      </c>
      <c r="AV43" s="57">
        <f t="shared" si="56"/>
        <v>6.953508321462526E-2</v>
      </c>
      <c r="AW43" s="57">
        <f t="shared" si="56"/>
        <v>6.2381902397141399E-2</v>
      </c>
      <c r="AX43" s="57">
        <f t="shared" si="56"/>
        <v>5.3430396354444437E-2</v>
      </c>
      <c r="AY43" s="57">
        <f t="shared" si="56"/>
        <v>5.6744043490063456E-2</v>
      </c>
      <c r="AZ43" s="57">
        <f t="shared" si="56"/>
        <v>5.8523629941177227E-2</v>
      </c>
      <c r="BA43" s="57">
        <f t="shared" si="56"/>
        <v>5.9496892706612403E-2</v>
      </c>
      <c r="BB43" s="57">
        <f t="shared" si="56"/>
        <v>4.8475192301075824E-2</v>
      </c>
      <c r="BC43" s="57">
        <f t="shared" si="56"/>
        <v>5.4959459305301044E-2</v>
      </c>
      <c r="BD43" s="57">
        <f t="shared" si="56"/>
        <v>4.2503640914047167E-2</v>
      </c>
      <c r="BE43" s="57">
        <f t="shared" si="56"/>
        <v>6.2618319206584214E-2</v>
      </c>
      <c r="BF43" s="57">
        <f t="shared" si="56"/>
        <v>5.9317969140669211E-2</v>
      </c>
      <c r="BG43" s="57">
        <f t="shared" si="56"/>
        <v>5.9510301949705503E-2</v>
      </c>
      <c r="BH43" s="57">
        <f t="shared" si="56"/>
        <v>5.0090781630492048E-2</v>
      </c>
      <c r="BI43" s="57">
        <f t="shared" si="56"/>
        <v>5.9362916391563277E-2</v>
      </c>
      <c r="BJ43" s="57">
        <f t="shared" si="56"/>
        <v>5.2075202255006933E-2</v>
      </c>
      <c r="BK43" s="57">
        <f t="shared" si="56"/>
        <v>4.7687693042670537E-2</v>
      </c>
      <c r="BL43" s="57">
        <f t="shared" si="56"/>
        <v>5.4354868742729198E-2</v>
      </c>
      <c r="BM43" s="57">
        <f t="shared" si="56"/>
        <v>3.9836282308412387E-2</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426106027.05120003</v>
      </c>
      <c r="C45" s="26">
        <f t="shared" ref="C45:BN45" si="58">C70*C69</f>
        <v>425472973.3696</v>
      </c>
      <c r="D45" s="26">
        <f t="shared" si="58"/>
        <v>447682364.5072</v>
      </c>
      <c r="E45" s="26">
        <f t="shared" si="58"/>
        <v>415879182.93040001</v>
      </c>
      <c r="F45" s="26">
        <f t="shared" si="58"/>
        <v>396881000.59680003</v>
      </c>
      <c r="G45" s="26">
        <f t="shared" si="58"/>
        <v>374321592.67680001</v>
      </c>
      <c r="H45" s="26">
        <f t="shared" si="58"/>
        <v>394196562.82239997</v>
      </c>
      <c r="I45" s="26">
        <f t="shared" si="58"/>
        <v>364659173.02960002</v>
      </c>
      <c r="J45" s="26">
        <f t="shared" si="58"/>
        <v>337448160.04000002</v>
      </c>
      <c r="K45" s="26">
        <f t="shared" si="58"/>
        <v>315460816.55599999</v>
      </c>
      <c r="L45" s="26">
        <f t="shared" si="58"/>
        <v>423456114.69279999</v>
      </c>
      <c r="M45" s="26">
        <f t="shared" si="58"/>
        <v>400778444.96640003</v>
      </c>
      <c r="N45" s="26">
        <f t="shared" si="58"/>
        <v>377847265.22000003</v>
      </c>
      <c r="O45" s="26">
        <f t="shared" si="58"/>
        <v>355995487.08639997</v>
      </c>
      <c r="P45" s="26">
        <f t="shared" si="58"/>
        <v>362632030.84240001</v>
      </c>
      <c r="Q45" s="26">
        <f t="shared" si="58"/>
        <v>342305305.2112</v>
      </c>
      <c r="R45" s="26">
        <f t="shared" si="58"/>
        <v>326046418.9368</v>
      </c>
      <c r="S45" s="26">
        <f t="shared" si="58"/>
        <v>309694649.93279999</v>
      </c>
      <c r="T45" s="26">
        <f t="shared" si="58"/>
        <v>315276357.36880004</v>
      </c>
      <c r="U45" s="26">
        <f t="shared" si="58"/>
        <v>298632870.7608</v>
      </c>
      <c r="V45" s="26">
        <f t="shared" si="58"/>
        <v>293014349.60159999</v>
      </c>
      <c r="W45" s="26">
        <f t="shared" si="58"/>
        <v>279216990.56480002</v>
      </c>
      <c r="X45" s="26">
        <f t="shared" si="58"/>
        <v>285379305.46400005</v>
      </c>
      <c r="Y45" s="26">
        <f t="shared" si="58"/>
        <v>271566424.75040001</v>
      </c>
      <c r="Z45" s="26">
        <f t="shared" si="58"/>
        <v>259587496.22</v>
      </c>
      <c r="AA45" s="26">
        <f t="shared" si="58"/>
        <v>251898829.00639999</v>
      </c>
      <c r="AB45" s="26">
        <f t="shared" si="58"/>
        <v>257785097.31119999</v>
      </c>
      <c r="AC45" s="26">
        <f t="shared" si="58"/>
        <v>247540768.86080003</v>
      </c>
      <c r="AD45" s="26">
        <f t="shared" si="58"/>
        <v>236623753.99680001</v>
      </c>
      <c r="AE45" s="26">
        <f t="shared" si="58"/>
        <v>225751887.27040002</v>
      </c>
      <c r="AF45" s="26">
        <f t="shared" si="58"/>
        <v>230739236.08160001</v>
      </c>
      <c r="AG45" s="26">
        <f t="shared" si="58"/>
        <v>218934178.73680001</v>
      </c>
      <c r="AH45" s="26">
        <f t="shared" si="58"/>
        <v>209081877.05520001</v>
      </c>
      <c r="AI45" s="26">
        <f t="shared" si="58"/>
        <v>199081343.56959999</v>
      </c>
      <c r="AJ45" s="26">
        <f t="shared" si="58"/>
        <v>199988577.0264</v>
      </c>
      <c r="AK45" s="26">
        <f t="shared" si="58"/>
        <v>190962287.62959999</v>
      </c>
      <c r="AL45" s="26">
        <f t="shared" si="58"/>
        <v>184681008.9928</v>
      </c>
      <c r="AM45" s="26">
        <f t="shared" si="58"/>
        <v>177815994.0528</v>
      </c>
      <c r="AN45" s="26">
        <f t="shared" si="58"/>
        <v>179291475.6232</v>
      </c>
      <c r="AO45" s="26">
        <f t="shared" si="58"/>
        <v>173009993.34560001</v>
      </c>
      <c r="AP45" s="26">
        <f t="shared" si="58"/>
        <v>164783034.40880001</v>
      </c>
      <c r="AQ45" s="26">
        <f t="shared" si="58"/>
        <v>159215036.2184</v>
      </c>
      <c r="AR45" s="26">
        <f t="shared" si="58"/>
        <v>150151700.7816</v>
      </c>
      <c r="AS45" s="26">
        <f t="shared" si="58"/>
        <v>144595646.1688</v>
      </c>
      <c r="AT45" s="26">
        <f t="shared" si="58"/>
        <v>135539574.20559999</v>
      </c>
      <c r="AU45" s="26">
        <f t="shared" si="58"/>
        <v>75943804.456799999</v>
      </c>
      <c r="AV45" s="26">
        <f t="shared" si="58"/>
        <v>75482364.409600005</v>
      </c>
      <c r="AW45" s="26">
        <f t="shared" si="58"/>
        <v>72453071.848000005</v>
      </c>
      <c r="AX45" s="26">
        <f t="shared" si="58"/>
        <v>67965698.760000005</v>
      </c>
      <c r="AY45" s="26">
        <f t="shared" si="58"/>
        <v>66273991.259999998</v>
      </c>
      <c r="AZ45" s="26">
        <f t="shared" si="58"/>
        <v>67037549.963199995</v>
      </c>
      <c r="BA45" s="26">
        <f t="shared" si="58"/>
        <v>64632249.228800006</v>
      </c>
      <c r="BB45" s="26">
        <f t="shared" si="58"/>
        <v>61994423.989600003</v>
      </c>
      <c r="BC45" s="26">
        <f t="shared" si="58"/>
        <v>60147263.444799997</v>
      </c>
      <c r="BD45" s="26">
        <f t="shared" si="58"/>
        <v>60667677.832000002</v>
      </c>
      <c r="BE45" s="26">
        <f t="shared" si="58"/>
        <v>59108236.735200003</v>
      </c>
      <c r="BF45" s="26">
        <f t="shared" si="58"/>
        <v>53035580.865600005</v>
      </c>
      <c r="BG45" s="26">
        <f t="shared" si="58"/>
        <v>19421089.072000001</v>
      </c>
      <c r="BH45" s="26">
        <f t="shared" si="58"/>
        <v>17121786.349600002</v>
      </c>
      <c r="BI45" s="26">
        <f t="shared" si="58"/>
        <v>10824751.000799999</v>
      </c>
      <c r="BJ45" s="26">
        <f t="shared" si="58"/>
        <v>7711276.5655999994</v>
      </c>
      <c r="BK45" s="26">
        <f t="shared" si="58"/>
        <v>0</v>
      </c>
      <c r="BL45" s="26">
        <f t="shared" si="58"/>
        <v>0</v>
      </c>
      <c r="BM45" s="26">
        <f t="shared" si="58"/>
        <v>0</v>
      </c>
      <c r="BN45" s="26">
        <f t="shared" si="58"/>
        <v>0</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883280721.49879873</v>
      </c>
      <c r="C47" s="28">
        <f t="shared" ref="C47:BN47" si="62">C42-C45</f>
        <v>309026643.77039939</v>
      </c>
      <c r="D47" s="28">
        <f t="shared" si="62"/>
        <v>-5983967.377199769</v>
      </c>
      <c r="E47" s="28">
        <f t="shared" si="62"/>
        <v>792189716.84959924</v>
      </c>
      <c r="F47" s="28">
        <f t="shared" si="62"/>
        <v>493783689.9732005</v>
      </c>
      <c r="G47" s="28">
        <f t="shared" si="62"/>
        <v>219654922.15319991</v>
      </c>
      <c r="H47" s="28">
        <f t="shared" si="62"/>
        <v>-28164188.002399683</v>
      </c>
      <c r="I47" s="28">
        <f t="shared" si="62"/>
        <v>779720506.35040152</v>
      </c>
      <c r="J47" s="28">
        <f t="shared" si="62"/>
        <v>457296684.80000025</v>
      </c>
      <c r="K47" s="28">
        <f t="shared" si="62"/>
        <v>206252422.73399949</v>
      </c>
      <c r="L47" s="28">
        <f t="shared" si="62"/>
        <v>-126280252.6928001</v>
      </c>
      <c r="M47" s="28">
        <f t="shared" si="62"/>
        <v>600155085.13359916</v>
      </c>
      <c r="N47" s="28">
        <f t="shared" si="62"/>
        <v>329099696.67999959</v>
      </c>
      <c r="O47" s="28">
        <f t="shared" si="62"/>
        <v>80958871.143600225</v>
      </c>
      <c r="P47" s="28">
        <f t="shared" si="62"/>
        <v>-114478843.00240016</v>
      </c>
      <c r="Q47" s="28">
        <f t="shared" si="62"/>
        <v>420331556.11879992</v>
      </c>
      <c r="R47" s="28">
        <f t="shared" si="62"/>
        <v>237286306.24320006</v>
      </c>
      <c r="S47" s="28">
        <f t="shared" si="62"/>
        <v>55107222.207200468</v>
      </c>
      <c r="T47" s="28">
        <f t="shared" si="62"/>
        <v>-111243914.88879994</v>
      </c>
      <c r="U47" s="28">
        <f t="shared" si="62"/>
        <v>322628814.37919962</v>
      </c>
      <c r="V47" s="28">
        <f t="shared" si="62"/>
        <v>174421712.91840112</v>
      </c>
      <c r="W47" s="28">
        <f t="shared" si="62"/>
        <v>17210008.865200043</v>
      </c>
      <c r="X47" s="28">
        <f t="shared" si="62"/>
        <v>-117092071.1540001</v>
      </c>
      <c r="Y47" s="28">
        <f t="shared" si="62"/>
        <v>234629790.73960048</v>
      </c>
      <c r="Z47" s="28">
        <f t="shared" si="62"/>
        <v>104723508.35000005</v>
      </c>
      <c r="AA47" s="28">
        <f t="shared" si="62"/>
        <v>-13993852.886400342</v>
      </c>
      <c r="AB47" s="28">
        <f t="shared" si="62"/>
        <v>-118604765.78119993</v>
      </c>
      <c r="AC47" s="28">
        <f t="shared" si="62"/>
        <v>240185805.19920051</v>
      </c>
      <c r="AD47" s="28">
        <f t="shared" si="62"/>
        <v>146072113.82319993</v>
      </c>
      <c r="AE47" s="28">
        <f t="shared" si="62"/>
        <v>21045646.469599962</v>
      </c>
      <c r="AF47" s="28">
        <f t="shared" si="62"/>
        <v>-82046589.271600038</v>
      </c>
      <c r="AG47" s="28">
        <f t="shared" si="62"/>
        <v>200881211.66319978</v>
      </c>
      <c r="AH47" s="28">
        <f t="shared" si="62"/>
        <v>97759921.664800256</v>
      </c>
      <c r="AI47" s="28">
        <f t="shared" si="62"/>
        <v>-8785144.2796000838</v>
      </c>
      <c r="AJ47" s="28">
        <f t="shared" si="62"/>
        <v>-87159959.576400176</v>
      </c>
      <c r="AK47" s="28">
        <f t="shared" si="62"/>
        <v>161714390.92040056</v>
      </c>
      <c r="AL47" s="28">
        <f t="shared" si="62"/>
        <v>49529054.307199776</v>
      </c>
      <c r="AM47" s="28">
        <f t="shared" si="62"/>
        <v>-29186886.662800074</v>
      </c>
      <c r="AN47" s="28">
        <f t="shared" si="62"/>
        <v>-101019675.64319998</v>
      </c>
      <c r="AO47" s="28">
        <f t="shared" si="62"/>
        <v>126397960.52439976</v>
      </c>
      <c r="AP47" s="28">
        <f t="shared" si="62"/>
        <v>31544707.24119994</v>
      </c>
      <c r="AQ47" s="28">
        <f t="shared" si="62"/>
        <v>-25731661.798400164</v>
      </c>
      <c r="AR47" s="28">
        <f t="shared" si="62"/>
        <v>-82064717.251600072</v>
      </c>
      <c r="AS47" s="28">
        <f t="shared" si="62"/>
        <v>70716309.991199613</v>
      </c>
      <c r="AT47" s="28">
        <f t="shared" si="62"/>
        <v>-13601717.125600129</v>
      </c>
      <c r="AU47" s="28">
        <f t="shared" si="62"/>
        <v>8886733.0031998754</v>
      </c>
      <c r="AV47" s="28">
        <f t="shared" si="62"/>
        <v>-27467424.399600007</v>
      </c>
      <c r="AW47" s="28">
        <f t="shared" si="62"/>
        <v>57234776.112000093</v>
      </c>
      <c r="AX47" s="28">
        <f t="shared" si="62"/>
        <v>6587313.4800000191</v>
      </c>
      <c r="AY47" s="28">
        <f t="shared" si="62"/>
        <v>-12331745.180000052</v>
      </c>
      <c r="AZ47" s="28">
        <f t="shared" si="62"/>
        <v>-37916117.453199953</v>
      </c>
      <c r="BA47" s="28">
        <f t="shared" si="62"/>
        <v>22807789.821199961</v>
      </c>
      <c r="BB47" s="28">
        <f t="shared" si="62"/>
        <v>-18708503.289600082</v>
      </c>
      <c r="BC47" s="28">
        <f t="shared" si="62"/>
        <v>-28747055.674799994</v>
      </c>
      <c r="BD47" s="28">
        <f t="shared" si="62"/>
        <v>-47600302.021999985</v>
      </c>
      <c r="BE47" s="28">
        <f t="shared" si="62"/>
        <v>3829462.2748000324</v>
      </c>
      <c r="BF47" s="28">
        <f t="shared" si="62"/>
        <v>-12061041.655600056</v>
      </c>
      <c r="BG47" s="28">
        <f t="shared" si="62"/>
        <v>5647931.4180000126</v>
      </c>
      <c r="BH47" s="28">
        <f t="shared" si="62"/>
        <v>-6335573.9096000157</v>
      </c>
      <c r="BI47" s="28">
        <f t="shared" si="62"/>
        <v>38833645.829200074</v>
      </c>
      <c r="BJ47" s="28">
        <f t="shared" si="62"/>
        <v>21713366.314400066</v>
      </c>
      <c r="BK47" s="28">
        <f t="shared" si="62"/>
        <v>17128842.430000011</v>
      </c>
      <c r="BL47" s="28">
        <f t="shared" si="62"/>
        <v>33436080.210000034</v>
      </c>
      <c r="BM47" s="28">
        <f t="shared" si="62"/>
        <v>18701209.809999973</v>
      </c>
      <c r="BN47" s="28">
        <f t="shared" si="62"/>
        <v>0</v>
      </c>
      <c r="BO47" s="28">
        <f t="shared" ref="BO47:CJ47" si="63">BO42-BO45</f>
        <v>-200192295.94440001</v>
      </c>
      <c r="BP47" s="28">
        <f t="shared" si="63"/>
        <v>-182024233.5756</v>
      </c>
      <c r="BQ47" s="28">
        <f t="shared" si="63"/>
        <v>-187176644.706</v>
      </c>
      <c r="BR47" s="28">
        <f t="shared" si="63"/>
        <v>-182958553.6848</v>
      </c>
      <c r="BS47" s="28">
        <f t="shared" si="63"/>
        <v>-212270530.25800002</v>
      </c>
      <c r="BT47" s="28">
        <f t="shared" si="63"/>
        <v>-201397911.17360002</v>
      </c>
      <c r="BU47" s="28">
        <f t="shared" si="63"/>
        <v>-276485512.5772</v>
      </c>
      <c r="BV47" s="28">
        <f t="shared" si="63"/>
        <v>-216046652.97360003</v>
      </c>
      <c r="BW47" s="28">
        <f t="shared" si="63"/>
        <v>-247004973.39320001</v>
      </c>
      <c r="BX47" s="28">
        <f t="shared" si="63"/>
        <v>-194992654.19599998</v>
      </c>
      <c r="BY47" s="28">
        <f t="shared" si="63"/>
        <v>-215009011.2184</v>
      </c>
      <c r="BZ47" s="28">
        <f t="shared" si="63"/>
        <v>-162638106</v>
      </c>
      <c r="CA47" s="28">
        <f t="shared" si="63"/>
        <v>-126010532.88960001</v>
      </c>
      <c r="CB47" s="28">
        <f t="shared" si="63"/>
        <v>-69278240</v>
      </c>
      <c r="CC47" s="28">
        <f t="shared" si="63"/>
        <v>-34265328.020000003</v>
      </c>
      <c r="CD47" s="28">
        <f t="shared" si="63"/>
        <v>0</v>
      </c>
      <c r="CE47" s="28">
        <f t="shared" si="63"/>
        <v>0</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20021231</v>
      </c>
      <c r="BM51" s="188">
        <v>20011231</v>
      </c>
      <c r="BN51" s="188">
        <v>19700101</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19941231</v>
      </c>
      <c r="CE51" s="188">
        <v>19931231</v>
      </c>
      <c r="CF51" s="188">
        <v>19700101</v>
      </c>
      <c r="CG51" s="188">
        <v>19930630</v>
      </c>
      <c r="CH51" s="188">
        <v>19921231</v>
      </c>
      <c r="CI51" s="188">
        <v>19911231</v>
      </c>
      <c r="CJ51" s="188">
        <v>19901231</v>
      </c>
      <c r="CK51" s="188">
        <v>19700101</v>
      </c>
    </row>
    <row r="52" spans="1:89" s="43" customFormat="1" x14ac:dyDescent="0.25">
      <c r="A52" s="130" t="s">
        <v>571</v>
      </c>
      <c r="B52" s="42">
        <v>-25636</v>
      </c>
      <c r="C52" s="42">
        <v>-27718</v>
      </c>
      <c r="D52" s="42">
        <v>-35317</v>
      </c>
      <c r="E52" s="42">
        <v>-8240251.7699999996</v>
      </c>
      <c r="F52" s="42">
        <v>-34414</v>
      </c>
      <c r="G52" s="42">
        <v>-23309</v>
      </c>
      <c r="H52" s="42">
        <v>-16814</v>
      </c>
      <c r="I52" s="42">
        <v>-10130839.189999999</v>
      </c>
      <c r="J52" s="42"/>
      <c r="K52" s="42"/>
      <c r="M52" s="43">
        <v>-11023634.26</v>
      </c>
      <c r="Q52" s="43">
        <v>-18099714.539999999</v>
      </c>
      <c r="U52" s="43">
        <v>0</v>
      </c>
      <c r="AC52" s="43">
        <v>-7943552.8700000001</v>
      </c>
      <c r="AG52" s="43">
        <v>-9975616.7799999993</v>
      </c>
      <c r="AK52" s="42"/>
    </row>
    <row r="53" spans="1:89" s="43" customFormat="1" x14ac:dyDescent="0.25">
      <c r="A53" s="131" t="s">
        <v>90</v>
      </c>
      <c r="B53" s="42">
        <v>217</v>
      </c>
      <c r="C53" s="42">
        <v>189</v>
      </c>
      <c r="D53" s="42"/>
      <c r="E53" s="42">
        <v>36367.67</v>
      </c>
      <c r="F53" s="42"/>
      <c r="G53" s="42"/>
      <c r="H53" s="42"/>
      <c r="I53" s="42"/>
      <c r="J53" s="42"/>
      <c r="K53" s="42"/>
      <c r="U53" s="43">
        <v>-27379674.5</v>
      </c>
      <c r="Y53" s="43">
        <v>-12009878.24</v>
      </c>
      <c r="AC53" s="43">
        <v>15890.56</v>
      </c>
      <c r="AD53" s="42"/>
      <c r="AE53" s="42"/>
      <c r="AF53" s="42"/>
      <c r="AG53" s="42">
        <v>1022154.88</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7548393.79</v>
      </c>
      <c r="F54" s="42">
        <v>2684</v>
      </c>
      <c r="G54" s="42">
        <v>-377</v>
      </c>
      <c r="H54" s="42">
        <v>1008</v>
      </c>
      <c r="I54" s="42">
        <v>-11899044.460000001</v>
      </c>
      <c r="J54" s="42"/>
      <c r="K54" s="42"/>
      <c r="M54" s="43">
        <v>-11152301.529999999</v>
      </c>
      <c r="Q54" s="43">
        <v>725192.11</v>
      </c>
      <c r="U54" s="43">
        <v>14634105.470000001</v>
      </c>
      <c r="Y54" s="43">
        <v>7281768.7400000002</v>
      </c>
      <c r="AC54" s="43">
        <v>30209156.75</v>
      </c>
      <c r="AG54" s="43">
        <v>17197994.539999999</v>
      </c>
    </row>
    <row r="55" spans="1:89" s="43" customFormat="1" x14ac:dyDescent="0.25">
      <c r="A55" s="131" t="s">
        <v>92</v>
      </c>
      <c r="B55" s="42">
        <v>463</v>
      </c>
      <c r="C55" s="42">
        <v>603</v>
      </c>
      <c r="D55" s="42">
        <v>653</v>
      </c>
      <c r="E55" s="42">
        <v>528511.43999999994</v>
      </c>
      <c r="F55" s="42">
        <v>1204</v>
      </c>
      <c r="G55" s="42">
        <v>868</v>
      </c>
      <c r="H55" s="42">
        <v>644</v>
      </c>
      <c r="I55" s="42">
        <v>591699.29</v>
      </c>
      <c r="J55" s="42"/>
      <c r="K55" s="42"/>
      <c r="M55" s="43">
        <v>574431.84</v>
      </c>
      <c r="Q55" s="43">
        <v>784649.75</v>
      </c>
      <c r="U55" s="43">
        <v>957328.37</v>
      </c>
      <c r="Y55" s="43">
        <v>1143800.3899999999</v>
      </c>
      <c r="AC55" s="43">
        <v>1277205.74</v>
      </c>
      <c r="AG55" s="43">
        <v>1443253.9</v>
      </c>
    </row>
    <row r="56" spans="1:89" s="26" customFormat="1" x14ac:dyDescent="0.25">
      <c r="A56" s="132" t="s">
        <v>93</v>
      </c>
      <c r="B56" s="44">
        <f>SUM(B52:B55)</f>
        <v>-21852</v>
      </c>
      <c r="C56" s="44">
        <f t="shared" ref="C56:D56" si="64">SUM(C52:C55)</f>
        <v>-28350</v>
      </c>
      <c r="D56" s="44">
        <f t="shared" si="64"/>
        <v>-35004</v>
      </c>
      <c r="E56" s="44">
        <f>SUM(E52:E55)</f>
        <v>-126978.86999999965</v>
      </c>
      <c r="F56" s="44">
        <f t="shared" ref="F56:BQ56" si="65">SUM(F52:F55)</f>
        <v>-30526</v>
      </c>
      <c r="G56" s="44">
        <f t="shared" si="65"/>
        <v>-22818</v>
      </c>
      <c r="H56" s="44">
        <f t="shared" si="65"/>
        <v>-15162</v>
      </c>
      <c r="I56" s="44">
        <f t="shared" si="65"/>
        <v>-21438184.359999999</v>
      </c>
      <c r="J56" s="44">
        <f t="shared" si="65"/>
        <v>0</v>
      </c>
      <c r="K56" s="44">
        <f t="shared" si="65"/>
        <v>0</v>
      </c>
      <c r="L56" s="44">
        <f t="shared" si="65"/>
        <v>0</v>
      </c>
      <c r="M56" s="44">
        <f t="shared" si="65"/>
        <v>-21601503.949999999</v>
      </c>
      <c r="N56" s="44">
        <f t="shared" si="65"/>
        <v>0</v>
      </c>
      <c r="O56" s="44">
        <f t="shared" si="65"/>
        <v>0</v>
      </c>
      <c r="P56" s="44">
        <f t="shared" si="65"/>
        <v>0</v>
      </c>
      <c r="Q56" s="44">
        <f t="shared" si="65"/>
        <v>-16589872.68</v>
      </c>
      <c r="R56" s="44">
        <f t="shared" si="65"/>
        <v>0</v>
      </c>
      <c r="S56" s="44">
        <f t="shared" si="65"/>
        <v>0</v>
      </c>
      <c r="T56" s="44">
        <f t="shared" si="65"/>
        <v>0</v>
      </c>
      <c r="U56" s="44">
        <f t="shared" si="65"/>
        <v>-11788240.66</v>
      </c>
      <c r="V56" s="44">
        <f t="shared" si="65"/>
        <v>0</v>
      </c>
      <c r="W56" s="44">
        <f t="shared" si="65"/>
        <v>0</v>
      </c>
      <c r="X56" s="44">
        <f t="shared" si="65"/>
        <v>0</v>
      </c>
      <c r="Y56" s="44">
        <f t="shared" si="65"/>
        <v>-3584309.1100000003</v>
      </c>
      <c r="Z56" s="44">
        <f t="shared" si="65"/>
        <v>0</v>
      </c>
      <c r="AA56" s="44">
        <f t="shared" si="65"/>
        <v>0</v>
      </c>
      <c r="AB56" s="44">
        <f t="shared" si="65"/>
        <v>0</v>
      </c>
      <c r="AC56" s="44">
        <f t="shared" si="65"/>
        <v>23558700.179999996</v>
      </c>
      <c r="AD56" s="44">
        <f t="shared" si="65"/>
        <v>0</v>
      </c>
      <c r="AE56" s="44">
        <f t="shared" si="65"/>
        <v>0</v>
      </c>
      <c r="AF56" s="44">
        <f t="shared" si="65"/>
        <v>0</v>
      </c>
      <c r="AG56" s="44">
        <f t="shared" si="65"/>
        <v>9687786.540000001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1103491582.8</v>
      </c>
      <c r="C59" s="188">
        <v>738836585.02999997</v>
      </c>
      <c r="D59" s="188">
        <v>452196896.85000002</v>
      </c>
      <c r="E59" s="188">
        <v>1307844100.1400001</v>
      </c>
      <c r="F59" s="188">
        <v>896975045.78999996</v>
      </c>
      <c r="G59" s="188">
        <v>597279300.58000004</v>
      </c>
      <c r="H59" s="188">
        <v>366787287.97000003</v>
      </c>
      <c r="I59" s="188">
        <v>1133953749.6400001</v>
      </c>
      <c r="J59" s="188">
        <v>798078923.11000001</v>
      </c>
      <c r="K59" s="188">
        <v>526018363.81999999</v>
      </c>
      <c r="L59" s="188">
        <v>304670980.23000002</v>
      </c>
      <c r="M59" s="188">
        <v>986506139.27999997</v>
      </c>
      <c r="N59" s="188">
        <v>710026529.77999997</v>
      </c>
      <c r="O59" s="188">
        <v>440866739.04000002</v>
      </c>
      <c r="P59" s="188">
        <v>253304287.00999999</v>
      </c>
      <c r="Q59" s="188">
        <v>764942939.28999996</v>
      </c>
      <c r="R59" s="188">
        <v>568010636.33000004</v>
      </c>
      <c r="S59" s="188">
        <v>368398198.54000002</v>
      </c>
      <c r="T59" s="188">
        <v>207637681.18000001</v>
      </c>
      <c r="U59" s="188">
        <v>640946932.66999996</v>
      </c>
      <c r="V59" s="188">
        <v>475268989.57999998</v>
      </c>
      <c r="W59" s="188">
        <v>302734619.81999999</v>
      </c>
      <c r="X59" s="188">
        <v>173155321.38</v>
      </c>
      <c r="Y59" s="188">
        <v>514860173.64999998</v>
      </c>
      <c r="Z59" s="188">
        <v>367930324.01999998</v>
      </c>
      <c r="AA59" s="188">
        <v>241760163.47999999</v>
      </c>
      <c r="AB59" s="188">
        <v>140279338.25</v>
      </c>
      <c r="AC59" s="188">
        <v>524958200.92000002</v>
      </c>
      <c r="AD59" s="188">
        <v>390970472.02999997</v>
      </c>
      <c r="AE59" s="188">
        <v>253454168.30000001</v>
      </c>
      <c r="AF59" s="188">
        <v>154263774.36000001</v>
      </c>
      <c r="AG59" s="188">
        <v>442819978.56</v>
      </c>
      <c r="AH59" s="188">
        <v>310469761.44999999</v>
      </c>
      <c r="AI59" s="188">
        <v>192178596.74000001</v>
      </c>
      <c r="AJ59" s="188">
        <v>114446523.89</v>
      </c>
      <c r="AK59" s="188">
        <v>355275816.24000001</v>
      </c>
      <c r="AL59" s="188">
        <v>234210063.30000001</v>
      </c>
      <c r="AM59" s="188">
        <v>148629107.38999999</v>
      </c>
      <c r="AN59" s="188">
        <v>78271799.980000004</v>
      </c>
      <c r="AO59" s="188">
        <v>299407953.87</v>
      </c>
      <c r="AP59" s="188">
        <v>196327741.65000001</v>
      </c>
      <c r="AQ59" s="188">
        <v>133483374.42</v>
      </c>
      <c r="AR59" s="188">
        <v>68086983.530000001</v>
      </c>
      <c r="AS59" s="188">
        <v>215311956.16</v>
      </c>
      <c r="AT59" s="188">
        <v>121937857.08</v>
      </c>
      <c r="AU59" s="188">
        <v>84830537.459999993</v>
      </c>
      <c r="AV59" s="188">
        <v>48014940.009999998</v>
      </c>
      <c r="AW59" s="188">
        <v>132764282.73999999</v>
      </c>
      <c r="AX59" s="188">
        <v>77042119.140000001</v>
      </c>
      <c r="AY59" s="188">
        <v>55725775.390000001</v>
      </c>
      <c r="AZ59" s="188">
        <v>30066259.190000001</v>
      </c>
      <c r="BA59" s="188">
        <v>91177006.170000002</v>
      </c>
      <c r="BB59" s="188">
        <v>58202230.68</v>
      </c>
      <c r="BC59" s="188">
        <v>40045333.869999997</v>
      </c>
      <c r="BD59" s="188">
        <v>19470513.710000001</v>
      </c>
      <c r="BE59" s="188">
        <v>72547796.819999993</v>
      </c>
      <c r="BF59" s="188">
        <v>44638679.82</v>
      </c>
      <c r="BG59" s="188">
        <v>26332305.23</v>
      </c>
      <c r="BH59" s="188">
        <v>11617392.73</v>
      </c>
      <c r="BI59" s="188">
        <v>78248206.769999996</v>
      </c>
      <c r="BJ59" s="188">
        <v>42048995</v>
      </c>
      <c r="BK59" s="188">
        <v>29339929.289999999</v>
      </c>
      <c r="BL59" s="188">
        <v>52004010.109999999</v>
      </c>
      <c r="BM59" s="188">
        <v>24676539.739999998</v>
      </c>
      <c r="BN59" s="188">
        <v>0</v>
      </c>
      <c r="BO59" s="188">
        <v>24585296.829999998</v>
      </c>
      <c r="BP59" s="188">
        <v>15857469.33</v>
      </c>
      <c r="BQ59" s="188">
        <v>-55442297.340000004</v>
      </c>
      <c r="BR59" s="188">
        <v>91586172.409999996</v>
      </c>
      <c r="BS59" s="188">
        <v>194561052.72999999</v>
      </c>
      <c r="BT59" s="188">
        <v>118934490.97</v>
      </c>
      <c r="BU59" s="188">
        <v>216613149.28999999</v>
      </c>
      <c r="BV59" s="188">
        <v>133594369.16</v>
      </c>
      <c r="BW59" s="188">
        <v>233275310.97999999</v>
      </c>
      <c r="BX59" s="188">
        <v>134465618.43000001</v>
      </c>
      <c r="BY59" s="188">
        <v>265812370.63999999</v>
      </c>
      <c r="BZ59" s="188">
        <v>114700830</v>
      </c>
      <c r="CA59" s="188">
        <v>180956230.91</v>
      </c>
      <c r="CB59" s="188">
        <v>98746000</v>
      </c>
      <c r="CC59" s="188">
        <v>148728879.09</v>
      </c>
      <c r="CD59" s="188">
        <v>99332807.060000002</v>
      </c>
      <c r="CE59" s="188">
        <v>30353176.780000001</v>
      </c>
      <c r="CF59" s="188">
        <v>0</v>
      </c>
      <c r="CG59" s="188">
        <v>54430000</v>
      </c>
      <c r="CH59" s="188">
        <v>80440000</v>
      </c>
      <c r="CI59" s="188">
        <v>58950000</v>
      </c>
      <c r="CJ59" s="188">
        <v>67670000</v>
      </c>
      <c r="CK59" s="188">
        <v>0</v>
      </c>
    </row>
    <row r="60" spans="1:89" x14ac:dyDescent="0.25">
      <c r="A60" s="22" t="s">
        <v>95</v>
      </c>
      <c r="B60" s="188">
        <v>276808721.5</v>
      </c>
      <c r="C60" s="188">
        <v>202066354.34999999</v>
      </c>
      <c r="D60" s="188">
        <v>150568281.11000001</v>
      </c>
      <c r="E60" s="188">
        <v>257283850.96000001</v>
      </c>
      <c r="F60" s="188">
        <v>196674732.59</v>
      </c>
      <c r="G60" s="188">
        <v>131663860.56999999</v>
      </c>
      <c r="H60" s="188">
        <v>99163227.120000005</v>
      </c>
      <c r="I60" s="188">
        <v>233513946.19</v>
      </c>
      <c r="J60" s="188">
        <v>216876843.99000001</v>
      </c>
      <c r="K60" s="188">
        <v>144399904.08000001</v>
      </c>
      <c r="L60" s="188">
        <v>82204221.530000001</v>
      </c>
      <c r="M60" s="188">
        <v>187176271.46000001</v>
      </c>
      <c r="N60" s="188">
        <v>178431865.50999999</v>
      </c>
      <c r="O60" s="188">
        <v>104894285.29000001</v>
      </c>
      <c r="P60" s="188">
        <v>63234493.18</v>
      </c>
      <c r="Q60" s="188">
        <v>143131731.81</v>
      </c>
      <c r="R60" s="188">
        <v>118498249.68000001</v>
      </c>
      <c r="S60" s="188">
        <v>76010920.079999998</v>
      </c>
      <c r="T60" s="188">
        <v>40333355.93</v>
      </c>
      <c r="U60" s="188">
        <v>107716186.73999999</v>
      </c>
      <c r="V60" s="188">
        <v>102000661.56999999</v>
      </c>
      <c r="W60" s="188">
        <v>64006316.909999996</v>
      </c>
      <c r="X60" s="188">
        <v>40011262.060000002</v>
      </c>
      <c r="Y60" s="188">
        <v>78007085.650000006</v>
      </c>
      <c r="Z60" s="188">
        <v>82029040.230000004</v>
      </c>
      <c r="AA60" s="188">
        <v>50505456.640000001</v>
      </c>
      <c r="AB60" s="188">
        <v>35144075.100000001</v>
      </c>
      <c r="AC60" s="188">
        <v>95184243.840000004</v>
      </c>
      <c r="AD60" s="188">
        <v>79395371.730000004</v>
      </c>
      <c r="AE60" s="188">
        <v>51258589.460000001</v>
      </c>
      <c r="AF60" s="188">
        <v>26677929.190000001</v>
      </c>
      <c r="AG60" s="188">
        <v>81099272.060000002</v>
      </c>
      <c r="AH60" s="188">
        <v>70284183.069999993</v>
      </c>
      <c r="AI60" s="188">
        <v>45686375.950000003</v>
      </c>
      <c r="AJ60" s="188">
        <v>26686829.390000001</v>
      </c>
      <c r="AK60" s="188">
        <v>71984000.700000003</v>
      </c>
      <c r="AL60" s="188">
        <v>52822758.869999997</v>
      </c>
      <c r="AM60" s="188">
        <v>43743599.670000002</v>
      </c>
      <c r="AN60" s="188">
        <v>24850025.699999999</v>
      </c>
      <c r="AO60" s="188">
        <v>47008026.57</v>
      </c>
      <c r="AP60" s="188">
        <v>32079866.379999999</v>
      </c>
      <c r="AQ60" s="188">
        <v>21122648.690000001</v>
      </c>
      <c r="AR60" s="188">
        <v>11942647.35</v>
      </c>
      <c r="AS60" s="188">
        <v>26883621.219999999</v>
      </c>
      <c r="AT60" s="188">
        <v>46273817.530000001</v>
      </c>
      <c r="AU60" s="188">
        <v>35043398.890000001</v>
      </c>
      <c r="AV60" s="188">
        <v>13320844.689999999</v>
      </c>
      <c r="AW60" s="188">
        <v>16046860.810000001</v>
      </c>
      <c r="AX60" s="188">
        <v>18093089.550000001</v>
      </c>
      <c r="AY60" s="188">
        <v>12342957.039999999</v>
      </c>
      <c r="AZ60" s="188">
        <v>7353405.6299999999</v>
      </c>
      <c r="BA60" s="188">
        <v>3973868.29</v>
      </c>
      <c r="BB60" s="188">
        <v>2356864.73</v>
      </c>
      <c r="BC60" s="188">
        <v>2031250.42</v>
      </c>
      <c r="BD60" s="188">
        <v>906320.58</v>
      </c>
      <c r="BE60" s="188">
        <v>5097254.5199999996</v>
      </c>
      <c r="BF60" s="188">
        <v>10649161.890000001</v>
      </c>
      <c r="BG60" s="188">
        <v>7838463.2999999998</v>
      </c>
      <c r="BH60" s="188">
        <v>4247267.8600000003</v>
      </c>
      <c r="BI60" s="188">
        <v>32750819.969999999</v>
      </c>
      <c r="BJ60" s="188">
        <v>23694540.489999998</v>
      </c>
      <c r="BK60" s="188">
        <v>18314076.760000002</v>
      </c>
      <c r="BL60" s="188">
        <v>24785015.449999999</v>
      </c>
      <c r="BM60" s="188">
        <v>13613956.130000001</v>
      </c>
      <c r="BN60" s="188">
        <v>0</v>
      </c>
      <c r="BO60" s="188">
        <v>12126463.49</v>
      </c>
      <c r="BP60" s="188">
        <v>10693541.310000001</v>
      </c>
      <c r="BQ60" s="188">
        <v>48744017.509999998</v>
      </c>
      <c r="BR60" s="188">
        <v>19695816.390000001</v>
      </c>
      <c r="BS60" s="188">
        <v>41976926.869999997</v>
      </c>
      <c r="BT60" s="188">
        <v>24816640.73</v>
      </c>
      <c r="BU60" s="188">
        <v>68361348.510000005</v>
      </c>
      <c r="BV60" s="188">
        <v>36137562.890000001</v>
      </c>
      <c r="BW60" s="188">
        <v>64620217.200000003</v>
      </c>
      <c r="BX60" s="188">
        <v>31910918.52</v>
      </c>
      <c r="BY60" s="188">
        <v>58314806.049999997</v>
      </c>
      <c r="BZ60" s="188">
        <v>19864020</v>
      </c>
      <c r="CA60" s="188">
        <v>36217246.880000003</v>
      </c>
      <c r="CB60" s="188">
        <v>16912000</v>
      </c>
      <c r="CC60" s="188">
        <v>25845369.120000001</v>
      </c>
      <c r="CD60" s="188">
        <v>0</v>
      </c>
      <c r="CE60" s="188">
        <v>0</v>
      </c>
      <c r="CF60" s="188">
        <v>0</v>
      </c>
      <c r="CG60" s="188">
        <v>4330000</v>
      </c>
      <c r="CH60" s="188">
        <v>4220000</v>
      </c>
      <c r="CI60" s="188">
        <v>12510000</v>
      </c>
      <c r="CJ60" s="188">
        <v>3630000</v>
      </c>
      <c r="CK60" s="188">
        <v>0</v>
      </c>
    </row>
    <row r="61" spans="1:89" x14ac:dyDescent="0.25">
      <c r="A61" s="22" t="s">
        <v>94</v>
      </c>
      <c r="B61" s="188">
        <v>1380300304.3</v>
      </c>
      <c r="C61" s="188">
        <v>940902939.38</v>
      </c>
      <c r="D61" s="188">
        <v>602765177.96000004</v>
      </c>
      <c r="E61" s="188">
        <v>1565127951.0999999</v>
      </c>
      <c r="F61" s="188">
        <v>1093649778.3800001</v>
      </c>
      <c r="G61" s="188">
        <v>728943161.14999998</v>
      </c>
      <c r="H61" s="188">
        <v>465950515.08999997</v>
      </c>
      <c r="I61" s="188">
        <v>1367467695.8299999</v>
      </c>
      <c r="J61" s="188">
        <v>1014955767.1</v>
      </c>
      <c r="K61" s="188">
        <v>670418267.89999998</v>
      </c>
      <c r="L61" s="188">
        <v>386875201.75999999</v>
      </c>
      <c r="M61" s="188">
        <v>1173682410.74</v>
      </c>
      <c r="N61" s="188">
        <v>888458395.28999996</v>
      </c>
      <c r="O61" s="188">
        <v>545761024.33000004</v>
      </c>
      <c r="P61" s="188">
        <v>316538780.19</v>
      </c>
      <c r="Q61" s="188">
        <v>908074671.10000002</v>
      </c>
      <c r="R61" s="188">
        <v>686508886.00999999</v>
      </c>
      <c r="S61" s="188">
        <v>444409118.62</v>
      </c>
      <c r="T61" s="188">
        <v>247971037.11000001</v>
      </c>
      <c r="U61" s="188">
        <v>748663119.40999997</v>
      </c>
      <c r="V61" s="188">
        <v>577269651.14999998</v>
      </c>
      <c r="W61" s="188">
        <v>366740936.73000002</v>
      </c>
      <c r="X61" s="188">
        <v>213166583.44</v>
      </c>
      <c r="Y61" s="188">
        <v>592867259.29999995</v>
      </c>
      <c r="Z61" s="188">
        <v>449959364.25</v>
      </c>
      <c r="AA61" s="188">
        <v>292265620.12</v>
      </c>
      <c r="AB61" s="188">
        <v>175423413.34999999</v>
      </c>
      <c r="AC61" s="188">
        <v>620142444.75999999</v>
      </c>
      <c r="AD61" s="188">
        <v>470365843.75999999</v>
      </c>
      <c r="AE61" s="188">
        <v>304712757.75999999</v>
      </c>
      <c r="AF61" s="188">
        <v>180941703.55000001</v>
      </c>
      <c r="AG61" s="188">
        <v>523919250.62</v>
      </c>
      <c r="AH61" s="188">
        <v>380753944.51999998</v>
      </c>
      <c r="AI61" s="188">
        <v>237864972.69</v>
      </c>
      <c r="AJ61" s="188">
        <v>141133353.28</v>
      </c>
      <c r="AK61" s="188">
        <v>427259816.94</v>
      </c>
      <c r="AL61" s="188">
        <v>287032822.17000002</v>
      </c>
      <c r="AM61" s="188">
        <v>192372707.06</v>
      </c>
      <c r="AN61" s="188">
        <v>103121825.68000001</v>
      </c>
      <c r="AO61" s="188">
        <v>346415980.44</v>
      </c>
      <c r="AP61" s="188">
        <v>228407608.03</v>
      </c>
      <c r="AQ61" s="188">
        <v>154606023.11000001</v>
      </c>
      <c r="AR61" s="188">
        <v>80029630.879999995</v>
      </c>
      <c r="AS61" s="188">
        <v>242195577.38</v>
      </c>
      <c r="AT61" s="188">
        <v>168211674.61000001</v>
      </c>
      <c r="AU61" s="188">
        <v>119873936.34999999</v>
      </c>
      <c r="AV61" s="188">
        <v>61335784.700000003</v>
      </c>
      <c r="AW61" s="188">
        <v>148811143.55000001</v>
      </c>
      <c r="AX61" s="188">
        <v>95135208.689999998</v>
      </c>
      <c r="AY61" s="188">
        <v>68068732.430000007</v>
      </c>
      <c r="AZ61" s="188">
        <v>37419664.82</v>
      </c>
      <c r="BA61" s="188">
        <v>95150874.459999993</v>
      </c>
      <c r="BB61" s="188">
        <v>60559095.409999996</v>
      </c>
      <c r="BC61" s="188">
        <v>42076584.289999999</v>
      </c>
      <c r="BD61" s="188">
        <v>20376834.289999999</v>
      </c>
      <c r="BE61" s="188">
        <v>77645051.340000004</v>
      </c>
      <c r="BF61" s="188">
        <v>55287841.710000001</v>
      </c>
      <c r="BG61" s="188">
        <v>34170768.530000001</v>
      </c>
      <c r="BH61" s="188">
        <v>15864660.59</v>
      </c>
      <c r="BI61" s="188">
        <v>110999026.73999999</v>
      </c>
      <c r="BJ61" s="188">
        <v>65743535.490000002</v>
      </c>
      <c r="BK61" s="188">
        <v>47654006.049999997</v>
      </c>
      <c r="BL61" s="188">
        <v>76789025.560000002</v>
      </c>
      <c r="BM61" s="188">
        <v>38290495.869999997</v>
      </c>
      <c r="BN61" s="188">
        <v>0</v>
      </c>
      <c r="BO61" s="188">
        <v>36711760.32</v>
      </c>
      <c r="BP61" s="188">
        <v>24723630.93</v>
      </c>
      <c r="BQ61" s="188">
        <v>-6698279.8300000001</v>
      </c>
      <c r="BR61" s="188">
        <v>111281988.8</v>
      </c>
      <c r="BS61" s="188">
        <v>236537979.59999999</v>
      </c>
      <c r="BT61" s="188">
        <v>143751131.69999999</v>
      </c>
      <c r="BU61" s="188">
        <v>264521548.15000001</v>
      </c>
      <c r="BV61" s="188">
        <v>169731932.05000001</v>
      </c>
      <c r="BW61" s="188">
        <v>282165432.33999997</v>
      </c>
      <c r="BX61" s="188">
        <v>166376536.94999999</v>
      </c>
      <c r="BY61" s="188">
        <v>324127176.69</v>
      </c>
      <c r="BZ61" s="188">
        <v>134564860</v>
      </c>
      <c r="CA61" s="188">
        <v>217173477.78999999</v>
      </c>
      <c r="CB61" s="188">
        <v>115658000</v>
      </c>
      <c r="CC61" s="188">
        <v>174574248.21000001</v>
      </c>
      <c r="CD61" s="188">
        <v>131142193.81999999</v>
      </c>
      <c r="CE61" s="188">
        <v>52857998.969999999</v>
      </c>
      <c r="CF61" s="188">
        <v>0</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67031184.07</v>
      </c>
      <c r="C65" s="188">
        <v>46609764.130000003</v>
      </c>
      <c r="D65" s="188">
        <v>13690032.35</v>
      </c>
      <c r="E65" s="188">
        <v>63272719.030000001</v>
      </c>
      <c r="F65" s="188">
        <v>51059401.82</v>
      </c>
      <c r="G65" s="188">
        <v>24695608.32</v>
      </c>
      <c r="H65" s="188">
        <v>11555220.83</v>
      </c>
      <c r="I65" s="188">
        <v>61079922.280000001</v>
      </c>
      <c r="J65" s="188">
        <v>56675868.310000002</v>
      </c>
      <c r="K65" s="188">
        <v>53398678.799999997</v>
      </c>
      <c r="L65" s="188">
        <v>24332811.07</v>
      </c>
      <c r="M65" s="188">
        <v>38513234.189999998</v>
      </c>
      <c r="N65" s="188">
        <v>32604316.16</v>
      </c>
      <c r="O65" s="188">
        <v>27358833.379999999</v>
      </c>
      <c r="P65" s="188">
        <v>5095087.51</v>
      </c>
      <c r="Q65" s="188">
        <v>26278044.440000001</v>
      </c>
      <c r="R65" s="188">
        <v>23398594.149999999</v>
      </c>
      <c r="S65" s="188">
        <v>18142407.359999999</v>
      </c>
      <c r="T65" s="188">
        <v>9086329.9299999997</v>
      </c>
      <c r="U65" s="188">
        <v>7951619.3200000003</v>
      </c>
      <c r="V65" s="188">
        <v>4335869.8600000003</v>
      </c>
      <c r="W65" s="188">
        <v>2796653.81</v>
      </c>
      <c r="X65" s="188">
        <v>1499388.44</v>
      </c>
      <c r="Y65" s="188">
        <v>1765518.66</v>
      </c>
      <c r="Z65" s="188">
        <v>492477.79</v>
      </c>
      <c r="AA65" s="188">
        <v>-107635.99</v>
      </c>
      <c r="AB65" s="188">
        <v>0</v>
      </c>
      <c r="AC65" s="188">
        <v>20294802.800000001</v>
      </c>
      <c r="AD65" s="188">
        <v>15054865.800000001</v>
      </c>
      <c r="AE65" s="188">
        <v>4582135</v>
      </c>
      <c r="AF65" s="188">
        <v>2228550</v>
      </c>
      <c r="AG65" s="188">
        <v>10349189.859999999</v>
      </c>
      <c r="AH65" s="188">
        <v>7595539.8600000003</v>
      </c>
      <c r="AI65" s="188">
        <v>6723389.8600000003</v>
      </c>
      <c r="AJ65" s="188">
        <v>8682514.8699999992</v>
      </c>
      <c r="AK65" s="188">
        <v>13165400.689999999</v>
      </c>
      <c r="AL65" s="188">
        <v>10624382.029999999</v>
      </c>
      <c r="AM65" s="188">
        <v>3324053.11</v>
      </c>
      <c r="AN65" s="188">
        <v>-1970729.36</v>
      </c>
      <c r="AO65" s="188">
        <v>25312439.300000001</v>
      </c>
      <c r="AP65" s="188">
        <v>1718320</v>
      </c>
      <c r="AQ65" s="188">
        <v>1674895</v>
      </c>
      <c r="AR65" s="188">
        <v>243175</v>
      </c>
      <c r="AS65" s="188">
        <v>2292168.83</v>
      </c>
      <c r="AT65" s="188">
        <v>2077189.81</v>
      </c>
      <c r="AU65" s="188">
        <v>205985</v>
      </c>
      <c r="AV65" s="188">
        <v>95050.01</v>
      </c>
      <c r="AW65" s="188">
        <v>-371609.94</v>
      </c>
      <c r="AX65" s="188">
        <v>-1311379.6399999999</v>
      </c>
      <c r="AY65" s="188">
        <v>806913.41</v>
      </c>
      <c r="AZ65" s="188">
        <v>517525.97</v>
      </c>
      <c r="BA65" s="188">
        <v>-2727880.73</v>
      </c>
      <c r="BB65" s="188">
        <v>-1911577.13</v>
      </c>
      <c r="BC65" s="188">
        <v>-1298141.42</v>
      </c>
      <c r="BD65" s="188">
        <v>-962525.71</v>
      </c>
      <c r="BE65" s="188">
        <v>5301985.13</v>
      </c>
      <c r="BF65" s="188">
        <v>4827027.87</v>
      </c>
      <c r="BG65" s="188">
        <v>4855118.58</v>
      </c>
      <c r="BH65" s="188">
        <v>5764659.29</v>
      </c>
      <c r="BI65" s="188">
        <v>5180796.34</v>
      </c>
      <c r="BJ65" s="188">
        <v>2051322.1</v>
      </c>
      <c r="BK65" s="188">
        <v>2614447.62</v>
      </c>
      <c r="BL65" s="188">
        <v>-2413929.23</v>
      </c>
      <c r="BM65" s="188">
        <v>-1136492.23</v>
      </c>
      <c r="BN65" s="188">
        <v>0</v>
      </c>
      <c r="BO65" s="188">
        <v>-10625718.93</v>
      </c>
      <c r="BP65" s="188">
        <v>4557679.6900000004</v>
      </c>
      <c r="BQ65" s="188">
        <v>21254694.370000001</v>
      </c>
      <c r="BR65" s="188">
        <v>14419224.66</v>
      </c>
      <c r="BS65" s="188">
        <v>17274579.829999998</v>
      </c>
      <c r="BT65" s="188">
        <v>6547700.0800000001</v>
      </c>
      <c r="BU65" s="188">
        <v>-24371562.48</v>
      </c>
      <c r="BV65" s="188">
        <v>-8975034.6300000008</v>
      </c>
      <c r="BW65" s="188">
        <v>-45646454.090000004</v>
      </c>
      <c r="BX65" s="188">
        <v>-11084069.25</v>
      </c>
      <c r="BY65" s="188">
        <v>-22740004.100000001</v>
      </c>
      <c r="BZ65" s="188">
        <v>-3442370</v>
      </c>
      <c r="CA65" s="188">
        <v>-12289828.140000001</v>
      </c>
      <c r="CB65" s="188">
        <v>-1266000</v>
      </c>
      <c r="CC65" s="188">
        <v>745986.91</v>
      </c>
      <c r="CD65" s="188">
        <v>0</v>
      </c>
      <c r="CE65" s="188">
        <v>0</v>
      </c>
      <c r="CF65" s="188">
        <v>0</v>
      </c>
      <c r="CG65" s="188">
        <v>0</v>
      </c>
      <c r="CH65" s="188">
        <v>0</v>
      </c>
      <c r="CI65" s="188">
        <v>0</v>
      </c>
      <c r="CJ65" s="188">
        <v>0</v>
      </c>
      <c r="CK65" s="188">
        <v>0</v>
      </c>
    </row>
    <row r="66" spans="1:89" x14ac:dyDescent="0.25">
      <c r="A66" s="22" t="s">
        <v>99</v>
      </c>
      <c r="B66" s="188">
        <v>2580391.4500000002</v>
      </c>
      <c r="C66" s="188">
        <v>1770564.71</v>
      </c>
      <c r="D66" s="188">
        <v>623113.37</v>
      </c>
      <c r="E66" s="188">
        <v>3933753.55</v>
      </c>
      <c r="F66" s="188">
        <v>2715833.09</v>
      </c>
      <c r="G66" s="188">
        <v>1822909.46</v>
      </c>
      <c r="H66" s="188">
        <v>1060099</v>
      </c>
      <c r="I66" s="188">
        <v>2349174.5299999998</v>
      </c>
      <c r="J66" s="188">
        <v>0</v>
      </c>
      <c r="K66" s="188">
        <v>0</v>
      </c>
      <c r="L66" s="188">
        <v>1162504.93</v>
      </c>
      <c r="M66" s="188">
        <v>3290945.74</v>
      </c>
      <c r="N66" s="188">
        <v>0</v>
      </c>
      <c r="O66" s="188">
        <v>0</v>
      </c>
      <c r="P66" s="188">
        <v>0</v>
      </c>
      <c r="Q66" s="188">
        <v>2614494.84</v>
      </c>
      <c r="R66" s="188">
        <v>0</v>
      </c>
      <c r="S66" s="188">
        <v>0</v>
      </c>
      <c r="T66" s="188">
        <v>0</v>
      </c>
      <c r="U66" s="188">
        <v>3862222.39</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64450792.619999997</v>
      </c>
      <c r="C67" s="4">
        <f t="shared" ref="C67:BN67" si="67">C65-C66</f>
        <v>44839199.420000002</v>
      </c>
      <c r="D67" s="4">
        <f t="shared" si="67"/>
        <v>13066918.98</v>
      </c>
      <c r="E67" s="4">
        <f t="shared" si="67"/>
        <v>59338965.480000004</v>
      </c>
      <c r="F67" s="4">
        <f t="shared" si="67"/>
        <v>48343568.730000004</v>
      </c>
      <c r="G67" s="4">
        <f t="shared" si="67"/>
        <v>22872698.859999999</v>
      </c>
      <c r="H67" s="4">
        <f t="shared" si="67"/>
        <v>10495121.83</v>
      </c>
      <c r="I67" s="4">
        <f t="shared" si="67"/>
        <v>58730747.75</v>
      </c>
      <c r="J67" s="4">
        <f t="shared" si="67"/>
        <v>56675868.310000002</v>
      </c>
      <c r="K67" s="4">
        <f t="shared" si="67"/>
        <v>53398678.799999997</v>
      </c>
      <c r="L67" s="4">
        <f t="shared" si="67"/>
        <v>23170306.140000001</v>
      </c>
      <c r="M67" s="4">
        <f t="shared" si="67"/>
        <v>35222288.449999996</v>
      </c>
      <c r="N67" s="4">
        <f t="shared" si="67"/>
        <v>32604316.16</v>
      </c>
      <c r="O67" s="4">
        <f t="shared" si="67"/>
        <v>27358833.379999999</v>
      </c>
      <c r="P67" s="4">
        <f t="shared" si="67"/>
        <v>5095087.51</v>
      </c>
      <c r="Q67" s="4">
        <f t="shared" si="67"/>
        <v>23663549.600000001</v>
      </c>
      <c r="R67" s="4">
        <f t="shared" si="67"/>
        <v>23398594.149999999</v>
      </c>
      <c r="S67" s="4">
        <f t="shared" si="67"/>
        <v>18142407.359999999</v>
      </c>
      <c r="T67" s="4">
        <f t="shared" si="67"/>
        <v>9086329.9299999997</v>
      </c>
      <c r="U67" s="4">
        <f t="shared" si="67"/>
        <v>4089396.93</v>
      </c>
      <c r="V67" s="4">
        <f t="shared" si="67"/>
        <v>4335869.8600000003</v>
      </c>
      <c r="W67" s="4">
        <f t="shared" si="67"/>
        <v>2796653.81</v>
      </c>
      <c r="X67" s="4">
        <f t="shared" si="67"/>
        <v>1499388.44</v>
      </c>
      <c r="Y67" s="4">
        <f t="shared" si="67"/>
        <v>1765518.66</v>
      </c>
      <c r="Z67" s="4">
        <f t="shared" si="67"/>
        <v>492477.79</v>
      </c>
      <c r="AA67" s="4">
        <f t="shared" si="67"/>
        <v>-107635.99</v>
      </c>
      <c r="AB67" s="4">
        <f t="shared" si="67"/>
        <v>0</v>
      </c>
      <c r="AC67" s="4">
        <f t="shared" si="67"/>
        <v>20294802.800000001</v>
      </c>
      <c r="AD67" s="4">
        <f t="shared" si="67"/>
        <v>15054865.800000001</v>
      </c>
      <c r="AE67" s="4">
        <f t="shared" si="67"/>
        <v>4582135</v>
      </c>
      <c r="AF67" s="4">
        <f t="shared" si="67"/>
        <v>2228550</v>
      </c>
      <c r="AG67" s="4">
        <f t="shared" si="67"/>
        <v>10349189.859999999</v>
      </c>
      <c r="AH67" s="4">
        <f t="shared" si="67"/>
        <v>7595539.8600000003</v>
      </c>
      <c r="AI67" s="4">
        <f t="shared" si="67"/>
        <v>6723389.8600000003</v>
      </c>
      <c r="AJ67" s="4">
        <f t="shared" si="67"/>
        <v>8682514.8699999992</v>
      </c>
      <c r="AK67" s="4">
        <f t="shared" si="67"/>
        <v>13165400.689999999</v>
      </c>
      <c r="AL67" s="4">
        <f t="shared" si="67"/>
        <v>10624382.029999999</v>
      </c>
      <c r="AM67" s="4">
        <f t="shared" si="67"/>
        <v>3324053.11</v>
      </c>
      <c r="AN67" s="4">
        <f t="shared" si="67"/>
        <v>-1970729.36</v>
      </c>
      <c r="AO67" s="4">
        <f t="shared" si="67"/>
        <v>25312439.300000001</v>
      </c>
      <c r="AP67" s="4">
        <f t="shared" si="67"/>
        <v>1718320</v>
      </c>
      <c r="AQ67" s="4">
        <f t="shared" si="67"/>
        <v>1674895</v>
      </c>
      <c r="AR67" s="4">
        <f t="shared" si="67"/>
        <v>243175</v>
      </c>
      <c r="AS67" s="4">
        <f t="shared" si="67"/>
        <v>2292168.83</v>
      </c>
      <c r="AT67" s="4">
        <f t="shared" si="67"/>
        <v>2077189.81</v>
      </c>
      <c r="AU67" s="4">
        <f t="shared" si="67"/>
        <v>205985</v>
      </c>
      <c r="AV67" s="4">
        <f t="shared" si="67"/>
        <v>95050.01</v>
      </c>
      <c r="AW67" s="4">
        <f t="shared" si="67"/>
        <v>-371609.94</v>
      </c>
      <c r="AX67" s="4">
        <f t="shared" si="67"/>
        <v>-1311379.6399999999</v>
      </c>
      <c r="AY67" s="4">
        <f t="shared" si="67"/>
        <v>806913.41</v>
      </c>
      <c r="AZ67" s="4">
        <f t="shared" si="67"/>
        <v>517525.97</v>
      </c>
      <c r="BA67" s="4">
        <f t="shared" si="67"/>
        <v>-2727880.73</v>
      </c>
      <c r="BB67" s="4">
        <f t="shared" si="67"/>
        <v>-1911577.13</v>
      </c>
      <c r="BC67" s="4">
        <f t="shared" si="67"/>
        <v>-1298141.42</v>
      </c>
      <c r="BD67" s="4">
        <f t="shared" si="67"/>
        <v>-962525.71</v>
      </c>
      <c r="BE67" s="4">
        <f t="shared" si="67"/>
        <v>5301985.13</v>
      </c>
      <c r="BF67" s="4">
        <f t="shared" si="67"/>
        <v>4827027.87</v>
      </c>
      <c r="BG67" s="4">
        <f t="shared" si="67"/>
        <v>4855118.58</v>
      </c>
      <c r="BH67" s="4">
        <f t="shared" si="67"/>
        <v>5764659.29</v>
      </c>
      <c r="BI67" s="4">
        <f t="shared" si="67"/>
        <v>5180796.34</v>
      </c>
      <c r="BJ67" s="4">
        <f t="shared" si="67"/>
        <v>2051322.1</v>
      </c>
      <c r="BK67" s="4">
        <f t="shared" si="67"/>
        <v>2614447.62</v>
      </c>
      <c r="BL67" s="4">
        <f t="shared" si="67"/>
        <v>-2413929.23</v>
      </c>
      <c r="BM67" s="4">
        <f t="shared" si="67"/>
        <v>-1136492.23</v>
      </c>
      <c r="BN67" s="4">
        <f t="shared" si="67"/>
        <v>0</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8">
        <v>-6914944.4699999997</v>
      </c>
      <c r="C68" s="188">
        <v>-4131924.83</v>
      </c>
      <c r="D68" s="188">
        <v>-158855.94</v>
      </c>
      <c r="E68" s="188">
        <v>-126978.87</v>
      </c>
      <c r="F68" s="188">
        <v>-392749.17</v>
      </c>
      <c r="G68" s="188">
        <v>-1348604.52</v>
      </c>
      <c r="H68" s="188">
        <v>-1513932.95</v>
      </c>
      <c r="I68" s="188">
        <v>-21438184.359999999</v>
      </c>
      <c r="J68" s="188">
        <v>-10543344.310000001</v>
      </c>
      <c r="K68" s="188">
        <v>-8175484.3200000003</v>
      </c>
      <c r="L68" s="188">
        <v>-2103556.9900000002</v>
      </c>
      <c r="M68" s="188">
        <v>-23051245.800000001</v>
      </c>
      <c r="N68" s="188">
        <v>-17569300.5</v>
      </c>
      <c r="O68" s="188">
        <v>-7892741.8300000001</v>
      </c>
      <c r="P68" s="188">
        <v>-3545548.55</v>
      </c>
      <c r="Q68" s="188">
        <v>-19280618.579999998</v>
      </c>
      <c r="R68" s="188">
        <v>-14394832.18</v>
      </c>
      <c r="S68" s="188">
        <v>-10175630.630000001</v>
      </c>
      <c r="T68" s="188">
        <v>-1261141.8899999999</v>
      </c>
      <c r="U68" s="188">
        <v>-11788240.66</v>
      </c>
      <c r="V68" s="188">
        <v>-7235635.9000000004</v>
      </c>
      <c r="W68" s="188">
        <v>-849316.48</v>
      </c>
      <c r="X68" s="188">
        <v>291026.96999999997</v>
      </c>
      <c r="Y68" s="188">
        <v>-3584309.11</v>
      </c>
      <c r="Z68" s="188">
        <v>-12458328.18</v>
      </c>
      <c r="AA68" s="188">
        <v>-6805781.71</v>
      </c>
      <c r="AB68" s="188">
        <v>-1358250.96</v>
      </c>
      <c r="AC68" s="188">
        <v>23558700.18</v>
      </c>
      <c r="AD68" s="188">
        <v>21999726.850000001</v>
      </c>
      <c r="AE68" s="188">
        <v>12494300.15</v>
      </c>
      <c r="AF68" s="188">
        <v>7926631.5099999998</v>
      </c>
      <c r="AG68" s="188">
        <v>9687786.5399999991</v>
      </c>
      <c r="AH68" s="188">
        <v>5206833.59</v>
      </c>
      <c r="AI68" s="188">
        <v>-1198580.6499999999</v>
      </c>
      <c r="AJ68" s="188">
        <v>-548317.52</v>
      </c>
      <c r="AK68" s="188">
        <v>-10030385.25</v>
      </c>
      <c r="AL68" s="188">
        <v>-5470100.4500000002</v>
      </c>
      <c r="AM68" s="188">
        <v>-4799838.04</v>
      </c>
      <c r="AN68" s="188">
        <v>-2675730.89</v>
      </c>
      <c r="AO68" s="188">
        <v>-7668293.0800000001</v>
      </c>
      <c r="AP68" s="188">
        <v>-24478160.940000001</v>
      </c>
      <c r="AQ68" s="188">
        <v>-10329444.710000001</v>
      </c>
      <c r="AR68" s="188">
        <v>-754735.27</v>
      </c>
      <c r="AS68" s="188">
        <v>23902541.800000001</v>
      </c>
      <c r="AT68" s="188">
        <v>18297639.66</v>
      </c>
      <c r="AU68" s="188">
        <v>11948320.310000001</v>
      </c>
      <c r="AV68" s="188">
        <v>4492686.0999999996</v>
      </c>
      <c r="AW68" s="188">
        <v>26408729.390000001</v>
      </c>
      <c r="AX68" s="188">
        <v>14263102.16</v>
      </c>
      <c r="AY68" s="188">
        <v>7785231.5599999996</v>
      </c>
      <c r="AZ68" s="188">
        <v>3253033.44</v>
      </c>
      <c r="BA68" s="188">
        <v>13521065.15</v>
      </c>
      <c r="BB68" s="188">
        <v>11892293.560000001</v>
      </c>
      <c r="BC68" s="188">
        <v>8063724.1299999999</v>
      </c>
      <c r="BD68" s="188">
        <v>4582715.67</v>
      </c>
      <c r="BE68" s="188">
        <v>15737562.41</v>
      </c>
      <c r="BF68" s="188">
        <v>10574344.9</v>
      </c>
      <c r="BG68" s="188">
        <v>6419438.9000000004</v>
      </c>
      <c r="BH68" s="188">
        <v>3463936.63</v>
      </c>
      <c r="BI68" s="188">
        <v>9760977.4600000009</v>
      </c>
      <c r="BJ68" s="188">
        <v>6217905.1799999997</v>
      </c>
      <c r="BK68" s="188">
        <v>3343791.82</v>
      </c>
      <c r="BL68" s="188">
        <v>8496934.75</v>
      </c>
      <c r="BM68" s="188">
        <v>8188261.04</v>
      </c>
      <c r="BN68" s="188">
        <v>0</v>
      </c>
      <c r="BO68" s="188">
        <v>9242019.3499999996</v>
      </c>
      <c r="BP68" s="188">
        <v>7593114.3499999996</v>
      </c>
      <c r="BQ68" s="188">
        <v>2252723.4900000002</v>
      </c>
      <c r="BR68" s="188">
        <v>3485280.93</v>
      </c>
      <c r="BS68" s="188">
        <v>21614983.890000001</v>
      </c>
      <c r="BT68" s="188">
        <v>12077603.27</v>
      </c>
      <c r="BU68" s="188">
        <v>22023607.5</v>
      </c>
      <c r="BV68" s="188">
        <v>6067545.0599999996</v>
      </c>
      <c r="BW68" s="188">
        <v>-15560870.4</v>
      </c>
      <c r="BX68" s="188">
        <v>-1880458.13</v>
      </c>
      <c r="BY68" s="188">
        <v>-6710113.1100000003</v>
      </c>
      <c r="BZ68" s="188">
        <v>0</v>
      </c>
      <c r="CA68" s="188">
        <v>5020629.4800000004</v>
      </c>
      <c r="CB68" s="188">
        <v>0</v>
      </c>
      <c r="CC68" s="188">
        <v>9165945.8100000005</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5326325338.1400003</v>
      </c>
      <c r="C70" s="188">
        <v>5318412167.1199999</v>
      </c>
      <c r="D70" s="188">
        <v>5596029556.3400002</v>
      </c>
      <c r="E70" s="188">
        <v>5198489786.6300001</v>
      </c>
      <c r="F70" s="188">
        <v>4961012507.46</v>
      </c>
      <c r="G70" s="188">
        <v>4679019908.46</v>
      </c>
      <c r="H70" s="188">
        <v>4927457035.2799997</v>
      </c>
      <c r="I70" s="188">
        <v>4558239662.8699999</v>
      </c>
      <c r="J70" s="188">
        <v>4218102000.5</v>
      </c>
      <c r="K70" s="188">
        <v>3943260206.9499998</v>
      </c>
      <c r="L70" s="188">
        <v>5293201433.6599998</v>
      </c>
      <c r="M70" s="188">
        <v>5009730562.0799999</v>
      </c>
      <c r="N70" s="188">
        <v>4723090815.25</v>
      </c>
      <c r="O70" s="188">
        <v>4449943588.5799999</v>
      </c>
      <c r="P70" s="188">
        <v>4532900385.5299997</v>
      </c>
      <c r="Q70" s="188">
        <v>4278816315.1399999</v>
      </c>
      <c r="R70" s="188">
        <v>4075580236.71</v>
      </c>
      <c r="S70" s="188">
        <v>3871183124.1599998</v>
      </c>
      <c r="T70" s="188">
        <v>3940954467.1100001</v>
      </c>
      <c r="U70" s="188">
        <v>3732910884.5100002</v>
      </c>
      <c r="V70" s="188">
        <v>3662679370.02</v>
      </c>
      <c r="W70" s="188">
        <v>3490212382.0599999</v>
      </c>
      <c r="X70" s="188">
        <v>3567241318.3000002</v>
      </c>
      <c r="Y70" s="188">
        <v>3394580309.3800001</v>
      </c>
      <c r="Z70" s="188">
        <v>3244843702.75</v>
      </c>
      <c r="AA70" s="188">
        <v>3148735362.5799999</v>
      </c>
      <c r="AB70" s="188">
        <v>3222313716.3899999</v>
      </c>
      <c r="AC70" s="188">
        <v>3094259610.7600002</v>
      </c>
      <c r="AD70" s="188">
        <v>2957796924.96</v>
      </c>
      <c r="AE70" s="188">
        <v>2821898590.8800001</v>
      </c>
      <c r="AF70" s="188">
        <v>2884240451.02</v>
      </c>
      <c r="AG70" s="188">
        <v>2736677234.21</v>
      </c>
      <c r="AH70" s="188">
        <v>2613523463.1900001</v>
      </c>
      <c r="AI70" s="188">
        <v>2488516794.6199999</v>
      </c>
      <c r="AJ70" s="188">
        <v>2499857212.8299999</v>
      </c>
      <c r="AK70" s="188">
        <v>2387028595.3699999</v>
      </c>
      <c r="AL70" s="188">
        <v>2308512612.4099998</v>
      </c>
      <c r="AM70" s="188">
        <v>2222699925.6599998</v>
      </c>
      <c r="AN70" s="188">
        <v>2241143445.29</v>
      </c>
      <c r="AO70" s="188">
        <v>2162624916.8200002</v>
      </c>
      <c r="AP70" s="188">
        <v>2059787930.1099999</v>
      </c>
      <c r="AQ70" s="188">
        <v>1990187952.73</v>
      </c>
      <c r="AR70" s="188">
        <v>1876896259.77</v>
      </c>
      <c r="AS70" s="188">
        <v>1807445577.1099999</v>
      </c>
      <c r="AT70" s="188">
        <v>1694244677.5699999</v>
      </c>
      <c r="AU70" s="188">
        <v>949297555.71000004</v>
      </c>
      <c r="AV70" s="188">
        <v>943529555.12</v>
      </c>
      <c r="AW70" s="188">
        <v>905663398.10000002</v>
      </c>
      <c r="AX70" s="188">
        <v>849571234.5</v>
      </c>
      <c r="AY70" s="188">
        <v>828424890.75</v>
      </c>
      <c r="AZ70" s="188">
        <v>837969374.53999996</v>
      </c>
      <c r="BA70" s="188">
        <v>807903115.36000001</v>
      </c>
      <c r="BB70" s="188">
        <v>774930299.87</v>
      </c>
      <c r="BC70" s="188">
        <v>751840793.05999994</v>
      </c>
      <c r="BD70" s="188">
        <v>758345972.89999998</v>
      </c>
      <c r="BE70" s="188">
        <v>738852959.19000006</v>
      </c>
      <c r="BF70" s="188">
        <v>662944760.82000005</v>
      </c>
      <c r="BG70" s="188">
        <v>242763613.40000001</v>
      </c>
      <c r="BH70" s="188">
        <v>214022329.37</v>
      </c>
      <c r="BI70" s="188">
        <v>135309387.50999999</v>
      </c>
      <c r="BJ70" s="188">
        <v>96390957.069999993</v>
      </c>
      <c r="BK70" s="188">
        <v>0</v>
      </c>
      <c r="BL70" s="188"/>
      <c r="BM70" s="188"/>
      <c r="BN70" s="188"/>
      <c r="BO70" s="188">
        <v>2102476177.1800001</v>
      </c>
      <c r="BP70" s="188">
        <v>2103690720.0699999</v>
      </c>
      <c r="BQ70" s="188">
        <v>1967932475.95</v>
      </c>
      <c r="BR70" s="188">
        <v>2177458512.8099999</v>
      </c>
      <c r="BS70" s="188">
        <v>2074414991.5999999</v>
      </c>
      <c r="BT70" s="188">
        <v>2138142090.6700001</v>
      </c>
      <c r="BU70" s="188">
        <v>2021612426.0899999</v>
      </c>
      <c r="BV70" s="188">
        <v>2060831379.9200001</v>
      </c>
      <c r="BW70" s="188">
        <v>1903739656.29</v>
      </c>
      <c r="BX70" s="188">
        <v>1923476556.95</v>
      </c>
      <c r="BY70" s="188">
        <v>1758303927.23</v>
      </c>
      <c r="BZ70" s="188">
        <v>1741646450</v>
      </c>
      <c r="CA70" s="188">
        <v>906035354.87</v>
      </c>
      <c r="CB70" s="188">
        <v>638753000</v>
      </c>
      <c r="CC70" s="188">
        <v>0</v>
      </c>
      <c r="CD70" s="188">
        <v>0</v>
      </c>
      <c r="CE70" s="188">
        <v>0</v>
      </c>
      <c r="CF70" s="188">
        <v>0</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3" width="20"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6" width="20.33203125" hidden="1" customWidth="1"/>
    <col min="17" max="17" width="20.33203125" bestFit="1" customWidth="1"/>
    <col min="18" max="20" width="20.33203125" hidden="1" customWidth="1"/>
    <col min="21" max="21" width="20.33203125" bestFit="1" customWidth="1"/>
    <col min="22" max="24" width="20.33203125" hidden="1" customWidth="1"/>
    <col min="25" max="25" width="20.33203125" bestFit="1" customWidth="1"/>
    <col min="26" max="28" width="20.33203125" hidden="1" customWidth="1"/>
    <col min="29" max="29" width="20.33203125" bestFit="1" customWidth="1"/>
    <col min="30"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8.109375" hidden="1" customWidth="1"/>
    <col min="40" max="40" width="20.33203125" hidden="1" customWidth="1"/>
    <col min="41" max="41" width="18.10937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9.33203125" bestFit="1" customWidth="1"/>
    <col min="54" max="56" width="18.109375" hidden="1" customWidth="1"/>
    <col min="57" max="57" width="18.109375" bestFit="1" customWidth="1"/>
    <col min="58" max="59" width="18.109375" hidden="1" customWidth="1"/>
    <col min="60" max="60" width="18.109375" bestFit="1" customWidth="1"/>
    <col min="61"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2" width="20.33203125" bestFit="1" customWidth="1"/>
    <col min="73" max="73" width="18.109375" hidden="1" customWidth="1"/>
    <col min="74" max="74" width="12.21875" hidden="1" customWidth="1"/>
  </cols>
  <sheetData>
    <row r="1" spans="1:74" s="6" customFormat="1" x14ac:dyDescent="0.25">
      <c r="A1" s="103">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1" customFormat="1" x14ac:dyDescent="0.25">
      <c r="A3" s="191" t="s">
        <v>320</v>
      </c>
      <c r="B3" s="188">
        <v>1653437.75</v>
      </c>
      <c r="C3" s="188">
        <v>216147.75</v>
      </c>
      <c r="D3" s="188">
        <v>137447.75</v>
      </c>
      <c r="E3" s="188">
        <v>1983071</v>
      </c>
      <c r="F3" s="188">
        <v>1543811</v>
      </c>
      <c r="G3" s="188">
        <v>1406811</v>
      </c>
      <c r="H3" s="188">
        <v>28317</v>
      </c>
      <c r="I3" s="188">
        <v>1383159.15</v>
      </c>
      <c r="J3" s="188">
        <v>69909</v>
      </c>
      <c r="K3" s="188">
        <v>66909</v>
      </c>
      <c r="L3" s="188">
        <v>3310</v>
      </c>
      <c r="M3" s="188">
        <v>2401121.44</v>
      </c>
      <c r="N3" s="188">
        <v>104734</v>
      </c>
      <c r="O3" s="188">
        <v>74234</v>
      </c>
      <c r="P3" s="188">
        <v>4800</v>
      </c>
      <c r="Q3" s="188">
        <v>3715232.69</v>
      </c>
      <c r="R3" s="188">
        <v>766877.35</v>
      </c>
      <c r="S3" s="188">
        <v>605168.5</v>
      </c>
      <c r="T3" s="188">
        <v>472406.5</v>
      </c>
      <c r="U3" s="188">
        <v>2165085.83</v>
      </c>
      <c r="V3" s="188">
        <v>604305.79</v>
      </c>
      <c r="W3" s="188">
        <v>449130</v>
      </c>
      <c r="X3" s="188">
        <v>146000</v>
      </c>
      <c r="Y3" s="188">
        <v>1279579.57</v>
      </c>
      <c r="Z3" s="188">
        <v>830570</v>
      </c>
      <c r="AA3" s="188">
        <v>563250</v>
      </c>
      <c r="AB3" s="188">
        <v>324860</v>
      </c>
      <c r="AC3" s="188">
        <v>2777945.77</v>
      </c>
      <c r="AD3" s="188">
        <v>2028655.68</v>
      </c>
      <c r="AE3" s="188">
        <v>1210861.94</v>
      </c>
      <c r="AF3" s="188">
        <v>779694.07</v>
      </c>
      <c r="AG3" s="188">
        <v>1836091.19</v>
      </c>
      <c r="AH3" s="188">
        <v>579671.87</v>
      </c>
      <c r="AI3" s="188">
        <v>6443.8</v>
      </c>
      <c r="AJ3" s="188">
        <v>91978.12</v>
      </c>
      <c r="AK3" s="188">
        <v>1453866.8</v>
      </c>
      <c r="AL3" s="188">
        <v>2351875.85</v>
      </c>
      <c r="AM3" s="188">
        <v>1848254.71</v>
      </c>
      <c r="AN3" s="188">
        <v>102525.7</v>
      </c>
      <c r="AO3" s="188">
        <v>1906298.21</v>
      </c>
      <c r="AP3" s="188">
        <v>5100708.2699999996</v>
      </c>
      <c r="AQ3" s="188">
        <v>2613742.85</v>
      </c>
      <c r="AR3" s="188">
        <v>13463.29</v>
      </c>
      <c r="AS3" s="188">
        <v>2524945.1800000002</v>
      </c>
      <c r="AT3" s="188">
        <v>1501793.95</v>
      </c>
      <c r="AU3" s="188">
        <v>575392.99</v>
      </c>
      <c r="AV3" s="188">
        <v>0</v>
      </c>
      <c r="AW3" s="188">
        <v>2456415.5499999998</v>
      </c>
      <c r="AX3" s="188">
        <v>2224226.9</v>
      </c>
      <c r="AY3" s="188">
        <v>1439702.32</v>
      </c>
      <c r="AZ3" s="188">
        <v>101977</v>
      </c>
      <c r="BA3" s="188">
        <v>2112103.31</v>
      </c>
      <c r="BB3" s="188">
        <v>3413179.01</v>
      </c>
      <c r="BC3" s="188">
        <v>13160.94</v>
      </c>
      <c r="BD3" s="188">
        <v>3324975.28</v>
      </c>
      <c r="BE3" s="188">
        <v>767336.63</v>
      </c>
      <c r="BF3" s="188">
        <v>643282.57999999996</v>
      </c>
      <c r="BG3" s="188">
        <v>431412.56</v>
      </c>
      <c r="BH3" s="188">
        <v>232819.34</v>
      </c>
      <c r="BI3" s="188">
        <v>0</v>
      </c>
      <c r="BJ3" s="191">
        <v>19155126.41</v>
      </c>
      <c r="BK3" s="191">
        <v>10593783.51</v>
      </c>
      <c r="BL3" s="191">
        <v>0</v>
      </c>
      <c r="BM3" s="191">
        <v>369000</v>
      </c>
      <c r="BN3" s="191">
        <v>14770.45</v>
      </c>
      <c r="BO3" s="191">
        <v>0</v>
      </c>
      <c r="BP3" s="191">
        <v>900</v>
      </c>
      <c r="BQ3" s="191">
        <v>19739.54</v>
      </c>
      <c r="BR3" s="191">
        <v>0</v>
      </c>
      <c r="BS3" s="191">
        <v>2800</v>
      </c>
      <c r="BT3" s="191">
        <v>160000</v>
      </c>
      <c r="BU3" s="191">
        <v>0</v>
      </c>
      <c r="BV3" s="191">
        <v>0</v>
      </c>
    </row>
    <row r="4" spans="1:74" s="191" customFormat="1" x14ac:dyDescent="0.25">
      <c r="A4" s="191" t="s">
        <v>304</v>
      </c>
      <c r="B4" s="188">
        <v>179858793.91</v>
      </c>
      <c r="C4" s="188">
        <v>66581105.119999997</v>
      </c>
      <c r="D4" s="188">
        <v>37588388.200000003</v>
      </c>
      <c r="E4" s="188">
        <v>156674108.63</v>
      </c>
      <c r="F4" s="188">
        <v>114423910.94</v>
      </c>
      <c r="G4" s="188">
        <v>87841245.629999995</v>
      </c>
      <c r="H4" s="188">
        <v>67806938.549999997</v>
      </c>
      <c r="I4" s="188">
        <v>134683005.27000001</v>
      </c>
      <c r="J4" s="188">
        <v>103477291.09</v>
      </c>
      <c r="K4" s="188">
        <v>87298714.099999994</v>
      </c>
      <c r="L4" s="188">
        <v>69942593.450000003</v>
      </c>
      <c r="M4" s="188">
        <v>75916323.709999993</v>
      </c>
      <c r="N4" s="188">
        <v>71870543.280000001</v>
      </c>
      <c r="O4" s="188">
        <v>47484814.399999999</v>
      </c>
      <c r="P4" s="188">
        <v>26120514.27</v>
      </c>
      <c r="Q4" s="188">
        <v>124458315.77</v>
      </c>
      <c r="R4" s="188">
        <v>99252748.620000005</v>
      </c>
      <c r="S4" s="188">
        <v>54321559.450000003</v>
      </c>
      <c r="T4" s="188">
        <v>23065133.489999998</v>
      </c>
      <c r="U4" s="188">
        <v>102409652.75</v>
      </c>
      <c r="V4" s="188">
        <v>66796110.25</v>
      </c>
      <c r="W4" s="188">
        <v>37106065.93</v>
      </c>
      <c r="X4" s="188">
        <v>21820629.98</v>
      </c>
      <c r="Y4" s="188">
        <v>93817671.390000001</v>
      </c>
      <c r="Z4" s="188">
        <v>67639676.670000002</v>
      </c>
      <c r="AA4" s="188">
        <v>53906535.299999997</v>
      </c>
      <c r="AB4" s="188">
        <v>29189794.670000002</v>
      </c>
      <c r="AC4" s="188">
        <v>215244522.53</v>
      </c>
      <c r="AD4" s="188">
        <v>156152726.44</v>
      </c>
      <c r="AE4" s="188">
        <v>105529252.23</v>
      </c>
      <c r="AF4" s="188">
        <v>55207935.5</v>
      </c>
      <c r="AG4" s="188">
        <v>244884868.86000001</v>
      </c>
      <c r="AH4" s="188">
        <v>168208214.56999999</v>
      </c>
      <c r="AI4" s="188">
        <v>63645320.369999997</v>
      </c>
      <c r="AJ4" s="188">
        <v>53948461.450000003</v>
      </c>
      <c r="AK4" s="188">
        <v>150045762.91</v>
      </c>
      <c r="AL4" s="188">
        <v>123605319.28</v>
      </c>
      <c r="AM4" s="188">
        <v>50887190.369999997</v>
      </c>
      <c r="AN4" s="188">
        <v>27446231.41</v>
      </c>
      <c r="AO4" s="188">
        <v>111873714.77</v>
      </c>
      <c r="AP4" s="188">
        <v>78057431.150000006</v>
      </c>
      <c r="AQ4" s="188">
        <v>35254654.439999998</v>
      </c>
      <c r="AR4" s="188">
        <v>12138172.24</v>
      </c>
      <c r="AS4" s="188">
        <v>127873402.48999999</v>
      </c>
      <c r="AT4" s="188">
        <v>86538430.879999995</v>
      </c>
      <c r="AU4" s="188">
        <v>58906243.979999997</v>
      </c>
      <c r="AV4" s="188">
        <v>9174404.5700000003</v>
      </c>
      <c r="AW4" s="188">
        <v>202040275.72999999</v>
      </c>
      <c r="AX4" s="188">
        <v>122020414.23999999</v>
      </c>
      <c r="AY4" s="188">
        <v>83871884.769999996</v>
      </c>
      <c r="AZ4" s="188">
        <v>10059238.58</v>
      </c>
      <c r="BA4" s="188">
        <v>104367539.41</v>
      </c>
      <c r="BB4" s="188">
        <v>72558246.060000002</v>
      </c>
      <c r="BC4" s="188">
        <v>49981895.18</v>
      </c>
      <c r="BD4" s="188">
        <v>69445410.439999998</v>
      </c>
      <c r="BE4" s="188">
        <v>260843884.5</v>
      </c>
      <c r="BF4" s="188">
        <v>160694817.99000001</v>
      </c>
      <c r="BG4" s="188">
        <v>107646123.17</v>
      </c>
      <c r="BH4" s="188">
        <v>61327596.310000002</v>
      </c>
      <c r="BI4" s="188">
        <v>0</v>
      </c>
      <c r="BJ4" s="191">
        <v>25305358.43</v>
      </c>
      <c r="BK4" s="191">
        <v>15978509.74</v>
      </c>
      <c r="BL4" s="191">
        <v>0</v>
      </c>
      <c r="BM4" s="191">
        <v>73065685.459999993</v>
      </c>
      <c r="BN4" s="191">
        <v>67122727.099999994</v>
      </c>
      <c r="BO4" s="191">
        <v>65235985.68</v>
      </c>
      <c r="BP4" s="191">
        <v>13502999.359999999</v>
      </c>
      <c r="BQ4" s="191">
        <v>114347430.56</v>
      </c>
      <c r="BR4" s="191">
        <v>24941583.75</v>
      </c>
      <c r="BS4" s="191">
        <v>126906432.29000001</v>
      </c>
      <c r="BT4" s="191">
        <v>233961807.59999999</v>
      </c>
      <c r="BU4" s="191">
        <v>49999784.840000004</v>
      </c>
      <c r="BV4" s="191">
        <v>0</v>
      </c>
    </row>
    <row r="5" spans="1:74" s="47" customFormat="1" x14ac:dyDescent="0.25">
      <c r="A5" s="47" t="s">
        <v>295</v>
      </c>
      <c r="E5" s="47">
        <f>E4-E3</f>
        <v>154691037.63</v>
      </c>
      <c r="F5" s="47">
        <f t="shared" ref="F5:AR5" si="0">F4-F3</f>
        <v>112880099.94</v>
      </c>
      <c r="G5" s="47">
        <f t="shared" si="0"/>
        <v>86434434.629999995</v>
      </c>
      <c r="H5" s="47">
        <f t="shared" si="0"/>
        <v>67778621.549999997</v>
      </c>
      <c r="I5" s="47">
        <f t="shared" si="0"/>
        <v>133299846.12</v>
      </c>
      <c r="J5" s="47">
        <f t="shared" si="0"/>
        <v>103407382.09</v>
      </c>
      <c r="K5" s="47">
        <f t="shared" si="0"/>
        <v>87231805.099999994</v>
      </c>
      <c r="L5" s="47">
        <f t="shared" si="0"/>
        <v>69939283.450000003</v>
      </c>
      <c r="M5" s="47">
        <f t="shared" si="0"/>
        <v>73515202.269999996</v>
      </c>
      <c r="N5" s="47">
        <f t="shared" si="0"/>
        <v>71765809.280000001</v>
      </c>
      <c r="O5" s="47">
        <f t="shared" si="0"/>
        <v>47410580.399999999</v>
      </c>
      <c r="P5" s="47">
        <f t="shared" si="0"/>
        <v>26115714.27</v>
      </c>
      <c r="Q5" s="47">
        <f t="shared" si="0"/>
        <v>120743083.08</v>
      </c>
      <c r="R5" s="47">
        <f t="shared" si="0"/>
        <v>98485871.270000011</v>
      </c>
      <c r="S5" s="47">
        <f t="shared" si="0"/>
        <v>53716390.950000003</v>
      </c>
      <c r="T5" s="47">
        <f t="shared" si="0"/>
        <v>22592726.989999998</v>
      </c>
      <c r="U5" s="47">
        <f t="shared" si="0"/>
        <v>100244566.92</v>
      </c>
      <c r="V5" s="47">
        <f t="shared" si="0"/>
        <v>66191804.460000001</v>
      </c>
      <c r="W5" s="47">
        <f t="shared" si="0"/>
        <v>36656935.93</v>
      </c>
      <c r="X5" s="47">
        <f t="shared" si="0"/>
        <v>21674629.98</v>
      </c>
      <c r="Y5" s="47">
        <f t="shared" si="0"/>
        <v>92538091.820000008</v>
      </c>
      <c r="Z5" s="47">
        <f t="shared" si="0"/>
        <v>66809106.670000002</v>
      </c>
      <c r="AA5" s="47">
        <f t="shared" si="0"/>
        <v>53343285.299999997</v>
      </c>
      <c r="AB5" s="47">
        <f t="shared" si="0"/>
        <v>28864934.670000002</v>
      </c>
      <c r="AC5" s="47">
        <f t="shared" si="0"/>
        <v>212466576.75999999</v>
      </c>
      <c r="AD5" s="47">
        <f t="shared" si="0"/>
        <v>154124070.75999999</v>
      </c>
      <c r="AE5" s="47">
        <f t="shared" si="0"/>
        <v>104318390.29000001</v>
      </c>
      <c r="AF5" s="47">
        <f t="shared" si="0"/>
        <v>54428241.43</v>
      </c>
      <c r="AG5" s="47">
        <f t="shared" si="0"/>
        <v>243048777.67000002</v>
      </c>
      <c r="AH5" s="47">
        <f t="shared" si="0"/>
        <v>167628542.69999999</v>
      </c>
      <c r="AI5" s="47">
        <f t="shared" si="0"/>
        <v>63638876.57</v>
      </c>
      <c r="AJ5" s="47">
        <f t="shared" si="0"/>
        <v>53856483.330000006</v>
      </c>
      <c r="AK5" s="47">
        <f t="shared" si="0"/>
        <v>148591896.10999998</v>
      </c>
      <c r="AL5" s="47">
        <f t="shared" si="0"/>
        <v>121253443.43000001</v>
      </c>
      <c r="AM5" s="47">
        <f t="shared" si="0"/>
        <v>49038935.659999996</v>
      </c>
      <c r="AN5" s="47">
        <f t="shared" si="0"/>
        <v>27343705.710000001</v>
      </c>
      <c r="AO5" s="47">
        <f t="shared" si="0"/>
        <v>109967416.56</v>
      </c>
      <c r="AP5" s="47">
        <f t="shared" si="0"/>
        <v>72956722.88000001</v>
      </c>
      <c r="AQ5" s="47">
        <f t="shared" si="0"/>
        <v>32640911.589999996</v>
      </c>
      <c r="AR5" s="47">
        <f t="shared" si="0"/>
        <v>12124708.950000001</v>
      </c>
    </row>
    <row r="6" spans="1:74" s="104" customFormat="1" x14ac:dyDescent="0.25">
      <c r="A6" s="104" t="s">
        <v>305</v>
      </c>
      <c r="B6" s="188">
        <v>0</v>
      </c>
      <c r="C6" s="188">
        <v>51552038.75</v>
      </c>
      <c r="D6" s="188">
        <v>0</v>
      </c>
      <c r="E6" s="188">
        <v>91099215.629999995</v>
      </c>
      <c r="F6" s="188">
        <v>0</v>
      </c>
      <c r="G6" s="188">
        <v>42461320.840000004</v>
      </c>
      <c r="H6" s="188">
        <v>0</v>
      </c>
      <c r="I6" s="188">
        <v>110322860.01000001</v>
      </c>
      <c r="J6" s="188">
        <v>0</v>
      </c>
      <c r="K6" s="188">
        <v>48709243.920000002</v>
      </c>
      <c r="L6" s="188">
        <v>0</v>
      </c>
      <c r="M6" s="188">
        <v>102009147.34</v>
      </c>
      <c r="N6" s="188">
        <v>0</v>
      </c>
      <c r="O6" s="188">
        <v>48482029.890000001</v>
      </c>
      <c r="P6" s="188">
        <v>0</v>
      </c>
      <c r="Q6" s="188">
        <v>91093414.659999996</v>
      </c>
      <c r="R6" s="188">
        <v>0</v>
      </c>
      <c r="S6" s="188">
        <v>48073033.039999999</v>
      </c>
      <c r="T6" s="188">
        <v>0</v>
      </c>
      <c r="U6" s="188">
        <v>85358968.430000007</v>
      </c>
      <c r="V6" s="188">
        <v>0</v>
      </c>
      <c r="W6" s="188">
        <v>55844737.210000001</v>
      </c>
      <c r="X6" s="188">
        <v>0</v>
      </c>
      <c r="Y6" s="188">
        <v>85182715.760000005</v>
      </c>
      <c r="Z6" s="188">
        <v>0</v>
      </c>
      <c r="AA6" s="188">
        <v>42405530</v>
      </c>
      <c r="AB6" s="188">
        <v>0</v>
      </c>
      <c r="AC6" s="188">
        <v>76585420.650000006</v>
      </c>
      <c r="AD6" s="188">
        <v>0</v>
      </c>
      <c r="AE6" s="188">
        <v>35608139.979999997</v>
      </c>
      <c r="AF6" s="188">
        <v>0</v>
      </c>
      <c r="AG6" s="188">
        <v>64490350.609999999</v>
      </c>
      <c r="AH6" s="188">
        <v>0</v>
      </c>
      <c r="AI6" s="188">
        <v>33237019.579999998</v>
      </c>
      <c r="AJ6" s="188">
        <v>0</v>
      </c>
      <c r="AK6" s="188">
        <v>55681284.850000001</v>
      </c>
      <c r="AL6" s="188">
        <v>0</v>
      </c>
      <c r="AM6" s="188">
        <v>25651523.43</v>
      </c>
      <c r="AN6" s="188">
        <v>0</v>
      </c>
      <c r="AO6" s="188">
        <v>48875996.549999997</v>
      </c>
      <c r="AP6" s="188">
        <v>0</v>
      </c>
      <c r="AQ6" s="188">
        <v>23140213.149999999</v>
      </c>
      <c r="AR6" s="188">
        <v>0</v>
      </c>
      <c r="AS6" s="188">
        <v>42675176.18</v>
      </c>
      <c r="AT6" s="188">
        <v>0</v>
      </c>
      <c r="AU6" s="188">
        <v>21016657.510000002</v>
      </c>
      <c r="AV6" s="188">
        <v>0</v>
      </c>
      <c r="AW6" s="188">
        <v>40816534.909999996</v>
      </c>
      <c r="AX6" s="188">
        <v>31311562.27</v>
      </c>
      <c r="AY6" s="188">
        <v>21467604.149999999</v>
      </c>
      <c r="AZ6" s="188">
        <v>9361609.4900000002</v>
      </c>
      <c r="BA6" s="188">
        <v>32080180.489999998</v>
      </c>
      <c r="BB6" s="188">
        <v>23685836.75</v>
      </c>
      <c r="BC6" s="188">
        <v>15843285.9</v>
      </c>
      <c r="BD6" s="188">
        <v>8673287.6400000006</v>
      </c>
      <c r="BE6" s="188">
        <v>22262356.780000001</v>
      </c>
      <c r="BF6" s="188">
        <v>15572305.85</v>
      </c>
      <c r="BG6" s="188">
        <v>10304147.08</v>
      </c>
      <c r="BH6" s="188">
        <v>18333606.190000001</v>
      </c>
      <c r="BI6" s="188">
        <v>0</v>
      </c>
      <c r="BJ6" s="191">
        <v>52973848.18</v>
      </c>
      <c r="BK6" s="191">
        <v>35566960.799999997</v>
      </c>
      <c r="BL6" s="191">
        <v>0</v>
      </c>
      <c r="BM6" s="191">
        <v>104647982.18000001</v>
      </c>
      <c r="BN6" s="191">
        <v>39118076.439999998</v>
      </c>
      <c r="BO6" s="191">
        <v>59567407.759999998</v>
      </c>
      <c r="BP6" s="191">
        <v>27956523.690000001</v>
      </c>
      <c r="BQ6" s="191">
        <v>57663184.75</v>
      </c>
      <c r="BR6" s="191">
        <v>27962043.77</v>
      </c>
      <c r="BS6" s="191">
        <v>47644861.729999997</v>
      </c>
      <c r="BT6" s="191">
        <v>24048938.690000001</v>
      </c>
      <c r="BU6" s="191">
        <v>11181467.130000001</v>
      </c>
      <c r="BV6" s="191">
        <v>0</v>
      </c>
    </row>
    <row r="7" spans="1:74" s="191" customFormat="1" x14ac:dyDescent="0.25">
      <c r="A7" s="191" t="s">
        <v>306</v>
      </c>
      <c r="B7" s="188">
        <v>0</v>
      </c>
      <c r="C7" s="188">
        <v>7727242.1799999997</v>
      </c>
      <c r="D7" s="188">
        <v>0</v>
      </c>
      <c r="E7" s="188">
        <v>14066375.52</v>
      </c>
      <c r="F7" s="188">
        <v>0</v>
      </c>
      <c r="G7" s="188">
        <v>6944732.2000000002</v>
      </c>
      <c r="H7" s="188">
        <v>0</v>
      </c>
      <c r="I7" s="188">
        <v>13043757.880000001</v>
      </c>
      <c r="J7" s="188">
        <v>0</v>
      </c>
      <c r="K7" s="188">
        <v>6406874.0700000003</v>
      </c>
      <c r="L7" s="188">
        <v>0</v>
      </c>
      <c r="M7" s="188">
        <v>7908665.1799999997</v>
      </c>
      <c r="N7" s="188">
        <v>0</v>
      </c>
      <c r="O7" s="188">
        <v>3916119.51</v>
      </c>
      <c r="P7" s="188">
        <v>0</v>
      </c>
      <c r="Q7" s="188">
        <v>7641327.3399999999</v>
      </c>
      <c r="R7" s="188">
        <v>0</v>
      </c>
      <c r="S7" s="188">
        <v>3790454.87</v>
      </c>
      <c r="T7" s="188">
        <v>0</v>
      </c>
      <c r="U7" s="188">
        <v>7394392.9900000002</v>
      </c>
      <c r="V7" s="188">
        <v>0</v>
      </c>
      <c r="W7" s="188">
        <v>3701086.68</v>
      </c>
      <c r="X7" s="188">
        <v>0</v>
      </c>
      <c r="Y7" s="188">
        <v>7040764.9699999997</v>
      </c>
      <c r="Z7" s="188">
        <v>0</v>
      </c>
      <c r="AA7" s="188">
        <v>3469661.21</v>
      </c>
      <c r="AB7" s="188">
        <v>0</v>
      </c>
      <c r="AC7" s="188">
        <v>6166330.7999999998</v>
      </c>
      <c r="AD7" s="188">
        <v>0</v>
      </c>
      <c r="AE7" s="188">
        <v>2560545.2200000002</v>
      </c>
      <c r="AF7" s="188">
        <v>0</v>
      </c>
      <c r="AG7" s="188">
        <v>5589180.1299999999</v>
      </c>
      <c r="AH7" s="188">
        <v>0</v>
      </c>
      <c r="AI7" s="188">
        <v>2706139.33</v>
      </c>
      <c r="AJ7" s="188">
        <v>0</v>
      </c>
      <c r="AK7" s="188">
        <v>4865157.49</v>
      </c>
      <c r="AL7" s="188">
        <v>0</v>
      </c>
      <c r="AM7" s="188">
        <v>2363165.7999999998</v>
      </c>
      <c r="AN7" s="188">
        <v>0</v>
      </c>
      <c r="AO7" s="188">
        <v>4824052.38</v>
      </c>
      <c r="AP7" s="188">
        <v>0</v>
      </c>
      <c r="AQ7" s="188">
        <v>2074799.54</v>
      </c>
      <c r="AR7" s="188">
        <v>0</v>
      </c>
      <c r="AS7" s="188">
        <v>3536425.31</v>
      </c>
      <c r="AT7" s="188">
        <v>0</v>
      </c>
      <c r="AU7" s="188">
        <v>1178480.97</v>
      </c>
      <c r="AV7" s="188">
        <v>0</v>
      </c>
      <c r="AW7" s="188">
        <v>234230.39999999999</v>
      </c>
      <c r="AX7" s="188">
        <v>54922.5</v>
      </c>
      <c r="AY7" s="188">
        <v>36615</v>
      </c>
      <c r="AZ7" s="188">
        <v>18307.5</v>
      </c>
      <c r="BA7" s="188">
        <v>66135</v>
      </c>
      <c r="BB7" s="188">
        <v>85690</v>
      </c>
      <c r="BC7" s="188">
        <v>42255</v>
      </c>
      <c r="BD7" s="188">
        <v>14212.5</v>
      </c>
      <c r="BE7" s="188">
        <v>52170</v>
      </c>
      <c r="BF7" s="188">
        <v>37957.5</v>
      </c>
      <c r="BG7" s="188">
        <v>44285</v>
      </c>
      <c r="BH7" s="188">
        <v>35519.160000000003</v>
      </c>
      <c r="BI7" s="188">
        <v>0</v>
      </c>
      <c r="BJ7" s="191">
        <v>0</v>
      </c>
      <c r="BK7" s="191">
        <v>1847233.03</v>
      </c>
      <c r="BL7" s="191">
        <v>0</v>
      </c>
      <c r="BM7" s="191">
        <v>0</v>
      </c>
      <c r="BN7" s="191">
        <v>0</v>
      </c>
      <c r="BO7" s="191">
        <v>19538614.559999999</v>
      </c>
      <c r="BP7" s="191">
        <v>1848489.94</v>
      </c>
      <c r="BQ7" s="191">
        <v>8639473.6600000001</v>
      </c>
      <c r="BR7" s="191">
        <v>196667.67</v>
      </c>
      <c r="BS7" s="191">
        <v>5201971.04</v>
      </c>
      <c r="BT7" s="191">
        <v>1563614.61</v>
      </c>
      <c r="BU7" s="191">
        <v>205697.33</v>
      </c>
      <c r="BV7" s="191">
        <v>0</v>
      </c>
    </row>
    <row r="8" spans="1:74" s="191" customFormat="1" x14ac:dyDescent="0.25">
      <c r="A8" s="191" t="s">
        <v>307</v>
      </c>
      <c r="B8" s="188">
        <v>0</v>
      </c>
      <c r="C8" s="188">
        <v>780994.41</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585275.56999999995</v>
      </c>
      <c r="BG8" s="188">
        <v>28710</v>
      </c>
      <c r="BH8" s="188">
        <v>331076.47999999998</v>
      </c>
      <c r="BI8" s="188">
        <v>0</v>
      </c>
      <c r="BJ8" s="191">
        <v>5035270.6399999997</v>
      </c>
      <c r="BK8" s="191">
        <v>0</v>
      </c>
      <c r="BL8" s="191">
        <v>0</v>
      </c>
      <c r="BM8" s="191">
        <v>16564494.83</v>
      </c>
      <c r="BN8" s="191">
        <v>10135362.720000001</v>
      </c>
      <c r="BO8" s="191">
        <v>0</v>
      </c>
      <c r="BP8" s="191">
        <v>12196587.91</v>
      </c>
      <c r="BQ8" s="191">
        <v>0</v>
      </c>
      <c r="BR8" s="191">
        <v>0</v>
      </c>
      <c r="BS8" s="191">
        <v>0</v>
      </c>
      <c r="BT8" s="191">
        <v>0</v>
      </c>
      <c r="BU8" s="191">
        <v>0</v>
      </c>
      <c r="BV8" s="191">
        <v>0</v>
      </c>
    </row>
    <row r="9" spans="1:74" s="191" customFormat="1" x14ac:dyDescent="0.25">
      <c r="A9" s="191" t="s">
        <v>308</v>
      </c>
      <c r="B9" s="188">
        <v>0</v>
      </c>
      <c r="C9" s="188">
        <v>-722053.59</v>
      </c>
      <c r="D9" s="188">
        <v>0</v>
      </c>
      <c r="E9" s="188">
        <v>-887518.81</v>
      </c>
      <c r="F9" s="188">
        <v>0</v>
      </c>
      <c r="G9" s="188">
        <v>-1284698.32</v>
      </c>
      <c r="H9" s="188">
        <v>0</v>
      </c>
      <c r="I9" s="188">
        <v>3697885.35</v>
      </c>
      <c r="J9" s="188">
        <v>0</v>
      </c>
      <c r="K9" s="188">
        <v>-259987.64</v>
      </c>
      <c r="L9" s="188">
        <v>0</v>
      </c>
      <c r="M9" s="188">
        <v>2078639.96</v>
      </c>
      <c r="N9" s="188">
        <v>0</v>
      </c>
      <c r="O9" s="188">
        <v>70957.149999999994</v>
      </c>
      <c r="P9" s="188">
        <v>0</v>
      </c>
      <c r="Q9" s="188">
        <v>1384988.05</v>
      </c>
      <c r="R9" s="188">
        <v>0</v>
      </c>
      <c r="S9" s="188">
        <v>-943283.92</v>
      </c>
      <c r="T9" s="188">
        <v>0</v>
      </c>
      <c r="U9" s="188">
        <v>781569.82</v>
      </c>
      <c r="V9" s="188">
        <v>0</v>
      </c>
      <c r="W9" s="188">
        <v>-270427.65999999997</v>
      </c>
      <c r="X9" s="188">
        <v>0</v>
      </c>
      <c r="Y9" s="188">
        <v>1437076.5</v>
      </c>
      <c r="Z9" s="188">
        <v>0</v>
      </c>
      <c r="AA9" s="188">
        <v>789291.97</v>
      </c>
      <c r="AB9" s="188">
        <v>0</v>
      </c>
      <c r="AC9" s="188">
        <v>-3560.58</v>
      </c>
      <c r="AD9" s="188">
        <v>0</v>
      </c>
      <c r="AE9" s="188">
        <v>-346456.32000000001</v>
      </c>
      <c r="AF9" s="188">
        <v>0</v>
      </c>
      <c r="AG9" s="188">
        <v>1387177.16</v>
      </c>
      <c r="AH9" s="188">
        <v>0</v>
      </c>
      <c r="AI9" s="188">
        <v>107501.91</v>
      </c>
      <c r="AJ9" s="188">
        <v>0</v>
      </c>
      <c r="AK9" s="188">
        <v>2621340.67</v>
      </c>
      <c r="AL9" s="188">
        <v>0</v>
      </c>
      <c r="AM9" s="188">
        <v>643537.25</v>
      </c>
      <c r="AN9" s="188">
        <v>0</v>
      </c>
      <c r="AO9" s="188">
        <v>475566.19</v>
      </c>
      <c r="AP9" s="188">
        <v>0</v>
      </c>
      <c r="AQ9" s="188">
        <v>-173332.02</v>
      </c>
      <c r="AR9" s="188">
        <v>0</v>
      </c>
      <c r="AS9" s="188">
        <v>217717.66</v>
      </c>
      <c r="AT9" s="188">
        <v>0</v>
      </c>
      <c r="AU9" s="188">
        <v>-43692.21</v>
      </c>
      <c r="AV9" s="188">
        <v>0</v>
      </c>
      <c r="AW9" s="188">
        <v>780097.35</v>
      </c>
      <c r="AX9" s="188">
        <v>718143.02</v>
      </c>
      <c r="AY9" s="188">
        <v>436640.6</v>
      </c>
      <c r="AZ9" s="188">
        <v>30870.57</v>
      </c>
      <c r="BA9" s="188">
        <v>-4000.36</v>
      </c>
      <c r="BB9" s="188">
        <v>108124.63</v>
      </c>
      <c r="BC9" s="188">
        <v>10185.49</v>
      </c>
      <c r="BD9" s="188">
        <v>102276.78</v>
      </c>
      <c r="BE9" s="188">
        <v>178164.32</v>
      </c>
      <c r="BF9" s="188">
        <v>90795.33</v>
      </c>
      <c r="BG9" s="188">
        <v>-1469.63</v>
      </c>
      <c r="BH9" s="188">
        <v>68266.11</v>
      </c>
      <c r="BI9" s="188">
        <v>0</v>
      </c>
      <c r="BJ9" s="191">
        <v>6459910.2199999997</v>
      </c>
      <c r="BK9" s="191">
        <v>6396483.1900000004</v>
      </c>
      <c r="BL9" s="191">
        <v>0</v>
      </c>
      <c r="BM9" s="191">
        <v>2621677.35</v>
      </c>
      <c r="BN9" s="191">
        <v>-12507.54</v>
      </c>
      <c r="BO9" s="191">
        <v>169020.35</v>
      </c>
      <c r="BP9" s="191">
        <v>-900</v>
      </c>
      <c r="BQ9" s="191">
        <v>1402071.71</v>
      </c>
      <c r="BR9" s="191">
        <v>0</v>
      </c>
      <c r="BS9" s="191">
        <v>1148009.55</v>
      </c>
      <c r="BT9" s="191">
        <v>285147</v>
      </c>
      <c r="BU9" s="191">
        <v>0</v>
      </c>
      <c r="BV9" s="191">
        <v>0</v>
      </c>
    </row>
    <row r="10" spans="1:74" s="26" customFormat="1" x14ac:dyDescent="0.25">
      <c r="A10" s="17" t="s">
        <v>309</v>
      </c>
      <c r="B10" s="188">
        <v>0</v>
      </c>
      <c r="C10" s="188">
        <v>-118061.31</v>
      </c>
      <c r="D10" s="188">
        <v>0</v>
      </c>
      <c r="E10" s="188">
        <v>1362826.1</v>
      </c>
      <c r="F10" s="188">
        <v>0</v>
      </c>
      <c r="G10" s="188">
        <v>1828330.86</v>
      </c>
      <c r="H10" s="188">
        <v>0</v>
      </c>
      <c r="I10" s="188">
        <v>0</v>
      </c>
      <c r="J10" s="188">
        <v>0</v>
      </c>
      <c r="K10" s="188">
        <v>917796.1</v>
      </c>
      <c r="L10" s="188">
        <v>0</v>
      </c>
      <c r="M10" s="188">
        <v>0</v>
      </c>
      <c r="N10" s="188">
        <v>0</v>
      </c>
      <c r="O10" s="188">
        <v>276851.62</v>
      </c>
      <c r="P10" s="188">
        <v>0</v>
      </c>
      <c r="Q10" s="188">
        <v>0</v>
      </c>
      <c r="R10" s="188">
        <v>0</v>
      </c>
      <c r="S10" s="188">
        <v>109377.71</v>
      </c>
      <c r="T10" s="188">
        <v>0</v>
      </c>
      <c r="U10" s="188">
        <v>0</v>
      </c>
      <c r="V10" s="188">
        <v>0</v>
      </c>
      <c r="W10" s="188">
        <v>396952.01</v>
      </c>
      <c r="X10" s="188">
        <v>0</v>
      </c>
      <c r="Y10" s="188">
        <v>0</v>
      </c>
      <c r="Z10" s="188">
        <v>0</v>
      </c>
      <c r="AA10" s="188">
        <v>-12874.5</v>
      </c>
      <c r="AB10" s="188">
        <v>0</v>
      </c>
      <c r="AC10" s="188">
        <v>191701.19</v>
      </c>
      <c r="AD10" s="188">
        <v>0</v>
      </c>
      <c r="AE10" s="188">
        <v>267500.51</v>
      </c>
      <c r="AF10" s="188">
        <v>0</v>
      </c>
      <c r="AG10" s="188">
        <v>687425.16</v>
      </c>
      <c r="AH10" s="188">
        <v>0</v>
      </c>
      <c r="AI10" s="188">
        <v>0</v>
      </c>
      <c r="AJ10" s="188">
        <v>0</v>
      </c>
      <c r="AK10" s="188">
        <v>730360.41</v>
      </c>
      <c r="AL10" s="188">
        <v>0</v>
      </c>
      <c r="AM10" s="188">
        <v>499101.14</v>
      </c>
      <c r="AN10" s="188">
        <v>0</v>
      </c>
      <c r="AO10" s="188">
        <v>51577.65</v>
      </c>
      <c r="AP10" s="188">
        <v>0</v>
      </c>
      <c r="AQ10" s="188">
        <v>0</v>
      </c>
      <c r="AR10" s="188">
        <v>0</v>
      </c>
      <c r="AS10" s="188">
        <v>1066110.01</v>
      </c>
      <c r="AT10" s="188">
        <v>0</v>
      </c>
      <c r="AU10" s="188">
        <v>11023.41</v>
      </c>
      <c r="AV10" s="188">
        <v>0</v>
      </c>
      <c r="AW10" s="188">
        <v>2977388.75</v>
      </c>
      <c r="AX10" s="188">
        <v>-2000</v>
      </c>
      <c r="AY10" s="188">
        <v>0</v>
      </c>
      <c r="AZ10" s="188">
        <v>0</v>
      </c>
      <c r="BA10" s="188">
        <v>120652.24</v>
      </c>
      <c r="BB10" s="188">
        <v>0</v>
      </c>
      <c r="BC10" s="188">
        <v>40267.75</v>
      </c>
      <c r="BD10" s="188">
        <v>0</v>
      </c>
      <c r="BE10" s="188">
        <v>0</v>
      </c>
      <c r="BF10" s="188">
        <v>1113.3699999999999</v>
      </c>
      <c r="BG10" s="188">
        <v>0</v>
      </c>
      <c r="BH10" s="188">
        <v>0</v>
      </c>
      <c r="BI10" s="188">
        <v>0</v>
      </c>
      <c r="BJ10" s="188">
        <v>630110.76</v>
      </c>
      <c r="BK10" s="188">
        <v>0</v>
      </c>
      <c r="BL10" s="188">
        <v>0</v>
      </c>
      <c r="BM10" s="188">
        <v>0</v>
      </c>
      <c r="BN10" s="188">
        <v>0</v>
      </c>
      <c r="BO10" s="188">
        <v>0</v>
      </c>
      <c r="BP10" s="188">
        <v>0</v>
      </c>
      <c r="BQ10" s="188">
        <v>0</v>
      </c>
      <c r="BR10" s="188">
        <v>0</v>
      </c>
      <c r="BS10" s="188">
        <v>0</v>
      </c>
      <c r="BT10" s="188">
        <v>0</v>
      </c>
      <c r="BU10" s="188">
        <v>0</v>
      </c>
      <c r="BV10" s="188">
        <v>0</v>
      </c>
    </row>
    <row r="11" spans="1:74" s="47" customFormat="1" x14ac:dyDescent="0.25">
      <c r="A11" s="134" t="s">
        <v>296</v>
      </c>
      <c r="E11" s="47">
        <f>E5-E6-E7-E8-E9-E10</f>
        <v>49050139.190000005</v>
      </c>
      <c r="F11" s="47">
        <f t="shared" ref="F11:BQ11" si="1">F5-F6-F7-F8-F9-F10</f>
        <v>112880099.94</v>
      </c>
      <c r="G11" s="47">
        <f t="shared" si="1"/>
        <v>36484749.04999999</v>
      </c>
      <c r="H11" s="47">
        <f t="shared" si="1"/>
        <v>67778621.549999997</v>
      </c>
      <c r="I11" s="47">
        <f t="shared" si="1"/>
        <v>6235342.879999999</v>
      </c>
      <c r="J11" s="47">
        <f t="shared" si="1"/>
        <v>103407382.09</v>
      </c>
      <c r="K11" s="47">
        <f t="shared" si="1"/>
        <v>31457878.649999991</v>
      </c>
      <c r="L11" s="47">
        <f t="shared" si="1"/>
        <v>69939283.450000003</v>
      </c>
      <c r="M11" s="47">
        <f t="shared" si="1"/>
        <v>-38481250.210000008</v>
      </c>
      <c r="N11" s="47">
        <f t="shared" si="1"/>
        <v>71765809.280000001</v>
      </c>
      <c r="O11" s="47">
        <f t="shared" si="1"/>
        <v>-5335377.7700000023</v>
      </c>
      <c r="P11" s="47">
        <f t="shared" si="1"/>
        <v>26115714.27</v>
      </c>
      <c r="Q11" s="47">
        <f t="shared" si="1"/>
        <v>20623353.030000001</v>
      </c>
      <c r="R11" s="47">
        <f t="shared" si="1"/>
        <v>98485871.270000011</v>
      </c>
      <c r="S11" s="47">
        <f t="shared" si="1"/>
        <v>2686809.2500000037</v>
      </c>
      <c r="T11" s="47">
        <f t="shared" si="1"/>
        <v>22592726.989999998</v>
      </c>
      <c r="U11" s="47">
        <f t="shared" si="1"/>
        <v>6709635.6799999941</v>
      </c>
      <c r="V11" s="47">
        <f t="shared" si="1"/>
        <v>66191804.460000001</v>
      </c>
      <c r="W11" s="47">
        <f t="shared" si="1"/>
        <v>-23015412.310000002</v>
      </c>
      <c r="X11" s="47">
        <f t="shared" si="1"/>
        <v>21674629.98</v>
      </c>
      <c r="Y11" s="47">
        <f t="shared" si="1"/>
        <v>-1122465.4099999974</v>
      </c>
      <c r="Z11" s="47">
        <f t="shared" si="1"/>
        <v>66809106.670000002</v>
      </c>
      <c r="AA11" s="47">
        <f t="shared" si="1"/>
        <v>6691676.6199999973</v>
      </c>
      <c r="AB11" s="47">
        <f t="shared" si="1"/>
        <v>28864934.670000002</v>
      </c>
      <c r="AC11" s="47">
        <f t="shared" si="1"/>
        <v>129526684.69999999</v>
      </c>
      <c r="AD11" s="47">
        <f t="shared" si="1"/>
        <v>154124070.75999999</v>
      </c>
      <c r="AE11" s="47">
        <f t="shared" si="1"/>
        <v>66228660.900000006</v>
      </c>
      <c r="AF11" s="47">
        <f t="shared" si="1"/>
        <v>54428241.43</v>
      </c>
      <c r="AG11" s="47">
        <f t="shared" si="1"/>
        <v>170894644.61000001</v>
      </c>
      <c r="AH11" s="47">
        <f t="shared" si="1"/>
        <v>167628542.69999999</v>
      </c>
      <c r="AI11" s="47">
        <f t="shared" si="1"/>
        <v>27588215.750000004</v>
      </c>
      <c r="AJ11" s="47">
        <f t="shared" si="1"/>
        <v>53856483.330000006</v>
      </c>
      <c r="AK11" s="47">
        <f t="shared" si="1"/>
        <v>84693752.689999998</v>
      </c>
      <c r="AL11" s="47">
        <f t="shared" si="1"/>
        <v>121253443.43000001</v>
      </c>
      <c r="AM11" s="47">
        <f t="shared" si="1"/>
        <v>19881608.039999995</v>
      </c>
      <c r="AN11" s="47">
        <f t="shared" si="1"/>
        <v>27343705.710000001</v>
      </c>
      <c r="AO11" s="47">
        <f t="shared" si="1"/>
        <v>55740223.790000007</v>
      </c>
      <c r="AP11" s="47">
        <f t="shared" si="1"/>
        <v>72956722.88000001</v>
      </c>
      <c r="AQ11" s="47">
        <f t="shared" si="1"/>
        <v>7599230.9199999971</v>
      </c>
      <c r="AR11" s="47">
        <f t="shared" si="1"/>
        <v>12124708.950000001</v>
      </c>
      <c r="AS11" s="47">
        <f t="shared" si="1"/>
        <v>-47495429.159999996</v>
      </c>
      <c r="AT11" s="47">
        <f t="shared" si="1"/>
        <v>0</v>
      </c>
      <c r="AU11" s="47">
        <f t="shared" si="1"/>
        <v>-22162469.68</v>
      </c>
      <c r="AV11" s="47">
        <f t="shared" si="1"/>
        <v>0</v>
      </c>
      <c r="AW11" s="47">
        <f t="shared" si="1"/>
        <v>-44808251.409999996</v>
      </c>
      <c r="AX11" s="47">
        <f t="shared" si="1"/>
        <v>-32082627.789999999</v>
      </c>
      <c r="AY11" s="47">
        <f t="shared" si="1"/>
        <v>-21940859.75</v>
      </c>
      <c r="AZ11" s="47">
        <f t="shared" si="1"/>
        <v>-9410787.5600000005</v>
      </c>
      <c r="BA11" s="47">
        <f t="shared" si="1"/>
        <v>-32262967.369999997</v>
      </c>
      <c r="BB11" s="47">
        <f t="shared" si="1"/>
        <v>-23879651.379999999</v>
      </c>
      <c r="BC11" s="47">
        <f t="shared" si="1"/>
        <v>-15935994.140000001</v>
      </c>
      <c r="BD11" s="47">
        <f t="shared" si="1"/>
        <v>-8789776.9199999999</v>
      </c>
      <c r="BE11" s="47">
        <f t="shared" si="1"/>
        <v>-22492691.100000001</v>
      </c>
      <c r="BF11" s="47">
        <f t="shared" si="1"/>
        <v>-16287447.619999999</v>
      </c>
      <c r="BG11" s="47">
        <f t="shared" si="1"/>
        <v>-10375672.449999999</v>
      </c>
      <c r="BH11" s="47">
        <f t="shared" si="1"/>
        <v>-18768467.940000001</v>
      </c>
      <c r="BI11" s="47">
        <f t="shared" si="1"/>
        <v>0</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1351107032.6400001</v>
      </c>
      <c r="F12" s="26">
        <f t="shared" si="3"/>
        <v>1385773227.3699999</v>
      </c>
      <c r="G12" s="26">
        <f t="shared" si="3"/>
        <v>1390657825.1400001</v>
      </c>
      <c r="H12" s="26">
        <f t="shared" si="3"/>
        <v>1395882247.4300001</v>
      </c>
      <c r="I12" s="26">
        <f t="shared" si="3"/>
        <v>1344054483.5599999</v>
      </c>
      <c r="J12" s="26">
        <f t="shared" si="3"/>
        <v>1412927164.8199999</v>
      </c>
      <c r="K12" s="26">
        <f t="shared" si="3"/>
        <v>1417669937.52</v>
      </c>
      <c r="L12" s="26">
        <f t="shared" si="3"/>
        <v>1434151605.3800001</v>
      </c>
      <c r="M12" s="26">
        <f t="shared" si="3"/>
        <v>1370138447.8</v>
      </c>
      <c r="N12" s="26">
        <f t="shared" si="3"/>
        <v>1351930374.6800001</v>
      </c>
      <c r="O12" s="26">
        <f t="shared" si="3"/>
        <v>1319760689.6700001</v>
      </c>
      <c r="P12" s="26">
        <f t="shared" si="3"/>
        <v>1310712465.8900001</v>
      </c>
      <c r="Q12" s="26">
        <f t="shared" si="3"/>
        <v>1302204461.46</v>
      </c>
      <c r="R12" s="191">
        <f t="shared" ref="R12" si="4">V34</f>
        <v>1290344189.8299999</v>
      </c>
      <c r="S12" s="191">
        <f t="shared" ref="S12" si="5">W34</f>
        <v>1265595384.27</v>
      </c>
      <c r="T12" s="191">
        <f t="shared" ref="T12" si="6">X34</f>
        <v>1271917326.78</v>
      </c>
      <c r="U12" s="191">
        <f t="shared" ref="U12" si="7">Y34</f>
        <v>1272867448.5699999</v>
      </c>
      <c r="V12" s="191">
        <f t="shared" ref="V12" si="8">Z34</f>
        <v>1274429673.6099999</v>
      </c>
      <c r="W12" s="191">
        <f t="shared" ref="W12" si="9">AA34</f>
        <v>1282483477.05</v>
      </c>
      <c r="X12" s="191">
        <f t="shared" ref="X12" si="10">AB34</f>
        <v>1241682983.4200001</v>
      </c>
      <c r="Y12" s="191">
        <f t="shared" ref="Y12" si="11">AC34</f>
        <v>1220805485.2</v>
      </c>
      <c r="Z12" s="191">
        <f t="shared" ref="Z12" si="12">AD34</f>
        <v>1205696897.5</v>
      </c>
      <c r="AA12" s="191">
        <f t="shared" ref="AA12" si="13">AE34</f>
        <v>1174280829.7</v>
      </c>
      <c r="AB12" s="191">
        <f t="shared" ref="AB12" si="14">AF34</f>
        <v>1131875372.6099999</v>
      </c>
      <c r="AC12" s="191">
        <f t="shared" ref="AC12" si="15">AG34</f>
        <v>1105251019.0999999</v>
      </c>
      <c r="AD12" s="191">
        <f t="shared" ref="AD12" si="16">AH34</f>
        <v>1022915155.45</v>
      </c>
      <c r="AE12" s="191">
        <f t="shared" ref="AE12" si="17">AI34</f>
        <v>976105033.28999996</v>
      </c>
      <c r="AF12" s="191">
        <f t="shared" ref="AF12" si="18">AJ34</f>
        <v>932102022.20000005</v>
      </c>
      <c r="AG12" s="191">
        <f t="shared" ref="AG12" si="19">AK34</f>
        <v>910856439.25999999</v>
      </c>
      <c r="AH12" s="191">
        <f t="shared" ref="AH12" si="20">AL34</f>
        <v>866055907.14999998</v>
      </c>
      <c r="AI12" s="191">
        <f t="shared" ref="AI12" si="21">AM34</f>
        <v>831359431.63</v>
      </c>
      <c r="AJ12" s="191">
        <f t="shared" ref="AJ12" si="22">AN34</f>
        <v>812794156.12</v>
      </c>
      <c r="AK12" s="191">
        <f t="shared" ref="AK12" si="23">AO34</f>
        <v>798634356.37</v>
      </c>
      <c r="AL12" s="191">
        <f t="shared" ref="AL12" si="24">AP34</f>
        <v>789185382.17000008</v>
      </c>
      <c r="AM12" s="191">
        <f t="shared" ref="AM12" si="25">AQ34</f>
        <v>746563006.58000004</v>
      </c>
      <c r="AN12" s="191">
        <f t="shared" ref="AN12" si="26">AR34</f>
        <v>739450908.69000006</v>
      </c>
      <c r="AO12" s="191">
        <f t="shared" ref="AO12" si="27">AS34</f>
        <v>738001001.90999997</v>
      </c>
      <c r="AP12" s="191">
        <f t="shared" ref="AP12" si="28">AT34</f>
        <v>710269024.5</v>
      </c>
      <c r="AQ12" s="191">
        <f t="shared" ref="AQ12" si="29">AU34</f>
        <v>698171784.44000006</v>
      </c>
      <c r="AR12" s="191">
        <f t="shared" ref="AR12" si="30">AV34</f>
        <v>609691775.38999999</v>
      </c>
      <c r="AS12" s="191">
        <f t="shared" ref="AS12" si="31">AW34</f>
        <v>603651415.44000006</v>
      </c>
      <c r="AT12" s="191">
        <f t="shared" ref="AT12" si="32">AX34</f>
        <v>583798480.17999995</v>
      </c>
      <c r="AU12" s="191">
        <f t="shared" ref="AU12" si="33">AY34</f>
        <v>589016910.71000004</v>
      </c>
      <c r="AV12" s="191">
        <f t="shared" ref="AV12" si="34">AZ34</f>
        <v>530502482.69</v>
      </c>
      <c r="AW12" s="191">
        <f t="shared" ref="AW12" si="35">BA34</f>
        <v>532933734.81</v>
      </c>
      <c r="AX12" s="191">
        <f t="shared" ref="AX12" si="36">BB34</f>
        <v>505870239.93000001</v>
      </c>
      <c r="AY12" s="191">
        <f t="shared" ref="AY12" si="37">BC34</f>
        <v>496127050.10000002</v>
      </c>
      <c r="AZ12" s="191">
        <f t="shared" ref="AZ12" si="38">BD34</f>
        <v>492287524.10000002</v>
      </c>
      <c r="BA12" s="191">
        <f t="shared" ref="BA12" si="39">BE34</f>
        <v>480334526.26999998</v>
      </c>
      <c r="BB12" s="191">
        <f t="shared" ref="BB12" si="40">BF34</f>
        <v>392350485.44</v>
      </c>
      <c r="BC12" s="191">
        <f t="shared" ref="BC12" si="41">BG34</f>
        <v>288701982.5</v>
      </c>
      <c r="BD12" s="191">
        <f t="shared" ref="BD12" si="42">BH34</f>
        <v>226150203.28999999</v>
      </c>
      <c r="BE12" s="191">
        <f t="shared" ref="BE12" si="43">BI34</f>
        <v>173225259.87</v>
      </c>
      <c r="BF12" s="191">
        <f t="shared" ref="BF12" si="44">BJ34</f>
        <v>825865641.13</v>
      </c>
      <c r="BG12" s="191">
        <f t="shared" ref="BG12" si="45">BK34</f>
        <v>816270896.63999999</v>
      </c>
      <c r="BH12" s="191">
        <f t="shared" ref="BH12" si="46">BL34</f>
        <v>0</v>
      </c>
      <c r="BI12" s="191">
        <f t="shared" ref="BI12" si="47">BM34</f>
        <v>1013148133.48</v>
      </c>
      <c r="BJ12" s="191">
        <f t="shared" ref="BJ12" si="48">BN34</f>
        <v>1057000381.14</v>
      </c>
      <c r="BK12" s="191">
        <f t="shared" ref="BK12" si="49">BO34</f>
        <v>1030127290.25</v>
      </c>
      <c r="BL12" s="191">
        <f t="shared" ref="BL12" si="50">BP34</f>
        <v>1048339198.6</v>
      </c>
      <c r="BM12" s="191">
        <f t="shared" ref="BM12" si="51">BQ34</f>
        <v>789185382.17000008</v>
      </c>
      <c r="BN12" s="191">
        <f t="shared" ref="BN12" si="52">BR34</f>
        <v>746563006.58000004</v>
      </c>
    </row>
    <row r="13" spans="1:74" s="218" customFormat="1" x14ac:dyDescent="0.25">
      <c r="A13" s="218" t="s">
        <v>351</v>
      </c>
      <c r="E13" s="218">
        <f>E11/E12</f>
        <v>3.6303666552721825E-2</v>
      </c>
      <c r="F13" s="218">
        <f t="shared" ref="F13:AR13" si="53">F11/F12</f>
        <v>8.1456401170507772E-2</v>
      </c>
      <c r="G13" s="218">
        <f t="shared" si="53"/>
        <v>2.6235604755128747E-2</v>
      </c>
      <c r="H13" s="218">
        <f t="shared" si="53"/>
        <v>4.8556116875036713E-2</v>
      </c>
      <c r="I13" s="218">
        <f t="shared" si="53"/>
        <v>4.6392039580749975E-3</v>
      </c>
      <c r="J13" s="218">
        <f t="shared" si="53"/>
        <v>7.3186633157536901E-2</v>
      </c>
      <c r="K13" s="218">
        <f t="shared" si="53"/>
        <v>2.2189846746013965E-2</v>
      </c>
      <c r="L13" s="218">
        <f t="shared" si="53"/>
        <v>4.8767008444318923E-2</v>
      </c>
      <c r="M13" s="218">
        <f t="shared" si="53"/>
        <v>-2.8085665555760787E-2</v>
      </c>
      <c r="N13" s="218">
        <f t="shared" si="53"/>
        <v>5.3083953600041617E-2</v>
      </c>
      <c r="O13" s="218">
        <f t="shared" si="53"/>
        <v>-4.0426857776269184E-3</v>
      </c>
      <c r="P13" s="218">
        <f t="shared" si="53"/>
        <v>1.9924823292396861E-2</v>
      </c>
      <c r="Q13" s="218">
        <f t="shared" si="53"/>
        <v>1.5837261843564564E-2</v>
      </c>
      <c r="R13" s="218">
        <f t="shared" si="53"/>
        <v>7.6325272005894271E-2</v>
      </c>
      <c r="S13" s="218">
        <f t="shared" si="53"/>
        <v>2.1229606898019505E-3</v>
      </c>
      <c r="T13" s="218">
        <f t="shared" si="53"/>
        <v>1.776273230524817E-2</v>
      </c>
      <c r="U13" s="218">
        <f t="shared" si="53"/>
        <v>5.271276037059412E-3</v>
      </c>
      <c r="V13" s="218">
        <f t="shared" si="53"/>
        <v>5.1938373556935848E-2</v>
      </c>
      <c r="W13" s="218">
        <f t="shared" si="53"/>
        <v>-1.7945971797578727E-2</v>
      </c>
      <c r="X13" s="218">
        <f t="shared" si="53"/>
        <v>1.7455848448773129E-2</v>
      </c>
      <c r="Y13" s="218">
        <f t="shared" si="53"/>
        <v>-9.1944656508166655E-4</v>
      </c>
      <c r="Z13" s="218">
        <f t="shared" si="53"/>
        <v>5.5411195640071721E-2</v>
      </c>
      <c r="AA13" s="218">
        <f t="shared" si="53"/>
        <v>5.6985317743027076E-3</v>
      </c>
      <c r="AB13" s="218">
        <f t="shared" si="53"/>
        <v>2.5501866520375061E-2</v>
      </c>
      <c r="AC13" s="218">
        <f t="shared" si="53"/>
        <v>0.11719209705454321</v>
      </c>
      <c r="AD13" s="218">
        <f t="shared" si="53"/>
        <v>0.15067141193366898</v>
      </c>
      <c r="AE13" s="218">
        <f t="shared" si="53"/>
        <v>6.7849932785177564E-2</v>
      </c>
      <c r="AF13" s="218">
        <f t="shared" si="53"/>
        <v>5.8393008633899728E-2</v>
      </c>
      <c r="AG13" s="218">
        <f t="shared" si="53"/>
        <v>0.18761973593647602</v>
      </c>
      <c r="AH13" s="218">
        <f t="shared" si="53"/>
        <v>0.19355395109725509</v>
      </c>
      <c r="AI13" s="218">
        <f t="shared" si="53"/>
        <v>3.3184462340084757E-2</v>
      </c>
      <c r="AJ13" s="218">
        <f t="shared" si="53"/>
        <v>6.626091357139223E-2</v>
      </c>
      <c r="AK13" s="218">
        <f t="shared" si="53"/>
        <v>0.10604822095928235</v>
      </c>
      <c r="AL13" s="218">
        <f t="shared" si="53"/>
        <v>0.15364380305245004</v>
      </c>
      <c r="AM13" s="218">
        <f t="shared" si="53"/>
        <v>2.6630850798618464E-2</v>
      </c>
      <c r="AN13" s="218">
        <f t="shared" si="53"/>
        <v>3.6978392194340112E-2</v>
      </c>
      <c r="AO13" s="218">
        <f t="shared" si="53"/>
        <v>7.5528655985209067E-2</v>
      </c>
      <c r="AP13" s="218">
        <f t="shared" si="53"/>
        <v>0.10271702744091722</v>
      </c>
      <c r="AQ13" s="218">
        <f t="shared" si="53"/>
        <v>1.0884471543196637E-2</v>
      </c>
      <c r="AR13" s="218">
        <f t="shared" si="53"/>
        <v>1.9886620484988862E-2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274000000</v>
      </c>
      <c r="C16" s="188">
        <v>274000000</v>
      </c>
      <c r="D16" s="188">
        <v>274000000</v>
      </c>
      <c r="E16" s="188">
        <v>1866064.51</v>
      </c>
      <c r="F16" s="188">
        <v>1866064.5</v>
      </c>
      <c r="G16" s="188">
        <v>1866064.5</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10253624.300000001</v>
      </c>
      <c r="AA16" s="188">
        <v>10253624.300000001</v>
      </c>
      <c r="AB16" s="188">
        <v>10253624.300000001</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1866064.51</v>
      </c>
      <c r="F17" s="47">
        <f t="shared" ref="F17:AV17" si="54">F16-F15</f>
        <v>1866064.5</v>
      </c>
      <c r="G17" s="47">
        <f t="shared" si="54"/>
        <v>1866064.5</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10253624.300000001</v>
      </c>
      <c r="AA17" s="47">
        <f t="shared" si="54"/>
        <v>10253624.300000001</v>
      </c>
      <c r="AB17" s="47">
        <f t="shared" si="54"/>
        <v>10253624.300000001</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156557102.13999999</v>
      </c>
      <c r="F19" s="191">
        <f t="shared" ref="F19:AS19" si="55">F5+F17</f>
        <v>114746164.44</v>
      </c>
      <c r="G19" s="191">
        <f t="shared" si="55"/>
        <v>88300499.129999995</v>
      </c>
      <c r="H19" s="191">
        <f t="shared" si="55"/>
        <v>67778621.549999997</v>
      </c>
      <c r="I19" s="191">
        <f t="shared" si="55"/>
        <v>133299846.12</v>
      </c>
      <c r="J19" s="191">
        <f t="shared" si="55"/>
        <v>103407382.09</v>
      </c>
      <c r="K19" s="191">
        <f t="shared" si="55"/>
        <v>87231805.099999994</v>
      </c>
      <c r="L19" s="191">
        <f t="shared" si="55"/>
        <v>69939283.450000003</v>
      </c>
      <c r="M19" s="191">
        <f t="shared" si="55"/>
        <v>73515202.269999996</v>
      </c>
      <c r="N19" s="191">
        <f t="shared" si="55"/>
        <v>71765809.280000001</v>
      </c>
      <c r="O19" s="191">
        <f t="shared" si="55"/>
        <v>47410580.399999999</v>
      </c>
      <c r="P19" s="191">
        <f t="shared" si="55"/>
        <v>26115714.27</v>
      </c>
      <c r="Q19" s="191">
        <f t="shared" si="55"/>
        <v>120743083.08</v>
      </c>
      <c r="R19" s="191">
        <f t="shared" si="55"/>
        <v>98485871.270000011</v>
      </c>
      <c r="S19" s="191">
        <f t="shared" si="55"/>
        <v>53716390.950000003</v>
      </c>
      <c r="T19" s="191">
        <f t="shared" si="55"/>
        <v>22592726.989999998</v>
      </c>
      <c r="U19" s="191">
        <f t="shared" si="55"/>
        <v>100244566.92</v>
      </c>
      <c r="V19" s="191">
        <f t="shared" si="55"/>
        <v>66191804.460000001</v>
      </c>
      <c r="W19" s="191">
        <f t="shared" si="55"/>
        <v>36656935.93</v>
      </c>
      <c r="X19" s="191">
        <f t="shared" si="55"/>
        <v>21674629.98</v>
      </c>
      <c r="Y19" s="191">
        <f t="shared" si="55"/>
        <v>92538091.820000008</v>
      </c>
      <c r="Z19" s="191">
        <f t="shared" si="55"/>
        <v>77062730.969999999</v>
      </c>
      <c r="AA19" s="191">
        <f t="shared" si="55"/>
        <v>63596909.599999994</v>
      </c>
      <c r="AB19" s="191">
        <f t="shared" si="55"/>
        <v>39118558.969999999</v>
      </c>
      <c r="AC19" s="191">
        <f t="shared" si="55"/>
        <v>212466576.75999999</v>
      </c>
      <c r="AD19" s="191">
        <f t="shared" si="55"/>
        <v>154124070.75999999</v>
      </c>
      <c r="AE19" s="191">
        <f t="shared" si="55"/>
        <v>104318390.29000001</v>
      </c>
      <c r="AF19" s="191">
        <f t="shared" si="55"/>
        <v>54428241.43</v>
      </c>
      <c r="AG19" s="191">
        <f t="shared" si="55"/>
        <v>243048777.67000002</v>
      </c>
      <c r="AH19" s="191">
        <f t="shared" si="55"/>
        <v>167628542.69999999</v>
      </c>
      <c r="AI19" s="191">
        <f t="shared" si="55"/>
        <v>63638876.57</v>
      </c>
      <c r="AJ19" s="191">
        <f t="shared" si="55"/>
        <v>53856483.330000006</v>
      </c>
      <c r="AK19" s="191">
        <f t="shared" si="55"/>
        <v>148591896.10999998</v>
      </c>
      <c r="AL19" s="191">
        <f t="shared" si="55"/>
        <v>121253443.43000001</v>
      </c>
      <c r="AM19" s="191">
        <f t="shared" si="55"/>
        <v>49038935.659999996</v>
      </c>
      <c r="AN19" s="191">
        <f t="shared" si="55"/>
        <v>27343705.710000001</v>
      </c>
      <c r="AO19" s="191">
        <f t="shared" si="55"/>
        <v>109967416.56</v>
      </c>
      <c r="AP19" s="191">
        <f t="shared" si="55"/>
        <v>72956722.88000001</v>
      </c>
      <c r="AQ19" s="191">
        <f t="shared" si="55"/>
        <v>32640911.589999996</v>
      </c>
      <c r="AR19" s="191">
        <f t="shared" si="55"/>
        <v>12124708.950000001</v>
      </c>
      <c r="AS19" s="191">
        <f t="shared" si="55"/>
        <v>0</v>
      </c>
    </row>
    <row r="20" spans="1:74" s="191" customFormat="1" x14ac:dyDescent="0.25">
      <c r="A20" s="191" t="s">
        <v>300</v>
      </c>
      <c r="B20" s="188">
        <v>489470049.01999998</v>
      </c>
      <c r="C20" s="188">
        <v>393330792.12</v>
      </c>
      <c r="D20" s="188">
        <v>440632421.23000002</v>
      </c>
      <c r="E20" s="188">
        <v>1081469057.3900001</v>
      </c>
      <c r="F20" s="188">
        <v>822447296.21000004</v>
      </c>
      <c r="G20" s="188">
        <v>558857207.70000005</v>
      </c>
      <c r="H20" s="188">
        <v>415714993.74000001</v>
      </c>
      <c r="I20" s="188">
        <v>1388990550.6199999</v>
      </c>
      <c r="J20" s="188">
        <v>608892240.20000005</v>
      </c>
      <c r="K20" s="188">
        <v>206636530.62</v>
      </c>
      <c r="L20" s="188">
        <v>166782789.94999999</v>
      </c>
      <c r="M20" s="188">
        <v>1133089710.6700001</v>
      </c>
      <c r="N20" s="188">
        <v>428149213.16000003</v>
      </c>
      <c r="O20" s="188">
        <v>111878359.38</v>
      </c>
      <c r="P20" s="188">
        <v>18749711.93</v>
      </c>
      <c r="Q20" s="188">
        <v>833189311.71000004</v>
      </c>
      <c r="R20" s="188">
        <v>589218175.98000002</v>
      </c>
      <c r="S20" s="188">
        <v>329143759.11000001</v>
      </c>
      <c r="T20" s="188">
        <v>209107738.5</v>
      </c>
      <c r="U20" s="188">
        <v>587991877.5</v>
      </c>
      <c r="V20" s="188">
        <v>614513946.80999994</v>
      </c>
      <c r="W20" s="188">
        <v>353324461.77999997</v>
      </c>
      <c r="X20" s="188">
        <v>275317698.57999998</v>
      </c>
      <c r="Y20" s="188">
        <v>857330477.76999998</v>
      </c>
      <c r="Z20" s="188">
        <v>706341025.13999999</v>
      </c>
      <c r="AA20" s="188">
        <v>352027676.93000001</v>
      </c>
      <c r="AB20" s="188">
        <v>103266458.12</v>
      </c>
      <c r="AC20" s="188">
        <v>219233865.46000001</v>
      </c>
      <c r="AD20" s="188">
        <v>126409064.48999999</v>
      </c>
      <c r="AE20" s="188">
        <v>70083925.299999997</v>
      </c>
      <c r="AF20" s="188">
        <v>74229360.859999999</v>
      </c>
      <c r="AG20" s="188">
        <v>124250348.59999999</v>
      </c>
      <c r="AH20" s="188">
        <v>81735701.819999993</v>
      </c>
      <c r="AI20" s="188">
        <v>-136040605.96000001</v>
      </c>
      <c r="AJ20" s="188">
        <v>-43256404.710000001</v>
      </c>
      <c r="AK20" s="188">
        <v>294584239.20999998</v>
      </c>
      <c r="AL20" s="188">
        <v>327327389.25999999</v>
      </c>
      <c r="AM20" s="188">
        <v>220488022.80000001</v>
      </c>
      <c r="AN20" s="188">
        <v>144004315.24000001</v>
      </c>
      <c r="AO20" s="188">
        <v>142166074.19999999</v>
      </c>
      <c r="AP20" s="188">
        <v>-58249795.399999999</v>
      </c>
      <c r="AQ20" s="188">
        <v>-125212592.67</v>
      </c>
      <c r="AR20" s="188">
        <v>-88807431.120000005</v>
      </c>
      <c r="AS20" s="188">
        <v>166892972.24000001</v>
      </c>
      <c r="AT20" s="188">
        <v>-121190154.14</v>
      </c>
      <c r="AU20" s="188">
        <v>-87524942.269999996</v>
      </c>
      <c r="AV20" s="188">
        <v>-120040532.86</v>
      </c>
      <c r="AW20" s="188">
        <v>273662170.22000003</v>
      </c>
      <c r="AX20" s="188">
        <v>-12654065.140000001</v>
      </c>
      <c r="AY20" s="188">
        <v>-65916569.539999999</v>
      </c>
      <c r="AZ20" s="188">
        <v>-103948150.09</v>
      </c>
      <c r="BA20" s="188">
        <v>117032633.45</v>
      </c>
      <c r="BB20" s="188">
        <v>-82189770.620000005</v>
      </c>
      <c r="BC20" s="188">
        <v>-87964482.689999998</v>
      </c>
      <c r="BD20" s="188">
        <v>-49873004.299999997</v>
      </c>
      <c r="BE20" s="188">
        <v>113270859.19</v>
      </c>
      <c r="BF20" s="188">
        <v>11142045.699999999</v>
      </c>
      <c r="BG20" s="188">
        <v>1693313.56</v>
      </c>
      <c r="BH20" s="188">
        <v>46561357.909999996</v>
      </c>
      <c r="BI20" s="188">
        <v>0</v>
      </c>
      <c r="BJ20" s="188">
        <v>10012713.58</v>
      </c>
      <c r="BK20" s="188">
        <v>103885212.09999999</v>
      </c>
      <c r="BL20" s="188">
        <v>53739026.68</v>
      </c>
      <c r="BM20" s="188">
        <v>86553355.260000005</v>
      </c>
      <c r="BN20" s="188">
        <v>54847398.829999998</v>
      </c>
      <c r="BO20" s="188">
        <v>96441569.840000004</v>
      </c>
      <c r="BP20" s="188">
        <v>41720009.359999999</v>
      </c>
      <c r="BQ20" s="188">
        <v>195693176.84999999</v>
      </c>
      <c r="BR20" s="188">
        <v>144842011.44</v>
      </c>
      <c r="BS20" s="188">
        <v>215586300.55000001</v>
      </c>
      <c r="BT20" s="188">
        <v>-50870453.439999998</v>
      </c>
      <c r="BU20" s="188">
        <v>-64035949.789999999</v>
      </c>
      <c r="BV20" s="188">
        <v>0</v>
      </c>
    </row>
    <row r="21" spans="1:74" s="219" customFormat="1" x14ac:dyDescent="0.25">
      <c r="A21" s="219" t="s">
        <v>666</v>
      </c>
      <c r="E21" s="219">
        <f>E20/E19</f>
        <v>6.9078249572025463</v>
      </c>
      <c r="F21" s="219">
        <f t="shared" ref="F21:AS21" si="56">F20/F19</f>
        <v>7.1675362764744284</v>
      </c>
      <c r="G21" s="219">
        <f t="shared" si="56"/>
        <v>6.3290379239784951</v>
      </c>
      <c r="H21" s="219">
        <f t="shared" si="56"/>
        <v>6.1334235520462581</v>
      </c>
      <c r="I21" s="219">
        <f t="shared" si="56"/>
        <v>10.420046166967023</v>
      </c>
      <c r="J21" s="219">
        <f t="shared" si="56"/>
        <v>5.8882859994468699</v>
      </c>
      <c r="K21" s="219">
        <f t="shared" si="56"/>
        <v>2.3688209866013654</v>
      </c>
      <c r="L21" s="219">
        <f t="shared" si="56"/>
        <v>2.3846797067807244</v>
      </c>
      <c r="M21" s="219">
        <f t="shared" si="56"/>
        <v>15.412998613653956</v>
      </c>
      <c r="N21" s="219">
        <f t="shared" si="56"/>
        <v>5.9659218986793823</v>
      </c>
      <c r="O21" s="219">
        <f t="shared" si="56"/>
        <v>2.3597762026132041</v>
      </c>
      <c r="P21" s="219">
        <f t="shared" si="56"/>
        <v>0.71794750609361757</v>
      </c>
      <c r="Q21" s="219">
        <f t="shared" si="56"/>
        <v>6.9005138054819994</v>
      </c>
      <c r="R21" s="219">
        <f t="shared" si="56"/>
        <v>5.9827685776841273</v>
      </c>
      <c r="S21" s="219">
        <f t="shared" si="56"/>
        <v>6.1274362124657964</v>
      </c>
      <c r="T21" s="219">
        <f t="shared" si="56"/>
        <v>9.2555333666695194</v>
      </c>
      <c r="U21" s="219">
        <f t="shared" si="56"/>
        <v>5.8655735224956969</v>
      </c>
      <c r="V21" s="219">
        <f t="shared" si="56"/>
        <v>9.2838373545376509</v>
      </c>
      <c r="W21" s="219">
        <f t="shared" si="56"/>
        <v>9.6386796336362526</v>
      </c>
      <c r="X21" s="219">
        <f t="shared" si="56"/>
        <v>12.702302130834346</v>
      </c>
      <c r="Y21" s="219">
        <f t="shared" si="56"/>
        <v>9.2646223939610941</v>
      </c>
      <c r="Z21" s="219">
        <f t="shared" si="56"/>
        <v>9.1657928060578833</v>
      </c>
      <c r="AA21" s="219">
        <f t="shared" si="56"/>
        <v>5.5352953334386559</v>
      </c>
      <c r="AB21" s="219">
        <f t="shared" si="56"/>
        <v>2.6398328782815081</v>
      </c>
      <c r="AC21" s="219">
        <f t="shared" si="56"/>
        <v>1.0318510741933979</v>
      </c>
      <c r="AD21" s="219">
        <f t="shared" si="56"/>
        <v>0.82017730174569914</v>
      </c>
      <c r="AE21" s="219">
        <f t="shared" si="56"/>
        <v>0.67182713522678139</v>
      </c>
      <c r="AF21" s="219">
        <f t="shared" si="56"/>
        <v>1.3638023002353687</v>
      </c>
      <c r="AG21" s="219">
        <f t="shared" si="56"/>
        <v>0.51121569008135959</v>
      </c>
      <c r="AH21" s="219">
        <f t="shared" si="56"/>
        <v>0.48760014555683423</v>
      </c>
      <c r="AI21" s="219">
        <f t="shared" si="56"/>
        <v>-2.1376965353931294</v>
      </c>
      <c r="AJ21" s="219">
        <f t="shared" si="56"/>
        <v>-0.80317915384394623</v>
      </c>
      <c r="AK21" s="219">
        <f t="shared" si="56"/>
        <v>1.9825054186799287</v>
      </c>
      <c r="AL21" s="219">
        <f t="shared" si="56"/>
        <v>2.6995306689905854</v>
      </c>
      <c r="AM21" s="219">
        <f t="shared" si="56"/>
        <v>4.4961828765759151</v>
      </c>
      <c r="AN21" s="219">
        <f t="shared" si="56"/>
        <v>5.2664520591053421</v>
      </c>
      <c r="AO21" s="219">
        <f t="shared" si="56"/>
        <v>1.2928018011810969</v>
      </c>
      <c r="AP21" s="219">
        <f t="shared" si="56"/>
        <v>-0.7984157333356362</v>
      </c>
      <c r="AQ21" s="219">
        <f t="shared" si="56"/>
        <v>-3.8360629826392669</v>
      </c>
      <c r="AR21" s="219">
        <f t="shared" si="56"/>
        <v>-7.3245000342874205</v>
      </c>
      <c r="AS21" s="219" t="e">
        <f t="shared" si="56"/>
        <v>#DIV/0!</v>
      </c>
    </row>
    <row r="22" spans="1:74" s="191" customFormat="1" x14ac:dyDescent="0.25">
      <c r="A22" s="191" t="s">
        <v>301</v>
      </c>
      <c r="E22" s="191">
        <f>I35</f>
        <v>1607838305.72</v>
      </c>
      <c r="F22" s="191">
        <f t="shared" ref="F22:Y22" si="57">J35</f>
        <v>1146935466.0599999</v>
      </c>
      <c r="G22" s="191">
        <f t="shared" si="57"/>
        <v>973473073.52999997</v>
      </c>
      <c r="H22" s="191">
        <f t="shared" si="57"/>
        <v>1532569510.2900002</v>
      </c>
      <c r="I22" s="191">
        <f t="shared" si="57"/>
        <v>1444443950.5999999</v>
      </c>
      <c r="J22" s="191">
        <f t="shared" si="57"/>
        <v>1518532567.6700001</v>
      </c>
      <c r="K22" s="191">
        <f t="shared" si="57"/>
        <v>1349885162.78</v>
      </c>
      <c r="L22" s="191">
        <f t="shared" si="57"/>
        <v>1537926816.7</v>
      </c>
      <c r="M22" s="191">
        <f t="shared" si="57"/>
        <v>1535672774.6500001</v>
      </c>
      <c r="N22" s="191">
        <f t="shared" si="57"/>
        <v>1698293662.4199998</v>
      </c>
      <c r="O22" s="191">
        <f t="shared" si="57"/>
        <v>1474406832.54</v>
      </c>
      <c r="P22" s="191">
        <f t="shared" si="57"/>
        <v>1605234381.5599999</v>
      </c>
      <c r="Q22" s="191">
        <f t="shared" si="57"/>
        <v>1411090090.3299999</v>
      </c>
      <c r="R22" s="191">
        <f t="shared" si="57"/>
        <v>1473211483.7600002</v>
      </c>
      <c r="S22" s="191">
        <f t="shared" si="57"/>
        <v>1227246558.8399999</v>
      </c>
      <c r="T22" s="191">
        <f t="shared" si="57"/>
        <v>1373586027.52</v>
      </c>
      <c r="U22" s="191">
        <f t="shared" si="57"/>
        <v>1118835233.3200002</v>
      </c>
      <c r="V22" s="191">
        <f t="shared" si="57"/>
        <v>999573292.24000001</v>
      </c>
      <c r="W22" s="191">
        <f t="shared" si="57"/>
        <v>654969391.44000006</v>
      </c>
      <c r="X22" s="191">
        <f t="shared" si="57"/>
        <v>640070206.80999994</v>
      </c>
      <c r="Y22" s="191">
        <f t="shared" si="57"/>
        <v>576512051.78999996</v>
      </c>
      <c r="Z22" s="191">
        <f t="shared" ref="Z22" si="58">AD35</f>
        <v>575488239.81000006</v>
      </c>
      <c r="AA22" s="191">
        <f t="shared" ref="AA22" si="59">AE35</f>
        <v>556811064.88999999</v>
      </c>
      <c r="AB22" s="191">
        <f t="shared" ref="AB22" si="60">AF35</f>
        <v>767377965.5</v>
      </c>
      <c r="AC22" s="191">
        <f t="shared" ref="AC22" si="61">AG35</f>
        <v>751537281.95999992</v>
      </c>
      <c r="AD22" s="191">
        <f t="shared" ref="AD22" si="62">AH35</f>
        <v>781833471.58000004</v>
      </c>
      <c r="AE22" s="191">
        <f t="shared" ref="AE22" si="63">AI35</f>
        <v>650565182.23000002</v>
      </c>
      <c r="AF22" s="191">
        <f t="shared" ref="AF22" si="64">AJ35</f>
        <v>871669024.28000009</v>
      </c>
      <c r="AG22" s="191">
        <f t="shared" ref="AG22" si="65">AK35</f>
        <v>971356067.97000003</v>
      </c>
      <c r="AH22" s="191">
        <f t="shared" ref="AH22" si="66">AL35</f>
        <v>1020166355.99</v>
      </c>
      <c r="AI22" s="191">
        <f t="shared" ref="AI22" si="67">AM35</f>
        <v>981809759.1500001</v>
      </c>
      <c r="AJ22" s="191">
        <f t="shared" ref="AJ22" si="68">AN35</f>
        <v>1013120662.7399999</v>
      </c>
      <c r="AK22" s="191">
        <f t="shared" ref="AK22" si="69">AO35</f>
        <v>900411208.95000005</v>
      </c>
      <c r="AL22" s="191">
        <f t="shared" ref="AL22" si="70">AP35</f>
        <v>722356317.48000002</v>
      </c>
      <c r="AM22" s="191">
        <f t="shared" ref="AM22" si="71">AQ35</f>
        <v>678219620.47000003</v>
      </c>
      <c r="AN22" s="191">
        <f t="shared" ref="AN22" si="72">AR35</f>
        <v>684145075.19000006</v>
      </c>
      <c r="AO22" s="191">
        <f t="shared" ref="AO22" si="73">AS35</f>
        <v>796996001.26999998</v>
      </c>
      <c r="AP22" s="191">
        <f t="shared" ref="AP22" si="74">AT35</f>
        <v>869946817.48000002</v>
      </c>
      <c r="AQ22" s="191">
        <f t="shared" ref="AQ22" si="75">AU35</f>
        <v>249995814.53</v>
      </c>
      <c r="AR22" s="191">
        <f t="shared" ref="AR22" si="76">AV35</f>
        <v>318970673.57999998</v>
      </c>
      <c r="AS22" s="191">
        <f t="shared" ref="AS22" si="77">AW35</f>
        <v>418955105.27999997</v>
      </c>
    </row>
    <row r="23" spans="1:74" s="191" customFormat="1" x14ac:dyDescent="0.25">
      <c r="A23" s="191" t="s">
        <v>302</v>
      </c>
      <c r="E23" s="191">
        <f>E20+E22-E19</f>
        <v>2532750260.9700003</v>
      </c>
      <c r="F23" s="191">
        <f t="shared" ref="F23:AS23" si="78">F20+F22-F19</f>
        <v>1854636597.8299999</v>
      </c>
      <c r="G23" s="191">
        <f t="shared" si="78"/>
        <v>1444029782.0999999</v>
      </c>
      <c r="H23" s="191">
        <f t="shared" si="78"/>
        <v>1880505882.4800003</v>
      </c>
      <c r="I23" s="191">
        <f t="shared" si="78"/>
        <v>2700134655.0999999</v>
      </c>
      <c r="J23" s="191">
        <f t="shared" si="78"/>
        <v>2024017425.7800002</v>
      </c>
      <c r="K23" s="191">
        <f t="shared" si="78"/>
        <v>1469289888.3000002</v>
      </c>
      <c r="L23" s="191">
        <f t="shared" si="78"/>
        <v>1634770323.2</v>
      </c>
      <c r="M23" s="191">
        <f t="shared" si="78"/>
        <v>2595247283.0500002</v>
      </c>
      <c r="N23" s="191">
        <f t="shared" si="78"/>
        <v>2054677066.3</v>
      </c>
      <c r="O23" s="191">
        <f t="shared" si="78"/>
        <v>1538874611.52</v>
      </c>
      <c r="P23" s="191">
        <f t="shared" si="78"/>
        <v>1597868379.22</v>
      </c>
      <c r="Q23" s="191">
        <f t="shared" si="78"/>
        <v>2123536318.96</v>
      </c>
      <c r="R23" s="191">
        <f t="shared" si="78"/>
        <v>1963943788.4700003</v>
      </c>
      <c r="S23" s="191">
        <f t="shared" si="78"/>
        <v>1502673926.9999998</v>
      </c>
      <c r="T23" s="191">
        <f t="shared" si="78"/>
        <v>1560101039.03</v>
      </c>
      <c r="U23" s="191">
        <f t="shared" si="78"/>
        <v>1606582543.9000001</v>
      </c>
      <c r="V23" s="191">
        <f t="shared" si="78"/>
        <v>1547895434.5899999</v>
      </c>
      <c r="W23" s="191">
        <f t="shared" si="78"/>
        <v>971636917.29000008</v>
      </c>
      <c r="X23" s="191">
        <f t="shared" si="78"/>
        <v>893713275.40999985</v>
      </c>
      <c r="Y23" s="191">
        <f t="shared" si="78"/>
        <v>1341304437.74</v>
      </c>
      <c r="Z23" s="191">
        <f t="shared" si="78"/>
        <v>1204766533.98</v>
      </c>
      <c r="AA23" s="191">
        <f t="shared" si="78"/>
        <v>845241832.21999991</v>
      </c>
      <c r="AB23" s="191">
        <f t="shared" si="78"/>
        <v>831525864.64999998</v>
      </c>
      <c r="AC23" s="191">
        <f t="shared" si="78"/>
        <v>758304570.65999997</v>
      </c>
      <c r="AD23" s="191">
        <f t="shared" si="78"/>
        <v>754118465.31000006</v>
      </c>
      <c r="AE23" s="191">
        <f t="shared" si="78"/>
        <v>616330717.24000001</v>
      </c>
      <c r="AF23" s="191">
        <f t="shared" si="78"/>
        <v>891470143.71000016</v>
      </c>
      <c r="AG23" s="191">
        <f t="shared" si="78"/>
        <v>852557638.89999986</v>
      </c>
      <c r="AH23" s="191">
        <f t="shared" si="78"/>
        <v>934273515.1099999</v>
      </c>
      <c r="AI23" s="191">
        <f t="shared" si="78"/>
        <v>782130276.62</v>
      </c>
      <c r="AJ23" s="191">
        <f t="shared" si="78"/>
        <v>916007774.69999981</v>
      </c>
      <c r="AK23" s="191">
        <f t="shared" si="78"/>
        <v>1046403552.0500001</v>
      </c>
      <c r="AL23" s="191">
        <f t="shared" si="78"/>
        <v>928430263.30999994</v>
      </c>
      <c r="AM23" s="191">
        <f t="shared" si="78"/>
        <v>849668707.61000001</v>
      </c>
      <c r="AN23" s="191">
        <f t="shared" si="78"/>
        <v>800805684.72000003</v>
      </c>
      <c r="AO23" s="191">
        <f t="shared" si="78"/>
        <v>829194658.91000009</v>
      </c>
      <c r="AP23" s="191">
        <f t="shared" si="78"/>
        <v>738740299.20000005</v>
      </c>
      <c r="AQ23" s="191">
        <f t="shared" si="78"/>
        <v>92142310.270000011</v>
      </c>
      <c r="AR23" s="191">
        <f t="shared" si="78"/>
        <v>218038533.50999999</v>
      </c>
      <c r="AS23" s="191">
        <f t="shared" si="78"/>
        <v>585848077.51999998</v>
      </c>
    </row>
    <row r="24" spans="1:74" s="219" customFormat="1" x14ac:dyDescent="0.25">
      <c r="A24" s="219" t="s">
        <v>303</v>
      </c>
      <c r="B24" s="188">
        <v>-590988931.20000005</v>
      </c>
      <c r="C24" s="188">
        <v>-590988931.20000005</v>
      </c>
      <c r="D24" s="188">
        <v>0</v>
      </c>
      <c r="E24" s="188">
        <v>-510276516.56</v>
      </c>
      <c r="F24" s="188">
        <v>-505007632.25</v>
      </c>
      <c r="G24" s="188">
        <v>-489314628.39999998</v>
      </c>
      <c r="H24" s="188">
        <v>0</v>
      </c>
      <c r="I24" s="188">
        <v>-1591503970.4200001</v>
      </c>
      <c r="J24" s="188">
        <v>-369003970.42000002</v>
      </c>
      <c r="K24" s="188">
        <v>-369003970.42000002</v>
      </c>
      <c r="L24" s="188">
        <v>-15215178.42</v>
      </c>
      <c r="M24" s="188">
        <v>-271090805.85000002</v>
      </c>
      <c r="N24" s="188">
        <v>-272136330.79000002</v>
      </c>
      <c r="O24" s="188">
        <v>-272136330.79000002</v>
      </c>
      <c r="P24" s="188">
        <v>0</v>
      </c>
      <c r="Q24" s="188">
        <v>-234659145.56</v>
      </c>
      <c r="R24" s="188">
        <v>-234659145.56</v>
      </c>
      <c r="S24" s="188">
        <v>-234659145.56</v>
      </c>
      <c r="T24" s="188">
        <v>0</v>
      </c>
      <c r="U24" s="188">
        <v>-209506175.97</v>
      </c>
      <c r="V24" s="188">
        <v>-209469275.97</v>
      </c>
      <c r="W24" s="188">
        <v>-208143053.13999999</v>
      </c>
      <c r="X24" s="188">
        <v>0</v>
      </c>
      <c r="Y24" s="188">
        <v>-173175600</v>
      </c>
      <c r="Z24" s="188">
        <v>-173513586.37</v>
      </c>
      <c r="AA24" s="188">
        <v>-173513586.37</v>
      </c>
      <c r="AB24" s="188">
        <v>0</v>
      </c>
      <c r="AC24" s="188">
        <v>-161646450.56</v>
      </c>
      <c r="AD24" s="188">
        <v>-161642026.40000001</v>
      </c>
      <c r="AE24" s="188">
        <v>-161642026.40000001</v>
      </c>
      <c r="AF24" s="188">
        <v>0</v>
      </c>
      <c r="AG24" s="188">
        <v>-88862632.409999996</v>
      </c>
      <c r="AH24" s="188">
        <v>-88808000</v>
      </c>
      <c r="AI24" s="188">
        <v>-88808000</v>
      </c>
      <c r="AJ24" s="188">
        <v>0</v>
      </c>
      <c r="AK24" s="188">
        <v>-132405909.81</v>
      </c>
      <c r="AL24" s="188">
        <v>-93035415.939999998</v>
      </c>
      <c r="AM24" s="188">
        <v>-93035415.939999998</v>
      </c>
      <c r="AN24" s="188">
        <v>-4227415.9400000004</v>
      </c>
      <c r="AO24" s="188">
        <v>32034737.469999999</v>
      </c>
      <c r="AP24" s="188">
        <v>32721851.539999999</v>
      </c>
      <c r="AQ24" s="188">
        <v>32802672.5</v>
      </c>
      <c r="AR24" s="188">
        <v>-8495474.9900000002</v>
      </c>
      <c r="AS24" s="188">
        <v>365411570.45999998</v>
      </c>
      <c r="AT24" s="188">
        <v>665456998.51999998</v>
      </c>
      <c r="AU24" s="188">
        <v>-16610600.16</v>
      </c>
      <c r="AV24" s="188">
        <v>27144477.25</v>
      </c>
      <c r="AW24" s="188">
        <v>52078876.82</v>
      </c>
      <c r="AX24" s="188">
        <v>26450550.34</v>
      </c>
      <c r="AY24" s="188">
        <v>112269214.44</v>
      </c>
      <c r="AZ24" s="188">
        <v>54308637.770000003</v>
      </c>
      <c r="BA24" s="188">
        <v>-218490487.75</v>
      </c>
      <c r="BB24" s="188">
        <v>-112989408.62</v>
      </c>
      <c r="BC24" s="188">
        <v>-44210918.189999998</v>
      </c>
      <c r="BD24" s="188">
        <v>-42290328.859999999</v>
      </c>
      <c r="BE24" s="188">
        <v>609021718.48000002</v>
      </c>
      <c r="BF24" s="188">
        <v>619627614.51999998</v>
      </c>
      <c r="BG24" s="188">
        <v>133181530.84</v>
      </c>
      <c r="BH24" s="188">
        <v>13962854.09</v>
      </c>
      <c r="BI24" s="188">
        <v>0</v>
      </c>
      <c r="BJ24" s="188">
        <v>37370881.409999996</v>
      </c>
      <c r="BK24" s="188">
        <v>-40350497.149999999</v>
      </c>
      <c r="BL24" s="188">
        <v>0</v>
      </c>
      <c r="BM24" s="188">
        <v>60280886.299999997</v>
      </c>
      <c r="BN24" s="188">
        <v>69351304.299999997</v>
      </c>
      <c r="BO24" s="188">
        <v>-91905628.060000002</v>
      </c>
      <c r="BP24" s="188">
        <v>-3819188.16</v>
      </c>
      <c r="BQ24" s="188">
        <v>-21954330</v>
      </c>
      <c r="BR24" s="188">
        <v>293493042</v>
      </c>
      <c r="BS24" s="188">
        <v>9884971.0099999998</v>
      </c>
      <c r="BT24" s="188">
        <v>-116479291.3</v>
      </c>
      <c r="BU24" s="188">
        <v>-5621925.0300000003</v>
      </c>
      <c r="BV24" s="188">
        <v>0</v>
      </c>
    </row>
    <row r="25" spans="1:74" s="240" customFormat="1" ht="138.6" customHeight="1" x14ac:dyDescent="0.25">
      <c r="A25" s="271" t="s">
        <v>742</v>
      </c>
      <c r="B25" s="272"/>
      <c r="C25" s="272"/>
      <c r="D25" s="272"/>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row>
    <row r="26" spans="1:74" s="26" customFormat="1" x14ac:dyDescent="0.25">
      <c r="A26" s="17" t="s">
        <v>630</v>
      </c>
      <c r="E26" s="26">
        <f>现金流量表!E15</f>
        <v>1</v>
      </c>
      <c r="F26" s="26">
        <f>现金流量表!F15</f>
        <v>1</v>
      </c>
      <c r="G26" s="26">
        <f>现金流量表!G15</f>
        <v>1</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1749808</v>
      </c>
      <c r="AA26" s="26">
        <f>现金流量表!AA15</f>
        <v>0</v>
      </c>
      <c r="AB26" s="26">
        <f>现金流量表!AB15</f>
        <v>0</v>
      </c>
      <c r="AC26" s="26">
        <f>现金流量表!AC15</f>
        <v>6217000</v>
      </c>
      <c r="AD26" s="26">
        <f>现金流量表!AD15</f>
        <v>2329850</v>
      </c>
      <c r="AE26" s="26">
        <f>现金流量表!AE15</f>
        <v>2329850</v>
      </c>
      <c r="AF26" s="26">
        <f>现金流量表!AF15</f>
        <v>0</v>
      </c>
      <c r="AG26" s="26">
        <f>现金流量表!AG15</f>
        <v>8276084</v>
      </c>
      <c r="AH26" s="26">
        <f>现金流量表!AH15</f>
        <v>10072134</v>
      </c>
      <c r="AI26" s="26">
        <f>现金流量表!AI15</f>
        <v>14660945.779999999</v>
      </c>
      <c r="AJ26" s="26">
        <f>现金流量表!AJ15</f>
        <v>14093084</v>
      </c>
      <c r="AK26" s="26">
        <f>现金流量表!AK15</f>
        <v>22953685.800000001</v>
      </c>
      <c r="AL26" s="26">
        <f>现金流量表!AL15</f>
        <v>0</v>
      </c>
      <c r="AM26" s="26">
        <f>现金流量表!AM15</f>
        <v>0</v>
      </c>
      <c r="AN26" s="26">
        <f>现金流量表!AN15</f>
        <v>0</v>
      </c>
      <c r="AO26" s="26">
        <f>现金流量表!AO15</f>
        <v>4400420</v>
      </c>
      <c r="AP26" s="26">
        <f>现金流量表!AP15</f>
        <v>0</v>
      </c>
      <c r="AQ26" s="26">
        <f>现金流量表!AQ15</f>
        <v>0</v>
      </c>
      <c r="AR26" s="26">
        <f>现金流量表!AR15</f>
        <v>0</v>
      </c>
      <c r="AS26" s="26">
        <f>现金流量表!AS15</f>
        <v>14920189.119999999</v>
      </c>
      <c r="AT26" s="26">
        <f>现金流量表!AT15</f>
        <v>12817072.1</v>
      </c>
      <c r="AU26" s="26">
        <f>现金流量表!AU15</f>
        <v>2709755.79</v>
      </c>
      <c r="AV26" s="26">
        <f>现金流量表!AV15</f>
        <v>637670</v>
      </c>
      <c r="AW26" s="26">
        <f>现金流量表!AW15</f>
        <v>11229277.77</v>
      </c>
      <c r="AX26" s="26">
        <f>现金流量表!AX15</f>
        <v>4845283.8499999996</v>
      </c>
      <c r="AY26" s="26">
        <f>现金流量表!AY15</f>
        <v>2500000</v>
      </c>
      <c r="AZ26" s="26">
        <f>现金流量表!AZ15</f>
        <v>2500000</v>
      </c>
      <c r="BA26" s="26">
        <f>现金流量表!BA15</f>
        <v>10371465</v>
      </c>
      <c r="BB26" s="26">
        <f>现金流量表!BB15</f>
        <v>1789290</v>
      </c>
      <c r="BC26" s="26">
        <f>现金流量表!BC15</f>
        <v>1789290</v>
      </c>
      <c r="BD26" s="26">
        <f>现金流量表!BD15</f>
        <v>1164805</v>
      </c>
      <c r="BE26" s="26">
        <f>现金流量表!BE15</f>
        <v>22509520</v>
      </c>
      <c r="BF26" s="26">
        <f>现金流量表!BF15</f>
        <v>0</v>
      </c>
      <c r="BG26" s="26">
        <f>现金流量表!BG15</f>
        <v>19755200</v>
      </c>
      <c r="BH26" s="26">
        <f>现金流量表!BH15</f>
        <v>15217756</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0</v>
      </c>
      <c r="J27" s="26">
        <f>现金流量表!J22</f>
        <v>1222500000</v>
      </c>
      <c r="K27" s="26">
        <f>现金流量表!K22</f>
        <v>642500000</v>
      </c>
      <c r="L27" s="26">
        <f>现金流量表!L22</f>
        <v>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49853624.299999997</v>
      </c>
      <c r="Z27" s="26">
        <f>现金流量表!Z22</f>
        <v>39600000</v>
      </c>
      <c r="AA27" s="26">
        <f>现金流量表!AA22</f>
        <v>39600000</v>
      </c>
      <c r="AB27" s="26">
        <f>现金流量表!AB22</f>
        <v>0</v>
      </c>
      <c r="AC27" s="26">
        <f>现金流量表!AC22</f>
        <v>0</v>
      </c>
      <c r="AD27" s="26">
        <f>现金流量表!AD22</f>
        <v>0</v>
      </c>
      <c r="AE27" s="26">
        <f>现金流量表!AE22</f>
        <v>0</v>
      </c>
      <c r="AF27" s="26">
        <f>现金流量表!AF22</f>
        <v>3393960</v>
      </c>
      <c r="AG27" s="26">
        <f>现金流量表!AG22</f>
        <v>0</v>
      </c>
      <c r="AH27" s="26">
        <f>现金流量表!AH22</f>
        <v>0</v>
      </c>
      <c r="AI27" s="26">
        <f>现金流量表!AI22</f>
        <v>0</v>
      </c>
      <c r="AJ27" s="26">
        <f>现金流量表!AJ22</f>
        <v>0</v>
      </c>
      <c r="AK27" s="26">
        <f>现金流量表!AK22</f>
        <v>22000000</v>
      </c>
      <c r="AL27" s="26">
        <f>现金流量表!AL22</f>
        <v>19400218.530000001</v>
      </c>
      <c r="AM27" s="26">
        <f>现金流量表!AM22</f>
        <v>5917966</v>
      </c>
      <c r="AN27" s="26">
        <f>现金流量表!AN22</f>
        <v>0</v>
      </c>
      <c r="AO27" s="26">
        <f>现金流量表!AO22</f>
        <v>8000000</v>
      </c>
      <c r="AP27" s="26">
        <f>现金流量表!AP22</f>
        <v>0</v>
      </c>
      <c r="AQ27" s="26">
        <f>现金流量表!AQ22</f>
        <v>0</v>
      </c>
      <c r="AR27" s="26">
        <f>现金流量表!AR22</f>
        <v>0</v>
      </c>
      <c r="AS27" s="26">
        <f>现金流量表!AS22</f>
        <v>12181774.74</v>
      </c>
      <c r="AT27" s="26">
        <f>现金流量表!AT22</f>
        <v>12085400.289999999</v>
      </c>
      <c r="AU27" s="26">
        <f>现金流量表!AU22</f>
        <v>8585400.2899999991</v>
      </c>
      <c r="AV27" s="26">
        <f>现金流量表!AV22</f>
        <v>0</v>
      </c>
      <c r="AW27" s="26">
        <f>现金流量表!AW22</f>
        <v>6000000</v>
      </c>
      <c r="AX27" s="26">
        <f>现金流量表!AX22</f>
        <v>0</v>
      </c>
      <c r="AY27" s="26">
        <f>现金流量表!AY22</f>
        <v>0</v>
      </c>
      <c r="AZ27" s="26">
        <f>现金流量表!AZ22</f>
        <v>0</v>
      </c>
      <c r="BA27" s="26">
        <f>现金流量表!BA22</f>
        <v>12595283.85</v>
      </c>
      <c r="BB27" s="26">
        <f>现金流量表!BB22</f>
        <v>2424837.5</v>
      </c>
      <c r="BC27" s="26">
        <f>现金流量表!BC22</f>
        <v>1250000</v>
      </c>
      <c r="BD27" s="26">
        <f>现金流量表!BD22</f>
        <v>0</v>
      </c>
      <c r="BE27" s="26">
        <f>现金流量表!BE22</f>
        <v>17000000</v>
      </c>
      <c r="BF27" s="26">
        <f>现金流量表!BF22</f>
        <v>1303500</v>
      </c>
      <c r="BG27" s="26">
        <f>现金流量表!BG22</f>
        <v>14000000</v>
      </c>
      <c r="BH27" s="26">
        <f>现金流量表!BH22</f>
        <v>17285440.23</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-1</v>
      </c>
      <c r="F28" s="26">
        <f t="shared" ref="F28:BQ28" si="79">F27-F26</f>
        <v>-1</v>
      </c>
      <c r="G28" s="26">
        <f t="shared" si="79"/>
        <v>-1</v>
      </c>
      <c r="H28" s="26">
        <f t="shared" si="79"/>
        <v>0</v>
      </c>
      <c r="I28" s="26">
        <f t="shared" si="79"/>
        <v>0</v>
      </c>
      <c r="J28" s="26">
        <f t="shared" si="79"/>
        <v>1222500000</v>
      </c>
      <c r="K28" s="26">
        <f t="shared" si="79"/>
        <v>642500000</v>
      </c>
      <c r="L28" s="26">
        <f t="shared" si="79"/>
        <v>0</v>
      </c>
      <c r="M28" s="26">
        <f t="shared" si="79"/>
        <v>0</v>
      </c>
      <c r="N28" s="26">
        <f t="shared" si="79"/>
        <v>0</v>
      </c>
      <c r="O28" s="26">
        <f t="shared" si="79"/>
        <v>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49853624.299999997</v>
      </c>
      <c r="Z28" s="26">
        <f t="shared" si="79"/>
        <v>37850192</v>
      </c>
      <c r="AA28" s="26">
        <f t="shared" si="79"/>
        <v>39600000</v>
      </c>
      <c r="AB28" s="26">
        <f t="shared" si="79"/>
        <v>0</v>
      </c>
      <c r="AC28" s="26">
        <f t="shared" si="79"/>
        <v>-6217000</v>
      </c>
      <c r="AD28" s="26">
        <f t="shared" si="79"/>
        <v>-2329850</v>
      </c>
      <c r="AE28" s="26">
        <f t="shared" si="79"/>
        <v>-2329850</v>
      </c>
      <c r="AF28" s="26">
        <f t="shared" si="79"/>
        <v>3393960</v>
      </c>
      <c r="AG28" s="26">
        <f t="shared" si="79"/>
        <v>-8276084</v>
      </c>
      <c r="AH28" s="26">
        <f t="shared" si="79"/>
        <v>-10072134</v>
      </c>
      <c r="AI28" s="26">
        <f t="shared" si="79"/>
        <v>-14660945.779999999</v>
      </c>
      <c r="AJ28" s="26">
        <f t="shared" si="79"/>
        <v>-14093084</v>
      </c>
      <c r="AK28" s="26">
        <f t="shared" si="79"/>
        <v>-953685.80000000075</v>
      </c>
      <c r="AL28" s="26">
        <f t="shared" si="79"/>
        <v>19400218.530000001</v>
      </c>
      <c r="AM28" s="26">
        <f t="shared" si="79"/>
        <v>5917966</v>
      </c>
      <c r="AN28" s="26">
        <f t="shared" si="79"/>
        <v>0</v>
      </c>
      <c r="AO28" s="26">
        <f t="shared" si="79"/>
        <v>3599580</v>
      </c>
      <c r="AP28" s="26">
        <f t="shared" si="79"/>
        <v>0</v>
      </c>
      <c r="AQ28" s="26">
        <f t="shared" si="79"/>
        <v>0</v>
      </c>
      <c r="AR28" s="26">
        <f t="shared" si="79"/>
        <v>0</v>
      </c>
      <c r="AS28" s="26">
        <f t="shared" si="79"/>
        <v>-2738414.379999999</v>
      </c>
      <c r="AT28" s="26">
        <f t="shared" si="79"/>
        <v>-731671.81000000052</v>
      </c>
      <c r="AU28" s="26">
        <f t="shared" si="79"/>
        <v>5875644.4999999991</v>
      </c>
      <c r="AV28" s="26">
        <f t="shared" si="79"/>
        <v>-637670</v>
      </c>
      <c r="AW28" s="26">
        <f t="shared" si="79"/>
        <v>-5229277.7699999996</v>
      </c>
      <c r="AX28" s="26">
        <f t="shared" si="79"/>
        <v>-4845283.8499999996</v>
      </c>
      <c r="AY28" s="26">
        <f t="shared" si="79"/>
        <v>-2500000</v>
      </c>
      <c r="AZ28" s="26">
        <f t="shared" si="79"/>
        <v>-2500000</v>
      </c>
      <c r="BA28" s="26">
        <f t="shared" si="79"/>
        <v>2223818.8499999996</v>
      </c>
      <c r="BB28" s="26">
        <f t="shared" si="79"/>
        <v>635547.5</v>
      </c>
      <c r="BC28" s="26">
        <f t="shared" si="79"/>
        <v>-539290</v>
      </c>
      <c r="BD28" s="26">
        <f t="shared" si="79"/>
        <v>-1164805</v>
      </c>
      <c r="BE28" s="26">
        <f t="shared" si="79"/>
        <v>-5509520</v>
      </c>
      <c r="BF28" s="26">
        <f t="shared" si="79"/>
        <v>1303500</v>
      </c>
      <c r="BG28" s="26">
        <f t="shared" si="79"/>
        <v>-5755200</v>
      </c>
      <c r="BH28" s="26">
        <f t="shared" si="79"/>
        <v>2067684.2300000004</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633</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37986</v>
      </c>
      <c r="BI30" s="1">
        <v>25569</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0" t="s">
        <v>310</v>
      </c>
      <c r="B31" s="188">
        <v>1627690691.9400001</v>
      </c>
      <c r="C31" s="188">
        <v>1539892212.71</v>
      </c>
      <c r="D31" s="188">
        <v>1536914841.6800001</v>
      </c>
      <c r="E31" s="188">
        <v>1454393352.27</v>
      </c>
      <c r="F31" s="188">
        <v>1483338383.6400001</v>
      </c>
      <c r="G31" s="188">
        <v>1451587148.3699999</v>
      </c>
      <c r="H31" s="188">
        <v>1437261211.6500001</v>
      </c>
      <c r="I31" s="188">
        <v>1351107032.6400001</v>
      </c>
      <c r="J31" s="188">
        <v>1385773227.3699999</v>
      </c>
      <c r="K31" s="188">
        <v>1390657825.1400001</v>
      </c>
      <c r="L31" s="188">
        <v>1395882247.4300001</v>
      </c>
      <c r="M31" s="188">
        <v>1344054483.5599999</v>
      </c>
      <c r="N31" s="188">
        <v>1412927164.8199999</v>
      </c>
      <c r="O31" s="188">
        <v>1417669937.52</v>
      </c>
      <c r="P31" s="188">
        <v>1434151605.3800001</v>
      </c>
      <c r="Q31" s="188">
        <v>1370138447.8</v>
      </c>
      <c r="R31" s="188">
        <v>1351930374.6800001</v>
      </c>
      <c r="S31" s="188">
        <v>1319760689.6700001</v>
      </c>
      <c r="T31" s="188">
        <v>1310712465.8900001</v>
      </c>
      <c r="U31" s="188">
        <v>1302204461.46</v>
      </c>
      <c r="V31" s="188">
        <v>1290344189.8299999</v>
      </c>
      <c r="W31" s="188">
        <v>1265595384.27</v>
      </c>
      <c r="X31" s="188">
        <v>1271917326.78</v>
      </c>
      <c r="Y31" s="188">
        <v>1272867448.5699999</v>
      </c>
      <c r="Z31" s="188">
        <v>1274429673.6099999</v>
      </c>
      <c r="AA31" s="188">
        <v>1282483477.05</v>
      </c>
      <c r="AB31" s="188">
        <v>1241682983.4200001</v>
      </c>
      <c r="AC31" s="188">
        <v>1220805485.2</v>
      </c>
      <c r="AD31" s="188">
        <v>1205696897.5</v>
      </c>
      <c r="AE31" s="188">
        <v>1174280829.7</v>
      </c>
      <c r="AF31" s="188">
        <v>1131875372.6099999</v>
      </c>
      <c r="AG31" s="188">
        <v>1105251019.0999999</v>
      </c>
      <c r="AH31" s="188">
        <v>1022915155.45</v>
      </c>
      <c r="AI31" s="188">
        <v>976105033.28999996</v>
      </c>
      <c r="AJ31" s="188">
        <v>932102022.20000005</v>
      </c>
      <c r="AK31" s="188">
        <v>910856439.25999999</v>
      </c>
      <c r="AL31" s="188">
        <v>866055907.14999998</v>
      </c>
      <c r="AM31" s="188">
        <v>831359431.63</v>
      </c>
      <c r="AN31" s="188">
        <v>812794156.12</v>
      </c>
      <c r="AO31" s="188">
        <v>798634356.37</v>
      </c>
      <c r="AP31" s="188">
        <v>789307453.57000005</v>
      </c>
      <c r="AQ31" s="188">
        <v>746685077.98000002</v>
      </c>
      <c r="AR31" s="188">
        <v>739572980.09000003</v>
      </c>
      <c r="AS31" s="188">
        <v>738123073.30999994</v>
      </c>
      <c r="AT31" s="188">
        <v>710391095.89999998</v>
      </c>
      <c r="AU31" s="188">
        <v>698293855.84000003</v>
      </c>
      <c r="AV31" s="188">
        <v>609691775.38999999</v>
      </c>
      <c r="AW31" s="188">
        <v>603651415.44000006</v>
      </c>
      <c r="AX31" s="188">
        <v>583798480.17999995</v>
      </c>
      <c r="AY31" s="188">
        <v>589016910.71000004</v>
      </c>
      <c r="AZ31" s="188">
        <v>530502482.69</v>
      </c>
      <c r="BA31" s="188">
        <v>532933734.81</v>
      </c>
      <c r="BB31" s="188">
        <v>505870239.93000001</v>
      </c>
      <c r="BC31" s="188">
        <v>496127050.10000002</v>
      </c>
      <c r="BD31" s="188">
        <v>492287524.10000002</v>
      </c>
      <c r="BE31" s="188">
        <v>480334526.26999998</v>
      </c>
      <c r="BF31" s="188">
        <v>392350485.44</v>
      </c>
      <c r="BG31" s="188">
        <v>288701982.5</v>
      </c>
      <c r="BH31" s="188">
        <v>226150203.28999999</v>
      </c>
      <c r="BI31" s="188">
        <v>173225259.87</v>
      </c>
      <c r="BJ31" s="188">
        <v>825865641.13</v>
      </c>
      <c r="BK31" s="188">
        <v>816270896.63999999</v>
      </c>
      <c r="BL31" s="188">
        <v>0</v>
      </c>
      <c r="BM31" s="188">
        <v>1013148133.48</v>
      </c>
      <c r="BN31" s="188">
        <v>1057000381.14</v>
      </c>
      <c r="BO31" s="188">
        <v>1030127290.25</v>
      </c>
      <c r="BP31" s="188">
        <v>1048339198.6</v>
      </c>
      <c r="BQ31" s="188">
        <v>1030162896.24</v>
      </c>
      <c r="BR31" s="188">
        <v>1019647183.3200001</v>
      </c>
      <c r="BS31" s="188">
        <v>1009325422.1799999</v>
      </c>
      <c r="BT31" s="188">
        <v>928782573.26999998</v>
      </c>
      <c r="BU31" s="188">
        <v>925104369.62</v>
      </c>
      <c r="BV31" s="188">
        <v>1052544854.59</v>
      </c>
    </row>
    <row r="32" spans="1:74" s="54" customFormat="1" ht="15" customHeight="1" x14ac:dyDescent="0.25">
      <c r="A32" s="136"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122071.4</v>
      </c>
      <c r="AQ32" s="188">
        <v>122071.4</v>
      </c>
      <c r="AR32" s="188">
        <v>122071.4</v>
      </c>
      <c r="AS32" s="188">
        <v>122071.4</v>
      </c>
      <c r="AT32" s="188">
        <v>122071.4</v>
      </c>
      <c r="AU32" s="188">
        <v>122071.4</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1454393352.27</v>
      </c>
      <c r="F34" s="49">
        <f t="shared" ref="F34:BP34" si="81">F31-F32-F33</f>
        <v>1483338383.6400001</v>
      </c>
      <c r="G34" s="49">
        <f t="shared" si="81"/>
        <v>1451587148.3699999</v>
      </c>
      <c r="H34" s="49">
        <f t="shared" si="81"/>
        <v>1437261211.6500001</v>
      </c>
      <c r="I34" s="49">
        <f t="shared" si="81"/>
        <v>1351107032.6400001</v>
      </c>
      <c r="J34" s="49">
        <f t="shared" si="81"/>
        <v>1385773227.3699999</v>
      </c>
      <c r="K34" s="49">
        <f t="shared" si="81"/>
        <v>1390657825.1400001</v>
      </c>
      <c r="L34" s="49">
        <f t="shared" si="81"/>
        <v>1395882247.4300001</v>
      </c>
      <c r="M34" s="49">
        <f t="shared" si="81"/>
        <v>1344054483.5599999</v>
      </c>
      <c r="N34" s="49">
        <f t="shared" si="81"/>
        <v>1412927164.8199999</v>
      </c>
      <c r="O34" s="49">
        <f t="shared" si="81"/>
        <v>1417669937.52</v>
      </c>
      <c r="P34" s="49">
        <f t="shared" si="81"/>
        <v>1434151605.3800001</v>
      </c>
      <c r="Q34" s="49">
        <f t="shared" si="81"/>
        <v>1370138447.8</v>
      </c>
      <c r="R34" s="49">
        <f t="shared" si="81"/>
        <v>1351930374.6800001</v>
      </c>
      <c r="S34" s="49">
        <f t="shared" si="81"/>
        <v>1319760689.6700001</v>
      </c>
      <c r="T34" s="49">
        <f t="shared" si="81"/>
        <v>1310712465.8900001</v>
      </c>
      <c r="U34" s="49">
        <f t="shared" si="81"/>
        <v>1302204461.46</v>
      </c>
      <c r="V34" s="49">
        <f t="shared" si="81"/>
        <v>1290344189.8299999</v>
      </c>
      <c r="W34" s="49">
        <f t="shared" si="81"/>
        <v>1265595384.27</v>
      </c>
      <c r="X34" s="49">
        <f t="shared" si="81"/>
        <v>1271917326.78</v>
      </c>
      <c r="Y34" s="49">
        <f t="shared" si="81"/>
        <v>1272867448.5699999</v>
      </c>
      <c r="Z34" s="49">
        <f t="shared" si="81"/>
        <v>1274429673.6099999</v>
      </c>
      <c r="AA34" s="49">
        <f t="shared" si="81"/>
        <v>1282483477.05</v>
      </c>
      <c r="AB34" s="49">
        <f t="shared" si="81"/>
        <v>1241682983.4200001</v>
      </c>
      <c r="AC34" s="49">
        <f t="shared" si="81"/>
        <v>1220805485.2</v>
      </c>
      <c r="AD34" s="49">
        <f t="shared" si="81"/>
        <v>1205696897.5</v>
      </c>
      <c r="AE34" s="49">
        <f t="shared" si="81"/>
        <v>1174280829.7</v>
      </c>
      <c r="AF34" s="49">
        <f t="shared" si="81"/>
        <v>1131875372.6099999</v>
      </c>
      <c r="AG34" s="49">
        <f t="shared" si="81"/>
        <v>1105251019.0999999</v>
      </c>
      <c r="AH34" s="49">
        <f t="shared" si="81"/>
        <v>1022915155.45</v>
      </c>
      <c r="AI34" s="49">
        <f t="shared" si="81"/>
        <v>976105033.28999996</v>
      </c>
      <c r="AJ34" s="49">
        <f t="shared" si="81"/>
        <v>932102022.20000005</v>
      </c>
      <c r="AK34" s="49">
        <f t="shared" si="81"/>
        <v>910856439.25999999</v>
      </c>
      <c r="AL34" s="49">
        <f t="shared" si="81"/>
        <v>866055907.14999998</v>
      </c>
      <c r="AM34" s="49">
        <f t="shared" si="81"/>
        <v>831359431.63</v>
      </c>
      <c r="AN34" s="49">
        <f t="shared" si="81"/>
        <v>812794156.12</v>
      </c>
      <c r="AO34" s="49">
        <f t="shared" si="81"/>
        <v>798634356.37</v>
      </c>
      <c r="AP34" s="49">
        <f t="shared" si="81"/>
        <v>789185382.17000008</v>
      </c>
      <c r="AQ34" s="49">
        <f t="shared" si="81"/>
        <v>746563006.58000004</v>
      </c>
      <c r="AR34" s="49">
        <f t="shared" si="81"/>
        <v>739450908.69000006</v>
      </c>
      <c r="AS34" s="49">
        <f t="shared" si="81"/>
        <v>738001001.90999997</v>
      </c>
      <c r="AT34" s="49">
        <f t="shared" si="81"/>
        <v>710269024.5</v>
      </c>
      <c r="AU34" s="49">
        <f t="shared" si="81"/>
        <v>698171784.44000006</v>
      </c>
      <c r="AV34" s="49">
        <f t="shared" si="81"/>
        <v>609691775.38999999</v>
      </c>
      <c r="AW34" s="49">
        <f t="shared" si="81"/>
        <v>603651415.44000006</v>
      </c>
      <c r="AX34" s="49">
        <f t="shared" si="81"/>
        <v>583798480.17999995</v>
      </c>
      <c r="AY34" s="49">
        <f t="shared" si="81"/>
        <v>589016910.71000004</v>
      </c>
      <c r="AZ34" s="49">
        <f t="shared" si="81"/>
        <v>530502482.69</v>
      </c>
      <c r="BA34" s="49">
        <f t="shared" si="81"/>
        <v>532933734.81</v>
      </c>
      <c r="BB34" s="49">
        <f t="shared" si="81"/>
        <v>505870239.93000001</v>
      </c>
      <c r="BC34" s="49">
        <f t="shared" si="81"/>
        <v>496127050.10000002</v>
      </c>
      <c r="BD34" s="49">
        <f t="shared" si="81"/>
        <v>492287524.10000002</v>
      </c>
      <c r="BE34" s="49">
        <f t="shared" si="81"/>
        <v>480334526.26999998</v>
      </c>
      <c r="BF34" s="49">
        <f t="shared" si="81"/>
        <v>392350485.44</v>
      </c>
      <c r="BG34" s="49">
        <f t="shared" si="81"/>
        <v>288701982.5</v>
      </c>
      <c r="BH34" s="49">
        <f t="shared" si="81"/>
        <v>226150203.28999999</v>
      </c>
      <c r="BI34" s="49">
        <f t="shared" si="81"/>
        <v>173225259.87</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789185382.17000008</v>
      </c>
      <c r="BR34" s="49">
        <f>AQ31-AQ32-AQ33</f>
        <v>746563006.58000004</v>
      </c>
      <c r="BS34" s="49">
        <f>AR31-AR32-AR33</f>
        <v>739450908.69000006</v>
      </c>
      <c r="BT34" s="49"/>
      <c r="BU34" s="50"/>
    </row>
    <row r="35" spans="1:74" s="105" customFormat="1" ht="15" thickBot="1" x14ac:dyDescent="0.3">
      <c r="A35" s="138" t="s">
        <v>317</v>
      </c>
      <c r="B35" s="33">
        <f>SUM(B22:B31)</f>
        <v>1036745133.74</v>
      </c>
      <c r="C35" s="33">
        <f>SUM(C22:C31)</f>
        <v>948946562.50999999</v>
      </c>
      <c r="D35" s="33">
        <f>SUM(D22:D31)</f>
        <v>1536958031.6800001</v>
      </c>
      <c r="E35" s="33">
        <f>资产资本表!E17</f>
        <v>2087155717.8099997</v>
      </c>
      <c r="F35" s="33">
        <f>资产资本表!F17</f>
        <v>1859882797.4000001</v>
      </c>
      <c r="G35" s="33">
        <f>资产资本表!G17</f>
        <v>1818083330.02</v>
      </c>
      <c r="H35" s="33">
        <f>资产资本表!H17</f>
        <v>1968107303.2599998</v>
      </c>
      <c r="I35" s="33">
        <f>资产资本表!I17</f>
        <v>1607838305.72</v>
      </c>
      <c r="J35" s="33">
        <f>资产资本表!J17</f>
        <v>1146935466.0599999</v>
      </c>
      <c r="K35" s="33">
        <f>资产资本表!K17</f>
        <v>973473073.52999997</v>
      </c>
      <c r="L35" s="33">
        <f>资产资本表!L17</f>
        <v>1532569510.2900002</v>
      </c>
      <c r="M35" s="33">
        <f>资产资本表!M17</f>
        <v>1444443950.5999999</v>
      </c>
      <c r="N35" s="33">
        <f>资产资本表!N17</f>
        <v>1518532567.6700001</v>
      </c>
      <c r="O35" s="33">
        <f>资产资本表!O17</f>
        <v>1349885162.78</v>
      </c>
      <c r="P35" s="33">
        <f>资产资本表!P17</f>
        <v>1537926816.7</v>
      </c>
      <c r="Q35" s="33">
        <f>资产资本表!Q17</f>
        <v>1535672774.6500001</v>
      </c>
      <c r="R35" s="33">
        <f>资产资本表!R17</f>
        <v>1698293662.4199998</v>
      </c>
      <c r="S35" s="33">
        <f>资产资本表!S17</f>
        <v>1474406832.54</v>
      </c>
      <c r="T35" s="33">
        <f>资产资本表!T17</f>
        <v>1605234381.5599999</v>
      </c>
      <c r="U35" s="33">
        <f>资产资本表!U17</f>
        <v>1411090090.3299999</v>
      </c>
      <c r="V35" s="33">
        <f>资产资本表!V17</f>
        <v>1473211483.7600002</v>
      </c>
      <c r="W35" s="33">
        <f>资产资本表!W17</f>
        <v>1227246558.8399999</v>
      </c>
      <c r="X35" s="33">
        <f>资产资本表!X17</f>
        <v>1373586027.52</v>
      </c>
      <c r="Y35" s="33">
        <f>资产资本表!Y17</f>
        <v>1118835233.3200002</v>
      </c>
      <c r="Z35" s="33">
        <f>资产资本表!Z17</f>
        <v>999573292.24000001</v>
      </c>
      <c r="AA35" s="33">
        <f>资产资本表!AA17</f>
        <v>654969391.44000006</v>
      </c>
      <c r="AB35" s="33">
        <f>资产资本表!AB17</f>
        <v>640070206.80999994</v>
      </c>
      <c r="AC35" s="33">
        <f>资产资本表!AC17</f>
        <v>576512051.78999996</v>
      </c>
      <c r="AD35" s="33">
        <f>资产资本表!AD17</f>
        <v>575488239.81000006</v>
      </c>
      <c r="AE35" s="33">
        <f>资产资本表!AE17</f>
        <v>556811064.88999999</v>
      </c>
      <c r="AF35" s="33">
        <f>资产资本表!AF17</f>
        <v>767377965.5</v>
      </c>
      <c r="AG35" s="33">
        <f>资产资本表!AG17</f>
        <v>751537281.95999992</v>
      </c>
      <c r="AH35" s="33">
        <f>资产资本表!AH17</f>
        <v>781833471.58000004</v>
      </c>
      <c r="AI35" s="33">
        <f>资产资本表!AI17</f>
        <v>650565182.23000002</v>
      </c>
      <c r="AJ35" s="33">
        <f>资产资本表!AJ17</f>
        <v>871669024.28000009</v>
      </c>
      <c r="AK35" s="33">
        <f>资产资本表!AK17</f>
        <v>971356067.97000003</v>
      </c>
      <c r="AL35" s="33">
        <f>资产资本表!AL17</f>
        <v>1020166355.99</v>
      </c>
      <c r="AM35" s="33">
        <f>资产资本表!AM17</f>
        <v>981809759.1500001</v>
      </c>
      <c r="AN35" s="33">
        <f>资产资本表!AN17</f>
        <v>1013120662.7399999</v>
      </c>
      <c r="AO35" s="33">
        <f>资产资本表!AO17</f>
        <v>900411208.95000005</v>
      </c>
      <c r="AP35" s="33">
        <f>资产资本表!AP17</f>
        <v>722356317.48000002</v>
      </c>
      <c r="AQ35" s="33">
        <f>资产资本表!AQ17</f>
        <v>678219620.47000003</v>
      </c>
      <c r="AR35" s="33">
        <f>资产资本表!AR17</f>
        <v>684145075.19000006</v>
      </c>
      <c r="AS35" s="33">
        <f>资产资本表!AS17</f>
        <v>796996001.26999998</v>
      </c>
      <c r="AT35" s="33">
        <f>资产资本表!AT17</f>
        <v>869946817.48000002</v>
      </c>
      <c r="AU35" s="33">
        <f>资产资本表!AU17</f>
        <v>249995814.53</v>
      </c>
      <c r="AV35" s="33">
        <f>资产资本表!AV17</f>
        <v>318970673.57999998</v>
      </c>
      <c r="AW35" s="33">
        <f>资产资本表!AW17</f>
        <v>418955105.27999997</v>
      </c>
      <c r="AX35" s="33">
        <f>资产资本表!AX17</f>
        <v>163017593.27000001</v>
      </c>
      <c r="AY35" s="33">
        <f>资产资本表!AY17</f>
        <v>235900683.24000001</v>
      </c>
      <c r="AZ35" s="33">
        <f>资产资本表!AZ17</f>
        <v>212657556.75999999</v>
      </c>
      <c r="BA35" s="33">
        <f>资产资本表!BA17</f>
        <v>269118657.66000003</v>
      </c>
      <c r="BB35" s="33">
        <f>资产资本表!BB17</f>
        <v>212228702.91999999</v>
      </c>
      <c r="BC35" s="33">
        <f>资产资本表!BC17</f>
        <v>295419245.86000001</v>
      </c>
      <c r="BD35" s="33">
        <f>资产资本表!BD17</f>
        <v>319772549.12</v>
      </c>
      <c r="BE35" s="33">
        <f>资产资本表!BE17</f>
        <v>478573002.43000001</v>
      </c>
      <c r="BF35" s="33">
        <f>资产资本表!BF17</f>
        <v>486158873.61000001</v>
      </c>
      <c r="BG35" s="33">
        <f>资产资本表!BG17</f>
        <v>42751768.759999998</v>
      </c>
      <c r="BH35" s="33">
        <f>资产资本表!BH17</f>
        <v>9557726.1500000004</v>
      </c>
      <c r="BI35" s="33">
        <f>资产资本表!BI17</f>
        <v>14916787.01</v>
      </c>
      <c r="BJ35" s="33">
        <f>资产资本表!BJ17</f>
        <v>12122259.640000001</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25569</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1" customFormat="1" x14ac:dyDescent="0.25">
      <c r="A40" s="191" t="s">
        <v>743</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40920000</v>
      </c>
      <c r="AP40" s="188">
        <v>40920000</v>
      </c>
      <c r="AQ40" s="188">
        <v>40920000</v>
      </c>
      <c r="AR40" s="188">
        <v>0</v>
      </c>
      <c r="AS40" s="188">
        <v>704632000</v>
      </c>
      <c r="AT40" s="188">
        <v>704632000</v>
      </c>
      <c r="AU40" s="188">
        <v>0</v>
      </c>
      <c r="AV40" s="188">
        <v>0</v>
      </c>
      <c r="AW40" s="188">
        <v>0</v>
      </c>
      <c r="AX40" s="188">
        <v>0</v>
      </c>
      <c r="AY40" s="188">
        <v>0</v>
      </c>
      <c r="AZ40" s="188">
        <v>0</v>
      </c>
      <c r="BA40" s="188">
        <v>7930650</v>
      </c>
      <c r="BB40" s="188">
        <v>7932610</v>
      </c>
      <c r="BC40" s="188">
        <v>0</v>
      </c>
      <c r="BD40" s="188">
        <v>0</v>
      </c>
      <c r="BE40" s="188">
        <v>455698135</v>
      </c>
      <c r="BF40" s="188">
        <v>407691910</v>
      </c>
      <c r="BG40" s="188">
        <v>2396250</v>
      </c>
      <c r="BH40" s="188">
        <v>0</v>
      </c>
      <c r="BI40" s="188">
        <v>0</v>
      </c>
      <c r="BJ40" s="188">
        <v>0</v>
      </c>
      <c r="BK40" s="188">
        <v>0</v>
      </c>
      <c r="BL40" s="188">
        <v>0</v>
      </c>
      <c r="BM40" s="188">
        <v>0</v>
      </c>
      <c r="BN40" s="188">
        <v>0</v>
      </c>
      <c r="BO40" s="188">
        <v>0</v>
      </c>
      <c r="BP40" s="188">
        <v>0</v>
      </c>
      <c r="BQ40" s="188">
        <v>456000</v>
      </c>
      <c r="BR40" s="188">
        <v>0</v>
      </c>
      <c r="BS40" s="188">
        <v>23895989.850000001</v>
      </c>
      <c r="BT40" s="188">
        <v>14332870.529999999</v>
      </c>
      <c r="BU40" s="188">
        <v>4968310.9800000004</v>
      </c>
      <c r="BV40" s="188">
        <v>0</v>
      </c>
    </row>
    <row r="41" spans="1:74" s="53" customFormat="1" ht="21.75" customHeight="1" x14ac:dyDescent="0.25">
      <c r="A41" s="139" t="s">
        <v>634</v>
      </c>
      <c r="B41" s="53">
        <v>1419647033.29</v>
      </c>
      <c r="C41" s="53">
        <v>682396282.87</v>
      </c>
      <c r="D41" s="53">
        <v>73246783.790000007</v>
      </c>
      <c r="E41" s="53">
        <v>486454969</v>
      </c>
      <c r="I41" s="53">
        <v>353788792</v>
      </c>
      <c r="M41" s="53">
        <v>272136330.83999997</v>
      </c>
      <c r="Q41" s="53">
        <v>234659145.56</v>
      </c>
      <c r="U41" s="53">
        <v>209506175.97</v>
      </c>
      <c r="Y41" s="53">
        <v>173175600</v>
      </c>
      <c r="AC41" s="53">
        <v>161630560</v>
      </c>
      <c r="AG41" s="53">
        <v>88808000</v>
      </c>
      <c r="AK41" s="53">
        <v>88808000</v>
      </c>
    </row>
    <row r="42" spans="1:74" s="26" customFormat="1" x14ac:dyDescent="0.25">
      <c r="A42" s="17" t="s">
        <v>322</v>
      </c>
      <c r="E42" s="26">
        <f>E40-E41</f>
        <v>-486454969</v>
      </c>
      <c r="F42" s="26">
        <f t="shared" ref="F42:Y42" si="82">F40-F41</f>
        <v>0</v>
      </c>
      <c r="G42" s="26">
        <f t="shared" si="82"/>
        <v>0</v>
      </c>
      <c r="H42" s="26">
        <f t="shared" si="82"/>
        <v>0</v>
      </c>
      <c r="I42" s="26">
        <f>I40-I41</f>
        <v>-353788792</v>
      </c>
      <c r="J42" s="26">
        <f t="shared" si="82"/>
        <v>0</v>
      </c>
      <c r="K42" s="26">
        <f t="shared" si="82"/>
        <v>0</v>
      </c>
      <c r="L42" s="26">
        <f t="shared" si="82"/>
        <v>0</v>
      </c>
      <c r="M42" s="26">
        <f t="shared" si="82"/>
        <v>-272136330.83999997</v>
      </c>
      <c r="N42" s="26">
        <f t="shared" si="82"/>
        <v>0</v>
      </c>
      <c r="O42" s="26">
        <f t="shared" si="82"/>
        <v>0</v>
      </c>
      <c r="P42" s="26">
        <f t="shared" si="82"/>
        <v>0</v>
      </c>
      <c r="Q42" s="26">
        <f t="shared" si="82"/>
        <v>-234659145.56</v>
      </c>
      <c r="R42" s="26">
        <f t="shared" si="82"/>
        <v>0</v>
      </c>
      <c r="S42" s="26">
        <f t="shared" si="82"/>
        <v>0</v>
      </c>
      <c r="T42" s="26">
        <f t="shared" si="82"/>
        <v>0</v>
      </c>
      <c r="U42" s="26">
        <f t="shared" si="82"/>
        <v>-209506175.97</v>
      </c>
      <c r="V42" s="26">
        <f t="shared" si="82"/>
        <v>0</v>
      </c>
      <c r="W42" s="26">
        <f t="shared" si="82"/>
        <v>0</v>
      </c>
      <c r="X42" s="26">
        <f t="shared" si="82"/>
        <v>0</v>
      </c>
      <c r="Y42" s="26">
        <f t="shared" si="82"/>
        <v>-173175600</v>
      </c>
      <c r="Z42" s="26">
        <f t="shared" ref="Z42:BQ42" si="83">Z40-Z41</f>
        <v>0</v>
      </c>
      <c r="AA42" s="26">
        <f t="shared" si="83"/>
        <v>0</v>
      </c>
      <c r="AB42" s="26">
        <f t="shared" si="83"/>
        <v>0</v>
      </c>
      <c r="AC42" s="26">
        <f t="shared" si="83"/>
        <v>-161630560</v>
      </c>
      <c r="AD42" s="26">
        <f t="shared" si="83"/>
        <v>0</v>
      </c>
      <c r="AE42" s="26">
        <f t="shared" si="83"/>
        <v>0</v>
      </c>
      <c r="AF42" s="26">
        <f t="shared" si="83"/>
        <v>0</v>
      </c>
      <c r="AG42" s="26">
        <f t="shared" si="83"/>
        <v>-88808000</v>
      </c>
      <c r="AH42" s="26">
        <f t="shared" si="83"/>
        <v>0</v>
      </c>
      <c r="AI42" s="26">
        <f t="shared" si="83"/>
        <v>0</v>
      </c>
      <c r="AJ42" s="26">
        <f t="shared" si="83"/>
        <v>0</v>
      </c>
      <c r="AK42" s="26">
        <f t="shared" si="83"/>
        <v>-88808000</v>
      </c>
      <c r="AL42" s="191">
        <f t="shared" si="83"/>
        <v>0</v>
      </c>
      <c r="AM42" s="191">
        <f t="shared" si="83"/>
        <v>0</v>
      </c>
      <c r="AN42" s="191">
        <f t="shared" si="83"/>
        <v>0</v>
      </c>
      <c r="AO42" s="191">
        <f t="shared" si="83"/>
        <v>40920000</v>
      </c>
      <c r="AP42" s="191">
        <f t="shared" si="83"/>
        <v>40920000</v>
      </c>
      <c r="AQ42" s="191">
        <f t="shared" si="83"/>
        <v>40920000</v>
      </c>
      <c r="AR42" s="191">
        <f t="shared" si="83"/>
        <v>0</v>
      </c>
      <c r="AS42" s="191">
        <f t="shared" si="83"/>
        <v>704632000</v>
      </c>
      <c r="AT42" s="191">
        <f t="shared" si="83"/>
        <v>704632000</v>
      </c>
      <c r="AU42" s="191">
        <f t="shared" si="83"/>
        <v>0</v>
      </c>
      <c r="AV42" s="191">
        <f t="shared" si="83"/>
        <v>0</v>
      </c>
      <c r="AW42" s="191">
        <f t="shared" si="83"/>
        <v>0</v>
      </c>
      <c r="AX42" s="191">
        <f t="shared" si="83"/>
        <v>0</v>
      </c>
      <c r="AY42" s="191">
        <f t="shared" si="83"/>
        <v>0</v>
      </c>
      <c r="AZ42" s="191">
        <f t="shared" si="83"/>
        <v>0</v>
      </c>
      <c r="BA42" s="26">
        <f t="shared" si="83"/>
        <v>7930650</v>
      </c>
      <c r="BB42" s="26">
        <f t="shared" si="83"/>
        <v>7932610</v>
      </c>
      <c r="BC42" s="26">
        <f t="shared" si="83"/>
        <v>0</v>
      </c>
      <c r="BD42" s="26">
        <f t="shared" si="83"/>
        <v>0</v>
      </c>
      <c r="BE42" s="26">
        <f t="shared" si="83"/>
        <v>455698135</v>
      </c>
      <c r="BF42" s="26">
        <f t="shared" si="83"/>
        <v>407691910</v>
      </c>
      <c r="BG42" s="26">
        <f t="shared" si="83"/>
        <v>2396250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13534100</v>
      </c>
      <c r="AD44" s="188">
        <v>10586000</v>
      </c>
      <c r="AE44" s="188">
        <v>10586000</v>
      </c>
      <c r="AF44" s="188">
        <v>0</v>
      </c>
      <c r="AG44" s="188">
        <v>47485000</v>
      </c>
      <c r="AH44" s="188">
        <v>0</v>
      </c>
      <c r="AI44" s="188">
        <v>0</v>
      </c>
      <c r="AJ44" s="188">
        <v>0</v>
      </c>
      <c r="AK44" s="188">
        <v>0</v>
      </c>
      <c r="AL44" s="188">
        <v>0</v>
      </c>
      <c r="AM44" s="188">
        <v>0</v>
      </c>
      <c r="AN44" s="188">
        <v>0</v>
      </c>
      <c r="AO44" s="188">
        <v>0</v>
      </c>
      <c r="AP44" s="188">
        <v>0</v>
      </c>
      <c r="AQ44" s="188">
        <v>0</v>
      </c>
      <c r="AR44" s="188">
        <v>0</v>
      </c>
      <c r="AS44" s="188">
        <v>535000000</v>
      </c>
      <c r="AT44" s="188">
        <v>500000000</v>
      </c>
      <c r="AU44" s="188">
        <v>334000000</v>
      </c>
      <c r="AV44" s="188">
        <v>50000000</v>
      </c>
      <c r="AW44" s="188">
        <v>671000000</v>
      </c>
      <c r="AX44" s="188">
        <v>532436002</v>
      </c>
      <c r="AY44" s="188">
        <v>419518776</v>
      </c>
      <c r="AZ44" s="188">
        <v>147566323.59999999</v>
      </c>
      <c r="BA44" s="188">
        <v>785615827.5</v>
      </c>
      <c r="BB44" s="188">
        <v>692508599.5</v>
      </c>
      <c r="BC44" s="188">
        <v>529808435.60000002</v>
      </c>
      <c r="BD44" s="188">
        <v>154827110.5</v>
      </c>
      <c r="BE44" s="188">
        <v>1026995363.7</v>
      </c>
      <c r="BF44" s="188">
        <v>741167319.20000005</v>
      </c>
      <c r="BG44" s="188">
        <v>480743606.5</v>
      </c>
      <c r="BH44" s="188">
        <v>760583422.05999994</v>
      </c>
      <c r="BI44" s="188">
        <v>0</v>
      </c>
      <c r="BJ44" s="191">
        <v>575490000</v>
      </c>
      <c r="BK44" s="191">
        <v>305090000</v>
      </c>
      <c r="BL44" s="191">
        <v>0</v>
      </c>
      <c r="BM44" s="191">
        <v>858290000</v>
      </c>
      <c r="BN44" s="191">
        <v>571200000</v>
      </c>
      <c r="BO44" s="191">
        <v>629200000</v>
      </c>
      <c r="BP44" s="191">
        <v>620680000</v>
      </c>
      <c r="BQ44" s="191">
        <v>1279400000</v>
      </c>
      <c r="BR44" s="191">
        <v>835150318.66999996</v>
      </c>
      <c r="BS44" s="191">
        <v>1840550000</v>
      </c>
      <c r="BT44" s="191">
        <v>2048145699</v>
      </c>
      <c r="BU44" s="191">
        <v>521350000</v>
      </c>
      <c r="BV44" s="191">
        <v>0</v>
      </c>
    </row>
    <row r="45" spans="1:74" s="191" customFormat="1" x14ac:dyDescent="0.25">
      <c r="A45" s="191" t="s">
        <v>323</v>
      </c>
      <c r="E45" s="191">
        <f>股权价值增加表!E53</f>
        <v>36367.67</v>
      </c>
      <c r="F45" s="191">
        <f>股权价值增加表!F53</f>
        <v>0</v>
      </c>
      <c r="G45" s="191">
        <f>股权价值增加表!G53</f>
        <v>0</v>
      </c>
      <c r="H45" s="191">
        <f>股权价值增加表!H53</f>
        <v>0</v>
      </c>
      <c r="I45" s="191">
        <f>股权价值增加表!I53</f>
        <v>0</v>
      </c>
      <c r="J45" s="191">
        <f>股权价值增加表!J53</f>
        <v>0</v>
      </c>
      <c r="K45" s="191">
        <f>股权价值增加表!K53</f>
        <v>0</v>
      </c>
      <c r="L45" s="191">
        <f>股权价值增加表!L53</f>
        <v>0</v>
      </c>
      <c r="M45" s="191">
        <f>股权价值增加表!M53</f>
        <v>0</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-27379674.5</v>
      </c>
      <c r="V45" s="191">
        <f>股权价值增加表!V53</f>
        <v>0</v>
      </c>
      <c r="W45" s="191">
        <f>股权价值增加表!W53</f>
        <v>0</v>
      </c>
      <c r="X45" s="191">
        <f>股权价值增加表!X53</f>
        <v>0</v>
      </c>
      <c r="Y45" s="191">
        <f>股权价值增加表!Y53</f>
        <v>-12009878.24</v>
      </c>
      <c r="Z45" s="191">
        <f>股权价值增加表!Z53</f>
        <v>0</v>
      </c>
      <c r="AA45" s="191">
        <f>股权价值增加表!AA53</f>
        <v>0</v>
      </c>
      <c r="AB45" s="191">
        <f>股权价值增加表!AB53</f>
        <v>0</v>
      </c>
      <c r="AC45" s="191">
        <f>股权价值增加表!AC53</f>
        <v>15890.56</v>
      </c>
      <c r="AD45" s="191">
        <f>股权价值增加表!AD53</f>
        <v>0</v>
      </c>
      <c r="AE45" s="191">
        <f>股权价值增加表!AE53</f>
        <v>0</v>
      </c>
      <c r="AF45" s="191">
        <f>股权价值增加表!AF53</f>
        <v>0</v>
      </c>
      <c r="AG45" s="191">
        <f>股权价值增加表!AG53</f>
        <v>1022154.88</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14200</v>
      </c>
      <c r="AT46" s="188">
        <v>643051.12</v>
      </c>
      <c r="AU46" s="188">
        <v>458112.5</v>
      </c>
      <c r="AV46" s="188">
        <v>0</v>
      </c>
      <c r="AW46" s="188">
        <v>0</v>
      </c>
      <c r="AX46" s="188">
        <v>0</v>
      </c>
      <c r="AY46" s="188">
        <v>0</v>
      </c>
      <c r="AZ46" s="188">
        <v>0</v>
      </c>
      <c r="BA46" s="188">
        <v>18656</v>
      </c>
      <c r="BB46" s="188">
        <v>0</v>
      </c>
      <c r="BC46" s="188">
        <v>89600</v>
      </c>
      <c r="BD46" s="188">
        <v>105022.98</v>
      </c>
      <c r="BE46" s="188">
        <v>103185</v>
      </c>
      <c r="BF46" s="188">
        <v>0</v>
      </c>
      <c r="BG46" s="188">
        <v>0</v>
      </c>
      <c r="BH46" s="188">
        <v>33550</v>
      </c>
      <c r="BI46" s="188">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13534100</v>
      </c>
      <c r="AD47" s="188">
        <v>10586000</v>
      </c>
      <c r="AE47" s="188">
        <v>10586000</v>
      </c>
      <c r="AF47" s="188">
        <v>0</v>
      </c>
      <c r="AG47" s="188">
        <v>47485000</v>
      </c>
      <c r="AH47" s="188">
        <v>0</v>
      </c>
      <c r="AI47" s="188">
        <v>0</v>
      </c>
      <c r="AJ47" s="188">
        <v>0</v>
      </c>
      <c r="AK47" s="188">
        <v>0</v>
      </c>
      <c r="AL47" s="188">
        <v>0</v>
      </c>
      <c r="AM47" s="188">
        <v>0</v>
      </c>
      <c r="AN47" s="188">
        <v>0</v>
      </c>
      <c r="AO47" s="188">
        <v>8000000</v>
      </c>
      <c r="AP47" s="188">
        <v>8000000</v>
      </c>
      <c r="AQ47" s="188">
        <v>8000000</v>
      </c>
      <c r="AR47" s="188">
        <v>8000000</v>
      </c>
      <c r="AS47" s="188">
        <v>825000000</v>
      </c>
      <c r="AT47" s="188">
        <v>493000000</v>
      </c>
      <c r="AU47" s="188">
        <v>307000000</v>
      </c>
      <c r="AV47" s="188">
        <v>20000000</v>
      </c>
      <c r="AW47" s="188">
        <v>568600000</v>
      </c>
      <c r="AX47" s="188">
        <v>463023811</v>
      </c>
      <c r="AY47" s="188">
        <v>267118776</v>
      </c>
      <c r="AZ47" s="188">
        <v>91556402</v>
      </c>
      <c r="BA47" s="188">
        <v>965889554</v>
      </c>
      <c r="BB47" s="188">
        <v>770237563.20000005</v>
      </c>
      <c r="BC47" s="188">
        <v>540033227.60000002</v>
      </c>
      <c r="BD47" s="188">
        <v>192511017</v>
      </c>
      <c r="BE47" s="188">
        <v>853595270.72000003</v>
      </c>
      <c r="BF47" s="188">
        <v>516003269.14999998</v>
      </c>
      <c r="BG47" s="188">
        <v>340258666.42000002</v>
      </c>
      <c r="BH47" s="188">
        <v>719288806.34000003</v>
      </c>
      <c r="BI47" s="188">
        <v>0</v>
      </c>
      <c r="BJ47" s="191">
        <v>509290000</v>
      </c>
      <c r="BK47" s="191">
        <v>321890000</v>
      </c>
      <c r="BL47" s="191">
        <v>0</v>
      </c>
      <c r="BM47" s="191">
        <v>749090000</v>
      </c>
      <c r="BN47" s="191">
        <v>479200000</v>
      </c>
      <c r="BO47" s="191">
        <v>570890000</v>
      </c>
      <c r="BP47" s="191">
        <v>533200000</v>
      </c>
      <c r="BQ47" s="191">
        <v>1137660000</v>
      </c>
      <c r="BR47" s="191">
        <v>493371069.97000003</v>
      </c>
      <c r="BS47" s="191">
        <v>1638700000</v>
      </c>
      <c r="BT47" s="191">
        <v>2064140000</v>
      </c>
      <c r="BU47" s="191">
        <v>523950000</v>
      </c>
      <c r="BV47" s="191">
        <v>0</v>
      </c>
    </row>
    <row r="48" spans="1:74" s="191" customFormat="1" x14ac:dyDescent="0.25">
      <c r="A48" s="191" t="s">
        <v>598</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599</v>
      </c>
      <c r="E49" s="191">
        <f>E44+E48-E45-E46-E47</f>
        <v>-36367.67</v>
      </c>
      <c r="F49" s="191">
        <f t="shared" ref="F49:BQ49" si="85">F44+F48-F45-F46-F47</f>
        <v>0</v>
      </c>
      <c r="G49" s="191">
        <f t="shared" si="85"/>
        <v>0</v>
      </c>
      <c r="H49" s="191">
        <f t="shared" si="85"/>
        <v>0</v>
      </c>
      <c r="I49" s="191">
        <f t="shared" si="85"/>
        <v>0</v>
      </c>
      <c r="J49" s="191">
        <f t="shared" si="85"/>
        <v>0</v>
      </c>
      <c r="K49" s="191">
        <f t="shared" si="85"/>
        <v>0</v>
      </c>
      <c r="L49" s="191">
        <f t="shared" si="85"/>
        <v>0</v>
      </c>
      <c r="M49" s="191">
        <f t="shared" si="85"/>
        <v>0</v>
      </c>
      <c r="N49" s="191">
        <f t="shared" si="85"/>
        <v>0</v>
      </c>
      <c r="O49" s="191">
        <f t="shared" si="85"/>
        <v>0</v>
      </c>
      <c r="P49" s="191">
        <f t="shared" si="85"/>
        <v>0</v>
      </c>
      <c r="Q49" s="191">
        <f t="shared" si="85"/>
        <v>0</v>
      </c>
      <c r="R49" s="191">
        <f t="shared" si="85"/>
        <v>0</v>
      </c>
      <c r="S49" s="191">
        <f t="shared" si="85"/>
        <v>0</v>
      </c>
      <c r="T49" s="191">
        <f t="shared" si="85"/>
        <v>0</v>
      </c>
      <c r="U49" s="191">
        <f t="shared" si="85"/>
        <v>27379674.5</v>
      </c>
      <c r="V49" s="191">
        <f t="shared" si="85"/>
        <v>0</v>
      </c>
      <c r="W49" s="191">
        <f t="shared" si="85"/>
        <v>0</v>
      </c>
      <c r="X49" s="191">
        <f t="shared" si="85"/>
        <v>0</v>
      </c>
      <c r="Y49" s="191">
        <f t="shared" si="85"/>
        <v>12009878.24</v>
      </c>
      <c r="Z49" s="191">
        <f t="shared" si="85"/>
        <v>0</v>
      </c>
      <c r="AA49" s="191">
        <f t="shared" si="85"/>
        <v>0</v>
      </c>
      <c r="AB49" s="191">
        <f t="shared" si="85"/>
        <v>0</v>
      </c>
      <c r="AC49" s="191">
        <f t="shared" si="85"/>
        <v>-15890.560000000522</v>
      </c>
      <c r="AD49" s="191">
        <f t="shared" si="85"/>
        <v>0</v>
      </c>
      <c r="AE49" s="191">
        <f t="shared" si="85"/>
        <v>0</v>
      </c>
      <c r="AF49" s="191">
        <f t="shared" si="85"/>
        <v>0</v>
      </c>
      <c r="AG49" s="191">
        <f t="shared" si="85"/>
        <v>-1022154.8800000027</v>
      </c>
      <c r="AH49" s="191">
        <f t="shared" si="85"/>
        <v>0</v>
      </c>
      <c r="AI49" s="191">
        <f t="shared" si="85"/>
        <v>0</v>
      </c>
      <c r="AJ49" s="191">
        <f t="shared" si="85"/>
        <v>0</v>
      </c>
      <c r="AK49" s="191">
        <f t="shared" si="85"/>
        <v>0</v>
      </c>
      <c r="AL49" s="191">
        <f t="shared" si="85"/>
        <v>0</v>
      </c>
      <c r="AM49" s="191">
        <f t="shared" si="85"/>
        <v>0</v>
      </c>
      <c r="AN49" s="191">
        <f t="shared" si="85"/>
        <v>0</v>
      </c>
      <c r="AO49" s="191">
        <f t="shared" si="85"/>
        <v>-8000000</v>
      </c>
      <c r="AP49" s="191">
        <f t="shared" si="85"/>
        <v>-8000000</v>
      </c>
      <c r="AQ49" s="191">
        <f t="shared" si="85"/>
        <v>-8000000</v>
      </c>
      <c r="AR49" s="191">
        <f t="shared" si="85"/>
        <v>-8000000</v>
      </c>
      <c r="AS49" s="191">
        <f t="shared" si="85"/>
        <v>-290014200</v>
      </c>
      <c r="AT49" s="191">
        <f t="shared" si="85"/>
        <v>6356948.8799999952</v>
      </c>
      <c r="AU49" s="191">
        <f t="shared" si="85"/>
        <v>26541887.5</v>
      </c>
      <c r="AV49" s="191">
        <f t="shared" si="85"/>
        <v>30000000</v>
      </c>
      <c r="AW49" s="191">
        <f t="shared" si="85"/>
        <v>102400000</v>
      </c>
      <c r="AX49" s="191">
        <f t="shared" si="85"/>
        <v>69412191</v>
      </c>
      <c r="AY49" s="191">
        <f t="shared" si="85"/>
        <v>152400000</v>
      </c>
      <c r="AZ49" s="191">
        <f t="shared" si="85"/>
        <v>56009921.599999994</v>
      </c>
      <c r="BA49" s="191">
        <f t="shared" si="85"/>
        <v>-180292382.5</v>
      </c>
      <c r="BB49" s="191">
        <f t="shared" si="85"/>
        <v>-77728963.700000048</v>
      </c>
      <c r="BC49" s="191">
        <f t="shared" si="85"/>
        <v>-10314392</v>
      </c>
      <c r="BD49" s="191">
        <f t="shared" si="85"/>
        <v>-37788929.479999989</v>
      </c>
      <c r="BE49" s="191">
        <f t="shared" si="85"/>
        <v>173296907.98000002</v>
      </c>
      <c r="BF49" s="191">
        <f t="shared" si="85"/>
        <v>225164050.05000007</v>
      </c>
      <c r="BG49" s="191">
        <f t="shared" si="85"/>
        <v>140484940.07999998</v>
      </c>
      <c r="BH49" s="191">
        <f t="shared" si="85"/>
        <v>41261065.719999909</v>
      </c>
      <c r="BI49" s="191">
        <f t="shared" si="85"/>
        <v>0</v>
      </c>
      <c r="BJ49" s="191">
        <f t="shared" si="85"/>
        <v>66200000</v>
      </c>
      <c r="BK49" s="191">
        <f t="shared" si="85"/>
        <v>-16800000</v>
      </c>
      <c r="BL49" s="191">
        <f t="shared" si="85"/>
        <v>0</v>
      </c>
      <c r="BM49" s="191">
        <f t="shared" si="85"/>
        <v>109200000</v>
      </c>
      <c r="BN49" s="191">
        <f t="shared" si="85"/>
        <v>92000000</v>
      </c>
      <c r="BO49" s="191">
        <f t="shared" si="85"/>
        <v>58310000</v>
      </c>
      <c r="BP49" s="191">
        <f t="shared" si="85"/>
        <v>87480000</v>
      </c>
      <c r="BQ49" s="191">
        <f t="shared" si="85"/>
        <v>141740000</v>
      </c>
      <c r="BR49" s="191">
        <f t="shared" ref="BR49:BV49" si="86">BR44+BR48-BR45-BR46-BR47</f>
        <v>341779248.69999993</v>
      </c>
      <c r="BS49" s="191">
        <f t="shared" si="86"/>
        <v>201850000</v>
      </c>
      <c r="BT49" s="191">
        <f t="shared" si="86"/>
        <v>-15994301</v>
      </c>
      <c r="BU49" s="191">
        <f t="shared" si="86"/>
        <v>-2600000</v>
      </c>
      <c r="BV49" s="191">
        <f t="shared" si="86"/>
        <v>0</v>
      </c>
    </row>
    <row r="50" spans="1:74" s="26" customFormat="1" x14ac:dyDescent="0.25"/>
    <row r="51" spans="1:74" s="16" customFormat="1" ht="120" customHeight="1" x14ac:dyDescent="0.25">
      <c r="A51" s="273" t="s">
        <v>667</v>
      </c>
      <c r="B51" s="274"/>
      <c r="C51" s="274"/>
      <c r="D51" s="274"/>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4"/>
      <c r="AI51" s="274"/>
      <c r="AJ51" s="274"/>
      <c r="AK51" s="274"/>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7.21875" bestFit="1" customWidth="1"/>
    <col min="54" max="56" width="19.33203125" hidden="1" customWidth="1"/>
    <col min="57" max="57" width="19.33203125" bestFit="1" customWidth="1"/>
    <col min="58" max="58" width="19.33203125" hidden="1" customWidth="1"/>
    <col min="59" max="59" width="17.21875" hidden="1" customWidth="1"/>
    <col min="60" max="60" width="17.21875" bestFit="1" customWidth="1"/>
    <col min="61" max="62" width="17.21875" hidden="1" customWidth="1"/>
    <col min="63" max="63" width="10.5546875" hidden="1" customWidth="1"/>
    <col min="64"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9.5546875" hidden="1" customWidth="1"/>
  </cols>
  <sheetData>
    <row r="1" spans="1:74"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36367.67</v>
      </c>
      <c r="F3" s="26">
        <f>股权价值增加表!F53</f>
        <v>0</v>
      </c>
      <c r="G3" s="26">
        <f>股权价值增加表!G53</f>
        <v>0</v>
      </c>
      <c r="H3" s="26">
        <f>股权价值增加表!H53</f>
        <v>0</v>
      </c>
      <c r="I3" s="26">
        <f>股权价值增加表!I53</f>
        <v>0</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-27379674.5</v>
      </c>
      <c r="V3" s="26">
        <f>股权价值增加表!V53</f>
        <v>0</v>
      </c>
      <c r="W3" s="26">
        <f>股权价值增加表!W53</f>
        <v>0</v>
      </c>
      <c r="X3" s="26">
        <f>股权价值增加表!X53</f>
        <v>0</v>
      </c>
      <c r="Y3" s="26">
        <f>股权价值增加表!Y53</f>
        <v>-12009878.24</v>
      </c>
      <c r="Z3" s="26">
        <f>股权价值增加表!Z53</f>
        <v>0</v>
      </c>
      <c r="AA3" s="26">
        <f>股权价值增加表!AA53</f>
        <v>0</v>
      </c>
      <c r="AB3" s="26">
        <f>股权价值增加表!AB53</f>
        <v>0</v>
      </c>
      <c r="AC3" s="26">
        <f>股权价值增加表!AC53</f>
        <v>15890.56</v>
      </c>
      <c r="AD3" s="26">
        <f>股权价值增加表!AD53</f>
        <v>0</v>
      </c>
      <c r="AE3" s="26">
        <f>股权价值增加表!AE53</f>
        <v>0</v>
      </c>
      <c r="AF3" s="26">
        <f>股权价值增加表!AF53</f>
        <v>0</v>
      </c>
      <c r="AG3" s="26">
        <f>股权价值增加表!AG53</f>
        <v>1022154.88</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12825</v>
      </c>
      <c r="V4" s="26">
        <f>资产资本表!V89</f>
        <v>0</v>
      </c>
      <c r="W4" s="26">
        <f>资产资本表!W89</f>
        <v>0</v>
      </c>
      <c r="X4" s="26">
        <f>资产资本表!X89</f>
        <v>0</v>
      </c>
      <c r="Y4" s="26">
        <f>资产资本表!Y89</f>
        <v>146036.97</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944900</v>
      </c>
      <c r="AP4" s="26">
        <f>资产资本表!AP89</f>
        <v>0</v>
      </c>
      <c r="AQ4" s="26">
        <f>资产资本表!AQ89</f>
        <v>0</v>
      </c>
      <c r="AR4" s="26">
        <f>资产资本表!AR89</f>
        <v>0</v>
      </c>
      <c r="AS4" s="26">
        <f>资产资本表!AS89</f>
        <v>8014200</v>
      </c>
      <c r="AT4" s="26">
        <f>资产资本表!AT89</f>
        <v>305643051.12</v>
      </c>
      <c r="AU4" s="26">
        <f>资产资本表!AU89</f>
        <v>325458112.5</v>
      </c>
      <c r="AV4" s="26">
        <f>资产资本表!AV89</f>
        <v>328000000</v>
      </c>
      <c r="AW4" s="26">
        <f>资产资本表!AW89</f>
        <v>298000000</v>
      </c>
      <c r="AX4" s="26">
        <f>资产资本表!AX89</f>
        <v>265012191</v>
      </c>
      <c r="AY4" s="26">
        <f>资产资本表!AY89</f>
        <v>348000000</v>
      </c>
      <c r="AZ4" s="26">
        <f>资产资本表!AZ89</f>
        <v>251609921.59999999</v>
      </c>
      <c r="BA4" s="26">
        <f>资产资本表!BA89</f>
        <v>195618656</v>
      </c>
      <c r="BB4" s="26">
        <f>资产资本表!BB89</f>
        <v>298144762.80000001</v>
      </c>
      <c r="BC4" s="26">
        <f>资产资本表!BC89</f>
        <v>365738534.5</v>
      </c>
      <c r="BD4" s="26">
        <f>资产资本表!BD89</f>
        <v>338294842.98000002</v>
      </c>
      <c r="BE4" s="26">
        <f>资产资本表!BE89</f>
        <v>375976911.5</v>
      </c>
      <c r="BF4" s="26">
        <f>资产资本表!BF89</f>
        <v>427637683.56999999</v>
      </c>
      <c r="BG4" s="26">
        <f>资产资本表!BG89</f>
        <v>342958573.60000002</v>
      </c>
      <c r="BH4" s="26">
        <f>资产资本表!BH89</f>
        <v>202507183.52000001</v>
      </c>
      <c r="BI4" s="26">
        <f>资产资本表!BI89</f>
        <v>149879017.80000001</v>
      </c>
      <c r="BJ4" s="26">
        <f>资产资本表!BJ89</f>
        <v>89307269.920000002</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-344.69765797314489</v>
      </c>
      <c r="V5" s="63">
        <f t="shared" si="0"/>
        <v>0</v>
      </c>
      <c r="W5" s="63">
        <f t="shared" si="0"/>
        <v>0</v>
      </c>
      <c r="X5" s="63">
        <f t="shared" si="0"/>
        <v>0</v>
      </c>
      <c r="Y5" s="63">
        <f t="shared" si="0"/>
        <v>-164.47723121069959</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0.17557809942354996</v>
      </c>
      <c r="F6" s="63">
        <f>股权价值增加表!F41</f>
        <v>0.18087703655444448</v>
      </c>
      <c r="G6" s="63">
        <f>股权价值增加表!G41</f>
        <v>0.18144505878331532</v>
      </c>
      <c r="H6" s="63">
        <f>股权价值增加表!H41</f>
        <v>0.21316458433067864</v>
      </c>
      <c r="I6" s="63">
        <f>股权价值增加表!I41</f>
        <v>0.16947167898639554</v>
      </c>
      <c r="J6" s="63">
        <f>股权价值增加表!J41</f>
        <v>0.21438532445941405</v>
      </c>
      <c r="K6" s="63">
        <f>股权价值增加表!K41</f>
        <v>0.21677984516181747</v>
      </c>
      <c r="L6" s="63">
        <f>股权价值增加表!L41</f>
        <v>0.21668038228343003</v>
      </c>
      <c r="M6" s="63">
        <f>股权价值增加表!M41</f>
        <v>0.15754122322215997</v>
      </c>
      <c r="N6" s="63">
        <f>股权价值增加表!N41</f>
        <v>0.20153166078295218</v>
      </c>
      <c r="O6" s="63">
        <f>股权价值增加表!O41</f>
        <v>0.19358595162032227</v>
      </c>
      <c r="P6" s="63">
        <f>股权价值增加表!P41</f>
        <v>0.20307320113906036</v>
      </c>
      <c r="Q6" s="63">
        <f>股权价值增加表!Q41</f>
        <v>0.15802240538481208</v>
      </c>
      <c r="R6" s="63">
        <f>股权价值增加表!R41</f>
        <v>0.17379417194170621</v>
      </c>
      <c r="S6" s="63">
        <f>股权价值增加表!S41</f>
        <v>0.17243356232290222</v>
      </c>
      <c r="T6" s="63">
        <f>股权价值增加表!T41</f>
        <v>0.16505319562898965</v>
      </c>
      <c r="U6" s="63">
        <f>股权价值增加表!U41</f>
        <v>0.147763314765927</v>
      </c>
      <c r="V6" s="63">
        <f>股权价值增加表!V41</f>
        <v>0.17912554153054325</v>
      </c>
      <c r="W6" s="63">
        <f>股权价值增加表!W41</f>
        <v>0.17758157752992582</v>
      </c>
      <c r="X6" s="63">
        <f>股权价值增加表!X41</f>
        <v>0.19208617804387856</v>
      </c>
      <c r="Y6" s="63">
        <f>股权价值增加表!Y41</f>
        <v>0.13352729349145892</v>
      </c>
      <c r="Z6" s="63">
        <f>股权价值增加表!Z41</f>
        <v>0.18378149392075338</v>
      </c>
      <c r="AA6" s="63">
        <f>股权价值增加表!AA41</f>
        <v>0.17511660780325533</v>
      </c>
      <c r="AB6" s="63">
        <f>股权价值增加表!AB41</f>
        <v>0.20160157593189215</v>
      </c>
      <c r="AC6" s="63">
        <f>股权价值增加表!AC41</f>
        <v>0.16329126328948837</v>
      </c>
      <c r="AD6" s="63">
        <f>股权价值增加表!AD41</f>
        <v>0.17181752202729031</v>
      </c>
      <c r="AE6" s="63">
        <f>股权价值增加表!AE41</f>
        <v>0.17197630067007461</v>
      </c>
      <c r="AF6" s="63">
        <f>股权价值增加表!AF41</f>
        <v>0.15212317709442891</v>
      </c>
      <c r="AG6" s="63">
        <f>股权价值增加表!AG41</f>
        <v>0.16190237207615404</v>
      </c>
      <c r="AH6" s="63">
        <f>股权价值增加表!AH41</f>
        <v>0.1863679154016421</v>
      </c>
      <c r="AI6" s="63">
        <f>股权价值增加表!AI41</f>
        <v>0.19360063302782365</v>
      </c>
      <c r="AJ6" s="63">
        <f>股权价值增加表!AJ41</f>
        <v>0.19128225579641511</v>
      </c>
      <c r="AK6" s="63">
        <f>股权价值增加表!AK41</f>
        <v>0.16950945594287656</v>
      </c>
      <c r="AL6" s="63">
        <f>股权价值增加表!AL41</f>
        <v>0.1840303783750378</v>
      </c>
      <c r="AM6" s="63">
        <f>股权价值增加表!AM41</f>
        <v>0.22738984307351162</v>
      </c>
      <c r="AN6" s="63">
        <f>股权价值增加表!AN41</f>
        <v>0.2409773637746945</v>
      </c>
      <c r="AO6" s="63">
        <f>股权价值增加表!AO41</f>
        <v>0.13569820454094764</v>
      </c>
      <c r="AP6" s="63">
        <f>股权价值增加表!AP41</f>
        <v>0.14045007807177118</v>
      </c>
      <c r="AQ6" s="63">
        <f>股权价值增加表!AQ41</f>
        <v>0.13662241784054918</v>
      </c>
      <c r="AR6" s="63">
        <f>股权价值增加表!AR41</f>
        <v>0.14922781997966916</v>
      </c>
      <c r="AS6" s="63">
        <f>股权价值增加表!AS41</f>
        <v>0.11099963719742158</v>
      </c>
      <c r="AT6" s="63">
        <f>股权价值增加表!AT41</f>
        <v>0.27509278198012249</v>
      </c>
      <c r="AU6" s="63">
        <f>股权价值增加表!AU41</f>
        <v>0.29233543134583179</v>
      </c>
      <c r="AV6" s="63">
        <f>股权价值增加表!AV41</f>
        <v>0.21717900496673681</v>
      </c>
      <c r="AW6" s="63">
        <f>股权价值增加表!AW41</f>
        <v>0.11011008252896919</v>
      </c>
      <c r="AX6" s="63">
        <f>股权价值增加表!AX41</f>
        <v>0.19529250773023804</v>
      </c>
      <c r="AY6" s="63">
        <f>股权价值增加表!AY41</f>
        <v>0.18620983958749932</v>
      </c>
      <c r="AZ6" s="63">
        <f>股权价值增加表!AZ41</f>
        <v>0.20160214561544296</v>
      </c>
      <c r="BA6" s="63">
        <f>股权价值增加表!BA41</f>
        <v>4.3471156694131978E-2</v>
      </c>
      <c r="BB6" s="63">
        <f>股权价值增加表!BB41</f>
        <v>5.1637180066817064E-2</v>
      </c>
      <c r="BC6" s="63">
        <f>股权价值增加表!BC41</f>
        <v>6.0758654571866279E-2</v>
      </c>
      <c r="BD6" s="63">
        <f>股权价值增加表!BD41</f>
        <v>6.4859043355814536E-2</v>
      </c>
      <c r="BE6" s="63">
        <f>股权价值增加表!BE41</f>
        <v>7.4921114155716506E-2</v>
      </c>
      <c r="BF6" s="63">
        <f>股权价值增加表!BF41</f>
        <v>0.20628435511377954</v>
      </c>
      <c r="BG6" s="63">
        <f>股权价值增加表!BG41</f>
        <v>0.238196981270928</v>
      </c>
      <c r="BH6" s="63">
        <f>股权价值增加表!BH41</f>
        <v>0.28252059903919946</v>
      </c>
      <c r="BI6" s="63">
        <f>股权价值增加表!BI41</f>
        <v>0.39741695458025478</v>
      </c>
      <c r="BJ6" s="63">
        <f>股权价值增加表!BJ41</f>
        <v>0.44606371910796133</v>
      </c>
      <c r="BK6" s="63">
        <f>股权价值增加表!BK41</f>
        <v>0.51672032604941864</v>
      </c>
      <c r="BL6" s="63">
        <f>股权价值增加表!BL41</f>
        <v>0.42570506736492403</v>
      </c>
      <c r="BM6" s="63">
        <f>股权价值增加表!BM41</f>
        <v>0.42128690149006892</v>
      </c>
      <c r="BN6" s="63" t="e">
        <f>股权价值增加表!BN41</f>
        <v>#DIV/0!</v>
      </c>
      <c r="BO6" s="63">
        <f>股权价值增加表!BO41</f>
        <v>-0.6103595345931847</v>
      </c>
      <c r="BP6" s="63">
        <f>股权价值增加表!BP41</f>
        <v>-3.5229028155064959</v>
      </c>
      <c r="BQ6" s="63">
        <f>股权价值增加表!BQ41</f>
        <v>2.565208515360065</v>
      </c>
      <c r="BR6" s="63">
        <f>股权价值增加表!BR41</f>
        <v>1.8013460537536532</v>
      </c>
      <c r="BS6" s="63">
        <f>股权价值增加表!BS41</f>
        <v>-9.6712025631088299</v>
      </c>
      <c r="BT6" s="63">
        <f>股权价值增加表!BT41</f>
        <v>-4.4877170318057598</v>
      </c>
      <c r="BU6" s="63">
        <f>股权价值增加表!BU41</f>
        <v>-1.4734583048077885</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-293.76398943898124</v>
      </c>
      <c r="V7" s="63">
        <f t="shared" si="2"/>
        <v>0</v>
      </c>
      <c r="W7" s="63">
        <f t="shared" si="2"/>
        <v>0</v>
      </c>
      <c r="X7" s="63">
        <f t="shared" si="2"/>
        <v>0</v>
      </c>
      <c r="Y7" s="63">
        <f t="shared" si="2"/>
        <v>-142.51503168616597</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t="e">
        <f t="shared" si="2"/>
        <v>#DIV/0!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5198489786.6300001</v>
      </c>
      <c r="F8" s="26">
        <f>资产资本表!F107</f>
        <v>4961012507.46</v>
      </c>
      <c r="G8" s="26">
        <f>资产资本表!G107</f>
        <v>4679019908.46</v>
      </c>
      <c r="H8" s="26">
        <f>资产资本表!H107</f>
        <v>4927457035.2799997</v>
      </c>
      <c r="I8" s="26">
        <f>资产资本表!I107</f>
        <v>4558239662.8699999</v>
      </c>
      <c r="J8" s="26">
        <f>资产资本表!J107</f>
        <v>4218102000.5</v>
      </c>
      <c r="K8" s="26">
        <f>资产资本表!K107</f>
        <v>3943260206.9499998</v>
      </c>
      <c r="L8" s="26">
        <f>资产资本表!L107</f>
        <v>5293201433.6599998</v>
      </c>
      <c r="M8" s="26">
        <f>资产资本表!M107</f>
        <v>5009730562.0799999</v>
      </c>
      <c r="N8" s="26">
        <f>资产资本表!N107</f>
        <v>4723090815.25</v>
      </c>
      <c r="O8" s="26">
        <f>资产资本表!O107</f>
        <v>4449943588.5799999</v>
      </c>
      <c r="P8" s="26">
        <f>资产资本表!P107</f>
        <v>4532900385.5299997</v>
      </c>
      <c r="Q8" s="26">
        <f>资产资本表!Q107</f>
        <v>4278816315.1400003</v>
      </c>
      <c r="R8" s="26">
        <f>资产资本表!R107</f>
        <v>4075580236.71</v>
      </c>
      <c r="S8" s="26">
        <f>资产资本表!S107</f>
        <v>3871183124.1600003</v>
      </c>
      <c r="T8" s="26">
        <f>资产资本表!T107</f>
        <v>3940954467.1100001</v>
      </c>
      <c r="U8" s="26">
        <f>资产资本表!U107</f>
        <v>3732910884.5099998</v>
      </c>
      <c r="V8" s="26">
        <f>资产资本表!V107</f>
        <v>3662679370.02</v>
      </c>
      <c r="W8" s="26">
        <f>资产资本表!W107</f>
        <v>3490212382.0599999</v>
      </c>
      <c r="X8" s="26">
        <f>资产资本表!X107</f>
        <v>3567241318.3000002</v>
      </c>
      <c r="Y8" s="26">
        <f>资产资本表!Y107</f>
        <v>3394580309.3799996</v>
      </c>
      <c r="Z8" s="26">
        <f>资产资本表!Z107</f>
        <v>3244843702.75</v>
      </c>
      <c r="AA8" s="26">
        <f>资产资本表!AA107</f>
        <v>3148735362.5799999</v>
      </c>
      <c r="AB8" s="26">
        <f>资产资本表!AB107</f>
        <v>3222313716.3899999</v>
      </c>
      <c r="AC8" s="26">
        <f>资产资本表!AC107</f>
        <v>3094259610.7600002</v>
      </c>
      <c r="AD8" s="26">
        <f>资产资本表!AD107</f>
        <v>2957796924.96</v>
      </c>
      <c r="AE8" s="26">
        <f>资产资本表!AE107</f>
        <v>2821898590.8800001</v>
      </c>
      <c r="AF8" s="26">
        <f>资产资本表!AF107</f>
        <v>2884240451.02</v>
      </c>
      <c r="AG8" s="26">
        <f>资产资本表!AG107</f>
        <v>2736677234.21</v>
      </c>
      <c r="AH8" s="26">
        <f>资产资本表!AH107</f>
        <v>2613523463.1900001</v>
      </c>
      <c r="AI8" s="26">
        <f>资产资本表!AI107</f>
        <v>2488516794.6200004</v>
      </c>
      <c r="AJ8" s="26">
        <f>资产资本表!AJ107</f>
        <v>2499857212.8299999</v>
      </c>
      <c r="AK8" s="26">
        <f>资产资本表!AK107</f>
        <v>2387028595.3699999</v>
      </c>
      <c r="AL8" s="26">
        <f>资产资本表!AL107</f>
        <v>2308512612.4099998</v>
      </c>
      <c r="AM8" s="26">
        <f>资产资本表!AM107</f>
        <v>2222699925.6599998</v>
      </c>
      <c r="AN8" s="26">
        <f>资产资本表!AN107</f>
        <v>2241143445.29</v>
      </c>
      <c r="AO8" s="26">
        <f>资产资本表!AO107</f>
        <v>2162624916.8200002</v>
      </c>
      <c r="AP8" s="26">
        <f>资产资本表!AP107</f>
        <v>2059787930.1099999</v>
      </c>
      <c r="AQ8" s="26">
        <f>资产资本表!AQ107</f>
        <v>1990187952.73</v>
      </c>
      <c r="AR8" s="26">
        <f>资产资本表!AR107</f>
        <v>1876896259.77</v>
      </c>
      <c r="AS8" s="26">
        <f>资产资本表!AS107</f>
        <v>1807445577.1100001</v>
      </c>
      <c r="AT8" s="26">
        <f>资产资本表!AT107</f>
        <v>1694244677.5699999</v>
      </c>
      <c r="AU8" s="26">
        <f>资产资本表!AU107</f>
        <v>949297555.71000004</v>
      </c>
      <c r="AV8" s="26">
        <f>资产资本表!AV107</f>
        <v>943529555.12</v>
      </c>
      <c r="AW8" s="26">
        <f>资产资本表!AW107</f>
        <v>905663398.10000002</v>
      </c>
      <c r="AX8" s="26">
        <f>资产资本表!AX107</f>
        <v>849571234.5</v>
      </c>
      <c r="AY8" s="26">
        <f>资产资本表!AY107</f>
        <v>828424890.75</v>
      </c>
      <c r="AZ8" s="26">
        <f>资产资本表!AZ107</f>
        <v>837969374.53999996</v>
      </c>
      <c r="BA8" s="26">
        <f>资产资本表!BA107</f>
        <v>807903115.36000001</v>
      </c>
      <c r="BB8" s="26">
        <f>资产资本表!BB107</f>
        <v>774930299.87</v>
      </c>
      <c r="BC8" s="26">
        <f>资产资本表!BC107</f>
        <v>751840793.05999994</v>
      </c>
      <c r="BD8" s="26">
        <f>资产资本表!BD107</f>
        <v>758345972.89999998</v>
      </c>
      <c r="BE8" s="26">
        <f>资产资本表!BE107</f>
        <v>738852959.18999994</v>
      </c>
      <c r="BF8" s="26">
        <f>资产资本表!BF107</f>
        <v>662944760.82000005</v>
      </c>
      <c r="BG8" s="26">
        <f>资产资本表!BG107</f>
        <v>242763613.39999998</v>
      </c>
      <c r="BH8" s="26">
        <f>资产资本表!BH107</f>
        <v>214022329.36999997</v>
      </c>
      <c r="BI8" s="26">
        <f>资产资本表!BI107</f>
        <v>135309387.50999999</v>
      </c>
      <c r="BJ8" s="26">
        <f>资产资本表!BJ107</f>
        <v>96390957.070000008</v>
      </c>
      <c r="BK8" s="26">
        <f>资产资本表!BK107</f>
        <v>0</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741</v>
      </c>
      <c r="E9" s="63">
        <f>股东权益回报率分析表!E14</f>
        <v>0.23238843382688421</v>
      </c>
      <c r="F9" s="63">
        <f>股东权益回报率分析表!F14</f>
        <v>0.17953284520663584</v>
      </c>
      <c r="G9" s="63">
        <f>股东权益回报率分析表!G14</f>
        <v>0.1269446436327506</v>
      </c>
      <c r="H9" s="63">
        <f>股东权益回报率分析表!H14</f>
        <v>7.4284234687233705E-2</v>
      </c>
      <c r="I9" s="63">
        <f>股东权益回报率分析表!I14</f>
        <v>0.25105737390286031</v>
      </c>
      <c r="J9" s="63">
        <f>股东权益回报率分析表!J14</f>
        <v>0.18841290342096842</v>
      </c>
      <c r="K9" s="63">
        <f>股东权益回报率分析表!K14</f>
        <v>0.13230505011322344</v>
      </c>
      <c r="L9" s="63">
        <f>股东权益回报率分析表!L14</f>
        <v>5.6142934616133976E-2</v>
      </c>
      <c r="M9" s="63">
        <f>股东权益回报率分析表!M14</f>
        <v>0.19979787689109163</v>
      </c>
      <c r="N9" s="63">
        <f>股东权益回报率分析表!N14</f>
        <v>0.14967888392435663</v>
      </c>
      <c r="O9" s="63">
        <f>股东权益回报率分析表!O14</f>
        <v>9.8193235381987043E-2</v>
      </c>
      <c r="P9" s="63">
        <f>股东权益回报率分析表!P14</f>
        <v>5.4744902101126813E-2</v>
      </c>
      <c r="Q9" s="63">
        <f>股东权益回报率分析表!Q14</f>
        <v>0.17823547569254489</v>
      </c>
      <c r="R9" s="63">
        <f>股东权益回报率分析表!R14</f>
        <v>0.13822147828323672</v>
      </c>
      <c r="S9" s="63">
        <f>股东权益回报率分析表!S14</f>
        <v>9.4235240348945773E-2</v>
      </c>
      <c r="T9" s="63">
        <f>股东权益回报率分析表!T14</f>
        <v>5.1772342000597174E-2</v>
      </c>
      <c r="U9" s="63">
        <f>股东权益回报率分析表!U14</f>
        <v>0.16642821228815632</v>
      </c>
      <c r="V9" s="63">
        <f>股东权益回报率分析表!V14</f>
        <v>0.1276213436387823</v>
      </c>
      <c r="W9" s="63">
        <f>股东权益回报率分析表!W14</f>
        <v>8.493093456251001E-2</v>
      </c>
      <c r="X9" s="63">
        <f>股东权益回报率分析表!X14</f>
        <v>4.7175735896162661E-2</v>
      </c>
      <c r="Y9" s="63">
        <f>股东权益回报率分析表!Y14</f>
        <v>0.14911893941388418</v>
      </c>
      <c r="Z9" s="63">
        <f>股东权益回报率分析表!Z14</f>
        <v>0.1122738220830936</v>
      </c>
      <c r="AA9" s="63">
        <f>股东权益回报率分析表!AA14</f>
        <v>7.5555722766446121E-2</v>
      </c>
      <c r="AB9" s="63">
        <f>股东权益回报率分析表!AB14</f>
        <v>4.319266954737281E-2</v>
      </c>
      <c r="AC9" s="63">
        <f>股东权益回报率分析表!AC14</f>
        <v>0.15762302954929078</v>
      </c>
      <c r="AD9" s="63">
        <f>股东权益回报率分析表!AD14</f>
        <v>0.12938544380465719</v>
      </c>
      <c r="AE9" s="63">
        <f>股东权益回报率分析表!AE14</f>
        <v>8.7457974052510851E-2</v>
      </c>
      <c r="AF9" s="63">
        <f>股东权益回报率分析表!AF14</f>
        <v>5.1553484993740878E-2</v>
      </c>
      <c r="AG9" s="63">
        <f>股东权益回报率分析表!AG14</f>
        <v>0.15340332617674896</v>
      </c>
      <c r="AH9" s="63">
        <f>股东权益回报率分析表!AH14</f>
        <v>0.11740541190530465</v>
      </c>
      <c r="AI9" s="63">
        <f>股东权益回报率分析表!AI14</f>
        <v>7.6469726747035421E-2</v>
      </c>
      <c r="AJ9" s="63">
        <f>股东权益回报率分析表!AJ14</f>
        <v>4.5134024803868925E-2</v>
      </c>
      <c r="AK9" s="63">
        <f>股东权益回报率分析表!AK14</f>
        <v>0.14774715277147074</v>
      </c>
      <c r="AL9" s="63">
        <f>股东权益回报率分析表!AL14</f>
        <v>0.10145496370301106</v>
      </c>
      <c r="AM9" s="63">
        <f>股东权益回报率分析表!AM14</f>
        <v>6.6868723786845219E-2</v>
      </c>
      <c r="AN9" s="63">
        <f>股东权益回报率分析表!AN14</f>
        <v>3.4924939831270721E-2</v>
      </c>
      <c r="AO9" s="63">
        <f>股东权益回报率分析表!AO14</f>
        <v>0.13844654777688395</v>
      </c>
      <c r="AP9" s="63">
        <f>股东权益回报率分析表!AP14</f>
        <v>9.5314541259359342E-2</v>
      </c>
      <c r="AQ9" s="63">
        <f>股东权益回报率分析表!AQ14</f>
        <v>6.707073783503549E-2</v>
      </c>
      <c r="AR9" s="63">
        <f>股东权益回报率分析表!AR14</f>
        <v>3.6276370191255798E-2</v>
      </c>
      <c r="AS9" s="63">
        <f>股东权益回报率分析表!AS14</f>
        <v>0.11912500098856138</v>
      </c>
      <c r="AT9" s="63">
        <f>股东权益回报率分析表!AT14</f>
        <v>7.1971810621173887E-2</v>
      </c>
      <c r="AU9" s="63">
        <f>股东权益回报率分析表!AU14</f>
        <v>8.9361377736355052E-2</v>
      </c>
      <c r="AV9" s="63">
        <f>股东权益回报率分析表!AV14</f>
        <v>5.08886443985248E-2</v>
      </c>
      <c r="AW9" s="63">
        <f>股东权益回报率分析表!AW14</f>
        <v>0.14319652117119178</v>
      </c>
      <c r="AX9" s="63">
        <f>股东权益回报率分析表!AX14</f>
        <v>8.7753691759440131E-2</v>
      </c>
      <c r="AY9" s="63">
        <f>股东权益回报率分析表!AY14</f>
        <v>6.5114226627309882E-2</v>
      </c>
      <c r="AZ9" s="63">
        <f>股东权益回报率分析表!AZ14</f>
        <v>3.4752382837363399E-2</v>
      </c>
      <c r="BA9" s="63">
        <f>股东权益回报率分析表!BA14</f>
        <v>0.10823084771871051</v>
      </c>
      <c r="BB9" s="63">
        <f>股东权益回报率分析表!BB14</f>
        <v>5.5857824513070961E-2</v>
      </c>
      <c r="BC9" s="63">
        <f>股东权益回报率分析表!BC14</f>
        <v>4.1764437444529748E-2</v>
      </c>
      <c r="BD9" s="63">
        <f>股东权益回报率分析表!BD14</f>
        <v>1.7231417159148225E-2</v>
      </c>
      <c r="BE9" s="63">
        <f>股东权益回报率分析表!BE14</f>
        <v>8.5182982929375081E-2</v>
      </c>
      <c r="BF9" s="63">
        <f>股东权益回报率分析表!BF14</f>
        <v>6.1806867829105883E-2</v>
      </c>
      <c r="BG9" s="63">
        <f>股东权益回报率分析表!BG14</f>
        <v>0.10326514809570723</v>
      </c>
      <c r="BH9" s="63">
        <f>股东权益回报率分析表!BH14</f>
        <v>5.039760323958007E-2</v>
      </c>
      <c r="BI9" s="63">
        <f>股东权益回报率分析表!BI14</f>
        <v>0.36699890335642882</v>
      </c>
      <c r="BJ9" s="63">
        <f>股东权益回报率分析表!BJ14</f>
        <v>0.30526352029715415</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5213639786.6299992</v>
      </c>
      <c r="F10" s="26">
        <f>资产资本表!F70</f>
        <v>4976162507.460001</v>
      </c>
      <c r="G10" s="26">
        <f>资产资本表!G70</f>
        <v>4694169908.46</v>
      </c>
      <c r="H10" s="26">
        <f>资产资本表!H70</f>
        <v>4937607035.2799988</v>
      </c>
      <c r="I10" s="26">
        <f>资产资本表!I70</f>
        <v>4565389662.8699989</v>
      </c>
      <c r="J10" s="26">
        <f>资产资本表!J70</f>
        <v>4221102000.5</v>
      </c>
      <c r="K10" s="26">
        <f>资产资本表!K70</f>
        <v>3946260206.9499998</v>
      </c>
      <c r="L10" s="26">
        <f>资产资本表!L70</f>
        <v>5296201433.6599998</v>
      </c>
      <c r="M10" s="26">
        <f>资产资本表!M70</f>
        <v>5012730562.0799999</v>
      </c>
      <c r="N10" s="26">
        <f>资产资本表!N70</f>
        <v>4736104170.250001</v>
      </c>
      <c r="O10" s="26">
        <f>资产资本表!O70</f>
        <v>4462956943.5799999</v>
      </c>
      <c r="P10" s="26">
        <f>资产资本表!P70</f>
        <v>4545913740.5299997</v>
      </c>
      <c r="Q10" s="26">
        <f>资产资本表!Q70</f>
        <v>4291829670.1400003</v>
      </c>
      <c r="R10" s="26">
        <f>资产资本表!R70</f>
        <v>4084820267.5599995</v>
      </c>
      <c r="S10" s="26">
        <f>资产资本表!S70</f>
        <v>3886090455.0100002</v>
      </c>
      <c r="T10" s="26">
        <f>资产资本表!T70</f>
        <v>3955795122.1099997</v>
      </c>
      <c r="U10" s="26">
        <f>资产资本表!U70</f>
        <v>3747764364.5099998</v>
      </c>
      <c r="V10" s="26">
        <f>资产资本表!V70</f>
        <v>3662715670.0200005</v>
      </c>
      <c r="W10" s="26">
        <f>资产资本表!W70</f>
        <v>3490248682.0599995</v>
      </c>
      <c r="X10" s="26">
        <f>资产资本表!X70</f>
        <v>3567241318.3000007</v>
      </c>
      <c r="Y10" s="26">
        <f>资产资本表!Y70</f>
        <v>3394726346.3500004</v>
      </c>
      <c r="Z10" s="26">
        <f>资产资本表!Z70</f>
        <v>3244843702.7500005</v>
      </c>
      <c r="AA10" s="26">
        <f>资产资本表!AA70</f>
        <v>3148735362.5800004</v>
      </c>
      <c r="AB10" s="26">
        <f>资产资本表!AB70</f>
        <v>3222313716.3899999</v>
      </c>
      <c r="AC10" s="26">
        <f>资产资本表!AC70</f>
        <v>3094259610.7600002</v>
      </c>
      <c r="AD10" s="26">
        <f>资产资本表!AD70</f>
        <v>2957796924.9599996</v>
      </c>
      <c r="AE10" s="26">
        <f>资产资本表!AE70</f>
        <v>2821898590.8799996</v>
      </c>
      <c r="AF10" s="26">
        <f>资产资本表!AF70</f>
        <v>2884240451.0200005</v>
      </c>
      <c r="AG10" s="26">
        <f>资产资本表!AG70</f>
        <v>2736677234.2099996</v>
      </c>
      <c r="AH10" s="26">
        <f>资产资本表!AH70</f>
        <v>2613523463.1900001</v>
      </c>
      <c r="AI10" s="26">
        <f>资产资本表!AI70</f>
        <v>2488516794.6199999</v>
      </c>
      <c r="AJ10" s="26">
        <f>资产资本表!AJ70</f>
        <v>2499857212.8299999</v>
      </c>
      <c r="AK10" s="26">
        <f>资产资本表!AK70</f>
        <v>2387028595.3699999</v>
      </c>
      <c r="AL10" s="26">
        <f>资产资本表!AL70</f>
        <v>2308512612.4099998</v>
      </c>
      <c r="AM10" s="26">
        <f>资产资本表!AM70</f>
        <v>2222699925.6599998</v>
      </c>
      <c r="AN10" s="26">
        <f>资产资本表!AN70</f>
        <v>2241143445.29</v>
      </c>
      <c r="AO10" s="26">
        <f>资产资本表!AO70</f>
        <v>2163569816.8199997</v>
      </c>
      <c r="AP10" s="26">
        <f>资产资本表!AP70</f>
        <v>2059787930.1099997</v>
      </c>
      <c r="AQ10" s="26">
        <f>资产资本表!AQ70</f>
        <v>1990187952.73</v>
      </c>
      <c r="AR10" s="26">
        <f>资产资本表!AR70</f>
        <v>1876896259.77</v>
      </c>
      <c r="AS10" s="26">
        <f>资产资本表!AS70</f>
        <v>1815459777.1099997</v>
      </c>
      <c r="AT10" s="26">
        <f>资产资本表!AT70</f>
        <v>1999887728.6900003</v>
      </c>
      <c r="AU10" s="26">
        <f>资产资本表!AU70</f>
        <v>1274755668.21</v>
      </c>
      <c r="AV10" s="26">
        <f>资产资本表!AV70</f>
        <v>1271529555.1199999</v>
      </c>
      <c r="AW10" s="26">
        <f>资产资本表!AW70</f>
        <v>1196462193.51</v>
      </c>
      <c r="AX10" s="26">
        <f>资产资本表!AX70</f>
        <v>1109794912.55</v>
      </c>
      <c r="AY10" s="26">
        <f>资产资本表!AY70</f>
        <v>1167081413.8199999</v>
      </c>
      <c r="AZ10" s="26">
        <f>资产资本表!AZ70</f>
        <v>1078770415.9199998</v>
      </c>
      <c r="BA10" s="26">
        <f>资产资本表!BA70</f>
        <v>999458271.8499999</v>
      </c>
      <c r="BB10" s="26">
        <f>资产资本表!BB70</f>
        <v>1063734730.52</v>
      </c>
      <c r="BC10" s="26">
        <f>资产资本表!BC70</f>
        <v>1110529107.1900001</v>
      </c>
      <c r="BD10" s="26">
        <f>资产资本表!BD70</f>
        <v>1092776695.6599998</v>
      </c>
      <c r="BE10" s="26">
        <f>资产资本表!BE70</f>
        <v>1114411840.8900001</v>
      </c>
      <c r="BF10" s="26">
        <f>资产资本表!BF70</f>
        <v>1077404573.8799999</v>
      </c>
      <c r="BG10" s="26">
        <f>资产资本表!BG70</f>
        <v>582458354.44000006</v>
      </c>
      <c r="BH10" s="26">
        <f>资产资本表!BH70</f>
        <v>404060047.81</v>
      </c>
      <c r="BI10" s="26">
        <f>资产资本表!BI70</f>
        <v>312731674.85999995</v>
      </c>
      <c r="BJ10" s="26">
        <f>资产资本表!BJ70</f>
        <v>216931209.45000002</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0</v>
      </c>
      <c r="S11" s="63">
        <f t="shared" si="3"/>
        <v>0</v>
      </c>
      <c r="T11" s="63">
        <f t="shared" si="3"/>
        <v>0</v>
      </c>
      <c r="U11" s="63">
        <f t="shared" si="3"/>
        <v>3.4220401158216363E-6</v>
      </c>
      <c r="V11" s="63">
        <f t="shared" si="3"/>
        <v>0</v>
      </c>
      <c r="W11" s="63">
        <f t="shared" si="3"/>
        <v>0</v>
      </c>
      <c r="X11" s="63">
        <f t="shared" si="3"/>
        <v>0</v>
      </c>
      <c r="Y11" s="63">
        <f t="shared" si="3"/>
        <v>4.3018775329863782E-5</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4.3673191992889217E-4</v>
      </c>
      <c r="AP11" s="63">
        <f t="shared" si="3"/>
        <v>0</v>
      </c>
      <c r="AQ11" s="63">
        <f t="shared" si="3"/>
        <v>0</v>
      </c>
      <c r="AR11" s="63">
        <f t="shared" si="3"/>
        <v>0</v>
      </c>
      <c r="AS11" s="63">
        <f t="shared" si="3"/>
        <v>4.4144189262940716E-3</v>
      </c>
      <c r="AT11" s="63">
        <f t="shared" si="3"/>
        <v>0.15283010477803541</v>
      </c>
      <c r="AU11" s="63">
        <f t="shared" si="3"/>
        <v>0.25531019050655035</v>
      </c>
      <c r="AV11" s="63">
        <f t="shared" si="3"/>
        <v>0.25795703975519874</v>
      </c>
      <c r="AW11" s="63">
        <f t="shared" si="3"/>
        <v>0.24906762755768541</v>
      </c>
      <c r="AX11" s="63">
        <f t="shared" si="3"/>
        <v>0.23879384200011849</v>
      </c>
      <c r="AY11" s="63">
        <f t="shared" si="3"/>
        <v>0.29817971212561217</v>
      </c>
      <c r="AZ11" s="63">
        <f t="shared" si="3"/>
        <v>0.23323769162266222</v>
      </c>
      <c r="BA11" s="63">
        <f t="shared" si="3"/>
        <v>0.19572468557182418</v>
      </c>
      <c r="BB11" s="63">
        <f t="shared" si="3"/>
        <v>0.28028112107823522</v>
      </c>
      <c r="BC11" s="63">
        <f t="shared" si="3"/>
        <v>0.32933718903184578</v>
      </c>
      <c r="BD11" s="63">
        <f t="shared" si="3"/>
        <v>0.30957362498994495</v>
      </c>
      <c r="BE11" s="63">
        <f t="shared" si="3"/>
        <v>0.33737698910282077</v>
      </c>
      <c r="BF11" s="63">
        <f t="shared" si="3"/>
        <v>0.39691467247996831</v>
      </c>
      <c r="BG11" s="63">
        <f t="shared" si="3"/>
        <v>0.58881218027979842</v>
      </c>
      <c r="BH11" s="63">
        <f t="shared" si="3"/>
        <v>0.50118091263312525</v>
      </c>
      <c r="BI11" s="63">
        <f t="shared" si="3"/>
        <v>0.47925755479388549</v>
      </c>
      <c r="BJ11" s="63">
        <f t="shared" si="3"/>
        <v>0.41168474626784501</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0.99709416058262212</v>
      </c>
      <c r="F12" s="63">
        <f t="shared" ref="F12:BQ12" si="4">F8/F10</f>
        <v>0.99695548528061761</v>
      </c>
      <c r="G12" s="63">
        <f t="shared" si="4"/>
        <v>0.99677259232293736</v>
      </c>
      <c r="H12" s="63">
        <f t="shared" si="4"/>
        <v>0.99794434835994938</v>
      </c>
      <c r="I12" s="63">
        <f t="shared" si="4"/>
        <v>0.99843386862283645</v>
      </c>
      <c r="J12" s="63">
        <f t="shared" si="4"/>
        <v>0.99928928512041537</v>
      </c>
      <c r="K12" s="63">
        <f t="shared" si="4"/>
        <v>0.99923978657192536</v>
      </c>
      <c r="L12" s="63">
        <f t="shared" si="4"/>
        <v>0.99943355628792108</v>
      </c>
      <c r="M12" s="63">
        <f t="shared" si="4"/>
        <v>0.99940152378771474</v>
      </c>
      <c r="N12" s="63">
        <f t="shared" si="4"/>
        <v>0.99725230811396748</v>
      </c>
      <c r="O12" s="63">
        <f t="shared" si="4"/>
        <v>0.99708414059008121</v>
      </c>
      <c r="P12" s="63">
        <f t="shared" si="4"/>
        <v>0.99713735109314172</v>
      </c>
      <c r="Q12" s="63">
        <f t="shared" si="4"/>
        <v>0.99696787710599533</v>
      </c>
      <c r="R12" s="63">
        <f t="shared" si="4"/>
        <v>0.99773795901783491</v>
      </c>
      <c r="S12" s="63">
        <f t="shared" si="4"/>
        <v>0.99616392592437442</v>
      </c>
      <c r="T12" s="63">
        <f t="shared" si="4"/>
        <v>0.99624837623236573</v>
      </c>
      <c r="U12" s="63">
        <f t="shared" si="4"/>
        <v>0.99603670920705234</v>
      </c>
      <c r="V12" s="63">
        <f t="shared" si="4"/>
        <v>0.99999008932080158</v>
      </c>
      <c r="W12" s="63">
        <f t="shared" si="4"/>
        <v>0.99998959959495548</v>
      </c>
      <c r="X12" s="63">
        <f t="shared" si="4"/>
        <v>0.99999999999999989</v>
      </c>
      <c r="Y12" s="63">
        <f t="shared" si="4"/>
        <v>0.99995698122466992</v>
      </c>
      <c r="Z12" s="63">
        <f t="shared" si="4"/>
        <v>0.99999999999999989</v>
      </c>
      <c r="AA12" s="63">
        <f t="shared" si="4"/>
        <v>0.99999999999999989</v>
      </c>
      <c r="AB12" s="63">
        <f t="shared" si="4"/>
        <v>1</v>
      </c>
      <c r="AC12" s="63">
        <f t="shared" si="4"/>
        <v>1</v>
      </c>
      <c r="AD12" s="63">
        <f t="shared" si="4"/>
        <v>1.0000000000000002</v>
      </c>
      <c r="AE12" s="63">
        <f t="shared" si="4"/>
        <v>1.0000000000000002</v>
      </c>
      <c r="AF12" s="63">
        <f t="shared" si="4"/>
        <v>0.99999999999999989</v>
      </c>
      <c r="AG12" s="63">
        <f t="shared" si="4"/>
        <v>1.0000000000000002</v>
      </c>
      <c r="AH12" s="63">
        <f t="shared" si="4"/>
        <v>1</v>
      </c>
      <c r="AI12" s="63">
        <f t="shared" si="4"/>
        <v>1.0000000000000002</v>
      </c>
      <c r="AJ12" s="63">
        <f t="shared" si="4"/>
        <v>1</v>
      </c>
      <c r="AK12" s="63">
        <f t="shared" si="4"/>
        <v>1</v>
      </c>
      <c r="AL12" s="63">
        <f t="shared" si="4"/>
        <v>1</v>
      </c>
      <c r="AM12" s="63">
        <f t="shared" si="4"/>
        <v>1</v>
      </c>
      <c r="AN12" s="63">
        <f t="shared" si="4"/>
        <v>1</v>
      </c>
      <c r="AO12" s="63">
        <f t="shared" si="4"/>
        <v>0.99956326808007134</v>
      </c>
      <c r="AP12" s="63">
        <f t="shared" si="4"/>
        <v>1.0000000000000002</v>
      </c>
      <c r="AQ12" s="63">
        <f t="shared" si="4"/>
        <v>1</v>
      </c>
      <c r="AR12" s="63">
        <f t="shared" si="4"/>
        <v>1</v>
      </c>
      <c r="AS12" s="63">
        <f t="shared" si="4"/>
        <v>0.99558558107370621</v>
      </c>
      <c r="AT12" s="63">
        <f t="shared" si="4"/>
        <v>0.8471698952219644</v>
      </c>
      <c r="AU12" s="63">
        <f t="shared" si="4"/>
        <v>0.74468980949344965</v>
      </c>
      <c r="AV12" s="63">
        <f t="shared" si="4"/>
        <v>0.74204296024480132</v>
      </c>
      <c r="AW12" s="63">
        <f t="shared" si="4"/>
        <v>0.75695112057247849</v>
      </c>
      <c r="AX12" s="63">
        <f t="shared" si="4"/>
        <v>0.76552093084290829</v>
      </c>
      <c r="AY12" s="63">
        <f t="shared" si="4"/>
        <v>0.70982613632622615</v>
      </c>
      <c r="AZ12" s="63">
        <f t="shared" si="4"/>
        <v>0.77678193818965702</v>
      </c>
      <c r="BA12" s="63">
        <f t="shared" si="4"/>
        <v>0.80834101644340706</v>
      </c>
      <c r="BB12" s="63">
        <f t="shared" si="4"/>
        <v>0.728499575727099</v>
      </c>
      <c r="BC12" s="63">
        <f t="shared" si="4"/>
        <v>0.67701133468027841</v>
      </c>
      <c r="BD12" s="63">
        <f t="shared" si="4"/>
        <v>0.69396243158533399</v>
      </c>
      <c r="BE12" s="63">
        <f t="shared" si="4"/>
        <v>0.66299812338671094</v>
      </c>
      <c r="BF12" s="63">
        <f t="shared" si="4"/>
        <v>0.61531645297603699</v>
      </c>
      <c r="BG12" s="63">
        <f t="shared" si="4"/>
        <v>0.41679136636885072</v>
      </c>
      <c r="BH12" s="63">
        <f t="shared" si="4"/>
        <v>0.52967951305752226</v>
      </c>
      <c r="BI12" s="63">
        <f t="shared" si="4"/>
        <v>0.43266927653098686</v>
      </c>
      <c r="BJ12" s="63">
        <f t="shared" si="4"/>
        <v>0.44433881742689929</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0.23171315035572734</v>
      </c>
      <c r="F13" s="63">
        <f t="shared" ref="F13:J13" si="5">F5*F11*(1-F6)+F9*F12</f>
        <v>0.17898625481679165</v>
      </c>
      <c r="G13" s="63">
        <f t="shared" si="5"/>
        <v>0.12653494151532826</v>
      </c>
      <c r="H13" s="63">
        <f t="shared" si="5"/>
        <v>7.4131532178368986E-2</v>
      </c>
      <c r="I13" s="63">
        <f t="shared" si="5"/>
        <v>0.25066418507212279</v>
      </c>
      <c r="J13" s="63">
        <f t="shared" si="5"/>
        <v>0.18827899556700139</v>
      </c>
      <c r="K13" s="63">
        <f t="shared" ref="K13" si="6">K5*K11*(1-K6)+K9*K12</f>
        <v>0.13220447003752528</v>
      </c>
      <c r="L13" s="63">
        <f t="shared" ref="L13" si="7">L5*L11*(1-L6)+L9*L12</f>
        <v>5.6111132803843007E-2</v>
      </c>
      <c r="M13" s="63">
        <f t="shared" ref="M13" si="8">M5*M11*(1-M6)+M9*M12</f>
        <v>0.19967830261450722</v>
      </c>
      <c r="N13" s="63">
        <f t="shared" ref="N13:O13" si="9">N5*N11*(1-N6)+N9*N12</f>
        <v>0.14926761246948728</v>
      </c>
      <c r="O13" s="63">
        <f t="shared" si="9"/>
        <v>9.7906917712608107E-2</v>
      </c>
      <c r="P13" s="63">
        <f t="shared" ref="P13" si="10">P5*P11*(1-P6)+P9*P12</f>
        <v>5.4588186666970961E-2</v>
      </c>
      <c r="Q13" s="63">
        <f t="shared" ref="Q13" si="11">Q5*Q11*(1-Q6)+Q9*Q12</f>
        <v>0.17769504382617371</v>
      </c>
      <c r="R13" s="63">
        <f t="shared" ref="R13" si="12">R5*R11*(1-R6)+R9*R12</f>
        <v>0.13790881563474461</v>
      </c>
      <c r="S13" s="63">
        <f t="shared" ref="S13:T13" si="13">S5*S11*(1-S6)+S9*S12</f>
        <v>9.3873746986432832E-2</v>
      </c>
      <c r="T13" s="63">
        <f t="shared" si="13"/>
        <v>5.1578111651841646E-2</v>
      </c>
      <c r="U13" s="63">
        <f t="shared" ref="U13" si="14">U5*U11*(1-U6)+U9*U12</f>
        <v>0.16476333673026394</v>
      </c>
      <c r="V13" s="63">
        <f t="shared" ref="V13" si="15">V5*V11*(1-V6)+V9*V12</f>
        <v>0.12762007882458662</v>
      </c>
      <c r="W13" s="63">
        <f t="shared" ref="W13" si="16">W5*W11*(1-W6)+W9*W12</f>
        <v>8.4930051246389748E-2</v>
      </c>
      <c r="X13" s="63">
        <f t="shared" ref="X13:Y13" si="17">X5*X11*(1-X6)+X9*X12</f>
        <v>4.7175735896162654E-2</v>
      </c>
      <c r="Y13" s="63">
        <f t="shared" si="17"/>
        <v>0.14298170237049648</v>
      </c>
      <c r="Z13" s="63">
        <f t="shared" ref="Z13" si="18">Z5*Z11*(1-Z6)+Z9*Z12</f>
        <v>0.11227382208309358</v>
      </c>
      <c r="AA13" s="63">
        <f t="shared" ref="AA13" si="19">AA5*AA11*(1-AA6)+AA9*AA12</f>
        <v>7.5555722766446107E-2</v>
      </c>
      <c r="AB13" s="63">
        <f t="shared" ref="AB13" si="20">AB5*AB11*(1-AB6)+AB9*AB12</f>
        <v>4.319266954737281E-2</v>
      </c>
      <c r="AC13" s="63">
        <f t="shared" ref="AC13:AD13" si="21">AC5*AC11*(1-AC6)+AC9*AC12</f>
        <v>0.15762302954929078</v>
      </c>
      <c r="AD13" s="63">
        <f t="shared" si="21"/>
        <v>0.12938544380465722</v>
      </c>
      <c r="AE13" s="63">
        <f t="shared" ref="AE13" si="22">AE5*AE11*(1-AE6)+AE9*AE12</f>
        <v>8.7457974052510865E-2</v>
      </c>
      <c r="AF13" s="63">
        <f t="shared" ref="AF13" si="23">AF5*AF11*(1-AF6)+AF9*AF12</f>
        <v>5.1553484993740871E-2</v>
      </c>
      <c r="AG13" s="63">
        <f t="shared" ref="AG13" si="24">AG5*AG11*(1-AG6)+AG9*AG12</f>
        <v>0.15340332617674898</v>
      </c>
      <c r="AH13" s="63">
        <f t="shared" ref="AH13:AI13" si="25">AH5*AH11*(1-AH6)+AH9*AH12</f>
        <v>0.11740541190530465</v>
      </c>
      <c r="AI13" s="63">
        <f t="shared" si="25"/>
        <v>7.6469726747035435E-2</v>
      </c>
      <c r="AJ13" s="63">
        <f t="shared" ref="AJ13" si="26">AJ5*AJ11*(1-AJ6)+AJ9*AJ12</f>
        <v>4.5134024803868925E-2</v>
      </c>
      <c r="AK13" s="63">
        <f t="shared" ref="AK13" si="27">AK5*AK11*(1-AK6)+AK9*AK12</f>
        <v>0.14774715277147074</v>
      </c>
      <c r="AL13" s="63">
        <f t="shared" ref="AL13" si="28">AL5*AL11*(1-AL6)+AL9*AL12</f>
        <v>0.10145496370301106</v>
      </c>
      <c r="AM13" s="63">
        <f t="shared" ref="AM13:AN13" si="29">AM5*AM11*(1-AM6)+AM9*AM12</f>
        <v>6.6868723786845219E-2</v>
      </c>
      <c r="AN13" s="63">
        <f t="shared" si="29"/>
        <v>3.4924939831270721E-2</v>
      </c>
      <c r="AO13" s="63">
        <f t="shared" ref="AO13" si="30">AO5*AO11*(1-AO6)+AO9*AO12</f>
        <v>0.13838608375026584</v>
      </c>
      <c r="AP13" s="63">
        <f t="shared" ref="AP13" si="31">AP5*AP11*(1-AP6)+AP9*AP12</f>
        <v>9.531454125935937E-2</v>
      </c>
      <c r="AQ13" s="63">
        <f t="shared" ref="AQ13" si="32">AQ5*AQ11*(1-AQ6)+AQ9*AQ12</f>
        <v>6.707073783503549E-2</v>
      </c>
      <c r="AR13" s="63">
        <f t="shared" ref="AR13:AS13" si="33">AR5*AR11*(1-AR6)+AR9*AR12</f>
        <v>3.6276370191255798E-2</v>
      </c>
      <c r="AS13" s="63">
        <f t="shared" si="33"/>
        <v>0.1185991333296027</v>
      </c>
      <c r="AT13" s="63">
        <f t="shared" ref="AT13" si="34">AT5*AT11*(1-AT6)+AT9*AT12</f>
        <v>6.0972351262874945E-2</v>
      </c>
      <c r="AU13" s="63">
        <f t="shared" ref="AU13" si="35">AU5*AU11*(1-AU6)+AU9*AU12</f>
        <v>6.6546507362558432E-2</v>
      </c>
      <c r="AV13" s="63">
        <f t="shared" ref="AV13" si="36">AV5*AV11*(1-AV6)+AV9*AV12</f>
        <v>3.7761560332326367E-2</v>
      </c>
      <c r="AW13" s="63">
        <f t="shared" ref="AW13:AX13" si="37">AW5*AW11*(1-AW6)+AW9*AW12</f>
        <v>0.10839276716261426</v>
      </c>
      <c r="AX13" s="63">
        <f t="shared" si="37"/>
        <v>6.7177287800588265E-2</v>
      </c>
      <c r="AY13" s="63">
        <f t="shared" ref="AY13" si="38">AY5*AY11*(1-AY6)+AY9*AY12</f>
        <v>4.6219779906733649E-2</v>
      </c>
      <c r="AZ13" s="63">
        <f t="shared" ref="AZ13" si="39">AZ5*AZ11*(1-AZ6)+AZ9*AZ12</f>
        <v>2.6995023297116113E-2</v>
      </c>
      <c r="BA13" s="63">
        <f t="shared" ref="BA13" si="40">BA5*BA11*(1-BA6)+BA9*BA12</f>
        <v>8.7487433455474065E-2</v>
      </c>
      <c r="BB13" s="63">
        <f t="shared" ref="BB13:BC13" si="41">BB5*BB11*(1-BB6)+BB9*BB12</f>
        <v>4.0692401458810944E-2</v>
      </c>
      <c r="BC13" s="63">
        <f t="shared" si="41"/>
        <v>2.827499753649208E-2</v>
      </c>
      <c r="BD13" s="63">
        <f t="shared" ref="BD13" si="42">BD5*BD11*(1-BD6)+BD9*BD12</f>
        <v>1.1957956151423751E-2</v>
      </c>
      <c r="BE13" s="63">
        <f t="shared" ref="BE13" si="43">BE5*BE11*(1-BE6)+BE9*BE12</f>
        <v>5.6476157826657915E-2</v>
      </c>
      <c r="BF13" s="63">
        <f t="shared" ref="BF13" si="44">BF5*BF11*(1-BF6)+BF9*BF12</f>
        <v>3.8030782682164165E-2</v>
      </c>
      <c r="BG13" s="63">
        <f t="shared" ref="BG13:BH13" si="45">BG5*BG11*(1-BG6)+BG9*BG12</f>
        <v>4.3040022173091545E-2</v>
      </c>
      <c r="BH13" s="63">
        <f t="shared" si="45"/>
        <v>2.6694577943206978E-2</v>
      </c>
      <c r="BI13" s="63">
        <f t="shared" ref="BI13" si="46">BI5*BI11*(1-BI6)+BI9*BI12</f>
        <v>0.15878915000289162</v>
      </c>
      <c r="BJ13" s="63">
        <f t="shared" ref="BJ13" si="47">BJ5*BJ11*(1-BJ6)+BJ9*BJ12</f>
        <v>0.13564043161240974</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5" t="s">
        <v>668</v>
      </c>
      <c r="B14" s="274"/>
      <c r="C14" s="274"/>
      <c r="D14" s="274"/>
      <c r="E14" s="274"/>
      <c r="F14" s="274"/>
      <c r="G14" s="274"/>
      <c r="H14" s="274"/>
      <c r="I14" s="274"/>
      <c r="J14" s="274"/>
      <c r="K14" s="274"/>
      <c r="L14" s="274"/>
      <c r="M14" s="274"/>
      <c r="N14" s="274"/>
      <c r="O14" s="274"/>
      <c r="P14" s="274"/>
      <c r="Q14" s="274"/>
      <c r="R14" s="274"/>
      <c r="S14" s="274"/>
      <c r="T14" s="274"/>
      <c r="U14" s="274"/>
      <c r="V14" s="274"/>
      <c r="W14" s="274"/>
      <c r="X14" s="274"/>
      <c r="Y14" s="274"/>
      <c r="Z14" s="274"/>
      <c r="AA14" s="274"/>
      <c r="AB14" s="274"/>
      <c r="AC14" s="274"/>
      <c r="AD14" s="274"/>
      <c r="AE14" s="274"/>
      <c r="AF14" s="274"/>
      <c r="AG14" s="274"/>
    </row>
    <row r="16" spans="1:74" s="45" customFormat="1" x14ac:dyDescent="0.25">
      <c r="A16" s="46" t="s">
        <v>334</v>
      </c>
      <c r="E16" s="45">
        <f>(股东权益回报率分析表!E14+股东权益回报率分析表!I14+股东权益回报率分析表!M14)/3</f>
        <v>0.22774789487361205</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19" bestFit="1" customWidth="1"/>
    <col min="54" max="56" width="21.44140625" hidden="1" customWidth="1"/>
    <col min="57" max="57" width="21.44140625" bestFit="1" customWidth="1"/>
    <col min="58" max="58" width="21.44140625" hidden="1" customWidth="1"/>
    <col min="59" max="59" width="19" hidden="1" customWidth="1"/>
    <col min="60" max="62" width="19" bestFit="1" customWidth="1"/>
    <col min="63" max="63" width="9.5546875" hidden="1" customWidth="1"/>
    <col min="64" max="90" width="8.5546875" bestFit="1" customWidth="1"/>
  </cols>
  <sheetData>
    <row r="1" spans="1:90"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37256</v>
      </c>
      <c r="BK1" s="1">
        <v>25569</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2087155717.8099997</v>
      </c>
      <c r="F2" s="26">
        <f>资产资本表!F17</f>
        <v>1859882797.4000001</v>
      </c>
      <c r="G2" s="26">
        <f>资产资本表!G17</f>
        <v>1818083330.02</v>
      </c>
      <c r="H2" s="26">
        <f>资产资本表!H17</f>
        <v>1968107303.2599998</v>
      </c>
      <c r="I2" s="26">
        <f>资产资本表!I17</f>
        <v>1607838305.72</v>
      </c>
      <c r="J2" s="26">
        <f>资产资本表!J17</f>
        <v>1146935466.0599999</v>
      </c>
      <c r="K2" s="26">
        <f>资产资本表!K17</f>
        <v>973473073.52999997</v>
      </c>
      <c r="L2" s="26">
        <f>资产资本表!L17</f>
        <v>1532569510.2900002</v>
      </c>
      <c r="M2" s="26">
        <f>资产资本表!M17</f>
        <v>1444443950.5999999</v>
      </c>
      <c r="N2" s="26">
        <f>资产资本表!N17</f>
        <v>1518532567.6700001</v>
      </c>
      <c r="O2" s="26">
        <f>资产资本表!O17</f>
        <v>1349885162.78</v>
      </c>
      <c r="P2" s="26">
        <f>资产资本表!P17</f>
        <v>1537926816.7</v>
      </c>
      <c r="Q2" s="26">
        <f>资产资本表!Q17</f>
        <v>1535672774.6500001</v>
      </c>
      <c r="R2" s="26">
        <f>资产资本表!R17</f>
        <v>1698293662.4199998</v>
      </c>
      <c r="S2" s="26">
        <f>资产资本表!S17</f>
        <v>1474406832.54</v>
      </c>
      <c r="T2" s="26">
        <f>资产资本表!T17</f>
        <v>1605234381.5599999</v>
      </c>
      <c r="U2" s="26">
        <f>资产资本表!U17</f>
        <v>1411090090.3299999</v>
      </c>
      <c r="V2" s="26">
        <f>资产资本表!V17</f>
        <v>1473211483.7600002</v>
      </c>
      <c r="W2" s="26">
        <f>资产资本表!W17</f>
        <v>1227246558.8399999</v>
      </c>
      <c r="X2" s="26">
        <f>资产资本表!X17</f>
        <v>1373586027.52</v>
      </c>
      <c r="Y2" s="26">
        <f>资产资本表!Y17</f>
        <v>1118835233.3200002</v>
      </c>
      <c r="Z2" s="26">
        <f>资产资本表!Z17</f>
        <v>999573292.24000001</v>
      </c>
      <c r="AA2" s="26">
        <f>资产资本表!AA17</f>
        <v>654969391.44000006</v>
      </c>
      <c r="AB2" s="26">
        <f>资产资本表!AB17</f>
        <v>640070206.80999994</v>
      </c>
      <c r="AC2" s="26">
        <f>资产资本表!AC17</f>
        <v>576512051.78999996</v>
      </c>
      <c r="AD2" s="26">
        <f>资产资本表!AD17</f>
        <v>575488239.81000006</v>
      </c>
      <c r="AE2" s="26">
        <f>资产资本表!AE17</f>
        <v>556811064.88999999</v>
      </c>
      <c r="AF2" s="26">
        <f>资产资本表!AF17</f>
        <v>767377965.5</v>
      </c>
      <c r="AG2" s="26">
        <f>资产资本表!AG17</f>
        <v>751537281.95999992</v>
      </c>
      <c r="AH2" s="26">
        <f>资产资本表!AH17</f>
        <v>781833471.58000004</v>
      </c>
      <c r="AI2" s="26">
        <f>资产资本表!AI17</f>
        <v>650565182.23000002</v>
      </c>
      <c r="AJ2" s="26">
        <f>资产资本表!AJ17</f>
        <v>871669024.28000009</v>
      </c>
      <c r="AK2" s="26">
        <f>资产资本表!AK17</f>
        <v>971356067.97000003</v>
      </c>
      <c r="AL2" s="26">
        <f>资产资本表!AL17</f>
        <v>1020166355.99</v>
      </c>
      <c r="AM2" s="26">
        <f>资产资本表!AM17</f>
        <v>981809759.1500001</v>
      </c>
      <c r="AN2" s="26">
        <f>资产资本表!AN17</f>
        <v>1013120662.7399999</v>
      </c>
      <c r="AO2" s="26">
        <f>资产资本表!AO17</f>
        <v>900411208.95000005</v>
      </c>
      <c r="AP2" s="26">
        <f>资产资本表!AP17</f>
        <v>722356317.48000002</v>
      </c>
      <c r="AQ2" s="26">
        <f>资产资本表!AQ17</f>
        <v>678219620.47000003</v>
      </c>
      <c r="AR2" s="26">
        <f>资产资本表!AR17</f>
        <v>684145075.19000006</v>
      </c>
      <c r="AS2" s="26">
        <f>资产资本表!AS17</f>
        <v>796996001.26999998</v>
      </c>
      <c r="AT2" s="26">
        <f>资产资本表!AT17</f>
        <v>869946817.48000002</v>
      </c>
      <c r="AU2" s="26">
        <f>资产资本表!AU17</f>
        <v>249995814.53</v>
      </c>
      <c r="AV2" s="26">
        <f>资产资本表!AV17</f>
        <v>318970673.57999998</v>
      </c>
      <c r="AW2" s="26">
        <f>资产资本表!AW17</f>
        <v>418955105.27999997</v>
      </c>
      <c r="AX2" s="26">
        <f>资产资本表!AX17</f>
        <v>163017593.27000001</v>
      </c>
      <c r="AY2" s="26">
        <f>资产资本表!AY17</f>
        <v>235900683.24000001</v>
      </c>
      <c r="AZ2" s="26">
        <f>资产资本表!AZ17</f>
        <v>212657556.75999999</v>
      </c>
      <c r="BA2" s="26">
        <f>资产资本表!BA17</f>
        <v>269118657.66000003</v>
      </c>
      <c r="BB2" s="26">
        <f>资产资本表!BB17</f>
        <v>212228702.91999999</v>
      </c>
      <c r="BC2" s="26">
        <f>资产资本表!BC17</f>
        <v>295419245.86000001</v>
      </c>
      <c r="BD2" s="26">
        <f>资产资本表!BD17</f>
        <v>319772549.12</v>
      </c>
      <c r="BE2" s="26">
        <f>资产资本表!BE17</f>
        <v>478573002.43000001</v>
      </c>
      <c r="BF2" s="26">
        <f>资产资本表!BF17</f>
        <v>486158873.61000001</v>
      </c>
      <c r="BG2" s="26">
        <f>资产资本表!BG17</f>
        <v>42751768.759999998</v>
      </c>
      <c r="BH2" s="26">
        <f>资产资本表!BH17</f>
        <v>9557726.1500000004</v>
      </c>
      <c r="BI2" s="26">
        <f>资产资本表!BI17</f>
        <v>14916787.01</v>
      </c>
      <c r="BJ2" s="26">
        <f>资产资本表!BJ17</f>
        <v>12122259.640000001</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57828126.149999999</v>
      </c>
      <c r="F3" s="26">
        <f>资产资本表!F19</f>
        <v>56409847.630000003</v>
      </c>
      <c r="G3" s="26">
        <f>资产资本表!G19</f>
        <v>55343612.409999996</v>
      </c>
      <c r="H3" s="26">
        <f>资产资本表!H19</f>
        <v>54712420.270000003</v>
      </c>
      <c r="I3" s="26">
        <f>资产资本表!I19</f>
        <v>53877930.880000003</v>
      </c>
      <c r="J3" s="26">
        <f>资产资本表!J19</f>
        <v>53934016.920000002</v>
      </c>
      <c r="K3" s="26">
        <f>资产资本表!K19</f>
        <v>53121774.780000001</v>
      </c>
      <c r="L3" s="26">
        <f>资产资本表!L19</f>
        <v>52335697.979999997</v>
      </c>
      <c r="M3" s="26">
        <f>资产资本表!M19</f>
        <v>51328807.280000001</v>
      </c>
      <c r="N3" s="26">
        <f>资产资本表!N19</f>
        <v>50434094.880000003</v>
      </c>
      <c r="O3" s="26">
        <f>资产资本表!O19</f>
        <v>49639746.32</v>
      </c>
      <c r="P3" s="26">
        <f>资产资本表!P19</f>
        <v>48953354.310000002</v>
      </c>
      <c r="Q3" s="26">
        <f>资产资本表!Q19</f>
        <v>48480778.130000003</v>
      </c>
      <c r="R3" s="26">
        <f>资产资本表!R19</f>
        <v>46486926.740000002</v>
      </c>
      <c r="S3" s="26">
        <f>资产资本表!S19</f>
        <v>45724712.560000002</v>
      </c>
      <c r="T3" s="26">
        <f>资产资本表!T19</f>
        <v>44861176.990000002</v>
      </c>
      <c r="U3" s="26">
        <f>资产资本表!U19</f>
        <v>44495224.649999999</v>
      </c>
      <c r="V3" s="26">
        <f>资产资本表!V19</f>
        <v>43796247.729999997</v>
      </c>
      <c r="W3" s="26">
        <f>资产资本表!W19</f>
        <v>43035511</v>
      </c>
      <c r="X3" s="26">
        <f>资产资本表!X19</f>
        <v>42865431.130000003</v>
      </c>
      <c r="Y3" s="26">
        <f>资产资本表!Y19</f>
        <v>41365518.659999996</v>
      </c>
      <c r="Z3" s="26">
        <f>资产资本表!Z19</f>
        <v>40798502.920000002</v>
      </c>
      <c r="AA3" s="26">
        <f>资产资本表!AA19</f>
        <v>39735570.5</v>
      </c>
      <c r="AB3" s="26">
        <f>资产资本表!AB19</f>
        <v>0</v>
      </c>
      <c r="AC3" s="26">
        <f>资产资本表!AC19</f>
        <v>0</v>
      </c>
      <c r="AD3" s="26">
        <f>资产资本表!AD19</f>
        <v>0</v>
      </c>
      <c r="AE3" s="26">
        <f>资产资本表!AE19</f>
        <v>0</v>
      </c>
      <c r="AF3" s="26">
        <f>资产资本表!AF19</f>
        <v>400000</v>
      </c>
      <c r="AG3" s="26">
        <f>资产资本表!AG19</f>
        <v>400000</v>
      </c>
      <c r="AH3" s="26">
        <f>资产资本表!AH19</f>
        <v>400000</v>
      </c>
      <c r="AI3" s="26">
        <f>资产资本表!AI19</f>
        <v>400000</v>
      </c>
      <c r="AJ3" s="26">
        <f>资产资本表!AJ19</f>
        <v>400000</v>
      </c>
      <c r="AK3" s="26">
        <f>资产资本表!AK19</f>
        <v>400000</v>
      </c>
      <c r="AL3" s="26">
        <f>资产资本表!AL19</f>
        <v>400000</v>
      </c>
      <c r="AM3" s="26">
        <f>资产资本表!AM19</f>
        <v>400000</v>
      </c>
      <c r="AN3" s="26">
        <f>资产资本表!AN19</f>
        <v>400000</v>
      </c>
      <c r="AO3" s="26">
        <f>资产资本表!AO19</f>
        <v>400000</v>
      </c>
      <c r="AP3" s="26">
        <f>资产资本表!AP19</f>
        <v>443875.6</v>
      </c>
      <c r="AQ3" s="26">
        <f>资产资本表!AQ19</f>
        <v>443875.6</v>
      </c>
      <c r="AR3" s="26">
        <f>资产资本表!AR19</f>
        <v>443875.6</v>
      </c>
      <c r="AS3" s="26">
        <f>资产资本表!AS19</f>
        <v>443875.6</v>
      </c>
      <c r="AT3" s="26">
        <f>资产资本表!AT19</f>
        <v>469754.19</v>
      </c>
      <c r="AU3" s="26">
        <f>资产资本表!AU19</f>
        <v>1469754.18</v>
      </c>
      <c r="AV3" s="26">
        <f>资产资本表!AV19</f>
        <v>495384.06</v>
      </c>
      <c r="AW3" s="26">
        <f>资产资本表!AW19</f>
        <v>10620859.4</v>
      </c>
      <c r="AX3" s="26">
        <f>资产资本表!AX19</f>
        <v>11118299.699999999</v>
      </c>
      <c r="AY3" s="26">
        <f>资产资本表!AY19</f>
        <v>13014167.08</v>
      </c>
      <c r="AZ3" s="26">
        <f>资产资本表!AZ19</f>
        <v>13699423.08</v>
      </c>
      <c r="BA3" s="26">
        <f>资产资本表!BA19</f>
        <v>16764367.109999999</v>
      </c>
      <c r="BB3" s="26">
        <f>资产资本表!BB19</f>
        <v>16665854.359999999</v>
      </c>
      <c r="BC3" s="26">
        <f>资产资本表!BC19</f>
        <v>15941057.57</v>
      </c>
      <c r="BD3" s="26">
        <f>资产资本表!BD19</f>
        <v>15141098.279999999</v>
      </c>
      <c r="BE3" s="26">
        <f>资产资本表!BE19</f>
        <v>15591138.99</v>
      </c>
      <c r="BF3" s="26">
        <f>资产资本表!BF19</f>
        <v>16125841.73</v>
      </c>
      <c r="BG3" s="26">
        <f>资产资本表!BG19</f>
        <v>16575882.439999999</v>
      </c>
      <c r="BH3" s="26">
        <f>资产资本表!BH19</f>
        <v>17475963.859999999</v>
      </c>
      <c r="BI3" s="26">
        <f>资产资本表!BI19</f>
        <v>12710112.58</v>
      </c>
      <c r="BJ3" s="26">
        <f>资产资本表!BJ19</f>
        <v>2895176.54</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1676575466.5499992</v>
      </c>
      <c r="F4" s="26">
        <f>资产资本表!F50</f>
        <v>1640259018.8699999</v>
      </c>
      <c r="G4" s="26">
        <f>资产资本表!G50</f>
        <v>1431996308.1399999</v>
      </c>
      <c r="H4" s="26">
        <f>资产资本表!H50</f>
        <v>1538898186.3499994</v>
      </c>
      <c r="I4" s="26">
        <f>资产资本表!I50</f>
        <v>1613278029.2599988</v>
      </c>
      <c r="J4" s="26">
        <f>资产资本表!J50</f>
        <v>1688522562.0700002</v>
      </c>
      <c r="K4" s="26">
        <f>资产资本表!K50</f>
        <v>1586724583.3800001</v>
      </c>
      <c r="L4" s="26">
        <f>资产资本表!L50</f>
        <v>2374901638.2699995</v>
      </c>
      <c r="M4" s="26">
        <f>资产资本表!M50</f>
        <v>2225892520.0400004</v>
      </c>
      <c r="N4" s="26">
        <f>资产资本表!N50</f>
        <v>1808095255.9400005</v>
      </c>
      <c r="O4" s="26">
        <f>资产资本表!O50</f>
        <v>1700168747.3700001</v>
      </c>
      <c r="P4" s="26">
        <f>资产资本表!P50</f>
        <v>1578444423.9399993</v>
      </c>
      <c r="Q4" s="26">
        <f>资产资本表!Q50</f>
        <v>1387180146.25</v>
      </c>
      <c r="R4" s="26">
        <f>资产资本表!R50</f>
        <v>1034913020.5999994</v>
      </c>
      <c r="S4" s="26">
        <f>资产资本表!S50</f>
        <v>1092743752.5000005</v>
      </c>
      <c r="T4" s="26">
        <f>资产资本表!T50</f>
        <v>1040107761.3699999</v>
      </c>
      <c r="U4" s="26">
        <f>资产资本表!U50</f>
        <v>1035290874.7199996</v>
      </c>
      <c r="V4" s="26">
        <f>资产资本表!V50</f>
        <v>900596915.91000056</v>
      </c>
      <c r="W4" s="26">
        <f>资产资本表!W50</f>
        <v>998348814.40999961</v>
      </c>
      <c r="X4" s="26">
        <f>资产资本表!X50</f>
        <v>922917637.38000011</v>
      </c>
      <c r="Y4" s="26">
        <f>资产资本表!Y50</f>
        <v>1003579860.27</v>
      </c>
      <c r="Z4" s="26">
        <f>资产资本表!Z50</f>
        <v>971562378.71000051</v>
      </c>
      <c r="AA4" s="26">
        <f>资产资本表!AA50</f>
        <v>1211546149.6500003</v>
      </c>
      <c r="AB4" s="26">
        <f>资产资本表!AB50</f>
        <v>1340677963.2000003</v>
      </c>
      <c r="AC4" s="26">
        <f>资产资本表!AC50</f>
        <v>1297074209.9000003</v>
      </c>
      <c r="AD4" s="26">
        <f>资产资本表!AD50</f>
        <v>1177604674.3699999</v>
      </c>
      <c r="AE4" s="26">
        <f>资产资本表!AE50</f>
        <v>1092209731.3200002</v>
      </c>
      <c r="AF4" s="26">
        <f>资产资本表!AF50</f>
        <v>985585763.06000018</v>
      </c>
      <c r="AG4" s="26">
        <f>资产资本表!AG50</f>
        <v>880437615.12999988</v>
      </c>
      <c r="AH4" s="26">
        <f>资产资本表!AH50</f>
        <v>809146854.70000017</v>
      </c>
      <c r="AI4" s="26">
        <f>资产资本表!AI50</f>
        <v>862264612.38999999</v>
      </c>
      <c r="AJ4" s="26">
        <f>资产资本表!AJ50</f>
        <v>696243291.13999987</v>
      </c>
      <c r="AK4" s="26">
        <f>资产资本表!AK50</f>
        <v>506768983.1400001</v>
      </c>
      <c r="AL4" s="26">
        <f>资产资本表!AL50</f>
        <v>436980193.42999995</v>
      </c>
      <c r="AM4" s="26">
        <f>资产资本表!AM50</f>
        <v>425314498.65000004</v>
      </c>
      <c r="AN4" s="26">
        <f>资产资本表!AN50</f>
        <v>431152332.41999984</v>
      </c>
      <c r="AO4" s="26">
        <f>资产资本表!AO50</f>
        <v>480706719.60000002</v>
      </c>
      <c r="AP4" s="26">
        <f>资产资本表!AP50</f>
        <v>549605027.46999991</v>
      </c>
      <c r="AQ4" s="26">
        <f>资产资本表!AQ50</f>
        <v>566817243.36000013</v>
      </c>
      <c r="AR4" s="26">
        <f>资产资本表!AR50</f>
        <v>454765314.2299999</v>
      </c>
      <c r="AS4" s="26">
        <f>资产资本表!AS50</f>
        <v>281980932.93999994</v>
      </c>
      <c r="AT4" s="26">
        <f>资产资本表!AT50</f>
        <v>444940001.75000006</v>
      </c>
      <c r="AU4" s="26">
        <f>资产资本表!AU50</f>
        <v>349653362.87</v>
      </c>
      <c r="AV4" s="26">
        <f>资产资本表!AV50</f>
        <v>363413654.77000004</v>
      </c>
      <c r="AW4" s="26">
        <f>资产资本表!AW50</f>
        <v>173855672.78999996</v>
      </c>
      <c r="AX4" s="26">
        <f>资产资本表!AX50</f>
        <v>362978839.09999985</v>
      </c>
      <c r="AY4" s="26">
        <f>资产资本表!AY50</f>
        <v>342163819.86999995</v>
      </c>
      <c r="AZ4" s="26">
        <f>资产资本表!AZ50</f>
        <v>335610376.46999997</v>
      </c>
      <c r="BA4" s="26">
        <f>资产资本表!BA50</f>
        <v>197405879.38000005</v>
      </c>
      <c r="BB4" s="26">
        <f>资产资本表!BB50</f>
        <v>345635787.67000008</v>
      </c>
      <c r="BC4" s="26">
        <f>资产资本表!BC50</f>
        <v>318982811.22999996</v>
      </c>
      <c r="BD4" s="26">
        <f>资产资本表!BD50</f>
        <v>280716622.44</v>
      </c>
      <c r="BE4" s="26">
        <f>资产资本表!BE50</f>
        <v>155504312.19</v>
      </c>
      <c r="BF4" s="26">
        <f>资产资本表!BF50</f>
        <v>198895214.82999989</v>
      </c>
      <c r="BG4" s="26">
        <f>资产资本表!BG50</f>
        <v>251004603.18000007</v>
      </c>
      <c r="BH4" s="26">
        <f>资产资本表!BH50</f>
        <v>168352118.37000003</v>
      </c>
      <c r="BI4" s="26">
        <f>资产资本表!BI50</f>
        <v>124589627.98</v>
      </c>
      <c r="BJ4" s="26">
        <f>资产资本表!BJ50</f>
        <v>99611967.430000007</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5630129230.749999</v>
      </c>
      <c r="F5" s="26">
        <f>资产资本表!F33</f>
        <v>4984708368.21</v>
      </c>
      <c r="G5" s="26">
        <f>资产资本表!G33</f>
        <v>4126194388.6499996</v>
      </c>
      <c r="H5" s="26">
        <f>资产资本表!H33</f>
        <v>4399186696.8000002</v>
      </c>
      <c r="I5" s="26">
        <f>资产资本表!I33</f>
        <v>4895253974.6499996</v>
      </c>
      <c r="J5" s="26">
        <f>资产资本表!J33</f>
        <v>4280534627.1300001</v>
      </c>
      <c r="K5" s="26">
        <f>资产资本表!K33</f>
        <v>4466630465.3400002</v>
      </c>
      <c r="L5" s="26">
        <f>资产资本表!L33</f>
        <v>4465208837.5199995</v>
      </c>
      <c r="M5" s="26">
        <f>资产资本表!M33</f>
        <v>4607606976.1700001</v>
      </c>
      <c r="N5" s="26">
        <f>资产资本表!N33</f>
        <v>4172696573.3200006</v>
      </c>
      <c r="O5" s="26">
        <f>资产资本表!O33</f>
        <v>3756978763.9200001</v>
      </c>
      <c r="P5" s="26">
        <f>资产资本表!P33</f>
        <v>3640481748.2899995</v>
      </c>
      <c r="Q5" s="26">
        <f>资产资本表!Q33</f>
        <v>3727833734.5300002</v>
      </c>
      <c r="R5" s="26">
        <f>资产资本表!R33</f>
        <v>3074508545.1199994</v>
      </c>
      <c r="S5" s="26">
        <f>资产资本表!S33</f>
        <v>2835408134.2200003</v>
      </c>
      <c r="T5" s="26">
        <f>资产资本表!T33</f>
        <v>2738445788.5</v>
      </c>
      <c r="U5" s="26">
        <f>资产资本表!U33</f>
        <v>3024175406.7499995</v>
      </c>
      <c r="V5" s="26">
        <f>资产资本表!V33</f>
        <v>2574075246.2500005</v>
      </c>
      <c r="W5" s="26">
        <f>资产资本表!W33</f>
        <v>2400572481.4999995</v>
      </c>
      <c r="X5" s="26">
        <f>资产资本表!X33</f>
        <v>2245373368.77</v>
      </c>
      <c r="Y5" s="26">
        <f>资产资本表!Y33</f>
        <v>2568552307.23</v>
      </c>
      <c r="Z5" s="26">
        <f>资产资本表!Z33</f>
        <v>2235677764.7700005</v>
      </c>
      <c r="AA5" s="26">
        <f>资产资本表!AA33</f>
        <v>2151939328.7000003</v>
      </c>
      <c r="AB5" s="26">
        <f>资产资本表!AB33</f>
        <v>2467547329.1100001</v>
      </c>
      <c r="AC5" s="26">
        <f>资产资本表!AC33</f>
        <v>2594958746.9700003</v>
      </c>
      <c r="AD5" s="26">
        <f>资产资本表!AD33</f>
        <v>2459791034.29</v>
      </c>
      <c r="AE5" s="26">
        <f>资产资本表!AE33</f>
        <v>2239921126.0900002</v>
      </c>
      <c r="AF5" s="26">
        <f>资产资本表!AF33</f>
        <v>2077461216.6500001</v>
      </c>
      <c r="AG5" s="26">
        <f>资产资本表!AG33</f>
        <v>2073519642.9499998</v>
      </c>
      <c r="AH5" s="26">
        <f>资产资本表!AH33</f>
        <v>1806376018.3700001</v>
      </c>
      <c r="AI5" s="26">
        <f>资产资本表!AI33</f>
        <v>1682545690.53</v>
      </c>
      <c r="AJ5" s="26">
        <f>资产资本表!AJ33</f>
        <v>1595471711.28</v>
      </c>
      <c r="AK5" s="26">
        <f>资产资本表!AK33</f>
        <v>1383635808.6400001</v>
      </c>
      <c r="AL5" s="26">
        <f>资产资本表!AL33</f>
        <v>1206191073.8299999</v>
      </c>
      <c r="AM5" s="26">
        <f>资产资本表!AM33</f>
        <v>961708800.19000006</v>
      </c>
      <c r="AN5" s="26">
        <f>资产资本表!AN33</f>
        <v>1031369338.3699999</v>
      </c>
      <c r="AO5" s="26">
        <f>资产资本表!AO33</f>
        <v>966909067.25999999</v>
      </c>
      <c r="AP5" s="26">
        <f>资产资本表!AP33</f>
        <v>1171589713.6599998</v>
      </c>
      <c r="AQ5" s="26">
        <f>资产资本表!AQ33</f>
        <v>1073128718.5400001</v>
      </c>
      <c r="AR5" s="26">
        <f>资产资本表!AR33</f>
        <v>1027280737.0899999</v>
      </c>
      <c r="AS5" s="26">
        <f>资产资本表!AS33</f>
        <v>832445432.61999989</v>
      </c>
      <c r="AT5" s="26">
        <f>资产资本表!AT33</f>
        <v>935893942.45000005</v>
      </c>
      <c r="AU5" s="26">
        <f>资产资本表!AU33</f>
        <v>827261001.00999999</v>
      </c>
      <c r="AV5" s="26">
        <f>资产资本表!AV33</f>
        <v>878726204.47000003</v>
      </c>
      <c r="AW5" s="26">
        <f>资产资本表!AW33</f>
        <v>646579601</v>
      </c>
      <c r="AX5" s="26">
        <f>资产资本表!AX33</f>
        <v>830223737.58999991</v>
      </c>
      <c r="AY5" s="26">
        <f>资产资本表!AY33</f>
        <v>769643565.51999998</v>
      </c>
      <c r="AZ5" s="26">
        <f>资产资本表!AZ33</f>
        <v>734827618.63</v>
      </c>
      <c r="BA5" s="26">
        <f>资产资本表!BA33</f>
        <v>540940038.69000006</v>
      </c>
      <c r="BB5" s="26">
        <f>资产资本表!BB33</f>
        <v>704126389.93000007</v>
      </c>
      <c r="BC5" s="26">
        <f>资产资本表!BC33</f>
        <v>617200756.77999997</v>
      </c>
      <c r="BD5" s="26">
        <f>资产资本表!BD33</f>
        <v>573341037.24000001</v>
      </c>
      <c r="BE5" s="26">
        <f>资产资本表!BE33</f>
        <v>398366409.55000001</v>
      </c>
      <c r="BF5" s="26">
        <f>资产资本表!BF33</f>
        <v>459552578.70999992</v>
      </c>
      <c r="BG5" s="26">
        <f>资产资本表!BG33</f>
        <v>430687359.94000006</v>
      </c>
      <c r="BH5" s="26">
        <f>资产资本表!BH33</f>
        <v>325125136.23000002</v>
      </c>
      <c r="BI5" s="26">
        <f>资产资本表!BI33</f>
        <v>247027031.94</v>
      </c>
      <c r="BJ5" s="26">
        <f>资产资本表!BJ33</f>
        <v>190984944.18000001</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3953553764.1999998</v>
      </c>
      <c r="F6" s="26">
        <f>资产资本表!F49</f>
        <v>3344449349.3400002</v>
      </c>
      <c r="G6" s="26">
        <f>资产资本表!G49</f>
        <v>2694198080.5099998</v>
      </c>
      <c r="H6" s="26">
        <f>资产资本表!H49</f>
        <v>2860288510.4500008</v>
      </c>
      <c r="I6" s="26">
        <f>资产资本表!I49</f>
        <v>3281975945.3900008</v>
      </c>
      <c r="J6" s="26">
        <f>资产资本表!J49</f>
        <v>2592012065.0599999</v>
      </c>
      <c r="K6" s="26">
        <f>资产资本表!K49</f>
        <v>2879905881.96</v>
      </c>
      <c r="L6" s="26">
        <f>资产资本表!L49</f>
        <v>2090307199.25</v>
      </c>
      <c r="M6" s="26">
        <f>资产资本表!M49</f>
        <v>2381714456.1299996</v>
      </c>
      <c r="N6" s="26">
        <f>资产资本表!N49</f>
        <v>2364601317.3800001</v>
      </c>
      <c r="O6" s="26">
        <f>资产资本表!O49</f>
        <v>2056810016.55</v>
      </c>
      <c r="P6" s="26">
        <f>资产资本表!P49</f>
        <v>2062037324.3500001</v>
      </c>
      <c r="Q6" s="26">
        <f>资产资本表!Q49</f>
        <v>2340653588.2800002</v>
      </c>
      <c r="R6" s="26">
        <f>资产资本表!R49</f>
        <v>2039595524.52</v>
      </c>
      <c r="S6" s="26">
        <f>资产资本表!S49</f>
        <v>1742664381.7199998</v>
      </c>
      <c r="T6" s="26">
        <f>资产资本表!T49</f>
        <v>1698338027.1300001</v>
      </c>
      <c r="U6" s="26">
        <f>资产资本表!U49</f>
        <v>1988884532.03</v>
      </c>
      <c r="V6" s="26">
        <f>资产资本表!V49</f>
        <v>1673478330.3399999</v>
      </c>
      <c r="W6" s="26">
        <f>资产资本表!W49</f>
        <v>1402223667.0899999</v>
      </c>
      <c r="X6" s="26">
        <f>资产资本表!X49</f>
        <v>1322455731.3899999</v>
      </c>
      <c r="Y6" s="26">
        <f>资产资本表!Y49</f>
        <v>1564972446.96</v>
      </c>
      <c r="Z6" s="26">
        <f>资产资本表!Z49</f>
        <v>1264115386.0599999</v>
      </c>
      <c r="AA6" s="26">
        <f>资产资本表!AA49</f>
        <v>940393179.04999995</v>
      </c>
      <c r="AB6" s="26">
        <f>资产资本表!AB49</f>
        <v>1126869365.9099998</v>
      </c>
      <c r="AC6" s="26">
        <f>资产资本表!AC49</f>
        <v>1297884537.0699999</v>
      </c>
      <c r="AD6" s="26">
        <f>资产资本表!AD49</f>
        <v>1282186359.9200001</v>
      </c>
      <c r="AE6" s="26">
        <f>资产资本表!AE49</f>
        <v>1147711394.77</v>
      </c>
      <c r="AF6" s="26">
        <f>资产资本表!AF49</f>
        <v>1091875453.5899999</v>
      </c>
      <c r="AG6" s="26">
        <f>资产资本表!AG49</f>
        <v>1193082027.8199999</v>
      </c>
      <c r="AH6" s="26">
        <f>资产资本表!AH49</f>
        <v>997229163.66999996</v>
      </c>
      <c r="AI6" s="26">
        <f>资产资本表!AI49</f>
        <v>820281078.13999999</v>
      </c>
      <c r="AJ6" s="26">
        <f>资产资本表!AJ49</f>
        <v>899228420.1400001</v>
      </c>
      <c r="AK6" s="26">
        <f>资产资本表!AK49</f>
        <v>876866825.5</v>
      </c>
      <c r="AL6" s="26">
        <f>资产资本表!AL49</f>
        <v>769210880.39999998</v>
      </c>
      <c r="AM6" s="26">
        <f>资产资本表!AM49</f>
        <v>536394301.54000002</v>
      </c>
      <c r="AN6" s="26">
        <f>资产资本表!AN49</f>
        <v>600217005.95000005</v>
      </c>
      <c r="AO6" s="26">
        <f>资产资本表!AO49</f>
        <v>486202347.65999997</v>
      </c>
      <c r="AP6" s="26">
        <f>资产资本表!AP49</f>
        <v>621984686.18999994</v>
      </c>
      <c r="AQ6" s="26">
        <f>资产资本表!AQ49</f>
        <v>506311475.18000001</v>
      </c>
      <c r="AR6" s="26">
        <f>资产资本表!AR49</f>
        <v>572515422.86000001</v>
      </c>
      <c r="AS6" s="26">
        <f>资产资本表!AS49</f>
        <v>550464499.67999995</v>
      </c>
      <c r="AT6" s="26">
        <f>资产资本表!AT49</f>
        <v>490953940.69999999</v>
      </c>
      <c r="AU6" s="26">
        <f>资产资本表!AU49</f>
        <v>477607638.13999999</v>
      </c>
      <c r="AV6" s="26">
        <f>资产资本表!AV49</f>
        <v>515312549.69999999</v>
      </c>
      <c r="AW6" s="26">
        <f>资产资本表!AW49</f>
        <v>472723928.21000004</v>
      </c>
      <c r="AX6" s="26">
        <f>资产资本表!AX49</f>
        <v>467244898.49000007</v>
      </c>
      <c r="AY6" s="26">
        <f>资产资本表!AY49</f>
        <v>427479745.65000004</v>
      </c>
      <c r="AZ6" s="26">
        <f>资产资本表!AZ49</f>
        <v>399217242.16000003</v>
      </c>
      <c r="BA6" s="26">
        <f>资产资本表!BA49</f>
        <v>343534159.31</v>
      </c>
      <c r="BB6" s="26">
        <f>资产资本表!BB49</f>
        <v>358490602.25999999</v>
      </c>
      <c r="BC6" s="26">
        <f>资产资本表!BC49</f>
        <v>298217945.55000001</v>
      </c>
      <c r="BD6" s="26">
        <f>资产资本表!BD49</f>
        <v>292624414.80000001</v>
      </c>
      <c r="BE6" s="26">
        <f>资产资本表!BE49</f>
        <v>242862097.36000001</v>
      </c>
      <c r="BF6" s="26">
        <f>资产资本表!BF49</f>
        <v>260657363.88000003</v>
      </c>
      <c r="BG6" s="26">
        <f>资产资本表!BG49</f>
        <v>179682756.75999999</v>
      </c>
      <c r="BH6" s="26">
        <f>资产资本表!BH49</f>
        <v>156773017.85999998</v>
      </c>
      <c r="BI6" s="26">
        <f>资产资本表!BI49</f>
        <v>122437403.95999999</v>
      </c>
      <c r="BJ6" s="26">
        <f>资产资本表!BJ49</f>
        <v>91372976.75</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1392080476.1199999</v>
      </c>
      <c r="F7" s="26">
        <f>资产资本表!F68</f>
        <v>1419610843.5600002</v>
      </c>
      <c r="G7" s="26">
        <f>资产资本表!G68</f>
        <v>1388746657.8899999</v>
      </c>
      <c r="H7" s="26">
        <f>资产资本表!H68</f>
        <v>1375889125.3999999</v>
      </c>
      <c r="I7" s="26">
        <f>资产资本表!I68</f>
        <v>1290395397.01</v>
      </c>
      <c r="J7" s="26">
        <f>资产资本表!J68</f>
        <v>1331709955.4499998</v>
      </c>
      <c r="K7" s="26">
        <f>资产资本表!K68</f>
        <v>1332940775.2599998</v>
      </c>
      <c r="L7" s="26">
        <f>资产资本表!L68</f>
        <v>1336394587.1199999</v>
      </c>
      <c r="M7" s="26">
        <f>资产资本表!M68</f>
        <v>1291065284.1599998</v>
      </c>
      <c r="N7" s="26">
        <f>资产资本表!N68</f>
        <v>1359042251.7600002</v>
      </c>
      <c r="O7" s="26">
        <f>资产资本表!O68</f>
        <v>1363263287.1099997</v>
      </c>
      <c r="P7" s="26">
        <f>资产资本表!P68</f>
        <v>1380589145.5799999</v>
      </c>
      <c r="Q7" s="26">
        <f>资产资本表!Q68</f>
        <v>1320495971.1100001</v>
      </c>
      <c r="R7" s="26">
        <f>资产资本表!R68</f>
        <v>1305126657.8000002</v>
      </c>
      <c r="S7" s="26">
        <f>资产资本表!S68</f>
        <v>1273215157.4099998</v>
      </c>
      <c r="T7" s="26">
        <f>资产资本表!T68</f>
        <v>1265591802.1900001</v>
      </c>
      <c r="U7" s="26">
        <f>资产资本表!U68</f>
        <v>1256888174.8099999</v>
      </c>
      <c r="V7" s="26">
        <f>资产资本表!V68</f>
        <v>1245111022.6199999</v>
      </c>
      <c r="W7" s="26">
        <f>资产资本表!W68</f>
        <v>1221617797.8099999</v>
      </c>
      <c r="X7" s="26">
        <f>资产资本表!X68</f>
        <v>1227872222.2700002</v>
      </c>
      <c r="Y7" s="26">
        <f>资产资本表!Y68</f>
        <v>1230945734.1000001</v>
      </c>
      <c r="Z7" s="26">
        <f>资产资本表!Z68</f>
        <v>1232909528.8800001</v>
      </c>
      <c r="AA7" s="26">
        <f>资产资本表!AA68</f>
        <v>1242484250.99</v>
      </c>
      <c r="AB7" s="26">
        <f>资产资本表!AB68</f>
        <v>1241565546.3799999</v>
      </c>
      <c r="AC7" s="26">
        <f>资产资本表!AC68</f>
        <v>1220673349.0700002</v>
      </c>
      <c r="AD7" s="26">
        <f>资产资本表!AD68</f>
        <v>1204704010.78</v>
      </c>
      <c r="AE7" s="26">
        <f>资产资本表!AE68</f>
        <v>1172877794.6699998</v>
      </c>
      <c r="AF7" s="26">
        <f>资产资本表!AF68</f>
        <v>1130876722.4600003</v>
      </c>
      <c r="AG7" s="26">
        <f>资产资本表!AG68</f>
        <v>1104302337.1199999</v>
      </c>
      <c r="AH7" s="26">
        <f>资产资本表!AH68</f>
        <v>1022143136.9099998</v>
      </c>
      <c r="AI7" s="26">
        <f>资产资本表!AI68</f>
        <v>975287000</v>
      </c>
      <c r="AJ7" s="26">
        <f>资产资本表!AJ68</f>
        <v>931544897.40999985</v>
      </c>
      <c r="AK7" s="26">
        <f>资产资本表!AK68</f>
        <v>908503544.25999999</v>
      </c>
      <c r="AL7" s="26">
        <f>资产资本表!AL68</f>
        <v>850966062.99000001</v>
      </c>
      <c r="AM7" s="26">
        <f>资产资本表!AM68</f>
        <v>815175667.8599999</v>
      </c>
      <c r="AN7" s="26">
        <f>资产资本表!AN68</f>
        <v>796470450.13000011</v>
      </c>
      <c r="AO7" s="26">
        <f>资产资本表!AO68</f>
        <v>782051888.26999998</v>
      </c>
      <c r="AP7" s="26">
        <f>资产资本表!AP68</f>
        <v>787382709.55999982</v>
      </c>
      <c r="AQ7" s="26">
        <f>资产资本表!AQ68</f>
        <v>744707213.29999995</v>
      </c>
      <c r="AR7" s="26">
        <f>资产资本表!AR68</f>
        <v>737541994.75</v>
      </c>
      <c r="AS7" s="26">
        <f>资产资本表!AS68</f>
        <v>736038967.29999983</v>
      </c>
      <c r="AT7" s="26">
        <f>资产资本表!AT68</f>
        <v>684531155.2700001</v>
      </c>
      <c r="AU7" s="26">
        <f>资产资本表!AU68</f>
        <v>673636736.63000011</v>
      </c>
      <c r="AV7" s="26">
        <f>资产资本表!AV68</f>
        <v>588649842.70999992</v>
      </c>
      <c r="AW7" s="26">
        <f>资产资本表!AW68</f>
        <v>593030556.04000008</v>
      </c>
      <c r="AX7" s="26">
        <f>资产资本表!AX68</f>
        <v>572680180.48000002</v>
      </c>
      <c r="AY7" s="26">
        <f>资产资本表!AY68</f>
        <v>576002743.63000011</v>
      </c>
      <c r="AZ7" s="26">
        <f>资产资本表!AZ68</f>
        <v>516803059.60999995</v>
      </c>
      <c r="BA7" s="26">
        <f>资产资本表!BA68</f>
        <v>516169367.69999993</v>
      </c>
      <c r="BB7" s="26">
        <f>资产资本表!BB68</f>
        <v>489204385.56999999</v>
      </c>
      <c r="BC7" s="26">
        <f>资产资本表!BC68</f>
        <v>480185992.52999997</v>
      </c>
      <c r="BD7" s="26">
        <f>资产资本表!BD68</f>
        <v>477146425.81999999</v>
      </c>
      <c r="BE7" s="26">
        <f>资产资本表!BE68</f>
        <v>464743387.27999997</v>
      </c>
      <c r="BF7" s="26">
        <f>资产资本表!BF68</f>
        <v>376224643.70999998</v>
      </c>
      <c r="BG7" s="26">
        <f>资产资本表!BG68</f>
        <v>272126100.05999994</v>
      </c>
      <c r="BH7" s="26">
        <f>资产资本表!BH68</f>
        <v>208674239.42999998</v>
      </c>
      <c r="BI7" s="26">
        <f>资产资本表!BI68</f>
        <v>160515147.28999999</v>
      </c>
      <c r="BJ7" s="26">
        <f>资产资本表!BJ68</f>
        <v>102301805.84</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3068655942.6699991</v>
      </c>
      <c r="F8" s="26">
        <f>资产资本表!F69</f>
        <v>3059869862.4300003</v>
      </c>
      <c r="G8" s="26">
        <f>资产资本表!G69</f>
        <v>2820742966.0299997</v>
      </c>
      <c r="H8" s="26">
        <f>资产资本表!H69</f>
        <v>2914787311.749999</v>
      </c>
      <c r="I8" s="26">
        <f>资产资本表!I69</f>
        <v>2903673426.2699986</v>
      </c>
      <c r="J8" s="26">
        <f>资产资本表!J69</f>
        <v>3020232517.52</v>
      </c>
      <c r="K8" s="26">
        <f>资产资本表!K69</f>
        <v>2919665358.6399999</v>
      </c>
      <c r="L8" s="26">
        <f>资产资本表!L69</f>
        <v>3711296225.3899994</v>
      </c>
      <c r="M8" s="26">
        <f>资产资本表!M69</f>
        <v>3516957804.2000003</v>
      </c>
      <c r="N8" s="26">
        <f>资产资本表!N69</f>
        <v>3167137507.7000008</v>
      </c>
      <c r="O8" s="26">
        <f>资产资本表!O69</f>
        <v>3063432034.4799995</v>
      </c>
      <c r="P8" s="26">
        <f>资产资本表!P69</f>
        <v>2959033569.5199995</v>
      </c>
      <c r="Q8" s="26">
        <f>资产资本表!Q69</f>
        <v>2707676117.3600001</v>
      </c>
      <c r="R8" s="26">
        <f>资产资本表!R69</f>
        <v>2340039678.3999996</v>
      </c>
      <c r="S8" s="26">
        <f>资产资本表!S69</f>
        <v>2365958909.9100003</v>
      </c>
      <c r="T8" s="26">
        <f>资产资本表!T69</f>
        <v>2305699563.5599999</v>
      </c>
      <c r="U8" s="26">
        <f>资产资本表!U69</f>
        <v>2292179049.5299997</v>
      </c>
      <c r="V8" s="26">
        <f>资产资本表!V69</f>
        <v>2145707938.5300004</v>
      </c>
      <c r="W8" s="26">
        <f>资产资本表!W69</f>
        <v>2219966612.2199993</v>
      </c>
      <c r="X8" s="26">
        <f>资产资本表!X69</f>
        <v>2150789859.6500006</v>
      </c>
      <c r="Y8" s="26">
        <f>资产资本表!Y69</f>
        <v>2234525594.3699999</v>
      </c>
      <c r="Z8" s="26">
        <f>资产资本表!Z69</f>
        <v>2204471907.5900006</v>
      </c>
      <c r="AA8" s="26">
        <f>资产资本表!AA69</f>
        <v>2454030400.6400003</v>
      </c>
      <c r="AB8" s="26">
        <f>资产资本表!AB69</f>
        <v>2582243509.5799999</v>
      </c>
      <c r="AC8" s="26">
        <f>资产资本表!AC69</f>
        <v>2517747558.9700003</v>
      </c>
      <c r="AD8" s="26">
        <f>资产资本表!AD69</f>
        <v>2382308685.1499996</v>
      </c>
      <c r="AE8" s="26">
        <f>资产资本表!AE69</f>
        <v>2265087525.9899998</v>
      </c>
      <c r="AF8" s="26">
        <f>资产资本表!AF69</f>
        <v>2116462485.5200005</v>
      </c>
      <c r="AG8" s="26">
        <f>资产资本表!AG69</f>
        <v>1984739952.2499998</v>
      </c>
      <c r="AH8" s="26">
        <f>资产资本表!AH69</f>
        <v>1831289991.6100001</v>
      </c>
      <c r="AI8" s="26">
        <f>资产资本表!AI69</f>
        <v>1837551612.3899999</v>
      </c>
      <c r="AJ8" s="26">
        <f>资产资本表!AJ69</f>
        <v>1627788188.5499997</v>
      </c>
      <c r="AK8" s="26">
        <f>资产资本表!AK69</f>
        <v>1415272527.4000001</v>
      </c>
      <c r="AL8" s="26">
        <f>资产资本表!AL69</f>
        <v>1287946256.4200001</v>
      </c>
      <c r="AM8" s="26">
        <f>资产资本表!AM69</f>
        <v>1240490166.51</v>
      </c>
      <c r="AN8" s="26">
        <f>资产资本表!AN69</f>
        <v>1227622782.55</v>
      </c>
      <c r="AO8" s="26">
        <f>资产资本表!AO69</f>
        <v>1262758607.8699999</v>
      </c>
      <c r="AP8" s="26">
        <f>资产资本表!AP69</f>
        <v>1336987737.0299997</v>
      </c>
      <c r="AQ8" s="26">
        <f>资产资本表!AQ69</f>
        <v>1311524456.6600001</v>
      </c>
      <c r="AR8" s="26">
        <f>资产资本表!AR69</f>
        <v>1192307308.98</v>
      </c>
      <c r="AS8" s="26">
        <f>资产资本表!AS69</f>
        <v>1018019900.2399998</v>
      </c>
      <c r="AT8" s="26">
        <f>资产资本表!AT69</f>
        <v>1129471157.0200002</v>
      </c>
      <c r="AU8" s="26">
        <f>资产资本表!AU69</f>
        <v>1023290099.5000001</v>
      </c>
      <c r="AV8" s="26">
        <f>资产资本表!AV69</f>
        <v>952063497.48000002</v>
      </c>
      <c r="AW8" s="26">
        <f>资产资本表!AW69</f>
        <v>766886228.83000004</v>
      </c>
      <c r="AX8" s="26">
        <f>资产资本表!AX69</f>
        <v>935659019.57999992</v>
      </c>
      <c r="AY8" s="26">
        <f>资产资本表!AY69</f>
        <v>918166563.5</v>
      </c>
      <c r="AZ8" s="26">
        <f>资产资本表!AZ69</f>
        <v>852413436.07999992</v>
      </c>
      <c r="BA8" s="26">
        <f>资产资本表!BA69</f>
        <v>713575247.07999992</v>
      </c>
      <c r="BB8" s="26">
        <f>资产资本表!BB69</f>
        <v>834840173.24000001</v>
      </c>
      <c r="BC8" s="26">
        <f>资产资本表!BC69</f>
        <v>799168803.75999999</v>
      </c>
      <c r="BD8" s="26">
        <f>资产资本表!BD69</f>
        <v>757863048.25999999</v>
      </c>
      <c r="BE8" s="26">
        <f>资产资本表!BE69</f>
        <v>620247699.47000003</v>
      </c>
      <c r="BF8" s="26">
        <f>资产资本表!BF69</f>
        <v>575119858.53999984</v>
      </c>
      <c r="BG8" s="26">
        <f>资产资本表!BG69</f>
        <v>523130703.24000001</v>
      </c>
      <c r="BH8" s="26">
        <f>资产资本表!BH69</f>
        <v>377026357.80000001</v>
      </c>
      <c r="BI8" s="26">
        <f>资产资本表!BI69</f>
        <v>285104775.26999998</v>
      </c>
      <c r="BJ8" s="26">
        <f>资产资本表!BJ69</f>
        <v>201913773.27000001</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5213639786.6299992</v>
      </c>
      <c r="F9" s="48">
        <f>资产资本表!F70</f>
        <v>4976162507.460001</v>
      </c>
      <c r="G9" s="48">
        <f>资产资本表!G70</f>
        <v>4694169908.46</v>
      </c>
      <c r="H9" s="48">
        <f>资产资本表!H70</f>
        <v>4937607035.2799988</v>
      </c>
      <c r="I9" s="48">
        <f>资产资本表!I70</f>
        <v>4565389662.8699989</v>
      </c>
      <c r="J9" s="48">
        <f>资产资本表!J70</f>
        <v>4221102000.5</v>
      </c>
      <c r="K9" s="48">
        <f>资产资本表!K70</f>
        <v>3946260206.9499998</v>
      </c>
      <c r="L9" s="48">
        <f>资产资本表!L70</f>
        <v>5296201433.6599998</v>
      </c>
      <c r="M9" s="48">
        <f>资产资本表!M70</f>
        <v>5012730562.0799999</v>
      </c>
      <c r="N9" s="48">
        <f>资产资本表!N70</f>
        <v>4736104170.250001</v>
      </c>
      <c r="O9" s="48">
        <f>资产资本表!O70</f>
        <v>4462956943.5799999</v>
      </c>
      <c r="P9" s="48">
        <f>资产资本表!P70</f>
        <v>4545913740.5299997</v>
      </c>
      <c r="Q9" s="48">
        <f>资产资本表!Q70</f>
        <v>4291829670.1400003</v>
      </c>
      <c r="R9" s="48">
        <f>资产资本表!R70</f>
        <v>4084820267.5599995</v>
      </c>
      <c r="S9" s="48">
        <f>资产资本表!S70</f>
        <v>3886090455.0100002</v>
      </c>
      <c r="T9" s="48">
        <f>资产资本表!T70</f>
        <v>3955795122.1099997</v>
      </c>
      <c r="U9" s="48">
        <f>资产资本表!U70</f>
        <v>3747764364.5099998</v>
      </c>
      <c r="V9" s="48">
        <f>资产资本表!V70</f>
        <v>3662715670.0200005</v>
      </c>
      <c r="W9" s="48">
        <f>资产资本表!W70</f>
        <v>3490248682.0599995</v>
      </c>
      <c r="X9" s="48">
        <f>资产资本表!X70</f>
        <v>3567241318.3000007</v>
      </c>
      <c r="Y9" s="48">
        <f>资产资本表!Y70</f>
        <v>3394726346.3500004</v>
      </c>
      <c r="Z9" s="48">
        <f>资产资本表!Z70</f>
        <v>3244843702.7500005</v>
      </c>
      <c r="AA9" s="48">
        <f>资产资本表!AA70</f>
        <v>3148735362.5800004</v>
      </c>
      <c r="AB9" s="48">
        <f>资产资本表!AB70</f>
        <v>3222313716.3899999</v>
      </c>
      <c r="AC9" s="48">
        <f>资产资本表!AC70</f>
        <v>3094259610.7600002</v>
      </c>
      <c r="AD9" s="48">
        <f>资产资本表!AD70</f>
        <v>2957796924.9599996</v>
      </c>
      <c r="AE9" s="48">
        <f>资产资本表!AE70</f>
        <v>2821898590.8799996</v>
      </c>
      <c r="AF9" s="48">
        <f>资产资本表!AF70</f>
        <v>2884240451.0200005</v>
      </c>
      <c r="AG9" s="48">
        <f>资产资本表!AG70</f>
        <v>2736677234.2099996</v>
      </c>
      <c r="AH9" s="48">
        <f>资产资本表!AH70</f>
        <v>2613523463.1900001</v>
      </c>
      <c r="AI9" s="48">
        <f>资产资本表!AI70</f>
        <v>2488516794.6199999</v>
      </c>
      <c r="AJ9" s="48">
        <f>资产资本表!AJ70</f>
        <v>2499857212.8299999</v>
      </c>
      <c r="AK9" s="48">
        <f>资产资本表!AK70</f>
        <v>2387028595.3699999</v>
      </c>
      <c r="AL9" s="48">
        <f>资产资本表!AL70</f>
        <v>2308512612.4099998</v>
      </c>
      <c r="AM9" s="48">
        <f>资产资本表!AM70</f>
        <v>2222699925.6599998</v>
      </c>
      <c r="AN9" s="48">
        <f>资产资本表!AN70</f>
        <v>2241143445.29</v>
      </c>
      <c r="AO9" s="48">
        <f>资产资本表!AO70</f>
        <v>2163569816.8199997</v>
      </c>
      <c r="AP9" s="48">
        <f>资产资本表!AP70</f>
        <v>2059787930.1099997</v>
      </c>
      <c r="AQ9" s="48">
        <f>资产资本表!AQ70</f>
        <v>1990187952.73</v>
      </c>
      <c r="AR9" s="48">
        <f>资产资本表!AR70</f>
        <v>1876896259.77</v>
      </c>
      <c r="AS9" s="48">
        <f>资产资本表!AS70</f>
        <v>1815459777.1099997</v>
      </c>
      <c r="AT9" s="48">
        <f>资产资本表!AT70</f>
        <v>1999887728.6900003</v>
      </c>
      <c r="AU9" s="48">
        <f>资产资本表!AU70</f>
        <v>1274755668.21</v>
      </c>
      <c r="AV9" s="48">
        <f>资产资本表!AV70</f>
        <v>1271529555.1199999</v>
      </c>
      <c r="AW9" s="48">
        <f>资产资本表!AW70</f>
        <v>1196462193.51</v>
      </c>
      <c r="AX9" s="48">
        <f>资产资本表!AX70</f>
        <v>1109794912.55</v>
      </c>
      <c r="AY9" s="48">
        <f>资产资本表!AY70</f>
        <v>1167081413.8199999</v>
      </c>
      <c r="AZ9" s="48">
        <f>资产资本表!AZ70</f>
        <v>1078770415.9199998</v>
      </c>
      <c r="BA9" s="48">
        <f>资产资本表!BA70</f>
        <v>999458271.8499999</v>
      </c>
      <c r="BB9" s="48">
        <f>资产资本表!BB70</f>
        <v>1063734730.52</v>
      </c>
      <c r="BC9" s="48">
        <f>资产资本表!BC70</f>
        <v>1110529107.1900001</v>
      </c>
      <c r="BD9" s="48">
        <f>资产资本表!BD70</f>
        <v>1092776695.6599998</v>
      </c>
      <c r="BE9" s="48">
        <f>资产资本表!BE70</f>
        <v>1114411840.8900001</v>
      </c>
      <c r="BF9" s="48">
        <f>资产资本表!BF70</f>
        <v>1077404573.8799999</v>
      </c>
      <c r="BG9" s="48">
        <f>资产资本表!BG70</f>
        <v>582458354.44000006</v>
      </c>
      <c r="BH9" s="48">
        <f>资产资本表!BH70</f>
        <v>404060047.81</v>
      </c>
      <c r="BI9" s="48">
        <f>资产资本表!BI70</f>
        <v>312731674.85999995</v>
      </c>
      <c r="BJ9" s="48">
        <f>资产资本表!BJ70</f>
        <v>216931209.45000002</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12825</v>
      </c>
      <c r="V10" s="26">
        <f>资产资本表!V72</f>
        <v>0</v>
      </c>
      <c r="W10" s="26">
        <f>资产资本表!W72</f>
        <v>0</v>
      </c>
      <c r="X10" s="26">
        <f>资产资本表!X72</f>
        <v>0</v>
      </c>
      <c r="Y10" s="26">
        <f>资产资本表!Y72</f>
        <v>146036.97</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944900</v>
      </c>
      <c r="AP10" s="26">
        <f>资产资本表!AP72</f>
        <v>0</v>
      </c>
      <c r="AQ10" s="26">
        <f>资产资本表!AQ72</f>
        <v>0</v>
      </c>
      <c r="AR10" s="26">
        <f>资产资本表!AR72</f>
        <v>0</v>
      </c>
      <c r="AS10" s="26">
        <f>资产资本表!AS72</f>
        <v>8014200</v>
      </c>
      <c r="AT10" s="26">
        <f>资产资本表!AT72</f>
        <v>305643051.12</v>
      </c>
      <c r="AU10" s="26">
        <f>资产资本表!AU72</f>
        <v>325458112.5</v>
      </c>
      <c r="AV10" s="26">
        <f>资产资本表!AV72</f>
        <v>328000000</v>
      </c>
      <c r="AW10" s="26">
        <f>资产资本表!AW72</f>
        <v>298000000</v>
      </c>
      <c r="AX10" s="26">
        <f>资产资本表!AX72</f>
        <v>265012191</v>
      </c>
      <c r="AY10" s="26">
        <f>资产资本表!AY72</f>
        <v>348000000</v>
      </c>
      <c r="AZ10" s="26">
        <f>资产资本表!AZ72</f>
        <v>251609921.59999999</v>
      </c>
      <c r="BA10" s="26">
        <f>资产资本表!BA72</f>
        <v>195618656</v>
      </c>
      <c r="BB10" s="26">
        <f>资产资本表!BB72</f>
        <v>278144762.80000001</v>
      </c>
      <c r="BC10" s="26">
        <f>资产资本表!BC72</f>
        <v>345738534.5</v>
      </c>
      <c r="BD10" s="26">
        <f>资产资本表!BD72</f>
        <v>280294842.98000002</v>
      </c>
      <c r="BE10" s="26">
        <f>资产资本表!BE72</f>
        <v>317976911.5</v>
      </c>
      <c r="BF10" s="26">
        <f>资产资本表!BF72</f>
        <v>369637683.56999999</v>
      </c>
      <c r="BG10" s="26">
        <f>资产资本表!BG72</f>
        <v>284958573.60000002</v>
      </c>
      <c r="BH10" s="26">
        <f>资产资本表!BH72</f>
        <v>182507183.52000001</v>
      </c>
      <c r="BI10" s="26">
        <f>资产资本表!BI72</f>
        <v>109799280.7</v>
      </c>
      <c r="BJ10" s="26">
        <f>资产资本表!BJ72</f>
        <v>58000000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20000000</v>
      </c>
      <c r="BC11" s="26">
        <f>资产资本表!BC81</f>
        <v>20000000</v>
      </c>
      <c r="BD11" s="26">
        <f>资产资本表!BD81</f>
        <v>58000000</v>
      </c>
      <c r="BE11" s="26">
        <f>资产资本表!BE81</f>
        <v>58000000</v>
      </c>
      <c r="BF11" s="26">
        <f>资产资本表!BF81</f>
        <v>58000000</v>
      </c>
      <c r="BG11" s="26">
        <f>资产资本表!BG81</f>
        <v>58000000</v>
      </c>
      <c r="BH11" s="26">
        <f>资产资本表!BH81</f>
        <v>20000000</v>
      </c>
      <c r="BI11" s="26">
        <f>资产资本表!BI81</f>
        <v>40079737.100000001</v>
      </c>
      <c r="BJ11" s="26">
        <f>资产资本表!BJ81</f>
        <v>31307269.920000002</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12825</v>
      </c>
      <c r="V12" s="26">
        <f>资产资本表!V89</f>
        <v>0</v>
      </c>
      <c r="W12" s="26">
        <f>资产资本表!W89</f>
        <v>0</v>
      </c>
      <c r="X12" s="26">
        <f>资产资本表!X89</f>
        <v>0</v>
      </c>
      <c r="Y12" s="26">
        <f>资产资本表!Y89</f>
        <v>146036.97</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944900</v>
      </c>
      <c r="AP12" s="26">
        <f>资产资本表!AP89</f>
        <v>0</v>
      </c>
      <c r="AQ12" s="26">
        <f>资产资本表!AQ89</f>
        <v>0</v>
      </c>
      <c r="AR12" s="26">
        <f>资产资本表!AR89</f>
        <v>0</v>
      </c>
      <c r="AS12" s="26">
        <f>资产资本表!AS89</f>
        <v>8014200</v>
      </c>
      <c r="AT12" s="26">
        <f>资产资本表!AT89</f>
        <v>305643051.12</v>
      </c>
      <c r="AU12" s="26">
        <f>资产资本表!AU89</f>
        <v>325458112.5</v>
      </c>
      <c r="AV12" s="26">
        <f>资产资本表!AV89</f>
        <v>328000000</v>
      </c>
      <c r="AW12" s="26">
        <f>资产资本表!AW89</f>
        <v>298000000</v>
      </c>
      <c r="AX12" s="26">
        <f>资产资本表!AX89</f>
        <v>265012191</v>
      </c>
      <c r="AY12" s="26">
        <f>资产资本表!AY89</f>
        <v>348000000</v>
      </c>
      <c r="AZ12" s="26">
        <f>资产资本表!AZ89</f>
        <v>251609921.59999999</v>
      </c>
      <c r="BA12" s="26">
        <f>资产资本表!BA89</f>
        <v>195618656</v>
      </c>
      <c r="BB12" s="26">
        <f>资产资本表!BB89</f>
        <v>298144762.80000001</v>
      </c>
      <c r="BC12" s="26">
        <f>资产资本表!BC89</f>
        <v>365738534.5</v>
      </c>
      <c r="BD12" s="26">
        <f>资产资本表!BD89</f>
        <v>338294842.98000002</v>
      </c>
      <c r="BE12" s="26">
        <f>资产资本表!BE89</f>
        <v>375976911.5</v>
      </c>
      <c r="BF12" s="26">
        <f>资产资本表!BF89</f>
        <v>427637683.56999999</v>
      </c>
      <c r="BG12" s="26">
        <f>资产资本表!BG89</f>
        <v>342958573.60000002</v>
      </c>
      <c r="BH12" s="26">
        <f>资产资本表!BH89</f>
        <v>202507183.52000001</v>
      </c>
      <c r="BI12" s="26">
        <f>资产资本表!BI89</f>
        <v>149879017.80000001</v>
      </c>
      <c r="BJ12" s="26">
        <f>资产资本表!BJ89</f>
        <v>89307269.920000002</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5213639786.6299992</v>
      </c>
      <c r="F13" s="26">
        <f t="shared" ref="F13:BQ13" si="0">F9-F12</f>
        <v>4976162507.460001</v>
      </c>
      <c r="G13" s="26">
        <f t="shared" si="0"/>
        <v>4694169908.46</v>
      </c>
      <c r="H13" s="26">
        <f t="shared" si="0"/>
        <v>4937607035.2799988</v>
      </c>
      <c r="I13" s="26">
        <f t="shared" si="0"/>
        <v>4565389662.8699989</v>
      </c>
      <c r="J13" s="26">
        <f t="shared" si="0"/>
        <v>4221102000.5</v>
      </c>
      <c r="K13" s="26">
        <f t="shared" si="0"/>
        <v>3946260206.9499998</v>
      </c>
      <c r="L13" s="26">
        <f t="shared" si="0"/>
        <v>5296201433.6599998</v>
      </c>
      <c r="M13" s="26">
        <f t="shared" si="0"/>
        <v>5012730562.0799999</v>
      </c>
      <c r="N13" s="26">
        <f t="shared" si="0"/>
        <v>4736104170.250001</v>
      </c>
      <c r="O13" s="26">
        <f t="shared" si="0"/>
        <v>4462956943.5799999</v>
      </c>
      <c r="P13" s="26">
        <f t="shared" si="0"/>
        <v>4545913740.5299997</v>
      </c>
      <c r="Q13" s="26">
        <f t="shared" si="0"/>
        <v>4291829670.1400003</v>
      </c>
      <c r="R13" s="26">
        <f t="shared" si="0"/>
        <v>4084820267.5599995</v>
      </c>
      <c r="S13" s="26">
        <f t="shared" si="0"/>
        <v>3886090455.0100002</v>
      </c>
      <c r="T13" s="26">
        <f t="shared" si="0"/>
        <v>3955795122.1099997</v>
      </c>
      <c r="U13" s="26">
        <f t="shared" si="0"/>
        <v>3747751539.5099998</v>
      </c>
      <c r="V13" s="26">
        <f t="shared" si="0"/>
        <v>3662715670.0200005</v>
      </c>
      <c r="W13" s="26">
        <f t="shared" si="0"/>
        <v>3490248682.0599995</v>
      </c>
      <c r="X13" s="26">
        <f t="shared" si="0"/>
        <v>3567241318.3000007</v>
      </c>
      <c r="Y13" s="26">
        <f t="shared" si="0"/>
        <v>3394580309.3800006</v>
      </c>
      <c r="Z13" s="26">
        <f t="shared" si="0"/>
        <v>3244843702.7500005</v>
      </c>
      <c r="AA13" s="26">
        <f t="shared" si="0"/>
        <v>3148735362.5800004</v>
      </c>
      <c r="AB13" s="26">
        <f t="shared" si="0"/>
        <v>3222313716.3899999</v>
      </c>
      <c r="AC13" s="26">
        <f t="shared" si="0"/>
        <v>3094259610.7600002</v>
      </c>
      <c r="AD13" s="26">
        <f t="shared" si="0"/>
        <v>2957796924.9599996</v>
      </c>
      <c r="AE13" s="26">
        <f t="shared" si="0"/>
        <v>2821898590.8799996</v>
      </c>
      <c r="AF13" s="26">
        <f t="shared" si="0"/>
        <v>2884240451.0200005</v>
      </c>
      <c r="AG13" s="26">
        <f t="shared" si="0"/>
        <v>2736677234.2099996</v>
      </c>
      <c r="AH13" s="26">
        <f t="shared" si="0"/>
        <v>2613523463.1900001</v>
      </c>
      <c r="AI13" s="26">
        <f t="shared" si="0"/>
        <v>2488516794.6199999</v>
      </c>
      <c r="AJ13" s="26">
        <f t="shared" si="0"/>
        <v>2499857212.8299999</v>
      </c>
      <c r="AK13" s="26">
        <f t="shared" si="0"/>
        <v>2387028595.3699999</v>
      </c>
      <c r="AL13" s="26">
        <f t="shared" si="0"/>
        <v>2308512612.4099998</v>
      </c>
      <c r="AM13" s="26">
        <f t="shared" si="0"/>
        <v>2222699925.6599998</v>
      </c>
      <c r="AN13" s="26">
        <f t="shared" si="0"/>
        <v>2241143445.29</v>
      </c>
      <c r="AO13" s="26">
        <f t="shared" si="0"/>
        <v>2162624916.8199997</v>
      </c>
      <c r="AP13" s="26">
        <f t="shared" si="0"/>
        <v>2059787930.1099997</v>
      </c>
      <c r="AQ13" s="26">
        <f t="shared" si="0"/>
        <v>1990187952.73</v>
      </c>
      <c r="AR13" s="26">
        <f t="shared" si="0"/>
        <v>1876896259.77</v>
      </c>
      <c r="AS13" s="26">
        <f t="shared" si="0"/>
        <v>1807445577.1099997</v>
      </c>
      <c r="AT13" s="26">
        <f t="shared" si="0"/>
        <v>1694244677.5700002</v>
      </c>
      <c r="AU13" s="26">
        <f t="shared" si="0"/>
        <v>949297555.71000004</v>
      </c>
      <c r="AV13" s="26">
        <f t="shared" si="0"/>
        <v>943529555.11999989</v>
      </c>
      <c r="AW13" s="26">
        <f t="shared" si="0"/>
        <v>898462193.50999999</v>
      </c>
      <c r="AX13" s="26">
        <f t="shared" si="0"/>
        <v>844782721.54999995</v>
      </c>
      <c r="AY13" s="26">
        <f t="shared" si="0"/>
        <v>819081413.81999993</v>
      </c>
      <c r="AZ13" s="26">
        <f t="shared" si="0"/>
        <v>827160494.31999981</v>
      </c>
      <c r="BA13" s="26">
        <f t="shared" si="0"/>
        <v>803839615.8499999</v>
      </c>
      <c r="BB13" s="26">
        <f t="shared" si="0"/>
        <v>765589967.72000003</v>
      </c>
      <c r="BC13" s="26">
        <f t="shared" si="0"/>
        <v>744790572.69000006</v>
      </c>
      <c r="BD13" s="26">
        <f t="shared" si="0"/>
        <v>754481852.67999983</v>
      </c>
      <c r="BE13" s="26">
        <f t="shared" si="0"/>
        <v>738434929.3900001</v>
      </c>
      <c r="BF13" s="26">
        <f t="shared" si="0"/>
        <v>649766890.30999994</v>
      </c>
      <c r="BG13" s="26">
        <f t="shared" si="0"/>
        <v>239499780.84000003</v>
      </c>
      <c r="BH13" s="26">
        <f t="shared" si="0"/>
        <v>201552864.28999999</v>
      </c>
      <c r="BI13" s="26">
        <f t="shared" si="0"/>
        <v>162852657.05999994</v>
      </c>
      <c r="BJ13" s="26">
        <f t="shared" si="0"/>
        <v>127623939.53000002</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5213639786.6299992</v>
      </c>
      <c r="F14" s="48">
        <f t="shared" ref="F14:BQ14" si="2">F9</f>
        <v>4976162507.460001</v>
      </c>
      <c r="G14" s="48">
        <f t="shared" si="2"/>
        <v>4694169908.46</v>
      </c>
      <c r="H14" s="48">
        <f t="shared" si="2"/>
        <v>4937607035.2799988</v>
      </c>
      <c r="I14" s="48">
        <f t="shared" si="2"/>
        <v>4565389662.8699989</v>
      </c>
      <c r="J14" s="48">
        <f t="shared" si="2"/>
        <v>4221102000.5</v>
      </c>
      <c r="K14" s="48">
        <f t="shared" si="2"/>
        <v>3946260206.9499998</v>
      </c>
      <c r="L14" s="48">
        <f t="shared" si="2"/>
        <v>5296201433.6599998</v>
      </c>
      <c r="M14" s="48">
        <f t="shared" si="2"/>
        <v>5012730562.0799999</v>
      </c>
      <c r="N14" s="48">
        <f t="shared" si="2"/>
        <v>4736104170.250001</v>
      </c>
      <c r="O14" s="48">
        <f t="shared" si="2"/>
        <v>4462956943.5799999</v>
      </c>
      <c r="P14" s="48">
        <f t="shared" si="2"/>
        <v>4545913740.5299997</v>
      </c>
      <c r="Q14" s="48">
        <f t="shared" si="2"/>
        <v>4291829670.1400003</v>
      </c>
      <c r="R14" s="48">
        <f t="shared" si="2"/>
        <v>4084820267.5599995</v>
      </c>
      <c r="S14" s="48">
        <f t="shared" si="2"/>
        <v>3886090455.0100002</v>
      </c>
      <c r="T14" s="48">
        <f t="shared" si="2"/>
        <v>3955795122.1099997</v>
      </c>
      <c r="U14" s="48">
        <f t="shared" si="2"/>
        <v>3747764364.5099998</v>
      </c>
      <c r="V14" s="48">
        <f t="shared" si="2"/>
        <v>3662715670.0200005</v>
      </c>
      <c r="W14" s="48">
        <f t="shared" si="2"/>
        <v>3490248682.0599995</v>
      </c>
      <c r="X14" s="48">
        <f t="shared" si="2"/>
        <v>3567241318.3000007</v>
      </c>
      <c r="Y14" s="48">
        <f t="shared" si="2"/>
        <v>3394726346.3500004</v>
      </c>
      <c r="Z14" s="48">
        <f t="shared" si="2"/>
        <v>3244843702.7500005</v>
      </c>
      <c r="AA14" s="48">
        <f t="shared" si="2"/>
        <v>3148735362.5800004</v>
      </c>
      <c r="AB14" s="48">
        <f t="shared" si="2"/>
        <v>3222313716.3899999</v>
      </c>
      <c r="AC14" s="48">
        <f t="shared" si="2"/>
        <v>3094259610.7600002</v>
      </c>
      <c r="AD14" s="48">
        <f t="shared" si="2"/>
        <v>2957796924.9599996</v>
      </c>
      <c r="AE14" s="48">
        <f t="shared" si="2"/>
        <v>2821898590.8799996</v>
      </c>
      <c r="AF14" s="48">
        <f t="shared" si="2"/>
        <v>2884240451.0200005</v>
      </c>
      <c r="AG14" s="48">
        <f t="shared" si="2"/>
        <v>2736677234.2099996</v>
      </c>
      <c r="AH14" s="48">
        <f t="shared" si="2"/>
        <v>2613523463.1900001</v>
      </c>
      <c r="AI14" s="48">
        <f t="shared" si="2"/>
        <v>2488516794.6199999</v>
      </c>
      <c r="AJ14" s="48">
        <f t="shared" si="2"/>
        <v>2499857212.8299999</v>
      </c>
      <c r="AK14" s="48">
        <f t="shared" si="2"/>
        <v>2387028595.3699999</v>
      </c>
      <c r="AL14" s="48">
        <f t="shared" si="2"/>
        <v>2308512612.4099998</v>
      </c>
      <c r="AM14" s="48">
        <f t="shared" si="2"/>
        <v>2222699925.6599998</v>
      </c>
      <c r="AN14" s="48">
        <f t="shared" si="2"/>
        <v>2241143445.29</v>
      </c>
      <c r="AO14" s="48">
        <f t="shared" si="2"/>
        <v>2163569816.8199997</v>
      </c>
      <c r="AP14" s="48">
        <f t="shared" si="2"/>
        <v>2059787930.1099997</v>
      </c>
      <c r="AQ14" s="48">
        <f t="shared" si="2"/>
        <v>1990187952.73</v>
      </c>
      <c r="AR14" s="48">
        <f t="shared" si="2"/>
        <v>1876896259.77</v>
      </c>
      <c r="AS14" s="48">
        <f t="shared" si="2"/>
        <v>1815459777.1099997</v>
      </c>
      <c r="AT14" s="48">
        <f t="shared" si="2"/>
        <v>1999887728.6900003</v>
      </c>
      <c r="AU14" s="48">
        <f t="shared" si="2"/>
        <v>1274755668.21</v>
      </c>
      <c r="AV14" s="48">
        <f t="shared" si="2"/>
        <v>1271529555.1199999</v>
      </c>
      <c r="AW14" s="48">
        <f t="shared" si="2"/>
        <v>1196462193.51</v>
      </c>
      <c r="AX14" s="48">
        <f t="shared" si="2"/>
        <v>1109794912.55</v>
      </c>
      <c r="AY14" s="48">
        <f t="shared" si="2"/>
        <v>1167081413.8199999</v>
      </c>
      <c r="AZ14" s="48">
        <f t="shared" si="2"/>
        <v>1078770415.9199998</v>
      </c>
      <c r="BA14" s="48">
        <f t="shared" si="2"/>
        <v>999458271.8499999</v>
      </c>
      <c r="BB14" s="48">
        <f t="shared" si="2"/>
        <v>1063734730.52</v>
      </c>
      <c r="BC14" s="48">
        <f t="shared" si="2"/>
        <v>1110529107.1900001</v>
      </c>
      <c r="BD14" s="48">
        <f t="shared" si="2"/>
        <v>1092776695.6599998</v>
      </c>
      <c r="BE14" s="48">
        <f t="shared" si="2"/>
        <v>1114411840.8900001</v>
      </c>
      <c r="BF14" s="48">
        <f t="shared" si="2"/>
        <v>1077404573.8799999</v>
      </c>
      <c r="BG14" s="48">
        <f t="shared" si="2"/>
        <v>582458354.44000006</v>
      </c>
      <c r="BH14" s="48">
        <f t="shared" si="2"/>
        <v>404060047.81</v>
      </c>
      <c r="BI14" s="48">
        <f t="shared" si="2"/>
        <v>312731674.85999995</v>
      </c>
      <c r="BJ14" s="48">
        <f t="shared" si="2"/>
        <v>216931209.45000002</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2087155717.8100004</v>
      </c>
      <c r="F15" s="58">
        <f t="shared" ref="F15:BQ15" si="4">F11+F13-F3-F4-F7</f>
        <v>1859882797.4000008</v>
      </c>
      <c r="G15" s="58">
        <f t="shared" si="4"/>
        <v>1818083330.0200005</v>
      </c>
      <c r="H15" s="58">
        <f t="shared" si="4"/>
        <v>1968107303.259999</v>
      </c>
      <c r="I15" s="58">
        <f t="shared" si="4"/>
        <v>1607838305.72</v>
      </c>
      <c r="J15" s="58">
        <f t="shared" si="4"/>
        <v>1146935466.0599999</v>
      </c>
      <c r="K15" s="58">
        <f t="shared" si="4"/>
        <v>973473073.52999973</v>
      </c>
      <c r="L15" s="58">
        <f t="shared" si="4"/>
        <v>1532569510.2900009</v>
      </c>
      <c r="M15" s="58">
        <f t="shared" si="4"/>
        <v>1444443950.5999999</v>
      </c>
      <c r="N15" s="58">
        <f t="shared" si="4"/>
        <v>1518532567.6700001</v>
      </c>
      <c r="O15" s="58">
        <f t="shared" si="4"/>
        <v>1349885162.7800007</v>
      </c>
      <c r="P15" s="58">
        <f t="shared" si="4"/>
        <v>1537926816.6999998</v>
      </c>
      <c r="Q15" s="58">
        <f t="shared" si="4"/>
        <v>1535672774.6500001</v>
      </c>
      <c r="R15" s="58">
        <f t="shared" si="4"/>
        <v>1698293662.4200001</v>
      </c>
      <c r="S15" s="58">
        <f t="shared" si="4"/>
        <v>1474406832.54</v>
      </c>
      <c r="T15" s="58">
        <f t="shared" si="4"/>
        <v>1605234381.5599999</v>
      </c>
      <c r="U15" s="58">
        <f t="shared" si="4"/>
        <v>1411077265.3300004</v>
      </c>
      <c r="V15" s="58">
        <f t="shared" si="4"/>
        <v>1473211483.7600002</v>
      </c>
      <c r="W15" s="58">
        <f t="shared" si="4"/>
        <v>1227246558.8399997</v>
      </c>
      <c r="X15" s="58">
        <f t="shared" si="4"/>
        <v>1373586027.5200002</v>
      </c>
      <c r="Y15" s="58">
        <f t="shared" si="4"/>
        <v>1118689196.3500006</v>
      </c>
      <c r="Z15" s="58">
        <f t="shared" si="4"/>
        <v>999573292.23999977</v>
      </c>
      <c r="AA15" s="58">
        <f t="shared" si="4"/>
        <v>654969391.44000006</v>
      </c>
      <c r="AB15" s="58">
        <f t="shared" si="4"/>
        <v>640070206.8099997</v>
      </c>
      <c r="AC15" s="58">
        <f t="shared" si="4"/>
        <v>576512051.78999972</v>
      </c>
      <c r="AD15" s="58">
        <f t="shared" si="4"/>
        <v>575488239.8099997</v>
      </c>
      <c r="AE15" s="58">
        <f t="shared" si="4"/>
        <v>556811064.88999963</v>
      </c>
      <c r="AF15" s="58">
        <f t="shared" si="4"/>
        <v>767377965.5</v>
      </c>
      <c r="AG15" s="58">
        <f t="shared" si="4"/>
        <v>751537281.9599998</v>
      </c>
      <c r="AH15" s="58">
        <f t="shared" si="4"/>
        <v>781833471.57999992</v>
      </c>
      <c r="AI15" s="58">
        <f t="shared" si="4"/>
        <v>650565182.23000002</v>
      </c>
      <c r="AJ15" s="58">
        <f t="shared" si="4"/>
        <v>871669024.28000021</v>
      </c>
      <c r="AK15" s="58">
        <f t="shared" si="4"/>
        <v>971356067.96999979</v>
      </c>
      <c r="AL15" s="58">
        <f t="shared" si="4"/>
        <v>1020166355.99</v>
      </c>
      <c r="AM15" s="58">
        <f t="shared" si="4"/>
        <v>981809759.14999986</v>
      </c>
      <c r="AN15" s="58">
        <f t="shared" si="4"/>
        <v>1013120662.74</v>
      </c>
      <c r="AO15" s="58">
        <f t="shared" si="4"/>
        <v>899466308.94999981</v>
      </c>
      <c r="AP15" s="58">
        <f t="shared" si="4"/>
        <v>722356317.48000014</v>
      </c>
      <c r="AQ15" s="58">
        <f t="shared" si="4"/>
        <v>678219620.47000003</v>
      </c>
      <c r="AR15" s="58">
        <f t="shared" si="4"/>
        <v>684145075.19000006</v>
      </c>
      <c r="AS15" s="58">
        <f t="shared" si="4"/>
        <v>788981801.26999986</v>
      </c>
      <c r="AT15" s="58">
        <f t="shared" si="4"/>
        <v>564303766.36000001</v>
      </c>
      <c r="AU15" s="58">
        <f t="shared" si="4"/>
        <v>-75462297.970000029</v>
      </c>
      <c r="AV15" s="58">
        <f t="shared" si="4"/>
        <v>-9029326.4199999571</v>
      </c>
      <c r="AW15" s="58">
        <f t="shared" si="4"/>
        <v>120955105.27999997</v>
      </c>
      <c r="AX15" s="58">
        <f t="shared" si="4"/>
        <v>-101994597.72999996</v>
      </c>
      <c r="AY15" s="58">
        <f t="shared" si="4"/>
        <v>-112099316.76000017</v>
      </c>
      <c r="AZ15" s="58">
        <f t="shared" si="4"/>
        <v>-38952364.840000153</v>
      </c>
      <c r="BA15" s="58">
        <f t="shared" si="4"/>
        <v>73500001.659999967</v>
      </c>
      <c r="BB15" s="58">
        <f t="shared" si="4"/>
        <v>-65916059.880000055</v>
      </c>
      <c r="BC15" s="58">
        <f t="shared" si="4"/>
        <v>-50319288.639999926</v>
      </c>
      <c r="BD15" s="58">
        <f t="shared" si="4"/>
        <v>39477706.139999866</v>
      </c>
      <c r="BE15" s="58">
        <f t="shared" si="4"/>
        <v>160596090.93000007</v>
      </c>
      <c r="BF15" s="58">
        <f t="shared" si="4"/>
        <v>116521190.04000002</v>
      </c>
      <c r="BG15" s="58">
        <f t="shared" si="4"/>
        <v>-242206804.83999997</v>
      </c>
      <c r="BH15" s="58">
        <f t="shared" si="4"/>
        <v>-172949457.37</v>
      </c>
      <c r="BI15" s="58">
        <f t="shared" si="4"/>
        <v>-94882493.690000072</v>
      </c>
      <c r="BJ15" s="58">
        <f t="shared" si="4"/>
        <v>-45877740.359999985</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-2087155717.8099997</v>
      </c>
      <c r="F16" s="58">
        <f t="shared" ref="F16:BQ16" si="6">F10-F2</f>
        <v>-1859882797.4000001</v>
      </c>
      <c r="G16" s="58">
        <f t="shared" si="6"/>
        <v>-1818083330.02</v>
      </c>
      <c r="H16" s="58">
        <f t="shared" si="6"/>
        <v>-1968107303.2599998</v>
      </c>
      <c r="I16" s="58">
        <f t="shared" si="6"/>
        <v>-1607838305.72</v>
      </c>
      <c r="J16" s="58">
        <f t="shared" si="6"/>
        <v>-1146935466.0599999</v>
      </c>
      <c r="K16" s="58">
        <f t="shared" si="6"/>
        <v>-973473073.52999997</v>
      </c>
      <c r="L16" s="58">
        <f t="shared" si="6"/>
        <v>-1532569510.2900002</v>
      </c>
      <c r="M16" s="58">
        <f t="shared" si="6"/>
        <v>-1444443950.5999999</v>
      </c>
      <c r="N16" s="58">
        <f t="shared" si="6"/>
        <v>-1518532567.6700001</v>
      </c>
      <c r="O16" s="58">
        <f t="shared" si="6"/>
        <v>-1349885162.78</v>
      </c>
      <c r="P16" s="58">
        <f t="shared" si="6"/>
        <v>-1537926816.7</v>
      </c>
      <c r="Q16" s="58">
        <f t="shared" si="6"/>
        <v>-1535672774.6500001</v>
      </c>
      <c r="R16" s="58">
        <f t="shared" si="6"/>
        <v>-1698293662.4199998</v>
      </c>
      <c r="S16" s="58">
        <f t="shared" si="6"/>
        <v>-1474406832.54</v>
      </c>
      <c r="T16" s="58">
        <f t="shared" si="6"/>
        <v>-1605234381.5599999</v>
      </c>
      <c r="U16" s="58">
        <f t="shared" si="6"/>
        <v>-1411077265.3299999</v>
      </c>
      <c r="V16" s="58">
        <f t="shared" si="6"/>
        <v>-1473211483.7600002</v>
      </c>
      <c r="W16" s="58">
        <f t="shared" si="6"/>
        <v>-1227246558.8399999</v>
      </c>
      <c r="X16" s="58">
        <f t="shared" si="6"/>
        <v>-1373586027.52</v>
      </c>
      <c r="Y16" s="58">
        <f t="shared" si="6"/>
        <v>-1118689196.3500001</v>
      </c>
      <c r="Z16" s="58">
        <f t="shared" si="6"/>
        <v>-999573292.24000001</v>
      </c>
      <c r="AA16" s="58">
        <f t="shared" si="6"/>
        <v>-654969391.44000006</v>
      </c>
      <c r="AB16" s="58">
        <f t="shared" si="6"/>
        <v>-640070206.80999994</v>
      </c>
      <c r="AC16" s="58">
        <f t="shared" si="6"/>
        <v>-576512051.78999996</v>
      </c>
      <c r="AD16" s="58">
        <f t="shared" si="6"/>
        <v>-575488239.81000006</v>
      </c>
      <c r="AE16" s="58">
        <f t="shared" si="6"/>
        <v>-556811064.88999999</v>
      </c>
      <c r="AF16" s="58">
        <f t="shared" si="6"/>
        <v>-767377965.5</v>
      </c>
      <c r="AG16" s="58">
        <f t="shared" si="6"/>
        <v>-751537281.95999992</v>
      </c>
      <c r="AH16" s="58">
        <f t="shared" si="6"/>
        <v>-781833471.58000004</v>
      </c>
      <c r="AI16" s="58">
        <f t="shared" si="6"/>
        <v>-650565182.23000002</v>
      </c>
      <c r="AJ16" s="58">
        <f t="shared" si="6"/>
        <v>-871669024.28000009</v>
      </c>
      <c r="AK16" s="58">
        <f t="shared" si="6"/>
        <v>-971356067.97000003</v>
      </c>
      <c r="AL16" s="58">
        <f t="shared" si="6"/>
        <v>-1020166355.99</v>
      </c>
      <c r="AM16" s="58">
        <f t="shared" si="6"/>
        <v>-981809759.1500001</v>
      </c>
      <c r="AN16" s="58">
        <f t="shared" si="6"/>
        <v>-1013120662.7399999</v>
      </c>
      <c r="AO16" s="58">
        <f t="shared" si="6"/>
        <v>-899466308.95000005</v>
      </c>
      <c r="AP16" s="58">
        <f t="shared" si="6"/>
        <v>-722356317.48000002</v>
      </c>
      <c r="AQ16" s="58">
        <f t="shared" si="6"/>
        <v>-678219620.47000003</v>
      </c>
      <c r="AR16" s="58">
        <f t="shared" si="6"/>
        <v>-684145075.19000006</v>
      </c>
      <c r="AS16" s="58">
        <f t="shared" si="6"/>
        <v>-788981801.26999998</v>
      </c>
      <c r="AT16" s="58">
        <f t="shared" si="6"/>
        <v>-564303766.36000001</v>
      </c>
      <c r="AU16" s="58">
        <f t="shared" si="6"/>
        <v>75462297.969999999</v>
      </c>
      <c r="AV16" s="58">
        <f t="shared" si="6"/>
        <v>9029326.4200000167</v>
      </c>
      <c r="AW16" s="58">
        <f t="shared" si="6"/>
        <v>-120955105.27999997</v>
      </c>
      <c r="AX16" s="58">
        <f t="shared" si="6"/>
        <v>101994597.72999999</v>
      </c>
      <c r="AY16" s="58">
        <f t="shared" si="6"/>
        <v>112099316.75999999</v>
      </c>
      <c r="AZ16" s="58">
        <f t="shared" si="6"/>
        <v>38952364.840000004</v>
      </c>
      <c r="BA16" s="58">
        <f t="shared" si="6"/>
        <v>-73500001.660000026</v>
      </c>
      <c r="BB16" s="58">
        <f t="shared" si="6"/>
        <v>65916059.880000025</v>
      </c>
      <c r="BC16" s="58">
        <f t="shared" si="6"/>
        <v>50319288.639999986</v>
      </c>
      <c r="BD16" s="58">
        <f t="shared" si="6"/>
        <v>-39477706.139999986</v>
      </c>
      <c r="BE16" s="58">
        <f t="shared" si="6"/>
        <v>-160596090.93000001</v>
      </c>
      <c r="BF16" s="58">
        <f t="shared" si="6"/>
        <v>-116521190.04000002</v>
      </c>
      <c r="BG16" s="58">
        <f t="shared" si="6"/>
        <v>242206804.84000003</v>
      </c>
      <c r="BH16" s="58">
        <f t="shared" si="6"/>
        <v>172949457.37</v>
      </c>
      <c r="BI16" s="58">
        <f t="shared" si="6"/>
        <v>94882493.689999998</v>
      </c>
      <c r="BJ16" s="58">
        <f t="shared" si="6"/>
        <v>45877740.359999999</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2.2448921980857079</v>
      </c>
      <c r="F17" s="59">
        <f t="shared" ref="F17:BQ17" si="8">(F11+F13-F7-F3)/F4</f>
        <v>2.13389579084973</v>
      </c>
      <c r="G17" s="59">
        <f t="shared" si="8"/>
        <v>2.269614537192127</v>
      </c>
      <c r="H17" s="59">
        <f t="shared" si="8"/>
        <v>2.2789067663586051</v>
      </c>
      <c r="I17" s="59">
        <f t="shared" si="8"/>
        <v>1.996628154948286</v>
      </c>
      <c r="J17" s="59">
        <f t="shared" si="8"/>
        <v>1.6792538588610533</v>
      </c>
      <c r="K17" s="59">
        <f t="shared" si="8"/>
        <v>1.6135110552433316</v>
      </c>
      <c r="L17" s="59">
        <f t="shared" si="8"/>
        <v>1.6453191515781693</v>
      </c>
      <c r="M17" s="59">
        <f t="shared" si="8"/>
        <v>1.6489279862327055</v>
      </c>
      <c r="N17" s="59">
        <f t="shared" si="8"/>
        <v>1.8398520833906722</v>
      </c>
      <c r="O17" s="59">
        <f t="shared" si="8"/>
        <v>1.7939712836553103</v>
      </c>
      <c r="P17" s="59">
        <f t="shared" si="8"/>
        <v>1.9743306722584115</v>
      </c>
      <c r="Q17" s="59">
        <f t="shared" si="8"/>
        <v>2.1070463910555697</v>
      </c>
      <c r="R17" s="59">
        <f t="shared" si="8"/>
        <v>2.6410013485340054</v>
      </c>
      <c r="S17" s="59">
        <f t="shared" si="8"/>
        <v>2.3492704297478921</v>
      </c>
      <c r="T17" s="59">
        <f t="shared" si="8"/>
        <v>2.5433346824040921</v>
      </c>
      <c r="U17" s="59">
        <f t="shared" si="8"/>
        <v>2.3629766279082043</v>
      </c>
      <c r="V17" s="59">
        <f t="shared" si="8"/>
        <v>2.6358167097112539</v>
      </c>
      <c r="W17" s="59">
        <f t="shared" si="8"/>
        <v>2.2292763221893277</v>
      </c>
      <c r="X17" s="59">
        <f t="shared" si="8"/>
        <v>2.4883083515657671</v>
      </c>
      <c r="Y17" s="59">
        <f t="shared" si="8"/>
        <v>2.1146987306511233</v>
      </c>
      <c r="Z17" s="59">
        <f t="shared" si="8"/>
        <v>2.0288307926941251</v>
      </c>
      <c r="AA17" s="59">
        <f t="shared" si="8"/>
        <v>1.5406062258785702</v>
      </c>
      <c r="AB17" s="59">
        <f t="shared" si="8"/>
        <v>1.4774227848738908</v>
      </c>
      <c r="AC17" s="59">
        <f t="shared" si="8"/>
        <v>1.4444711392684668</v>
      </c>
      <c r="AD17" s="59">
        <f t="shared" si="8"/>
        <v>1.488693915993393</v>
      </c>
      <c r="AE17" s="59">
        <f t="shared" si="8"/>
        <v>1.5098023290975997</v>
      </c>
      <c r="AF17" s="59">
        <f t="shared" si="8"/>
        <v>1.7786009034033539</v>
      </c>
      <c r="AG17" s="59">
        <f t="shared" si="8"/>
        <v>1.8535951543245146</v>
      </c>
      <c r="AH17" s="59">
        <f t="shared" si="8"/>
        <v>1.9662442201173398</v>
      </c>
      <c r="AI17" s="59">
        <f t="shared" si="8"/>
        <v>1.7544843808755901</v>
      </c>
      <c r="AJ17" s="59">
        <f t="shared" si="8"/>
        <v>2.2519603928287273</v>
      </c>
      <c r="AK17" s="59">
        <f t="shared" si="8"/>
        <v>2.9167630622366891</v>
      </c>
      <c r="AL17" s="59">
        <f t="shared" si="8"/>
        <v>3.3345825996880585</v>
      </c>
      <c r="AM17" s="59">
        <f t="shared" si="8"/>
        <v>3.3084323771382906</v>
      </c>
      <c r="AN17" s="59">
        <f t="shared" si="8"/>
        <v>3.3497974765751364</v>
      </c>
      <c r="AO17" s="59">
        <f t="shared" si="8"/>
        <v>2.8711332134039087</v>
      </c>
      <c r="AP17" s="59">
        <f t="shared" si="8"/>
        <v>2.3143189770392514</v>
      </c>
      <c r="AQ17" s="59">
        <f t="shared" si="8"/>
        <v>2.1965402048279703</v>
      </c>
      <c r="AR17" s="59">
        <f t="shared" si="8"/>
        <v>2.5043915043265379</v>
      </c>
      <c r="AS17" s="59">
        <f t="shared" si="8"/>
        <v>3.7979969888172542</v>
      </c>
      <c r="AT17" s="59">
        <f t="shared" si="8"/>
        <v>2.2682693489920629</v>
      </c>
      <c r="AU17" s="59">
        <f t="shared" si="8"/>
        <v>0.78417968770385682</v>
      </c>
      <c r="AV17" s="59">
        <f t="shared" si="8"/>
        <v>0.97515413551063557</v>
      </c>
      <c r="AW17" s="59">
        <f t="shared" si="8"/>
        <v>1.6957213609365596</v>
      </c>
      <c r="AX17" s="59">
        <f t="shared" si="8"/>
        <v>0.71900676639196415</v>
      </c>
      <c r="AY17" s="59">
        <f t="shared" si="8"/>
        <v>0.67238115121993136</v>
      </c>
      <c r="AZ17" s="59">
        <f t="shared" si="8"/>
        <v>0.88393575535504332</v>
      </c>
      <c r="BA17" s="59">
        <f t="shared" si="8"/>
        <v>1.372329344449335</v>
      </c>
      <c r="BB17" s="59">
        <f t="shared" si="8"/>
        <v>0.80929040848358502</v>
      </c>
      <c r="BC17" s="59">
        <f t="shared" si="8"/>
        <v>0.84225078321315072</v>
      </c>
      <c r="BD17" s="59">
        <f t="shared" si="8"/>
        <v>1.1406318792127736</v>
      </c>
      <c r="BE17" s="59">
        <f t="shared" si="8"/>
        <v>2.0327436497952469</v>
      </c>
      <c r="BF17" s="59">
        <f t="shared" si="8"/>
        <v>1.5858420985119892</v>
      </c>
      <c r="BG17" s="59">
        <f t="shared" si="8"/>
        <v>3.5050346601376972E-2</v>
      </c>
      <c r="BH17" s="59">
        <f t="shared" si="8"/>
        <v>-2.7307877349639697E-2</v>
      </c>
      <c r="BI17" s="59">
        <f t="shared" si="8"/>
        <v>0.23843986671802844</v>
      </c>
      <c r="BJ17" s="59">
        <f t="shared" si="8"/>
        <v>0.53943545596326559</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3" t="s">
        <v>744</v>
      </c>
      <c r="B18" s="275"/>
      <c r="C18" s="275"/>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5"/>
      <c r="AG18" s="275"/>
    </row>
    <row r="19" spans="1:90" x14ac:dyDescent="0.25">
      <c r="A19" s="112" t="s">
        <v>574</v>
      </c>
      <c r="B19" s="113"/>
      <c r="C19" s="113"/>
      <c r="D19" s="113"/>
      <c r="E19" s="113" t="s">
        <v>567</v>
      </c>
      <c r="F19" s="113"/>
      <c r="G19" s="113"/>
      <c r="H19" s="113"/>
      <c r="I19" s="113" t="s">
        <v>602</v>
      </c>
      <c r="M19" s="113" t="s">
        <v>569</v>
      </c>
      <c r="N19" s="63"/>
      <c r="O19" s="63"/>
      <c r="P19" s="63"/>
      <c r="Q19" s="63"/>
      <c r="R19" s="63"/>
      <c r="S19" s="63"/>
      <c r="T19" s="63"/>
      <c r="U19" s="63"/>
    </row>
    <row r="20" spans="1:90" s="63" customFormat="1" ht="14.25" customHeight="1" x14ac:dyDescent="0.25">
      <c r="A20" s="112" t="s">
        <v>575</v>
      </c>
      <c r="B20" s="114"/>
      <c r="C20" s="114"/>
      <c r="D20" s="114"/>
      <c r="E20" s="114">
        <f>POWER(E9/U9,1/5)-1</f>
        <v>6.8252084558261927E-2</v>
      </c>
      <c r="F20" s="114"/>
      <c r="G20" s="114"/>
      <c r="H20" s="114"/>
      <c r="I20" s="114">
        <f>POWER(E9/Y9,1/6)-1</f>
        <v>7.4128010160394053E-2</v>
      </c>
      <c r="M20" s="114">
        <f>POWER(E9/AC9,1/7)-1</f>
        <v>7.7380676547707195E-2</v>
      </c>
    </row>
    <row r="21" spans="1:90" s="63" customFormat="1" ht="14.25" customHeight="1" x14ac:dyDescent="0.25">
      <c r="A21" s="112" t="s">
        <v>573</v>
      </c>
      <c r="B21" s="114"/>
      <c r="C21" s="114"/>
      <c r="D21" s="114"/>
      <c r="E21" s="114">
        <f>POWER(E4/U4,1/5)-1</f>
        <v>0.10121506522702561</v>
      </c>
      <c r="F21" s="114"/>
      <c r="G21" s="114"/>
      <c r="H21" s="114"/>
      <c r="I21" s="114">
        <f>POWER(E4/Y4,1/6)-1</f>
        <v>8.9294209259753066E-2</v>
      </c>
      <c r="M21" s="114">
        <f>POWER(E4/AC4,1/7)-1</f>
        <v>3.7343552072223618E-2</v>
      </c>
    </row>
    <row r="22" spans="1:90" s="63" customFormat="1" ht="14.25" customHeight="1" x14ac:dyDescent="0.25">
      <c r="A22" s="112" t="s">
        <v>576</v>
      </c>
      <c r="B22" s="114"/>
      <c r="C22" s="114"/>
      <c r="D22" s="114"/>
      <c r="E22" s="114">
        <f>POWER(E5/U5,1/5)-1</f>
        <v>0.13235415300755871</v>
      </c>
      <c r="F22" s="114"/>
      <c r="G22" s="114"/>
      <c r="H22" s="114"/>
      <c r="I22" s="114">
        <f>POWER(E5/Y5,1/6)-1</f>
        <v>0.13973790343394277</v>
      </c>
      <c r="M22" s="114">
        <f>POWER(E5/AC5,1/7)-1</f>
        <v>0.11700576626579062</v>
      </c>
    </row>
    <row r="23" spans="1:90" s="63" customFormat="1" ht="14.25" customHeight="1" x14ac:dyDescent="0.25">
      <c r="A23" s="112" t="s">
        <v>577</v>
      </c>
      <c r="B23" s="114"/>
      <c r="C23" s="114"/>
      <c r="D23" s="114"/>
      <c r="E23" s="114">
        <f>POWER(E6/U6,1/5)-1</f>
        <v>0.14729636020866876</v>
      </c>
      <c r="F23" s="114"/>
      <c r="G23" s="114"/>
      <c r="H23" s="114"/>
      <c r="I23" s="114">
        <f>POWER(E6/Y6,1/6)-1</f>
        <v>0.16702499812526472</v>
      </c>
      <c r="M23" s="114">
        <f>POWER(E6/AC6,1/7)-1</f>
        <v>0.17248520186613181</v>
      </c>
    </row>
    <row r="24" spans="1:90" s="63" customFormat="1" ht="14.25" customHeight="1" x14ac:dyDescent="0.25">
      <c r="A24" s="112" t="s">
        <v>578</v>
      </c>
      <c r="B24" s="114"/>
      <c r="C24" s="114"/>
      <c r="D24" s="114"/>
      <c r="E24" s="114">
        <f>POWER(E7/U7,1/5)-1</f>
        <v>2.0642245880454491E-2</v>
      </c>
      <c r="F24" s="114"/>
      <c r="G24" s="114"/>
      <c r="H24" s="114"/>
      <c r="I24" s="114">
        <f>POWER(E7/Y7,1/6)-1</f>
        <v>2.0714393932832698E-2</v>
      </c>
      <c r="M24" s="114">
        <f>POWER(E7/AC7,1/7)-1</f>
        <v>1.8948245125816943E-2</v>
      </c>
    </row>
    <row r="25" spans="1:90" s="106" customFormat="1" x14ac:dyDescent="0.25">
      <c r="A25" s="141" t="s">
        <v>554</v>
      </c>
      <c r="B25" s="107"/>
      <c r="C25" s="107"/>
      <c r="D25" s="107"/>
      <c r="E25" s="107">
        <f>(E2-I2)/I2</f>
        <v>0.29811294480595069</v>
      </c>
      <c r="F25" s="107">
        <f t="shared" ref="F25:BQ25" si="10">(F2-J2)/J2</f>
        <v>0.62161067683184146</v>
      </c>
      <c r="G25" s="107">
        <f t="shared" si="10"/>
        <v>0.86762569962750102</v>
      </c>
      <c r="H25" s="107">
        <f t="shared" si="10"/>
        <v>0.28418795365933192</v>
      </c>
      <c r="I25" s="107">
        <f t="shared" si="10"/>
        <v>0.1131192076038178</v>
      </c>
      <c r="J25" s="106">
        <f t="shared" si="10"/>
        <v>-0.24470802241677952</v>
      </c>
      <c r="K25" s="106">
        <f t="shared" si="10"/>
        <v>-0.27884748986706692</v>
      </c>
      <c r="L25" s="106">
        <f t="shared" si="10"/>
        <v>-3.4834599096823507E-3</v>
      </c>
      <c r="M25" s="107">
        <f t="shared" si="10"/>
        <v>-5.9406421443391436E-2</v>
      </c>
      <c r="N25" s="107">
        <f t="shared" si="10"/>
        <v>-0.10584806310461493</v>
      </c>
      <c r="O25" s="107">
        <f t="shared" si="10"/>
        <v>-8.4455434559729481E-2</v>
      </c>
      <c r="P25" s="107">
        <f t="shared" si="10"/>
        <v>-4.1930054347944515E-2</v>
      </c>
      <c r="Q25" s="107">
        <f t="shared" si="10"/>
        <v>8.8288256840401341E-2</v>
      </c>
      <c r="R25" s="107">
        <f t="shared" si="10"/>
        <v>0.15278334518920134</v>
      </c>
      <c r="S25" s="107">
        <f t="shared" si="10"/>
        <v>0.20139414685637194</v>
      </c>
      <c r="T25" s="107">
        <f t="shared" si="10"/>
        <v>0.16864495517491501</v>
      </c>
      <c r="U25" s="107">
        <f t="shared" si="10"/>
        <v>0.26121349087548029</v>
      </c>
      <c r="V25" s="106">
        <f t="shared" si="10"/>
        <v>0.47384038288838004</v>
      </c>
      <c r="W25" s="106">
        <f t="shared" si="10"/>
        <v>0.87374642980155903</v>
      </c>
      <c r="X25" s="106">
        <f t="shared" si="10"/>
        <v>1.145992756584808</v>
      </c>
      <c r="Y25" s="106">
        <f t="shared" si="10"/>
        <v>0.94069704153825151</v>
      </c>
      <c r="Z25" s="106">
        <f t="shared" si="10"/>
        <v>0.73691349899697944</v>
      </c>
      <c r="AA25" s="106">
        <f t="shared" si="10"/>
        <v>0.17628659475255148</v>
      </c>
      <c r="AB25" s="106">
        <f t="shared" si="10"/>
        <v>-0.16589967970614092</v>
      </c>
      <c r="AC25" s="106">
        <f t="shared" si="10"/>
        <v>-0.2328896175496927</v>
      </c>
      <c r="AD25" s="106">
        <f t="shared" si="10"/>
        <v>-0.26392478612229126</v>
      </c>
      <c r="AE25" s="106">
        <f t="shared" si="10"/>
        <v>-0.14411179678972477</v>
      </c>
      <c r="AF25" s="106">
        <f t="shared" si="10"/>
        <v>-0.11964525051942125</v>
      </c>
      <c r="AG25" s="106">
        <f t="shared" si="10"/>
        <v>-0.22630093459897874</v>
      </c>
      <c r="AH25" s="106">
        <f t="shared" si="10"/>
        <v>-0.23362158829352356</v>
      </c>
      <c r="AI25" s="106">
        <f t="shared" si="10"/>
        <v>-0.33738163002858562</v>
      </c>
      <c r="AJ25" s="106">
        <f t="shared" si="10"/>
        <v>-0.13961973500514907</v>
      </c>
      <c r="AK25" s="106">
        <f t="shared" si="10"/>
        <v>7.8791621333469605E-2</v>
      </c>
      <c r="AL25" s="106">
        <f t="shared" si="10"/>
        <v>0.41227581361638121</v>
      </c>
      <c r="AM25" s="106">
        <f t="shared" si="10"/>
        <v>0.44762806842658853</v>
      </c>
      <c r="AN25" s="106">
        <f t="shared" si="10"/>
        <v>0.48085647252322483</v>
      </c>
      <c r="AO25" s="106">
        <f t="shared" si="10"/>
        <v>0.12975624409057215</v>
      </c>
      <c r="AP25" s="106">
        <f t="shared" si="10"/>
        <v>-0.16965462374760981</v>
      </c>
      <c r="AQ25" s="106">
        <f t="shared" si="10"/>
        <v>1.7129239013264053</v>
      </c>
      <c r="AR25" s="106">
        <f t="shared" si="10"/>
        <v>1.1448525894604284</v>
      </c>
      <c r="AS25" s="106">
        <f t="shared" si="10"/>
        <v>0.90234225869462603</v>
      </c>
      <c r="AT25" s="106">
        <f t="shared" si="10"/>
        <v>4.3365210467752355</v>
      </c>
      <c r="AU25" s="106">
        <f t="shared" si="10"/>
        <v>5.9750277516830777E-2</v>
      </c>
      <c r="AV25" s="106">
        <f t="shared" si="10"/>
        <v>0.49992635314616318</v>
      </c>
      <c r="AW25" s="106">
        <f t="shared" si="10"/>
        <v>0.55676722276647495</v>
      </c>
      <c r="AX25" s="106">
        <f t="shared" si="10"/>
        <v>-0.23187772894484587</v>
      </c>
      <c r="AY25" s="106">
        <f t="shared" si="10"/>
        <v>-0.20147151363390189</v>
      </c>
      <c r="AZ25" s="106">
        <f t="shared" si="10"/>
        <v>-0.33497244417876321</v>
      </c>
      <c r="BA25" s="106">
        <f t="shared" si="10"/>
        <v>-0.4376643557126616</v>
      </c>
      <c r="BB25" s="106">
        <f t="shared" si="10"/>
        <v>-0.56345813181587368</v>
      </c>
      <c r="BC25" s="106">
        <f t="shared" si="10"/>
        <v>5.9101058138301932</v>
      </c>
      <c r="BD25" s="106">
        <f t="shared" si="10"/>
        <v>32.456969168341367</v>
      </c>
      <c r="BE25" s="106">
        <f t="shared" si="10"/>
        <v>31.082847473063172</v>
      </c>
      <c r="BF25" s="106">
        <f t="shared" si="10"/>
        <v>39.104641217699573</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562</v>
      </c>
      <c r="E26" s="107">
        <f>E2/E9</f>
        <v>0.40032603003421124</v>
      </c>
      <c r="F26" s="107">
        <f t="shared" ref="F26:BQ26" si="12">F2/F9</f>
        <v>0.37375845234390187</v>
      </c>
      <c r="G26" s="107">
        <f t="shared" si="12"/>
        <v>0.38730667305914629</v>
      </c>
      <c r="H26" s="107">
        <f t="shared" si="12"/>
        <v>0.39859537002389123</v>
      </c>
      <c r="I26" s="107">
        <f t="shared" si="12"/>
        <v>0.35217986293622178</v>
      </c>
      <c r="J26" s="107">
        <f t="shared" si="12"/>
        <v>0.27171470055074304</v>
      </c>
      <c r="K26" s="107">
        <f t="shared" si="12"/>
        <v>0.24668243412219931</v>
      </c>
      <c r="L26" s="107">
        <f t="shared" si="12"/>
        <v>0.28937145414254017</v>
      </c>
      <c r="M26" s="107">
        <f t="shared" si="12"/>
        <v>0.28815511480446243</v>
      </c>
      <c r="N26" s="107">
        <f t="shared" si="12"/>
        <v>0.32062904722592755</v>
      </c>
      <c r="O26" s="107">
        <f t="shared" si="12"/>
        <v>0.30246430334081997</v>
      </c>
      <c r="P26" s="107">
        <f t="shared" si="12"/>
        <v>0.33830972263910492</v>
      </c>
      <c r="Q26" s="107">
        <f t="shared" si="12"/>
        <v>0.35781307569922882</v>
      </c>
      <c r="R26" s="107">
        <f t="shared" si="12"/>
        <v>0.41575725519851275</v>
      </c>
      <c r="S26" s="107">
        <f t="shared" si="12"/>
        <v>0.37940620518474416</v>
      </c>
      <c r="T26" s="107">
        <f t="shared" si="12"/>
        <v>0.40579310404320856</v>
      </c>
      <c r="U26" s="107">
        <f t="shared" si="12"/>
        <v>0.37651515759435755</v>
      </c>
      <c r="V26" s="107">
        <f t="shared" si="12"/>
        <v>0.40221835831225078</v>
      </c>
      <c r="W26" s="107">
        <f t="shared" si="12"/>
        <v>0.35162152345994435</v>
      </c>
      <c r="X26" s="107">
        <f t="shared" si="12"/>
        <v>0.38505553870815618</v>
      </c>
      <c r="Y26" s="107">
        <f t="shared" si="12"/>
        <v>0.32958039004321171</v>
      </c>
      <c r="Z26" s="107">
        <f t="shared" si="12"/>
        <v>0.30804975025233511</v>
      </c>
      <c r="AA26" s="107">
        <f t="shared" si="12"/>
        <v>0.20801030128595291</v>
      </c>
      <c r="AB26" s="107">
        <f t="shared" si="12"/>
        <v>0.19863683773381288</v>
      </c>
      <c r="AC26" s="107">
        <f t="shared" si="12"/>
        <v>0.18631663929724349</v>
      </c>
      <c r="AD26" s="107">
        <f t="shared" si="12"/>
        <v>0.19456651501447578</v>
      </c>
      <c r="AE26" s="107">
        <f t="shared" si="12"/>
        <v>0.19731788615279769</v>
      </c>
      <c r="AF26" s="107">
        <f t="shared" si="12"/>
        <v>0.26605894291116394</v>
      </c>
      <c r="AG26" s="107">
        <f t="shared" si="12"/>
        <v>0.27461670399613175</v>
      </c>
      <c r="AH26" s="107">
        <f t="shared" si="12"/>
        <v>0.29914920703474918</v>
      </c>
      <c r="AI26" s="107">
        <f t="shared" si="12"/>
        <v>0.26142688031540584</v>
      </c>
      <c r="AJ26" s="107">
        <f t="shared" si="12"/>
        <v>0.34868752495396105</v>
      </c>
      <c r="AK26" s="107">
        <f t="shared" si="12"/>
        <v>0.40693105639961369</v>
      </c>
      <c r="AL26" s="107">
        <f t="shared" si="12"/>
        <v>0.4419150021125442</v>
      </c>
      <c r="AM26" s="107">
        <f t="shared" si="12"/>
        <v>0.44171943671544656</v>
      </c>
      <c r="AN26" s="107">
        <f t="shared" si="12"/>
        <v>0.45205525102339172</v>
      </c>
      <c r="AO26" s="107">
        <f t="shared" si="12"/>
        <v>0.41616924120036874</v>
      </c>
      <c r="AP26" s="107">
        <f t="shared" si="12"/>
        <v>0.35069450933301843</v>
      </c>
      <c r="AQ26" s="107">
        <f t="shared" si="12"/>
        <v>0.3407816932765903</v>
      </c>
      <c r="AR26" s="107">
        <f t="shared" si="12"/>
        <v>0.36450873170466919</v>
      </c>
      <c r="AS26" s="107">
        <f t="shared" si="12"/>
        <v>0.4390050450683764</v>
      </c>
      <c r="AT26" s="107">
        <f t="shared" si="12"/>
        <v>0.4349978276279774</v>
      </c>
      <c r="AU26" s="107">
        <f t="shared" si="12"/>
        <v>0.19611273027798479</v>
      </c>
      <c r="AV26" s="107">
        <f t="shared" si="12"/>
        <v>0.2508558863579835</v>
      </c>
      <c r="AW26" s="107">
        <f t="shared" si="12"/>
        <v>0.35016159102439565</v>
      </c>
      <c r="AX26" s="107">
        <f t="shared" si="12"/>
        <v>0.14688983651531698</v>
      </c>
      <c r="AY26" s="107">
        <f t="shared" si="12"/>
        <v>0.20212872936419085</v>
      </c>
      <c r="AZ26" s="107">
        <f t="shared" si="12"/>
        <v>0.19712957791731878</v>
      </c>
      <c r="BA26" s="107">
        <f t="shared" si="12"/>
        <v>0.2692645258334404</v>
      </c>
      <c r="BB26" s="107">
        <f t="shared" si="12"/>
        <v>0.19951280787481041</v>
      </c>
      <c r="BC26" s="107">
        <f t="shared" si="12"/>
        <v>0.26601666174019228</v>
      </c>
      <c r="BD26" s="107">
        <f t="shared" si="12"/>
        <v>0.29262387310233434</v>
      </c>
      <c r="BE26" s="107">
        <f t="shared" si="12"/>
        <v>0.42943998337975159</v>
      </c>
      <c r="BF26" s="107">
        <f t="shared" si="12"/>
        <v>0.45123149223250636</v>
      </c>
      <c r="BG26" s="107">
        <f t="shared" si="12"/>
        <v>7.3398842053013974E-2</v>
      </c>
      <c r="BH26" s="107">
        <f t="shared" si="12"/>
        <v>2.3654222192475469E-2</v>
      </c>
      <c r="BI26" s="107">
        <f t="shared" si="12"/>
        <v>4.7698356799571941E-2</v>
      </c>
      <c r="BJ26" s="107">
        <f t="shared" si="12"/>
        <v>5.5880662218840541E-2</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555</v>
      </c>
      <c r="E27" s="108">
        <f>(E3-I3)/I3</f>
        <v>7.3317501349450406E-2</v>
      </c>
      <c r="F27" s="108">
        <f t="shared" ref="F27:BQ27" si="14">(F3-J3)/J3</f>
        <v>4.5904808345211622E-2</v>
      </c>
      <c r="G27" s="108">
        <f t="shared" si="14"/>
        <v>4.1825365195375636E-2</v>
      </c>
      <c r="H27" s="108">
        <f t="shared" si="14"/>
        <v>4.5413023647993905E-2</v>
      </c>
      <c r="I27" s="108">
        <f t="shared" si="14"/>
        <v>4.9662630695750727E-2</v>
      </c>
      <c r="J27" s="108">
        <f t="shared" si="14"/>
        <v>6.9395952248722081E-2</v>
      </c>
      <c r="K27" s="108">
        <f t="shared" si="14"/>
        <v>7.0145976120693454E-2</v>
      </c>
      <c r="L27" s="108">
        <f t="shared" si="14"/>
        <v>6.9093195301410879E-2</v>
      </c>
      <c r="M27" s="108">
        <f t="shared" si="14"/>
        <v>5.8745532969027008E-2</v>
      </c>
      <c r="N27" s="108">
        <f t="shared" si="14"/>
        <v>8.4909208175373577E-2</v>
      </c>
      <c r="O27" s="108">
        <f t="shared" si="14"/>
        <v>8.5621834251285625E-2</v>
      </c>
      <c r="P27" s="108">
        <f t="shared" si="14"/>
        <v>9.1218679369740721E-2</v>
      </c>
      <c r="Q27" s="108">
        <f t="shared" si="14"/>
        <v>8.9572611698230956E-2</v>
      </c>
      <c r="R27" s="108">
        <f t="shared" si="14"/>
        <v>6.1436290765999046E-2</v>
      </c>
      <c r="S27" s="108">
        <f t="shared" si="14"/>
        <v>6.2487966275107137E-2</v>
      </c>
      <c r="T27" s="108">
        <f t="shared" si="14"/>
        <v>4.6558399329926427E-2</v>
      </c>
      <c r="U27" s="108">
        <f t="shared" si="14"/>
        <v>7.5659778757383098E-2</v>
      </c>
      <c r="V27" s="108">
        <f t="shared" si="14"/>
        <v>7.3476833595540053E-2</v>
      </c>
      <c r="W27" s="108">
        <f t="shared" si="14"/>
        <v>8.3047517840469917E-2</v>
      </c>
      <c r="X27" s="108" t="e">
        <f t="shared" si="14"/>
        <v>#DIV/0!</v>
      </c>
      <c r="Y27" s="108" t="e">
        <f t="shared" si="14"/>
        <v>#DIV/0!</v>
      </c>
      <c r="Z27" s="108" t="e">
        <f t="shared" si="14"/>
        <v>#DIV/0!</v>
      </c>
      <c r="AA27" s="108" t="e">
        <f t="shared" si="14"/>
        <v>#DIV/0!</v>
      </c>
      <c r="AB27" s="108">
        <f t="shared" si="14"/>
        <v>-1</v>
      </c>
      <c r="AC27" s="108">
        <f t="shared" si="14"/>
        <v>-1</v>
      </c>
      <c r="AD27" s="108">
        <f t="shared" si="14"/>
        <v>-1</v>
      </c>
      <c r="AE27" s="108">
        <f t="shared" si="14"/>
        <v>-1</v>
      </c>
      <c r="AF27" s="108">
        <f t="shared" si="14"/>
        <v>0</v>
      </c>
      <c r="AG27" s="108">
        <f t="shared" si="14"/>
        <v>0</v>
      </c>
      <c r="AH27" s="108">
        <f t="shared" si="14"/>
        <v>0</v>
      </c>
      <c r="AI27" s="108">
        <f t="shared" si="14"/>
        <v>0</v>
      </c>
      <c r="AJ27" s="108">
        <f t="shared" si="14"/>
        <v>0</v>
      </c>
      <c r="AK27" s="108">
        <f t="shared" si="14"/>
        <v>0</v>
      </c>
      <c r="AL27" s="108">
        <f t="shared" si="14"/>
        <v>-9.8846613780978226E-2</v>
      </c>
      <c r="AM27" s="108">
        <f t="shared" si="14"/>
        <v>-9.8846613780978226E-2</v>
      </c>
      <c r="AN27" s="108">
        <f t="shared" si="14"/>
        <v>-9.8846613780978226E-2</v>
      </c>
      <c r="AO27" s="108">
        <f t="shared" si="14"/>
        <v>-9.8846613780978226E-2</v>
      </c>
      <c r="AP27" s="108">
        <f t="shared" si="14"/>
        <v>-5.5089641669827417E-2</v>
      </c>
      <c r="AQ27" s="108">
        <f t="shared" si="14"/>
        <v>-0.69799330660859216</v>
      </c>
      <c r="AR27" s="108">
        <f t="shared" si="14"/>
        <v>-0.10397682153923164</v>
      </c>
      <c r="AS27" s="108">
        <f t="shared" si="14"/>
        <v>-0.95820718613410893</v>
      </c>
      <c r="AT27" s="108">
        <f t="shared" si="14"/>
        <v>-0.95774945785999999</v>
      </c>
      <c r="AU27" s="108">
        <f t="shared" si="14"/>
        <v>-0.88706505987166107</v>
      </c>
      <c r="AV27" s="108">
        <f t="shared" si="14"/>
        <v>-0.96383905679041193</v>
      </c>
      <c r="AW27" s="108">
        <f t="shared" si="14"/>
        <v>-0.36646225113594516</v>
      </c>
      <c r="AX27" s="108">
        <f t="shared" si="14"/>
        <v>-0.33286950312699121</v>
      </c>
      <c r="AY27" s="108">
        <f t="shared" si="14"/>
        <v>-0.183607045965897</v>
      </c>
      <c r="AZ27" s="108">
        <f t="shared" si="14"/>
        <v>-9.5216025504855209E-2</v>
      </c>
      <c r="BA27" s="108">
        <f t="shared" si="14"/>
        <v>7.5249673596810077E-2</v>
      </c>
      <c r="BB27" s="108">
        <f t="shared" si="14"/>
        <v>3.3487407295792609E-2</v>
      </c>
      <c r="BC27" s="108">
        <f t="shared" si="14"/>
        <v>-3.8298104025404706E-2</v>
      </c>
      <c r="BD27" s="108">
        <f t="shared" si="14"/>
        <v>-0.13360439508256114</v>
      </c>
      <c r="BE27" s="108">
        <f t="shared" si="14"/>
        <v>0.22667198200379748</v>
      </c>
      <c r="BF27" s="108">
        <f t="shared" si="14"/>
        <v>4.5698992815132442</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563</v>
      </c>
      <c r="E28" s="108">
        <f>E3/E9</f>
        <v>1.1091699564341985E-2</v>
      </c>
      <c r="F28" s="108">
        <f t="shared" ref="F28:BQ28" si="16">F3/F9</f>
        <v>1.1336013955620084E-2</v>
      </c>
      <c r="G28" s="108">
        <f t="shared" si="16"/>
        <v>1.1789861357650854E-2</v>
      </c>
      <c r="H28" s="108">
        <f t="shared" si="16"/>
        <v>1.1080756301396797E-2</v>
      </c>
      <c r="I28" s="108">
        <f t="shared" si="16"/>
        <v>1.1801387145151162E-2</v>
      </c>
      <c r="J28" s="108">
        <f t="shared" si="16"/>
        <v>1.2777236113605258E-2</v>
      </c>
      <c r="K28" s="108">
        <f t="shared" si="16"/>
        <v>1.3461295503637597E-2</v>
      </c>
      <c r="L28" s="108">
        <f t="shared" si="16"/>
        <v>9.8817423460105854E-3</v>
      </c>
      <c r="M28" s="108">
        <f t="shared" si="16"/>
        <v>1.0239690054017475E-2</v>
      </c>
      <c r="N28" s="108">
        <f t="shared" si="16"/>
        <v>1.0648856753785839E-2</v>
      </c>
      <c r="O28" s="108">
        <f t="shared" si="16"/>
        <v>1.1122613762027703E-2</v>
      </c>
      <c r="P28" s="108">
        <f t="shared" si="16"/>
        <v>1.0768650067762311E-2</v>
      </c>
      <c r="Q28" s="108">
        <f t="shared" si="16"/>
        <v>1.1296062951263057E-2</v>
      </c>
      <c r="R28" s="108">
        <f t="shared" si="16"/>
        <v>1.1380409343632689E-2</v>
      </c>
      <c r="S28" s="108">
        <f t="shared" si="16"/>
        <v>1.1766250191384785E-2</v>
      </c>
      <c r="T28" s="108">
        <f t="shared" si="16"/>
        <v>1.1340621949619902E-2</v>
      </c>
      <c r="U28" s="108">
        <f t="shared" si="16"/>
        <v>1.187247124481838E-2</v>
      </c>
      <c r="V28" s="108">
        <f t="shared" si="16"/>
        <v>1.1957315739378931E-2</v>
      </c>
      <c r="W28" s="108">
        <f t="shared" si="16"/>
        <v>1.2330213380268299E-2</v>
      </c>
      <c r="X28" s="108">
        <f t="shared" si="16"/>
        <v>1.2016409125477356E-2</v>
      </c>
      <c r="Y28" s="108">
        <f t="shared" si="16"/>
        <v>1.2185229217216898E-2</v>
      </c>
      <c r="Z28" s="108">
        <f t="shared" si="16"/>
        <v>1.2573333774265715E-2</v>
      </c>
      <c r="AA28" s="108">
        <f t="shared" si="16"/>
        <v>1.2619533217120412E-2</v>
      </c>
      <c r="AB28" s="108">
        <f t="shared" si="16"/>
        <v>0</v>
      </c>
      <c r="AC28" s="108">
        <f t="shared" si="16"/>
        <v>0</v>
      </c>
      <c r="AD28" s="108">
        <f t="shared" si="16"/>
        <v>0</v>
      </c>
      <c r="AE28" s="108">
        <f t="shared" si="16"/>
        <v>0</v>
      </c>
      <c r="AF28" s="108">
        <f t="shared" si="16"/>
        <v>1.3868469248413097E-4</v>
      </c>
      <c r="AG28" s="108">
        <f t="shared" si="16"/>
        <v>1.461626511887393E-4</v>
      </c>
      <c r="AH28" s="108">
        <f t="shared" si="16"/>
        <v>1.5305008951852693E-4</v>
      </c>
      <c r="AI28" s="108">
        <f t="shared" si="16"/>
        <v>1.6073831644004659E-4</v>
      </c>
      <c r="AJ28" s="108">
        <f t="shared" si="16"/>
        <v>1.6000913890084712E-4</v>
      </c>
      <c r="AK28" s="108">
        <f t="shared" si="16"/>
        <v>1.6757235366843113E-4</v>
      </c>
      <c r="AL28" s="108">
        <f t="shared" si="16"/>
        <v>1.7327174122839863E-4</v>
      </c>
      <c r="AM28" s="108">
        <f t="shared" si="16"/>
        <v>1.7996131433766326E-4</v>
      </c>
      <c r="AN28" s="108">
        <f t="shared" si="16"/>
        <v>1.7848032032070162E-4</v>
      </c>
      <c r="AO28" s="108">
        <f t="shared" si="16"/>
        <v>1.8487963591020941E-4</v>
      </c>
      <c r="AP28" s="108">
        <f t="shared" si="16"/>
        <v>2.1549577677945492E-4</v>
      </c>
      <c r="AQ28" s="108">
        <f t="shared" si="16"/>
        <v>2.2303200026465973E-4</v>
      </c>
      <c r="AR28" s="108">
        <f t="shared" si="16"/>
        <v>2.3649447735294316E-4</v>
      </c>
      <c r="AS28" s="108">
        <f t="shared" si="16"/>
        <v>2.4449762291434417E-4</v>
      </c>
      <c r="AT28" s="108">
        <f t="shared" si="16"/>
        <v>2.3489028071976132E-4</v>
      </c>
      <c r="AU28" s="108">
        <f t="shared" si="16"/>
        <v>1.1529693231831751E-3</v>
      </c>
      <c r="AV28" s="108">
        <f t="shared" si="16"/>
        <v>3.8959696847412124E-4</v>
      </c>
      <c r="AW28" s="108">
        <f t="shared" si="16"/>
        <v>8.8768867563145705E-3</v>
      </c>
      <c r="AX28" s="108">
        <f t="shared" si="16"/>
        <v>1.0018337238952771E-2</v>
      </c>
      <c r="AY28" s="108">
        <f t="shared" si="16"/>
        <v>1.1151036188129364E-2</v>
      </c>
      <c r="AZ28" s="108">
        <f t="shared" si="16"/>
        <v>1.2699108983552188E-2</v>
      </c>
      <c r="BA28" s="108">
        <f t="shared" si="16"/>
        <v>1.6773453762075639E-2</v>
      </c>
      <c r="BB28" s="108">
        <f t="shared" si="16"/>
        <v>1.5667303023802752E-2</v>
      </c>
      <c r="BC28" s="108">
        <f t="shared" si="16"/>
        <v>1.4354470735428145E-2</v>
      </c>
      <c r="BD28" s="108">
        <f t="shared" si="16"/>
        <v>1.3855619670636636E-2</v>
      </c>
      <c r="BE28" s="108">
        <f t="shared" si="16"/>
        <v>1.3990464223305889E-2</v>
      </c>
      <c r="BF28" s="108">
        <f t="shared" si="16"/>
        <v>1.4967303945932644E-2</v>
      </c>
      <c r="BG28" s="108">
        <f t="shared" si="16"/>
        <v>2.8458485166612039E-2</v>
      </c>
      <c r="BH28" s="108">
        <f t="shared" si="16"/>
        <v>4.3250907766604216E-2</v>
      </c>
      <c r="BI28" s="108">
        <f t="shared" si="16"/>
        <v>4.0642229750759699E-2</v>
      </c>
      <c r="BJ28" s="108">
        <f t="shared" si="16"/>
        <v>1.3346058169040461E-2</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572</v>
      </c>
      <c r="E29" s="107">
        <f>(E4-I4)/I4</f>
        <v>3.9235293695181979E-2</v>
      </c>
      <c r="F29" s="107">
        <f t="shared" ref="F29:BQ29" si="18">(F4-J4)/J4</f>
        <v>-2.8583297780062147E-2</v>
      </c>
      <c r="G29" s="107">
        <f t="shared" si="18"/>
        <v>-9.7514261051153586E-2</v>
      </c>
      <c r="H29" s="107">
        <f t="shared" si="18"/>
        <v>-0.35201603234775986</v>
      </c>
      <c r="I29" s="107">
        <f t="shared" si="18"/>
        <v>-0.27522195490777457</v>
      </c>
      <c r="J29" s="107">
        <f t="shared" si="18"/>
        <v>-6.6131855319666991E-2</v>
      </c>
      <c r="K29" s="107">
        <f t="shared" si="18"/>
        <v>-6.6725237812709698E-2</v>
      </c>
      <c r="L29" s="107">
        <f t="shared" si="18"/>
        <v>0.5045836281913183</v>
      </c>
      <c r="M29" s="107">
        <f t="shared" si="18"/>
        <v>0.60461676593145697</v>
      </c>
      <c r="N29" s="107">
        <f t="shared" si="18"/>
        <v>0.74709876091011229</v>
      </c>
      <c r="O29" s="107">
        <f t="shared" si="18"/>
        <v>0.55587139572321587</v>
      </c>
      <c r="P29" s="107">
        <f t="shared" si="18"/>
        <v>0.51757777661510573</v>
      </c>
      <c r="Q29" s="107">
        <f t="shared" si="18"/>
        <v>0.33989411103924871</v>
      </c>
      <c r="R29" s="107">
        <f t="shared" si="18"/>
        <v>0.14914119992769495</v>
      </c>
      <c r="S29" s="107">
        <f t="shared" si="18"/>
        <v>9.4551059436862289E-2</v>
      </c>
      <c r="T29" s="107">
        <f t="shared" si="18"/>
        <v>0.12697787889576126</v>
      </c>
      <c r="U29" s="107">
        <f t="shared" si="18"/>
        <v>3.1597898388941503E-2</v>
      </c>
      <c r="V29" s="107">
        <f t="shared" si="18"/>
        <v>-7.3042621199706087E-2</v>
      </c>
      <c r="W29" s="107">
        <f t="shared" si="18"/>
        <v>-0.1759712870216216</v>
      </c>
      <c r="X29" s="107">
        <f t="shared" si="18"/>
        <v>-0.31160378352372403</v>
      </c>
      <c r="Y29" s="107">
        <f t="shared" si="18"/>
        <v>-0.22627413866522539</v>
      </c>
      <c r="Z29" s="107">
        <f t="shared" si="18"/>
        <v>-0.17496728753240454</v>
      </c>
      <c r="AA29" s="107">
        <f t="shared" si="18"/>
        <v>0.1092614494340524</v>
      </c>
      <c r="AB29" s="107">
        <f t="shared" si="18"/>
        <v>0.36028543983582573</v>
      </c>
      <c r="AC29" s="107">
        <f t="shared" si="18"/>
        <v>0.47321535065091752</v>
      </c>
      <c r="AD29" s="107">
        <f t="shared" si="18"/>
        <v>0.45536581836755624</v>
      </c>
      <c r="AE29" s="107">
        <f t="shared" si="18"/>
        <v>0.26667581578309818</v>
      </c>
      <c r="AF29" s="107">
        <f t="shared" si="18"/>
        <v>0.41557667499566558</v>
      </c>
      <c r="AG29" s="107">
        <f t="shared" si="18"/>
        <v>0.73735497716277953</v>
      </c>
      <c r="AH29" s="107">
        <f t="shared" si="18"/>
        <v>0.85167855858349739</v>
      </c>
      <c r="AI29" s="107">
        <f t="shared" si="18"/>
        <v>1.0273576732675063</v>
      </c>
      <c r="AJ29" s="107">
        <f t="shared" si="18"/>
        <v>0.6148429192811744</v>
      </c>
      <c r="AK29" s="107">
        <f t="shared" si="18"/>
        <v>5.4216557575244011E-2</v>
      </c>
      <c r="AL29" s="107">
        <f t="shared" si="18"/>
        <v>-0.20491958481247258</v>
      </c>
      <c r="AM29" s="107">
        <f t="shared" si="18"/>
        <v>-0.24964438955878426</v>
      </c>
      <c r="AN29" s="107">
        <f t="shared" si="18"/>
        <v>-5.1923445063045581E-2</v>
      </c>
      <c r="AO29" s="107">
        <f t="shared" si="18"/>
        <v>0.70474902181519161</v>
      </c>
      <c r="AP29" s="107">
        <f t="shared" si="18"/>
        <v>0.23523402101033913</v>
      </c>
      <c r="AQ29" s="107">
        <f t="shared" si="18"/>
        <v>0.62108334582424984</v>
      </c>
      <c r="AR29" s="107">
        <f t="shared" si="18"/>
        <v>0.25137101553824437</v>
      </c>
      <c r="AS29" s="107">
        <f t="shared" si="18"/>
        <v>0.62192540752238978</v>
      </c>
      <c r="AT29" s="107">
        <f t="shared" si="18"/>
        <v>0.22580148984227727</v>
      </c>
      <c r="AU29" s="107">
        <f t="shared" si="18"/>
        <v>2.1888763700515151E-2</v>
      </c>
      <c r="AV29" s="107">
        <f t="shared" si="18"/>
        <v>8.2843917379549173E-2</v>
      </c>
      <c r="AW29" s="107">
        <f t="shared" si="18"/>
        <v>-0.11929840521450069</v>
      </c>
      <c r="AX29" s="107">
        <f t="shared" si="18"/>
        <v>5.0177244511955037E-2</v>
      </c>
      <c r="AY29" s="107">
        <f t="shared" si="18"/>
        <v>7.2671654471329825E-2</v>
      </c>
      <c r="AZ29" s="107">
        <f t="shared" si="18"/>
        <v>0.1955486410204757</v>
      </c>
      <c r="BA29" s="107">
        <f t="shared" si="18"/>
        <v>0.26945598228043621</v>
      </c>
      <c r="BB29" s="107">
        <f t="shared" si="18"/>
        <v>0.73777829680529305</v>
      </c>
      <c r="BC29" s="107">
        <f t="shared" si="18"/>
        <v>0.27082454739386375</v>
      </c>
      <c r="BD29" s="107">
        <f t="shared" si="18"/>
        <v>0.66743742316950294</v>
      </c>
      <c r="BE29" s="107">
        <f t="shared" si="18"/>
        <v>0.24813208540090217</v>
      </c>
      <c r="BF29" s="107">
        <f t="shared" si="18"/>
        <v>0.99669999460425152</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556</v>
      </c>
      <c r="E30" s="107">
        <f>(E5-I5)/I5</f>
        <v>0.15011994472718679</v>
      </c>
      <c r="F30" s="107">
        <f t="shared" ref="F30:BQ30" si="20">(F5-J5)/J5</f>
        <v>0.16450602609705606</v>
      </c>
      <c r="G30" s="107">
        <f t="shared" si="20"/>
        <v>-7.6217649821650635E-2</v>
      </c>
      <c r="H30" s="107">
        <f t="shared" si="20"/>
        <v>-1.4785902098292083E-2</v>
      </c>
      <c r="I30" s="107">
        <f t="shared" si="20"/>
        <v>6.2428718414499304E-2</v>
      </c>
      <c r="J30" s="107">
        <f t="shared" si="20"/>
        <v>2.5843732443789524E-2</v>
      </c>
      <c r="K30" s="107">
        <f t="shared" si="20"/>
        <v>0.18888893071079152</v>
      </c>
      <c r="L30" s="107">
        <f t="shared" si="20"/>
        <v>0.2265433934993327</v>
      </c>
      <c r="M30" s="107">
        <f t="shared" si="20"/>
        <v>0.236001201848376</v>
      </c>
      <c r="N30" s="107">
        <f t="shared" si="20"/>
        <v>0.35719140541765465</v>
      </c>
      <c r="O30" s="107">
        <f t="shared" si="20"/>
        <v>0.32502221411363663</v>
      </c>
      <c r="P30" s="107">
        <f t="shared" si="20"/>
        <v>0.32939704834693662</v>
      </c>
      <c r="Q30" s="107">
        <f t="shared" si="20"/>
        <v>0.23267774951460354</v>
      </c>
      <c r="R30" s="107">
        <f t="shared" si="20"/>
        <v>0.1944128477203792</v>
      </c>
      <c r="S30" s="107">
        <f t="shared" si="20"/>
        <v>0.18113831432754463</v>
      </c>
      <c r="T30" s="107">
        <f t="shared" si="20"/>
        <v>0.21959484626830755</v>
      </c>
      <c r="U30" s="107">
        <f t="shared" si="20"/>
        <v>0.17738517461275938</v>
      </c>
      <c r="V30" s="107">
        <f t="shared" si="20"/>
        <v>0.15136236841126938</v>
      </c>
      <c r="W30" s="107">
        <f t="shared" si="20"/>
        <v>0.11553910906503115</v>
      </c>
      <c r="X30" s="107">
        <f t="shared" si="20"/>
        <v>-9.0038378481734863E-2</v>
      </c>
      <c r="Y30" s="107">
        <f t="shared" si="20"/>
        <v>-1.0176053769962119E-2</v>
      </c>
      <c r="Z30" s="107">
        <f t="shared" si="20"/>
        <v>-9.1110694524784333E-2</v>
      </c>
      <c r="AA30" s="107">
        <f t="shared" si="20"/>
        <v>-3.9278971194660159E-2</v>
      </c>
      <c r="AB30" s="107">
        <f t="shared" si="20"/>
        <v>0.18777058716361092</v>
      </c>
      <c r="AC30" s="107">
        <f t="shared" si="20"/>
        <v>0.25147536257633335</v>
      </c>
      <c r="AD30" s="107">
        <f t="shared" si="20"/>
        <v>0.36172702099400922</v>
      </c>
      <c r="AE30" s="107">
        <f t="shared" si="20"/>
        <v>0.33126912314899903</v>
      </c>
      <c r="AF30" s="107">
        <f t="shared" si="20"/>
        <v>0.30209843393795688</v>
      </c>
      <c r="AG30" s="107">
        <f t="shared" si="20"/>
        <v>0.49860218274352019</v>
      </c>
      <c r="AH30" s="107">
        <f t="shared" si="20"/>
        <v>0.49758695579983209</v>
      </c>
      <c r="AI30" s="107">
        <f t="shared" si="20"/>
        <v>0.74953758372345947</v>
      </c>
      <c r="AJ30" s="107">
        <f t="shared" si="20"/>
        <v>0.54694506800204146</v>
      </c>
      <c r="AK30" s="107">
        <f t="shared" si="20"/>
        <v>0.43098855465375741</v>
      </c>
      <c r="AL30" s="107">
        <f t="shared" si="20"/>
        <v>2.9533683820001114E-2</v>
      </c>
      <c r="AM30" s="107">
        <f t="shared" si="20"/>
        <v>-0.10382717042703664</v>
      </c>
      <c r="AN30" s="107">
        <f t="shared" si="20"/>
        <v>3.9800233104553672E-3</v>
      </c>
      <c r="AO30" s="107">
        <f t="shared" si="20"/>
        <v>0.16152846705734877</v>
      </c>
      <c r="AP30" s="107">
        <f t="shared" si="20"/>
        <v>0.25184025723362535</v>
      </c>
      <c r="AQ30" s="107">
        <f t="shared" si="20"/>
        <v>0.29720694826641297</v>
      </c>
      <c r="AR30" s="107">
        <f t="shared" si="20"/>
        <v>0.16905667756841269</v>
      </c>
      <c r="AS30" s="107">
        <f t="shared" si="20"/>
        <v>0.2874600920482796</v>
      </c>
      <c r="AT30" s="107">
        <f t="shared" si="20"/>
        <v>0.12727919002502022</v>
      </c>
      <c r="AU30" s="107">
        <f t="shared" si="20"/>
        <v>7.486249229027403E-2</v>
      </c>
      <c r="AV30" s="107">
        <f t="shared" si="20"/>
        <v>0.195826316528878</v>
      </c>
      <c r="AW30" s="107">
        <f t="shared" si="20"/>
        <v>0.19528885782947097</v>
      </c>
      <c r="AX30" s="107">
        <f t="shared" si="20"/>
        <v>0.17908339960463018</v>
      </c>
      <c r="AY30" s="107">
        <f t="shared" si="20"/>
        <v>0.24699063807910715</v>
      </c>
      <c r="AZ30" s="107">
        <f t="shared" si="20"/>
        <v>0.28165885729613638</v>
      </c>
      <c r="BA30" s="107">
        <f t="shared" si="20"/>
        <v>0.35789571038645829</v>
      </c>
      <c r="BB30" s="107">
        <f t="shared" si="20"/>
        <v>0.53219984513314667</v>
      </c>
      <c r="BC30" s="107">
        <f t="shared" si="20"/>
        <v>0.4330598345537317</v>
      </c>
      <c r="BD30" s="107">
        <f t="shared" si="20"/>
        <v>0.76344728029396991</v>
      </c>
      <c r="BE30" s="107">
        <f t="shared" si="20"/>
        <v>0.6126429825168227</v>
      </c>
      <c r="BF30" s="107">
        <f t="shared" si="20"/>
        <v>1.4062241172104097</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557</v>
      </c>
      <c r="E31" s="107">
        <f>(E6-I6)/I6</f>
        <v>0.20462606368377714</v>
      </c>
      <c r="F31" s="107">
        <f t="shared" ref="F31:BQ31" si="22">(F6-J6)/J6</f>
        <v>0.29029081091973341</v>
      </c>
      <c r="G31" s="107">
        <f t="shared" si="22"/>
        <v>-6.4483982831970765E-2</v>
      </c>
      <c r="H31" s="107">
        <f t="shared" si="22"/>
        <v>0.36835796742041993</v>
      </c>
      <c r="I31" s="107">
        <f t="shared" si="22"/>
        <v>0.37798884200535865</v>
      </c>
      <c r="J31" s="107">
        <f t="shared" si="22"/>
        <v>9.617297681791577E-2</v>
      </c>
      <c r="K31" s="107">
        <f t="shared" si="22"/>
        <v>0.400180793941593</v>
      </c>
      <c r="L31" s="107">
        <f t="shared" si="22"/>
        <v>1.3709681471896318E-2</v>
      </c>
      <c r="M31" s="107">
        <f t="shared" si="22"/>
        <v>1.7542479611505644E-2</v>
      </c>
      <c r="N31" s="107">
        <f t="shared" si="22"/>
        <v>0.15934815945258915</v>
      </c>
      <c r="O31" s="107">
        <f t="shared" si="22"/>
        <v>0.18026743308997928</v>
      </c>
      <c r="P31" s="107">
        <f t="shared" si="22"/>
        <v>0.2141501228907951</v>
      </c>
      <c r="Q31" s="107">
        <f t="shared" si="22"/>
        <v>0.17686751070006021</v>
      </c>
      <c r="R31" s="107">
        <f t="shared" si="22"/>
        <v>0.21877617865874377</v>
      </c>
      <c r="S31" s="107">
        <f t="shared" si="22"/>
        <v>0.24278631335363784</v>
      </c>
      <c r="T31" s="107">
        <f t="shared" si="22"/>
        <v>0.28423053174333468</v>
      </c>
      <c r="U31" s="107">
        <f t="shared" si="22"/>
        <v>0.27087511086438631</v>
      </c>
      <c r="V31" s="107">
        <f t="shared" si="22"/>
        <v>0.32383352721930242</v>
      </c>
      <c r="W31" s="107">
        <f t="shared" si="22"/>
        <v>0.49110361317863704</v>
      </c>
      <c r="X31" s="107">
        <f t="shared" si="22"/>
        <v>0.17356613942739926</v>
      </c>
      <c r="Y31" s="107">
        <f t="shared" si="22"/>
        <v>0.20578711145827838</v>
      </c>
      <c r="Z31" s="107">
        <f t="shared" si="22"/>
        <v>-1.4093874669769255E-2</v>
      </c>
      <c r="AA31" s="107">
        <f t="shared" si="22"/>
        <v>-0.1806361918725625</v>
      </c>
      <c r="AB31" s="107">
        <f t="shared" si="22"/>
        <v>3.2049362594371661E-2</v>
      </c>
      <c r="AC31" s="107">
        <f t="shared" si="22"/>
        <v>8.7841830491316011E-2</v>
      </c>
      <c r="AD31" s="107">
        <f t="shared" si="22"/>
        <v>0.28574895984921006</v>
      </c>
      <c r="AE31" s="107">
        <f t="shared" si="22"/>
        <v>0.39916843793648549</v>
      </c>
      <c r="AF31" s="107">
        <f t="shared" si="22"/>
        <v>0.21423592619548965</v>
      </c>
      <c r="AG31" s="107">
        <f t="shared" si="22"/>
        <v>0.36061941577010881</v>
      </c>
      <c r="AH31" s="107">
        <f t="shared" si="22"/>
        <v>0.29643143262797766</v>
      </c>
      <c r="AI31" s="107">
        <f t="shared" si="22"/>
        <v>0.52925017246632688</v>
      </c>
      <c r="AJ31" s="107">
        <f t="shared" si="22"/>
        <v>0.49817217977144196</v>
      </c>
      <c r="AK31" s="107">
        <f t="shared" si="22"/>
        <v>0.80350183358882232</v>
      </c>
      <c r="AL31" s="107">
        <f t="shared" si="22"/>
        <v>0.23670388914531301</v>
      </c>
      <c r="AM31" s="107">
        <f t="shared" si="22"/>
        <v>5.941565189551589E-2</v>
      </c>
      <c r="AN31" s="107">
        <f t="shared" si="22"/>
        <v>4.8385741211331587E-2</v>
      </c>
      <c r="AO31" s="107">
        <f t="shared" si="22"/>
        <v>-0.11674168281034894</v>
      </c>
      <c r="AP31" s="107">
        <f t="shared" si="22"/>
        <v>0.26689009829145455</v>
      </c>
      <c r="AQ31" s="107">
        <f t="shared" si="22"/>
        <v>6.0099200154722261E-2</v>
      </c>
      <c r="AR31" s="107">
        <f t="shared" si="22"/>
        <v>0.11100617129022353</v>
      </c>
      <c r="AS31" s="107">
        <f t="shared" si="22"/>
        <v>0.16445237236957658</v>
      </c>
      <c r="AT31" s="107">
        <f t="shared" si="22"/>
        <v>5.0742217382406238E-2</v>
      </c>
      <c r="AU31" s="107">
        <f t="shared" si="22"/>
        <v>0.11726378384028111</v>
      </c>
      <c r="AV31" s="107">
        <f t="shared" si="22"/>
        <v>0.29080734817929227</v>
      </c>
      <c r="AW31" s="107">
        <f t="shared" si="22"/>
        <v>0.37606091097165434</v>
      </c>
      <c r="AX31" s="107">
        <f t="shared" si="22"/>
        <v>0.30336721672587835</v>
      </c>
      <c r="AY31" s="107">
        <f t="shared" si="22"/>
        <v>0.43344742336549846</v>
      </c>
      <c r="AZ31" s="107">
        <f t="shared" si="22"/>
        <v>0.36426498258135093</v>
      </c>
      <c r="BA31" s="107">
        <f t="shared" si="22"/>
        <v>0.41452356314279665</v>
      </c>
      <c r="BB31" s="107">
        <f t="shared" si="22"/>
        <v>0.37533272386288646</v>
      </c>
      <c r="BC31" s="107">
        <f t="shared" si="22"/>
        <v>0.65969150811909005</v>
      </c>
      <c r="BD31" s="107">
        <f t="shared" si="22"/>
        <v>0.86654833079322879</v>
      </c>
      <c r="BE31" s="107">
        <f t="shared" si="22"/>
        <v>0.98356130973948519</v>
      </c>
      <c r="BF31" s="107">
        <f t="shared" si="22"/>
        <v>1.8526745341039799</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559</v>
      </c>
      <c r="E32" s="108">
        <f>(E7-I7)/I7</f>
        <v>7.8801489330802291E-2</v>
      </c>
      <c r="F32" s="108">
        <f t="shared" ref="F32:BQ32" si="24">(F7-J7)/J7</f>
        <v>6.6006030630219079E-2</v>
      </c>
      <c r="G32" s="108">
        <f t="shared" si="24"/>
        <v>4.1866738317097973E-2</v>
      </c>
      <c r="H32" s="108">
        <f t="shared" si="24"/>
        <v>2.9553051666508741E-2</v>
      </c>
      <c r="I32" s="108">
        <f t="shared" si="24"/>
        <v>-5.1886388567538833E-4</v>
      </c>
      <c r="J32" s="108">
        <f t="shared" si="24"/>
        <v>-2.0111439710284416E-2</v>
      </c>
      <c r="K32" s="108">
        <f t="shared" si="24"/>
        <v>-2.2242594029126251E-2</v>
      </c>
      <c r="L32" s="108">
        <f t="shared" si="24"/>
        <v>-3.2011376158859663E-2</v>
      </c>
      <c r="M32" s="108">
        <f t="shared" si="24"/>
        <v>-2.2287600715101802E-2</v>
      </c>
      <c r="N32" s="108">
        <f t="shared" si="24"/>
        <v>4.1310621952112603E-2</v>
      </c>
      <c r="O32" s="108">
        <f t="shared" si="24"/>
        <v>7.0724990333273716E-2</v>
      </c>
      <c r="P32" s="108">
        <f t="shared" si="24"/>
        <v>9.0864481889821547E-2</v>
      </c>
      <c r="Q32" s="108">
        <f t="shared" si="24"/>
        <v>5.0607363148766668E-2</v>
      </c>
      <c r="R32" s="108">
        <f t="shared" si="24"/>
        <v>4.8201031144767807E-2</v>
      </c>
      <c r="S32" s="108">
        <f t="shared" si="24"/>
        <v>4.2236908869941761E-2</v>
      </c>
      <c r="T32" s="108">
        <f t="shared" si="24"/>
        <v>3.0719466761994697E-2</v>
      </c>
      <c r="U32" s="108">
        <f t="shared" si="24"/>
        <v>2.1075210702905182E-2</v>
      </c>
      <c r="V32" s="108">
        <f t="shared" si="24"/>
        <v>9.8965037208235823E-3</v>
      </c>
      <c r="W32" s="108">
        <f t="shared" si="24"/>
        <v>-1.679413897067417E-2</v>
      </c>
      <c r="X32" s="108">
        <f t="shared" si="24"/>
        <v>-1.1029078690146422E-2</v>
      </c>
      <c r="Y32" s="108">
        <f t="shared" si="24"/>
        <v>8.415343087342932E-3</v>
      </c>
      <c r="Z32" s="108">
        <f t="shared" si="24"/>
        <v>2.3412819952129273E-2</v>
      </c>
      <c r="AA32" s="108">
        <f t="shared" si="24"/>
        <v>5.9346725324938565E-2</v>
      </c>
      <c r="AB32" s="108">
        <f t="shared" si="24"/>
        <v>9.7878771153072988E-2</v>
      </c>
      <c r="AC32" s="108">
        <f t="shared" si="24"/>
        <v>0.1053796664539294</v>
      </c>
      <c r="AD32" s="108">
        <f t="shared" si="24"/>
        <v>0.17860597726253158</v>
      </c>
      <c r="AE32" s="108">
        <f t="shared" si="24"/>
        <v>0.20259758888409241</v>
      </c>
      <c r="AF32" s="108">
        <f t="shared" si="24"/>
        <v>0.21397983672521662</v>
      </c>
      <c r="AG32" s="108">
        <f t="shared" si="24"/>
        <v>0.2155179185563697</v>
      </c>
      <c r="AH32" s="108">
        <f t="shared" si="24"/>
        <v>0.20115616986950441</v>
      </c>
      <c r="AI32" s="108">
        <f t="shared" si="24"/>
        <v>0.19641328667270525</v>
      </c>
      <c r="AJ32" s="108">
        <f t="shared" si="24"/>
        <v>0.16959128522339134</v>
      </c>
      <c r="AK32" s="108">
        <f t="shared" si="24"/>
        <v>0.16169215609174917</v>
      </c>
      <c r="AL32" s="108">
        <f t="shared" si="24"/>
        <v>8.0752793600879849E-2</v>
      </c>
      <c r="AM32" s="108">
        <f t="shared" si="24"/>
        <v>9.4625717733732004E-2</v>
      </c>
      <c r="AN32" s="108">
        <f t="shared" si="24"/>
        <v>7.9898440766040343E-2</v>
      </c>
      <c r="AO32" s="108">
        <f t="shared" si="24"/>
        <v>6.251424586769995E-2</v>
      </c>
      <c r="AP32" s="108">
        <f t="shared" si="24"/>
        <v>0.15025109302648454</v>
      </c>
      <c r="AQ32" s="108">
        <f t="shared" si="24"/>
        <v>0.10550267348176977</v>
      </c>
      <c r="AR32" s="108">
        <f t="shared" si="24"/>
        <v>0.25293840452676758</v>
      </c>
      <c r="AS32" s="108">
        <f t="shared" si="24"/>
        <v>0.24114847001299169</v>
      </c>
      <c r="AT32" s="108">
        <f t="shared" si="24"/>
        <v>0.19531141220261997</v>
      </c>
      <c r="AU32" s="108">
        <f t="shared" si="24"/>
        <v>0.16950265268652256</v>
      </c>
      <c r="AV32" s="108">
        <f t="shared" si="24"/>
        <v>0.13902159006995507</v>
      </c>
      <c r="AW32" s="108">
        <f t="shared" si="24"/>
        <v>0.14890691534541475</v>
      </c>
      <c r="AX32" s="108">
        <f t="shared" si="24"/>
        <v>0.17063582701274765</v>
      </c>
      <c r="AY32" s="108">
        <f t="shared" si="24"/>
        <v>0.1995409124601108</v>
      </c>
      <c r="AZ32" s="108">
        <f t="shared" si="24"/>
        <v>8.3112083930730607E-2</v>
      </c>
      <c r="BA32" s="108">
        <f t="shared" si="24"/>
        <v>0.11065457159268127</v>
      </c>
      <c r="BB32" s="108">
        <f t="shared" si="24"/>
        <v>0.30029862144566644</v>
      </c>
      <c r="BC32" s="108">
        <f t="shared" si="24"/>
        <v>0.7645716174381133</v>
      </c>
      <c r="BD32" s="108">
        <f t="shared" si="24"/>
        <v>1.2865612311483197</v>
      </c>
      <c r="BE32" s="108">
        <f t="shared" si="24"/>
        <v>1.8953241804672554</v>
      </c>
      <c r="BF32" s="108">
        <f t="shared" si="24"/>
        <v>2.6775953329544859</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566</v>
      </c>
      <c r="E33" s="108">
        <f>E7/E9</f>
        <v>0.26700741383973042</v>
      </c>
      <c r="F33" s="108">
        <f t="shared" ref="F33:BQ33" si="26">F7/F9</f>
        <v>0.28528225142000374</v>
      </c>
      <c r="G33" s="108">
        <f t="shared" si="26"/>
        <v>0.29584499176034323</v>
      </c>
      <c r="H33" s="108">
        <f t="shared" si="26"/>
        <v>0.27865504799572954</v>
      </c>
      <c r="I33" s="108">
        <f t="shared" si="26"/>
        <v>0.28264737345525998</v>
      </c>
      <c r="J33" s="108">
        <f t="shared" si="26"/>
        <v>0.31548869354312109</v>
      </c>
      <c r="K33" s="108">
        <f t="shared" si="26"/>
        <v>0.33777315872695785</v>
      </c>
      <c r="L33" s="108">
        <f t="shared" si="26"/>
        <v>0.25233077024347039</v>
      </c>
      <c r="M33" s="108">
        <f t="shared" si="26"/>
        <v>0.25755728702567265</v>
      </c>
      <c r="N33" s="108">
        <f t="shared" si="26"/>
        <v>0.28695362325365864</v>
      </c>
      <c r="O33" s="108">
        <f t="shared" si="26"/>
        <v>0.30546189540794588</v>
      </c>
      <c r="P33" s="108">
        <f t="shared" si="26"/>
        <v>0.30369893147577404</v>
      </c>
      <c r="Q33" s="108">
        <f t="shared" si="26"/>
        <v>0.30767669562872596</v>
      </c>
      <c r="R33" s="108">
        <f t="shared" si="26"/>
        <v>0.31950650758487259</v>
      </c>
      <c r="S33" s="108">
        <f t="shared" si="26"/>
        <v>0.32763394783272576</v>
      </c>
      <c r="T33" s="108">
        <f t="shared" si="26"/>
        <v>0.31993360705570117</v>
      </c>
      <c r="U33" s="108">
        <f t="shared" si="26"/>
        <v>0.33537011737244887</v>
      </c>
      <c r="V33" s="108">
        <f t="shared" si="26"/>
        <v>0.33994203612676299</v>
      </c>
      <c r="W33" s="108">
        <f t="shared" si="26"/>
        <v>0.35000881286458418</v>
      </c>
      <c r="X33" s="108">
        <f t="shared" si="26"/>
        <v>0.34420778206705488</v>
      </c>
      <c r="Y33" s="108">
        <f t="shared" si="26"/>
        <v>0.36260529082808379</v>
      </c>
      <c r="Z33" s="108">
        <f t="shared" si="26"/>
        <v>0.3799596041667927</v>
      </c>
      <c r="AA33" s="108">
        <f t="shared" si="26"/>
        <v>0.39459786483038617</v>
      </c>
      <c r="AB33" s="108">
        <f t="shared" si="26"/>
        <v>0.38530250486316459</v>
      </c>
      <c r="AC33" s="108">
        <f t="shared" si="26"/>
        <v>0.39449610007680741</v>
      </c>
      <c r="AD33" s="108">
        <f t="shared" si="26"/>
        <v>0.40729774265902047</v>
      </c>
      <c r="AE33" s="108">
        <f t="shared" si="26"/>
        <v>0.41563428199035379</v>
      </c>
      <c r="AF33" s="108">
        <f t="shared" si="26"/>
        <v>0.39208822622956768</v>
      </c>
      <c r="AG33" s="108">
        <f t="shared" si="26"/>
        <v>0.40351939326845038</v>
      </c>
      <c r="AH33" s="108">
        <f t="shared" si="26"/>
        <v>0.39109774651205848</v>
      </c>
      <c r="AI33" s="108">
        <f t="shared" si="26"/>
        <v>0.3919149760646593</v>
      </c>
      <c r="AJ33" s="108">
        <f t="shared" si="26"/>
        <v>0.37263924220513012</v>
      </c>
      <c r="AK33" s="108">
        <f t="shared" si="26"/>
        <v>0.38060019306939974</v>
      </c>
      <c r="AL33" s="108">
        <f t="shared" si="26"/>
        <v>0.36862092865138113</v>
      </c>
      <c r="AM33" s="108">
        <f t="shared" si="26"/>
        <v>0.36675021151042009</v>
      </c>
      <c r="AN33" s="108">
        <f t="shared" si="26"/>
        <v>0.35538575266293954</v>
      </c>
      <c r="AO33" s="108">
        <f t="shared" si="26"/>
        <v>0.36146367091562343</v>
      </c>
      <c r="AP33" s="108">
        <f t="shared" si="26"/>
        <v>0.38226396904750815</v>
      </c>
      <c r="AQ33" s="108">
        <f t="shared" si="26"/>
        <v>0.37418938863460754</v>
      </c>
      <c r="AR33" s="108">
        <f t="shared" si="26"/>
        <v>0.39295831664152842</v>
      </c>
      <c r="AS33" s="108">
        <f t="shared" si="26"/>
        <v>0.40542840804310637</v>
      </c>
      <c r="AT33" s="108">
        <f t="shared" si="26"/>
        <v>0.34228479201599638</v>
      </c>
      <c r="AU33" s="108">
        <f t="shared" si="26"/>
        <v>0.52844380568702587</v>
      </c>
      <c r="AV33" s="108">
        <f t="shared" si="26"/>
        <v>0.46294625267632605</v>
      </c>
      <c r="AW33" s="108">
        <f t="shared" si="26"/>
        <v>0.49565340155066384</v>
      </c>
      <c r="AX33" s="108">
        <f t="shared" si="26"/>
        <v>0.51602343280177798</v>
      </c>
      <c r="AY33" s="108">
        <f t="shared" si="26"/>
        <v>0.49354118471021902</v>
      </c>
      <c r="AZ33" s="108">
        <f t="shared" si="26"/>
        <v>0.47906677081912613</v>
      </c>
      <c r="BA33" s="108">
        <f t="shared" si="26"/>
        <v>0.51644914273866493</v>
      </c>
      <c r="BB33" s="108">
        <f t="shared" si="26"/>
        <v>0.45989321541739597</v>
      </c>
      <c r="BC33" s="108">
        <f t="shared" si="26"/>
        <v>0.43239388271868601</v>
      </c>
      <c r="BD33" s="108">
        <f t="shared" si="26"/>
        <v>0.43663671426651335</v>
      </c>
      <c r="BE33" s="108">
        <f t="shared" si="26"/>
        <v>0.41703019496709859</v>
      </c>
      <c r="BF33" s="108">
        <f t="shared" si="26"/>
        <v>0.34919532813483622</v>
      </c>
      <c r="BG33" s="108">
        <f t="shared" si="26"/>
        <v>0.46720267292179785</v>
      </c>
      <c r="BH33" s="108">
        <f t="shared" si="26"/>
        <v>0.51644363396235671</v>
      </c>
      <c r="BI33" s="108">
        <f t="shared" si="26"/>
        <v>0.51326795522665725</v>
      </c>
      <c r="BJ33" s="108">
        <f t="shared" si="26"/>
        <v>0.47158638952584331</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560</v>
      </c>
      <c r="E34" s="107" t="e">
        <f>(E10-I10)/I10</f>
        <v>#DIV/0!</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f t="shared" si="28"/>
        <v>-1</v>
      </c>
      <c r="R34" s="107" t="e">
        <f t="shared" si="28"/>
        <v>#DIV/0!</v>
      </c>
      <c r="S34" s="107" t="e">
        <f t="shared" si="28"/>
        <v>#DIV/0!</v>
      </c>
      <c r="T34" s="107" t="e">
        <f t="shared" si="28"/>
        <v>#DIV/0!</v>
      </c>
      <c r="U34" s="107">
        <f t="shared" si="28"/>
        <v>-0.91217977201252531</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f t="shared" si="28"/>
        <v>-1</v>
      </c>
      <c r="AL34" s="107" t="e">
        <f t="shared" si="28"/>
        <v>#DIV/0!</v>
      </c>
      <c r="AM34" s="107" t="e">
        <f t="shared" si="28"/>
        <v>#DIV/0!</v>
      </c>
      <c r="AN34" s="107" t="e">
        <f t="shared" si="28"/>
        <v>#DIV/0!</v>
      </c>
      <c r="AO34" s="107">
        <f t="shared" si="28"/>
        <v>-0.88209677821866184</v>
      </c>
      <c r="AP34" s="107">
        <f t="shared" si="28"/>
        <v>-1</v>
      </c>
      <c r="AQ34" s="107">
        <f t="shared" si="28"/>
        <v>-1</v>
      </c>
      <c r="AR34" s="107">
        <f t="shared" si="28"/>
        <v>-1</v>
      </c>
      <c r="AS34" s="107">
        <f t="shared" si="28"/>
        <v>-0.97310671140939597</v>
      </c>
      <c r="AT34" s="107">
        <f t="shared" si="28"/>
        <v>0.15331694729470013</v>
      </c>
      <c r="AU34" s="107">
        <f t="shared" si="28"/>
        <v>-6.4775538793103452E-2</v>
      </c>
      <c r="AV34" s="107">
        <f t="shared" si="28"/>
        <v>0.30360519137811298</v>
      </c>
      <c r="AW34" s="107">
        <f t="shared" si="28"/>
        <v>0.52337208573808014</v>
      </c>
      <c r="AX34" s="107">
        <f t="shared" si="28"/>
        <v>-4.7214880725411995E-2</v>
      </c>
      <c r="AY34" s="107">
        <f t="shared" si="28"/>
        <v>6.5409703412738912E-3</v>
      </c>
      <c r="AZ34" s="107">
        <f t="shared" si="28"/>
        <v>-0.10233838437779175</v>
      </c>
      <c r="BA34" s="107">
        <f t="shared" si="28"/>
        <v>-0.38480232707084455</v>
      </c>
      <c r="BB34" s="107">
        <f t="shared" si="28"/>
        <v>-0.24752054467594223</v>
      </c>
      <c r="BC34" s="107">
        <f t="shared" si="28"/>
        <v>0.21329402422303526</v>
      </c>
      <c r="BD34" s="107">
        <f t="shared" si="28"/>
        <v>0.5358017014671862</v>
      </c>
      <c r="BE34" s="107">
        <f t="shared" si="28"/>
        <v>1.8959835572037587</v>
      </c>
      <c r="BF34" s="107">
        <f t="shared" si="28"/>
        <v>5.3730635098275865</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564</v>
      </c>
      <c r="E35" s="107" t="e">
        <f>E10/E12</f>
        <v>#DIV/0!</v>
      </c>
      <c r="F35" s="107" t="e">
        <f t="shared" ref="F35:BQ35" si="30">F10/F12</f>
        <v>#DIV/0!</v>
      </c>
      <c r="G35" s="107" t="e">
        <f t="shared" si="30"/>
        <v>#DIV/0!</v>
      </c>
      <c r="H35" s="107" t="e">
        <f t="shared" si="30"/>
        <v>#DIV/0!</v>
      </c>
      <c r="I35" s="107" t="e">
        <f t="shared" si="30"/>
        <v>#DIV/0!</v>
      </c>
      <c r="J35" s="107" t="e">
        <f t="shared" si="30"/>
        <v>#DIV/0!</v>
      </c>
      <c r="K35" s="107" t="e">
        <f t="shared" si="30"/>
        <v>#DIV/0!</v>
      </c>
      <c r="L35" s="107" t="e">
        <f t="shared" si="30"/>
        <v>#DIV/0!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f t="shared" si="30"/>
        <v>1</v>
      </c>
      <c r="V35" s="107" t="e">
        <f t="shared" si="30"/>
        <v>#DIV/0!</v>
      </c>
      <c r="W35" s="107" t="e">
        <f t="shared" si="30"/>
        <v>#DIV/0!</v>
      </c>
      <c r="X35" s="107" t="e">
        <f t="shared" si="30"/>
        <v>#DIV/0!</v>
      </c>
      <c r="Y35" s="107">
        <f t="shared" si="30"/>
        <v>1</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f t="shared" si="30"/>
        <v>1</v>
      </c>
      <c r="AP35" s="107" t="e">
        <f t="shared" si="30"/>
        <v>#DIV/0!</v>
      </c>
      <c r="AQ35" s="107" t="e">
        <f t="shared" si="30"/>
        <v>#DIV/0!</v>
      </c>
      <c r="AR35" s="107" t="e">
        <f t="shared" si="30"/>
        <v>#DIV/0!</v>
      </c>
      <c r="AS35" s="107">
        <f t="shared" si="30"/>
        <v>1</v>
      </c>
      <c r="AT35" s="107">
        <f t="shared" si="30"/>
        <v>1</v>
      </c>
      <c r="AU35" s="107">
        <f t="shared" si="30"/>
        <v>1</v>
      </c>
      <c r="AV35" s="107">
        <f t="shared" si="30"/>
        <v>1</v>
      </c>
      <c r="AW35" s="107">
        <f t="shared" si="30"/>
        <v>1</v>
      </c>
      <c r="AX35" s="107">
        <f t="shared" si="30"/>
        <v>1</v>
      </c>
      <c r="AY35" s="107">
        <f t="shared" si="30"/>
        <v>1</v>
      </c>
      <c r="AZ35" s="107">
        <f t="shared" si="30"/>
        <v>1</v>
      </c>
      <c r="BA35" s="107">
        <f t="shared" si="30"/>
        <v>1</v>
      </c>
      <c r="BB35" s="107">
        <f t="shared" si="30"/>
        <v>0.93291849297578877</v>
      </c>
      <c r="BC35" s="107">
        <f t="shared" si="30"/>
        <v>0.94531612582922953</v>
      </c>
      <c r="BD35" s="107">
        <f t="shared" si="30"/>
        <v>0.82855192385114496</v>
      </c>
      <c r="BE35" s="107">
        <f t="shared" si="30"/>
        <v>0.8457352081312578</v>
      </c>
      <c r="BF35" s="107">
        <f t="shared" si="30"/>
        <v>0.86437116692849647</v>
      </c>
      <c r="BG35" s="107">
        <f t="shared" si="30"/>
        <v>0.83088336474233571</v>
      </c>
      <c r="BH35" s="107">
        <f t="shared" si="30"/>
        <v>0.90123807139895973</v>
      </c>
      <c r="BI35" s="107">
        <f t="shared" si="30"/>
        <v>0.73258607049665359</v>
      </c>
      <c r="BJ35" s="107">
        <f t="shared" si="30"/>
        <v>0.64944320940451383</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561</v>
      </c>
      <c r="E36" s="107" t="e">
        <f>(E11-I11)/I11</f>
        <v>#DIV/0!</v>
      </c>
      <c r="F36" s="107" t="e">
        <f t="shared" ref="F36:BQ36" si="32">(F11-J11)/J11</f>
        <v>#DIV/0!</v>
      </c>
      <c r="G36" s="107" t="e">
        <f t="shared" si="32"/>
        <v>#DIV/0!</v>
      </c>
      <c r="H36" s="107" t="e">
        <f t="shared" si="32"/>
        <v>#DIV/0!</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f t="shared" si="32"/>
        <v>-1</v>
      </c>
      <c r="AY36" s="107">
        <f t="shared" si="32"/>
        <v>-1</v>
      </c>
      <c r="AZ36" s="107">
        <f t="shared" si="32"/>
        <v>-1</v>
      </c>
      <c r="BA36" s="107">
        <f t="shared" si="32"/>
        <v>-1</v>
      </c>
      <c r="BB36" s="107">
        <f t="shared" si="32"/>
        <v>-0.65517241379310343</v>
      </c>
      <c r="BC36" s="107">
        <f t="shared" si="32"/>
        <v>-0.65517241379310343</v>
      </c>
      <c r="BD36" s="107">
        <f t="shared" si="32"/>
        <v>1.9</v>
      </c>
      <c r="BE36" s="107">
        <f t="shared" si="32"/>
        <v>0.44711528060397376</v>
      </c>
      <c r="BF36" s="107">
        <f t="shared" si="32"/>
        <v>0.8526048469958698</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565</v>
      </c>
      <c r="B37" s="107"/>
      <c r="C37" s="107"/>
      <c r="D37" s="107"/>
      <c r="E37" s="107" t="e">
        <f>E11/E12</f>
        <v>#DIV/0!</v>
      </c>
      <c r="F37" s="107" t="e">
        <f t="shared" ref="F37:BQ37" si="34">F11/F12</f>
        <v>#DIV/0!</v>
      </c>
      <c r="G37" s="107" t="e">
        <f t="shared" si="34"/>
        <v>#DIV/0!</v>
      </c>
      <c r="H37" s="107" t="e">
        <f t="shared" si="34"/>
        <v>#DIV/0!</v>
      </c>
      <c r="I37" s="107" t="e">
        <f t="shared" si="34"/>
        <v>#DIV/0!</v>
      </c>
      <c r="J37" s="107" t="e">
        <f t="shared" si="34"/>
        <v>#DIV/0!</v>
      </c>
      <c r="K37" s="107" t="e">
        <f t="shared" si="34"/>
        <v>#DIV/0!</v>
      </c>
      <c r="L37" s="107" t="e">
        <f t="shared" si="34"/>
        <v>#DIV/0!</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f t="shared" si="34"/>
        <v>0</v>
      </c>
      <c r="V37" s="109" t="e">
        <f t="shared" si="34"/>
        <v>#DIV/0!</v>
      </c>
      <c r="W37" s="109" t="e">
        <f t="shared" si="34"/>
        <v>#DIV/0!</v>
      </c>
      <c r="X37" s="109" t="e">
        <f t="shared" si="34"/>
        <v>#DIV/0!</v>
      </c>
      <c r="Y37" s="109">
        <f t="shared" si="34"/>
        <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f t="shared" si="34"/>
        <v>0</v>
      </c>
      <c r="AP37" s="109" t="e">
        <f t="shared" si="34"/>
        <v>#DIV/0!</v>
      </c>
      <c r="AQ37" s="109" t="e">
        <f t="shared" si="34"/>
        <v>#DIV/0!</v>
      </c>
      <c r="AR37" s="109" t="e">
        <f t="shared" si="34"/>
        <v>#DIV/0!</v>
      </c>
      <c r="AS37" s="109">
        <f t="shared" si="34"/>
        <v>0</v>
      </c>
      <c r="AT37" s="109">
        <f t="shared" si="34"/>
        <v>0</v>
      </c>
      <c r="AU37" s="109">
        <f t="shared" si="34"/>
        <v>0</v>
      </c>
      <c r="AV37" s="109">
        <f t="shared" si="34"/>
        <v>0</v>
      </c>
      <c r="AW37" s="109">
        <f t="shared" si="34"/>
        <v>0</v>
      </c>
      <c r="AX37" s="109">
        <f t="shared" si="34"/>
        <v>0</v>
      </c>
      <c r="AY37" s="109">
        <f t="shared" si="34"/>
        <v>0</v>
      </c>
      <c r="AZ37" s="109">
        <f t="shared" si="34"/>
        <v>0</v>
      </c>
      <c r="BA37" s="109">
        <f t="shared" si="34"/>
        <v>0</v>
      </c>
      <c r="BB37" s="109">
        <f t="shared" si="34"/>
        <v>6.7081507024211257E-2</v>
      </c>
      <c r="BC37" s="109">
        <f t="shared" si="34"/>
        <v>5.4683874170770488E-2</v>
      </c>
      <c r="BD37" s="109">
        <f t="shared" si="34"/>
        <v>0.17144807614885504</v>
      </c>
      <c r="BE37" s="109">
        <f t="shared" si="34"/>
        <v>0.15426479186874217</v>
      </c>
      <c r="BF37" s="109">
        <f t="shared" si="34"/>
        <v>0.13562883307150359</v>
      </c>
      <c r="BG37" s="109">
        <f t="shared" si="34"/>
        <v>0.16911663525766424</v>
      </c>
      <c r="BH37" s="109">
        <f t="shared" si="34"/>
        <v>9.8761928601040272E-2</v>
      </c>
      <c r="BI37" s="109">
        <f t="shared" si="34"/>
        <v>0.26741392950334641</v>
      </c>
      <c r="BJ37" s="109">
        <f t="shared" si="34"/>
        <v>0.35055679059548617</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635</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0.40032603003421124</v>
      </c>
      <c r="F39" s="222">
        <f t="shared" ref="F39:U39" si="37">F2/F9</f>
        <v>0.37375845234390187</v>
      </c>
      <c r="G39" s="222">
        <f t="shared" si="37"/>
        <v>0.38730667305914629</v>
      </c>
      <c r="H39" s="222">
        <f t="shared" si="37"/>
        <v>0.39859537002389123</v>
      </c>
      <c r="I39" s="222">
        <f t="shared" si="37"/>
        <v>0.35217986293622178</v>
      </c>
      <c r="J39" s="222">
        <f t="shared" si="37"/>
        <v>0.27171470055074304</v>
      </c>
      <c r="K39" s="222">
        <f t="shared" si="37"/>
        <v>0.24668243412219931</v>
      </c>
      <c r="L39" s="222">
        <f t="shared" si="37"/>
        <v>0.28937145414254017</v>
      </c>
      <c r="M39" s="222">
        <f t="shared" si="37"/>
        <v>0.28815511480446243</v>
      </c>
      <c r="N39" s="222">
        <f t="shared" si="37"/>
        <v>0.32062904722592755</v>
      </c>
      <c r="O39" s="222">
        <f t="shared" si="37"/>
        <v>0.30246430334081997</v>
      </c>
      <c r="P39" s="222">
        <f t="shared" si="37"/>
        <v>0.33830972263910492</v>
      </c>
      <c r="Q39" s="222">
        <f t="shared" si="37"/>
        <v>0.35781307569922882</v>
      </c>
      <c r="R39" s="222">
        <f t="shared" si="37"/>
        <v>0.41575725519851275</v>
      </c>
      <c r="S39" s="222">
        <f t="shared" si="37"/>
        <v>0.37940620518474416</v>
      </c>
      <c r="T39" s="222">
        <f t="shared" si="37"/>
        <v>0.40579310404320856</v>
      </c>
      <c r="U39" s="222">
        <f t="shared" si="37"/>
        <v>0.37651515759435755</v>
      </c>
    </row>
    <row r="40" spans="1:89" s="223" customFormat="1" x14ac:dyDescent="0.25">
      <c r="A40" s="220" t="s">
        <v>553</v>
      </c>
      <c r="B40" s="221"/>
      <c r="C40" s="221"/>
      <c r="D40" s="221"/>
      <c r="E40" s="222">
        <f>E3/E9</f>
        <v>1.1091699564341985E-2</v>
      </c>
      <c r="F40" s="222">
        <f t="shared" ref="F40:U40" si="38">F3/F9</f>
        <v>1.1336013955620084E-2</v>
      </c>
      <c r="G40" s="222">
        <f t="shared" si="38"/>
        <v>1.1789861357650854E-2</v>
      </c>
      <c r="H40" s="222">
        <f t="shared" si="38"/>
        <v>1.1080756301396797E-2</v>
      </c>
      <c r="I40" s="222">
        <f t="shared" si="38"/>
        <v>1.1801387145151162E-2</v>
      </c>
      <c r="J40" s="222">
        <f t="shared" si="38"/>
        <v>1.2777236113605258E-2</v>
      </c>
      <c r="K40" s="222">
        <f t="shared" si="38"/>
        <v>1.3461295503637597E-2</v>
      </c>
      <c r="L40" s="222">
        <f t="shared" si="38"/>
        <v>9.8817423460105854E-3</v>
      </c>
      <c r="M40" s="222">
        <f t="shared" si="38"/>
        <v>1.0239690054017475E-2</v>
      </c>
      <c r="N40" s="222">
        <f t="shared" si="38"/>
        <v>1.0648856753785839E-2</v>
      </c>
      <c r="O40" s="222">
        <f t="shared" si="38"/>
        <v>1.1122613762027703E-2</v>
      </c>
      <c r="P40" s="222">
        <f t="shared" si="38"/>
        <v>1.0768650067762311E-2</v>
      </c>
      <c r="Q40" s="222">
        <f t="shared" si="38"/>
        <v>1.1296062951263057E-2</v>
      </c>
      <c r="R40" s="222">
        <f t="shared" si="38"/>
        <v>1.1380409343632689E-2</v>
      </c>
      <c r="S40" s="222">
        <f t="shared" si="38"/>
        <v>1.1766250191384785E-2</v>
      </c>
      <c r="T40" s="222">
        <f t="shared" si="38"/>
        <v>1.1340621949619902E-2</v>
      </c>
      <c r="U40" s="222">
        <f t="shared" si="38"/>
        <v>1.187247124481838E-2</v>
      </c>
    </row>
    <row r="41" spans="1:89" x14ac:dyDescent="0.25">
      <c r="A41" s="182" t="s">
        <v>558</v>
      </c>
      <c r="B41" s="64"/>
      <c r="C41" s="64"/>
      <c r="D41" s="64"/>
      <c r="E41" s="89">
        <f>E4/E9</f>
        <v>0.3215748565617163</v>
      </c>
      <c r="F41" s="89">
        <f t="shared" ref="F41:U41" si="39">F4/F9</f>
        <v>0.32962328228047416</v>
      </c>
      <c r="G41" s="89">
        <f t="shared" si="39"/>
        <v>0.30505847382285955</v>
      </c>
      <c r="H41" s="89">
        <f t="shared" si="39"/>
        <v>0.31166882567898246</v>
      </c>
      <c r="I41" s="89">
        <f t="shared" si="39"/>
        <v>0.35337137646336708</v>
      </c>
      <c r="J41" s="89">
        <f t="shared" si="39"/>
        <v>0.40001936979253061</v>
      </c>
      <c r="K41" s="89">
        <f t="shared" si="39"/>
        <v>0.40208311164720528</v>
      </c>
      <c r="L41" s="89">
        <f t="shared" si="39"/>
        <v>0.4484160332679788</v>
      </c>
      <c r="M41" s="89">
        <f t="shared" si="39"/>
        <v>0.44404790811584749</v>
      </c>
      <c r="N41" s="212">
        <f t="shared" si="39"/>
        <v>0.38176847276662795</v>
      </c>
      <c r="O41" s="212">
        <f t="shared" si="39"/>
        <v>0.38095118748920642</v>
      </c>
      <c r="P41" s="212">
        <f t="shared" si="39"/>
        <v>0.34722269581735871</v>
      </c>
      <c r="Q41" s="212">
        <f t="shared" si="39"/>
        <v>0.32321416572078221</v>
      </c>
      <c r="R41" s="212">
        <f t="shared" si="39"/>
        <v>0.253355827872982</v>
      </c>
      <c r="S41" s="212">
        <f t="shared" si="39"/>
        <v>0.28119359679114531</v>
      </c>
      <c r="T41" s="212">
        <f t="shared" si="39"/>
        <v>0.26293266695147044</v>
      </c>
      <c r="U41" s="212">
        <f t="shared" si="39"/>
        <v>0.27624225378837508</v>
      </c>
    </row>
    <row r="42" spans="1:89" x14ac:dyDescent="0.25">
      <c r="A42" s="182" t="s">
        <v>335</v>
      </c>
      <c r="B42" s="64"/>
      <c r="C42" s="64"/>
      <c r="D42" s="64"/>
      <c r="E42" s="89">
        <f>E5/E9</f>
        <v>1.079884583738995</v>
      </c>
      <c r="F42" s="89">
        <f t="shared" ref="F42:U42" si="40">F5/F9</f>
        <v>1.0017173596596147</v>
      </c>
      <c r="G42" s="89">
        <f t="shared" si="40"/>
        <v>0.87900405590637554</v>
      </c>
      <c r="H42" s="89">
        <f t="shared" si="40"/>
        <v>0.89095520671594597</v>
      </c>
      <c r="I42" s="89">
        <f t="shared" si="40"/>
        <v>1.0722532655783501</v>
      </c>
      <c r="J42" s="89">
        <f t="shared" si="40"/>
        <v>1.0140798840262473</v>
      </c>
      <c r="K42" s="89">
        <f t="shared" si="40"/>
        <v>1.1318641526662496</v>
      </c>
      <c r="L42" s="89">
        <f t="shared" si="40"/>
        <v>0.84309648971078999</v>
      </c>
      <c r="M42" s="89">
        <f t="shared" si="40"/>
        <v>0.91918105693239249</v>
      </c>
      <c r="N42" s="212">
        <f t="shared" si="40"/>
        <v>0.88103986384652089</v>
      </c>
      <c r="O42" s="212">
        <f t="shared" si="40"/>
        <v>0.84181380448324616</v>
      </c>
      <c r="P42" s="212">
        <f t="shared" si="40"/>
        <v>0.80082508293823507</v>
      </c>
      <c r="Q42" s="212">
        <f t="shared" si="40"/>
        <v>0.86858846250727317</v>
      </c>
      <c r="R42" s="212">
        <f t="shared" si="40"/>
        <v>0.7526667867216853</v>
      </c>
      <c r="S42" s="212">
        <f t="shared" si="40"/>
        <v>0.72962998855689365</v>
      </c>
      <c r="T42" s="212">
        <f t="shared" si="40"/>
        <v>0.69226178403277061</v>
      </c>
      <c r="U42" s="212">
        <f t="shared" si="40"/>
        <v>0.80692784087171243</v>
      </c>
    </row>
    <row r="43" spans="1:89" x14ac:dyDescent="0.25">
      <c r="A43" s="182" t="s">
        <v>336</v>
      </c>
      <c r="B43" s="64"/>
      <c r="C43" s="64"/>
      <c r="D43" s="64"/>
      <c r="E43" s="89">
        <f>E6/E9</f>
        <v>0.75830972717727863</v>
      </c>
      <c r="F43" s="89">
        <f t="shared" ref="F43:U43" si="41">F6/F9</f>
        <v>0.67209407737914062</v>
      </c>
      <c r="G43" s="89">
        <f t="shared" si="41"/>
        <v>0.57394558208351598</v>
      </c>
      <c r="H43" s="89">
        <f t="shared" si="41"/>
        <v>0.57928638103696339</v>
      </c>
      <c r="I43" s="89">
        <f t="shared" si="41"/>
        <v>0.71888188911498319</v>
      </c>
      <c r="J43" s="89">
        <f t="shared" si="41"/>
        <v>0.61406051423371666</v>
      </c>
      <c r="K43" s="89">
        <f t="shared" si="41"/>
        <v>0.72978104101904429</v>
      </c>
      <c r="L43" s="89">
        <f t="shared" si="41"/>
        <v>0.39468045644281124</v>
      </c>
      <c r="M43" s="89">
        <f t="shared" si="41"/>
        <v>0.47513314881654495</v>
      </c>
      <c r="N43" s="212">
        <f t="shared" si="41"/>
        <v>0.49927139107989293</v>
      </c>
      <c r="O43" s="212">
        <f t="shared" si="41"/>
        <v>0.4608626169940398</v>
      </c>
      <c r="P43" s="212">
        <f t="shared" si="41"/>
        <v>0.45360238712087636</v>
      </c>
      <c r="Q43" s="212">
        <f t="shared" si="41"/>
        <v>0.54537429678649096</v>
      </c>
      <c r="R43" s="212">
        <f t="shared" si="41"/>
        <v>0.49931095884870325</v>
      </c>
      <c r="S43" s="212">
        <f t="shared" si="41"/>
        <v>0.44843639176574834</v>
      </c>
      <c r="T43" s="212">
        <f t="shared" si="41"/>
        <v>0.42932911708130017</v>
      </c>
      <c r="U43" s="212">
        <f t="shared" si="41"/>
        <v>0.53068558708333735</v>
      </c>
    </row>
    <row r="44" spans="1:89" x14ac:dyDescent="0.25">
      <c r="A44" s="182" t="s">
        <v>337</v>
      </c>
      <c r="B44" s="64"/>
      <c r="C44" s="64"/>
      <c r="D44" s="64"/>
      <c r="E44" s="89">
        <f>E7/E9</f>
        <v>0.26700741383973042</v>
      </c>
      <c r="F44" s="89">
        <f t="shared" ref="F44:U44" si="42">F7/F9</f>
        <v>0.28528225142000374</v>
      </c>
      <c r="G44" s="89">
        <f t="shared" si="42"/>
        <v>0.29584499176034323</v>
      </c>
      <c r="H44" s="89">
        <f t="shared" si="42"/>
        <v>0.27865504799572954</v>
      </c>
      <c r="I44" s="89">
        <f t="shared" si="42"/>
        <v>0.28264737345525998</v>
      </c>
      <c r="J44" s="89">
        <f t="shared" si="42"/>
        <v>0.31548869354312109</v>
      </c>
      <c r="K44" s="89">
        <f t="shared" si="42"/>
        <v>0.33777315872695785</v>
      </c>
      <c r="L44" s="89">
        <f t="shared" si="42"/>
        <v>0.25233077024347039</v>
      </c>
      <c r="M44" s="89">
        <f t="shared" si="42"/>
        <v>0.25755728702567265</v>
      </c>
      <c r="N44" s="212">
        <f t="shared" si="42"/>
        <v>0.28695362325365864</v>
      </c>
      <c r="O44" s="212">
        <f t="shared" si="42"/>
        <v>0.30546189540794588</v>
      </c>
      <c r="P44" s="212">
        <f t="shared" si="42"/>
        <v>0.30369893147577404</v>
      </c>
      <c r="Q44" s="212">
        <f t="shared" si="42"/>
        <v>0.30767669562872596</v>
      </c>
      <c r="R44" s="212">
        <f t="shared" si="42"/>
        <v>0.31950650758487259</v>
      </c>
      <c r="S44" s="212">
        <f t="shared" si="42"/>
        <v>0.32763394783272576</v>
      </c>
      <c r="T44" s="212">
        <f t="shared" si="42"/>
        <v>0.31993360705570117</v>
      </c>
      <c r="U44" s="212">
        <f t="shared" si="42"/>
        <v>0.33537011737244887</v>
      </c>
    </row>
    <row r="45" spans="1:89" s="223" customFormat="1" x14ac:dyDescent="0.25">
      <c r="A45" s="220" t="s">
        <v>338</v>
      </c>
      <c r="B45" s="221"/>
      <c r="C45" s="221"/>
      <c r="D45" s="221"/>
      <c r="E45" s="222">
        <f>E8/E9</f>
        <v>0.58858227040144673</v>
      </c>
      <c r="F45" s="222">
        <f t="shared" ref="F45:U45" si="43">F8/F9</f>
        <v>0.61490553370047796</v>
      </c>
      <c r="G45" s="222">
        <f t="shared" si="43"/>
        <v>0.60090346558320273</v>
      </c>
      <c r="H45" s="222">
        <f t="shared" si="43"/>
        <v>0.59032387367471195</v>
      </c>
      <c r="I45" s="222">
        <f t="shared" si="43"/>
        <v>0.63601874991862695</v>
      </c>
      <c r="J45" s="222">
        <f t="shared" si="43"/>
        <v>0.71550806333565165</v>
      </c>
      <c r="K45" s="222">
        <f t="shared" si="43"/>
        <v>0.73985627037416313</v>
      </c>
      <c r="L45" s="222">
        <f t="shared" si="43"/>
        <v>0.70074680351144913</v>
      </c>
      <c r="M45" s="222">
        <f t="shared" si="43"/>
        <v>0.70160519514152009</v>
      </c>
      <c r="N45" s="222">
        <f t="shared" si="43"/>
        <v>0.66872209602028654</v>
      </c>
      <c r="O45" s="222">
        <f t="shared" si="43"/>
        <v>0.68641308289715219</v>
      </c>
      <c r="P45" s="222">
        <f t="shared" si="43"/>
        <v>0.65092162729313274</v>
      </c>
      <c r="Q45" s="222">
        <f t="shared" si="43"/>
        <v>0.63089086134950811</v>
      </c>
      <c r="R45" s="222">
        <f t="shared" si="43"/>
        <v>0.57286233545785459</v>
      </c>
      <c r="S45" s="222">
        <f t="shared" si="43"/>
        <v>0.60882754462387112</v>
      </c>
      <c r="T45" s="222">
        <f t="shared" si="43"/>
        <v>0.58286627400717161</v>
      </c>
      <c r="U45" s="222">
        <f t="shared" si="43"/>
        <v>0.61161237116082401</v>
      </c>
    </row>
    <row r="46" spans="1:89" x14ac:dyDescent="0.25">
      <c r="A46" s="183" t="s">
        <v>339</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340</v>
      </c>
      <c r="B47" s="64"/>
      <c r="C47" s="64"/>
      <c r="D47" s="64"/>
      <c r="E47" s="89">
        <f>E10/E14</f>
        <v>0</v>
      </c>
      <c r="F47" s="89">
        <f t="shared" ref="F47:U47" si="45">F10/F14</f>
        <v>0</v>
      </c>
      <c r="G47" s="89">
        <f t="shared" si="45"/>
        <v>0</v>
      </c>
      <c r="H47" s="89">
        <f t="shared" si="45"/>
        <v>0</v>
      </c>
      <c r="I47" s="89">
        <f t="shared" si="45"/>
        <v>0</v>
      </c>
      <c r="J47" s="89">
        <f t="shared" si="45"/>
        <v>0</v>
      </c>
      <c r="K47" s="89">
        <f t="shared" si="45"/>
        <v>0</v>
      </c>
      <c r="L47" s="89">
        <f t="shared" si="45"/>
        <v>0</v>
      </c>
      <c r="M47" s="89">
        <f t="shared" si="45"/>
        <v>0</v>
      </c>
      <c r="N47" s="212">
        <f t="shared" si="45"/>
        <v>0</v>
      </c>
      <c r="O47" s="212">
        <f t="shared" si="45"/>
        <v>0</v>
      </c>
      <c r="P47" s="212">
        <f t="shared" si="45"/>
        <v>0</v>
      </c>
      <c r="Q47" s="212">
        <f t="shared" si="45"/>
        <v>0</v>
      </c>
      <c r="R47" s="212">
        <f t="shared" si="45"/>
        <v>0</v>
      </c>
      <c r="S47" s="212">
        <f t="shared" si="45"/>
        <v>0</v>
      </c>
      <c r="T47" s="212">
        <f t="shared" si="45"/>
        <v>0</v>
      </c>
      <c r="U47" s="212">
        <f t="shared" si="45"/>
        <v>3.4220401158216363E-6</v>
      </c>
    </row>
    <row r="48" spans="1:89" x14ac:dyDescent="0.25">
      <c r="A48" s="182" t="s">
        <v>341</v>
      </c>
      <c r="B48" s="64"/>
      <c r="C48" s="64"/>
      <c r="D48" s="64"/>
      <c r="E48" s="89">
        <f>E11/E14</f>
        <v>0</v>
      </c>
      <c r="F48" s="89">
        <f t="shared" ref="F48:U48" si="46">F11/F14</f>
        <v>0</v>
      </c>
      <c r="G48" s="89">
        <f t="shared" si="46"/>
        <v>0</v>
      </c>
      <c r="H48" s="89">
        <f t="shared" si="46"/>
        <v>0</v>
      </c>
      <c r="I48" s="89">
        <f t="shared" si="46"/>
        <v>0</v>
      </c>
      <c r="J48" s="89">
        <f t="shared" si="46"/>
        <v>0</v>
      </c>
      <c r="K48" s="89">
        <f t="shared" si="46"/>
        <v>0</v>
      </c>
      <c r="L48" s="89">
        <f t="shared" si="46"/>
        <v>0</v>
      </c>
      <c r="M48" s="89">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342</v>
      </c>
      <c r="B49" s="64"/>
      <c r="C49" s="64"/>
      <c r="D49" s="64"/>
      <c r="E49" s="89">
        <f>E12/E14</f>
        <v>0</v>
      </c>
      <c r="F49" s="89">
        <f t="shared" ref="F49:U49" si="47">F12/F14</f>
        <v>0</v>
      </c>
      <c r="G49" s="89">
        <f t="shared" si="47"/>
        <v>0</v>
      </c>
      <c r="H49" s="89">
        <f t="shared" si="47"/>
        <v>0</v>
      </c>
      <c r="I49" s="89">
        <f t="shared" si="47"/>
        <v>0</v>
      </c>
      <c r="J49" s="89">
        <f t="shared" si="47"/>
        <v>0</v>
      </c>
      <c r="K49" s="89">
        <f t="shared" si="47"/>
        <v>0</v>
      </c>
      <c r="L49" s="89">
        <f t="shared" si="47"/>
        <v>0</v>
      </c>
      <c r="M49" s="89">
        <f t="shared" si="47"/>
        <v>0</v>
      </c>
      <c r="N49" s="212">
        <f t="shared" si="47"/>
        <v>0</v>
      </c>
      <c r="O49" s="212">
        <f t="shared" si="47"/>
        <v>0</v>
      </c>
      <c r="P49" s="212">
        <f t="shared" si="47"/>
        <v>0</v>
      </c>
      <c r="Q49" s="212">
        <f t="shared" si="47"/>
        <v>0</v>
      </c>
      <c r="R49" s="212">
        <f t="shared" si="47"/>
        <v>0</v>
      </c>
      <c r="S49" s="212">
        <f t="shared" si="47"/>
        <v>0</v>
      </c>
      <c r="T49" s="212">
        <f t="shared" si="47"/>
        <v>0</v>
      </c>
      <c r="U49" s="212">
        <f t="shared" si="47"/>
        <v>3.4220401158216363E-6</v>
      </c>
    </row>
    <row r="50" spans="1:21" x14ac:dyDescent="0.25">
      <c r="A50" s="182" t="s">
        <v>346</v>
      </c>
      <c r="B50" s="64"/>
      <c r="C50" s="64"/>
      <c r="D50" s="64"/>
      <c r="E50" s="89">
        <f>E13/E14</f>
        <v>1</v>
      </c>
      <c r="F50" s="89">
        <f t="shared" ref="F50:U50" si="48">F13/F14</f>
        <v>1</v>
      </c>
      <c r="G50" s="89">
        <f t="shared" si="48"/>
        <v>1</v>
      </c>
      <c r="H50" s="89">
        <f t="shared" si="48"/>
        <v>1</v>
      </c>
      <c r="I50" s="89">
        <f t="shared" si="48"/>
        <v>1</v>
      </c>
      <c r="J50" s="89">
        <f t="shared" si="48"/>
        <v>1</v>
      </c>
      <c r="K50" s="89">
        <f t="shared" si="48"/>
        <v>1</v>
      </c>
      <c r="L50" s="89">
        <f t="shared" si="48"/>
        <v>1</v>
      </c>
      <c r="M50" s="89">
        <f t="shared" si="48"/>
        <v>1</v>
      </c>
      <c r="N50" s="212">
        <f t="shared" si="48"/>
        <v>1</v>
      </c>
      <c r="O50" s="212">
        <f t="shared" si="48"/>
        <v>1</v>
      </c>
      <c r="P50" s="212">
        <f t="shared" si="48"/>
        <v>1</v>
      </c>
      <c r="Q50" s="212">
        <f t="shared" si="48"/>
        <v>1</v>
      </c>
      <c r="R50" s="212">
        <f t="shared" si="48"/>
        <v>1</v>
      </c>
      <c r="S50" s="212">
        <f t="shared" si="48"/>
        <v>1</v>
      </c>
      <c r="T50" s="212">
        <f t="shared" si="48"/>
        <v>1</v>
      </c>
      <c r="U50" s="212">
        <f t="shared" si="48"/>
        <v>0.99999657795988417</v>
      </c>
    </row>
    <row r="51" spans="1:21" x14ac:dyDescent="0.25">
      <c r="A51" s="183" t="s">
        <v>343</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641</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645</v>
      </c>
      <c r="B55" s="64"/>
      <c r="C55" s="64"/>
      <c r="D55" s="64"/>
      <c r="E55" s="212">
        <f>E2/E9</f>
        <v>0.40032603003421124</v>
      </c>
      <c r="F55" s="212">
        <f t="shared" ref="F55:U55" si="51">F2/F9</f>
        <v>0.37375845234390187</v>
      </c>
      <c r="G55" s="212">
        <f t="shared" si="51"/>
        <v>0.38730667305914629</v>
      </c>
      <c r="H55" s="212">
        <f t="shared" si="51"/>
        <v>0.39859537002389123</v>
      </c>
      <c r="I55" s="212">
        <f t="shared" si="51"/>
        <v>0.35217986293622178</v>
      </c>
      <c r="J55" s="212">
        <f t="shared" si="51"/>
        <v>0.27171470055074304</v>
      </c>
      <c r="K55" s="212">
        <f t="shared" si="51"/>
        <v>0.24668243412219931</v>
      </c>
      <c r="L55" s="212">
        <f t="shared" si="51"/>
        <v>0.28937145414254017</v>
      </c>
      <c r="M55" s="212">
        <f t="shared" si="51"/>
        <v>0.28815511480446243</v>
      </c>
      <c r="N55" s="212">
        <f t="shared" si="51"/>
        <v>0.32062904722592755</v>
      </c>
      <c r="O55" s="212">
        <f t="shared" si="51"/>
        <v>0.30246430334081997</v>
      </c>
      <c r="P55" s="212">
        <f t="shared" si="51"/>
        <v>0.33830972263910492</v>
      </c>
      <c r="Q55" s="212">
        <f t="shared" si="51"/>
        <v>0.35781307569922882</v>
      </c>
      <c r="R55" s="212">
        <f t="shared" si="51"/>
        <v>0.41575725519851275</v>
      </c>
      <c r="S55" s="212">
        <f t="shared" si="51"/>
        <v>0.37940620518474416</v>
      </c>
      <c r="T55" s="212">
        <f t="shared" si="51"/>
        <v>0.40579310404320856</v>
      </c>
      <c r="U55" s="212">
        <f t="shared" si="51"/>
        <v>0.37651515759435755</v>
      </c>
    </row>
    <row r="56" spans="1:21" x14ac:dyDescent="0.25">
      <c r="A56" s="182" t="s">
        <v>646</v>
      </c>
      <c r="B56" s="64"/>
      <c r="C56" s="64"/>
      <c r="D56" s="64"/>
      <c r="E56" s="212">
        <f>E4/E9</f>
        <v>0.3215748565617163</v>
      </c>
      <c r="F56" s="212">
        <f t="shared" ref="F56:U56" si="52">F4/F9</f>
        <v>0.32962328228047416</v>
      </c>
      <c r="G56" s="212">
        <f t="shared" si="52"/>
        <v>0.30505847382285955</v>
      </c>
      <c r="H56" s="212">
        <f t="shared" si="52"/>
        <v>0.31166882567898246</v>
      </c>
      <c r="I56" s="212">
        <f t="shared" si="52"/>
        <v>0.35337137646336708</v>
      </c>
      <c r="J56" s="212">
        <f t="shared" si="52"/>
        <v>0.40001936979253061</v>
      </c>
      <c r="K56" s="212">
        <f t="shared" si="52"/>
        <v>0.40208311164720528</v>
      </c>
      <c r="L56" s="212">
        <f t="shared" si="52"/>
        <v>0.4484160332679788</v>
      </c>
      <c r="M56" s="212">
        <f t="shared" si="52"/>
        <v>0.44404790811584749</v>
      </c>
      <c r="N56" s="212">
        <f t="shared" si="52"/>
        <v>0.38176847276662795</v>
      </c>
      <c r="O56" s="212">
        <f t="shared" si="52"/>
        <v>0.38095118748920642</v>
      </c>
      <c r="P56" s="212">
        <f t="shared" si="52"/>
        <v>0.34722269581735871</v>
      </c>
      <c r="Q56" s="212">
        <f t="shared" si="52"/>
        <v>0.32321416572078221</v>
      </c>
      <c r="R56" s="212">
        <f t="shared" si="52"/>
        <v>0.253355827872982</v>
      </c>
      <c r="S56" s="212">
        <f t="shared" si="52"/>
        <v>0.28119359679114531</v>
      </c>
      <c r="T56" s="212">
        <f t="shared" si="52"/>
        <v>0.26293266695147044</v>
      </c>
      <c r="U56" s="212">
        <f t="shared" si="52"/>
        <v>0.27624225378837508</v>
      </c>
    </row>
    <row r="57" spans="1:21" x14ac:dyDescent="0.25">
      <c r="A57" s="182" t="s">
        <v>647</v>
      </c>
      <c r="B57" s="64"/>
      <c r="C57" s="64"/>
      <c r="D57" s="64"/>
      <c r="E57" s="212">
        <f>E5/E9</f>
        <v>1.079884583738995</v>
      </c>
      <c r="F57" s="212">
        <f t="shared" ref="F57:U57" si="53">F5/F9</f>
        <v>1.0017173596596147</v>
      </c>
      <c r="G57" s="212">
        <f t="shared" si="53"/>
        <v>0.87900405590637554</v>
      </c>
      <c r="H57" s="212">
        <f t="shared" si="53"/>
        <v>0.89095520671594597</v>
      </c>
      <c r="I57" s="212">
        <f t="shared" si="53"/>
        <v>1.0722532655783501</v>
      </c>
      <c r="J57" s="212">
        <f t="shared" si="53"/>
        <v>1.0140798840262473</v>
      </c>
      <c r="K57" s="212">
        <f t="shared" si="53"/>
        <v>1.1318641526662496</v>
      </c>
      <c r="L57" s="212">
        <f t="shared" si="53"/>
        <v>0.84309648971078999</v>
      </c>
      <c r="M57" s="212">
        <f t="shared" si="53"/>
        <v>0.91918105693239249</v>
      </c>
      <c r="N57" s="212">
        <f t="shared" si="53"/>
        <v>0.88103986384652089</v>
      </c>
      <c r="O57" s="212">
        <f t="shared" si="53"/>
        <v>0.84181380448324616</v>
      </c>
      <c r="P57" s="212">
        <f t="shared" si="53"/>
        <v>0.80082508293823507</v>
      </c>
      <c r="Q57" s="212">
        <f t="shared" si="53"/>
        <v>0.86858846250727317</v>
      </c>
      <c r="R57" s="212">
        <f t="shared" si="53"/>
        <v>0.7526667867216853</v>
      </c>
      <c r="S57" s="212">
        <f t="shared" si="53"/>
        <v>0.72962998855689365</v>
      </c>
      <c r="T57" s="212">
        <f t="shared" si="53"/>
        <v>0.69226178403277061</v>
      </c>
      <c r="U57" s="212">
        <f t="shared" si="53"/>
        <v>0.80692784087171243</v>
      </c>
    </row>
    <row r="58" spans="1:21" x14ac:dyDescent="0.25">
      <c r="A58" s="182" t="s">
        <v>648</v>
      </c>
      <c r="B58" s="64"/>
      <c r="C58" s="64"/>
      <c r="D58" s="64"/>
      <c r="E58" s="212">
        <f>E6/E9</f>
        <v>0.75830972717727863</v>
      </c>
      <c r="F58" s="212">
        <f t="shared" ref="F58:U58" si="54">F6/F9</f>
        <v>0.67209407737914062</v>
      </c>
      <c r="G58" s="212">
        <f t="shared" si="54"/>
        <v>0.57394558208351598</v>
      </c>
      <c r="H58" s="212">
        <f t="shared" si="54"/>
        <v>0.57928638103696339</v>
      </c>
      <c r="I58" s="212">
        <f t="shared" si="54"/>
        <v>0.71888188911498319</v>
      </c>
      <c r="J58" s="212">
        <f t="shared" si="54"/>
        <v>0.61406051423371666</v>
      </c>
      <c r="K58" s="212">
        <f t="shared" si="54"/>
        <v>0.72978104101904429</v>
      </c>
      <c r="L58" s="212">
        <f t="shared" si="54"/>
        <v>0.39468045644281124</v>
      </c>
      <c r="M58" s="212">
        <f t="shared" si="54"/>
        <v>0.47513314881654495</v>
      </c>
      <c r="N58" s="212">
        <f t="shared" si="54"/>
        <v>0.49927139107989293</v>
      </c>
      <c r="O58" s="212">
        <f t="shared" si="54"/>
        <v>0.4608626169940398</v>
      </c>
      <c r="P58" s="212">
        <f t="shared" si="54"/>
        <v>0.45360238712087636</v>
      </c>
      <c r="Q58" s="212">
        <f t="shared" si="54"/>
        <v>0.54537429678649096</v>
      </c>
      <c r="R58" s="212">
        <f t="shared" si="54"/>
        <v>0.49931095884870325</v>
      </c>
      <c r="S58" s="212">
        <f t="shared" si="54"/>
        <v>0.44843639176574834</v>
      </c>
      <c r="T58" s="212">
        <f t="shared" si="54"/>
        <v>0.42932911708130017</v>
      </c>
      <c r="U58" s="212">
        <f t="shared" si="54"/>
        <v>0.53068558708333735</v>
      </c>
    </row>
    <row r="59" spans="1:21" s="223" customFormat="1" x14ac:dyDescent="0.25">
      <c r="A59" s="225" t="s">
        <v>642</v>
      </c>
      <c r="B59" s="221"/>
      <c r="C59" s="221"/>
      <c r="D59" s="221"/>
      <c r="E59" s="222">
        <f>E55+E56</f>
        <v>0.72190088659592755</v>
      </c>
      <c r="F59" s="222">
        <f t="shared" ref="F59:U59" si="55">F55+F56</f>
        <v>0.70338173462437603</v>
      </c>
      <c r="G59" s="222">
        <f t="shared" si="55"/>
        <v>0.69236514688200579</v>
      </c>
      <c r="H59" s="222">
        <f t="shared" si="55"/>
        <v>0.71026419570287369</v>
      </c>
      <c r="I59" s="222">
        <f t="shared" si="55"/>
        <v>0.70555123939958886</v>
      </c>
      <c r="J59" s="222">
        <f t="shared" si="55"/>
        <v>0.6717340703432737</v>
      </c>
      <c r="K59" s="222">
        <f t="shared" si="55"/>
        <v>0.64876554576940459</v>
      </c>
      <c r="L59" s="222">
        <f t="shared" si="55"/>
        <v>0.73778748741051903</v>
      </c>
      <c r="M59" s="222">
        <f t="shared" si="55"/>
        <v>0.73220302292030992</v>
      </c>
      <c r="N59" s="222">
        <f t="shared" si="55"/>
        <v>0.70239751999255551</v>
      </c>
      <c r="O59" s="222">
        <f t="shared" si="55"/>
        <v>0.6834154908300264</v>
      </c>
      <c r="P59" s="222">
        <f t="shared" si="55"/>
        <v>0.68553241845646362</v>
      </c>
      <c r="Q59" s="222">
        <f t="shared" si="55"/>
        <v>0.68102724142001103</v>
      </c>
      <c r="R59" s="222">
        <f t="shared" si="55"/>
        <v>0.66911308307149475</v>
      </c>
      <c r="S59" s="222">
        <f t="shared" si="55"/>
        <v>0.66059980197588941</v>
      </c>
      <c r="T59" s="222">
        <f t="shared" si="55"/>
        <v>0.668725770994679</v>
      </c>
      <c r="U59" s="222">
        <f t="shared" si="55"/>
        <v>0.65275741138273258</v>
      </c>
    </row>
    <row r="60" spans="1:21" x14ac:dyDescent="0.25">
      <c r="A60" s="182" t="s">
        <v>649</v>
      </c>
      <c r="B60" s="64"/>
      <c r="C60" s="64"/>
      <c r="D60" s="64"/>
      <c r="E60" s="212">
        <f>E3/E9</f>
        <v>1.1091699564341985E-2</v>
      </c>
      <c r="F60" s="212">
        <f t="shared" ref="F60:U60" si="56">F3/F9</f>
        <v>1.1336013955620084E-2</v>
      </c>
      <c r="G60" s="212">
        <f t="shared" si="56"/>
        <v>1.1789861357650854E-2</v>
      </c>
      <c r="H60" s="212">
        <f t="shared" si="56"/>
        <v>1.1080756301396797E-2</v>
      </c>
      <c r="I60" s="212">
        <f t="shared" si="56"/>
        <v>1.1801387145151162E-2</v>
      </c>
      <c r="J60" s="212">
        <f t="shared" si="56"/>
        <v>1.2777236113605258E-2</v>
      </c>
      <c r="K60" s="212">
        <f t="shared" si="56"/>
        <v>1.3461295503637597E-2</v>
      </c>
      <c r="L60" s="212">
        <f t="shared" si="56"/>
        <v>9.8817423460105854E-3</v>
      </c>
      <c r="M60" s="212">
        <f t="shared" si="56"/>
        <v>1.0239690054017475E-2</v>
      </c>
      <c r="N60" s="212">
        <f t="shared" si="56"/>
        <v>1.0648856753785839E-2</v>
      </c>
      <c r="O60" s="212">
        <f t="shared" si="56"/>
        <v>1.1122613762027703E-2</v>
      </c>
      <c r="P60" s="212">
        <f t="shared" si="56"/>
        <v>1.0768650067762311E-2</v>
      </c>
      <c r="Q60" s="212">
        <f t="shared" si="56"/>
        <v>1.1296062951263057E-2</v>
      </c>
      <c r="R60" s="212">
        <f t="shared" si="56"/>
        <v>1.1380409343632689E-2</v>
      </c>
      <c r="S60" s="212">
        <f t="shared" si="56"/>
        <v>1.1766250191384785E-2</v>
      </c>
      <c r="T60" s="212">
        <f t="shared" si="56"/>
        <v>1.1340621949619902E-2</v>
      </c>
      <c r="U60" s="212">
        <f t="shared" si="56"/>
        <v>1.187247124481838E-2</v>
      </c>
    </row>
    <row r="61" spans="1:21" x14ac:dyDescent="0.25">
      <c r="A61" s="182" t="s">
        <v>650</v>
      </c>
      <c r="B61" s="64"/>
      <c r="C61" s="64"/>
      <c r="D61" s="64"/>
      <c r="E61" s="212">
        <f>E7/E9</f>
        <v>0.26700741383973042</v>
      </c>
      <c r="F61" s="212">
        <f t="shared" ref="F61:U61" si="57">F7/F9</f>
        <v>0.28528225142000374</v>
      </c>
      <c r="G61" s="212">
        <f t="shared" si="57"/>
        <v>0.29584499176034323</v>
      </c>
      <c r="H61" s="212">
        <f t="shared" si="57"/>
        <v>0.27865504799572954</v>
      </c>
      <c r="I61" s="212">
        <f t="shared" si="57"/>
        <v>0.28264737345525998</v>
      </c>
      <c r="J61" s="212">
        <f t="shared" si="57"/>
        <v>0.31548869354312109</v>
      </c>
      <c r="K61" s="212">
        <f t="shared" si="57"/>
        <v>0.33777315872695785</v>
      </c>
      <c r="L61" s="212">
        <f t="shared" si="57"/>
        <v>0.25233077024347039</v>
      </c>
      <c r="M61" s="212">
        <f t="shared" si="57"/>
        <v>0.25755728702567265</v>
      </c>
      <c r="N61" s="212">
        <f t="shared" si="57"/>
        <v>0.28695362325365864</v>
      </c>
      <c r="O61" s="212">
        <f t="shared" si="57"/>
        <v>0.30546189540794588</v>
      </c>
      <c r="P61" s="212">
        <f t="shared" si="57"/>
        <v>0.30369893147577404</v>
      </c>
      <c r="Q61" s="212">
        <f t="shared" si="57"/>
        <v>0.30767669562872596</v>
      </c>
      <c r="R61" s="212">
        <f t="shared" si="57"/>
        <v>0.31950650758487259</v>
      </c>
      <c r="S61" s="212">
        <f t="shared" si="57"/>
        <v>0.32763394783272576</v>
      </c>
      <c r="T61" s="212">
        <f t="shared" si="57"/>
        <v>0.31993360705570117</v>
      </c>
      <c r="U61" s="212">
        <f t="shared" si="57"/>
        <v>0.33537011737244887</v>
      </c>
    </row>
    <row r="62" spans="1:21" s="223" customFormat="1" x14ac:dyDescent="0.25">
      <c r="A62" s="225" t="s">
        <v>643</v>
      </c>
      <c r="B62" s="221"/>
      <c r="C62" s="221"/>
      <c r="D62" s="221"/>
      <c r="E62" s="222">
        <f>E60+E61</f>
        <v>0.2780991134040724</v>
      </c>
      <c r="F62" s="222">
        <f t="shared" ref="F62:M62" si="58">F60+F61</f>
        <v>0.2966182653756238</v>
      </c>
      <c r="G62" s="222">
        <f t="shared" si="58"/>
        <v>0.3076348531179941</v>
      </c>
      <c r="H62" s="222">
        <f t="shared" si="58"/>
        <v>0.28973580429712636</v>
      </c>
      <c r="I62" s="222">
        <f t="shared" si="58"/>
        <v>0.29444876060041114</v>
      </c>
      <c r="J62" s="222">
        <f t="shared" si="58"/>
        <v>0.32826592965672635</v>
      </c>
      <c r="K62" s="222">
        <f t="shared" si="58"/>
        <v>0.35123445423059546</v>
      </c>
      <c r="L62" s="222">
        <f t="shared" si="58"/>
        <v>0.26221251258948097</v>
      </c>
      <c r="M62" s="222">
        <f t="shared" si="58"/>
        <v>0.26779697707969013</v>
      </c>
      <c r="N62" s="222">
        <f t="shared" ref="N62" si="59">N60+N61</f>
        <v>0.29760248000744449</v>
      </c>
      <c r="O62" s="222">
        <f t="shared" ref="O62" si="60">O60+O61</f>
        <v>0.3165845091699736</v>
      </c>
      <c r="P62" s="222">
        <f t="shared" ref="P62" si="61">P60+P61</f>
        <v>0.31446758154353632</v>
      </c>
      <c r="Q62" s="222">
        <f t="shared" ref="Q62" si="62">Q60+Q61</f>
        <v>0.31897275857998902</v>
      </c>
      <c r="R62" s="222">
        <f t="shared" ref="R62" si="63">R60+R61</f>
        <v>0.3308869169285053</v>
      </c>
      <c r="S62" s="222">
        <f t="shared" ref="S62" si="64">S60+S61</f>
        <v>0.33940019802411053</v>
      </c>
      <c r="T62" s="222">
        <f t="shared" ref="T62" si="65">T60+T61</f>
        <v>0.33127422900532105</v>
      </c>
      <c r="U62" s="222">
        <f t="shared" ref="U62" si="66">U60+U61</f>
        <v>0.34724258861726726</v>
      </c>
    </row>
    <row r="63" spans="1:21" x14ac:dyDescent="0.25">
      <c r="A63" s="224" t="s">
        <v>644</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7" t="s">
        <v>700</v>
      </c>
      <c r="B64" s="278"/>
      <c r="C64" s="278"/>
      <c r="D64" s="278"/>
      <c r="E64" s="278"/>
      <c r="F64" s="278"/>
      <c r="G64" s="278"/>
      <c r="H64" s="278"/>
      <c r="I64" s="278"/>
      <c r="J64" s="278"/>
      <c r="K64" s="278"/>
      <c r="L64" s="278"/>
      <c r="M64" s="278"/>
      <c r="N64" s="278"/>
      <c r="O64" s="278"/>
      <c r="P64" s="278"/>
      <c r="Q64" s="278"/>
      <c r="R64" s="278"/>
      <c r="S64" s="278"/>
      <c r="T64" s="278"/>
      <c r="U64" s="278"/>
    </row>
    <row r="66" spans="1:21" s="9" customFormat="1" x14ac:dyDescent="0.25">
      <c r="A66" s="230" t="s">
        <v>651</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652</v>
      </c>
      <c r="E67" s="191">
        <f>E10</f>
        <v>0</v>
      </c>
      <c r="F67" s="191">
        <f t="shared" ref="F67:U67" si="68">F10</f>
        <v>0</v>
      </c>
      <c r="G67" s="191">
        <f t="shared" si="68"/>
        <v>0</v>
      </c>
      <c r="H67" s="191">
        <f t="shared" si="68"/>
        <v>0</v>
      </c>
      <c r="I67" s="191">
        <f t="shared" si="68"/>
        <v>0</v>
      </c>
      <c r="J67" s="191">
        <f t="shared" si="68"/>
        <v>0</v>
      </c>
      <c r="K67" s="191">
        <f t="shared" si="68"/>
        <v>0</v>
      </c>
      <c r="L67" s="191">
        <f t="shared" si="68"/>
        <v>0</v>
      </c>
      <c r="M67" s="191">
        <f t="shared" si="68"/>
        <v>0</v>
      </c>
      <c r="N67" s="191">
        <f t="shared" si="68"/>
        <v>0</v>
      </c>
      <c r="O67" s="191">
        <f t="shared" si="68"/>
        <v>0</v>
      </c>
      <c r="P67" s="191">
        <f t="shared" si="68"/>
        <v>0</v>
      </c>
      <c r="Q67" s="191">
        <f t="shared" si="68"/>
        <v>0</v>
      </c>
      <c r="R67" s="191">
        <f t="shared" si="68"/>
        <v>0</v>
      </c>
      <c r="S67" s="191">
        <f t="shared" si="68"/>
        <v>0</v>
      </c>
      <c r="T67" s="191">
        <f t="shared" si="68"/>
        <v>0</v>
      </c>
      <c r="U67" s="191">
        <f t="shared" si="68"/>
        <v>12825</v>
      </c>
    </row>
    <row r="68" spans="1:21" x14ac:dyDescent="0.25">
      <c r="A68" s="17" t="s">
        <v>653</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654</v>
      </c>
      <c r="E69" s="191">
        <f>E12</f>
        <v>0</v>
      </c>
      <c r="F69" s="191">
        <f t="shared" ref="F69:U69" si="70">F12</f>
        <v>0</v>
      </c>
      <c r="G69" s="191">
        <f t="shared" si="70"/>
        <v>0</v>
      </c>
      <c r="H69" s="191">
        <f t="shared" si="70"/>
        <v>0</v>
      </c>
      <c r="I69" s="191">
        <f t="shared" si="70"/>
        <v>0</v>
      </c>
      <c r="J69" s="191">
        <f t="shared" si="70"/>
        <v>0</v>
      </c>
      <c r="K69" s="191">
        <f t="shared" si="70"/>
        <v>0</v>
      </c>
      <c r="L69" s="191">
        <f t="shared" si="70"/>
        <v>0</v>
      </c>
      <c r="M69" s="191">
        <f t="shared" si="70"/>
        <v>0</v>
      </c>
      <c r="N69" s="191">
        <f t="shared" si="70"/>
        <v>0</v>
      </c>
      <c r="O69" s="191">
        <f t="shared" si="70"/>
        <v>0</v>
      </c>
      <c r="P69" s="191">
        <f t="shared" si="70"/>
        <v>0</v>
      </c>
      <c r="Q69" s="191">
        <f t="shared" si="70"/>
        <v>0</v>
      </c>
      <c r="R69" s="191">
        <f t="shared" si="70"/>
        <v>0</v>
      </c>
      <c r="S69" s="191">
        <f t="shared" si="70"/>
        <v>0</v>
      </c>
      <c r="T69" s="191">
        <f t="shared" si="70"/>
        <v>0</v>
      </c>
      <c r="U69" s="191">
        <f t="shared" si="70"/>
        <v>12825</v>
      </c>
    </row>
    <row r="70" spans="1:21" s="232" customFormat="1" x14ac:dyDescent="0.25">
      <c r="A70" s="232" t="s">
        <v>657</v>
      </c>
      <c r="E70" s="232">
        <f>E69/E74</f>
        <v>0</v>
      </c>
      <c r="F70" s="232">
        <f t="shared" ref="F70:U70" si="71">F69/F74</f>
        <v>0</v>
      </c>
      <c r="G70" s="232">
        <f t="shared" si="71"/>
        <v>0</v>
      </c>
      <c r="H70" s="232">
        <f t="shared" si="71"/>
        <v>0</v>
      </c>
      <c r="I70" s="232">
        <f t="shared" si="71"/>
        <v>0</v>
      </c>
      <c r="J70" s="232">
        <f t="shared" si="71"/>
        <v>0</v>
      </c>
      <c r="K70" s="232">
        <f t="shared" si="71"/>
        <v>0</v>
      </c>
      <c r="L70" s="232">
        <f t="shared" si="71"/>
        <v>0</v>
      </c>
      <c r="M70" s="232">
        <f t="shared" si="71"/>
        <v>0</v>
      </c>
      <c r="N70" s="232">
        <f t="shared" si="71"/>
        <v>0</v>
      </c>
      <c r="O70" s="232">
        <f t="shared" si="71"/>
        <v>0</v>
      </c>
      <c r="P70" s="232">
        <f t="shared" si="71"/>
        <v>0</v>
      </c>
      <c r="Q70" s="232">
        <f t="shared" si="71"/>
        <v>0</v>
      </c>
      <c r="R70" s="232">
        <f t="shared" si="71"/>
        <v>0</v>
      </c>
      <c r="S70" s="232">
        <f t="shared" si="71"/>
        <v>0</v>
      </c>
      <c r="T70" s="232">
        <f t="shared" si="71"/>
        <v>0</v>
      </c>
      <c r="U70" s="232">
        <f t="shared" si="71"/>
        <v>3.4220401158216363E-6</v>
      </c>
    </row>
    <row r="71" spans="1:21" x14ac:dyDescent="0.25">
      <c r="A71" s="17" t="s">
        <v>655</v>
      </c>
      <c r="E71" s="191">
        <f>E13</f>
        <v>5213639786.6299992</v>
      </c>
      <c r="F71" s="191">
        <f t="shared" ref="F71:U71" si="72">F13</f>
        <v>4976162507.460001</v>
      </c>
      <c r="G71" s="191">
        <f t="shared" si="72"/>
        <v>4694169908.46</v>
      </c>
      <c r="H71" s="191">
        <f t="shared" si="72"/>
        <v>4937607035.2799988</v>
      </c>
      <c r="I71" s="191">
        <f t="shared" si="72"/>
        <v>4565389662.8699989</v>
      </c>
      <c r="J71" s="191">
        <f t="shared" si="72"/>
        <v>4221102000.5</v>
      </c>
      <c r="K71" s="191">
        <f t="shared" si="72"/>
        <v>3946260206.9499998</v>
      </c>
      <c r="L71" s="191">
        <f t="shared" si="72"/>
        <v>5296201433.6599998</v>
      </c>
      <c r="M71" s="191">
        <f t="shared" si="72"/>
        <v>5012730562.0799999</v>
      </c>
      <c r="N71" s="191">
        <f t="shared" si="72"/>
        <v>4736104170.250001</v>
      </c>
      <c r="O71" s="191">
        <f t="shared" si="72"/>
        <v>4462956943.5799999</v>
      </c>
      <c r="P71" s="191">
        <f t="shared" si="72"/>
        <v>4545913740.5299997</v>
      </c>
      <c r="Q71" s="191">
        <f t="shared" si="72"/>
        <v>4291829670.1400003</v>
      </c>
      <c r="R71" s="191">
        <f t="shared" si="72"/>
        <v>4084820267.5599995</v>
      </c>
      <c r="S71" s="191">
        <f t="shared" si="72"/>
        <v>3886090455.0100002</v>
      </c>
      <c r="T71" s="191">
        <f t="shared" si="72"/>
        <v>3955795122.1099997</v>
      </c>
      <c r="U71" s="191">
        <f t="shared" si="72"/>
        <v>3747751539.5099998</v>
      </c>
    </row>
    <row r="72" spans="1:21" s="232" customFormat="1" x14ac:dyDescent="0.25">
      <c r="A72" s="232" t="s">
        <v>658</v>
      </c>
      <c r="E72" s="232">
        <f>E71/E74</f>
        <v>1</v>
      </c>
      <c r="F72" s="232">
        <f t="shared" ref="F72:U72" si="73">F71/F74</f>
        <v>1</v>
      </c>
      <c r="G72" s="232">
        <f t="shared" si="73"/>
        <v>1</v>
      </c>
      <c r="H72" s="232">
        <f t="shared" si="73"/>
        <v>1</v>
      </c>
      <c r="I72" s="232">
        <f t="shared" si="73"/>
        <v>1</v>
      </c>
      <c r="J72" s="232">
        <f t="shared" si="73"/>
        <v>1</v>
      </c>
      <c r="K72" s="232">
        <f t="shared" si="73"/>
        <v>1</v>
      </c>
      <c r="L72" s="232">
        <f t="shared" si="73"/>
        <v>1</v>
      </c>
      <c r="M72" s="232">
        <f t="shared" si="73"/>
        <v>1</v>
      </c>
      <c r="N72" s="232">
        <f t="shared" si="73"/>
        <v>1</v>
      </c>
      <c r="O72" s="232">
        <f t="shared" si="73"/>
        <v>1</v>
      </c>
      <c r="P72" s="232">
        <f t="shared" si="73"/>
        <v>1</v>
      </c>
      <c r="Q72" s="232">
        <f t="shared" si="73"/>
        <v>1</v>
      </c>
      <c r="R72" s="232">
        <f t="shared" si="73"/>
        <v>1</v>
      </c>
      <c r="S72" s="232">
        <f t="shared" si="73"/>
        <v>1</v>
      </c>
      <c r="T72" s="232">
        <f t="shared" si="73"/>
        <v>1</v>
      </c>
      <c r="U72" s="232">
        <f t="shared" si="73"/>
        <v>0.99999657795988417</v>
      </c>
    </row>
    <row r="73" spans="1:21" s="234" customFormat="1" x14ac:dyDescent="0.25">
      <c r="A73" s="233" t="s">
        <v>659</v>
      </c>
      <c r="E73" s="235">
        <f>E74/E71</f>
        <v>1</v>
      </c>
      <c r="F73" s="235">
        <f t="shared" ref="F73:U73" si="74">F74/F71</f>
        <v>1</v>
      </c>
      <c r="G73" s="235">
        <f t="shared" si="74"/>
        <v>1</v>
      </c>
      <c r="H73" s="235">
        <f t="shared" si="74"/>
        <v>1</v>
      </c>
      <c r="I73" s="235">
        <f t="shared" si="74"/>
        <v>1</v>
      </c>
      <c r="J73" s="235">
        <f t="shared" si="74"/>
        <v>1</v>
      </c>
      <c r="K73" s="235">
        <f t="shared" si="74"/>
        <v>1</v>
      </c>
      <c r="L73" s="235">
        <f t="shared" si="74"/>
        <v>1</v>
      </c>
      <c r="M73" s="235">
        <f t="shared" si="74"/>
        <v>1</v>
      </c>
      <c r="N73" s="235">
        <f t="shared" si="74"/>
        <v>1</v>
      </c>
      <c r="O73" s="235">
        <f t="shared" si="74"/>
        <v>1</v>
      </c>
      <c r="P73" s="235">
        <f t="shared" si="74"/>
        <v>1</v>
      </c>
      <c r="Q73" s="235">
        <f t="shared" si="74"/>
        <v>1</v>
      </c>
      <c r="R73" s="235">
        <f t="shared" si="74"/>
        <v>1</v>
      </c>
      <c r="S73" s="235">
        <f t="shared" si="74"/>
        <v>1</v>
      </c>
      <c r="T73" s="235">
        <f t="shared" si="74"/>
        <v>1</v>
      </c>
      <c r="U73" s="235">
        <f t="shared" si="74"/>
        <v>1.0000034220518261</v>
      </c>
    </row>
    <row r="74" spans="1:21" x14ac:dyDescent="0.25">
      <c r="A74" s="17" t="s">
        <v>656</v>
      </c>
      <c r="E74" s="191">
        <f>E14</f>
        <v>5213639786.6299992</v>
      </c>
      <c r="F74" s="191">
        <f t="shared" ref="F74:U74" si="75">F14</f>
        <v>4976162507.460001</v>
      </c>
      <c r="G74" s="191">
        <f t="shared" si="75"/>
        <v>4694169908.46</v>
      </c>
      <c r="H74" s="191">
        <f t="shared" si="75"/>
        <v>4937607035.2799988</v>
      </c>
      <c r="I74" s="191">
        <f t="shared" si="75"/>
        <v>4565389662.8699989</v>
      </c>
      <c r="J74" s="191">
        <f t="shared" si="75"/>
        <v>4221102000.5</v>
      </c>
      <c r="K74" s="191">
        <f t="shared" si="75"/>
        <v>3946260206.9499998</v>
      </c>
      <c r="L74" s="191">
        <f t="shared" si="75"/>
        <v>5296201433.6599998</v>
      </c>
      <c r="M74" s="191">
        <f t="shared" si="75"/>
        <v>5012730562.0799999</v>
      </c>
      <c r="N74" s="191">
        <f t="shared" si="75"/>
        <v>4736104170.250001</v>
      </c>
      <c r="O74" s="191">
        <f t="shared" si="75"/>
        <v>4462956943.5799999</v>
      </c>
      <c r="P74" s="191">
        <f t="shared" si="75"/>
        <v>4545913740.5299997</v>
      </c>
      <c r="Q74" s="191">
        <f t="shared" si="75"/>
        <v>4291829670.1400003</v>
      </c>
      <c r="R74" s="191">
        <f t="shared" si="75"/>
        <v>4084820267.5599995</v>
      </c>
      <c r="S74" s="191">
        <f t="shared" si="75"/>
        <v>3886090455.0100002</v>
      </c>
      <c r="T74" s="191">
        <f t="shared" si="75"/>
        <v>3955795122.1099997</v>
      </c>
      <c r="U74" s="191">
        <f t="shared" si="75"/>
        <v>3747764364.5099998</v>
      </c>
    </row>
    <row r="75" spans="1:21" ht="83.4" customHeight="1" x14ac:dyDescent="0.25">
      <c r="A75" s="275" t="s">
        <v>701</v>
      </c>
      <c r="B75" s="274"/>
      <c r="C75" s="274"/>
      <c r="D75" s="274"/>
      <c r="E75" s="274"/>
      <c r="F75" s="274"/>
      <c r="G75" s="274"/>
      <c r="H75" s="274"/>
      <c r="I75" s="274"/>
      <c r="J75" s="274"/>
      <c r="K75" s="274"/>
      <c r="L75" s="274"/>
      <c r="M75" s="274"/>
      <c r="N75" s="274"/>
      <c r="O75" s="274"/>
      <c r="P75" s="274"/>
      <c r="Q75" s="274"/>
      <c r="R75" s="274"/>
      <c r="S75" s="274"/>
      <c r="T75" s="274"/>
      <c r="U75" s="274"/>
    </row>
    <row r="77" spans="1:21" s="236" customFormat="1" x14ac:dyDescent="0.25">
      <c r="A77" s="237" t="s">
        <v>660</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652</v>
      </c>
      <c r="B78" s="64"/>
      <c r="C78" s="64"/>
      <c r="D78" s="64"/>
      <c r="E78" s="88">
        <f>E10</f>
        <v>0</v>
      </c>
      <c r="F78" s="88">
        <f t="shared" ref="F78:U78" si="77">F10</f>
        <v>0</v>
      </c>
      <c r="G78" s="88">
        <f t="shared" si="77"/>
        <v>0</v>
      </c>
      <c r="H78" s="88">
        <f t="shared" si="77"/>
        <v>0</v>
      </c>
      <c r="I78" s="88">
        <f t="shared" si="77"/>
        <v>0</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12825</v>
      </c>
    </row>
    <row r="79" spans="1:21" x14ac:dyDescent="0.25">
      <c r="A79" s="182" t="s">
        <v>661</v>
      </c>
      <c r="B79" s="64"/>
      <c r="C79" s="64"/>
      <c r="D79" s="64"/>
      <c r="E79" s="88">
        <f>E78</f>
        <v>0</v>
      </c>
      <c r="F79" s="88">
        <f t="shared" ref="F79:U79" si="78">F78</f>
        <v>0</v>
      </c>
      <c r="G79" s="88">
        <f t="shared" si="78"/>
        <v>0</v>
      </c>
      <c r="H79" s="88">
        <f t="shared" si="78"/>
        <v>0</v>
      </c>
      <c r="I79" s="88">
        <f t="shared" si="78"/>
        <v>0</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12825</v>
      </c>
    </row>
    <row r="80" spans="1:21" s="218" customFormat="1" x14ac:dyDescent="0.25">
      <c r="A80" s="222" t="s">
        <v>662</v>
      </c>
      <c r="B80" s="222"/>
      <c r="C80" s="222"/>
      <c r="D80" s="222"/>
      <c r="E80" s="222">
        <f>E79/E85</f>
        <v>0</v>
      </c>
      <c r="F80" s="222">
        <f t="shared" ref="F80:U80" si="79">F79/F85</f>
        <v>0</v>
      </c>
      <c r="G80" s="222">
        <f t="shared" si="79"/>
        <v>0</v>
      </c>
      <c r="H80" s="222">
        <f t="shared" si="79"/>
        <v>0</v>
      </c>
      <c r="I80" s="222">
        <f t="shared" si="79"/>
        <v>0</v>
      </c>
      <c r="J80" s="222">
        <f t="shared" si="79"/>
        <v>0</v>
      </c>
      <c r="K80" s="222">
        <f t="shared" si="79"/>
        <v>0</v>
      </c>
      <c r="L80" s="222">
        <f t="shared" si="79"/>
        <v>0</v>
      </c>
      <c r="M80" s="222">
        <f t="shared" si="79"/>
        <v>0</v>
      </c>
      <c r="N80" s="222">
        <f t="shared" si="79"/>
        <v>0</v>
      </c>
      <c r="O80" s="222">
        <f t="shared" si="79"/>
        <v>0</v>
      </c>
      <c r="P80" s="222">
        <f t="shared" si="79"/>
        <v>0</v>
      </c>
      <c r="Q80" s="222">
        <f t="shared" si="79"/>
        <v>0</v>
      </c>
      <c r="R80" s="222">
        <f t="shared" si="79"/>
        <v>0</v>
      </c>
      <c r="S80" s="222">
        <f t="shared" si="79"/>
        <v>0</v>
      </c>
      <c r="T80" s="222">
        <f t="shared" si="79"/>
        <v>0</v>
      </c>
      <c r="U80" s="222">
        <f t="shared" si="79"/>
        <v>3.4220401158216363E-6</v>
      </c>
    </row>
    <row r="81" spans="1:21" x14ac:dyDescent="0.25">
      <c r="A81" s="182" t="s">
        <v>653</v>
      </c>
      <c r="B81" s="64"/>
      <c r="C81" s="64"/>
      <c r="D81" s="64"/>
      <c r="E81" s="88">
        <f>E11</f>
        <v>0</v>
      </c>
      <c r="F81" s="88">
        <f t="shared" ref="F81:U81" si="80">F11</f>
        <v>0</v>
      </c>
      <c r="G81" s="88">
        <f t="shared" si="80"/>
        <v>0</v>
      </c>
      <c r="H81" s="88">
        <f t="shared" si="80"/>
        <v>0</v>
      </c>
      <c r="I81" s="88">
        <f t="shared" si="80"/>
        <v>0</v>
      </c>
      <c r="J81" s="88">
        <f t="shared" si="80"/>
        <v>0</v>
      </c>
      <c r="K81" s="88">
        <f t="shared" si="80"/>
        <v>0</v>
      </c>
      <c r="L81" s="88">
        <f t="shared" si="80"/>
        <v>0</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2" t="s">
        <v>655</v>
      </c>
      <c r="B82" s="64"/>
      <c r="C82" s="64"/>
      <c r="D82" s="64"/>
      <c r="E82" s="88">
        <f>E13</f>
        <v>5213639786.6299992</v>
      </c>
      <c r="F82" s="88">
        <f t="shared" ref="F82:U82" si="81">F13</f>
        <v>4976162507.460001</v>
      </c>
      <c r="G82" s="88">
        <f t="shared" si="81"/>
        <v>4694169908.46</v>
      </c>
      <c r="H82" s="88">
        <f t="shared" si="81"/>
        <v>4937607035.2799988</v>
      </c>
      <c r="I82" s="88">
        <f t="shared" si="81"/>
        <v>4565389662.8699989</v>
      </c>
      <c r="J82" s="88">
        <f t="shared" si="81"/>
        <v>4221102000.5</v>
      </c>
      <c r="K82" s="88">
        <f t="shared" si="81"/>
        <v>3946260206.9499998</v>
      </c>
      <c r="L82" s="88">
        <f t="shared" si="81"/>
        <v>5296201433.6599998</v>
      </c>
      <c r="M82" s="88">
        <f t="shared" si="81"/>
        <v>5012730562.0799999</v>
      </c>
      <c r="N82" s="88">
        <f t="shared" si="81"/>
        <v>4736104170.250001</v>
      </c>
      <c r="O82" s="88">
        <f t="shared" si="81"/>
        <v>4462956943.5799999</v>
      </c>
      <c r="P82" s="88">
        <f t="shared" si="81"/>
        <v>4545913740.5299997</v>
      </c>
      <c r="Q82" s="88">
        <f t="shared" si="81"/>
        <v>4291829670.1400003</v>
      </c>
      <c r="R82" s="88">
        <f t="shared" si="81"/>
        <v>4084820267.5599995</v>
      </c>
      <c r="S82" s="88">
        <f t="shared" si="81"/>
        <v>3886090455.0100002</v>
      </c>
      <c r="T82" s="88">
        <f t="shared" si="81"/>
        <v>3955795122.1099997</v>
      </c>
      <c r="U82" s="88">
        <f t="shared" si="81"/>
        <v>3747751539.5099998</v>
      </c>
    </row>
    <row r="83" spans="1:21" x14ac:dyDescent="0.25">
      <c r="A83" s="182" t="s">
        <v>663</v>
      </c>
      <c r="B83" s="64"/>
      <c r="C83" s="64"/>
      <c r="D83" s="64"/>
      <c r="E83" s="88">
        <f>E81+E82</f>
        <v>5213639786.6299992</v>
      </c>
      <c r="F83" s="88">
        <f t="shared" ref="F83:U83" si="82">F81+F82</f>
        <v>4976162507.460001</v>
      </c>
      <c r="G83" s="88">
        <f t="shared" si="82"/>
        <v>4694169908.46</v>
      </c>
      <c r="H83" s="88">
        <f t="shared" si="82"/>
        <v>4937607035.2799988</v>
      </c>
      <c r="I83" s="88">
        <f t="shared" si="82"/>
        <v>4565389662.8699989</v>
      </c>
      <c r="J83" s="88">
        <f t="shared" si="82"/>
        <v>4221102000.5</v>
      </c>
      <c r="K83" s="88">
        <f t="shared" si="82"/>
        <v>3946260206.9499998</v>
      </c>
      <c r="L83" s="88">
        <f t="shared" si="82"/>
        <v>5296201433.6599998</v>
      </c>
      <c r="M83" s="88">
        <f t="shared" si="82"/>
        <v>5012730562.0799999</v>
      </c>
      <c r="N83" s="88">
        <f t="shared" si="82"/>
        <v>4736104170.250001</v>
      </c>
      <c r="O83" s="88">
        <f t="shared" si="82"/>
        <v>4462956943.5799999</v>
      </c>
      <c r="P83" s="88">
        <f t="shared" si="82"/>
        <v>4545913740.5299997</v>
      </c>
      <c r="Q83" s="88">
        <f t="shared" si="82"/>
        <v>4291829670.1400003</v>
      </c>
      <c r="R83" s="88">
        <f t="shared" si="82"/>
        <v>4084820267.5599995</v>
      </c>
      <c r="S83" s="88">
        <f t="shared" si="82"/>
        <v>3886090455.0100002</v>
      </c>
      <c r="T83" s="88">
        <f t="shared" si="82"/>
        <v>3955795122.1099997</v>
      </c>
      <c r="U83" s="88">
        <f t="shared" si="82"/>
        <v>3747751539.5099998</v>
      </c>
    </row>
    <row r="84" spans="1:21" s="218" customFormat="1" x14ac:dyDescent="0.25">
      <c r="A84" s="222" t="s">
        <v>664</v>
      </c>
      <c r="B84" s="222"/>
      <c r="C84" s="222"/>
      <c r="D84" s="222"/>
      <c r="E84" s="222">
        <f>E83/E85</f>
        <v>1</v>
      </c>
      <c r="F84" s="222">
        <f t="shared" ref="F84:U84" si="83">F83/F85</f>
        <v>1</v>
      </c>
      <c r="G84" s="222">
        <f t="shared" si="83"/>
        <v>1</v>
      </c>
      <c r="H84" s="222">
        <f t="shared" si="83"/>
        <v>1</v>
      </c>
      <c r="I84" s="222">
        <f t="shared" si="83"/>
        <v>1</v>
      </c>
      <c r="J84" s="222">
        <f t="shared" si="83"/>
        <v>1</v>
      </c>
      <c r="K84" s="222">
        <f t="shared" si="83"/>
        <v>1</v>
      </c>
      <c r="L84" s="222">
        <f t="shared" si="83"/>
        <v>1</v>
      </c>
      <c r="M84" s="222">
        <f t="shared" si="83"/>
        <v>1</v>
      </c>
      <c r="N84" s="222">
        <f t="shared" si="83"/>
        <v>1</v>
      </c>
      <c r="O84" s="222">
        <f t="shared" si="83"/>
        <v>1</v>
      </c>
      <c r="P84" s="222">
        <f t="shared" si="83"/>
        <v>1</v>
      </c>
      <c r="Q84" s="222">
        <f t="shared" si="83"/>
        <v>1</v>
      </c>
      <c r="R84" s="222">
        <f t="shared" si="83"/>
        <v>1</v>
      </c>
      <c r="S84" s="222">
        <f t="shared" si="83"/>
        <v>1</v>
      </c>
      <c r="T84" s="222">
        <f t="shared" si="83"/>
        <v>1</v>
      </c>
      <c r="U84" s="222">
        <f t="shared" si="83"/>
        <v>0.99999657795988417</v>
      </c>
    </row>
    <row r="85" spans="1:21" x14ac:dyDescent="0.25">
      <c r="A85" s="182" t="s">
        <v>656</v>
      </c>
      <c r="B85" s="64"/>
      <c r="C85" s="64"/>
      <c r="D85" s="64"/>
      <c r="E85" s="88">
        <f>E14</f>
        <v>5213639786.6299992</v>
      </c>
      <c r="F85" s="88">
        <f t="shared" ref="F85:U85" si="84">F14</f>
        <v>4976162507.460001</v>
      </c>
      <c r="G85" s="88">
        <f t="shared" si="84"/>
        <v>4694169908.46</v>
      </c>
      <c r="H85" s="88">
        <f t="shared" si="84"/>
        <v>4937607035.2799988</v>
      </c>
      <c r="I85" s="88">
        <f t="shared" si="84"/>
        <v>4565389662.8699989</v>
      </c>
      <c r="J85" s="88">
        <f t="shared" si="84"/>
        <v>4221102000.5</v>
      </c>
      <c r="K85" s="88">
        <f t="shared" si="84"/>
        <v>3946260206.9499998</v>
      </c>
      <c r="L85" s="88">
        <f t="shared" si="84"/>
        <v>5296201433.6599998</v>
      </c>
      <c r="M85" s="88">
        <f t="shared" si="84"/>
        <v>5012730562.0799999</v>
      </c>
      <c r="N85" s="88">
        <f t="shared" si="84"/>
        <v>4736104170.250001</v>
      </c>
      <c r="O85" s="88">
        <f t="shared" si="84"/>
        <v>4462956943.5799999</v>
      </c>
      <c r="P85" s="88">
        <f t="shared" si="84"/>
        <v>4545913740.5299997</v>
      </c>
      <c r="Q85" s="88">
        <f t="shared" si="84"/>
        <v>4291829670.1400003</v>
      </c>
      <c r="R85" s="88">
        <f t="shared" si="84"/>
        <v>4084820267.5599995</v>
      </c>
      <c r="S85" s="88">
        <f t="shared" si="84"/>
        <v>3886090455.0100002</v>
      </c>
      <c r="T85" s="88">
        <f t="shared" si="84"/>
        <v>3955795122.1099997</v>
      </c>
      <c r="U85" s="88">
        <f t="shared" si="84"/>
        <v>3747764364.5099998</v>
      </c>
    </row>
    <row r="87" spans="1:21" s="56" customFormat="1" ht="85.8" customHeight="1" x14ac:dyDescent="0.25">
      <c r="A87" s="273" t="s">
        <v>702</v>
      </c>
      <c r="B87" s="276"/>
      <c r="C87" s="276"/>
      <c r="D87" s="276"/>
      <c r="E87" s="276"/>
      <c r="F87" s="276"/>
      <c r="G87" s="276"/>
      <c r="H87" s="276"/>
      <c r="I87" s="276"/>
      <c r="J87" s="276"/>
      <c r="K87" s="276"/>
      <c r="L87" s="276"/>
      <c r="M87" s="276"/>
      <c r="N87" s="276"/>
      <c r="O87" s="276"/>
      <c r="P87" s="276"/>
      <c r="Q87" s="276"/>
      <c r="R87" s="276"/>
      <c r="S87" s="276"/>
      <c r="T87" s="276"/>
      <c r="U87" s="276"/>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1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0" width="19.33203125" hidden="1" customWidth="1"/>
    <col min="51" max="52" width="17.21875" hidden="1" customWidth="1"/>
    <col min="53" max="53" width="19.33203125" bestFit="1" customWidth="1"/>
    <col min="54" max="56" width="17.21875" hidden="1" customWidth="1"/>
    <col min="57" max="57" width="19.33203125" bestFit="1" customWidth="1"/>
    <col min="58" max="60" width="17.21875" hidden="1" customWidth="1"/>
    <col min="61" max="61" width="17.21875" bestFit="1" customWidth="1"/>
    <col min="62" max="63" width="17.21875" hidden="1" customWidth="1"/>
    <col min="64" max="65" width="17.21875" bestFit="1" customWidth="1"/>
    <col min="66" max="66" width="9.5546875" hidden="1" customWidth="1"/>
    <col min="67" max="79" width="18.33203125" bestFit="1" customWidth="1"/>
    <col min="80" max="81" width="17.21875" bestFit="1" customWidth="1"/>
    <col min="82" max="84" width="9.5546875" bestFit="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14187347425.77</v>
      </c>
      <c r="F2" s="26">
        <f>股权价值增加表!F4</f>
        <v>10496638285.280001</v>
      </c>
      <c r="G2" s="26">
        <f>股权价值增加表!G4</f>
        <v>6909466633.0699997</v>
      </c>
      <c r="H2" s="26">
        <f>股权价值增加表!H4</f>
        <v>3946557740.5500002</v>
      </c>
      <c r="I2" s="26">
        <f>股权价值增加表!I4</f>
        <v>11947123201.120001</v>
      </c>
      <c r="J2" s="26">
        <f>股权价值增加表!J4</f>
        <v>8831589881.3400002</v>
      </c>
      <c r="K2" s="26">
        <f>股权价值增加表!K4</f>
        <v>5751920817.7799997</v>
      </c>
      <c r="L2" s="26">
        <f>股权价值增加表!L4</f>
        <v>3133161846.48</v>
      </c>
      <c r="M2" s="26">
        <f>股权价值增加表!M4</f>
        <v>10909686625.9</v>
      </c>
      <c r="N2" s="26">
        <f>股权价值增加表!N4</f>
        <v>8278621743.6099997</v>
      </c>
      <c r="O2" s="26">
        <f>股权价值增加表!O4</f>
        <v>5379574852.0900002</v>
      </c>
      <c r="P2" s="26">
        <f>股权价值增加表!P4</f>
        <v>3006733799.9699998</v>
      </c>
      <c r="Q2" s="26">
        <f>股权价值增加表!Q4</f>
        <v>9534643945.8400002</v>
      </c>
      <c r="R2" s="26">
        <f>股权价值增加表!R4</f>
        <v>7165393933.3800001</v>
      </c>
      <c r="S2" s="26">
        <f>股权价值增加表!S4</f>
        <v>4642903746.8100004</v>
      </c>
      <c r="T2" s="26">
        <f>股权价值增加表!T4</f>
        <v>2597184476.3400002</v>
      </c>
      <c r="U2" s="26">
        <f>股权价值增加表!U4</f>
        <v>8383249626.6099997</v>
      </c>
      <c r="V2" s="26">
        <f>股权价值增加表!V4</f>
        <v>6309123886.5600004</v>
      </c>
      <c r="W2" s="26">
        <f>股权价值增加表!W4</f>
        <v>4137281725.73</v>
      </c>
      <c r="X2" s="26">
        <f>股权价值增加表!X4</f>
        <v>2271122489.46</v>
      </c>
      <c r="Y2" s="26">
        <f>股权价值增加表!Y4</f>
        <v>6889460447.5</v>
      </c>
      <c r="Z2" s="26">
        <f>股权价值增加表!Z4</f>
        <v>5094265010.2200003</v>
      </c>
      <c r="AA2" s="26">
        <f>股权价值增加表!AA4</f>
        <v>3337991428.0799999</v>
      </c>
      <c r="AB2" s="26">
        <f>股权价值增加表!AB4</f>
        <v>1921580092.78</v>
      </c>
      <c r="AC2" s="26">
        <f>股权价值增加表!AC4</f>
        <v>7125653010.6000004</v>
      </c>
      <c r="AD2" s="26">
        <f>股权价值增加表!AD4</f>
        <v>5320905422.1599998</v>
      </c>
      <c r="AE2" s="26">
        <f>股权价值增加表!AE4</f>
        <v>3478460807.9000001</v>
      </c>
      <c r="AF2" s="26">
        <f>股权价值增加表!AF4</f>
        <v>1916611704.77</v>
      </c>
      <c r="AG2" s="26">
        <f>股权价值增加表!AG4</f>
        <v>5622064477.6899996</v>
      </c>
      <c r="AH2" s="26">
        <f>股权价值增加表!AH4</f>
        <v>4131698878.2600002</v>
      </c>
      <c r="AI2" s="26">
        <f>股权价值增加表!AI4</f>
        <v>2637387856.5799999</v>
      </c>
      <c r="AJ2" s="26">
        <f>股权价值增加表!AJ4</f>
        <v>1409824143.3399999</v>
      </c>
      <c r="AK2" s="26">
        <f>股权价值增加表!AK4</f>
        <v>4115694413.0500002</v>
      </c>
      <c r="AL2" s="26">
        <f>股权价值增加表!AL4</f>
        <v>2869852234.98</v>
      </c>
      <c r="AM2" s="26">
        <f>股权价值增加表!AM4</f>
        <v>1789643522.5799999</v>
      </c>
      <c r="AN2" s="26">
        <f>股权价值增加表!AN4</f>
        <v>974769793.25999999</v>
      </c>
      <c r="AO2" s="26">
        <f>股权价值增加表!AO4</f>
        <v>3622472692.9499998</v>
      </c>
      <c r="AP2" s="26">
        <f>股权价值增加表!AP4</f>
        <v>2737510628.8299999</v>
      </c>
      <c r="AQ2" s="26">
        <f>股权价值增加表!AQ4</f>
        <v>1770090740.1099999</v>
      </c>
      <c r="AR2" s="26">
        <f>股权价值增加表!AR4</f>
        <v>948870059</v>
      </c>
      <c r="AS2" s="26">
        <f>股权价值增加表!AS4</f>
        <v>2933702853.6199999</v>
      </c>
      <c r="AT2" s="26">
        <f>股权价值增加表!AT4</f>
        <v>2036986258.02</v>
      </c>
      <c r="AU2" s="26">
        <f>股权价值增加表!AU4</f>
        <v>1343067096.1199999</v>
      </c>
      <c r="AV2" s="26">
        <f>股权价值增加表!AV4</f>
        <v>690513878.61000001</v>
      </c>
      <c r="AW2" s="26">
        <f>股权价值增加表!AW4</f>
        <v>2078933841.01</v>
      </c>
      <c r="AX2" s="26">
        <f>股权价值增加表!AX4</f>
        <v>1395329575.05</v>
      </c>
      <c r="AY2" s="26">
        <f>股权价值增加表!AY4</f>
        <v>950623937.99000001</v>
      </c>
      <c r="AZ2" s="26">
        <f>股权价值增加表!AZ4</f>
        <v>497601268.74000001</v>
      </c>
      <c r="BA2" s="26">
        <f>股权价值增加表!BA4</f>
        <v>1469657238.76</v>
      </c>
      <c r="BB2" s="26">
        <f>股权价值增加表!BB4</f>
        <v>892949953.26999998</v>
      </c>
      <c r="BC2" s="26">
        <f>股权价值增加表!BC4</f>
        <v>571334000.86000001</v>
      </c>
      <c r="BD2" s="26">
        <f>股权价值增加表!BD4</f>
        <v>307441328.06</v>
      </c>
      <c r="BE2" s="26">
        <f>股权价值增加表!BE4</f>
        <v>1005100421.21</v>
      </c>
      <c r="BF2" s="26">
        <f>股权价值增加表!BF4</f>
        <v>690760992.04999995</v>
      </c>
      <c r="BG2" s="26">
        <f>股权价值增加表!BG4</f>
        <v>421255138.5</v>
      </c>
      <c r="BH2" s="26">
        <f>股权价值增加表!BH4</f>
        <v>215333282.66999999</v>
      </c>
      <c r="BI2" s="26">
        <f>股权价值增加表!BI4</f>
        <v>836522190.09000003</v>
      </c>
      <c r="BJ2" s="26">
        <f>股权价值增加表!BJ4</f>
        <v>565041355.69000006</v>
      </c>
      <c r="BK2" s="26">
        <f>股权价值增加表!BK4</f>
        <v>359187902.31</v>
      </c>
      <c r="BL2" s="26">
        <f>股权价值增加表!BL4</f>
        <v>615144162.49000001</v>
      </c>
      <c r="BM2" s="26">
        <f>股权价值增加表!BM4</f>
        <v>469451683.89999998</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0.18751160316485113</v>
      </c>
      <c r="F3" s="66">
        <f t="shared" ref="F3:BQ3" si="0">(F2-J2)/J2</f>
        <v>0.18853325690066644</v>
      </c>
      <c r="G3" s="66">
        <f t="shared" si="0"/>
        <v>0.20124508872094732</v>
      </c>
      <c r="H3" s="66">
        <f t="shared" si="0"/>
        <v>0.25960864261890032</v>
      </c>
      <c r="I3" s="66">
        <f t="shared" si="0"/>
        <v>9.5093159940734542E-2</v>
      </c>
      <c r="J3" s="66">
        <f t="shared" si="0"/>
        <v>6.6794709899243646E-2</v>
      </c>
      <c r="K3" s="66">
        <f t="shared" si="0"/>
        <v>6.9214756914357412E-2</v>
      </c>
      <c r="L3" s="66">
        <f t="shared" si="0"/>
        <v>4.2048300554994818E-2</v>
      </c>
      <c r="M3" s="66">
        <f t="shared" si="0"/>
        <v>0.14421541988045977</v>
      </c>
      <c r="N3" s="66">
        <f t="shared" si="0"/>
        <v>0.1553617038477153</v>
      </c>
      <c r="O3" s="66">
        <f t="shared" si="0"/>
        <v>0.15866603002186816</v>
      </c>
      <c r="P3" s="66">
        <f t="shared" si="0"/>
        <v>0.15768973184652021</v>
      </c>
      <c r="Q3" s="66">
        <f t="shared" si="0"/>
        <v>0.13734463012711204</v>
      </c>
      <c r="R3" s="66">
        <f t="shared" si="0"/>
        <v>0.13571932683776702</v>
      </c>
      <c r="S3" s="66">
        <f t="shared" si="0"/>
        <v>0.12221116534934208</v>
      </c>
      <c r="T3" s="66">
        <f t="shared" si="0"/>
        <v>0.1435686487158723</v>
      </c>
      <c r="U3" s="66">
        <f t="shared" si="0"/>
        <v>0.21682237535046095</v>
      </c>
      <c r="V3" s="66">
        <f t="shared" si="0"/>
        <v>0.23847579069851638</v>
      </c>
      <c r="W3" s="66">
        <f t="shared" si="0"/>
        <v>0.23945247160498218</v>
      </c>
      <c r="X3" s="66">
        <f t="shared" si="0"/>
        <v>0.18190363128414178</v>
      </c>
      <c r="Y3" s="66">
        <f t="shared" si="0"/>
        <v>-3.3146795493499942E-2</v>
      </c>
      <c r="Z3" s="66">
        <f t="shared" si="0"/>
        <v>-4.2594331971417716E-2</v>
      </c>
      <c r="AA3" s="66">
        <f t="shared" si="0"/>
        <v>-4.038262541322226E-2</v>
      </c>
      <c r="AB3" s="66">
        <f t="shared" si="0"/>
        <v>2.5922767755382223E-3</v>
      </c>
      <c r="AC3" s="66">
        <f t="shared" si="0"/>
        <v>0.26744419934646446</v>
      </c>
      <c r="AD3" s="66">
        <f t="shared" si="0"/>
        <v>0.28782507606188745</v>
      </c>
      <c r="AE3" s="66">
        <f t="shared" si="0"/>
        <v>0.31890377792618302</v>
      </c>
      <c r="AF3" s="66">
        <f t="shared" si="0"/>
        <v>0.35946863573308857</v>
      </c>
      <c r="AG3" s="66">
        <f t="shared" si="0"/>
        <v>0.36600629528363843</v>
      </c>
      <c r="AH3" s="66">
        <f t="shared" si="0"/>
        <v>0.43969045789174371</v>
      </c>
      <c r="AI3" s="66">
        <f t="shared" si="0"/>
        <v>0.47369452257054417</v>
      </c>
      <c r="AJ3" s="66">
        <f t="shared" si="0"/>
        <v>0.44631496901951911</v>
      </c>
      <c r="AK3" s="66">
        <f t="shared" si="0"/>
        <v>0.13615609057865388</v>
      </c>
      <c r="AL3" s="66">
        <f t="shared" si="0"/>
        <v>4.8343778013589786E-2</v>
      </c>
      <c r="AM3" s="66">
        <f t="shared" si="0"/>
        <v>1.1046203466826197E-2</v>
      </c>
      <c r="AN3" s="66">
        <f t="shared" si="0"/>
        <v>2.7295343566109919E-2</v>
      </c>
      <c r="AO3" s="66">
        <f t="shared" si="0"/>
        <v>0.2347783240828574</v>
      </c>
      <c r="AP3" s="66">
        <f t="shared" si="0"/>
        <v>0.34390235479100711</v>
      </c>
      <c r="AQ3" s="66">
        <f t="shared" si="0"/>
        <v>0.31794662025719561</v>
      </c>
      <c r="AR3" s="66">
        <f t="shared" si="0"/>
        <v>0.37415059768251047</v>
      </c>
      <c r="AS3" s="66">
        <f t="shared" si="0"/>
        <v>0.41115739026824005</v>
      </c>
      <c r="AT3" s="66">
        <f t="shared" si="0"/>
        <v>0.45986030429191399</v>
      </c>
      <c r="AU3" s="66">
        <f t="shared" si="0"/>
        <v>0.41282692602900573</v>
      </c>
      <c r="AV3" s="66">
        <f t="shared" si="0"/>
        <v>0.38768512459480509</v>
      </c>
      <c r="AW3" s="66">
        <f t="shared" si="0"/>
        <v>0.41457054487348866</v>
      </c>
      <c r="AX3" s="66">
        <f t="shared" si="0"/>
        <v>0.56260669474283087</v>
      </c>
      <c r="AY3" s="66">
        <f t="shared" si="0"/>
        <v>0.66386725900974586</v>
      </c>
      <c r="AZ3" s="66">
        <f t="shared" si="0"/>
        <v>0.61852432748692965</v>
      </c>
      <c r="BA3" s="66">
        <f t="shared" si="0"/>
        <v>0.46219940589691394</v>
      </c>
      <c r="BB3" s="66">
        <f t="shared" si="0"/>
        <v>0.29270465985630645</v>
      </c>
      <c r="BC3" s="66">
        <f t="shared" si="0"/>
        <v>0.35626595059326505</v>
      </c>
      <c r="BD3" s="66">
        <f t="shared" si="0"/>
        <v>0.4277464414600336</v>
      </c>
      <c r="BE3" s="66">
        <f t="shared" si="0"/>
        <v>0.20152272482079997</v>
      </c>
      <c r="BF3" s="66">
        <f t="shared" si="0"/>
        <v>0.22249634490289194</v>
      </c>
      <c r="BG3" s="66">
        <f t="shared" si="0"/>
        <v>0.1727987935864064</v>
      </c>
      <c r="BH3" s="66">
        <f t="shared" si="0"/>
        <v>-0.64994663722668344</v>
      </c>
      <c r="BI3" s="66">
        <f t="shared" si="0"/>
        <v>0.78191328049041875</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9994038739.0300007</v>
      </c>
      <c r="F4" s="26">
        <f>股权价值增加表!F5</f>
        <v>7393683346.5900002</v>
      </c>
      <c r="G4" s="26">
        <f>股权价值增加表!G5</f>
        <v>4834039606.04</v>
      </c>
      <c r="H4" s="26">
        <f>股权价值增加表!H5</f>
        <v>2717483854.0999999</v>
      </c>
      <c r="I4" s="26">
        <f>股权价值增加表!I5</f>
        <v>8299999071.7799997</v>
      </c>
      <c r="J4" s="26">
        <f>股权价值增加表!J5</f>
        <v>6175639591.1999998</v>
      </c>
      <c r="K4" s="26">
        <f>股权价值增加表!K5</f>
        <v>4012799751.8000002</v>
      </c>
      <c r="L4" s="26">
        <f>股权价值增加表!L5</f>
        <v>2157873063.1100001</v>
      </c>
      <c r="M4" s="26">
        <f>股权价值增加表!M5</f>
        <v>7749205984.6800003</v>
      </c>
      <c r="N4" s="26">
        <f>股权价值增加表!N5</f>
        <v>5917522087.8100004</v>
      </c>
      <c r="O4" s="26">
        <f>股权价值增加表!O5</f>
        <v>3826621021.75</v>
      </c>
      <c r="P4" s="26">
        <f>股权价值增加表!P5</f>
        <v>2119536321.05</v>
      </c>
      <c r="Q4" s="26">
        <f>股权价值增加表!Q5</f>
        <v>6766783798.5900002</v>
      </c>
      <c r="R4" s="26">
        <f>股权价值增加表!R5</f>
        <v>5105893650.71</v>
      </c>
      <c r="S4" s="26">
        <f>股权价值增加表!S5</f>
        <v>3272332302.5599999</v>
      </c>
      <c r="T4" s="26">
        <f>股权价值增加表!T5</f>
        <v>1809225118.5</v>
      </c>
      <c r="U4" s="26">
        <f>股权价值增加表!U5</f>
        <v>5990546429.8400002</v>
      </c>
      <c r="V4" s="26">
        <f>股权价值增加表!V5</f>
        <v>4543607402.7299995</v>
      </c>
      <c r="W4" s="26">
        <f>股权价值增加表!W5</f>
        <v>2972551661.21</v>
      </c>
      <c r="X4" s="26">
        <f>股权价值增加表!X5</f>
        <v>1617435886.8800001</v>
      </c>
      <c r="Y4" s="26">
        <f>股权价值增加表!Y5</f>
        <v>4883816910.9799995</v>
      </c>
      <c r="Z4" s="26">
        <f>股权价值增加表!Z5</f>
        <v>3637694852.5300002</v>
      </c>
      <c r="AA4" s="26">
        <f>股权价值增加表!AA5</f>
        <v>2373210048.5100002</v>
      </c>
      <c r="AB4" s="26">
        <f>股权价值增加表!AB5</f>
        <v>1344332758.29</v>
      </c>
      <c r="AC4" s="26">
        <f>股权价值增加表!AC5</f>
        <v>5177587426.1999998</v>
      </c>
      <c r="AD4" s="26">
        <f>股权价值增加表!AD5</f>
        <v>3860633717.8899999</v>
      </c>
      <c r="AE4" s="26">
        <f>股权价值增加表!AE5</f>
        <v>2496676794.8600001</v>
      </c>
      <c r="AF4" s="26">
        <f>股权价值增加表!AF5</f>
        <v>1358295682.6600001</v>
      </c>
      <c r="AG4" s="26">
        <f>股权价值增加表!AG5</f>
        <v>4050296293.5</v>
      </c>
      <c r="AH4" s="26">
        <f>股权价值增加表!AH5</f>
        <v>2960460127.6900001</v>
      </c>
      <c r="AI4" s="26">
        <f>股权价值增加表!AI5</f>
        <v>1875365183</v>
      </c>
      <c r="AJ4" s="26">
        <f>股权价值增加表!AJ5</f>
        <v>993455551.94000006</v>
      </c>
      <c r="AK4" s="26">
        <f>股权价值增加表!AK5</f>
        <v>2838977342.4699998</v>
      </c>
      <c r="AL4" s="26">
        <f>股权价值增加表!AL5</f>
        <v>1967777388.4000001</v>
      </c>
      <c r="AM4" s="26">
        <f>股权价值增加表!AM5</f>
        <v>1207313239.52</v>
      </c>
      <c r="AN4" s="26">
        <f>股权价值增加表!AN5</f>
        <v>641973107.02999997</v>
      </c>
      <c r="AO4" s="26">
        <f>股权价值增加表!AO5</f>
        <v>2620554181.21</v>
      </c>
      <c r="AP4" s="26">
        <f>股权价值增加表!AP5</f>
        <v>1998835580.3</v>
      </c>
      <c r="AQ4" s="26">
        <f>股权价值增加表!AQ5</f>
        <v>1278392611.24</v>
      </c>
      <c r="AR4" s="26">
        <f>股权价值增加表!AR5</f>
        <v>659435870.07000005</v>
      </c>
      <c r="AS4" s="26">
        <f>股权价值增加表!AS5</f>
        <v>2148775148.0300002</v>
      </c>
      <c r="AT4" s="26">
        <f>股权价值增加表!AT5</f>
        <v>1498759961.8800001</v>
      </c>
      <c r="AU4" s="26">
        <f>股权价值增加表!AU5</f>
        <v>973161667.58000004</v>
      </c>
      <c r="AV4" s="26">
        <f>股权价值增加表!AV5</f>
        <v>483136840.17000002</v>
      </c>
      <c r="AW4" s="26">
        <f>股权价值增加表!AW5</f>
        <v>1517457672.6099999</v>
      </c>
      <c r="AX4" s="26">
        <f>股权价值增加表!AX5</f>
        <v>1005686269.8099999</v>
      </c>
      <c r="AY4" s="26">
        <f>股权价值增加表!AY5</f>
        <v>686077206.70000005</v>
      </c>
      <c r="AZ4" s="26">
        <f>股权价值增加表!AZ5</f>
        <v>359053640.45999998</v>
      </c>
      <c r="BA4" s="26">
        <f>股权价值增加表!BA5</f>
        <v>1104147473.76</v>
      </c>
      <c r="BB4" s="26">
        <f>股权价值增加表!BB5</f>
        <v>657317342.32000005</v>
      </c>
      <c r="BC4" s="26">
        <f>股权价值增加表!BC5</f>
        <v>412465271.30000001</v>
      </c>
      <c r="BD4" s="26">
        <f>股权价值增加表!BD5</f>
        <v>221081799.97999999</v>
      </c>
      <c r="BE4" s="26">
        <f>股权价值增加表!BE5</f>
        <v>726513585.96000004</v>
      </c>
      <c r="BF4" s="26">
        <f>股权价值增加表!BF5</f>
        <v>498366992.25</v>
      </c>
      <c r="BG4" s="26">
        <f>股权价值增加表!BG5</f>
        <v>297904515.07999998</v>
      </c>
      <c r="BH4" s="26">
        <f>股权价值增加表!BH5</f>
        <v>149935201.59</v>
      </c>
      <c r="BI4" s="26">
        <f>股权价值增加表!BI5</f>
        <v>596658019.77999997</v>
      </c>
      <c r="BJ4" s="26">
        <f>股权价值增加表!BJ5</f>
        <v>406494610.31999999</v>
      </c>
      <c r="BK4" s="26">
        <f>股权价值增加表!BK5</f>
        <v>258437151.44999999</v>
      </c>
      <c r="BL4" s="26">
        <f>股权价值增加表!BL5</f>
        <v>429677830.88999999</v>
      </c>
      <c r="BM4" s="26">
        <f>股权价值增加表!BM5</f>
        <v>312345786.75</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0.70443321356018651</v>
      </c>
      <c r="F5" s="66">
        <f t="shared" si="2"/>
        <v>0.70438583722167114</v>
      </c>
      <c r="G5" s="66">
        <f t="shared" si="2"/>
        <v>0.69962558077976411</v>
      </c>
      <c r="H5" s="66">
        <f t="shared" si="2"/>
        <v>0.68857065644281845</v>
      </c>
      <c r="I5" s="66">
        <f t="shared" si="2"/>
        <v>0.69472783799550208</v>
      </c>
      <c r="J5" s="66">
        <f t="shared" si="2"/>
        <v>0.69926702600268187</v>
      </c>
      <c r="K5" s="66">
        <f t="shared" si="2"/>
        <v>0.69764516566289814</v>
      </c>
      <c r="L5" s="66">
        <f t="shared" si="2"/>
        <v>0.68872058605408359</v>
      </c>
      <c r="M5" s="66">
        <f t="shared" si="2"/>
        <v>0.71030509403295772</v>
      </c>
      <c r="N5" s="66">
        <f t="shared" si="2"/>
        <v>0.71479556272486355</v>
      </c>
      <c r="O5" s="66">
        <f t="shared" si="2"/>
        <v>0.71132405942141186</v>
      </c>
      <c r="P5" s="66">
        <f t="shared" si="2"/>
        <v>0.70492982154627326</v>
      </c>
      <c r="Q5" s="66">
        <f t="shared" si="2"/>
        <v>0.70970492836729082</v>
      </c>
      <c r="R5" s="66">
        <f t="shared" si="2"/>
        <v>0.71257682385391063</v>
      </c>
      <c r="S5" s="66">
        <f t="shared" si="2"/>
        <v>0.70480295974438867</v>
      </c>
      <c r="T5" s="66">
        <f t="shared" si="2"/>
        <v>0.69661016958240607</v>
      </c>
      <c r="U5" s="66">
        <f t="shared" si="2"/>
        <v>0.71458523802331819</v>
      </c>
      <c r="V5" s="66">
        <f t="shared" si="2"/>
        <v>0.72016455603431895</v>
      </c>
      <c r="W5" s="66">
        <f t="shared" si="2"/>
        <v>0.71847939257399984</v>
      </c>
      <c r="X5" s="66">
        <f t="shared" si="2"/>
        <v>0.71217466005744778</v>
      </c>
      <c r="Y5" s="66">
        <f t="shared" si="2"/>
        <v>0.70888234981481102</v>
      </c>
      <c r="Z5" s="66">
        <f t="shared" si="2"/>
        <v>0.71407648507333998</v>
      </c>
      <c r="AA5" s="66">
        <f t="shared" si="2"/>
        <v>0.71096948558524664</v>
      </c>
      <c r="AB5" s="66">
        <f t="shared" si="2"/>
        <v>0.69959756730468559</v>
      </c>
      <c r="AC5" s="66">
        <f t="shared" si="2"/>
        <v>0.72661234254571594</v>
      </c>
      <c r="AD5" s="66">
        <f t="shared" si="2"/>
        <v>0.72555954515026722</v>
      </c>
      <c r="AE5" s="66">
        <f t="shared" si="2"/>
        <v>0.71775332043119444</v>
      </c>
      <c r="AF5" s="66">
        <f t="shared" si="2"/>
        <v>0.70869633075886918</v>
      </c>
      <c r="AG5" s="66">
        <f t="shared" si="2"/>
        <v>0.72042864495289294</v>
      </c>
      <c r="AH5" s="66">
        <f t="shared" si="2"/>
        <v>0.71652369035585461</v>
      </c>
      <c r="AI5" s="66">
        <f t="shared" si="2"/>
        <v>0.71106916577368962</v>
      </c>
      <c r="AJ5" s="66">
        <f t="shared" si="2"/>
        <v>0.70466629234084099</v>
      </c>
      <c r="AK5" s="66">
        <f t="shared" ref="AK5:BP5" si="3">AK4/AK2</f>
        <v>0.68979303552474658</v>
      </c>
      <c r="AL5" s="66">
        <f t="shared" si="3"/>
        <v>0.68567202325443544</v>
      </c>
      <c r="AM5" s="66">
        <f t="shared" si="3"/>
        <v>0.67461101850021143</v>
      </c>
      <c r="AN5" s="66">
        <f t="shared" si="3"/>
        <v>0.65858945513996525</v>
      </c>
      <c r="AO5" s="66">
        <f t="shared" si="3"/>
        <v>0.72341585522786189</v>
      </c>
      <c r="AP5" s="66">
        <f t="shared" si="3"/>
        <v>0.73016541351450148</v>
      </c>
      <c r="AQ5" s="66">
        <f t="shared" si="3"/>
        <v>0.72221868759143726</v>
      </c>
      <c r="AR5" s="66">
        <f t="shared" si="3"/>
        <v>0.69496962604655232</v>
      </c>
      <c r="AS5" s="66">
        <f t="shared" si="3"/>
        <v>0.73244471415315648</v>
      </c>
      <c r="AT5" s="66">
        <f t="shared" si="3"/>
        <v>0.7357732316450829</v>
      </c>
      <c r="AU5" s="66">
        <f t="shared" si="3"/>
        <v>0.72458157183016147</v>
      </c>
      <c r="AV5" s="66">
        <f t="shared" si="3"/>
        <v>0.6996772333418575</v>
      </c>
      <c r="AW5" s="66">
        <f t="shared" si="3"/>
        <v>0.72992109834182106</v>
      </c>
      <c r="AX5" s="66">
        <f t="shared" si="3"/>
        <v>0.72075177634929899</v>
      </c>
      <c r="AY5" s="66">
        <f t="shared" si="3"/>
        <v>0.72171252930011653</v>
      </c>
      <c r="AZ5" s="66">
        <f t="shared" si="3"/>
        <v>0.72156898106224066</v>
      </c>
      <c r="BA5" s="66">
        <f t="shared" si="3"/>
        <v>0.75129591080135594</v>
      </c>
      <c r="BB5" s="66">
        <f t="shared" si="3"/>
        <v>0.73611890555891879</v>
      </c>
      <c r="BC5" s="66">
        <f t="shared" si="3"/>
        <v>0.72193370371645482</v>
      </c>
      <c r="BD5" s="66">
        <f t="shared" si="3"/>
        <v>0.71910241012507548</v>
      </c>
      <c r="BE5" s="66">
        <f t="shared" si="3"/>
        <v>0.72282686448920153</v>
      </c>
      <c r="BF5" s="66">
        <f t="shared" si="3"/>
        <v>0.72147529751350847</v>
      </c>
      <c r="BG5" s="66">
        <f t="shared" si="3"/>
        <v>0.70718310081812807</v>
      </c>
      <c r="BH5" s="66">
        <f t="shared" si="3"/>
        <v>0.69629366965893946</v>
      </c>
      <c r="BI5" s="66">
        <f t="shared" si="3"/>
        <v>0.71326024204546989</v>
      </c>
      <c r="BJ5" s="66">
        <f t="shared" si="3"/>
        <v>0.71940682965339631</v>
      </c>
      <c r="BK5" s="66">
        <f t="shared" si="3"/>
        <v>0.71950405285909025</v>
      </c>
      <c r="BL5" s="66">
        <f t="shared" si="3"/>
        <v>0.69849940402707633</v>
      </c>
      <c r="BM5" s="66">
        <f t="shared" si="3"/>
        <v>0.66534171132408626</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0.20410118755431389</v>
      </c>
      <c r="F6" s="66">
        <f t="shared" ref="F6:BQ6" si="5">(F4-J4)/J4</f>
        <v>0.19723362048615276</v>
      </c>
      <c r="G6" s="66">
        <f t="shared" si="5"/>
        <v>0.20465508000283855</v>
      </c>
      <c r="H6" s="66">
        <f t="shared" si="5"/>
        <v>0.2593344347064927</v>
      </c>
      <c r="I6" s="66">
        <f t="shared" si="5"/>
        <v>7.1077357885298773E-2</v>
      </c>
      <c r="J6" s="66">
        <f t="shared" si="5"/>
        <v>4.3619187146207238E-2</v>
      </c>
      <c r="K6" s="66">
        <f t="shared" si="5"/>
        <v>4.8653558581261455E-2</v>
      </c>
      <c r="L6" s="66">
        <f t="shared" si="5"/>
        <v>1.8087324892365371E-2</v>
      </c>
      <c r="M6" s="66">
        <f t="shared" si="5"/>
        <v>0.14518303160427679</v>
      </c>
      <c r="N6" s="66">
        <f t="shared" si="5"/>
        <v>0.15895913480045543</v>
      </c>
      <c r="O6" s="66">
        <f t="shared" si="5"/>
        <v>0.16938643998849712</v>
      </c>
      <c r="P6" s="66">
        <f t="shared" si="5"/>
        <v>0.17151608131953974</v>
      </c>
      <c r="Q6" s="66">
        <f t="shared" si="5"/>
        <v>0.12957705575628639</v>
      </c>
      <c r="R6" s="66">
        <f t="shared" si="5"/>
        <v>0.12375326434281143</v>
      </c>
      <c r="S6" s="66">
        <f t="shared" si="5"/>
        <v>0.10084959843152798</v>
      </c>
      <c r="T6" s="66">
        <f t="shared" si="5"/>
        <v>0.11857609514894422</v>
      </c>
      <c r="U6" s="66">
        <f t="shared" si="5"/>
        <v>0.22661159069493483</v>
      </c>
      <c r="V6" s="66">
        <f t="shared" si="5"/>
        <v>0.24903478354429351</v>
      </c>
      <c r="W6" s="66">
        <f t="shared" si="5"/>
        <v>0.25254469703442028</v>
      </c>
      <c r="X6" s="66">
        <f t="shared" si="5"/>
        <v>0.20315143472170472</v>
      </c>
      <c r="Y6" s="66">
        <f t="shared" si="5"/>
        <v>-5.6738880686676887E-2</v>
      </c>
      <c r="Z6" s="66">
        <f t="shared" si="5"/>
        <v>-5.7746702135173085E-2</v>
      </c>
      <c r="AA6" s="66">
        <f t="shared" si="5"/>
        <v>-4.9452434774170773E-2</v>
      </c>
      <c r="AB6" s="66">
        <f t="shared" si="5"/>
        <v>-1.0279738460668607E-2</v>
      </c>
      <c r="AC6" s="66">
        <f t="shared" si="5"/>
        <v>0.27832312774477763</v>
      </c>
      <c r="AD6" s="66">
        <f t="shared" si="5"/>
        <v>0.30406543286309717</v>
      </c>
      <c r="AE6" s="66">
        <f t="shared" si="5"/>
        <v>0.33130166726572963</v>
      </c>
      <c r="AF6" s="66">
        <f t="shared" si="5"/>
        <v>0.36724353697309109</v>
      </c>
      <c r="AG6" s="66">
        <f t="shared" si="5"/>
        <v>0.42667439887918041</v>
      </c>
      <c r="AH6" s="66">
        <f t="shared" si="5"/>
        <v>0.50446902436314223</v>
      </c>
      <c r="AI6" s="66">
        <f t="shared" si="5"/>
        <v>0.55333771022473188</v>
      </c>
      <c r="AJ6" s="66">
        <f t="shared" si="5"/>
        <v>0.54750337835191432</v>
      </c>
      <c r="AK6" s="66">
        <f t="shared" si="5"/>
        <v>8.3349988649784851E-2</v>
      </c>
      <c r="AL6" s="66">
        <f t="shared" si="5"/>
        <v>-1.5538142409561478E-2</v>
      </c>
      <c r="AM6" s="66">
        <f t="shared" si="5"/>
        <v>-5.5600580834909007E-2</v>
      </c>
      <c r="AN6" s="66">
        <f t="shared" si="5"/>
        <v>-2.6481366623484378E-2</v>
      </c>
      <c r="AO6" s="66">
        <f t="shared" si="5"/>
        <v>0.21955718987746459</v>
      </c>
      <c r="AP6" s="66">
        <f t="shared" si="5"/>
        <v>0.33365957934499385</v>
      </c>
      <c r="AQ6" s="66">
        <f t="shared" si="5"/>
        <v>0.31364875316043833</v>
      </c>
      <c r="AR6" s="66">
        <f t="shared" si="5"/>
        <v>0.36490496116579763</v>
      </c>
      <c r="AS6" s="66">
        <f t="shared" si="5"/>
        <v>0.4160362999345778</v>
      </c>
      <c r="AT6" s="66">
        <f t="shared" si="5"/>
        <v>0.49028579475700163</v>
      </c>
      <c r="AU6" s="66">
        <f t="shared" si="5"/>
        <v>0.41844337353934713</v>
      </c>
      <c r="AV6" s="66">
        <f t="shared" si="5"/>
        <v>0.34558401789501814</v>
      </c>
      <c r="AW6" s="66">
        <f t="shared" si="5"/>
        <v>0.37432517727232328</v>
      </c>
      <c r="AX6" s="66">
        <f t="shared" si="5"/>
        <v>0.52998590644274279</v>
      </c>
      <c r="AY6" s="66">
        <f t="shared" si="5"/>
        <v>0.66335751016718392</v>
      </c>
      <c r="AZ6" s="66">
        <f t="shared" si="5"/>
        <v>0.62407597772626022</v>
      </c>
      <c r="BA6" s="66">
        <f t="shared" si="5"/>
        <v>0.51978916168649802</v>
      </c>
      <c r="BB6" s="66">
        <f t="shared" si="5"/>
        <v>0.318942370866858</v>
      </c>
      <c r="BC6" s="66">
        <f t="shared" si="5"/>
        <v>0.38455528674761985</v>
      </c>
      <c r="BD6" s="66">
        <f t="shared" si="5"/>
        <v>0.47451564166066484</v>
      </c>
      <c r="BE6" s="66">
        <f t="shared" si="5"/>
        <v>0.21763818112740774</v>
      </c>
      <c r="BF6" s="66">
        <f t="shared" si="5"/>
        <v>0.22601131625749327</v>
      </c>
      <c r="BG6" s="66">
        <f t="shared" si="5"/>
        <v>0.15271551868050895</v>
      </c>
      <c r="BH6" s="66">
        <f t="shared" si="5"/>
        <v>-0.65105204222559876</v>
      </c>
      <c r="BI6" s="66">
        <f t="shared" si="5"/>
        <v>0.91024833723005216</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356</v>
      </c>
      <c r="E7" s="27">
        <f>股权价值增加表!E6</f>
        <v>4193308686.7399998</v>
      </c>
      <c r="F7" s="27">
        <f>股权价值增加表!F6</f>
        <v>3102954938.6900005</v>
      </c>
      <c r="G7" s="27">
        <f>股权价值增加表!G6</f>
        <v>2075427027.0299997</v>
      </c>
      <c r="H7" s="27">
        <f>股权价值增加表!H6</f>
        <v>1229073886.4500003</v>
      </c>
      <c r="I7" s="27">
        <f>股权价值增加表!I6</f>
        <v>3647124129.3400011</v>
      </c>
      <c r="J7" s="27">
        <f>股权价值增加表!J6</f>
        <v>2655950290.1400003</v>
      </c>
      <c r="K7" s="27">
        <f>股权价值增加表!K6</f>
        <v>1739121065.9799995</v>
      </c>
      <c r="L7" s="27">
        <f>股权价值增加表!L6</f>
        <v>975288783.36999989</v>
      </c>
      <c r="M7" s="27">
        <f>股权价值增加表!M6</f>
        <v>3160480641.2199993</v>
      </c>
      <c r="N7" s="27">
        <f>股权价值增加表!N6</f>
        <v>2361099655.7999992</v>
      </c>
      <c r="O7" s="27">
        <f>股权价值增加表!O6</f>
        <v>1552953830.3400002</v>
      </c>
      <c r="P7" s="27">
        <f>股权价值增加表!P6</f>
        <v>887197478.91999984</v>
      </c>
      <c r="Q7" s="27">
        <f>股权价值增加表!Q6</f>
        <v>2767860147.25</v>
      </c>
      <c r="R7" s="27">
        <f>股权价值增加表!R6</f>
        <v>2059500282.6700001</v>
      </c>
      <c r="S7" s="27">
        <f>股权价值增加表!S6</f>
        <v>1370571444.2500005</v>
      </c>
      <c r="T7" s="27">
        <f>股权价值增加表!T6</f>
        <v>787959357.84000015</v>
      </c>
      <c r="U7" s="27">
        <f>股权价值增加表!U6</f>
        <v>2392703196.7699995</v>
      </c>
      <c r="V7" s="27">
        <f>股权价值增加表!V6</f>
        <v>1765516483.8300009</v>
      </c>
      <c r="W7" s="27">
        <f>股权价值增加表!W6</f>
        <v>1164730064.52</v>
      </c>
      <c r="X7" s="27">
        <f>股权价值增加表!X6</f>
        <v>653686602.57999992</v>
      </c>
      <c r="Y7" s="27">
        <f>股权价值增加表!Y6</f>
        <v>2005643536.5200005</v>
      </c>
      <c r="Z7" s="27">
        <f>股权价值增加表!Z6</f>
        <v>1456570157.6900001</v>
      </c>
      <c r="AA7" s="27">
        <f>股权价值增加表!AA6</f>
        <v>964781379.56999969</v>
      </c>
      <c r="AB7" s="27">
        <f>股权价值增加表!AB6</f>
        <v>577247334.49000001</v>
      </c>
      <c r="AC7" s="27">
        <f>股权价值增加表!AC6</f>
        <v>1948065584.4000006</v>
      </c>
      <c r="AD7" s="27">
        <f>股权价值增加表!AD6</f>
        <v>1460271704.27</v>
      </c>
      <c r="AE7" s="27">
        <f>股权价值增加表!AE6</f>
        <v>981784013.03999996</v>
      </c>
      <c r="AF7" s="27">
        <f>股权价值增加表!AF6</f>
        <v>558316022.1099999</v>
      </c>
      <c r="AG7" s="27">
        <f>股权价值增加表!AG6</f>
        <v>1571768184.1899996</v>
      </c>
      <c r="AH7" s="27">
        <f>股权价值增加表!AH6</f>
        <v>1171238750.5700002</v>
      </c>
      <c r="AI7" s="27">
        <f>股权价值增加表!AI6</f>
        <v>762022673.57999992</v>
      </c>
      <c r="AJ7" s="27">
        <f>股权价值增加表!AJ6</f>
        <v>416368591.39999986</v>
      </c>
      <c r="AK7" s="27">
        <f>股权价值增加表!AK6</f>
        <v>1276717070.5800004</v>
      </c>
      <c r="AL7" s="27">
        <f>股权价值增加表!AL6</f>
        <v>902074846.57999992</v>
      </c>
      <c r="AM7" s="27">
        <f>股权价值增加表!AM6</f>
        <v>582330283.05999994</v>
      </c>
      <c r="AN7" s="27">
        <f>股权价值增加表!AN6</f>
        <v>332796686.23000002</v>
      </c>
      <c r="AO7" s="27">
        <f>股权价值增加表!AO6</f>
        <v>1001918511.7399998</v>
      </c>
      <c r="AP7" s="27">
        <f>股权价值增加表!AP6</f>
        <v>738675048.52999997</v>
      </c>
      <c r="AQ7" s="27">
        <f>股权价值增加表!AQ6</f>
        <v>491698128.86999989</v>
      </c>
      <c r="AR7" s="27">
        <f>股权价值增加表!AR6</f>
        <v>289434188.92999995</v>
      </c>
      <c r="AS7" s="27">
        <f>股权价值增加表!AS6</f>
        <v>784927705.58999968</v>
      </c>
      <c r="AT7" s="27">
        <f>股权价值增加表!AT6</f>
        <v>538226296.13999987</v>
      </c>
      <c r="AU7" s="27">
        <f>股权价值增加表!AU6</f>
        <v>369905428.53999984</v>
      </c>
      <c r="AV7" s="27">
        <f>股权价值增加表!AV6</f>
        <v>207377038.44</v>
      </c>
      <c r="AW7" s="27">
        <f>股权价值增加表!AW6</f>
        <v>561476168.4000001</v>
      </c>
      <c r="AX7" s="27">
        <f>股权价值增加表!AX6</f>
        <v>389643305.24000001</v>
      </c>
      <c r="AY7" s="27">
        <f>股权价值增加表!AY6</f>
        <v>264546731.28999996</v>
      </c>
      <c r="AZ7" s="27">
        <f>股权价值增加表!AZ6</f>
        <v>138547628.28000003</v>
      </c>
      <c r="BA7" s="27">
        <f>股权价值增加表!BA6</f>
        <v>365509765</v>
      </c>
      <c r="BB7" s="27">
        <f>股权价值增加表!BB6</f>
        <v>235632610.94999993</v>
      </c>
      <c r="BC7" s="27">
        <f>股权价值增加表!BC6</f>
        <v>158868729.56</v>
      </c>
      <c r="BD7" s="27">
        <f>股权价值增加表!BD6</f>
        <v>86359528.080000013</v>
      </c>
      <c r="BE7" s="27">
        <f>股权价值增加表!BE6</f>
        <v>278586835.25</v>
      </c>
      <c r="BF7" s="27">
        <f>股权价值增加表!BF6</f>
        <v>192393999.79999995</v>
      </c>
      <c r="BG7" s="27">
        <f>股权价值增加表!BG6</f>
        <v>123350623.42000002</v>
      </c>
      <c r="BH7" s="27">
        <f>股权价值增加表!BH6</f>
        <v>65398081.079999983</v>
      </c>
      <c r="BI7" s="27">
        <f>股权价值增加表!BI6</f>
        <v>239864170.31000006</v>
      </c>
      <c r="BJ7" s="27">
        <f>股权价值增加表!BJ6</f>
        <v>158546745.37000006</v>
      </c>
      <c r="BK7" s="27">
        <f>股权价值增加表!BK6</f>
        <v>100750750.86000001</v>
      </c>
      <c r="BL7" s="27">
        <f>股权价值增加表!BL6</f>
        <v>185466331.60000002</v>
      </c>
      <c r="BM7" s="27">
        <f>股权价值增加表!BM6</f>
        <v>157105897.14999998</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0.29556678643981349</v>
      </c>
      <c r="F8" s="66">
        <f t="shared" ref="F8:BQ8" si="7">F7/F2</f>
        <v>0.2956141627783288</v>
      </c>
      <c r="G8" s="66">
        <f t="shared" si="7"/>
        <v>0.30037441922023589</v>
      </c>
      <c r="H8" s="66">
        <f t="shared" si="7"/>
        <v>0.3114293435571816</v>
      </c>
      <c r="I8" s="66">
        <f t="shared" si="7"/>
        <v>0.30527216200449797</v>
      </c>
      <c r="J8" s="66">
        <f t="shared" si="7"/>
        <v>0.30073297399731813</v>
      </c>
      <c r="K8" s="66">
        <f t="shared" si="7"/>
        <v>0.30235483433710192</v>
      </c>
      <c r="L8" s="66">
        <f t="shared" si="7"/>
        <v>0.31127941394591646</v>
      </c>
      <c r="M8" s="66">
        <f t="shared" si="7"/>
        <v>0.28969490596704228</v>
      </c>
      <c r="N8" s="66">
        <f t="shared" si="7"/>
        <v>0.2852044372751365</v>
      </c>
      <c r="O8" s="66">
        <f t="shared" si="7"/>
        <v>0.2886759405785882</v>
      </c>
      <c r="P8" s="66">
        <f t="shared" si="7"/>
        <v>0.29507017845372674</v>
      </c>
      <c r="Q8" s="66">
        <f t="shared" si="7"/>
        <v>0.29029507163270918</v>
      </c>
      <c r="R8" s="66">
        <f t="shared" si="7"/>
        <v>0.28742317614608937</v>
      </c>
      <c r="S8" s="66">
        <f t="shared" si="7"/>
        <v>0.29519704025561133</v>
      </c>
      <c r="T8" s="66">
        <f t="shared" si="7"/>
        <v>0.30338983041759393</v>
      </c>
      <c r="U8" s="66">
        <f t="shared" si="7"/>
        <v>0.28541476197668181</v>
      </c>
      <c r="V8" s="66">
        <f t="shared" si="7"/>
        <v>0.27983544396568105</v>
      </c>
      <c r="W8" s="66">
        <f t="shared" si="7"/>
        <v>0.28152060742600021</v>
      </c>
      <c r="X8" s="66">
        <f t="shared" si="7"/>
        <v>0.28782533994255222</v>
      </c>
      <c r="Y8" s="66">
        <f t="shared" si="7"/>
        <v>0.29111765018518898</v>
      </c>
      <c r="Z8" s="66">
        <f t="shared" si="7"/>
        <v>0.28592351492666002</v>
      </c>
      <c r="AA8" s="66">
        <f t="shared" si="7"/>
        <v>0.28903051441475341</v>
      </c>
      <c r="AB8" s="66">
        <f t="shared" si="7"/>
        <v>0.30040243269531441</v>
      </c>
      <c r="AC8" s="66">
        <f t="shared" si="7"/>
        <v>0.27338765745428401</v>
      </c>
      <c r="AD8" s="66">
        <f t="shared" si="7"/>
        <v>0.27444045484973284</v>
      </c>
      <c r="AE8" s="66">
        <f t="shared" si="7"/>
        <v>0.28224667956880561</v>
      </c>
      <c r="AF8" s="66">
        <f t="shared" si="7"/>
        <v>0.29130366924113077</v>
      </c>
      <c r="AG8" s="66">
        <f t="shared" si="7"/>
        <v>0.27957135504710712</v>
      </c>
      <c r="AH8" s="66">
        <f t="shared" si="7"/>
        <v>0.28347630964414544</v>
      </c>
      <c r="AI8" s="66">
        <f t="shared" si="7"/>
        <v>0.28893083422631033</v>
      </c>
      <c r="AJ8" s="66">
        <f t="shared" si="7"/>
        <v>0.29533370765915906</v>
      </c>
      <c r="AK8" s="66">
        <f t="shared" si="7"/>
        <v>0.31020696447525342</v>
      </c>
      <c r="AL8" s="66">
        <f t="shared" si="7"/>
        <v>0.31432797674556456</v>
      </c>
      <c r="AM8" s="66">
        <f t="shared" si="7"/>
        <v>0.32538898149978851</v>
      </c>
      <c r="AN8" s="66">
        <f t="shared" si="7"/>
        <v>0.34141054486003475</v>
      </c>
      <c r="AO8" s="66">
        <f t="shared" si="7"/>
        <v>0.27658414477213811</v>
      </c>
      <c r="AP8" s="66">
        <f t="shared" si="7"/>
        <v>0.26983458648549852</v>
      </c>
      <c r="AQ8" s="66">
        <f t="shared" si="7"/>
        <v>0.27778131240856274</v>
      </c>
      <c r="AR8" s="66">
        <f t="shared" si="7"/>
        <v>0.30503037395344768</v>
      </c>
      <c r="AS8" s="66">
        <f t="shared" si="7"/>
        <v>0.26755528584684357</v>
      </c>
      <c r="AT8" s="66">
        <f t="shared" si="7"/>
        <v>0.2642267683549171</v>
      </c>
      <c r="AU8" s="66">
        <f t="shared" si="7"/>
        <v>0.27541842816983858</v>
      </c>
      <c r="AV8" s="66">
        <f t="shared" si="7"/>
        <v>0.30032276665814256</v>
      </c>
      <c r="AW8" s="66">
        <f t="shared" si="7"/>
        <v>0.27007890165817899</v>
      </c>
      <c r="AX8" s="66">
        <f t="shared" si="7"/>
        <v>0.27924822365070101</v>
      </c>
      <c r="AY8" s="66">
        <f t="shared" si="7"/>
        <v>0.27828747069988347</v>
      </c>
      <c r="AZ8" s="66">
        <f t="shared" si="7"/>
        <v>0.27843101893775934</v>
      </c>
      <c r="BA8" s="66">
        <f t="shared" si="7"/>
        <v>0.24870408919864409</v>
      </c>
      <c r="BB8" s="66">
        <f t="shared" si="7"/>
        <v>0.26388109444108121</v>
      </c>
      <c r="BC8" s="66">
        <f t="shared" si="7"/>
        <v>0.27806629628354512</v>
      </c>
      <c r="BD8" s="66">
        <f t="shared" si="7"/>
        <v>0.28089758987492452</v>
      </c>
      <c r="BE8" s="66">
        <f t="shared" si="7"/>
        <v>0.27717313551079853</v>
      </c>
      <c r="BF8" s="66">
        <f t="shared" si="7"/>
        <v>0.27852470248649147</v>
      </c>
      <c r="BG8" s="66">
        <f t="shared" si="7"/>
        <v>0.29281689918187198</v>
      </c>
      <c r="BH8" s="66">
        <f t="shared" si="7"/>
        <v>0.30370633034106054</v>
      </c>
      <c r="BI8" s="66">
        <f t="shared" si="7"/>
        <v>0.28673975795453016</v>
      </c>
      <c r="BJ8" s="66">
        <f t="shared" si="7"/>
        <v>0.28059317034660369</v>
      </c>
      <c r="BK8" s="66">
        <f t="shared" si="7"/>
        <v>0.28049594714090975</v>
      </c>
      <c r="BL8" s="66">
        <f t="shared" si="7"/>
        <v>0.30150059597292372</v>
      </c>
      <c r="BM8" s="66">
        <f t="shared" si="7"/>
        <v>0.33465828867591368</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0.14975760024346593</v>
      </c>
      <c r="F9" s="66">
        <f t="shared" ref="F9:BQ9" si="9">(F7-J7)/J7</f>
        <v>0.16830309294924256</v>
      </c>
      <c r="G9" s="66">
        <f t="shared" si="9"/>
        <v>0.19337696933737666</v>
      </c>
      <c r="H9" s="66">
        <f t="shared" si="9"/>
        <v>0.26021534073536118</v>
      </c>
      <c r="I9" s="66">
        <f t="shared" si="9"/>
        <v>0.15397768357541627</v>
      </c>
      <c r="J9" s="66">
        <f t="shared" si="9"/>
        <v>0.12487852158874606</v>
      </c>
      <c r="K9" s="66">
        <f t="shared" si="9"/>
        <v>0.119879440072755</v>
      </c>
      <c r="L9" s="66">
        <f t="shared" si="9"/>
        <v>9.9291653259920273E-2</v>
      </c>
      <c r="M9" s="66">
        <f t="shared" si="9"/>
        <v>0.14184983094615036</v>
      </c>
      <c r="N9" s="66">
        <f t="shared" si="9"/>
        <v>0.14644298700410779</v>
      </c>
      <c r="O9" s="66">
        <f t="shared" si="9"/>
        <v>0.13307032395513124</v>
      </c>
      <c r="P9" s="66">
        <f t="shared" si="9"/>
        <v>0.12594319756800271</v>
      </c>
      <c r="Q9" s="66">
        <f t="shared" si="9"/>
        <v>0.1567920964816861</v>
      </c>
      <c r="R9" s="66">
        <f t="shared" si="9"/>
        <v>0.16651433250979858</v>
      </c>
      <c r="S9" s="66">
        <f t="shared" si="9"/>
        <v>0.17672882842157109</v>
      </c>
      <c r="T9" s="66">
        <f t="shared" si="9"/>
        <v>0.20540845525982393</v>
      </c>
      <c r="U9" s="66">
        <f t="shared" si="9"/>
        <v>0.19298527041429689</v>
      </c>
      <c r="V9" s="66">
        <f t="shared" si="9"/>
        <v>0.21210535208957196</v>
      </c>
      <c r="W9" s="66">
        <f t="shared" si="9"/>
        <v>0.20724766168177586</v>
      </c>
      <c r="X9" s="66">
        <f t="shared" si="9"/>
        <v>0.13242030499375848</v>
      </c>
      <c r="Y9" s="66">
        <f t="shared" si="9"/>
        <v>2.9556475193176699E-2</v>
      </c>
      <c r="Z9" s="66">
        <f t="shared" si="9"/>
        <v>-2.5348341470811096E-3</v>
      </c>
      <c r="AA9" s="66">
        <f t="shared" si="9"/>
        <v>-1.7318099749203741E-2</v>
      </c>
      <c r="AB9" s="66">
        <f t="shared" si="9"/>
        <v>3.3907879463058378E-2</v>
      </c>
      <c r="AC9" s="66">
        <f t="shared" si="9"/>
        <v>0.23941024127799315</v>
      </c>
      <c r="AD9" s="66">
        <f t="shared" si="9"/>
        <v>0.24677543631419108</v>
      </c>
      <c r="AE9" s="66">
        <f t="shared" si="9"/>
        <v>0.28839212674283854</v>
      </c>
      <c r="AF9" s="66">
        <f t="shared" si="9"/>
        <v>0.34091771964046397</v>
      </c>
      <c r="AG9" s="66">
        <f t="shared" si="9"/>
        <v>0.23110140876863208</v>
      </c>
      <c r="AH9" s="66">
        <f t="shared" si="9"/>
        <v>0.29838311644590304</v>
      </c>
      <c r="AI9" s="66">
        <f t="shared" si="9"/>
        <v>0.30857469677819505</v>
      </c>
      <c r="AJ9" s="66">
        <f t="shared" si="9"/>
        <v>0.2511200039781713</v>
      </c>
      <c r="AK9" s="66">
        <f t="shared" si="9"/>
        <v>0.27427236408953737</v>
      </c>
      <c r="AL9" s="66">
        <f t="shared" si="9"/>
        <v>0.22120660278856538</v>
      </c>
      <c r="AM9" s="66">
        <f t="shared" si="9"/>
        <v>0.18432478967997518</v>
      </c>
      <c r="AN9" s="66">
        <f t="shared" si="9"/>
        <v>0.14981815887164371</v>
      </c>
      <c r="AO9" s="66">
        <f t="shared" si="9"/>
        <v>0.27644686842452137</v>
      </c>
      <c r="AP9" s="66">
        <f t="shared" si="9"/>
        <v>0.37242467309300825</v>
      </c>
      <c r="AQ9" s="66">
        <f t="shared" si="9"/>
        <v>0.32925361709534889</v>
      </c>
      <c r="AR9" s="66">
        <f t="shared" si="9"/>
        <v>0.39569062759926232</v>
      </c>
      <c r="AS9" s="66">
        <f t="shared" si="9"/>
        <v>0.39797154316763617</v>
      </c>
      <c r="AT9" s="66">
        <f t="shared" si="9"/>
        <v>0.38133079383586604</v>
      </c>
      <c r="AU9" s="66">
        <f t="shared" si="9"/>
        <v>0.39826119467151588</v>
      </c>
      <c r="AV9" s="66">
        <f t="shared" si="9"/>
        <v>0.49679241005048513</v>
      </c>
      <c r="AW9" s="66">
        <f t="shared" si="9"/>
        <v>0.53614546631880022</v>
      </c>
      <c r="AX9" s="66">
        <f t="shared" si="9"/>
        <v>0.6536051765885682</v>
      </c>
      <c r="AY9" s="66">
        <f t="shared" si="9"/>
        <v>0.66519070192531826</v>
      </c>
      <c r="AZ9" s="66">
        <f t="shared" si="9"/>
        <v>0.60431201235438725</v>
      </c>
      <c r="BA9" s="66">
        <f t="shared" si="9"/>
        <v>0.31201377363003013</v>
      </c>
      <c r="BB9" s="66">
        <f t="shared" si="9"/>
        <v>0.22473991493990442</v>
      </c>
      <c r="BC9" s="66">
        <f t="shared" si="9"/>
        <v>0.28794427750124446</v>
      </c>
      <c r="BD9" s="66">
        <f t="shared" si="9"/>
        <v>0.32052082651107711</v>
      </c>
      <c r="BE9" s="66">
        <f t="shared" si="9"/>
        <v>0.16143580297947305</v>
      </c>
      <c r="BF9" s="66">
        <f t="shared" si="9"/>
        <v>0.21348438500588993</v>
      </c>
      <c r="BG9" s="66">
        <f t="shared" si="9"/>
        <v>0.22431468120177142</v>
      </c>
      <c r="BH9" s="66">
        <f t="shared" si="9"/>
        <v>-0.647385697900977</v>
      </c>
      <c r="BI9" s="66">
        <f t="shared" si="9"/>
        <v>0.52676745215353038</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359</v>
      </c>
      <c r="E10" s="27">
        <f>股权价值增加表!E8</f>
        <v>94669364.010000005</v>
      </c>
      <c r="F10" s="27">
        <f>股权价值增加表!F8</f>
        <v>75516050.370000005</v>
      </c>
      <c r="G10" s="27">
        <f>股权价值增加表!G8</f>
        <v>54176909.359999999</v>
      </c>
      <c r="H10" s="27">
        <f>股权价值增加表!H8</f>
        <v>35272498.380000003</v>
      </c>
      <c r="I10" s="27">
        <f>股权价值增加表!I8</f>
        <v>90080740.530000001</v>
      </c>
      <c r="J10" s="27">
        <f>股权价值增加表!J8</f>
        <v>58670601.93</v>
      </c>
      <c r="K10" s="27">
        <f>股权价值增加表!K8</f>
        <v>42812300.270000003</v>
      </c>
      <c r="L10" s="27">
        <f>股权价值增加表!L8</f>
        <v>27721130.620000001</v>
      </c>
      <c r="M10" s="27">
        <f>股权价值增加表!M8</f>
        <v>69393906.780000001</v>
      </c>
      <c r="N10" s="27">
        <f>股权价值增加表!N8</f>
        <v>51272865.100000001</v>
      </c>
      <c r="O10" s="27">
        <f>股权价值增加表!O8</f>
        <v>33897319.039999999</v>
      </c>
      <c r="P10" s="27">
        <f>股权价值增加表!P8</f>
        <v>19175132.039999999</v>
      </c>
      <c r="Q10" s="27">
        <f>股权价值增加表!Q8</f>
        <v>55817139.789999999</v>
      </c>
      <c r="R10" s="27">
        <f>股权价值增加表!R8</f>
        <v>44771399.710000001</v>
      </c>
      <c r="S10" s="27">
        <f>股权价值增加表!S8</f>
        <v>31104137.969999999</v>
      </c>
      <c r="T10" s="27">
        <f>股权价值增加表!T8</f>
        <v>16757113.970000001</v>
      </c>
      <c r="U10" s="27">
        <f>股权价值增加表!U8</f>
        <v>53068388.009999998</v>
      </c>
      <c r="V10" s="27">
        <f>股权价值增加表!V8</f>
        <v>39989896.649999999</v>
      </c>
      <c r="W10" s="27">
        <f>股权价值增加表!W8</f>
        <v>25593022.23</v>
      </c>
      <c r="X10" s="27">
        <f>股权价值增加表!X8</f>
        <v>16333377.91</v>
      </c>
      <c r="Y10" s="27">
        <f>股权价值增加表!Y8</f>
        <v>48244928.579999998</v>
      </c>
      <c r="Z10" s="27">
        <f>股权价值增加表!Z8</f>
        <v>41485117.619999997</v>
      </c>
      <c r="AA10" s="27">
        <f>股权价值增加表!AA8</f>
        <v>29020536.370000001</v>
      </c>
      <c r="AB10" s="27">
        <f>股权价值增加表!AB8</f>
        <v>19520447.210000001</v>
      </c>
      <c r="AC10" s="27">
        <f>股权价值增加表!AC8</f>
        <v>43677795.950000003</v>
      </c>
      <c r="AD10" s="27">
        <f>股权价值增加表!AD8</f>
        <v>34822886.759999998</v>
      </c>
      <c r="AE10" s="27">
        <f>股权价值增加表!AE8</f>
        <v>24407095.870000001</v>
      </c>
      <c r="AF10" s="27">
        <f>股权价值增加表!AF8</f>
        <v>16459457.880000001</v>
      </c>
      <c r="AG10" s="27">
        <f>股权价值增加表!AG8</f>
        <v>10972986.42</v>
      </c>
      <c r="AH10" s="27">
        <f>股权价值增加表!AH8</f>
        <v>8684846</v>
      </c>
      <c r="AI10" s="27">
        <f>股权价值增加表!AI8</f>
        <v>5830719.3300000001</v>
      </c>
      <c r="AJ10" s="27">
        <f>股权价值增加表!AJ8</f>
        <v>4097861.54</v>
      </c>
      <c r="AK10" s="27">
        <f>股权价值增加表!AK8</f>
        <v>6621860.0499999998</v>
      </c>
      <c r="AL10" s="27">
        <f>股权价值增加表!AL8</f>
        <v>5804095.9900000002</v>
      </c>
      <c r="AM10" s="27">
        <f>股权价值增加表!AM8</f>
        <v>3704731.77</v>
      </c>
      <c r="AN10" s="27">
        <f>股权价值增加表!AN8</f>
        <v>2040258.54</v>
      </c>
      <c r="AO10" s="27">
        <f>股权价值增加表!AO8</f>
        <v>7305027.3399999999</v>
      </c>
      <c r="AP10" s="27">
        <f>股权价值增加表!AP8</f>
        <v>6301645.7699999996</v>
      </c>
      <c r="AQ10" s="27">
        <f>股权价值增加表!AQ8</f>
        <v>4757380.09</v>
      </c>
      <c r="AR10" s="27">
        <f>股权价值增加表!AR8</f>
        <v>2433264.62</v>
      </c>
      <c r="AS10" s="27">
        <f>股权价值增加表!AS8</f>
        <v>7217348.5499999998</v>
      </c>
      <c r="AT10" s="27">
        <f>股权价值增加表!AT8</f>
        <v>5121444.57</v>
      </c>
      <c r="AU10" s="27">
        <f>股权价值增加表!AU8</f>
        <v>3776975.54</v>
      </c>
      <c r="AV10" s="27">
        <f>股权价值增加表!AV8</f>
        <v>1810158.74</v>
      </c>
      <c r="AW10" s="27">
        <f>股权价值增加表!AW8</f>
        <v>4813968.04</v>
      </c>
      <c r="AX10" s="27">
        <f>股权价值增加表!AX8</f>
        <v>2865566.44</v>
      </c>
      <c r="AY10" s="27">
        <f>股权价值增加表!AY8</f>
        <v>942207.71</v>
      </c>
      <c r="AZ10" s="27">
        <f>股权价值增加表!AZ8</f>
        <v>548266.6</v>
      </c>
      <c r="BA10" s="27">
        <f>股权价值增加表!BA8</f>
        <v>3626606.18</v>
      </c>
      <c r="BB10" s="27">
        <f>股权价值增加表!BB8</f>
        <v>3067472.06</v>
      </c>
      <c r="BC10" s="27">
        <f>股权价值增加表!BC8</f>
        <v>1864554.05</v>
      </c>
      <c r="BD10" s="27">
        <f>股权价值增加表!BD8</f>
        <v>994235.43</v>
      </c>
      <c r="BE10" s="27">
        <f>股权价值增加表!BE8</f>
        <v>1982960.54</v>
      </c>
      <c r="BF10" s="27">
        <f>股权价值增加表!BF8</f>
        <v>1443954.84</v>
      </c>
      <c r="BG10" s="27">
        <f>股权价值增加表!BG8</f>
        <v>1053578.31</v>
      </c>
      <c r="BH10" s="27">
        <f>股权价值增加表!BH8</f>
        <v>1079851.21</v>
      </c>
      <c r="BI10" s="27">
        <f>股权价值增加表!BI8</f>
        <v>2164865.52</v>
      </c>
      <c r="BJ10" s="27">
        <f>股权价值增加表!BJ8</f>
        <v>1706479.41</v>
      </c>
      <c r="BK10" s="27">
        <f>股权价值增加表!BK8</f>
        <v>1118198.53</v>
      </c>
      <c r="BL10" s="27">
        <f>股权价值增加表!BL8</f>
        <v>2113014</v>
      </c>
      <c r="BM10" s="27">
        <f>股权价值增加表!BM8</f>
        <v>3173699.56</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6.6728022630954884E-3</v>
      </c>
      <c r="F11" s="57">
        <f t="shared" ref="F11:BQ11" si="11">F10/F2</f>
        <v>7.1943081506295418E-3</v>
      </c>
      <c r="G11" s="57">
        <f t="shared" si="11"/>
        <v>7.8409683752866215E-3</v>
      </c>
      <c r="H11" s="57">
        <f t="shared" si="11"/>
        <v>8.93753511258253E-3</v>
      </c>
      <c r="I11" s="57">
        <f t="shared" si="11"/>
        <v>7.5399524231536553E-3</v>
      </c>
      <c r="J11" s="57">
        <f t="shared" si="11"/>
        <v>6.6432661296878543E-3</v>
      </c>
      <c r="K11" s="57">
        <f t="shared" si="11"/>
        <v>7.443131021147081E-3</v>
      </c>
      <c r="L11" s="57">
        <f t="shared" si="11"/>
        <v>8.8476535775334243E-3</v>
      </c>
      <c r="M11" s="57">
        <f t="shared" si="11"/>
        <v>6.3607607770562631E-3</v>
      </c>
      <c r="N11" s="57">
        <f t="shared" si="11"/>
        <v>6.1934059421878849E-3</v>
      </c>
      <c r="O11" s="57">
        <f t="shared" si="11"/>
        <v>6.3011148598166025E-3</v>
      </c>
      <c r="P11" s="57">
        <f t="shared" si="11"/>
        <v>6.3773959770536794E-3</v>
      </c>
      <c r="Q11" s="57">
        <f t="shared" si="11"/>
        <v>5.8541399245803215E-3</v>
      </c>
      <c r="R11" s="57">
        <f t="shared" si="11"/>
        <v>6.2482816892219083E-3</v>
      </c>
      <c r="S11" s="57">
        <f t="shared" si="11"/>
        <v>6.6992855476210806E-3</v>
      </c>
      <c r="T11" s="57">
        <f t="shared" si="11"/>
        <v>6.4520306981098365E-3</v>
      </c>
      <c r="U11" s="57">
        <f t="shared" si="11"/>
        <v>6.3302884172208142E-3</v>
      </c>
      <c r="V11" s="57">
        <f t="shared" si="11"/>
        <v>6.3384231105666515E-3</v>
      </c>
      <c r="W11" s="57">
        <f t="shared" si="11"/>
        <v>6.1859510486886784E-3</v>
      </c>
      <c r="X11" s="57">
        <f t="shared" si="11"/>
        <v>7.1917644186085062E-3</v>
      </c>
      <c r="Y11" s="57">
        <f t="shared" si="11"/>
        <v>7.0027150816297651E-3</v>
      </c>
      <c r="Z11" s="57">
        <f t="shared" si="11"/>
        <v>8.1434942109948113E-3</v>
      </c>
      <c r="AA11" s="57">
        <f t="shared" si="11"/>
        <v>8.6940116519989095E-3</v>
      </c>
      <c r="AB11" s="57">
        <f t="shared" si="11"/>
        <v>1.0158539466215671E-2</v>
      </c>
      <c r="AC11" s="57">
        <f t="shared" si="11"/>
        <v>6.1296551887982274E-3</v>
      </c>
      <c r="AD11" s="57">
        <f t="shared" si="11"/>
        <v>6.5445415765093204E-3</v>
      </c>
      <c r="AE11" s="57">
        <f t="shared" si="11"/>
        <v>7.0166367304091998E-3</v>
      </c>
      <c r="AF11" s="57">
        <f t="shared" si="11"/>
        <v>8.587789503234404E-3</v>
      </c>
      <c r="AG11" s="57">
        <f t="shared" si="11"/>
        <v>1.9517717136728024E-3</v>
      </c>
      <c r="AH11" s="57">
        <f t="shared" si="11"/>
        <v>2.1020036202777405E-3</v>
      </c>
      <c r="AI11" s="57">
        <f t="shared" si="11"/>
        <v>2.2107932723861531E-3</v>
      </c>
      <c r="AJ11" s="57">
        <f t="shared" si="11"/>
        <v>2.9066473002028453E-3</v>
      </c>
      <c r="AK11" s="57">
        <f t="shared" si="11"/>
        <v>1.6089289887518073E-3</v>
      </c>
      <c r="AL11" s="57">
        <f t="shared" si="11"/>
        <v>2.0224372249048736E-3</v>
      </c>
      <c r="AM11" s="57">
        <f t="shared" si="11"/>
        <v>2.0700948112052815E-3</v>
      </c>
      <c r="AN11" s="57">
        <f t="shared" si="11"/>
        <v>2.0930670545058661E-3</v>
      </c>
      <c r="AO11" s="57">
        <f t="shared" si="11"/>
        <v>2.0165858956554539E-3</v>
      </c>
      <c r="AP11" s="57">
        <f t="shared" si="11"/>
        <v>2.3019621197574291E-3</v>
      </c>
      <c r="AQ11" s="57">
        <f t="shared" si="11"/>
        <v>2.6876475777192974E-3</v>
      </c>
      <c r="AR11" s="57">
        <f t="shared" si="11"/>
        <v>2.5643812837390836E-3</v>
      </c>
      <c r="AS11" s="57">
        <f t="shared" si="11"/>
        <v>2.4601498209316794E-3</v>
      </c>
      <c r="AT11" s="57">
        <f t="shared" si="11"/>
        <v>2.5142263723360453E-3</v>
      </c>
      <c r="AU11" s="57">
        <f t="shared" si="11"/>
        <v>2.8122016769760371E-3</v>
      </c>
      <c r="AV11" s="57">
        <f t="shared" si="11"/>
        <v>2.6214661226561264E-3</v>
      </c>
      <c r="AW11" s="57">
        <f t="shared" si="11"/>
        <v>2.3155946307850035E-3</v>
      </c>
      <c r="AX11" s="57">
        <f t="shared" si="11"/>
        <v>2.05368429884912E-3</v>
      </c>
      <c r="AY11" s="57">
        <f t="shared" si="11"/>
        <v>9.911466273321548E-4</v>
      </c>
      <c r="AZ11" s="57">
        <f t="shared" si="11"/>
        <v>1.1018191360088209E-3</v>
      </c>
      <c r="BA11" s="57">
        <f t="shared" si="11"/>
        <v>2.4676544192439673E-3</v>
      </c>
      <c r="BB11" s="57">
        <f t="shared" si="11"/>
        <v>3.435211624981734E-3</v>
      </c>
      <c r="BC11" s="57">
        <f t="shared" si="11"/>
        <v>3.2635096934426826E-3</v>
      </c>
      <c r="BD11" s="57">
        <f t="shared" si="11"/>
        <v>3.2339029897957175E-3</v>
      </c>
      <c r="BE11" s="57">
        <f t="shared" si="11"/>
        <v>1.972897929554933E-3</v>
      </c>
      <c r="BF11" s="57">
        <f t="shared" si="11"/>
        <v>2.0903827179278257E-3</v>
      </c>
      <c r="BG11" s="57">
        <f t="shared" si="11"/>
        <v>2.5010455985215244E-3</v>
      </c>
      <c r="BH11" s="57">
        <f t="shared" si="11"/>
        <v>5.0147900808017714E-3</v>
      </c>
      <c r="BI11" s="57">
        <f t="shared" si="11"/>
        <v>2.587935557055678E-3</v>
      </c>
      <c r="BJ11" s="57">
        <f t="shared" si="11"/>
        <v>3.0200964811082425E-3</v>
      </c>
      <c r="BK11" s="57">
        <f t="shared" si="11"/>
        <v>3.1131297095717044E-3</v>
      </c>
      <c r="BL11" s="57">
        <f t="shared" si="11"/>
        <v>3.4349899240641007E-3</v>
      </c>
      <c r="BM11" s="57">
        <f t="shared" si="11"/>
        <v>6.7604391864872814E-3</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361</v>
      </c>
      <c r="E12" s="27">
        <f>股权价值增加表!E9</f>
        <v>2213078313.5500002</v>
      </c>
      <c r="F12" s="27">
        <f>股权价值增加表!F9</f>
        <v>1673160982.28</v>
      </c>
      <c r="G12" s="27">
        <f>股权价值增加表!G9</f>
        <v>1134645241.04</v>
      </c>
      <c r="H12" s="27">
        <f>股权价值增加表!H9</f>
        <v>664223550.48000002</v>
      </c>
      <c r="I12" s="27">
        <f>股权价值增加表!I9</f>
        <v>1891733488.76</v>
      </c>
      <c r="J12" s="27">
        <f>股权价值增加表!J9</f>
        <v>1369613715.3099999</v>
      </c>
      <c r="K12" s="27">
        <f>股权价值增加表!K9</f>
        <v>907452327.58000004</v>
      </c>
      <c r="L12" s="27">
        <f>股权价值增加表!L9</f>
        <v>524687333.88</v>
      </c>
      <c r="M12" s="27">
        <f>股权价值增加表!M9</f>
        <v>1580066582.1400001</v>
      </c>
      <c r="N12" s="27">
        <f>股权价值增加表!N9</f>
        <v>1201856740.8</v>
      </c>
      <c r="O12" s="27">
        <f>股权价值增加表!O9</f>
        <v>836869586.53999996</v>
      </c>
      <c r="P12" s="27">
        <f>股权价值增加表!P9</f>
        <v>487094622.23000002</v>
      </c>
      <c r="Q12" s="27">
        <f>股权价值增加表!Q9</f>
        <v>1481090948.9000001</v>
      </c>
      <c r="R12" s="27">
        <f>股权价值增加表!R9</f>
        <v>1140301118.1099999</v>
      </c>
      <c r="S12" s="27">
        <f>股权价值增加表!S9</f>
        <v>774811596.87</v>
      </c>
      <c r="T12" s="27">
        <f>股权价值增加表!T9</f>
        <v>445558620.87</v>
      </c>
      <c r="U12" s="27">
        <f>股权价值增加表!U9</f>
        <v>1261860049.78</v>
      </c>
      <c r="V12" s="27">
        <f>股权价值增加表!V9</f>
        <v>932531283.02999997</v>
      </c>
      <c r="W12" s="27">
        <f>股权价值增加表!W9</f>
        <v>608247903.53999996</v>
      </c>
      <c r="X12" s="27">
        <f>股权价值增加表!X9</f>
        <v>338315240.57999998</v>
      </c>
      <c r="Y12" s="27">
        <f>股权价值增加表!Y9</f>
        <v>1106551587.3699999</v>
      </c>
      <c r="Z12" s="27">
        <f>股权价值增加表!Z9</f>
        <v>813262610.95000005</v>
      </c>
      <c r="AA12" s="27">
        <f>股权价值增加表!AA9</f>
        <v>548386013.52999997</v>
      </c>
      <c r="AB12" s="27">
        <f>股权价值增加表!AB9</f>
        <v>317800476.48000002</v>
      </c>
      <c r="AC12" s="27">
        <f>股权价值增加表!AC9</f>
        <v>1061192999.8099999</v>
      </c>
      <c r="AD12" s="27">
        <f>股权价值增加表!AD9</f>
        <v>796400481.16999996</v>
      </c>
      <c r="AE12" s="27">
        <f>股权价值增加表!AE9</f>
        <v>524425749.36000001</v>
      </c>
      <c r="AF12" s="27">
        <f>股权价值增加表!AF9</f>
        <v>291216610.64999998</v>
      </c>
      <c r="AG12" s="27">
        <f>股权价值增加表!AG9</f>
        <v>827871035.55999994</v>
      </c>
      <c r="AH12" s="27">
        <f>股权价值增加表!AH9</f>
        <v>603220413.88999999</v>
      </c>
      <c r="AI12" s="27">
        <f>股权价值增加表!AI9</f>
        <v>407145518.23000002</v>
      </c>
      <c r="AJ12" s="27">
        <f>股权价值增加表!AJ9</f>
        <v>217259193.58000001</v>
      </c>
      <c r="AK12" s="27">
        <f>股权价值增加表!AK9</f>
        <v>687519974.51999998</v>
      </c>
      <c r="AL12" s="27">
        <f>股权价值增加表!AL9</f>
        <v>483065903.81</v>
      </c>
      <c r="AM12" s="27">
        <f>股权价值增加表!AM9</f>
        <v>309947876.49000001</v>
      </c>
      <c r="AN12" s="27">
        <f>股权价值增加表!AN9</f>
        <v>181704858.06999999</v>
      </c>
      <c r="AO12" s="27">
        <f>股权价值增加表!AO9</f>
        <v>477767391.52999997</v>
      </c>
      <c r="AP12" s="27">
        <f>股权价值增加表!AP9</f>
        <v>385578417.63999999</v>
      </c>
      <c r="AQ12" s="27">
        <f>股权价值增加表!AQ9</f>
        <v>251513552.56</v>
      </c>
      <c r="AR12" s="27">
        <f>股权价值增加表!AR9</f>
        <v>162661336.31</v>
      </c>
      <c r="AS12" s="27">
        <f>股权价值增加表!AS9</f>
        <v>379371992.24000001</v>
      </c>
      <c r="AT12" s="27">
        <f>股权价值增加表!AT9</f>
        <v>249988993.84</v>
      </c>
      <c r="AU12" s="27">
        <f>股权价值增加表!AU9</f>
        <v>165486439.28999999</v>
      </c>
      <c r="AV12" s="27">
        <f>股权价值增加表!AV9</f>
        <v>106272099.56</v>
      </c>
      <c r="AW12" s="27">
        <f>股权价值增加表!AW9</f>
        <v>255516718.46000001</v>
      </c>
      <c r="AX12" s="27">
        <f>股权价值增加表!AX9</f>
        <v>200495379.09999999</v>
      </c>
      <c r="AY12" s="27">
        <f>股权价值增加表!AY9</f>
        <v>134394727.46000001</v>
      </c>
      <c r="AZ12" s="27">
        <f>股权价值增加表!AZ9</f>
        <v>71658688.400000006</v>
      </c>
      <c r="BA12" s="27">
        <f>股权价值增加表!BA9</f>
        <v>171051130.61000001</v>
      </c>
      <c r="BB12" s="27">
        <f>股权价值增加表!BB9</f>
        <v>110135629.19</v>
      </c>
      <c r="BC12" s="27">
        <f>股权价值增加表!BC9</f>
        <v>74104494.620000005</v>
      </c>
      <c r="BD12" s="27">
        <f>股权价值增加表!BD9</f>
        <v>44656969.390000001</v>
      </c>
      <c r="BE12" s="27">
        <f>股权价值增加表!BE9</f>
        <v>134957526.19999999</v>
      </c>
      <c r="BF12" s="27">
        <f>股权价值增加表!BF9</f>
        <v>89951376.379999995</v>
      </c>
      <c r="BG12" s="27">
        <f>股权价值增加表!BG9</f>
        <v>61473698.689999998</v>
      </c>
      <c r="BH12" s="27">
        <f>股权价值增加表!BH9</f>
        <v>35602845.32</v>
      </c>
      <c r="BI12" s="27">
        <f>股权价值增加表!BI9</f>
        <v>104517598.7</v>
      </c>
      <c r="BJ12" s="27">
        <f>股权价值增加表!BJ9</f>
        <v>66747469.539999999</v>
      </c>
      <c r="BK12" s="27">
        <f>股权价值增加表!BK9</f>
        <v>43447414.619999997</v>
      </c>
      <c r="BL12" s="27">
        <f>股权价值增加表!BL9</f>
        <v>82245193.959999993</v>
      </c>
      <c r="BM12" s="27">
        <f>股权价值增加表!BM9</f>
        <v>90187798.849999994</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0.15598957628472174</v>
      </c>
      <c r="F13" s="57">
        <f t="shared" ref="F13:BQ13" si="13">F12/F2</f>
        <v>0.15939969891373348</v>
      </c>
      <c r="G13" s="57">
        <f t="shared" si="13"/>
        <v>0.16421603884869718</v>
      </c>
      <c r="H13" s="57">
        <f t="shared" si="13"/>
        <v>0.16830453122609895</v>
      </c>
      <c r="I13" s="57">
        <f t="shared" si="13"/>
        <v>0.15834217634774675</v>
      </c>
      <c r="J13" s="57">
        <f t="shared" si="13"/>
        <v>0.155081217958707</v>
      </c>
      <c r="K13" s="57">
        <f t="shared" si="13"/>
        <v>0.15776509384046747</v>
      </c>
      <c r="L13" s="57">
        <f t="shared" si="13"/>
        <v>0.16746256963056927</v>
      </c>
      <c r="M13" s="57">
        <f t="shared" si="13"/>
        <v>0.14483152782673553</v>
      </c>
      <c r="N13" s="57">
        <f t="shared" si="13"/>
        <v>0.14517594570952275</v>
      </c>
      <c r="O13" s="57">
        <f t="shared" si="13"/>
        <v>0.15556426103354071</v>
      </c>
      <c r="P13" s="57">
        <f t="shared" si="13"/>
        <v>0.16200124608133254</v>
      </c>
      <c r="Q13" s="57">
        <f t="shared" si="13"/>
        <v>0.15533783508992022</v>
      </c>
      <c r="R13" s="57">
        <f t="shared" si="13"/>
        <v>0.15914004571303542</v>
      </c>
      <c r="S13" s="57">
        <f t="shared" si="13"/>
        <v>0.16688082267532464</v>
      </c>
      <c r="T13" s="57">
        <f t="shared" si="13"/>
        <v>0.17155447559808665</v>
      </c>
      <c r="U13" s="57">
        <f t="shared" si="13"/>
        <v>0.15052158840345403</v>
      </c>
      <c r="V13" s="57">
        <f t="shared" si="13"/>
        <v>0.14780677948273024</v>
      </c>
      <c r="W13" s="57">
        <f t="shared" si="13"/>
        <v>0.14701631260865564</v>
      </c>
      <c r="X13" s="57">
        <f t="shared" si="13"/>
        <v>0.14896388994872772</v>
      </c>
      <c r="Y13" s="57">
        <f t="shared" si="13"/>
        <v>0.16061513028520799</v>
      </c>
      <c r="Z13" s="57">
        <f t="shared" si="13"/>
        <v>0.15964277659651605</v>
      </c>
      <c r="AA13" s="57">
        <f t="shared" si="13"/>
        <v>0.16428622581737112</v>
      </c>
      <c r="AB13" s="57">
        <f t="shared" si="13"/>
        <v>0.16538497545539713</v>
      </c>
      <c r="AC13" s="57">
        <f t="shared" si="13"/>
        <v>0.14892571926129258</v>
      </c>
      <c r="AD13" s="57">
        <f t="shared" si="13"/>
        <v>0.14967386525105805</v>
      </c>
      <c r="AE13" s="57">
        <f t="shared" si="13"/>
        <v>0.1507637366989924</v>
      </c>
      <c r="AF13" s="57">
        <f t="shared" si="13"/>
        <v>0.15194345830468931</v>
      </c>
      <c r="AG13" s="57">
        <f t="shared" si="13"/>
        <v>0.1472539204851234</v>
      </c>
      <c r="AH13" s="57">
        <f t="shared" si="13"/>
        <v>0.14599815515695005</v>
      </c>
      <c r="AI13" s="57">
        <f t="shared" si="13"/>
        <v>0.15437453282201766</v>
      </c>
      <c r="AJ13" s="57">
        <f t="shared" si="13"/>
        <v>0.15410375443372212</v>
      </c>
      <c r="AK13" s="57">
        <f t="shared" si="13"/>
        <v>0.16704835333255524</v>
      </c>
      <c r="AL13" s="57">
        <f t="shared" si="13"/>
        <v>0.16832431228410144</v>
      </c>
      <c r="AM13" s="57">
        <f t="shared" si="13"/>
        <v>0.17318972889258444</v>
      </c>
      <c r="AN13" s="57">
        <f t="shared" si="13"/>
        <v>0.18640796968308795</v>
      </c>
      <c r="AO13" s="57">
        <f t="shared" si="13"/>
        <v>0.13188985315467622</v>
      </c>
      <c r="AP13" s="57">
        <f t="shared" si="13"/>
        <v>0.14085001664625299</v>
      </c>
      <c r="AQ13" s="57">
        <f t="shared" si="13"/>
        <v>0.1420907679254737</v>
      </c>
      <c r="AR13" s="57">
        <f t="shared" si="13"/>
        <v>0.17142635576616924</v>
      </c>
      <c r="AS13" s="57">
        <f t="shared" si="13"/>
        <v>0.12931507080612459</v>
      </c>
      <c r="AT13" s="57">
        <f t="shared" si="13"/>
        <v>0.12272492897570912</v>
      </c>
      <c r="AU13" s="57">
        <f t="shared" si="13"/>
        <v>0.12321531795997046</v>
      </c>
      <c r="AV13" s="57">
        <f t="shared" si="13"/>
        <v>0.15390291614981738</v>
      </c>
      <c r="AW13" s="57">
        <f t="shared" si="13"/>
        <v>0.1229075757099915</v>
      </c>
      <c r="AX13" s="57">
        <f t="shared" si="13"/>
        <v>0.14369033860177119</v>
      </c>
      <c r="AY13" s="57">
        <f t="shared" si="13"/>
        <v>0.14137528215854139</v>
      </c>
      <c r="AZ13" s="57">
        <f t="shared" si="13"/>
        <v>0.14400825098667935</v>
      </c>
      <c r="BA13" s="57">
        <f t="shared" si="13"/>
        <v>0.11638845174152423</v>
      </c>
      <c r="BB13" s="57">
        <f t="shared" si="13"/>
        <v>0.12333908388334777</v>
      </c>
      <c r="BC13" s="57">
        <f t="shared" si="13"/>
        <v>0.12970433145665106</v>
      </c>
      <c r="BD13" s="57">
        <f t="shared" si="13"/>
        <v>0.14525363155237472</v>
      </c>
      <c r="BE13" s="57">
        <f t="shared" si="13"/>
        <v>0.13427267898020581</v>
      </c>
      <c r="BF13" s="57">
        <f t="shared" si="13"/>
        <v>0.13022069487891547</v>
      </c>
      <c r="BG13" s="57">
        <f t="shared" si="13"/>
        <v>0.1459298488533452</v>
      </c>
      <c r="BH13" s="57">
        <f t="shared" si="13"/>
        <v>0.16533832986032934</v>
      </c>
      <c r="BI13" s="57">
        <f t="shared" si="13"/>
        <v>0.12494300801363695</v>
      </c>
      <c r="BJ13" s="57">
        <f t="shared" si="13"/>
        <v>0.11812846770921988</v>
      </c>
      <c r="BK13" s="57">
        <f t="shared" si="13"/>
        <v>0.1209601279457969</v>
      </c>
      <c r="BL13" s="57">
        <f t="shared" si="13"/>
        <v>0.13370068184843906</v>
      </c>
      <c r="BM13" s="57">
        <f t="shared" si="13"/>
        <v>0.19211305858093652</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363</v>
      </c>
      <c r="E14" s="26">
        <f>股权价值增加表!E10</f>
        <v>415194235.98000002</v>
      </c>
      <c r="F14" s="26">
        <f>股权价值增加表!F10</f>
        <v>298600011.56999999</v>
      </c>
      <c r="G14" s="26">
        <f>股权价值增加表!G10</f>
        <v>193325749.99000001</v>
      </c>
      <c r="H14" s="26">
        <f>股权价值增加表!H10</f>
        <v>80396259.319999993</v>
      </c>
      <c r="I14" s="26">
        <f>股权价值增加表!I10</f>
        <v>388306153.91000003</v>
      </c>
      <c r="J14" s="26">
        <f>股权价值增加表!J10</f>
        <v>279135592.45999998</v>
      </c>
      <c r="K14" s="26">
        <f>股权价值增加表!K10</f>
        <v>179836717.36000001</v>
      </c>
      <c r="L14" s="26">
        <f>股权价值增加表!L10</f>
        <v>80391177.230000004</v>
      </c>
      <c r="M14" s="26">
        <f>股权价值增加表!M10</f>
        <v>367200921.75999999</v>
      </c>
      <c r="N14" s="26">
        <f>股权价值增加表!N10</f>
        <v>248331379.33000001</v>
      </c>
      <c r="O14" s="26">
        <f>股权价值增加表!O10</f>
        <v>161745534.05000001</v>
      </c>
      <c r="P14" s="26">
        <f>股权价值增加表!P10</f>
        <v>79904826.980000004</v>
      </c>
      <c r="Q14" s="26">
        <f>股权价值增加表!Q10</f>
        <v>324558437.29000002</v>
      </c>
      <c r="R14" s="26">
        <f>股权价值增加表!R10</f>
        <v>232568064.91999999</v>
      </c>
      <c r="S14" s="26">
        <f>股权价值增加表!S10</f>
        <v>157525244.25</v>
      </c>
      <c r="T14" s="26">
        <f>股权价值增加表!T10</f>
        <v>75980856.230000004</v>
      </c>
      <c r="U14" s="26">
        <f>股权价值增加表!U10</f>
        <v>280696194.50999999</v>
      </c>
      <c r="V14" s="26">
        <f>股权价值增加表!V10</f>
        <v>211361935</v>
      </c>
      <c r="W14" s="26">
        <f>股权价值增加表!W10</f>
        <v>145988493.90000001</v>
      </c>
      <c r="X14" s="26">
        <f>股权价值增加表!X10</f>
        <v>67891314.530000001</v>
      </c>
      <c r="Y14" s="26">
        <f>股权价值增加表!Y10</f>
        <v>251720840.91999999</v>
      </c>
      <c r="Z14" s="26">
        <f>股权价值增加表!Z10</f>
        <v>176397203.68000001</v>
      </c>
      <c r="AA14" s="26">
        <f>股权价值增加表!AA10</f>
        <v>110992321.62</v>
      </c>
      <c r="AB14" s="26">
        <f>股权价值增加表!AB10</f>
        <v>55369203.649999999</v>
      </c>
      <c r="AC14" s="26">
        <f>股权价值增加表!AC10</f>
        <v>212566272.22999999</v>
      </c>
      <c r="AD14" s="26">
        <f>股权价值增加表!AD10</f>
        <v>156485513.28999999</v>
      </c>
      <c r="AE14" s="26">
        <f>股权价值增加表!AE10</f>
        <v>108622455.31</v>
      </c>
      <c r="AF14" s="26">
        <f>股权价值增加表!AF10</f>
        <v>51136235.210000001</v>
      </c>
      <c r="AG14" s="26">
        <f>股权价值增加表!AG10</f>
        <v>216252564.03</v>
      </c>
      <c r="AH14" s="26">
        <f>股权价值增加表!AH10</f>
        <v>155745047.87</v>
      </c>
      <c r="AI14" s="26">
        <f>股权价值增加表!AI10</f>
        <v>98140658.659999996</v>
      </c>
      <c r="AJ14" s="26">
        <f>股权价值增加表!AJ10</f>
        <v>43772504.399999999</v>
      </c>
      <c r="AK14" s="26">
        <f>股权价值增加表!AK10</f>
        <v>187356884.34999999</v>
      </c>
      <c r="AL14" s="26">
        <f>股权价值增加表!AL10</f>
        <v>133366139.19</v>
      </c>
      <c r="AM14" s="26">
        <f>股权价值增加表!AM10</f>
        <v>84763348.359999999</v>
      </c>
      <c r="AN14" s="26">
        <f>股权价值增加表!AN10</f>
        <v>40166571.460000001</v>
      </c>
      <c r="AO14" s="26">
        <f>股权价值增加表!AO10</f>
        <v>206713755.66</v>
      </c>
      <c r="AP14" s="26">
        <f>股权价值增加表!AP10</f>
        <v>136604138.33000001</v>
      </c>
      <c r="AQ14" s="26">
        <f>股权价值增加表!AQ10</f>
        <v>88724436.450000003</v>
      </c>
      <c r="AR14" s="26">
        <f>股权价值增加表!AR10</f>
        <v>42570323.770000003</v>
      </c>
      <c r="AS14" s="26">
        <f>股权价值增加表!AS10</f>
        <v>122649947.5</v>
      </c>
      <c r="AT14" s="26">
        <f>股权价值增加表!AT10</f>
        <v>86368594.909999996</v>
      </c>
      <c r="AU14" s="26">
        <f>股权价值增加表!AU10</f>
        <v>58575355.189999998</v>
      </c>
      <c r="AV14" s="26">
        <f>股权价值增加表!AV10</f>
        <v>25540101.48</v>
      </c>
      <c r="AW14" s="26">
        <f>股权价值增加表!AW10</f>
        <v>121883647.76000001</v>
      </c>
      <c r="AX14" s="26">
        <f>股权价值增加表!AX10</f>
        <v>75797570.909999996</v>
      </c>
      <c r="AY14" s="26">
        <f>股权价值增加表!AY10</f>
        <v>54569158.25</v>
      </c>
      <c r="AZ14" s="26">
        <f>股权价值增加表!AZ10</f>
        <v>26659418.57</v>
      </c>
      <c r="BA14" s="26">
        <f>股权价值增加表!BA10</f>
        <v>79418100.099999994</v>
      </c>
      <c r="BB14" s="26">
        <f>股权价值增加表!BB10</f>
        <v>60338328.299999997</v>
      </c>
      <c r="BC14" s="26">
        <f>股权价值增加表!BC10</f>
        <v>38424302.530000001</v>
      </c>
      <c r="BD14" s="26">
        <f>股权价值增加表!BD10</f>
        <v>20772278.649999999</v>
      </c>
      <c r="BE14" s="26">
        <f>股权价值增加表!BE10</f>
        <v>62140923.880000003</v>
      </c>
      <c r="BF14" s="26">
        <f>股权价值增加表!BF10</f>
        <v>42798796.950000003</v>
      </c>
      <c r="BG14" s="26">
        <f>股权价值增加表!BG10</f>
        <v>25949718.640000001</v>
      </c>
      <c r="BH14" s="26">
        <f>股权价值增加表!BH10</f>
        <v>15635214.68</v>
      </c>
      <c r="BI14" s="26">
        <f>股权价值增加表!BI10</f>
        <v>45169507.310000002</v>
      </c>
      <c r="BJ14" s="26">
        <f>股权价值增加表!BJ10</f>
        <v>31953956.25</v>
      </c>
      <c r="BK14" s="26">
        <f>股权价值增加表!BK10</f>
        <v>19483467.449999999</v>
      </c>
      <c r="BL14" s="26">
        <f>股权价值增加表!BL10</f>
        <v>30986823.75</v>
      </c>
      <c r="BM14" s="26">
        <f>股权价值增加表!BM10</f>
        <v>21330339.460000001</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2.9265106684131681E-2</v>
      </c>
      <c r="F15" s="57">
        <f t="shared" ref="F15:BQ15" si="15">F14/F2</f>
        <v>2.8447204090927169E-2</v>
      </c>
      <c r="G15" s="57">
        <f t="shared" si="15"/>
        <v>2.7979836976809006E-2</v>
      </c>
      <c r="H15" s="57">
        <f t="shared" si="15"/>
        <v>2.0371236050583112E-2</v>
      </c>
      <c r="I15" s="57">
        <f t="shared" si="15"/>
        <v>3.2502063247627486E-2</v>
      </c>
      <c r="J15" s="57">
        <f t="shared" si="15"/>
        <v>3.1606493984710174E-2</v>
      </c>
      <c r="K15" s="57">
        <f t="shared" si="15"/>
        <v>3.1265506438144859E-2</v>
      </c>
      <c r="L15" s="57">
        <f t="shared" si="15"/>
        <v>2.56581629577536E-2</v>
      </c>
      <c r="M15" s="57">
        <f t="shared" si="15"/>
        <v>3.3658246506205906E-2</v>
      </c>
      <c r="N15" s="57">
        <f t="shared" si="15"/>
        <v>2.9996705613670412E-2</v>
      </c>
      <c r="O15" s="57">
        <f t="shared" si="15"/>
        <v>3.006660163621681E-2</v>
      </c>
      <c r="P15" s="57">
        <f t="shared" si="15"/>
        <v>2.6575291427793597E-2</v>
      </c>
      <c r="Q15" s="57">
        <f t="shared" si="15"/>
        <v>3.4039911624765606E-2</v>
      </c>
      <c r="R15" s="57">
        <f t="shared" si="15"/>
        <v>3.2457121978539276E-2</v>
      </c>
      <c r="S15" s="57">
        <f t="shared" si="15"/>
        <v>3.392817358279953E-2</v>
      </c>
      <c r="T15" s="57">
        <f t="shared" si="15"/>
        <v>2.9255086391504086E-2</v>
      </c>
      <c r="U15" s="57">
        <f t="shared" si="15"/>
        <v>3.3482981780599476E-2</v>
      </c>
      <c r="V15" s="57">
        <f t="shared" si="15"/>
        <v>3.3500996144687122E-2</v>
      </c>
      <c r="W15" s="57">
        <f t="shared" si="15"/>
        <v>3.528608965449196E-2</v>
      </c>
      <c r="X15" s="57">
        <f t="shared" si="15"/>
        <v>2.9893286181205653E-2</v>
      </c>
      <c r="Y15" s="57">
        <f t="shared" si="15"/>
        <v>3.6537090652917922E-2</v>
      </c>
      <c r="Z15" s="57">
        <f t="shared" si="15"/>
        <v>3.462662490587276E-2</v>
      </c>
      <c r="AA15" s="57">
        <f t="shared" si="15"/>
        <v>3.3251230271685382E-2</v>
      </c>
      <c r="AB15" s="57">
        <f t="shared" si="15"/>
        <v>2.8814413647414473E-2</v>
      </c>
      <c r="AC15" s="57">
        <f t="shared" si="15"/>
        <v>2.9831128727962196E-2</v>
      </c>
      <c r="AD15" s="57">
        <f t="shared" si="15"/>
        <v>2.9409564890645123E-2</v>
      </c>
      <c r="AE15" s="57">
        <f t="shared" si="15"/>
        <v>3.1227160893492152E-2</v>
      </c>
      <c r="AF15" s="57">
        <f t="shared" si="15"/>
        <v>2.668053997725978E-2</v>
      </c>
      <c r="AG15" s="57">
        <f t="shared" si="15"/>
        <v>3.8464974012331871E-2</v>
      </c>
      <c r="AH15" s="57">
        <f t="shared" si="15"/>
        <v>3.7695159414809429E-2</v>
      </c>
      <c r="AI15" s="57">
        <f t="shared" si="15"/>
        <v>3.7211310583367394E-2</v>
      </c>
      <c r="AJ15" s="57">
        <f t="shared" si="15"/>
        <v>3.1048201725570542E-2</v>
      </c>
      <c r="AK15" s="57">
        <f t="shared" si="15"/>
        <v>4.5522545054834676E-2</v>
      </c>
      <c r="AL15" s="57">
        <f t="shared" si="15"/>
        <v>4.6471430676614411E-2</v>
      </c>
      <c r="AM15" s="57">
        <f t="shared" si="15"/>
        <v>4.7363258263747855E-2</v>
      </c>
      <c r="AN15" s="57">
        <f t="shared" si="15"/>
        <v>4.1206212726050677E-2</v>
      </c>
      <c r="AO15" s="57">
        <f t="shared" si="15"/>
        <v>5.7064268852130506E-2</v>
      </c>
      <c r="AP15" s="57">
        <f t="shared" si="15"/>
        <v>4.9900861348759047E-2</v>
      </c>
      <c r="AQ15" s="57">
        <f t="shared" si="15"/>
        <v>5.0124230605537397E-2</v>
      </c>
      <c r="AR15" s="57">
        <f t="shared" si="15"/>
        <v>4.4864229159959197E-2</v>
      </c>
      <c r="AS15" s="57">
        <f t="shared" si="15"/>
        <v>4.1807215529227129E-2</v>
      </c>
      <c r="AT15" s="57">
        <f t="shared" si="15"/>
        <v>4.2400185357142448E-2</v>
      </c>
      <c r="AU15" s="57">
        <f t="shared" si="15"/>
        <v>4.3613126521540833E-2</v>
      </c>
      <c r="AV15" s="57">
        <f t="shared" si="15"/>
        <v>3.6987093628606076E-2</v>
      </c>
      <c r="AW15" s="57">
        <f t="shared" si="15"/>
        <v>5.862795888722739E-2</v>
      </c>
      <c r="AX15" s="57">
        <f t="shared" si="15"/>
        <v>5.4322342380855704E-2</v>
      </c>
      <c r="AY15" s="57">
        <f t="shared" si="15"/>
        <v>5.7403517909911959E-2</v>
      </c>
      <c r="AZ15" s="57">
        <f t="shared" si="15"/>
        <v>5.3575865345973875E-2</v>
      </c>
      <c r="BA15" s="57">
        <f t="shared" si="15"/>
        <v>5.4038518646026441E-2</v>
      </c>
      <c r="BB15" s="57">
        <f t="shared" si="15"/>
        <v>6.7571903754560791E-2</v>
      </c>
      <c r="BC15" s="57">
        <f t="shared" si="15"/>
        <v>6.7253659806981295E-2</v>
      </c>
      <c r="BD15" s="57">
        <f t="shared" si="15"/>
        <v>6.7565017302898517E-2</v>
      </c>
      <c r="BE15" s="57">
        <f t="shared" si="15"/>
        <v>6.1825587342995078E-2</v>
      </c>
      <c r="BF15" s="57">
        <f t="shared" si="15"/>
        <v>6.1958908280249358E-2</v>
      </c>
      <c r="BG15" s="57">
        <f t="shared" si="15"/>
        <v>6.1600954548356214E-2</v>
      </c>
      <c r="BH15" s="57">
        <f t="shared" si="15"/>
        <v>7.2609373182505627E-2</v>
      </c>
      <c r="BI15" s="57">
        <f t="shared" si="15"/>
        <v>5.399678316380381E-2</v>
      </c>
      <c r="BJ15" s="57">
        <f t="shared" si="15"/>
        <v>5.6551535437577731E-2</v>
      </c>
      <c r="BK15" s="57">
        <f t="shared" si="15"/>
        <v>5.4243105975169056E-2</v>
      </c>
      <c r="BL15" s="57">
        <f t="shared" si="15"/>
        <v>5.0373271241932221E-2</v>
      </c>
      <c r="BM15" s="57">
        <f t="shared" si="15"/>
        <v>4.5436708806318123E-2</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365</v>
      </c>
      <c r="E16" s="26">
        <f>股权价值增加表!E11</f>
        <v>50991305.039999999</v>
      </c>
      <c r="F16" s="26">
        <f>股权价值增加表!F11</f>
        <v>25605969.710000001</v>
      </c>
      <c r="G16" s="26">
        <f>股权价值增加表!G11</f>
        <v>3936423.36</v>
      </c>
      <c r="H16" s="26">
        <f>股权价值增加表!H11</f>
        <v>-1020047.7</v>
      </c>
      <c r="I16" s="26">
        <f>股权价值增加表!I11</f>
        <v>48469502.909999996</v>
      </c>
      <c r="J16" s="26">
        <f>股权价值增加表!J11</f>
        <v>19117297.09</v>
      </c>
      <c r="K16" s="26">
        <f>股权价值增加表!K11</f>
        <v>13220524.99</v>
      </c>
      <c r="L16" s="26">
        <f>股权价值增加表!L11</f>
        <v>-859547.12</v>
      </c>
      <c r="M16" s="26">
        <f>股权价值增加表!M11</f>
        <v>59476815.25</v>
      </c>
      <c r="N16" s="26">
        <f>股权价值增加表!N11</f>
        <v>48024038.869999997</v>
      </c>
      <c r="O16" s="26">
        <f>股权价值增加表!O11</f>
        <v>22632782.989999998</v>
      </c>
      <c r="P16" s="26">
        <f>股权价值增加表!P11</f>
        <v>10893076.210000001</v>
      </c>
      <c r="Q16" s="26">
        <f>股权价值增加表!Q11</f>
        <v>50310489.329999998</v>
      </c>
      <c r="R16" s="26">
        <f>股权价值增加表!R11</f>
        <v>5050432.2699999996</v>
      </c>
      <c r="S16" s="26">
        <f>股权价值增加表!S11</f>
        <v>-4170356.35</v>
      </c>
      <c r="T16" s="26">
        <f>股权价值增加表!T11</f>
        <v>10274599.67</v>
      </c>
      <c r="U16" s="26">
        <f>股权价值增加表!U11</f>
        <v>59033219.689999998</v>
      </c>
      <c r="V16" s="26">
        <f>股权价值增加表!V11</f>
        <v>16705044.119999999</v>
      </c>
      <c r="W16" s="26">
        <f>股权价值增加表!W11</f>
        <v>13438270.73</v>
      </c>
      <c r="X16" s="26">
        <f>股权价值增加表!X11</f>
        <v>11831733.68</v>
      </c>
      <c r="Y16" s="26">
        <f>股权价值增加表!Y11</f>
        <v>29791361.18</v>
      </c>
      <c r="Z16" s="26">
        <f>股权价值增加表!Z11</f>
        <v>-5419360.3300000001</v>
      </c>
      <c r="AA16" s="26">
        <f>股权价值增加表!AA11</f>
        <v>-9775380.6600000001</v>
      </c>
      <c r="AB16" s="26">
        <f>股权价值增加表!AB11</f>
        <v>10284381.07</v>
      </c>
      <c r="AC16" s="26">
        <f>股权价值增加表!AC11</f>
        <v>31761403.440000001</v>
      </c>
      <c r="AD16" s="26">
        <f>股权价值增加表!AD11</f>
        <v>11660538.210000001</v>
      </c>
      <c r="AE16" s="26">
        <f>股权价值增加表!AE11</f>
        <v>17509156.190000001</v>
      </c>
      <c r="AF16" s="26">
        <f>股权价值增加表!AF11</f>
        <v>12503491.949999999</v>
      </c>
      <c r="AG16" s="26">
        <f>股权价值增加表!AG11</f>
        <v>11463854.41</v>
      </c>
      <c r="AH16" s="26">
        <f>股权价值增加表!AH11</f>
        <v>16426530.66</v>
      </c>
      <c r="AI16" s="26">
        <f>股权价值增加表!AI11</f>
        <v>11733559.68</v>
      </c>
      <c r="AJ16" s="26">
        <f>股权价值增加表!AJ11</f>
        <v>7845912.1900000004</v>
      </c>
      <c r="AK16" s="26">
        <f>股权价值增加表!AK11</f>
        <v>2978268.56</v>
      </c>
      <c r="AL16" s="26">
        <f>股权价值增加表!AL11</f>
        <v>4181556.44</v>
      </c>
      <c r="AM16" s="26">
        <f>股权价值增加表!AM11</f>
        <v>233064.24</v>
      </c>
      <c r="AN16" s="26">
        <f>股权价值增加表!AN11</f>
        <v>6530533.0499999998</v>
      </c>
      <c r="AO16" s="26">
        <f>股权价值增加表!AO11</f>
        <v>345406.09</v>
      </c>
      <c r="AP16" s="26">
        <f>股权价值增加表!AP11</f>
        <v>6862337.8499999996</v>
      </c>
      <c r="AQ16" s="26">
        <f>股权价值增加表!AQ11</f>
        <v>4906747.49</v>
      </c>
      <c r="AR16" s="26">
        <f>股权价值增加表!AR11</f>
        <v>3037889.86</v>
      </c>
      <c r="AS16" s="26">
        <f>股权价值增加表!AS11</f>
        <v>9750498.3499999996</v>
      </c>
      <c r="AT16" s="26">
        <f>股权价值增加表!AT11</f>
        <v>12647916.35</v>
      </c>
      <c r="AU16" s="26">
        <f>股权价值增加表!AU11</f>
        <v>9453917.7899999991</v>
      </c>
      <c r="AV16" s="26">
        <f>股权价值增加表!AV11</f>
        <v>7369079.7800000003</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3.5941394476164744E-3</v>
      </c>
      <c r="F17" s="57">
        <f t="shared" ref="F17:BQ17" si="17">F16/F2</f>
        <v>2.4394448026191992E-3</v>
      </c>
      <c r="G17" s="57">
        <f t="shared" si="17"/>
        <v>5.6971450461306826E-4</v>
      </c>
      <c r="H17" s="57">
        <f t="shared" si="17"/>
        <v>-2.5846516560982689E-4</v>
      </c>
      <c r="I17" s="57">
        <f t="shared" si="17"/>
        <v>4.0570020158037833E-3</v>
      </c>
      <c r="J17" s="57">
        <f t="shared" si="17"/>
        <v>2.1646495531220671E-3</v>
      </c>
      <c r="K17" s="57">
        <f t="shared" si="17"/>
        <v>2.2984539267532143E-3</v>
      </c>
      <c r="L17" s="57">
        <f t="shared" si="17"/>
        <v>-2.7433856344372115E-4</v>
      </c>
      <c r="M17" s="57">
        <f t="shared" si="17"/>
        <v>5.4517436925089896E-3</v>
      </c>
      <c r="N17" s="57">
        <f t="shared" si="17"/>
        <v>5.8009703012543365E-3</v>
      </c>
      <c r="O17" s="57">
        <f t="shared" si="17"/>
        <v>4.207169453401511E-3</v>
      </c>
      <c r="P17" s="57">
        <f t="shared" si="17"/>
        <v>3.6228934567166166E-3</v>
      </c>
      <c r="Q17" s="57">
        <f t="shared" si="17"/>
        <v>5.2765986455058601E-3</v>
      </c>
      <c r="R17" s="57">
        <f t="shared" si="17"/>
        <v>7.0483665196306266E-4</v>
      </c>
      <c r="S17" s="57">
        <f t="shared" si="17"/>
        <v>-8.9822158231587861E-4</v>
      </c>
      <c r="T17" s="57">
        <f t="shared" si="17"/>
        <v>3.9560530888738225E-3</v>
      </c>
      <c r="U17" s="57">
        <f t="shared" si="17"/>
        <v>7.0418062588304105E-3</v>
      </c>
      <c r="V17" s="57">
        <f t="shared" si="17"/>
        <v>2.647759723911253E-3</v>
      </c>
      <c r="W17" s="57">
        <f t="shared" si="17"/>
        <v>3.2480917715674521E-3</v>
      </c>
      <c r="X17" s="57">
        <f t="shared" si="17"/>
        <v>5.2096413711323888E-3</v>
      </c>
      <c r="Y17" s="57">
        <f t="shared" si="17"/>
        <v>4.3241936588532832E-3</v>
      </c>
      <c r="Z17" s="57">
        <f t="shared" si="17"/>
        <v>-1.0638159418734205E-3</v>
      </c>
      <c r="AA17" s="57">
        <f t="shared" si="17"/>
        <v>-2.9285217983986145E-3</v>
      </c>
      <c r="AB17" s="57">
        <f t="shared" si="17"/>
        <v>5.3520439291819049E-3</v>
      </c>
      <c r="AC17" s="57">
        <f t="shared" si="17"/>
        <v>4.4573323164560884E-3</v>
      </c>
      <c r="AD17" s="57">
        <f t="shared" si="17"/>
        <v>2.1914575217663714E-3</v>
      </c>
      <c r="AE17" s="57">
        <f t="shared" si="17"/>
        <v>5.033593062263233E-3</v>
      </c>
      <c r="AF17" s="57">
        <f t="shared" si="17"/>
        <v>6.5237480909052792E-3</v>
      </c>
      <c r="AG17" s="57">
        <f t="shared" si="17"/>
        <v>2.0390826991564994E-3</v>
      </c>
      <c r="AH17" s="57">
        <f t="shared" si="17"/>
        <v>3.9757327782119914E-3</v>
      </c>
      <c r="AI17" s="57">
        <f t="shared" si="17"/>
        <v>4.4489321700356002E-3</v>
      </c>
      <c r="AJ17" s="57">
        <f t="shared" si="17"/>
        <v>5.5651708243641866E-3</v>
      </c>
      <c r="AK17" s="57">
        <f t="shared" si="17"/>
        <v>7.2363695189723947E-4</v>
      </c>
      <c r="AL17" s="57">
        <f t="shared" si="17"/>
        <v>1.4570633250841018E-3</v>
      </c>
      <c r="AM17" s="57">
        <f t="shared" si="17"/>
        <v>1.3022942114416624E-4</v>
      </c>
      <c r="AN17" s="57">
        <f t="shared" si="17"/>
        <v>6.6995644460415829E-3</v>
      </c>
      <c r="AO17" s="57">
        <f t="shared" si="17"/>
        <v>9.5350916149685263E-5</v>
      </c>
      <c r="AP17" s="57">
        <f t="shared" si="17"/>
        <v>2.5067803491718066E-3</v>
      </c>
      <c r="AQ17" s="57">
        <f t="shared" si="17"/>
        <v>2.7720316133030996E-3</v>
      </c>
      <c r="AR17" s="57">
        <f t="shared" si="17"/>
        <v>3.2015868044161775E-3</v>
      </c>
      <c r="AS17" s="57">
        <f t="shared" si="17"/>
        <v>3.323614843258074E-3</v>
      </c>
      <c r="AT17" s="57">
        <f t="shared" si="17"/>
        <v>6.2091318977743528E-3</v>
      </c>
      <c r="AU17" s="57">
        <f t="shared" si="17"/>
        <v>7.0390510029703784E-3</v>
      </c>
      <c r="AV17" s="57">
        <f t="shared" si="17"/>
        <v>1.0671877869904527E-2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366</v>
      </c>
      <c r="E18" s="26">
        <f>股权价值增加表!E12</f>
        <v>528511.43999999994</v>
      </c>
      <c r="F18" s="26">
        <f>股权价值增加表!F12</f>
        <v>1204</v>
      </c>
      <c r="G18" s="26">
        <f>股权价值增加表!G12</f>
        <v>868</v>
      </c>
      <c r="H18" s="26">
        <f>股权价值增加表!H12</f>
        <v>644</v>
      </c>
      <c r="I18" s="26">
        <f>股权价值增加表!I12</f>
        <v>591699.29</v>
      </c>
      <c r="J18" s="26">
        <f>股权价值增加表!J12</f>
        <v>0</v>
      </c>
      <c r="K18" s="26">
        <f>股权价值增加表!K12</f>
        <v>0</v>
      </c>
      <c r="L18" s="26">
        <f>股权价值增加表!L12</f>
        <v>0</v>
      </c>
      <c r="M18" s="26">
        <f>股权价值增加表!M12</f>
        <v>574431.84</v>
      </c>
      <c r="N18" s="26">
        <f>股权价值增加表!N12</f>
        <v>0</v>
      </c>
      <c r="O18" s="26">
        <f>股权价值增加表!O12</f>
        <v>0</v>
      </c>
      <c r="P18" s="26">
        <f>股权价值增加表!P12</f>
        <v>0</v>
      </c>
      <c r="Q18" s="26">
        <f>股权价值增加表!Q12</f>
        <v>784649.75</v>
      </c>
      <c r="R18" s="26">
        <f>股权价值增加表!R12</f>
        <v>0</v>
      </c>
      <c r="S18" s="26">
        <f>股权价值增加表!S12</f>
        <v>0</v>
      </c>
      <c r="T18" s="26">
        <f>股权价值增加表!T12</f>
        <v>0</v>
      </c>
      <c r="U18" s="26">
        <f>股权价值增加表!U12</f>
        <v>957328.37</v>
      </c>
      <c r="V18" s="26">
        <f>股权价值增加表!V12</f>
        <v>0</v>
      </c>
      <c r="W18" s="26">
        <f>股权价值增加表!W12</f>
        <v>0</v>
      </c>
      <c r="X18" s="26">
        <f>股权价值增加表!X12</f>
        <v>0</v>
      </c>
      <c r="Y18" s="26">
        <f>股权价值增加表!Y12</f>
        <v>1143800.3899999999</v>
      </c>
      <c r="Z18" s="26">
        <f>股权价值增加表!Z12</f>
        <v>0</v>
      </c>
      <c r="AA18" s="26">
        <f>股权价值增加表!AA12</f>
        <v>0</v>
      </c>
      <c r="AB18" s="26">
        <f>股权价值增加表!AB12</f>
        <v>0</v>
      </c>
      <c r="AC18" s="26">
        <f>股权价值增加表!AC12</f>
        <v>1277205.74</v>
      </c>
      <c r="AD18" s="26">
        <f>股权价值增加表!AD12</f>
        <v>0</v>
      </c>
      <c r="AE18" s="26">
        <f>股权价值增加表!AE12</f>
        <v>0</v>
      </c>
      <c r="AF18" s="26">
        <f>股权价值增加表!AF12</f>
        <v>0</v>
      </c>
      <c r="AG18" s="26">
        <f>股权价值增加表!AG12</f>
        <v>1443253.9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3.725230828139219E-5</v>
      </c>
      <c r="F19" s="57">
        <f t="shared" ref="F19:BQ19" si="19">F18/F2</f>
        <v>1.1470339048344972E-7</v>
      </c>
      <c r="G19" s="57">
        <f t="shared" si="19"/>
        <v>1.2562474733514012E-7</v>
      </c>
      <c r="H19" s="57">
        <f t="shared" si="19"/>
        <v>1.6318017937075738E-7</v>
      </c>
      <c r="I19" s="57">
        <f t="shared" si="19"/>
        <v>4.9526507765863691E-5</v>
      </c>
      <c r="J19" s="57">
        <f t="shared" si="19"/>
        <v>0</v>
      </c>
      <c r="K19" s="57">
        <f t="shared" si="19"/>
        <v>0</v>
      </c>
      <c r="L19" s="57">
        <f t="shared" si="19"/>
        <v>0</v>
      </c>
      <c r="M19" s="57">
        <f t="shared" si="19"/>
        <v>5.2653376737355361E-5</v>
      </c>
      <c r="N19" s="57">
        <f t="shared" si="19"/>
        <v>0</v>
      </c>
      <c r="O19" s="57">
        <f t="shared" si="19"/>
        <v>0</v>
      </c>
      <c r="P19" s="57">
        <f t="shared" si="19"/>
        <v>0</v>
      </c>
      <c r="Q19" s="57">
        <f t="shared" si="19"/>
        <v>8.2294604230328446E-5</v>
      </c>
      <c r="R19" s="57">
        <f t="shared" si="19"/>
        <v>0</v>
      </c>
      <c r="S19" s="57">
        <f t="shared" si="19"/>
        <v>0</v>
      </c>
      <c r="T19" s="57">
        <f t="shared" si="19"/>
        <v>0</v>
      </c>
      <c r="U19" s="57">
        <f t="shared" si="19"/>
        <v>1.1419537919534938E-4</v>
      </c>
      <c r="V19" s="57">
        <f t="shared" si="19"/>
        <v>0</v>
      </c>
      <c r="W19" s="57">
        <f t="shared" si="19"/>
        <v>0</v>
      </c>
      <c r="X19" s="57">
        <f t="shared" si="19"/>
        <v>0</v>
      </c>
      <c r="Y19" s="57">
        <f t="shared" si="19"/>
        <v>1.6602176595919849E-4</v>
      </c>
      <c r="Z19" s="57">
        <f t="shared" si="19"/>
        <v>0</v>
      </c>
      <c r="AA19" s="57">
        <f t="shared" si="19"/>
        <v>0</v>
      </c>
      <c r="AB19" s="57">
        <f t="shared" si="19"/>
        <v>0</v>
      </c>
      <c r="AC19" s="57">
        <f t="shared" si="19"/>
        <v>1.7924051846196417E-4</v>
      </c>
      <c r="AD19" s="57">
        <f t="shared" si="19"/>
        <v>0</v>
      </c>
      <c r="AE19" s="57">
        <f t="shared" si="19"/>
        <v>0</v>
      </c>
      <c r="AF19" s="57">
        <f t="shared" si="19"/>
        <v>0</v>
      </c>
      <c r="AG19" s="57">
        <f t="shared" si="19"/>
        <v>2.5671244179558143E-4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368</v>
      </c>
      <c r="E20" s="26">
        <f>股权价值增加表!E13-股权价值增加表!E14</f>
        <v>-9456187.3000000007</v>
      </c>
      <c r="F20" s="26">
        <f>股权价值增加表!F13-股权价值增加表!F14</f>
        <v>14039753.99</v>
      </c>
      <c r="G20" s="26">
        <f>股权价值增加表!G13-股权价值增加表!G14</f>
        <v>11210081.52</v>
      </c>
      <c r="H20" s="26">
        <f>股权价值增加表!H13-股权价值增加表!H14</f>
        <v>-313242.45999999996</v>
      </c>
      <c r="I20" s="26">
        <f>股权价值增加表!I13-股权价值增加表!I14</f>
        <v>51645450.770000011</v>
      </c>
      <c r="J20" s="26">
        <f>股权价值增加表!J13-股权价值增加表!J14</f>
        <v>17764137.800000001</v>
      </c>
      <c r="K20" s="26">
        <f>股权价值增加表!K13-股权价值增加表!K14</f>
        <v>13394895.109999999</v>
      </c>
      <c r="L20" s="26">
        <f>股权价值增加表!L13-股权价值增加表!L14</f>
        <v>12878922.720000001</v>
      </c>
      <c r="M20" s="26">
        <f>股权价值增加表!M13-股权价值增加表!M14</f>
        <v>29211775.029999997</v>
      </c>
      <c r="N20" s="26">
        <f>股权价值增加表!N13-股权价值增加表!N14</f>
        <v>20811432.77</v>
      </c>
      <c r="O20" s="26">
        <f>股权价值增加表!O13-股权价值增加表!O14</f>
        <v>14667771.08</v>
      </c>
      <c r="P20" s="26">
        <f>股权价值增加表!P13-股权价值增加表!P14</f>
        <v>9370005.2200000007</v>
      </c>
      <c r="Q20" s="26">
        <f>股权价值增加表!Q13-股权价值增加表!Q14</f>
        <v>2764902.2800000012</v>
      </c>
      <c r="R20" s="26">
        <f>股权价值增加表!R13-股权价值增加表!R14</f>
        <v>11893367.020000001</v>
      </c>
      <c r="S20" s="26">
        <f>股权价值增加表!S13-股权价值增加表!S14</f>
        <v>4777434.1199999992</v>
      </c>
      <c r="T20" s="26">
        <f>股权价值增加表!T13-股权价值增加表!T14</f>
        <v>-1777426.8099999998</v>
      </c>
      <c r="U20" s="26">
        <f>股权价值增加表!U13-股权价值增加表!U14</f>
        <v>-9255297.3200000003</v>
      </c>
      <c r="V20" s="26">
        <f>股权价值增加表!V13-股权价值增加表!V14</f>
        <v>-106618.25</v>
      </c>
      <c r="W20" s="26">
        <f>股权价值增加表!W13-股权价值增加表!W14</f>
        <v>-8866789.9800000004</v>
      </c>
      <c r="X20" s="26">
        <f>股权价值增加表!X13-股权价值增加表!X14</f>
        <v>-7794233.3199999994</v>
      </c>
      <c r="Y20" s="26">
        <f>股权价值增加表!Y13-股权价值增加表!Y14</f>
        <v>18328650.030000001</v>
      </c>
      <c r="Z20" s="26">
        <f>股权价值增加表!Z13-股权价值增加表!Z14</f>
        <v>6163972.5099999998</v>
      </c>
      <c r="AA20" s="26">
        <f>股权价值增加表!AA13-股权价值增加表!AA14</f>
        <v>-590414.30999999959</v>
      </c>
      <c r="AB20" s="26">
        <f>股权价值增加表!AB13-股权价值增加表!AB14</f>
        <v>-207663.68999999994</v>
      </c>
      <c r="AC20" s="26">
        <f>股权价值增加表!AC13-股权价值增加表!AC14</f>
        <v>27242379.170000002</v>
      </c>
      <c r="AD20" s="26">
        <f>股权价值增加表!AD13-股权价值增加表!AD14</f>
        <v>14516882.989999998</v>
      </c>
      <c r="AE20" s="26">
        <f>股权价值增加表!AE13-股权价值增加表!AE14</f>
        <v>1074654.5599999996</v>
      </c>
      <c r="AF20" s="26">
        <f>股权价值增加表!AF13-股权价值增加表!AF14</f>
        <v>79458.629999999888</v>
      </c>
      <c r="AG20" s="26">
        <f>股权价值增加表!AG13-股权价值增加表!AG14</f>
        <v>25870113.529999997</v>
      </c>
      <c r="AH20" s="26">
        <f>股权价值增加表!AH13-股权价值增加表!AH14</f>
        <v>1406986.1099999994</v>
      </c>
      <c r="AI20" s="26">
        <f>股权价值增加表!AI13-股权价值增加表!AI14</f>
        <v>1162745.9300000002</v>
      </c>
      <c r="AJ20" s="26">
        <f>股权价值增加表!AJ13-股权价值增加表!AJ14</f>
        <v>-1222537.3599999999</v>
      </c>
      <c r="AK20" s="26">
        <f>股权价值增加表!AK13-股权价值增加表!AK14</f>
        <v>2170547.8999999985</v>
      </c>
      <c r="AL20" s="26">
        <f>股权价值增加表!AL13-股权价值增加表!AL14</f>
        <v>-2667416.46</v>
      </c>
      <c r="AM20" s="26">
        <f>股权价值增加表!AM13-股权价值增加表!AM14</f>
        <v>-1005046.29</v>
      </c>
      <c r="AN20" s="26">
        <f>股权价值增加表!AN13-股权价值增加表!AN14</f>
        <v>-1815700.96</v>
      </c>
      <c r="AO20" s="26">
        <f>股权价值增加表!AO13-股权价值增加表!AO14</f>
        <v>2778556.9399999995</v>
      </c>
      <c r="AP20" s="26">
        <f>股权价值增加表!AP13-股权价值增加表!AP14</f>
        <v>-1117381.8500000001</v>
      </c>
      <c r="AQ20" s="26">
        <f>股权价值增加表!AQ13-股权价值增加表!AQ14</f>
        <v>805671.12000000011</v>
      </c>
      <c r="AR20" s="26">
        <f>股权价值增加表!AR13-股权价值增加表!AR14</f>
        <v>300346.23999999999</v>
      </c>
      <c r="AS20" s="26">
        <f>股权价值增加表!AS13-股权价值增加表!AS14</f>
        <v>-2131968.6</v>
      </c>
      <c r="AT20" s="26">
        <f>股权价值增加表!AT13-股权价值增加表!AT14</f>
        <v>155572.99000000022</v>
      </c>
      <c r="AU20" s="26">
        <f>股权价值增加表!AU13-股权价值增加表!AU14</f>
        <v>-711069.07</v>
      </c>
      <c r="AV20" s="26">
        <f>股权价值增加表!AV13-股权价值增加表!AV14</f>
        <v>-652178.09000000008</v>
      </c>
      <c r="AW20" s="26">
        <f>股权价值增加表!AW13-股权价值增加表!AW14</f>
        <v>-6746786.04</v>
      </c>
      <c r="AX20" s="26">
        <f>股权价值增加表!AX13-股权价值增加表!AX14</f>
        <v>-2264205.1999999997</v>
      </c>
      <c r="AY20" s="26">
        <f>股权价值增加表!AY13-股权价值增加表!AY14</f>
        <v>-1377116.5999999999</v>
      </c>
      <c r="AZ20" s="26">
        <f>股权价值增加表!AZ13-股权价值增加表!AZ14</f>
        <v>-470909.1</v>
      </c>
      <c r="BA20" s="26">
        <f>股权价值增加表!BA13-股权价值增加表!BA14</f>
        <v>-3751074.8899999997</v>
      </c>
      <c r="BB20" s="26">
        <f>股权价值增加表!BB13-股权价值增加表!BB14</f>
        <v>-2644525.2799999998</v>
      </c>
      <c r="BC20" s="26">
        <f>股权价值增加表!BC13-股权价值增加表!BC14</f>
        <v>-1682054.62</v>
      </c>
      <c r="BD20" s="26">
        <f>股权价值增加表!BD13-股权价值增加表!BD14</f>
        <v>-417106.83999999997</v>
      </c>
      <c r="BE20" s="26">
        <f>股权价值增加表!BE13-股权价值增加表!BE14</f>
        <v>-1034893.8200000001</v>
      </c>
      <c r="BF20" s="26">
        <f>股权价值增加表!BF13-股权价值增加表!BF14</f>
        <v>-828853.5</v>
      </c>
      <c r="BG20" s="26">
        <f>股权价值增加表!BG13-股权价值增加表!BG14</f>
        <v>-401823.67000000004</v>
      </c>
      <c r="BH20" s="26">
        <f>股权价值增加表!BH13-股权价值增加表!BH14</f>
        <v>-347412.23</v>
      </c>
      <c r="BI20" s="26">
        <f>股权价值增加表!BI13-股权价值增加表!BI14</f>
        <v>-1022800.86</v>
      </c>
      <c r="BJ20" s="26">
        <f>股权价值增加表!BJ13-股权价值增加表!BJ14</f>
        <v>-853073.72</v>
      </c>
      <c r="BK20" s="26">
        <f>股权价值增加表!BK13-股权价值增加表!BK14</f>
        <v>-529406.87</v>
      </c>
      <c r="BL20" s="26">
        <f>股权价值增加表!BL13-股权价值增加表!BL14</f>
        <v>-989340.25</v>
      </c>
      <c r="BM20" s="26">
        <f>股权价值增加表!BM13-股权价值增加表!BM14</f>
        <v>-774140.07000000007</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-6.6652257227617568E-4</v>
      </c>
      <c r="F21" s="57">
        <f t="shared" ref="F21:BQ21" si="21">F20/F2</f>
        <v>1.337547661301114E-3</v>
      </c>
      <c r="G21" s="57">
        <f t="shared" si="21"/>
        <v>1.6224235697653495E-3</v>
      </c>
      <c r="H21" s="57">
        <f t="shared" si="21"/>
        <v>-7.9371057157356033E-5</v>
      </c>
      <c r="I21" s="57">
        <f t="shared" si="21"/>
        <v>4.3228357070226268E-3</v>
      </c>
      <c r="J21" s="57">
        <f t="shared" si="21"/>
        <v>2.0114314680229109E-3</v>
      </c>
      <c r="K21" s="57">
        <f t="shared" si="21"/>
        <v>2.3287690380914992E-3</v>
      </c>
      <c r="L21" s="57">
        <f t="shared" si="21"/>
        <v>4.1105194532063604E-3</v>
      </c>
      <c r="M21" s="57">
        <f t="shared" si="21"/>
        <v>2.6775998277210056E-3</v>
      </c>
      <c r="N21" s="57">
        <f t="shared" si="21"/>
        <v>2.513876514054247E-3</v>
      </c>
      <c r="O21" s="57">
        <f t="shared" si="21"/>
        <v>2.7265669654733915E-3</v>
      </c>
      <c r="P21" s="57">
        <f t="shared" si="21"/>
        <v>3.1163401362945702E-3</v>
      </c>
      <c r="Q21" s="57">
        <f t="shared" si="21"/>
        <v>2.8998484848575157E-4</v>
      </c>
      <c r="R21" s="57">
        <f t="shared" si="21"/>
        <v>1.659834355316423E-3</v>
      </c>
      <c r="S21" s="57">
        <f t="shared" si="21"/>
        <v>1.028975481837725E-3</v>
      </c>
      <c r="T21" s="57">
        <f t="shared" si="21"/>
        <v>-6.8436679265262751E-4</v>
      </c>
      <c r="U21" s="57">
        <f t="shared" si="21"/>
        <v>-1.1040226323002428E-3</v>
      </c>
      <c r="V21" s="57">
        <f t="shared" si="21"/>
        <v>-1.6899057922625886E-5</v>
      </c>
      <c r="W21" s="57">
        <f t="shared" si="21"/>
        <v>-2.1431438726681115E-3</v>
      </c>
      <c r="X21" s="57">
        <f t="shared" si="21"/>
        <v>-3.4318859313718555E-3</v>
      </c>
      <c r="Y21" s="57">
        <f t="shared" si="21"/>
        <v>2.6603897605146968E-3</v>
      </c>
      <c r="Z21" s="57">
        <f t="shared" si="21"/>
        <v>1.2099826957635647E-3</v>
      </c>
      <c r="AA21" s="57">
        <f t="shared" si="21"/>
        <v>-1.7687711988511717E-4</v>
      </c>
      <c r="AB21" s="57">
        <f t="shared" si="21"/>
        <v>-1.0806923467840858E-4</v>
      </c>
      <c r="AC21" s="57">
        <f t="shared" si="21"/>
        <v>3.8231414200880537E-3</v>
      </c>
      <c r="AD21" s="57">
        <f t="shared" si="21"/>
        <v>2.7282730735151703E-3</v>
      </c>
      <c r="AE21" s="57">
        <f t="shared" si="21"/>
        <v>3.0894542711515697E-4</v>
      </c>
      <c r="AF21" s="57">
        <f t="shared" si="21"/>
        <v>4.1457865358040894E-5</v>
      </c>
      <c r="AG21" s="57">
        <f t="shared" si="21"/>
        <v>4.60153269900411E-3</v>
      </c>
      <c r="AH21" s="57">
        <f t="shared" si="21"/>
        <v>3.4053452380163035E-4</v>
      </c>
      <c r="AI21" s="57">
        <f t="shared" si="21"/>
        <v>4.4087028273034386E-4</v>
      </c>
      <c r="AJ21" s="57">
        <f t="shared" si="21"/>
        <v>-8.6715592563459663E-4</v>
      </c>
      <c r="AK21" s="57">
        <f t="shared" si="21"/>
        <v>5.2738315388957163E-4</v>
      </c>
      <c r="AL21" s="57">
        <f t="shared" si="21"/>
        <v>-9.2946125500381008E-4</v>
      </c>
      <c r="AM21" s="57">
        <f t="shared" si="21"/>
        <v>-5.6159021465408785E-4</v>
      </c>
      <c r="AN21" s="57">
        <f t="shared" si="21"/>
        <v>-1.8626971953322508E-3</v>
      </c>
      <c r="AO21" s="57">
        <f t="shared" si="21"/>
        <v>7.6703323268870562E-4</v>
      </c>
      <c r="AP21" s="57">
        <f t="shared" si="21"/>
        <v>-4.0817443345510013E-4</v>
      </c>
      <c r="AQ21" s="57">
        <f t="shared" si="21"/>
        <v>4.5515808977676067E-4</v>
      </c>
      <c r="AR21" s="57">
        <f t="shared" si="21"/>
        <v>3.1653042179087239E-4</v>
      </c>
      <c r="AS21" s="57">
        <f t="shared" si="21"/>
        <v>-7.2671593081395018E-4</v>
      </c>
      <c r="AT21" s="57">
        <f t="shared" si="21"/>
        <v>7.6374098935365892E-5</v>
      </c>
      <c r="AU21" s="57">
        <f t="shared" si="21"/>
        <v>-5.2943674374438519E-4</v>
      </c>
      <c r="AV21" s="57">
        <f t="shared" si="21"/>
        <v>-9.4448223301873437E-4</v>
      </c>
      <c r="AW21" s="57">
        <f t="shared" si="21"/>
        <v>-3.2453106043635505E-3</v>
      </c>
      <c r="AX21" s="57">
        <f t="shared" si="21"/>
        <v>-1.6227027940111315E-3</v>
      </c>
      <c r="AY21" s="57">
        <f t="shared" si="21"/>
        <v>-1.44864498458957E-3</v>
      </c>
      <c r="AZ21" s="57">
        <f t="shared" si="21"/>
        <v>-9.4635831856380002E-4</v>
      </c>
      <c r="BA21" s="57">
        <f t="shared" si="21"/>
        <v>-2.552346758870735E-3</v>
      </c>
      <c r="BB21" s="57">
        <f t="shared" si="21"/>
        <v>-2.9615604663124702E-3</v>
      </c>
      <c r="BC21" s="57">
        <f t="shared" si="21"/>
        <v>-2.9440828262769043E-3</v>
      </c>
      <c r="BD21" s="57">
        <f t="shared" si="21"/>
        <v>-1.3567038713760621E-3</v>
      </c>
      <c r="BE21" s="57">
        <f t="shared" si="21"/>
        <v>-1.0296422110281608E-3</v>
      </c>
      <c r="BF21" s="57">
        <f t="shared" si="21"/>
        <v>-1.199913587390303E-3</v>
      </c>
      <c r="BG21" s="57">
        <f t="shared" si="21"/>
        <v>-9.5387244754048279E-4</v>
      </c>
      <c r="BH21" s="57">
        <f t="shared" si="21"/>
        <v>-1.6133698687555516E-3</v>
      </c>
      <c r="BI21" s="57">
        <f t="shared" si="21"/>
        <v>-1.2226822816140221E-3</v>
      </c>
      <c r="BJ21" s="57">
        <f t="shared" si="21"/>
        <v>-1.5097544832948897E-3</v>
      </c>
      <c r="BK21" s="57">
        <f t="shared" si="21"/>
        <v>-1.4738995010558321E-3</v>
      </c>
      <c r="BL21" s="57">
        <f t="shared" si="21"/>
        <v>-1.6083063293575236E-3</v>
      </c>
      <c r="BM21" s="57">
        <f t="shared" si="21"/>
        <v>-1.6490303401806587E-3</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0.1948923544155706</v>
      </c>
      <c r="F22" s="66">
        <f t="shared" ref="F22:BQ22" si="23">F11+F13+F15+F17+F19+F21</f>
        <v>0.198818318322601</v>
      </c>
      <c r="G22" s="66">
        <f t="shared" si="23"/>
        <v>0.20222910789991855</v>
      </c>
      <c r="H22" s="66">
        <f t="shared" si="23"/>
        <v>0.19727562934667678</v>
      </c>
      <c r="I22" s="66">
        <f t="shared" si="23"/>
        <v>0.20681355624912018</v>
      </c>
      <c r="J22" s="66">
        <f t="shared" si="23"/>
        <v>0.19750705909424998</v>
      </c>
      <c r="K22" s="66">
        <f t="shared" si="23"/>
        <v>0.20110095426460411</v>
      </c>
      <c r="L22" s="66">
        <f t="shared" si="23"/>
        <v>0.20580456705561895</v>
      </c>
      <c r="M22" s="66">
        <f t="shared" si="23"/>
        <v>0.19303253200696507</v>
      </c>
      <c r="N22" s="66">
        <f t="shared" si="23"/>
        <v>0.18968090408068963</v>
      </c>
      <c r="O22" s="66">
        <f t="shared" si="23"/>
        <v>0.19886571394844901</v>
      </c>
      <c r="P22" s="66">
        <f t="shared" si="23"/>
        <v>0.20169316707919102</v>
      </c>
      <c r="Q22" s="66">
        <f t="shared" si="23"/>
        <v>0.20088076473748806</v>
      </c>
      <c r="R22" s="66">
        <f t="shared" si="23"/>
        <v>0.20021012038807606</v>
      </c>
      <c r="S22" s="66">
        <f t="shared" si="23"/>
        <v>0.20763903570526712</v>
      </c>
      <c r="T22" s="66">
        <f t="shared" si="23"/>
        <v>0.21053327898392177</v>
      </c>
      <c r="U22" s="66">
        <f t="shared" si="23"/>
        <v>0.19638683760699982</v>
      </c>
      <c r="V22" s="66">
        <f t="shared" si="23"/>
        <v>0.19027705940397266</v>
      </c>
      <c r="W22" s="66">
        <f t="shared" si="23"/>
        <v>0.18959330121073562</v>
      </c>
      <c r="X22" s="66">
        <f t="shared" si="23"/>
        <v>0.1878266959883024</v>
      </c>
      <c r="Y22" s="66">
        <f t="shared" si="23"/>
        <v>0.21130554120508288</v>
      </c>
      <c r="Z22" s="66">
        <f t="shared" si="23"/>
        <v>0.20255906246727376</v>
      </c>
      <c r="AA22" s="66">
        <f t="shared" si="23"/>
        <v>0.20312606882277168</v>
      </c>
      <c r="AB22" s="66">
        <f t="shared" si="23"/>
        <v>0.20960190326353076</v>
      </c>
      <c r="AC22" s="66">
        <f t="shared" si="23"/>
        <v>0.19334621743305913</v>
      </c>
      <c r="AD22" s="66">
        <f t="shared" si="23"/>
        <v>0.19054770231349402</v>
      </c>
      <c r="AE22" s="66">
        <f t="shared" si="23"/>
        <v>0.19435007281227212</v>
      </c>
      <c r="AF22" s="66">
        <f t="shared" si="23"/>
        <v>0.1937769937414468</v>
      </c>
      <c r="AG22" s="66">
        <f t="shared" si="23"/>
        <v>0.19456799405108427</v>
      </c>
      <c r="AH22" s="66">
        <f t="shared" si="23"/>
        <v>0.19011158549405083</v>
      </c>
      <c r="AI22" s="66">
        <f t="shared" si="23"/>
        <v>0.19868643913053716</v>
      </c>
      <c r="AJ22" s="66">
        <f t="shared" si="23"/>
        <v>0.19275661835822511</v>
      </c>
      <c r="AK22" s="66">
        <f t="shared" si="23"/>
        <v>0.21543084748192851</v>
      </c>
      <c r="AL22" s="66">
        <f t="shared" si="23"/>
        <v>0.217345782255701</v>
      </c>
      <c r="AM22" s="66">
        <f t="shared" si="23"/>
        <v>0.22219172117402763</v>
      </c>
      <c r="AN22" s="66">
        <f t="shared" si="23"/>
        <v>0.23454411671435385</v>
      </c>
      <c r="AO22" s="66">
        <f t="shared" si="23"/>
        <v>0.19183309205130056</v>
      </c>
      <c r="AP22" s="66">
        <f t="shared" si="23"/>
        <v>0.19515144603048618</v>
      </c>
      <c r="AQ22" s="66">
        <f t="shared" si="23"/>
        <v>0.19812983581181026</v>
      </c>
      <c r="AR22" s="66">
        <f t="shared" si="23"/>
        <v>0.22237308343607456</v>
      </c>
      <c r="AS22" s="66">
        <f t="shared" si="23"/>
        <v>0.17617933506872752</v>
      </c>
      <c r="AT22" s="66">
        <f t="shared" si="23"/>
        <v>0.17392484670189734</v>
      </c>
      <c r="AU22" s="66">
        <f t="shared" si="23"/>
        <v>0.17615026041771331</v>
      </c>
      <c r="AV22" s="66">
        <f t="shared" si="23"/>
        <v>0.20323887153796538</v>
      </c>
      <c r="AW22" s="66">
        <f t="shared" si="23"/>
        <v>0.18060581862364034</v>
      </c>
      <c r="AX22" s="66">
        <f t="shared" si="23"/>
        <v>0.19844366248746487</v>
      </c>
      <c r="AY22" s="66">
        <f t="shared" si="23"/>
        <v>0.19832130171119594</v>
      </c>
      <c r="AZ22" s="66">
        <f t="shared" si="23"/>
        <v>0.19773957715009824</v>
      </c>
      <c r="BA22" s="66">
        <f t="shared" si="23"/>
        <v>0.17034227804792393</v>
      </c>
      <c r="BB22" s="66">
        <f t="shared" si="23"/>
        <v>0.19138463879657783</v>
      </c>
      <c r="BC22" s="66">
        <f t="shared" si="23"/>
        <v>0.19727741813079813</v>
      </c>
      <c r="BD22" s="66">
        <f t="shared" si="23"/>
        <v>0.2146958479736929</v>
      </c>
      <c r="BE22" s="66">
        <f t="shared" si="23"/>
        <v>0.19704152204172767</v>
      </c>
      <c r="BF22" s="66">
        <f t="shared" si="23"/>
        <v>0.19307007228970235</v>
      </c>
      <c r="BG22" s="66">
        <f t="shared" si="23"/>
        <v>0.20907797655268245</v>
      </c>
      <c r="BH22" s="66">
        <f t="shared" si="23"/>
        <v>0.2413491232548812</v>
      </c>
      <c r="BI22" s="66">
        <f t="shared" si="23"/>
        <v>0.1803050444528824</v>
      </c>
      <c r="BJ22" s="66">
        <f t="shared" si="23"/>
        <v>0.17619034514461096</v>
      </c>
      <c r="BK22" s="66">
        <f t="shared" si="23"/>
        <v>0.17684246412948182</v>
      </c>
      <c r="BL22" s="66">
        <f t="shared" si="23"/>
        <v>0.18590063668507786</v>
      </c>
      <c r="BM22" s="66">
        <f t="shared" si="23"/>
        <v>0.24266117623356126</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371</v>
      </c>
      <c r="E23" s="27">
        <f>股权价值增加表!E17</f>
        <v>1161932616.7801411</v>
      </c>
      <c r="F23" s="27">
        <f>股权价值增加表!F17</f>
        <v>855254866.24176621</v>
      </c>
      <c r="G23" s="27">
        <f>股权价值增加表!G17</f>
        <v>573440233.07545972</v>
      </c>
      <c r="H23" s="27">
        <f>股权价值增加表!H17</f>
        <v>353987606.52188241</v>
      </c>
      <c r="I23" s="27">
        <f>股权价值增加表!I17</f>
        <v>1062734068.8356625</v>
      </c>
      <c r="J23" s="27">
        <f>股权价值增加表!J17</f>
        <v>744116325.27319133</v>
      </c>
      <c r="K23" s="27">
        <f>股权价值增加表!K17</f>
        <v>477133090.19337124</v>
      </c>
      <c r="L23" s="27">
        <f>股权价值增加表!L17</f>
        <v>279040076.44460034</v>
      </c>
      <c r="M23" s="27">
        <f>股权价值增加表!M17</f>
        <v>937639565.90755606</v>
      </c>
      <c r="N23" s="27">
        <f>股权价值增加表!N17</f>
        <v>664665857.21834385</v>
      </c>
      <c r="O23" s="27">
        <f>股权价值增加表!O17</f>
        <v>413268151.32706547</v>
      </c>
      <c r="P23" s="27">
        <f>股权价值增加表!P17</f>
        <v>238679438.13549852</v>
      </c>
      <c r="Q23" s="27">
        <f>股权价值增加表!Q17</f>
        <v>722470144.48341775</v>
      </c>
      <c r="R23" s="27">
        <f>股权价值增加表!R17</f>
        <v>535961897.4493863</v>
      </c>
      <c r="S23" s="27">
        <f>股权价值增加表!S17</f>
        <v>344332399.80662036</v>
      </c>
      <c r="T23" s="27">
        <f>股权价值增加表!T17</f>
        <v>198392328.28936571</v>
      </c>
      <c r="U23" s="27">
        <f>股权价值增加表!U17</f>
        <v>620285743.92216349</v>
      </c>
      <c r="V23" s="27">
        <f>股权价值增加表!V17</f>
        <v>463647712.68482774</v>
      </c>
      <c r="W23" s="27">
        <f>股权价值增加表!W17</f>
        <v>298205288.30303383</v>
      </c>
      <c r="X23" s="27">
        <f>股权价值增加表!X17</f>
        <v>170890499.2280935</v>
      </c>
      <c r="Y23" s="27">
        <f>股权价值增加表!Y17</f>
        <v>508203284.2477634</v>
      </c>
      <c r="Z23" s="27">
        <f>股权价值增加表!Z17</f>
        <v>356694472.58314705</v>
      </c>
      <c r="AA23" s="27">
        <f>股权价值增加表!AA17</f>
        <v>235559866.98412877</v>
      </c>
      <c r="AB23" s="27">
        <f>股权价值增加表!AB17</f>
        <v>138973351.33733532</v>
      </c>
      <c r="AC23" s="27">
        <f>股权价值增加表!AC17</f>
        <v>522802633.00968504</v>
      </c>
      <c r="AD23" s="27">
        <f>股权价值增加表!AD17</f>
        <v>393733824.48917294</v>
      </c>
      <c r="AE23" s="27">
        <f>股权价值增加表!AE17</f>
        <v>254943703.48684549</v>
      </c>
      <c r="AF23" s="27">
        <f>股权价值增加表!AF17</f>
        <v>158620528.99036881</v>
      </c>
      <c r="AG23" s="27">
        <f>股权价值增加表!AG17</f>
        <v>443885504.77592677</v>
      </c>
      <c r="AH23" s="27">
        <f>股权价值增加表!AH17</f>
        <v>316152122.70137119</v>
      </c>
      <c r="AI23" s="27">
        <f>股权价值增加表!AI17</f>
        <v>193805962.51638496</v>
      </c>
      <c r="AJ23" s="27">
        <f>股权价值增加表!AJ17</f>
        <v>114975872.63402748</v>
      </c>
      <c r="AK23" s="27">
        <f>股权价值增加表!AK17</f>
        <v>327554299.5211038</v>
      </c>
      <c r="AL23" s="27">
        <f>股权价值增加表!AL17</f>
        <v>222751330.52249795</v>
      </c>
      <c r="AM23" s="27">
        <f>股权价值增加表!AM17</f>
        <v>141137499.84096211</v>
      </c>
      <c r="AN23" s="27">
        <f>股权价值增加表!AN17</f>
        <v>76311197.807967246</v>
      </c>
      <c r="AO23" s="27">
        <f>股权价值增加表!AO17</f>
        <v>270150912.5287928</v>
      </c>
      <c r="AP23" s="27">
        <f>股权价值增加表!AP17</f>
        <v>173810558.5032286</v>
      </c>
      <c r="AQ23" s="27">
        <f>股权价值增加表!AQ17</f>
        <v>123119096.62575935</v>
      </c>
      <c r="AR23" s="27">
        <f>股权价值增加表!AR17</f>
        <v>67237989.234127343</v>
      </c>
      <c r="AS23" s="27">
        <f>股权价值增加表!AS17</f>
        <v>234523585.57062864</v>
      </c>
      <c r="AT23" s="27">
        <f>股权价值增加表!AT17</f>
        <v>133567721.07222509</v>
      </c>
      <c r="AU23" s="27">
        <f>股权价值增加表!AU17</f>
        <v>93342139.580037534</v>
      </c>
      <c r="AV23" s="27">
        <f>股权价值增加表!AV17</f>
        <v>51457501.869767986</v>
      </c>
      <c r="AW23" s="27">
        <f>股权价值增加表!AW17</f>
        <v>153519401.91622001</v>
      </c>
      <c r="AX23" s="27">
        <f>股权价值增加表!AX17</f>
        <v>87085914.432679072</v>
      </c>
      <c r="AY23" s="27">
        <f>股权价值增加表!AY17</f>
        <v>59621132.726697914</v>
      </c>
      <c r="AZ23" s="27">
        <f>股权价值增加表!AZ17</f>
        <v>31305455.804700963</v>
      </c>
      <c r="BA23" s="27">
        <f>股权价值增加表!BA17</f>
        <v>102982624.45753603</v>
      </c>
      <c r="BB23" s="27">
        <f>股权价值增加表!BB17</f>
        <v>56376998.433561333</v>
      </c>
      <c r="BC23" s="27">
        <f>股权价值增加表!BC17</f>
        <v>40193258.964899294</v>
      </c>
      <c r="BD23" s="27">
        <f>股权价值增加表!BD17</f>
        <v>18252958.138916139</v>
      </c>
      <c r="BE23" s="27">
        <f>股权价值增加表!BE17</f>
        <v>72591431.213324353</v>
      </c>
      <c r="BF23" s="27">
        <f>股权价值增加表!BF17</f>
        <v>45536274.652831957</v>
      </c>
      <c r="BG23" s="27">
        <f>股权价值增加表!BG17</f>
        <v>26260724.432035241</v>
      </c>
      <c r="BH23" s="27">
        <f>股权价值增加表!BH17</f>
        <v>9135491.3241262455</v>
      </c>
      <c r="BI23" s="27">
        <f>股权价值增加表!BI17</f>
        <v>52418336.317863688</v>
      </c>
      <c r="BJ23" s="27">
        <f>股权价值增加表!BJ17</f>
        <v>31732664.415362958</v>
      </c>
      <c r="BK23" s="27">
        <f>股权价值增加表!BK17</f>
        <v>17481319.657173757</v>
      </c>
      <c r="BL23" s="27">
        <f>股权价值增加表!BL17</f>
        <v>39702134.104384609</v>
      </c>
      <c r="BM23" s="27">
        <f>股权价值增加表!BM17</f>
        <v>24097566.667722285</v>
      </c>
      <c r="BN23" s="27" t="e">
        <f>股权价值增加表!BN17</f>
        <v>#DIV/0!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t="e">
        <f>股权价值增加表!CE17</f>
        <v>#DIV/0!</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8.18992149772549E-2</v>
      </c>
      <c r="F24" s="57">
        <f t="shared" ref="F24:BQ24" si="25">F23/F2</f>
        <v>8.1478930967940094E-2</v>
      </c>
      <c r="G24" s="57">
        <f t="shared" si="25"/>
        <v>8.2993415198051257E-2</v>
      </c>
      <c r="H24" s="57">
        <f t="shared" si="25"/>
        <v>8.9695281253518416E-2</v>
      </c>
      <c r="I24" s="57">
        <f t="shared" si="25"/>
        <v>8.8953135490896659E-2</v>
      </c>
      <c r="J24" s="57">
        <f t="shared" si="25"/>
        <v>8.4256213804199884E-2</v>
      </c>
      <c r="K24" s="57">
        <f t="shared" si="25"/>
        <v>8.2951957321541259E-2</v>
      </c>
      <c r="L24" s="57">
        <f t="shared" si="25"/>
        <v>8.9060217798225871E-2</v>
      </c>
      <c r="M24" s="57">
        <f t="shared" si="25"/>
        <v>8.5945600277973613E-2</v>
      </c>
      <c r="N24" s="57">
        <f t="shared" si="25"/>
        <v>8.0287018516261827E-2</v>
      </c>
      <c r="O24" s="57">
        <f t="shared" si="25"/>
        <v>7.682171225231825E-2</v>
      </c>
      <c r="P24" s="57">
        <f t="shared" si="25"/>
        <v>7.9381632699868532E-2</v>
      </c>
      <c r="Q24" s="57">
        <f t="shared" si="25"/>
        <v>7.5773164534228263E-2</v>
      </c>
      <c r="R24" s="57">
        <f t="shared" si="25"/>
        <v>7.4798664585991131E-2</v>
      </c>
      <c r="S24" s="57">
        <f t="shared" si="25"/>
        <v>7.4163157063766569E-2</v>
      </c>
      <c r="T24" s="57">
        <f t="shared" si="25"/>
        <v>7.6387461151371044E-2</v>
      </c>
      <c r="U24" s="57">
        <f t="shared" si="25"/>
        <v>7.3991085980937593E-2</v>
      </c>
      <c r="V24" s="57">
        <f t="shared" si="25"/>
        <v>7.3488446418450024E-2</v>
      </c>
      <c r="W24" s="57">
        <f t="shared" si="25"/>
        <v>7.2077588153709113E-2</v>
      </c>
      <c r="X24" s="57">
        <f t="shared" si="25"/>
        <v>7.5244950468843178E-2</v>
      </c>
      <c r="Y24" s="57">
        <f t="shared" si="25"/>
        <v>7.3765324312468725E-2</v>
      </c>
      <c r="Z24" s="57">
        <f t="shared" si="25"/>
        <v>7.0018829383150391E-2</v>
      </c>
      <c r="AA24" s="57">
        <f t="shared" si="25"/>
        <v>7.0569344487388913E-2</v>
      </c>
      <c r="AB24" s="57">
        <f t="shared" si="25"/>
        <v>7.2322434989570986E-2</v>
      </c>
      <c r="AC24" s="57">
        <f t="shared" si="25"/>
        <v>7.3369083820384276E-2</v>
      </c>
      <c r="AD24" s="57">
        <f t="shared" si="25"/>
        <v>7.3997523588633582E-2</v>
      </c>
      <c r="AE24" s="57">
        <f t="shared" si="25"/>
        <v>7.329210175599446E-2</v>
      </c>
      <c r="AF24" s="57">
        <f t="shared" si="25"/>
        <v>8.2760910097543119E-2</v>
      </c>
      <c r="AG24" s="57">
        <f t="shared" si="25"/>
        <v>7.8954182496019848E-2</v>
      </c>
      <c r="AH24" s="57">
        <f t="shared" si="25"/>
        <v>7.6518674767148978E-2</v>
      </c>
      <c r="AI24" s="57">
        <f t="shared" si="25"/>
        <v>7.3484058111839667E-2</v>
      </c>
      <c r="AJ24" s="57">
        <f t="shared" si="25"/>
        <v>8.1553343498316971E-2</v>
      </c>
      <c r="AK24" s="57">
        <f t="shared" si="25"/>
        <v>7.9586642410208616E-2</v>
      </c>
      <c r="AL24" s="57">
        <f t="shared" si="25"/>
        <v>7.7617700245131371E-2</v>
      </c>
      <c r="AM24" s="57">
        <f t="shared" si="25"/>
        <v>7.8863470886925219E-2</v>
      </c>
      <c r="AN24" s="57">
        <f t="shared" si="25"/>
        <v>7.8286379343735765E-2</v>
      </c>
      <c r="AO24" s="57">
        <f t="shared" si="25"/>
        <v>7.4576383434043908E-2</v>
      </c>
      <c r="AP24" s="57">
        <f t="shared" si="25"/>
        <v>6.3492194942641911E-2</v>
      </c>
      <c r="AQ24" s="57">
        <f t="shared" si="25"/>
        <v>6.9555245861637735E-2</v>
      </c>
      <c r="AR24" s="57">
        <f t="shared" si="25"/>
        <v>7.0861113802018857E-2</v>
      </c>
      <c r="AS24" s="57">
        <f t="shared" si="25"/>
        <v>7.9941151940879654E-2</v>
      </c>
      <c r="AT24" s="57">
        <f t="shared" si="25"/>
        <v>6.5571243078515487E-2</v>
      </c>
      <c r="AU24" s="57">
        <f t="shared" si="25"/>
        <v>6.9499237863614255E-2</v>
      </c>
      <c r="AV24" s="57">
        <f t="shared" si="25"/>
        <v>7.452059033679613E-2</v>
      </c>
      <c r="AW24" s="57">
        <f t="shared" si="25"/>
        <v>7.3845256105714407E-2</v>
      </c>
      <c r="AX24" s="57">
        <f t="shared" si="25"/>
        <v>6.2412433585490694E-2</v>
      </c>
      <c r="AY24" s="57">
        <f t="shared" si="25"/>
        <v>6.2717895420097342E-2</v>
      </c>
      <c r="AZ24" s="57">
        <f t="shared" si="25"/>
        <v>6.2912733088424405E-2</v>
      </c>
      <c r="BA24" s="57">
        <f t="shared" si="25"/>
        <v>7.0072545993395019E-2</v>
      </c>
      <c r="BB24" s="57">
        <f t="shared" si="25"/>
        <v>6.3135675439712685E-2</v>
      </c>
      <c r="BC24" s="57">
        <f t="shared" si="25"/>
        <v>7.0349845982207296E-2</v>
      </c>
      <c r="BD24" s="57">
        <f t="shared" si="25"/>
        <v>5.9370541540706284E-2</v>
      </c>
      <c r="BE24" s="57">
        <f t="shared" si="25"/>
        <v>7.2223063170080495E-2</v>
      </c>
      <c r="BF24" s="57">
        <f t="shared" si="25"/>
        <v>6.5921896541511524E-2</v>
      </c>
      <c r="BG24" s="57">
        <f t="shared" si="25"/>
        <v>6.2339238223999116E-2</v>
      </c>
      <c r="BH24" s="57">
        <f t="shared" si="25"/>
        <v>4.2424892291854671E-2</v>
      </c>
      <c r="BI24" s="57">
        <f t="shared" si="25"/>
        <v>6.2662218574529485E-2</v>
      </c>
      <c r="BJ24" s="57">
        <f t="shared" si="25"/>
        <v>5.6159897139940539E-2</v>
      </c>
      <c r="BK24" s="57">
        <f t="shared" si="25"/>
        <v>4.8669010132992629E-2</v>
      </c>
      <c r="BL24" s="57">
        <f t="shared" si="25"/>
        <v>6.454118648168107E-2</v>
      </c>
      <c r="BM24" s="57">
        <f t="shared" si="25"/>
        <v>5.1331303080074615E-2</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670</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49" t="s">
        <v>600</v>
      </c>
      <c r="B26" s="150"/>
      <c r="C26" s="150"/>
      <c r="D26" s="150"/>
      <c r="E26" s="151">
        <f>POWER(E2/Y2,1/6)-1</f>
        <v>0.12794000142301498</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37621</v>
      </c>
      <c r="BM27" s="1">
        <v>37256</v>
      </c>
      <c r="BN27" s="1">
        <v>25569</v>
      </c>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1409390769.4199994</v>
      </c>
      <c r="F28" s="26">
        <f>股权价值增加表!F15</f>
        <v>1044110474.7500005</v>
      </c>
      <c r="G28" s="26">
        <f>股权价值增加表!G15</f>
        <v>700551916.79999995</v>
      </c>
      <c r="H28" s="26">
        <f>股权价值增加表!H15</f>
        <v>449887739.51000029</v>
      </c>
      <c r="I28" s="26">
        <f>股权价值增加表!I15</f>
        <v>1279587994.7100015</v>
      </c>
      <c r="J28" s="26">
        <f>股权价值增加表!J15</f>
        <v>947177221.15000033</v>
      </c>
      <c r="K28" s="26">
        <f>股权价值增加表!K15</f>
        <v>609194090.88999951</v>
      </c>
      <c r="L28" s="26">
        <f>股权价值增加表!L15</f>
        <v>356227611.4799999</v>
      </c>
      <c r="M28" s="26">
        <f>股权价值增加表!M15</f>
        <v>1112979758.4799993</v>
      </c>
      <c r="N28" s="26">
        <f>股权价值增加表!N15</f>
        <v>832426064.46999967</v>
      </c>
      <c r="O28" s="26">
        <f>股权价值增加表!O15</f>
        <v>512476378.80000025</v>
      </c>
      <c r="P28" s="26">
        <f>股权价值增加表!P15</f>
        <v>299499826.67999983</v>
      </c>
      <c r="Q28" s="26">
        <f>股权价值增加表!Q15</f>
        <v>858063384.47000003</v>
      </c>
      <c r="R28" s="26">
        <f>股权价值增加表!R15</f>
        <v>648702634.68000007</v>
      </c>
      <c r="S28" s="26">
        <f>股权价值增加表!S15</f>
        <v>416078255.63000047</v>
      </c>
      <c r="T28" s="26">
        <f>股权价值增加表!T15</f>
        <v>237610740.29000014</v>
      </c>
      <c r="U28" s="26">
        <f>股权价值增加表!U15</f>
        <v>727832719.08999968</v>
      </c>
      <c r="V28" s="26">
        <f>股权价值增加表!V15</f>
        <v>564821706.78000116</v>
      </c>
      <c r="W28" s="26">
        <f>股权价值增加表!W15</f>
        <v>362595584.13999999</v>
      </c>
      <c r="X28" s="26">
        <f>股权价值增加表!X15</f>
        <v>211520702.55999994</v>
      </c>
      <c r="Y28" s="26">
        <f>股权价值增加表!Y15</f>
        <v>586519668.11000049</v>
      </c>
      <c r="Z28" s="26">
        <f>股权价值增加表!Z15</f>
        <v>437008558.28000009</v>
      </c>
      <c r="AA28" s="26">
        <f>股权价值增加表!AA15</f>
        <v>285567474.39999968</v>
      </c>
      <c r="AB28" s="26">
        <f>股权价值增加表!AB15</f>
        <v>174065162.39000005</v>
      </c>
      <c r="AC28" s="26">
        <f>股权价值增加表!AC15</f>
        <v>624832286.40000057</v>
      </c>
      <c r="AD28" s="26">
        <f>股权价值增加表!AD15</f>
        <v>475419167.82999998</v>
      </c>
      <c r="AE28" s="26">
        <f>股权价值增加表!AE15</f>
        <v>307894210.86999995</v>
      </c>
      <c r="AF28" s="26">
        <f>股权价值增加表!AF15</f>
        <v>187079685.04999995</v>
      </c>
      <c r="AG28" s="26">
        <f>股权价值增加表!AG15</f>
        <v>529634603.3999998</v>
      </c>
      <c r="AH28" s="26">
        <f>股权价值增加表!AH15</f>
        <v>388568898.26000023</v>
      </c>
      <c r="AI28" s="26">
        <f>股权价值增加表!AI15</f>
        <v>240334963.6099999</v>
      </c>
      <c r="AJ28" s="26">
        <f>股权价值增加表!AJ15</f>
        <v>142170582.3299998</v>
      </c>
      <c r="AK28" s="26">
        <f>股权价值增加表!AK15</f>
        <v>394410631.00000054</v>
      </c>
      <c r="AL28" s="26">
        <f>股权价值增加表!AL15</f>
        <v>272989734.68999982</v>
      </c>
      <c r="AM28" s="26">
        <f>股权价值增加表!AM15</f>
        <v>182676215.90999994</v>
      </c>
      <c r="AN28" s="26">
        <f>股权价值增加表!AN15</f>
        <v>100538764.15000002</v>
      </c>
      <c r="AO28" s="26">
        <f>股权价值增加表!AO15</f>
        <v>312565488.05999976</v>
      </c>
      <c r="AP28" s="26">
        <f>股权价值增加表!AP15</f>
        <v>202211127.08999994</v>
      </c>
      <c r="AQ28" s="26">
        <f>股权价值增加表!AQ15</f>
        <v>142601683.39999983</v>
      </c>
      <c r="AR28" s="26">
        <f>股权价值增加表!AR15</f>
        <v>79031720.609999925</v>
      </c>
      <c r="AS28" s="26">
        <f>股权价值增加表!AS15</f>
        <v>263805950.34999961</v>
      </c>
      <c r="AT28" s="26">
        <f>股权价值增加表!AT15</f>
        <v>184254919.45999986</v>
      </c>
      <c r="AU28" s="26">
        <f>股权价值增加表!AU15</f>
        <v>131901671.65999988</v>
      </c>
      <c r="AV28" s="26">
        <f>股权价值增加表!AV15</f>
        <v>65733420.789999999</v>
      </c>
      <c r="AW28" s="26">
        <f>股权价值增加表!AW15</f>
        <v>172515048.10000011</v>
      </c>
      <c r="AX28" s="26">
        <f>股权价值增加表!AX15</f>
        <v>108220583.59000002</v>
      </c>
      <c r="AY28" s="26">
        <f>股权价值增加表!AY15</f>
        <v>73263521.269999951</v>
      </c>
      <c r="AZ28" s="26">
        <f>股权价值增加表!AZ15</f>
        <v>39210345.610000037</v>
      </c>
      <c r="BA28" s="26">
        <f>股权价值增加表!BA15</f>
        <v>107662853.21999998</v>
      </c>
      <c r="BB28" s="26">
        <f>股权价值增加表!BB15</f>
        <v>59446656.119999923</v>
      </c>
      <c r="BC28" s="26">
        <f>股权价值增加表!BC15</f>
        <v>42793323.740000002</v>
      </c>
      <c r="BD28" s="26">
        <f>股权价值增加表!BD15</f>
        <v>19518937.770000014</v>
      </c>
      <c r="BE28" s="26">
        <f>股权价值增加表!BE15</f>
        <v>78470530.810000032</v>
      </c>
      <c r="BF28" s="26">
        <f>股权价值增加表!BF15</f>
        <v>57371018.129999951</v>
      </c>
      <c r="BG28" s="26">
        <f>股权价值增加表!BG15</f>
        <v>34471804.110000014</v>
      </c>
      <c r="BH28" s="26">
        <f>股权价值增加表!BH15</f>
        <v>12732757.639999984</v>
      </c>
      <c r="BI28" s="26">
        <f>股权价值增加表!BI15</f>
        <v>86989397.920000061</v>
      </c>
      <c r="BJ28" s="26">
        <f>股权价值增加表!BJ15</f>
        <v>57285766.450000063</v>
      </c>
      <c r="BK28" s="26">
        <f>股权价值增加表!BK15</f>
        <v>36172263.390000015</v>
      </c>
      <c r="BL28" s="26">
        <f>股权价值增加表!BL15</f>
        <v>69131959.64000003</v>
      </c>
      <c r="BM28" s="26">
        <f>股权价值增加表!BM15</f>
        <v>41639919.209999971</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379</v>
      </c>
      <c r="E29" s="59">
        <f t="shared" ref="E29:AJ29" si="27">E28/E34</f>
        <v>0.95651392486016695</v>
      </c>
      <c r="F29" s="59">
        <f t="shared" si="27"/>
        <v>0.96055992720234484</v>
      </c>
      <c r="G29" s="59">
        <f t="shared" si="27"/>
        <v>0.96719222926583692</v>
      </c>
      <c r="H29" s="59">
        <f t="shared" si="27"/>
        <v>0.97021611243809514</v>
      </c>
      <c r="I29" s="59">
        <f t="shared" si="27"/>
        <v>0.93633897329590088</v>
      </c>
      <c r="J29" s="59">
        <f t="shared" si="27"/>
        <v>0.94615693800084677</v>
      </c>
      <c r="K29" s="59">
        <f t="shared" si="27"/>
        <v>0.92591460985774676</v>
      </c>
      <c r="L29" s="59">
        <f t="shared" si="27"/>
        <v>0.9442082568638992</v>
      </c>
      <c r="M29" s="59">
        <f t="shared" si="27"/>
        <v>0.9463452196832205</v>
      </c>
      <c r="N29" s="59">
        <f t="shared" si="27"/>
        <v>0.95922669509519043</v>
      </c>
      <c r="O29" s="59">
        <f t="shared" si="27"/>
        <v>0.95977285236099819</v>
      </c>
      <c r="P29" s="59">
        <f t="shared" si="27"/>
        <v>0.97290070165813636</v>
      </c>
      <c r="Q29" s="59">
        <f t="shared" si="27"/>
        <v>0.94856849679627153</v>
      </c>
      <c r="R29" s="59">
        <f t="shared" si="27"/>
        <v>0.97193213432407466</v>
      </c>
      <c r="S29" s="59">
        <f t="shared" si="27"/>
        <v>0.96619217462272522</v>
      </c>
      <c r="T29" s="59">
        <f t="shared" si="27"/>
        <v>0.97740102428047071</v>
      </c>
      <c r="U29" s="59">
        <f t="shared" si="27"/>
        <v>1.0148399912752437</v>
      </c>
      <c r="V29" s="59">
        <f t="shared" si="27"/>
        <v>1.0046613545314134</v>
      </c>
      <c r="W29" s="59">
        <f t="shared" si="27"/>
        <v>1.0083751898893514</v>
      </c>
      <c r="X29" s="59">
        <f t="shared" si="27"/>
        <v>1.0140523798753891</v>
      </c>
      <c r="Y29" s="59">
        <f t="shared" si="27"/>
        <v>1.0101627334982097</v>
      </c>
      <c r="Z29" s="59">
        <f t="shared" si="27"/>
        <v>1.0072066684080596</v>
      </c>
      <c r="AA29" s="59">
        <f t="shared" si="27"/>
        <v>1.0140722936756339</v>
      </c>
      <c r="AB29" s="59">
        <f t="shared" si="27"/>
        <v>1.0063538830226231</v>
      </c>
      <c r="AC29" s="59">
        <f t="shared" si="27"/>
        <v>1.0169579977097329</v>
      </c>
      <c r="AD29" s="59">
        <f t="shared" si="27"/>
        <v>0.98208642760989973</v>
      </c>
      <c r="AE29" s="59">
        <f t="shared" si="27"/>
        <v>0.99144675943008975</v>
      </c>
      <c r="AF29" s="59">
        <f t="shared" si="27"/>
        <v>1.0206357619484936</v>
      </c>
      <c r="AG29" s="59">
        <f t="shared" si="27"/>
        <v>1.0173970787770903</v>
      </c>
      <c r="AH29" s="59">
        <f t="shared" si="27"/>
        <v>1.0163106137614737</v>
      </c>
      <c r="AI29" s="59">
        <f t="shared" si="27"/>
        <v>1.023642876635154</v>
      </c>
      <c r="AJ29" s="59">
        <f t="shared" si="27"/>
        <v>1.0230518758333376</v>
      </c>
      <c r="AK29" s="59">
        <f t="shared" ref="AK29:BP29" si="28">AK28/AK34</f>
        <v>0.95123447733416222</v>
      </c>
      <c r="AL29" s="59">
        <f t="shared" si="28"/>
        <v>0.96955212331508367</v>
      </c>
      <c r="AM29" s="59">
        <f t="shared" si="28"/>
        <v>0.97389466218870979</v>
      </c>
      <c r="AN29" s="59">
        <f t="shared" si="28"/>
        <v>1.0009225780274857</v>
      </c>
      <c r="AO29" s="59">
        <f t="shared" si="28"/>
        <v>0.92270884709487266</v>
      </c>
      <c r="AP29" s="59">
        <f t="shared" si="28"/>
        <v>0.99157394861546577</v>
      </c>
      <c r="AQ29" s="59">
        <f t="shared" si="28"/>
        <v>0.9883910817779693</v>
      </c>
      <c r="AR29" s="59">
        <f t="shared" si="28"/>
        <v>0.99693250936341404</v>
      </c>
      <c r="AS29" s="59">
        <f t="shared" si="28"/>
        <v>0.99138600138526534</v>
      </c>
      <c r="AT29" s="59">
        <f t="shared" si="28"/>
        <v>0.98791269584136465</v>
      </c>
      <c r="AU29" s="59">
        <f t="shared" si="28"/>
        <v>1.0006024399977071</v>
      </c>
      <c r="AV29" s="59">
        <f t="shared" si="28"/>
        <v>0.9985560957311499</v>
      </c>
      <c r="AW29" s="59">
        <f t="shared" si="28"/>
        <v>1.0021587226557809</v>
      </c>
      <c r="AX29" s="59">
        <f t="shared" si="28"/>
        <v>1.0122662931866306</v>
      </c>
      <c r="AY29" s="59">
        <f t="shared" si="28"/>
        <v>0.98910613372952338</v>
      </c>
      <c r="AZ29" s="59">
        <f t="shared" si="28"/>
        <v>0.98697322687026268</v>
      </c>
      <c r="BA29" s="59">
        <f t="shared" si="28"/>
        <v>1.0259959159970233</v>
      </c>
      <c r="BB29" s="59">
        <f t="shared" si="28"/>
        <v>1.0332245503709527</v>
      </c>
      <c r="BC29" s="59">
        <f t="shared" si="28"/>
        <v>1.0312841478798449</v>
      </c>
      <c r="BD29" s="59">
        <f t="shared" si="28"/>
        <v>1.0518702487791167</v>
      </c>
      <c r="BE29" s="59">
        <f t="shared" si="28"/>
        <v>0.93670973026765236</v>
      </c>
      <c r="BF29" s="59">
        <f t="shared" si="28"/>
        <v>0.92239261230167902</v>
      </c>
      <c r="BG29" s="59">
        <f t="shared" si="28"/>
        <v>0.87654466080981841</v>
      </c>
      <c r="BH29" s="59">
        <f t="shared" si="28"/>
        <v>0.68835328133569806</v>
      </c>
      <c r="BI29" s="59">
        <f t="shared" si="28"/>
        <v>0.94379097948534585</v>
      </c>
      <c r="BJ29" s="59">
        <f t="shared" si="28"/>
        <v>0.96542934360064758</v>
      </c>
      <c r="BK29" s="59">
        <f t="shared" si="28"/>
        <v>0.93259424292701854</v>
      </c>
      <c r="BL29" s="59">
        <f t="shared" si="28"/>
        <v>1.0361810625278618</v>
      </c>
      <c r="BM29" s="59">
        <f t="shared" si="28"/>
        <v>1.0280591622669653</v>
      </c>
      <c r="BN29" s="59" t="e">
        <f t="shared" si="28"/>
        <v>#DIV/0!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t="e">
        <f t="shared" si="29"/>
        <v>#DIV/0!</v>
      </c>
      <c r="CE29" s="59" t="e">
        <f t="shared" si="29"/>
        <v>#DIV/0!</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3933753.55</v>
      </c>
      <c r="F30" s="26">
        <f>股权价值增加表!F20</f>
        <v>2715833.09</v>
      </c>
      <c r="G30" s="26">
        <f>股权价值增加表!G20</f>
        <v>1822909.46</v>
      </c>
      <c r="H30" s="26">
        <f>股权价值增加表!H20</f>
        <v>1060099</v>
      </c>
      <c r="I30" s="26">
        <f>股权价值增加表!I20</f>
        <v>2349174.5299999998</v>
      </c>
      <c r="J30" s="26">
        <f>股权价值增加表!J20</f>
        <v>0</v>
      </c>
      <c r="K30" s="26">
        <f>股权价值增加表!K20</f>
        <v>0</v>
      </c>
      <c r="L30" s="26">
        <f>股权价值增加表!L20</f>
        <v>1162504.93</v>
      </c>
      <c r="M30" s="26">
        <f>股权价值增加表!M20</f>
        <v>3290945.74</v>
      </c>
      <c r="N30" s="26">
        <f>股权价值增加表!N20</f>
        <v>0</v>
      </c>
      <c r="O30" s="26">
        <f>股权价值增加表!O20</f>
        <v>0</v>
      </c>
      <c r="P30" s="26">
        <f>股权价值增加表!P20</f>
        <v>0</v>
      </c>
      <c r="Q30" s="26">
        <f>股权价值增加表!Q20</f>
        <v>2614494.84</v>
      </c>
      <c r="R30" s="26">
        <f>股权价值增加表!R20</f>
        <v>0</v>
      </c>
      <c r="S30" s="26">
        <f>股权价值增加表!S20</f>
        <v>0</v>
      </c>
      <c r="T30" s="26">
        <f>股权价值增加表!T20</f>
        <v>0</v>
      </c>
      <c r="U30" s="26">
        <f>股权价值增加表!U20</f>
        <v>3862222.39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380</v>
      </c>
      <c r="E31" s="59">
        <f>E30/E34</f>
        <v>2.6697280336890235E-3</v>
      </c>
      <c r="F31" s="59">
        <f t="shared" ref="F31:BQ31" si="30">F30/F34</f>
        <v>2.498509974099001E-3</v>
      </c>
      <c r="G31" s="59">
        <f t="shared" si="30"/>
        <v>2.5167354796782749E-3</v>
      </c>
      <c r="H31" s="59">
        <f t="shared" si="30"/>
        <v>2.2861817299127569E-3</v>
      </c>
      <c r="I31" s="59">
        <f t="shared" si="30"/>
        <v>1.7190093034684889E-3</v>
      </c>
      <c r="J31" s="59">
        <f t="shared" si="30"/>
        <v>0</v>
      </c>
      <c r="K31" s="59">
        <f t="shared" si="30"/>
        <v>0</v>
      </c>
      <c r="L31" s="59">
        <f t="shared" si="30"/>
        <v>3.0813073388406206E-3</v>
      </c>
      <c r="M31" s="59">
        <f t="shared" si="30"/>
        <v>2.7982276816419078E-3</v>
      </c>
      <c r="N31" s="59">
        <f t="shared" si="30"/>
        <v>0</v>
      </c>
      <c r="O31" s="59">
        <f t="shared" si="30"/>
        <v>0</v>
      </c>
      <c r="P31" s="59">
        <f t="shared" si="30"/>
        <v>0</v>
      </c>
      <c r="Q31" s="59">
        <f t="shared" si="30"/>
        <v>2.8902613549839874E-3</v>
      </c>
      <c r="R31" s="59">
        <f t="shared" si="30"/>
        <v>0</v>
      </c>
      <c r="S31" s="59">
        <f t="shared" si="30"/>
        <v>0</v>
      </c>
      <c r="T31" s="59">
        <f t="shared" si="30"/>
        <v>0</v>
      </c>
      <c r="U31" s="59">
        <f t="shared" si="30"/>
        <v>5.3852178306454824E-3</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t="e">
        <f t="shared" si="30"/>
        <v>#DIV/0!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t="e">
        <f t="shared" si="31"/>
        <v>#DIV/0!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60141500.669999994</v>
      </c>
      <c r="F32" s="26">
        <f>股权价值增加表!F27</f>
        <v>40154780.150000006</v>
      </c>
      <c r="G32" s="26">
        <f>股权价值增加表!G27</f>
        <v>21940253.619999997</v>
      </c>
      <c r="H32" s="26">
        <f>股权价值增加表!H27</f>
        <v>12750644.479999999</v>
      </c>
      <c r="I32" s="26">
        <f>股权价值增加表!I27</f>
        <v>84649111.159999996</v>
      </c>
      <c r="J32" s="26">
        <f>股权价值增加表!J27</f>
        <v>53901123.369999997</v>
      </c>
      <c r="K32" s="26">
        <f>股权价值增加表!K27</f>
        <v>48743568.159999996</v>
      </c>
      <c r="L32" s="26">
        <f>股权价值增加表!L27</f>
        <v>19886410.129999999</v>
      </c>
      <c r="M32" s="26">
        <f>股权价值增加表!M27</f>
        <v>59811485.799999997</v>
      </c>
      <c r="N32" s="26">
        <f>股权价值增加表!N27</f>
        <v>35383462.439999998</v>
      </c>
      <c r="O32" s="26">
        <f>股权价值增加表!O27</f>
        <v>21479522.890000001</v>
      </c>
      <c r="P32" s="26">
        <f>股权价值增加表!P27</f>
        <v>8342305.7899999991</v>
      </c>
      <c r="Q32" s="26">
        <f>股权价值增加表!Q27</f>
        <v>43909809.789999999</v>
      </c>
      <c r="R32" s="26">
        <f>股权价值增加表!R27</f>
        <v>18733508</v>
      </c>
      <c r="S32" s="26">
        <f>股权价值增加表!S27</f>
        <v>14558905.959999999</v>
      </c>
      <c r="T32" s="26">
        <f>股权价值增加表!T27</f>
        <v>5493916.2299999995</v>
      </c>
      <c r="U32" s="26">
        <f>股权价值增加表!U27</f>
        <v>-14505310.26</v>
      </c>
      <c r="V32" s="26">
        <f>股权价值增加表!V27</f>
        <v>-2620618.5899999989</v>
      </c>
      <c r="W32" s="26">
        <f>股权价值增加表!W27</f>
        <v>-3011584.28</v>
      </c>
      <c r="X32" s="26">
        <f>股权价值增加表!X27</f>
        <v>-2931179.2200000007</v>
      </c>
      <c r="Y32" s="26">
        <f>股权价值增加表!Y27</f>
        <v>-5900676.080000001</v>
      </c>
      <c r="Z32" s="26">
        <f>股权价值增加表!Z27</f>
        <v>-3126841.66</v>
      </c>
      <c r="AA32" s="26">
        <f>股权价值增加表!AA27</f>
        <v>-3962823.35</v>
      </c>
      <c r="AB32" s="26">
        <f>股权价值增加表!AB27</f>
        <v>-1099006.72</v>
      </c>
      <c r="AC32" s="26">
        <f>股权价值增加表!AC27</f>
        <v>-10419215.449999999</v>
      </c>
      <c r="AD32" s="26">
        <f>股权价值增加表!AD27</f>
        <v>8671798.5700000003</v>
      </c>
      <c r="AE32" s="26">
        <f>股权价值增加表!AE27</f>
        <v>2656212.4799999995</v>
      </c>
      <c r="AF32" s="26">
        <f>股权价值增加表!AF27</f>
        <v>-3782477.54</v>
      </c>
      <c r="AG32" s="26">
        <f>股权价值增加表!AG27</f>
        <v>-9056537.620000001</v>
      </c>
      <c r="AH32" s="26">
        <f>股权价值增加表!AH27</f>
        <v>-6236082.879999999</v>
      </c>
      <c r="AI32" s="26">
        <f>股权价值增加表!AI27</f>
        <v>-5550969.0199999996</v>
      </c>
      <c r="AJ32" s="26">
        <f>股权价值增加表!AJ27</f>
        <v>-3203453.0100000002</v>
      </c>
      <c r="AK32" s="26">
        <f>股权价值增加表!AK27</f>
        <v>20219662.999999996</v>
      </c>
      <c r="AL32" s="26">
        <f>股权价值增加表!AL27</f>
        <v>8572987.0299999993</v>
      </c>
      <c r="AM32" s="26">
        <f>股权价值增加表!AM27</f>
        <v>4896653.1099999994</v>
      </c>
      <c r="AN32" s="26">
        <f>股权价值增加表!AN27</f>
        <v>-92669.360000000102</v>
      </c>
      <c r="AO32" s="26">
        <f>股权价值增加表!AO27</f>
        <v>26182199.300000001</v>
      </c>
      <c r="AP32" s="26">
        <f>股权价值增加表!AP27</f>
        <v>1718320</v>
      </c>
      <c r="AQ32" s="26">
        <f>股权价值增加表!AQ27</f>
        <v>1674895</v>
      </c>
      <c r="AR32" s="26">
        <f>股权价值增加表!AR27</f>
        <v>243175</v>
      </c>
      <c r="AS32" s="26">
        <f>股权价值增加表!AS27</f>
        <v>2292168.83</v>
      </c>
      <c r="AT32" s="26">
        <f>股权价值增加表!AT27</f>
        <v>2254394.81</v>
      </c>
      <c r="AU32" s="26">
        <f>股权价值增加表!AU27</f>
        <v>-79415</v>
      </c>
      <c r="AV32" s="26">
        <f>股权价值增加表!AV27</f>
        <v>95050.01</v>
      </c>
      <c r="AW32" s="26">
        <f>股权价值增加表!AW27</f>
        <v>-371609.94</v>
      </c>
      <c r="AX32" s="26">
        <f>股权价值增加表!AX27</f>
        <v>-1311379.6399999999</v>
      </c>
      <c r="AY32" s="26">
        <f>股权价值增加表!AY27</f>
        <v>806913.41</v>
      </c>
      <c r="AZ32" s="26">
        <f>股权价值增加表!AZ27</f>
        <v>517525.97</v>
      </c>
      <c r="BA32" s="26">
        <f>股权价值增加表!BA27</f>
        <v>-2727880.73</v>
      </c>
      <c r="BB32" s="26">
        <f>股权价值增加表!BB27</f>
        <v>-1911577.13</v>
      </c>
      <c r="BC32" s="26">
        <f>股权价值增加表!BC27</f>
        <v>-1298141.42</v>
      </c>
      <c r="BD32" s="26">
        <f>股权价值增加表!BD27</f>
        <v>-962525.71</v>
      </c>
      <c r="BE32" s="26">
        <f>股权价值增加表!BE27</f>
        <v>5301985.13</v>
      </c>
      <c r="BF32" s="26">
        <f>股权价值增加表!BF27</f>
        <v>4827027.87</v>
      </c>
      <c r="BG32" s="26">
        <f>股权价值增加表!BG27</f>
        <v>4855118.58</v>
      </c>
      <c r="BH32" s="26">
        <f>股权价值增加表!BH27</f>
        <v>5764659.29</v>
      </c>
      <c r="BI32" s="26">
        <f>股权价值增加表!BI27</f>
        <v>5180796.34</v>
      </c>
      <c r="BJ32" s="26">
        <f>股权价值增加表!BJ27</f>
        <v>2051322.1</v>
      </c>
      <c r="BK32" s="26">
        <f>股权价值增加表!BK27</f>
        <v>2614447.62</v>
      </c>
      <c r="BL32" s="26">
        <f>股权价值增加表!BL27</f>
        <v>-2413929.23</v>
      </c>
      <c r="BM32" s="26">
        <f>股权价值增加表!BM27</f>
        <v>-1136492.23</v>
      </c>
      <c r="BN32" s="26">
        <f>股权价值增加表!BN27</f>
        <v>0</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381</v>
      </c>
      <c r="E33" s="59">
        <f>E32/E34</f>
        <v>4.0816347106143999E-2</v>
      </c>
      <c r="F33" s="59">
        <f t="shared" ref="F33:BQ33" si="32">F32/F34</f>
        <v>3.6941562823556137E-2</v>
      </c>
      <c r="G33" s="59">
        <f t="shared" si="32"/>
        <v>3.0291035254484722E-2</v>
      </c>
      <c r="H33" s="59">
        <f t="shared" si="32"/>
        <v>2.7497705831992052E-2</v>
      </c>
      <c r="I33" s="59">
        <f t="shared" si="32"/>
        <v>6.1942017400630642E-2</v>
      </c>
      <c r="J33" s="59">
        <f t="shared" si="32"/>
        <v>5.3843061999153174E-2</v>
      </c>
      <c r="K33" s="59">
        <f t="shared" si="32"/>
        <v>7.4085390142253224E-2</v>
      </c>
      <c r="L33" s="59">
        <f t="shared" si="32"/>
        <v>5.2710435797260202E-2</v>
      </c>
      <c r="M33" s="59">
        <f t="shared" si="32"/>
        <v>5.0856552635137602E-2</v>
      </c>
      <c r="N33" s="59">
        <f t="shared" si="32"/>
        <v>4.0773304904809612E-2</v>
      </c>
      <c r="O33" s="59">
        <f t="shared" si="32"/>
        <v>4.0227147639001856E-2</v>
      </c>
      <c r="P33" s="59">
        <f t="shared" si="32"/>
        <v>2.7099298341863528E-2</v>
      </c>
      <c r="Q33" s="59">
        <f t="shared" si="32"/>
        <v>4.8541241848744497E-2</v>
      </c>
      <c r="R33" s="59">
        <f t="shared" si="32"/>
        <v>2.8067865675925369E-2</v>
      </c>
      <c r="S33" s="59">
        <f t="shared" si="32"/>
        <v>3.3807825377274781E-2</v>
      </c>
      <c r="T33" s="59">
        <f t="shared" si="32"/>
        <v>2.2598975719529325E-2</v>
      </c>
      <c r="U33" s="59">
        <f t="shared" si="32"/>
        <v>-2.0225209105889125E-2</v>
      </c>
      <c r="V33" s="59">
        <f t="shared" si="32"/>
        <v>-4.6613545314133868E-3</v>
      </c>
      <c r="W33" s="59">
        <f t="shared" si="32"/>
        <v>-8.3751898893513789E-3</v>
      </c>
      <c r="X33" s="59">
        <f t="shared" si="32"/>
        <v>-1.4052379875389006E-2</v>
      </c>
      <c r="Y33" s="59">
        <f t="shared" si="32"/>
        <v>-1.0162733498209639E-2</v>
      </c>
      <c r="Z33" s="59">
        <f t="shared" si="32"/>
        <v>-7.2066684080595491E-3</v>
      </c>
      <c r="AA33" s="59">
        <f t="shared" si="32"/>
        <v>-1.4072293675633896E-2</v>
      </c>
      <c r="AB33" s="59">
        <f t="shared" si="32"/>
        <v>-6.3538830226231137E-3</v>
      </c>
      <c r="AC33" s="59">
        <f t="shared" si="32"/>
        <v>-1.6957997709732789E-2</v>
      </c>
      <c r="AD33" s="59">
        <f t="shared" si="32"/>
        <v>1.7913572390100278E-2</v>
      </c>
      <c r="AE33" s="59">
        <f t="shared" si="32"/>
        <v>8.5532405699101748E-3</v>
      </c>
      <c r="AF33" s="59">
        <f t="shared" si="32"/>
        <v>-2.063576194849364E-2</v>
      </c>
      <c r="AG33" s="59">
        <f t="shared" si="32"/>
        <v>-1.7397078777090392E-2</v>
      </c>
      <c r="AH33" s="59">
        <f t="shared" si="32"/>
        <v>-1.6310613761473657E-2</v>
      </c>
      <c r="AI33" s="59">
        <f t="shared" si="32"/>
        <v>-2.3642876635153864E-2</v>
      </c>
      <c r="AJ33" s="59">
        <f t="shared" si="32"/>
        <v>-2.3051875833337569E-2</v>
      </c>
      <c r="AK33" s="59">
        <f t="shared" si="32"/>
        <v>4.8765522665837752E-2</v>
      </c>
      <c r="AL33" s="59">
        <f t="shared" si="32"/>
        <v>3.0447876684916449E-2</v>
      </c>
      <c r="AM33" s="59">
        <f t="shared" si="32"/>
        <v>2.610533781129026E-2</v>
      </c>
      <c r="AN33" s="59">
        <f t="shared" si="32"/>
        <v>-9.2257802748570237E-4</v>
      </c>
      <c r="AO33" s="59">
        <f t="shared" si="32"/>
        <v>7.7291152905127294E-2</v>
      </c>
      <c r="AP33" s="59">
        <f t="shared" si="32"/>
        <v>8.426051384534259E-3</v>
      </c>
      <c r="AQ33" s="59">
        <f t="shared" si="32"/>
        <v>1.1608918222030707E-2</v>
      </c>
      <c r="AR33" s="59">
        <f t="shared" si="32"/>
        <v>3.0674906365859072E-3</v>
      </c>
      <c r="AS33" s="59">
        <f t="shared" si="32"/>
        <v>8.6139986147346029E-3</v>
      </c>
      <c r="AT33" s="59">
        <f t="shared" si="32"/>
        <v>1.2087304158635367E-2</v>
      </c>
      <c r="AU33" s="59">
        <f t="shared" si="32"/>
        <v>-6.0243999770713736E-4</v>
      </c>
      <c r="AV33" s="59">
        <f t="shared" si="32"/>
        <v>1.4439042688501888E-3</v>
      </c>
      <c r="AW33" s="59">
        <f t="shared" si="32"/>
        <v>-2.1587226557808386E-3</v>
      </c>
      <c r="AX33" s="59">
        <f t="shared" si="32"/>
        <v>-1.2266293186630726E-2</v>
      </c>
      <c r="AY33" s="59">
        <f t="shared" si="32"/>
        <v>1.0893866270476713E-2</v>
      </c>
      <c r="AZ33" s="59">
        <f t="shared" si="32"/>
        <v>1.3026773129737334E-2</v>
      </c>
      <c r="BA33" s="59">
        <f t="shared" si="32"/>
        <v>-2.5995915997023392E-2</v>
      </c>
      <c r="BB33" s="59">
        <f t="shared" si="32"/>
        <v>-3.3224550370952788E-2</v>
      </c>
      <c r="BC33" s="59">
        <f t="shared" si="32"/>
        <v>-3.1284147879844765E-2</v>
      </c>
      <c r="BD33" s="59">
        <f t="shared" si="32"/>
        <v>-5.1870248779116584E-2</v>
      </c>
      <c r="BE33" s="59">
        <f t="shared" si="32"/>
        <v>6.3290269732347706E-2</v>
      </c>
      <c r="BF33" s="59">
        <f t="shared" si="32"/>
        <v>7.7607387698321012E-2</v>
      </c>
      <c r="BG33" s="59">
        <f t="shared" si="32"/>
        <v>0.12345533919018159</v>
      </c>
      <c r="BH33" s="59">
        <f t="shared" si="32"/>
        <v>0.31164671866430188</v>
      </c>
      <c r="BI33" s="59">
        <f t="shared" si="32"/>
        <v>5.620902051465413E-2</v>
      </c>
      <c r="BJ33" s="59">
        <f t="shared" si="32"/>
        <v>3.4570656399352404E-2</v>
      </c>
      <c r="BK33" s="59">
        <f t="shared" si="32"/>
        <v>6.7405757072981562E-2</v>
      </c>
      <c r="BL33" s="59">
        <f t="shared" si="32"/>
        <v>-3.6181062527861858E-2</v>
      </c>
      <c r="BM33" s="59">
        <f t="shared" si="32"/>
        <v>-2.805916226696531E-2</v>
      </c>
      <c r="BN33" s="59" t="e">
        <f t="shared" si="32"/>
        <v>#DIV/0!</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t="e">
        <f t="shared" si="33"/>
        <v>#DIV/0!</v>
      </c>
      <c r="CE33" s="59" t="e">
        <f t="shared" si="33"/>
        <v>#DIV/0!</v>
      </c>
      <c r="CF33" s="59" t="e">
        <f t="shared" si="33"/>
        <v>#DIV/0!</v>
      </c>
      <c r="CG33" s="59" t="e">
        <f t="shared" si="33"/>
        <v>#DIV/0!</v>
      </c>
      <c r="CH33" s="59" t="e">
        <f t="shared" si="33"/>
        <v>#DIV/0!</v>
      </c>
      <c r="CI33" s="59" t="e">
        <f t="shared" si="33"/>
        <v>#DIV/0!</v>
      </c>
      <c r="CJ33" s="59" t="e">
        <f t="shared" si="33"/>
        <v>#DIV/0!</v>
      </c>
    </row>
    <row r="34" spans="1:89" s="58" customFormat="1" x14ac:dyDescent="0.25">
      <c r="A34" s="144" t="s">
        <v>377</v>
      </c>
      <c r="E34" s="58">
        <f>股权价值增加表!E31</f>
        <v>1473466023.6399994</v>
      </c>
      <c r="F34" s="58">
        <f>股权价值增加表!F31</f>
        <v>1086981087.9900005</v>
      </c>
      <c r="G34" s="58">
        <f>股权价值增加表!G31</f>
        <v>724315079.88</v>
      </c>
      <c r="H34" s="58">
        <f>股权价值增加表!H31</f>
        <v>463698482.99000031</v>
      </c>
      <c r="I34" s="58">
        <f>股权价值增加表!I31</f>
        <v>1366586280.4000015</v>
      </c>
      <c r="J34" s="58">
        <f>股权价值增加表!J31</f>
        <v>1001078344.5200003</v>
      </c>
      <c r="K34" s="58">
        <f>股权价值增加表!K31</f>
        <v>657937659.04999948</v>
      </c>
      <c r="L34" s="58">
        <f>股权价值增加表!L31</f>
        <v>377276526.5399999</v>
      </c>
      <c r="M34" s="58">
        <f>股权价值增加表!M31</f>
        <v>1176082190.0199993</v>
      </c>
      <c r="N34" s="58">
        <f>股权价值增加表!N31</f>
        <v>867809526.90999961</v>
      </c>
      <c r="O34" s="58">
        <f>股权价值增加表!O31</f>
        <v>533955901.69000024</v>
      </c>
      <c r="P34" s="58">
        <f>股权价值增加表!P31</f>
        <v>307842132.46999985</v>
      </c>
      <c r="Q34" s="58">
        <f>股权价值增加表!Q31</f>
        <v>904587689.10000002</v>
      </c>
      <c r="R34" s="58">
        <f>股权价值增加表!R31</f>
        <v>667436142.68000007</v>
      </c>
      <c r="S34" s="58">
        <f>股权价值增加表!S31</f>
        <v>430637161.59000045</v>
      </c>
      <c r="T34" s="58">
        <f>股权价值增加表!T31</f>
        <v>243104656.52000013</v>
      </c>
      <c r="U34" s="58">
        <f>股权价值增加表!U31</f>
        <v>717189631.21999967</v>
      </c>
      <c r="V34" s="58">
        <f>股权价值增加表!V31</f>
        <v>562201088.19000113</v>
      </c>
      <c r="W34" s="58">
        <f>股权价值增加表!W31</f>
        <v>359583999.86000001</v>
      </c>
      <c r="X34" s="58">
        <f>股权价值增加表!X31</f>
        <v>208589523.33999994</v>
      </c>
      <c r="Y34" s="58">
        <f>股权价值增加表!Y31</f>
        <v>580618992.03000045</v>
      </c>
      <c r="Z34" s="58">
        <f>股权价值增加表!Z31</f>
        <v>433881716.62000006</v>
      </c>
      <c r="AA34" s="58">
        <f>股权价值增加表!AA31</f>
        <v>281604651.04999965</v>
      </c>
      <c r="AB34" s="58">
        <f>股权价值增加表!AB31</f>
        <v>172966155.67000005</v>
      </c>
      <c r="AC34" s="58">
        <f>股权价值增加表!AC31</f>
        <v>614413070.95000052</v>
      </c>
      <c r="AD34" s="58">
        <f>股权价值增加表!AD31</f>
        <v>484090966.39999998</v>
      </c>
      <c r="AE34" s="58">
        <f>股权价值增加表!AE31</f>
        <v>310550423.34999996</v>
      </c>
      <c r="AF34" s="58">
        <f>股权价值增加表!AF31</f>
        <v>183297207.50999996</v>
      </c>
      <c r="AG34" s="58">
        <f>股权价值增加表!AG31</f>
        <v>520578065.77999979</v>
      </c>
      <c r="AH34" s="58">
        <f>股权价值增加表!AH31</f>
        <v>382332815.38000023</v>
      </c>
      <c r="AI34" s="58">
        <f>股权价值增加表!AI31</f>
        <v>234783994.58999988</v>
      </c>
      <c r="AJ34" s="58">
        <f>股权价值增加表!AJ31</f>
        <v>138967129.31999981</v>
      </c>
      <c r="AK34" s="58">
        <f>股权价值增加表!AK31</f>
        <v>414630294.00000054</v>
      </c>
      <c r="AL34" s="58">
        <f>股权价值增加表!AL31</f>
        <v>281562721.71999979</v>
      </c>
      <c r="AM34" s="58">
        <f>股权价值增加表!AM31</f>
        <v>187572869.01999992</v>
      </c>
      <c r="AN34" s="58">
        <f>股权价值增加表!AN31</f>
        <v>100446094.79000002</v>
      </c>
      <c r="AO34" s="58">
        <f>股权价值增加表!AO31</f>
        <v>338747687.35999978</v>
      </c>
      <c r="AP34" s="58">
        <f>股权价值增加表!AP31</f>
        <v>203929447.08999994</v>
      </c>
      <c r="AQ34" s="58">
        <f>股权价值增加表!AQ31</f>
        <v>144276578.39999983</v>
      </c>
      <c r="AR34" s="58">
        <f>股权价值增加表!AR31</f>
        <v>79274895.609999925</v>
      </c>
      <c r="AS34" s="58">
        <f>股权价值增加表!AS31</f>
        <v>266098119.17999962</v>
      </c>
      <c r="AT34" s="58">
        <f>股权价值增加表!AT31</f>
        <v>186509314.26999986</v>
      </c>
      <c r="AU34" s="58">
        <f>股权价值增加表!AU31</f>
        <v>131822256.65999988</v>
      </c>
      <c r="AV34" s="58">
        <f>股权价值增加表!AV31</f>
        <v>65828470.799999997</v>
      </c>
      <c r="AW34" s="58">
        <f>股权价值增加表!AW31</f>
        <v>172143438.16000012</v>
      </c>
      <c r="AX34" s="58">
        <f>股权价值增加表!AX31</f>
        <v>106909203.95000002</v>
      </c>
      <c r="AY34" s="58">
        <f>股权价值增加表!AY31</f>
        <v>74070434.679999948</v>
      </c>
      <c r="AZ34" s="58">
        <f>股权价值增加表!AZ31</f>
        <v>39727871.580000035</v>
      </c>
      <c r="BA34" s="58">
        <f>股权价值增加表!BA31</f>
        <v>104934972.48999998</v>
      </c>
      <c r="BB34" s="58">
        <f>股权价值增加表!BB31</f>
        <v>57535078.98999992</v>
      </c>
      <c r="BC34" s="58">
        <f>股权价值增加表!BC31</f>
        <v>41495182.32</v>
      </c>
      <c r="BD34" s="58">
        <f>股权价值增加表!BD31</f>
        <v>18556412.060000014</v>
      </c>
      <c r="BE34" s="58">
        <f>股权价值增加表!BE31</f>
        <v>83772515.940000027</v>
      </c>
      <c r="BF34" s="58">
        <f>股权价值增加表!BF31</f>
        <v>62198045.999999948</v>
      </c>
      <c r="BG34" s="58">
        <f>股权价值增加表!BG31</f>
        <v>39326922.690000013</v>
      </c>
      <c r="BH34" s="58">
        <f>股权价值增加表!BH31</f>
        <v>18497416.929999985</v>
      </c>
      <c r="BI34" s="58">
        <f>股权价值增加表!BI31</f>
        <v>92170194.260000065</v>
      </c>
      <c r="BJ34" s="58">
        <f>股权价值增加表!BJ31</f>
        <v>59337088.550000064</v>
      </c>
      <c r="BK34" s="58">
        <f>股权价值增加表!BK31</f>
        <v>38786711.010000013</v>
      </c>
      <c r="BL34" s="58">
        <f>股权价值增加表!BL31</f>
        <v>66718030.410000034</v>
      </c>
      <c r="BM34" s="58">
        <f>股权价值增加表!BM31</f>
        <v>40503426.979999974</v>
      </c>
      <c r="BN34" s="58">
        <f>股权价值增加表!BN31</f>
        <v>0</v>
      </c>
      <c r="BO34" s="58">
        <f>股权价值增加表!BO31</f>
        <v>-10625718.93</v>
      </c>
      <c r="BP34" s="58">
        <f>股权价值增加表!BP31</f>
        <v>4557679.6900000004</v>
      </c>
      <c r="BQ34" s="58">
        <f>股权价值增加表!BQ31</f>
        <v>21254694.370000001</v>
      </c>
      <c r="BR34" s="58">
        <f>股权价值增加表!BR31</f>
        <v>14419224.66</v>
      </c>
      <c r="BS34" s="58">
        <f>股权价值增加表!BS31</f>
        <v>17274579.829999998</v>
      </c>
      <c r="BT34" s="58">
        <f>股权价值增加表!BT31</f>
        <v>6547700.0800000001</v>
      </c>
      <c r="BU34" s="58">
        <f>股权价值增加表!BU31</f>
        <v>-24371562.48</v>
      </c>
      <c r="BV34" s="58">
        <f>股权价值增加表!BV31</f>
        <v>-8975034.6300000008</v>
      </c>
      <c r="BW34" s="58">
        <f>股权价值增加表!BW31</f>
        <v>-45646454.090000004</v>
      </c>
      <c r="BX34" s="58">
        <f>股权价值增加表!BX31</f>
        <v>-11084069.25</v>
      </c>
      <c r="BY34" s="58">
        <f>股权价值增加表!BY31</f>
        <v>-22740004.100000001</v>
      </c>
      <c r="BZ34" s="58">
        <f>股权价值增加表!BZ31</f>
        <v>-3442370</v>
      </c>
      <c r="CA34" s="58">
        <f>股权价值增加表!CA31</f>
        <v>-12289828.140000001</v>
      </c>
      <c r="CB34" s="58">
        <f>股权价值增加表!CB31</f>
        <v>-1266000</v>
      </c>
      <c r="CC34" s="58">
        <f>股权价值增加表!CC31</f>
        <v>745986.91</v>
      </c>
      <c r="CD34" s="58">
        <f>股权价值增加表!CD31</f>
        <v>0</v>
      </c>
      <c r="CE34" s="58">
        <f>股权价值增加表!CE31</f>
        <v>0</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677</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37621</v>
      </c>
      <c r="BM38" s="1">
        <v>37256</v>
      </c>
      <c r="BN38" s="1">
        <v>25569</v>
      </c>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1473466023.6399994</v>
      </c>
      <c r="F39" s="26">
        <f>股权价值增加表!F31</f>
        <v>1086981087.9900005</v>
      </c>
      <c r="G39" s="26">
        <f>股权价值增加表!G31</f>
        <v>724315079.88</v>
      </c>
      <c r="H39" s="26">
        <f>股权价值增加表!H31</f>
        <v>463698482.99000031</v>
      </c>
      <c r="I39" s="26">
        <f>股权价值增加表!I31</f>
        <v>1366586280.4000015</v>
      </c>
      <c r="J39" s="26">
        <f>股权价值增加表!J31</f>
        <v>1001078344.5200003</v>
      </c>
      <c r="K39" s="26">
        <f>股权价值增加表!K31</f>
        <v>657937659.04999948</v>
      </c>
      <c r="L39" s="26">
        <f>股权价值增加表!L31</f>
        <v>377276526.5399999</v>
      </c>
      <c r="M39" s="26">
        <f>股权价值增加表!M31</f>
        <v>1176082190.0199993</v>
      </c>
      <c r="N39" s="26">
        <f>股权价值增加表!N31</f>
        <v>867809526.90999961</v>
      </c>
      <c r="O39" s="26">
        <f>股权价值增加表!O31</f>
        <v>533955901.69000024</v>
      </c>
      <c r="P39" s="26">
        <f>股权价值增加表!P31</f>
        <v>307842132.46999985</v>
      </c>
      <c r="Q39" s="26">
        <f>股权价值增加表!Q31</f>
        <v>904587689.10000002</v>
      </c>
      <c r="R39" s="26">
        <f>股权价值增加表!R31</f>
        <v>667436142.68000007</v>
      </c>
      <c r="S39" s="26">
        <f>股权价值增加表!S31</f>
        <v>430637161.59000045</v>
      </c>
      <c r="T39" s="26">
        <f>股权价值增加表!T31</f>
        <v>243104656.52000013</v>
      </c>
      <c r="U39" s="26">
        <f>股权价值增加表!U31</f>
        <v>717189631.21999967</v>
      </c>
      <c r="V39" s="26">
        <f>股权价值增加表!V31</f>
        <v>562201088.19000113</v>
      </c>
      <c r="W39" s="26">
        <f>股权价值增加表!W31</f>
        <v>359583999.86000001</v>
      </c>
      <c r="X39" s="26">
        <f>股权价值增加表!X31</f>
        <v>208589523.33999994</v>
      </c>
      <c r="Y39" s="26">
        <f>股权价值增加表!Y31</f>
        <v>580618992.03000045</v>
      </c>
      <c r="Z39" s="26">
        <f>股权价值增加表!Z31</f>
        <v>433881716.62000006</v>
      </c>
      <c r="AA39" s="26">
        <f>股权价值增加表!AA31</f>
        <v>281604651.04999965</v>
      </c>
      <c r="AB39" s="26">
        <f>股权价值增加表!AB31</f>
        <v>172966155.67000005</v>
      </c>
      <c r="AC39" s="26">
        <f>股权价值增加表!AC31</f>
        <v>614413070.95000052</v>
      </c>
      <c r="AD39" s="26">
        <f>股权价值增加表!AD31</f>
        <v>484090966.39999998</v>
      </c>
      <c r="AE39" s="26">
        <f>股权价值增加表!AE31</f>
        <v>310550423.34999996</v>
      </c>
      <c r="AF39" s="26">
        <f>股权价值增加表!AF31</f>
        <v>183297207.50999996</v>
      </c>
      <c r="AG39" s="26">
        <f>股权价值增加表!AG31</f>
        <v>520578065.77999979</v>
      </c>
      <c r="AH39" s="26">
        <f>股权价值增加表!AH31</f>
        <v>382332815.38000023</v>
      </c>
      <c r="AI39" s="26">
        <f>股权价值增加表!AI31</f>
        <v>234783994.58999988</v>
      </c>
      <c r="AJ39" s="26">
        <f>股权价值增加表!AJ31</f>
        <v>138967129.31999981</v>
      </c>
      <c r="AK39" s="26">
        <f>股权价值增加表!AK31</f>
        <v>414630294.00000054</v>
      </c>
      <c r="AL39" s="26">
        <f>股权价值增加表!AL31</f>
        <v>281562721.71999979</v>
      </c>
      <c r="AM39" s="26">
        <f>股权价值增加表!AM31</f>
        <v>187572869.01999992</v>
      </c>
      <c r="AN39" s="26">
        <f>股权价值增加表!AN31</f>
        <v>100446094.79000002</v>
      </c>
      <c r="AO39" s="26">
        <f>股权价值增加表!AO31</f>
        <v>338747687.35999978</v>
      </c>
      <c r="AP39" s="26">
        <f>股权价值增加表!AP31</f>
        <v>203929447.08999994</v>
      </c>
      <c r="AQ39" s="26">
        <f>股权价值增加表!AQ31</f>
        <v>144276578.39999983</v>
      </c>
      <c r="AR39" s="26">
        <f>股权价值增加表!AR31</f>
        <v>79274895.609999925</v>
      </c>
      <c r="AS39" s="26">
        <f>股权价值增加表!AS31</f>
        <v>266098119.17999962</v>
      </c>
      <c r="AT39" s="26">
        <f>股权价值增加表!AT31</f>
        <v>186509314.26999986</v>
      </c>
      <c r="AU39" s="26">
        <f>股权价值增加表!AU31</f>
        <v>131822256.65999988</v>
      </c>
      <c r="AV39" s="26">
        <f>股权价值增加表!AV31</f>
        <v>65828470.799999997</v>
      </c>
      <c r="AW39" s="26">
        <f>股权价值增加表!AW31</f>
        <v>172143438.16000012</v>
      </c>
      <c r="AX39" s="26">
        <f>股权价值增加表!AX31</f>
        <v>106909203.95000002</v>
      </c>
      <c r="AY39" s="26">
        <f>股权价值增加表!AY31</f>
        <v>74070434.679999948</v>
      </c>
      <c r="AZ39" s="26">
        <f>股权价值增加表!AZ31</f>
        <v>39727871.580000035</v>
      </c>
      <c r="BA39" s="26">
        <f>股权价值增加表!BA31</f>
        <v>104934972.48999998</v>
      </c>
      <c r="BB39" s="26">
        <f>股权价值增加表!BB31</f>
        <v>57535078.98999992</v>
      </c>
      <c r="BC39" s="26">
        <f>股权价值增加表!BC31</f>
        <v>41495182.32</v>
      </c>
      <c r="BD39" s="26">
        <f>股权价值增加表!BD31</f>
        <v>18556412.060000014</v>
      </c>
      <c r="BE39" s="26">
        <f>股权价值增加表!BE31</f>
        <v>83772515.940000027</v>
      </c>
      <c r="BF39" s="26">
        <f>股权价值增加表!BF31</f>
        <v>62198045.999999948</v>
      </c>
      <c r="BG39" s="26">
        <f>股权价值增加表!BG31</f>
        <v>39326922.690000013</v>
      </c>
      <c r="BH39" s="26">
        <f>股权价值增加表!BH31</f>
        <v>18497416.929999985</v>
      </c>
      <c r="BI39" s="26">
        <f>股权价值增加表!BI31</f>
        <v>92170194.260000065</v>
      </c>
      <c r="BJ39" s="26">
        <f>股权价值增加表!BJ31</f>
        <v>59337088.550000064</v>
      </c>
      <c r="BK39" s="26">
        <f>股权价值增加表!BK31</f>
        <v>38786711.010000013</v>
      </c>
      <c r="BL39" s="26">
        <f>股权价值增加表!BL31</f>
        <v>66718030.410000034</v>
      </c>
      <c r="BM39" s="26">
        <f>股权价值增加表!BM31</f>
        <v>40503426.979999974</v>
      </c>
      <c r="BN39" s="26">
        <f>股权价值增加表!BN31</f>
        <v>0</v>
      </c>
      <c r="BO39" s="26">
        <f>股权价值增加表!BO31</f>
        <v>-10625718.93</v>
      </c>
      <c r="BP39" s="26">
        <f>股权价值增加表!BP31</f>
        <v>4557679.6900000004</v>
      </c>
      <c r="BQ39" s="26">
        <f>股权价值增加表!BQ31</f>
        <v>21254694.370000001</v>
      </c>
      <c r="BR39" s="26">
        <f>股权价值增加表!BR31</f>
        <v>14419224.66</v>
      </c>
      <c r="BS39" s="26">
        <f>股权价值增加表!BS31</f>
        <v>17274579.829999998</v>
      </c>
      <c r="BT39" s="26">
        <f>股权价值增加表!BT31</f>
        <v>6547700.0800000001</v>
      </c>
      <c r="BU39" s="26">
        <f>股权价值增加表!BU31</f>
        <v>-24371562.48</v>
      </c>
      <c r="BV39" s="26">
        <f>股权价值增加表!BV31</f>
        <v>-8975034.6300000008</v>
      </c>
      <c r="BW39" s="26">
        <f>股权价值增加表!BW31</f>
        <v>-45646454.090000004</v>
      </c>
      <c r="BX39" s="26">
        <f>股权价值增加表!BX31</f>
        <v>-11084069.25</v>
      </c>
      <c r="BY39" s="26">
        <f>股权价值增加表!BY31</f>
        <v>-22740004.100000001</v>
      </c>
      <c r="BZ39" s="26">
        <f>股权价值增加表!BZ31</f>
        <v>-3442370</v>
      </c>
      <c r="CA39" s="26">
        <f>股权价值增加表!CA31</f>
        <v>-12289828.140000001</v>
      </c>
      <c r="CB39" s="26">
        <f>股权价值增加表!CB31</f>
        <v>-1266000</v>
      </c>
      <c r="CC39" s="26">
        <f>股权价值增加表!CC31</f>
        <v>745986.91</v>
      </c>
      <c r="CD39" s="26">
        <f>股权价值增加表!CD31</f>
        <v>0</v>
      </c>
      <c r="CE39" s="26">
        <f>股权价值增加表!CE31</f>
        <v>0</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1465352750.7399993</v>
      </c>
      <c r="F40" s="26">
        <f>股权价值增加表!F38</f>
        <v>1087339423.1600006</v>
      </c>
      <c r="G40" s="26">
        <f>股权价值增加表!G38</f>
        <v>725640375.39999998</v>
      </c>
      <c r="H40" s="26">
        <f>股权价值增加表!H38</f>
        <v>465195601.9400003</v>
      </c>
      <c r="I40" s="26">
        <f>股权价值增加表!I38</f>
        <v>1377893625.5700016</v>
      </c>
      <c r="J40" s="26">
        <f>股权价值增加表!J38</f>
        <v>1011621688.8300003</v>
      </c>
      <c r="K40" s="26">
        <f>股权价值增加表!K38</f>
        <v>666113143.36999953</v>
      </c>
      <c r="L40" s="26">
        <f>股权价值增加表!L38</f>
        <v>379380083.52999991</v>
      </c>
      <c r="M40" s="26">
        <f>股权价值增加表!M38</f>
        <v>1188109801.5599992</v>
      </c>
      <c r="N40" s="26">
        <f>股权价值增加表!N38</f>
        <v>885378827.40999961</v>
      </c>
      <c r="O40" s="26">
        <f>股权价值增加表!O38</f>
        <v>541848643.52000022</v>
      </c>
      <c r="P40" s="26">
        <f>股权价值增加表!P38</f>
        <v>311387681.01999986</v>
      </c>
      <c r="Q40" s="26">
        <f>股权价值增加表!Q38</f>
        <v>905768593.13999999</v>
      </c>
      <c r="R40" s="26">
        <f>股权价值增加表!R38</f>
        <v>681830974.86000001</v>
      </c>
      <c r="S40" s="26">
        <f>股权价值增加表!S38</f>
        <v>440812792.22000045</v>
      </c>
      <c r="T40" s="26">
        <f>股权价值增加表!T38</f>
        <v>244365798.41000012</v>
      </c>
      <c r="U40" s="26">
        <f>股权价值增加表!U38</f>
        <v>728977871.87999964</v>
      </c>
      <c r="V40" s="26">
        <f>股权价值增加表!V38</f>
        <v>569436724.09000111</v>
      </c>
      <c r="W40" s="26">
        <f>股权价值增加表!W38</f>
        <v>360433316.34000003</v>
      </c>
      <c r="X40" s="26">
        <f>股权价值增加表!X38</f>
        <v>208298496.36999995</v>
      </c>
      <c r="Y40" s="26">
        <f>股权价值增加表!Y38</f>
        <v>584203301.14000046</v>
      </c>
      <c r="Z40" s="26">
        <f>股权价值增加表!Z38</f>
        <v>446340044.80000007</v>
      </c>
      <c r="AA40" s="26">
        <f>股权价值增加表!AA38</f>
        <v>288410432.75999963</v>
      </c>
      <c r="AB40" s="26">
        <f>股权价值增加表!AB38</f>
        <v>174324406.63000005</v>
      </c>
      <c r="AC40" s="26">
        <f>股权价值增加表!AC38</f>
        <v>582910817.90000057</v>
      </c>
      <c r="AD40" s="26">
        <f>股权价值增加表!AD38</f>
        <v>462091239.54999995</v>
      </c>
      <c r="AE40" s="26">
        <f>股权价值增加表!AE38</f>
        <v>298056123.19999999</v>
      </c>
      <c r="AF40" s="26">
        <f>股权价值增加表!AF38</f>
        <v>175370575.99999997</v>
      </c>
      <c r="AG40" s="26">
        <f>股权价值增加表!AG38</f>
        <v>500914662.4599998</v>
      </c>
      <c r="AH40" s="26">
        <f>股权价值增加表!AH38</f>
        <v>377125981.79000026</v>
      </c>
      <c r="AI40" s="26">
        <f>股权价值增加表!AI38</f>
        <v>235982575.23999989</v>
      </c>
      <c r="AJ40" s="26">
        <f>股权价值增加表!AJ38</f>
        <v>139515446.83999982</v>
      </c>
      <c r="AK40" s="26">
        <f>股权价值增加表!AK38</f>
        <v>424660679.25000054</v>
      </c>
      <c r="AL40" s="26">
        <f>股权价值增加表!AL38</f>
        <v>287032822.16999978</v>
      </c>
      <c r="AM40" s="26">
        <f>股权价值增加表!AM38</f>
        <v>192372707.05999991</v>
      </c>
      <c r="AN40" s="26">
        <f>股权价值增加表!AN38</f>
        <v>103121825.68000002</v>
      </c>
      <c r="AO40" s="26">
        <f>股权价值增加表!AO38</f>
        <v>346415980.43999976</v>
      </c>
      <c r="AP40" s="26">
        <f>股权价值增加表!AP38</f>
        <v>228407608.02999994</v>
      </c>
      <c r="AQ40" s="26">
        <f>股权价值增加表!AQ38</f>
        <v>154606023.10999984</v>
      </c>
      <c r="AR40" s="26">
        <f>股权价值增加表!AR38</f>
        <v>80029630.879999921</v>
      </c>
      <c r="AS40" s="26">
        <f>股权价值增加表!AS38</f>
        <v>242195577.37999961</v>
      </c>
      <c r="AT40" s="26">
        <f>股权价值增加表!AT38</f>
        <v>168211674.60999987</v>
      </c>
      <c r="AU40" s="26">
        <f>股权价值增加表!AU38</f>
        <v>119873936.34999987</v>
      </c>
      <c r="AV40" s="26">
        <f>股权价值增加表!AV38</f>
        <v>61335784.699999996</v>
      </c>
      <c r="AW40" s="26">
        <f>股权价值增加表!AW38</f>
        <v>145734708.7700001</v>
      </c>
      <c r="AX40" s="26">
        <f>股权价值增加表!AX38</f>
        <v>92646101.790000021</v>
      </c>
      <c r="AY40" s="26">
        <f>股权价值增加表!AY38</f>
        <v>66285203.119999945</v>
      </c>
      <c r="AZ40" s="26">
        <f>股权价值增加表!AZ38</f>
        <v>36474838.140000038</v>
      </c>
      <c r="BA40" s="26">
        <f>股权价值增加表!BA38</f>
        <v>91413907.339999974</v>
      </c>
      <c r="BB40" s="26">
        <f>股权价值增加表!BB38</f>
        <v>45642785.429999918</v>
      </c>
      <c r="BC40" s="26">
        <f>股权价值增加表!BC38</f>
        <v>33431458.190000001</v>
      </c>
      <c r="BD40" s="26">
        <f>股权价值增加表!BD38</f>
        <v>13973696.390000014</v>
      </c>
      <c r="BE40" s="26">
        <f>股权价值增加表!BE38</f>
        <v>68034953.530000031</v>
      </c>
      <c r="BF40" s="26">
        <f>股权价值增加表!BF38</f>
        <v>51623701.099999949</v>
      </c>
      <c r="BG40" s="26">
        <f>股权价值增加表!BG38</f>
        <v>32907483.790000014</v>
      </c>
      <c r="BH40" s="26">
        <f>股权价值增加表!BH38</f>
        <v>15033480.299999986</v>
      </c>
      <c r="BI40" s="26">
        <f>股权价值增加表!BI38</f>
        <v>82409216.800000072</v>
      </c>
      <c r="BJ40" s="26">
        <f>股权价值增加表!BJ38</f>
        <v>53119183.370000064</v>
      </c>
      <c r="BK40" s="26">
        <f>股权价值增加表!BK38</f>
        <v>35442919.190000013</v>
      </c>
      <c r="BL40" s="26">
        <f>股权价值增加表!BL38</f>
        <v>58221095.660000034</v>
      </c>
      <c r="BM40" s="26">
        <f>股权价值增加表!BM38</f>
        <v>32315165.939999975</v>
      </c>
      <c r="BN40" s="26">
        <f>股权价值增加表!BN38</f>
        <v>0</v>
      </c>
      <c r="BO40" s="26">
        <f>股权价值增加表!BO38</f>
        <v>-19867738.280000001</v>
      </c>
      <c r="BP40" s="26">
        <f>股权价值增加表!BP38</f>
        <v>-3035434.6599999992</v>
      </c>
      <c r="BQ40" s="26">
        <f>股权价值增加表!BQ38</f>
        <v>19001970.880000003</v>
      </c>
      <c r="BR40" s="26">
        <f>股权价值增加表!BR38</f>
        <v>10933943.73</v>
      </c>
      <c r="BS40" s="26">
        <f>股权价值增加表!BS38</f>
        <v>-4340404.0600000024</v>
      </c>
      <c r="BT40" s="26">
        <f>股权价值增加表!BT38</f>
        <v>-5529903.1899999995</v>
      </c>
      <c r="BU40" s="26">
        <f>股权价值增加表!BU38</f>
        <v>-46395169.980000004</v>
      </c>
      <c r="BV40" s="26">
        <f>股权价值增加表!BV38</f>
        <v>-15042579.690000001</v>
      </c>
      <c r="BW40" s="26">
        <f>股权价值增加表!BW38</f>
        <v>-30085583.690000005</v>
      </c>
      <c r="BX40" s="26">
        <f>股权价值增加表!BX38</f>
        <v>-9203611.120000001</v>
      </c>
      <c r="BY40" s="26">
        <f>股权价值增加表!BY38</f>
        <v>-16029890.990000002</v>
      </c>
      <c r="BZ40" s="26">
        <f>股权价值增加表!BZ38</f>
        <v>-3442370</v>
      </c>
      <c r="CA40" s="26">
        <f>股权价值增加表!CA38</f>
        <v>-17310457.620000001</v>
      </c>
      <c r="CB40" s="26">
        <f>股权价值增加表!CB38</f>
        <v>-1266000</v>
      </c>
      <c r="CC40" s="26">
        <f>股权价值增加表!CC38</f>
        <v>-8419958.9000000004</v>
      </c>
      <c r="CD40" s="26">
        <f>股权价值增加表!CD38</f>
        <v>0</v>
      </c>
      <c r="CE40" s="26">
        <f>股权价值增加表!CE38</f>
        <v>0</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5.5062504121794476E-3</v>
      </c>
      <c r="F41" s="59">
        <f t="shared" ref="F41:BQ41" si="34">1-F40/F39</f>
        <v>-3.2966090575015095E-4</v>
      </c>
      <c r="G41" s="59">
        <f t="shared" si="34"/>
        <v>-1.829722391282429E-3</v>
      </c>
      <c r="H41" s="59">
        <f t="shared" si="34"/>
        <v>-3.2286475046161556E-3</v>
      </c>
      <c r="I41" s="59">
        <f t="shared" si="34"/>
        <v>-8.2741538768342782E-3</v>
      </c>
      <c r="J41" s="59">
        <f t="shared" si="34"/>
        <v>-1.0531987199318804E-2</v>
      </c>
      <c r="K41" s="59">
        <f t="shared" si="34"/>
        <v>-1.2425925477202115E-2</v>
      </c>
      <c r="L41" s="59">
        <f t="shared" si="34"/>
        <v>-5.5756370779060926E-3</v>
      </c>
      <c r="M41" s="59">
        <f t="shared" si="34"/>
        <v>-1.0226846084452124E-2</v>
      </c>
      <c r="N41" s="59">
        <f t="shared" si="34"/>
        <v>-2.0245572277316271E-2</v>
      </c>
      <c r="O41" s="59">
        <f t="shared" si="34"/>
        <v>-1.4781636095825501E-2</v>
      </c>
      <c r="P41" s="59">
        <f t="shared" si="34"/>
        <v>-1.1517424601863224E-2</v>
      </c>
      <c r="Q41" s="59">
        <f t="shared" si="34"/>
        <v>-1.3054611003768812E-3</v>
      </c>
      <c r="R41" s="59">
        <f t="shared" si="34"/>
        <v>-2.156735492656936E-2</v>
      </c>
      <c r="S41" s="59">
        <f t="shared" si="34"/>
        <v>-2.3629244147043593E-2</v>
      </c>
      <c r="T41" s="59">
        <f t="shared" si="34"/>
        <v>-5.187650076526662E-3</v>
      </c>
      <c r="U41" s="59">
        <f t="shared" si="34"/>
        <v>-1.6436713732109087E-2</v>
      </c>
      <c r="V41" s="59">
        <f t="shared" si="34"/>
        <v>-1.2870191915307361E-2</v>
      </c>
      <c r="W41" s="59">
        <f t="shared" si="34"/>
        <v>-2.3619418003322235E-3</v>
      </c>
      <c r="X41" s="59">
        <f t="shared" si="34"/>
        <v>1.3952137448707269E-3</v>
      </c>
      <c r="Y41" s="59">
        <f t="shared" si="34"/>
        <v>-6.1732550247250995E-3</v>
      </c>
      <c r="Z41" s="59">
        <f t="shared" si="34"/>
        <v>-2.8713650985462413E-2</v>
      </c>
      <c r="AA41" s="59">
        <f t="shared" si="34"/>
        <v>-2.4167859744587794E-2</v>
      </c>
      <c r="AB41" s="59">
        <f t="shared" si="34"/>
        <v>-7.8526978572119877E-3</v>
      </c>
      <c r="AC41" s="59">
        <f t="shared" si="34"/>
        <v>5.1272107543694379E-2</v>
      </c>
      <c r="AD41" s="59">
        <f t="shared" si="34"/>
        <v>4.5445439756092942E-2</v>
      </c>
      <c r="AE41" s="59">
        <f t="shared" si="34"/>
        <v>4.0232758388219936E-2</v>
      </c>
      <c r="AF41" s="59">
        <f t="shared" si="34"/>
        <v>4.3244693237170839E-2</v>
      </c>
      <c r="AG41" s="59">
        <f t="shared" si="34"/>
        <v>3.7772247070259612E-2</v>
      </c>
      <c r="AH41" s="59">
        <f t="shared" si="34"/>
        <v>1.3618589303732387E-2</v>
      </c>
      <c r="AI41" s="59">
        <f t="shared" si="34"/>
        <v>-5.1050355970518879E-3</v>
      </c>
      <c r="AJ41" s="59">
        <f t="shared" si="34"/>
        <v>-3.9456634290646608E-3</v>
      </c>
      <c r="AK41" s="59">
        <f t="shared" si="34"/>
        <v>-2.4191153890940731E-2</v>
      </c>
      <c r="AL41" s="59">
        <f t="shared" si="34"/>
        <v>-1.9427644457279181E-2</v>
      </c>
      <c r="AM41" s="59">
        <f t="shared" si="34"/>
        <v>-2.5589191363747821E-2</v>
      </c>
      <c r="AN41" s="59">
        <f t="shared" si="34"/>
        <v>-2.6638476046222381E-2</v>
      </c>
      <c r="AO41" s="59">
        <f t="shared" si="34"/>
        <v>-2.2637182086059804E-2</v>
      </c>
      <c r="AP41" s="59">
        <f t="shared" si="34"/>
        <v>-0.12003249795110316</v>
      </c>
      <c r="AQ41" s="59">
        <f t="shared" si="34"/>
        <v>-7.1594744098810947E-2</v>
      </c>
      <c r="AR41" s="59">
        <f t="shared" si="34"/>
        <v>-9.5204826722570246E-3</v>
      </c>
      <c r="AS41" s="59">
        <f t="shared" si="34"/>
        <v>8.9826045646836605E-2</v>
      </c>
      <c r="AT41" s="59">
        <f t="shared" si="34"/>
        <v>9.8105768774161328E-2</v>
      </c>
      <c r="AU41" s="59">
        <f t="shared" si="34"/>
        <v>9.0639628031990771E-2</v>
      </c>
      <c r="AV41" s="59">
        <f t="shared" si="34"/>
        <v>6.8248374075856599E-2</v>
      </c>
      <c r="AW41" s="59">
        <f t="shared" si="34"/>
        <v>0.15341118820604827</v>
      </c>
      <c r="AX41" s="59">
        <f t="shared" si="34"/>
        <v>0.13341322947901335</v>
      </c>
      <c r="AY41" s="59">
        <f t="shared" si="34"/>
        <v>0.1051057900987602</v>
      </c>
      <c r="AZ41" s="59">
        <f t="shared" si="34"/>
        <v>8.1882902622894438E-2</v>
      </c>
      <c r="BA41" s="59">
        <f t="shared" si="34"/>
        <v>0.12885184823666418</v>
      </c>
      <c r="BB41" s="59">
        <f t="shared" si="34"/>
        <v>0.20669639755021429</v>
      </c>
      <c r="BC41" s="59">
        <f t="shared" si="34"/>
        <v>0.19432916495738384</v>
      </c>
      <c r="BD41" s="59">
        <f t="shared" si="34"/>
        <v>0.24696130131096028</v>
      </c>
      <c r="BE41" s="59">
        <f t="shared" si="34"/>
        <v>0.18786068716464999</v>
      </c>
      <c r="BF41" s="59">
        <f t="shared" si="34"/>
        <v>0.17001088587252411</v>
      </c>
      <c r="BG41" s="59">
        <f t="shared" si="34"/>
        <v>0.16323267779180506</v>
      </c>
      <c r="BH41" s="59">
        <f t="shared" si="34"/>
        <v>0.18726596492410907</v>
      </c>
      <c r="BI41" s="59">
        <f t="shared" si="34"/>
        <v>0.10590166960552949</v>
      </c>
      <c r="BJ41" s="59">
        <f t="shared" si="34"/>
        <v>0.10478952257255625</v>
      </c>
      <c r="BK41" s="59">
        <f t="shared" si="34"/>
        <v>8.6209728356134718E-2</v>
      </c>
      <c r="BL41" s="59">
        <f t="shared" si="34"/>
        <v>0.12735589911428857</v>
      </c>
      <c r="BM41" s="59">
        <f t="shared" si="34"/>
        <v>0.20216217862363217</v>
      </c>
      <c r="BN41" s="59" t="e">
        <f t="shared" si="34"/>
        <v>#DIV/0!</v>
      </c>
      <c r="BO41" s="59">
        <f t="shared" si="34"/>
        <v>-0.86977826261775615</v>
      </c>
      <c r="BP41" s="59">
        <f t="shared" si="34"/>
        <v>1.6660043852269923</v>
      </c>
      <c r="BQ41" s="59">
        <f t="shared" si="34"/>
        <v>0.10598710340335971</v>
      </c>
      <c r="BR41" s="59">
        <f t="shared" ref="BR41:CK41" si="35">1-BR40/BR39</f>
        <v>0.24171070304968811</v>
      </c>
      <c r="BS41" s="59">
        <f t="shared" si="35"/>
        <v>1.2512596024166223</v>
      </c>
      <c r="BT41" s="59">
        <f t="shared" si="35"/>
        <v>1.8445565805451491</v>
      </c>
      <c r="BU41" s="59">
        <f t="shared" si="35"/>
        <v>-0.90366005536465721</v>
      </c>
      <c r="BV41" s="59">
        <f t="shared" si="35"/>
        <v>-0.67604698033348987</v>
      </c>
      <c r="BW41" s="59">
        <f t="shared" si="35"/>
        <v>0.34089987295221247</v>
      </c>
      <c r="BX41" s="59">
        <f t="shared" si="35"/>
        <v>0.16965413040882971</v>
      </c>
      <c r="BY41" s="59">
        <f t="shared" si="35"/>
        <v>0.29507967898739296</v>
      </c>
      <c r="BZ41" s="59">
        <f t="shared" si="35"/>
        <v>0</v>
      </c>
      <c r="CA41" s="59">
        <f t="shared" si="35"/>
        <v>-0.40851909585775537</v>
      </c>
      <c r="CB41" s="59">
        <f t="shared" si="35"/>
        <v>0</v>
      </c>
      <c r="CC41" s="59">
        <f t="shared" si="35"/>
        <v>12.287006229103939</v>
      </c>
      <c r="CD41" s="59" t="e">
        <f t="shared" si="35"/>
        <v>#DIV/0!</v>
      </c>
      <c r="CE41" s="59" t="e">
        <f t="shared" si="35"/>
        <v>#DIV/0!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8">
        <f>E39/(E39-E40)</f>
        <v>181.61179117246039</v>
      </c>
      <c r="F42" s="29">
        <f t="shared" ref="F42:BQ42" si="36">F39/(F39-F40)</f>
        <v>-3033.4200463486995</v>
      </c>
      <c r="G42" s="29">
        <f t="shared" si="36"/>
        <v>-546.53099550205252</v>
      </c>
      <c r="H42" s="29">
        <f t="shared" si="36"/>
        <v>-309.72721505529267</v>
      </c>
      <c r="I42" s="29">
        <f t="shared" si="36"/>
        <v>-120.85827927370084</v>
      </c>
      <c r="J42" s="29">
        <f t="shared" si="36"/>
        <v>-94.948843088669435</v>
      </c>
      <c r="K42" s="29">
        <f t="shared" si="36"/>
        <v>-80.476903055205824</v>
      </c>
      <c r="L42" s="29">
        <f t="shared" si="36"/>
        <v>-179.35170206156297</v>
      </c>
      <c r="M42" s="29">
        <f t="shared" si="36"/>
        <v>-97.781856863994051</v>
      </c>
      <c r="N42" s="29">
        <f t="shared" si="36"/>
        <v>-49.393516088474868</v>
      </c>
      <c r="O42" s="29">
        <f t="shared" si="36"/>
        <v>-67.651509854339352</v>
      </c>
      <c r="P42" s="29">
        <f t="shared" si="36"/>
        <v>-86.824966046508891</v>
      </c>
      <c r="Q42" s="29">
        <f t="shared" si="36"/>
        <v>-766.01286680332578</v>
      </c>
      <c r="R42" s="29">
        <f t="shared" si="36"/>
        <v>-46.366371926678653</v>
      </c>
      <c r="S42" s="29">
        <f t="shared" si="36"/>
        <v>-42.320439611908419</v>
      </c>
      <c r="T42" s="29">
        <f t="shared" si="36"/>
        <v>-192.76550755125808</v>
      </c>
      <c r="U42" s="29">
        <f t="shared" si="36"/>
        <v>-60.839412080682926</v>
      </c>
      <c r="V42" s="29">
        <f t="shared" si="36"/>
        <v>-77.698919066671522</v>
      </c>
      <c r="W42" s="29">
        <f t="shared" si="36"/>
        <v>-423.38045749446889</v>
      </c>
      <c r="X42" s="29">
        <f t="shared" si="36"/>
        <v>716.73605831102452</v>
      </c>
      <c r="Y42" s="29">
        <f t="shared" si="36"/>
        <v>-161.98909586511587</v>
      </c>
      <c r="Z42" s="29">
        <f t="shared" si="36"/>
        <v>-34.826640489093279</v>
      </c>
      <c r="AA42" s="29">
        <f t="shared" si="36"/>
        <v>-41.37726760119677</v>
      </c>
      <c r="AB42" s="29">
        <f t="shared" si="36"/>
        <v>-127.3447696808541</v>
      </c>
      <c r="AC42" s="29">
        <f t="shared" si="36"/>
        <v>19.503781839819911</v>
      </c>
      <c r="AD42" s="29">
        <f t="shared" si="36"/>
        <v>22.004408041093448</v>
      </c>
      <c r="AE42" s="29">
        <f t="shared" si="36"/>
        <v>24.855367617369154</v>
      </c>
      <c r="AF42" s="29">
        <f t="shared" si="36"/>
        <v>23.124224619090459</v>
      </c>
      <c r="AG42" s="29">
        <f t="shared" si="36"/>
        <v>26.474464125470625</v>
      </c>
      <c r="AH42" s="29">
        <f t="shared" si="36"/>
        <v>73.429044499192869</v>
      </c>
      <c r="AI42" s="29">
        <f t="shared" si="36"/>
        <v>-195.88501999427299</v>
      </c>
      <c r="AJ42" s="29">
        <f t="shared" si="36"/>
        <v>-253.44280321372386</v>
      </c>
      <c r="AK42" s="29">
        <f t="shared" si="36"/>
        <v>-41.337424601911529</v>
      </c>
      <c r="AL42" s="29">
        <f t="shared" si="36"/>
        <v>-51.473044104702026</v>
      </c>
      <c r="AM42" s="29">
        <f t="shared" si="36"/>
        <v>-39.078999636412782</v>
      </c>
      <c r="AN42" s="29">
        <f t="shared" si="36"/>
        <v>-37.539685012942385</v>
      </c>
      <c r="AO42" s="29">
        <f t="shared" si="36"/>
        <v>-44.175109613833449</v>
      </c>
      <c r="AP42" s="29">
        <f t="shared" si="36"/>
        <v>-8.3310771421866452</v>
      </c>
      <c r="AQ42" s="29">
        <f t="shared" si="36"/>
        <v>-13.967505751816907</v>
      </c>
      <c r="AR42" s="29">
        <f t="shared" si="36"/>
        <v>-105.03669135536803</v>
      </c>
      <c r="AS42" s="29">
        <f t="shared" si="36"/>
        <v>11.132628546642662</v>
      </c>
      <c r="AT42" s="29">
        <f t="shared" si="36"/>
        <v>10.193080513970505</v>
      </c>
      <c r="AU42" s="29">
        <f t="shared" si="36"/>
        <v>11.032701939675389</v>
      </c>
      <c r="AV42" s="29">
        <f t="shared" si="36"/>
        <v>14.652363716218673</v>
      </c>
      <c r="AW42" s="29">
        <f t="shared" si="36"/>
        <v>6.5184294033163255</v>
      </c>
      <c r="AX42" s="29">
        <f t="shared" si="36"/>
        <v>7.4955085331871478</v>
      </c>
      <c r="AY42" s="29">
        <f t="shared" si="36"/>
        <v>9.5142237079458081</v>
      </c>
      <c r="AZ42" s="29">
        <f t="shared" si="36"/>
        <v>12.212561694416539</v>
      </c>
      <c r="BA42" s="29">
        <f t="shared" si="36"/>
        <v>7.7608510369465922</v>
      </c>
      <c r="BB42" s="29">
        <f t="shared" si="36"/>
        <v>4.8380136850573932</v>
      </c>
      <c r="BC42" s="29">
        <f t="shared" si="36"/>
        <v>5.1459079763930378</v>
      </c>
      <c r="BD42" s="29">
        <f t="shared" si="36"/>
        <v>4.0492174064990625</v>
      </c>
      <c r="BE42" s="29">
        <f t="shared" si="36"/>
        <v>5.3230934853525413</v>
      </c>
      <c r="BF42" s="29">
        <f t="shared" si="36"/>
        <v>5.881976291505298</v>
      </c>
      <c r="BG42" s="29">
        <f t="shared" si="36"/>
        <v>6.1262243168947403</v>
      </c>
      <c r="BH42" s="29">
        <f t="shared" si="36"/>
        <v>5.3399986506104158</v>
      </c>
      <c r="BI42" s="29">
        <f t="shared" si="36"/>
        <v>9.4427217599578519</v>
      </c>
      <c r="BJ42" s="29">
        <f t="shared" si="36"/>
        <v>9.5429387924503644</v>
      </c>
      <c r="BK42" s="29">
        <f t="shared" si="36"/>
        <v>11.599618964915109</v>
      </c>
      <c r="BL42" s="29">
        <f t="shared" si="36"/>
        <v>7.8520116221911715</v>
      </c>
      <c r="BM42" s="29">
        <f t="shared" si="36"/>
        <v>4.9465236613902555</v>
      </c>
      <c r="BN42" s="29" t="e">
        <f t="shared" si="36"/>
        <v>#DIV/0!</v>
      </c>
      <c r="BO42" s="29">
        <f t="shared" si="36"/>
        <v>-1.1497183167009921</v>
      </c>
      <c r="BP42" s="29">
        <f t="shared" si="36"/>
        <v>0.60023851609715329</v>
      </c>
      <c r="BQ42" s="29">
        <f t="shared" si="36"/>
        <v>9.4351101963250787</v>
      </c>
      <c r="BR42" s="29">
        <f t="shared" ref="BR42:CK42" si="37">BR39/(BR39-BR40)</f>
        <v>4.1371771600632492</v>
      </c>
      <c r="BS42" s="29">
        <f t="shared" si="37"/>
        <v>0.79919466597391009</v>
      </c>
      <c r="BT42" s="29">
        <f t="shared" si="37"/>
        <v>0.54213571464663624</v>
      </c>
      <c r="BU42" s="29">
        <f t="shared" si="37"/>
        <v>-1.106610825678763</v>
      </c>
      <c r="BV42" s="29">
        <f t="shared" si="37"/>
        <v>-1.4791871409686737</v>
      </c>
      <c r="BW42" s="29">
        <f t="shared" si="37"/>
        <v>2.9334126508758795</v>
      </c>
      <c r="BX42" s="29">
        <f t="shared" si="37"/>
        <v>5.8943451455630154</v>
      </c>
      <c r="BY42" s="29">
        <f t="shared" si="37"/>
        <v>3.3889151683763501</v>
      </c>
      <c r="BZ42" s="29" t="e">
        <f t="shared" si="37"/>
        <v>#DIV/0!</v>
      </c>
      <c r="CA42" s="29">
        <f t="shared" si="37"/>
        <v>-2.4478659875135818</v>
      </c>
      <c r="CB42" s="29" t="e">
        <f t="shared" si="37"/>
        <v>#DIV/0!</v>
      </c>
      <c r="CC42" s="29">
        <f t="shared" si="37"/>
        <v>8.1386790350225738E-2</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699</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37621</v>
      </c>
      <c r="BM46" s="1">
        <v>37256</v>
      </c>
      <c r="BN46" s="1">
        <v>25569</v>
      </c>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1208068899.7799993</v>
      </c>
      <c r="F47" s="26">
        <f>股权价值增加表!F42</f>
        <v>890664690.57000053</v>
      </c>
      <c r="G47" s="26">
        <f>股权价值增加表!G42</f>
        <v>593976514.82999992</v>
      </c>
      <c r="H47" s="26">
        <f>股权价值增加表!H42</f>
        <v>366032374.82000029</v>
      </c>
      <c r="I47" s="26">
        <f>股权价值增加表!I42</f>
        <v>1144379679.3800015</v>
      </c>
      <c r="J47" s="26">
        <f>股权价值增加表!J42</f>
        <v>794744844.84000027</v>
      </c>
      <c r="K47" s="26">
        <f>股权价值增加表!K42</f>
        <v>521713239.28999949</v>
      </c>
      <c r="L47" s="26">
        <f>股权价值增加表!L42</f>
        <v>297175861.99999988</v>
      </c>
      <c r="M47" s="26">
        <f>股权价值增加表!M42</f>
        <v>1000933530.0999992</v>
      </c>
      <c r="N47" s="26">
        <f>股权价值增加表!N42</f>
        <v>706946961.89999962</v>
      </c>
      <c r="O47" s="26">
        <f>股权价值增加表!O42</f>
        <v>436954358.2300002</v>
      </c>
      <c r="P47" s="26">
        <f>股权价值增加表!P42</f>
        <v>248153187.83999985</v>
      </c>
      <c r="Q47" s="26">
        <f>股权价值增加表!Q42</f>
        <v>762636861.32999992</v>
      </c>
      <c r="R47" s="26">
        <f>股权价值增加表!R42</f>
        <v>563332725.18000007</v>
      </c>
      <c r="S47" s="26">
        <f>股权价值增加表!S42</f>
        <v>364801872.14000046</v>
      </c>
      <c r="T47" s="26">
        <f>股权价值增加表!T42</f>
        <v>204032442.48000011</v>
      </c>
      <c r="U47" s="26">
        <f>股权价值增加表!U42</f>
        <v>621261685.13999963</v>
      </c>
      <c r="V47" s="26">
        <f>股权价值增加表!V42</f>
        <v>467436062.52000111</v>
      </c>
      <c r="W47" s="26">
        <f>股权价值增加表!W42</f>
        <v>296426999.43000007</v>
      </c>
      <c r="X47" s="26">
        <f>股权价值增加表!X42</f>
        <v>168287234.30999994</v>
      </c>
      <c r="Y47" s="26">
        <f>股权价值增加表!Y42</f>
        <v>506196215.49000049</v>
      </c>
      <c r="Z47" s="26">
        <f>股权价值增加表!Z42</f>
        <v>364311004.57000005</v>
      </c>
      <c r="AA47" s="26">
        <f>股权价值增加表!AA42</f>
        <v>237904976.11999965</v>
      </c>
      <c r="AB47" s="26">
        <f>股权价值增加表!AB42</f>
        <v>139180331.53000006</v>
      </c>
      <c r="AC47" s="26">
        <f>股权价值增加表!AC42</f>
        <v>487726574.06000054</v>
      </c>
      <c r="AD47" s="26">
        <f>股权价值增加表!AD42</f>
        <v>382695867.81999993</v>
      </c>
      <c r="AE47" s="26">
        <f>股权价值增加表!AE42</f>
        <v>246797533.73999998</v>
      </c>
      <c r="AF47" s="26">
        <f>股权价值增加表!AF42</f>
        <v>148692646.80999997</v>
      </c>
      <c r="AG47" s="26">
        <f>股权价值增加表!AG42</f>
        <v>419815390.3999998</v>
      </c>
      <c r="AH47" s="26">
        <f>股权价值增加表!AH42</f>
        <v>306841798.72000027</v>
      </c>
      <c r="AI47" s="26">
        <f>股权价值增加表!AI42</f>
        <v>190296199.2899999</v>
      </c>
      <c r="AJ47" s="26">
        <f>股权价值增加表!AJ42</f>
        <v>112828617.44999982</v>
      </c>
      <c r="AK47" s="26">
        <f>股权价值增加表!AK42</f>
        <v>352676678.55000055</v>
      </c>
      <c r="AL47" s="26">
        <f>股权价值增加表!AL42</f>
        <v>234210063.29999977</v>
      </c>
      <c r="AM47" s="26">
        <f>股权价值增加表!AM42</f>
        <v>148629107.38999993</v>
      </c>
      <c r="AN47" s="26">
        <f>股权价值增加表!AN42</f>
        <v>78271799.980000019</v>
      </c>
      <c r="AO47" s="26">
        <f>股权价值增加表!AO42</f>
        <v>299407953.86999977</v>
      </c>
      <c r="AP47" s="26">
        <f>股权价值增加表!AP42</f>
        <v>196327741.64999995</v>
      </c>
      <c r="AQ47" s="26">
        <f>股权价值增加表!AQ42</f>
        <v>133483374.41999984</v>
      </c>
      <c r="AR47" s="26">
        <f>股权价值增加表!AR42</f>
        <v>68086983.529999927</v>
      </c>
      <c r="AS47" s="26">
        <f>股权价值增加表!AS42</f>
        <v>215311956.15999961</v>
      </c>
      <c r="AT47" s="26">
        <f>股权价值增加表!AT42</f>
        <v>121937857.07999986</v>
      </c>
      <c r="AU47" s="26">
        <f>股权价值增加表!AU42</f>
        <v>84830537.459999874</v>
      </c>
      <c r="AV47" s="26">
        <f>股权价值增加表!AV42</f>
        <v>48014940.009999998</v>
      </c>
      <c r="AW47" s="26">
        <f>股权价值增加表!AW42</f>
        <v>129687847.9600001</v>
      </c>
      <c r="AX47" s="26">
        <f>股权价值增加表!AX42</f>
        <v>74553012.240000024</v>
      </c>
      <c r="AY47" s="26">
        <f>股权价值增加表!AY42</f>
        <v>53942246.079999946</v>
      </c>
      <c r="AZ47" s="26">
        <f>股权价值增加表!AZ42</f>
        <v>29121432.510000039</v>
      </c>
      <c r="BA47" s="26">
        <f>股权价值增加表!BA42</f>
        <v>87440039.049999967</v>
      </c>
      <c r="BB47" s="26">
        <f>股权价值增加表!BB42</f>
        <v>43285920.699999921</v>
      </c>
      <c r="BC47" s="26">
        <f>股权价值增加表!BC42</f>
        <v>31400207.770000003</v>
      </c>
      <c r="BD47" s="26">
        <f>股权价值增加表!BD42</f>
        <v>13067375.810000014</v>
      </c>
      <c r="BE47" s="26">
        <f>股权价值增加表!BE42</f>
        <v>62937699.010000035</v>
      </c>
      <c r="BF47" s="26">
        <f>股权价值增加表!BF42</f>
        <v>40974539.209999949</v>
      </c>
      <c r="BG47" s="26">
        <f>股权价值增加表!BG42</f>
        <v>25069020.490000013</v>
      </c>
      <c r="BH47" s="26">
        <f>股权价值增加表!BH42</f>
        <v>10786212.439999986</v>
      </c>
      <c r="BI47" s="26">
        <f>股权价值增加表!BI42</f>
        <v>49658396.830000073</v>
      </c>
      <c r="BJ47" s="26">
        <f>股权价值增加表!BJ42</f>
        <v>29424642.880000066</v>
      </c>
      <c r="BK47" s="26">
        <f>股权价值增加表!BK42</f>
        <v>17128842.430000011</v>
      </c>
      <c r="BL47" s="26">
        <f>股权价值增加表!BL42</f>
        <v>33436080.210000034</v>
      </c>
      <c r="BM47" s="26">
        <f>股权价值增加表!BM42</f>
        <v>18701209.809999973</v>
      </c>
      <c r="BN47" s="26">
        <f>股权价值增加表!BN42</f>
        <v>0</v>
      </c>
      <c r="BO47" s="26">
        <f>股权价值增加表!BO42</f>
        <v>-31994201.770000003</v>
      </c>
      <c r="BP47" s="26">
        <f>股权价值增加表!BP42</f>
        <v>-13728975.969999999</v>
      </c>
      <c r="BQ47" s="26">
        <f>股权价值增加表!BQ42</f>
        <v>-29742046.629999995</v>
      </c>
      <c r="BR47" s="26">
        <f>股权价值增加表!BR42</f>
        <v>-8761872.6600000001</v>
      </c>
      <c r="BS47" s="26">
        <f>股权价值增加表!BS42</f>
        <v>-46317330.93</v>
      </c>
      <c r="BT47" s="26">
        <f>股权价值增加表!BT42</f>
        <v>-30346543.920000002</v>
      </c>
      <c r="BU47" s="26">
        <f>股权价值增加表!BU42</f>
        <v>-114756518.49000001</v>
      </c>
      <c r="BV47" s="26">
        <f>股权价值增加表!BV42</f>
        <v>-51180142.579999998</v>
      </c>
      <c r="BW47" s="26">
        <f>股权价值增加表!BW42</f>
        <v>-94705800.890000015</v>
      </c>
      <c r="BX47" s="26">
        <f>股权价值增加表!BX42</f>
        <v>-41114529.640000001</v>
      </c>
      <c r="BY47" s="26">
        <f>股权价值增加表!BY42</f>
        <v>-74344697.039999992</v>
      </c>
      <c r="BZ47" s="26">
        <f>股权价值增加表!BZ42</f>
        <v>-23306390</v>
      </c>
      <c r="CA47" s="26">
        <f>股权价值增加表!CA42</f>
        <v>-53527704.5</v>
      </c>
      <c r="CB47" s="26">
        <f>股权价值增加表!CB42</f>
        <v>-18178000</v>
      </c>
      <c r="CC47" s="26">
        <f>股权价值增加表!CC42</f>
        <v>-34265328.020000003</v>
      </c>
      <c r="CD47" s="26">
        <f>股权价值增加表!CD42</f>
        <v>0</v>
      </c>
      <c r="CE47" s="26">
        <f>股权价值增加表!CE42</f>
        <v>0</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8.5151146548061135E-2</v>
      </c>
      <c r="F48" s="63">
        <f>股权价值增加表!F43</f>
        <v>8.4852375242750577E-2</v>
      </c>
      <c r="G48" s="63">
        <f>股权价值增加表!G43</f>
        <v>8.5965610136550519E-2</v>
      </c>
      <c r="H48" s="63">
        <f>股权价值增加表!H43</f>
        <v>9.2747249345701777E-2</v>
      </c>
      <c r="I48" s="63">
        <f>股权价值增加表!I43</f>
        <v>9.5787049326880633E-2</v>
      </c>
      <c r="J48" s="63">
        <f>股权价值增加表!J43</f>
        <v>8.9988875787721148E-2</v>
      </c>
      <c r="K48" s="63">
        <f>股权价值增加表!K43</f>
        <v>9.0702437640885133E-2</v>
      </c>
      <c r="L48" s="63">
        <f>股权价值增加表!L43</f>
        <v>9.4848551259446356E-2</v>
      </c>
      <c r="M48" s="63">
        <f>股权价值增加表!M43</f>
        <v>9.1747230183839193E-2</v>
      </c>
      <c r="N48" s="63">
        <f>股权价值增加表!N43</f>
        <v>8.5394282260289167E-2</v>
      </c>
      <c r="O48" s="63">
        <f>股权价值增加表!O43</f>
        <v>8.122470088137923E-2</v>
      </c>
      <c r="P48" s="63">
        <f>股权价值增加表!P43</f>
        <v>8.2532476883213218E-2</v>
      </c>
      <c r="Q48" s="63">
        <f>股权价值增加表!Q43</f>
        <v>7.9985877360710583E-2</v>
      </c>
      <c r="R48" s="63">
        <f>股权价值增加表!R43</f>
        <v>7.8618528222951373E-2</v>
      </c>
      <c r="S48" s="63">
        <f>股权价值增加表!S43</f>
        <v>7.8571922235227229E-2</v>
      </c>
      <c r="T48" s="63">
        <f>股权价值增加表!T43</f>
        <v>7.8559087480580644E-2</v>
      </c>
      <c r="U48" s="63">
        <f>股权价值增加表!U43</f>
        <v>7.4107501602719672E-2</v>
      </c>
      <c r="V48" s="63">
        <f>股权价值增加表!V43</f>
        <v>7.4088902187474229E-2</v>
      </c>
      <c r="W48" s="63">
        <f>股权价值增加表!W43</f>
        <v>7.1647767563543713E-2</v>
      </c>
      <c r="X48" s="63">
        <f>股权价值增加表!X43</f>
        <v>7.4098704535312504E-2</v>
      </c>
      <c r="Y48" s="63">
        <f>股权价值增加表!Y43</f>
        <v>7.3473999792492528E-2</v>
      </c>
      <c r="Z48" s="63">
        <f>股权价值增加表!Z43</f>
        <v>7.151394830051587E-2</v>
      </c>
      <c r="AA48" s="63">
        <f>股权价值增加表!AA43</f>
        <v>7.1271895463446922E-2</v>
      </c>
      <c r="AB48" s="63">
        <f>股权价值增加表!AB43</f>
        <v>7.2430148528778854E-2</v>
      </c>
      <c r="AC48" s="63">
        <f>股权价值增加表!AC43</f>
        <v>6.8446579328865262E-2</v>
      </c>
      <c r="AD48" s="63">
        <f>股权价值增加表!AD43</f>
        <v>7.1923072758667092E-2</v>
      </c>
      <c r="AE48" s="63">
        <f>股权价值增加表!AE43</f>
        <v>7.0950212570885754E-2</v>
      </c>
      <c r="AF48" s="63">
        <f>股权价值增加表!AF43</f>
        <v>7.7580996943689015E-2</v>
      </c>
      <c r="AG48" s="63">
        <f>股权价值增加表!AG43</f>
        <v>7.4672816732349906E-2</v>
      </c>
      <c r="AH48" s="63">
        <f>股权价值增加表!AH43</f>
        <v>7.4265285966150049E-2</v>
      </c>
      <c r="AI48" s="63">
        <f>股权价值增加表!AI43</f>
        <v>7.2153285613729995E-2</v>
      </c>
      <c r="AJ48" s="63">
        <f>股权价值增加表!AJ43</f>
        <v>8.0030277522910559E-2</v>
      </c>
      <c r="AK48" s="63">
        <f>股权价值增加表!AK43</f>
        <v>8.5690686225813328E-2</v>
      </c>
      <c r="AL48" s="63">
        <f>股权价值增加表!AL43</f>
        <v>8.1610495636418007E-2</v>
      </c>
      <c r="AM48" s="63">
        <f>股权价值增加表!AM43</f>
        <v>8.3049560158065486E-2</v>
      </c>
      <c r="AN48" s="63">
        <f>股权价值增加表!AN43</f>
        <v>8.0297728264875162E-2</v>
      </c>
      <c r="AO48" s="63">
        <f>股权价值增加表!AO43</f>
        <v>8.2652922257413525E-2</v>
      </c>
      <c r="AP48" s="63">
        <f>股权价值增加表!AP43</f>
        <v>7.1717618036759759E-2</v>
      </c>
      <c r="AQ48" s="63">
        <f>股权价值增加表!AQ43</f>
        <v>7.5410469867609548E-2</v>
      </c>
      <c r="AR48" s="63">
        <f>股权价值增加表!AR43</f>
        <v>7.1755856225198825E-2</v>
      </c>
      <c r="AS48" s="63">
        <f>股权价值增加表!AS43</f>
        <v>7.3392557768527433E-2</v>
      </c>
      <c r="AT48" s="63">
        <f>股权价值增加表!AT43</f>
        <v>5.9861894796740756E-2</v>
      </c>
      <c r="AU48" s="63">
        <f>股权价值增加表!AU43</f>
        <v>6.3161801599538603E-2</v>
      </c>
      <c r="AV48" s="63">
        <f>股权价值增加表!AV43</f>
        <v>6.953508321462526E-2</v>
      </c>
      <c r="AW48" s="63">
        <f>股权价值增加表!AW43</f>
        <v>6.2381902397141399E-2</v>
      </c>
      <c r="AX48" s="63">
        <f>股权价值增加表!AX43</f>
        <v>5.3430396354444437E-2</v>
      </c>
      <c r="AY48" s="63">
        <f>股权价值增加表!AY43</f>
        <v>5.6744043490063456E-2</v>
      </c>
      <c r="AZ48" s="63">
        <f>股权价值增加表!AZ43</f>
        <v>5.8523629941177227E-2</v>
      </c>
      <c r="BA48" s="63">
        <f>股权价值增加表!BA43</f>
        <v>5.9496892706612403E-2</v>
      </c>
      <c r="BB48" s="63">
        <f>股权价值增加表!BB43</f>
        <v>4.8475192301075824E-2</v>
      </c>
      <c r="BC48" s="63">
        <f>股权价值增加表!BC43</f>
        <v>5.4959459305301044E-2</v>
      </c>
      <c r="BD48" s="63">
        <f>股权价值增加表!BD43</f>
        <v>4.2503640914047167E-2</v>
      </c>
      <c r="BE48" s="63">
        <f>股权价值增加表!BE43</f>
        <v>6.2618319206584214E-2</v>
      </c>
      <c r="BF48" s="63">
        <f>股权价值增加表!BF43</f>
        <v>5.9317969140669211E-2</v>
      </c>
      <c r="BG48" s="63">
        <f>股权价值增加表!BG43</f>
        <v>5.9510301949705503E-2</v>
      </c>
      <c r="BH48" s="63">
        <f>股权价值增加表!BH43</f>
        <v>5.0090781630492048E-2</v>
      </c>
      <c r="BI48" s="63">
        <f>股权价值增加表!BI43</f>
        <v>5.9362916391563277E-2</v>
      </c>
      <c r="BJ48" s="63">
        <f>股权价值增加表!BJ43</f>
        <v>5.2075202255006933E-2</v>
      </c>
      <c r="BK48" s="63">
        <f>股权价值增加表!BK43</f>
        <v>4.7687693042670537E-2</v>
      </c>
      <c r="BL48" s="63">
        <f>股权价值增加表!BL43</f>
        <v>5.4354868742729198E-2</v>
      </c>
      <c r="BM48" s="63">
        <f>股权价值增加表!BM43</f>
        <v>3.9836282308412387E-2</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5.5653924608747907E-2</v>
      </c>
      <c r="F49" s="59">
        <f t="shared" ref="F49:BQ49" si="38">(F47-J47)/J47</f>
        <v>0.12069263028602727</v>
      </c>
      <c r="G49" s="59">
        <f t="shared" si="38"/>
        <v>0.13851148504175143</v>
      </c>
      <c r="H49" s="59">
        <f t="shared" si="38"/>
        <v>0.2317029127352222</v>
      </c>
      <c r="I49" s="59">
        <f t="shared" si="38"/>
        <v>0.14331236287555602</v>
      </c>
      <c r="J49" s="59">
        <f t="shared" si="38"/>
        <v>0.12419302673574542</v>
      </c>
      <c r="K49" s="59">
        <f t="shared" si="38"/>
        <v>0.19397650913321399</v>
      </c>
      <c r="L49" s="59">
        <f t="shared" si="38"/>
        <v>0.19755004796314793</v>
      </c>
      <c r="M49" s="59">
        <f t="shared" si="38"/>
        <v>0.31246413706573528</v>
      </c>
      <c r="N49" s="59">
        <f t="shared" si="38"/>
        <v>0.25493679010767734</v>
      </c>
      <c r="O49" s="59">
        <f t="shared" si="38"/>
        <v>0.19778540517552412</v>
      </c>
      <c r="P49" s="59">
        <f t="shared" si="38"/>
        <v>0.21624377390044036</v>
      </c>
      <c r="Q49" s="59">
        <f t="shared" si="38"/>
        <v>0.22756139573960976</v>
      </c>
      <c r="R49" s="59">
        <f t="shared" si="38"/>
        <v>0.20515460904537214</v>
      </c>
      <c r="S49" s="59">
        <f t="shared" si="38"/>
        <v>0.23066344442806674</v>
      </c>
      <c r="T49" s="59">
        <f t="shared" si="38"/>
        <v>0.21240593985967074</v>
      </c>
      <c r="U49" s="59">
        <f t="shared" si="38"/>
        <v>0.22731396665740614</v>
      </c>
      <c r="V49" s="59">
        <f t="shared" si="38"/>
        <v>0.28306874252047537</v>
      </c>
      <c r="W49" s="59">
        <f t="shared" si="38"/>
        <v>0.24598906783892496</v>
      </c>
      <c r="X49" s="59">
        <f t="shared" si="38"/>
        <v>0.20913086252942245</v>
      </c>
      <c r="Y49" s="59">
        <f t="shared" si="38"/>
        <v>3.78688437586093E-2</v>
      </c>
      <c r="Z49" s="59">
        <f t="shared" si="38"/>
        <v>-4.8040401780996382E-2</v>
      </c>
      <c r="AA49" s="59">
        <f t="shared" si="38"/>
        <v>-3.6031792883994537E-2</v>
      </c>
      <c r="AB49" s="59">
        <f t="shared" si="38"/>
        <v>-6.3973003938485165E-2</v>
      </c>
      <c r="AC49" s="59">
        <f t="shared" si="38"/>
        <v>0.16176439743024909</v>
      </c>
      <c r="AD49" s="59">
        <f t="shared" si="38"/>
        <v>0.2472090484947852</v>
      </c>
      <c r="AE49" s="59">
        <f t="shared" si="38"/>
        <v>0.29691257450652214</v>
      </c>
      <c r="AF49" s="59">
        <f t="shared" si="38"/>
        <v>0.31786288062860779</v>
      </c>
      <c r="AG49" s="59">
        <f t="shared" si="38"/>
        <v>0.19036901483260593</v>
      </c>
      <c r="AH49" s="59">
        <f t="shared" si="38"/>
        <v>0.31011364070623421</v>
      </c>
      <c r="AI49" s="59">
        <f t="shared" si="38"/>
        <v>0.28034274464601555</v>
      </c>
      <c r="AJ49" s="59">
        <f t="shared" si="38"/>
        <v>0.44149767194353201</v>
      </c>
      <c r="AK49" s="59">
        <f t="shared" si="38"/>
        <v>0.17791352564778418</v>
      </c>
      <c r="AL49" s="59">
        <f t="shared" si="38"/>
        <v>0.19295450215860943</v>
      </c>
      <c r="AM49" s="59">
        <f t="shared" si="38"/>
        <v>0.11346531383260267</v>
      </c>
      <c r="AN49" s="59">
        <f t="shared" si="38"/>
        <v>0.1495853674515121</v>
      </c>
      <c r="AO49" s="59">
        <f t="shared" si="38"/>
        <v>0.3905774635548242</v>
      </c>
      <c r="AP49" s="59">
        <f t="shared" si="38"/>
        <v>0.61006389936141858</v>
      </c>
      <c r="AQ49" s="59">
        <f t="shared" si="38"/>
        <v>0.57352975021455244</v>
      </c>
      <c r="AR49" s="59">
        <f t="shared" si="38"/>
        <v>0.41803745908709988</v>
      </c>
      <c r="AS49" s="59">
        <f t="shared" si="38"/>
        <v>0.66023231587903852</v>
      </c>
      <c r="AT49" s="59">
        <f t="shared" si="38"/>
        <v>0.63558591955291088</v>
      </c>
      <c r="AU49" s="59">
        <f t="shared" si="38"/>
        <v>0.57261782044059739</v>
      </c>
      <c r="AV49" s="59">
        <f t="shared" si="38"/>
        <v>0.64878358897736566</v>
      </c>
      <c r="AW49" s="59">
        <f t="shared" si="38"/>
        <v>0.48316319810701353</v>
      </c>
      <c r="AX49" s="59">
        <f t="shared" si="38"/>
        <v>0.72233860420116147</v>
      </c>
      <c r="AY49" s="59">
        <f t="shared" si="38"/>
        <v>0.71789455901424881</v>
      </c>
      <c r="AZ49" s="59">
        <f t="shared" si="38"/>
        <v>1.228560112866304</v>
      </c>
      <c r="BA49" s="59">
        <f t="shared" si="38"/>
        <v>0.38931102384449751</v>
      </c>
      <c r="BB49" s="59">
        <f t="shared" si="38"/>
        <v>5.6410188730954006E-2</v>
      </c>
      <c r="BC49" s="59">
        <f t="shared" si="38"/>
        <v>0.2525502455321495</v>
      </c>
      <c r="BD49" s="59">
        <f t="shared" si="38"/>
        <v>0.21148882266962193</v>
      </c>
      <c r="BE49" s="59">
        <f t="shared" si="38"/>
        <v>0.26741302635000797</v>
      </c>
      <c r="BF49" s="59">
        <f t="shared" si="38"/>
        <v>0.39252460521280785</v>
      </c>
      <c r="BG49" s="59">
        <f t="shared" si="38"/>
        <v>0.46355602209833613</v>
      </c>
      <c r="BH49" s="59">
        <f t="shared" si="38"/>
        <v>-0.67740798645488187</v>
      </c>
      <c r="BI49" s="59">
        <f t="shared" si="38"/>
        <v>1.655357451978672</v>
      </c>
      <c r="BJ49" s="59" t="e">
        <f t="shared" si="38"/>
        <v>#DIV/0!</v>
      </c>
      <c r="BK49" s="59">
        <f t="shared" si="38"/>
        <v>-1.5353733327412222</v>
      </c>
      <c r="BL49" s="59">
        <f t="shared" si="38"/>
        <v>-3.4354387598217961</v>
      </c>
      <c r="BM49" s="59">
        <f t="shared" si="38"/>
        <v>-1.6287801926561627</v>
      </c>
      <c r="BN49" s="59">
        <f t="shared" si="38"/>
        <v>-1</v>
      </c>
      <c r="BO49" s="59">
        <f t="shared" si="38"/>
        <v>-0.30923908766778319</v>
      </c>
      <c r="BP49" s="59">
        <f t="shared" si="38"/>
        <v>-0.5475934259205093</v>
      </c>
      <c r="BQ49" s="59">
        <f t="shared" si="38"/>
        <v>-0.74082477386596779</v>
      </c>
      <c r="BR49" s="59">
        <f t="shared" ref="BR49:CJ49" si="39">(BR47-BV47)/BV47</f>
        <v>-0.82880327763244777</v>
      </c>
      <c r="BS49" s="59">
        <f t="shared" si="39"/>
        <v>-0.51093459434657873</v>
      </c>
      <c r="BT49" s="59">
        <f t="shared" si="39"/>
        <v>-0.26190219891325012</v>
      </c>
      <c r="BU49" s="59">
        <f t="shared" si="39"/>
        <v>0.54357369199119976</v>
      </c>
      <c r="BV49" s="59">
        <f t="shared" si="39"/>
        <v>1.1959704003923386</v>
      </c>
      <c r="BW49" s="59">
        <f t="shared" si="39"/>
        <v>0.76928567691521343</v>
      </c>
      <c r="BX49" s="59">
        <f t="shared" si="39"/>
        <v>1.2617741027615799</v>
      </c>
      <c r="BY49" s="59">
        <f t="shared" si="39"/>
        <v>1.1696770857295293</v>
      </c>
      <c r="BZ49" s="59" t="e">
        <f t="shared" si="39"/>
        <v>#DIV/0!</v>
      </c>
      <c r="CA49" s="59" t="e">
        <f t="shared" si="39"/>
        <v>#DIV/0!</v>
      </c>
      <c r="CB49" s="59" t="e">
        <f t="shared" si="39"/>
        <v>#DIV/0!</v>
      </c>
      <c r="CC49" s="59">
        <f t="shared" si="39"/>
        <v>6.9134706743648966</v>
      </c>
      <c r="CD49" s="59">
        <f t="shared" si="39"/>
        <v>-1</v>
      </c>
      <c r="CE49" s="59">
        <f t="shared" si="39"/>
        <v>-1</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792189716.84959924</v>
      </c>
      <c r="F50" s="26">
        <f>股权价值增加表!F47</f>
        <v>493783689.9732005</v>
      </c>
      <c r="G50" s="26">
        <f>股权价值增加表!G47</f>
        <v>219654922.15319991</v>
      </c>
      <c r="H50" s="26">
        <f>股权价值增加表!H47</f>
        <v>-28164188.002399683</v>
      </c>
      <c r="I50" s="26">
        <f>股权价值增加表!I47</f>
        <v>779720506.35040152</v>
      </c>
      <c r="J50" s="26">
        <f>股权价值增加表!J47</f>
        <v>457296684.80000025</v>
      </c>
      <c r="K50" s="26">
        <f>股权价值增加表!K47</f>
        <v>206252422.73399949</v>
      </c>
      <c r="L50" s="26">
        <f>股权价值增加表!L47</f>
        <v>-126280252.6928001</v>
      </c>
      <c r="M50" s="26">
        <f>股权价值增加表!M47</f>
        <v>600155085.13359916</v>
      </c>
      <c r="N50" s="26">
        <f>股权价值增加表!N47</f>
        <v>329099696.67999959</v>
      </c>
      <c r="O50" s="26">
        <f>股权价值增加表!O47</f>
        <v>80958871.143600225</v>
      </c>
      <c r="P50" s="26">
        <f>股权价值增加表!P47</f>
        <v>-114478843.00240016</v>
      </c>
      <c r="Q50" s="26">
        <f>股权价值增加表!Q47</f>
        <v>420331556.11879992</v>
      </c>
      <c r="R50" s="26">
        <f>股权价值增加表!R47</f>
        <v>237286306.24320006</v>
      </c>
      <c r="S50" s="26">
        <f>股权价值增加表!S47</f>
        <v>55107222.207200468</v>
      </c>
      <c r="T50" s="26">
        <f>股权价值增加表!T47</f>
        <v>-111243914.88879994</v>
      </c>
      <c r="U50" s="26">
        <f>股权价值增加表!U47</f>
        <v>322628814.37919962</v>
      </c>
      <c r="V50" s="26">
        <f>股权价值增加表!V47</f>
        <v>174421712.91840112</v>
      </c>
      <c r="W50" s="26">
        <f>股权价值增加表!W47</f>
        <v>17210008.865200043</v>
      </c>
      <c r="X50" s="26">
        <f>股权价值增加表!X47</f>
        <v>-117092071.1540001</v>
      </c>
      <c r="Y50" s="26">
        <f>股权价值增加表!Y47</f>
        <v>234629790.73960048</v>
      </c>
      <c r="Z50" s="26">
        <f>股权价值增加表!Z47</f>
        <v>104723508.35000005</v>
      </c>
      <c r="AA50" s="26">
        <f>股权价值增加表!AA47</f>
        <v>-13993852.886400342</v>
      </c>
      <c r="AB50" s="26">
        <f>股权价值增加表!AB47</f>
        <v>-118604765.78119993</v>
      </c>
      <c r="AC50" s="26">
        <f>股权价值增加表!AC47</f>
        <v>240185805.19920051</v>
      </c>
      <c r="AD50" s="26">
        <f>股权价值增加表!AD47</f>
        <v>146072113.82319993</v>
      </c>
      <c r="AE50" s="26">
        <f>股权价值增加表!AE47</f>
        <v>21045646.469599962</v>
      </c>
      <c r="AF50" s="26">
        <f>股权价值增加表!AF47</f>
        <v>-82046589.271600038</v>
      </c>
      <c r="AG50" s="26">
        <f>股权价值增加表!AG47</f>
        <v>200881211.66319978</v>
      </c>
      <c r="AH50" s="26">
        <f>股权价值增加表!AH47</f>
        <v>97759921.664800256</v>
      </c>
      <c r="AI50" s="26">
        <f>股权价值增加表!AI47</f>
        <v>-8785144.2796000838</v>
      </c>
      <c r="AJ50" s="26">
        <f>股权价值增加表!AJ47</f>
        <v>-87159959.576400176</v>
      </c>
      <c r="AK50" s="26">
        <f>股权价值增加表!AK47</f>
        <v>161714390.92040056</v>
      </c>
      <c r="AL50" s="26">
        <f>股权价值增加表!AL47</f>
        <v>49529054.307199776</v>
      </c>
      <c r="AM50" s="26">
        <f>股权价值增加表!AM47</f>
        <v>-29186886.662800074</v>
      </c>
      <c r="AN50" s="26">
        <f>股权价值增加表!AN47</f>
        <v>-101019675.64319998</v>
      </c>
      <c r="AO50" s="26">
        <f>股权价值增加表!AO47</f>
        <v>126397960.52439976</v>
      </c>
      <c r="AP50" s="26">
        <f>股权价值增加表!AP47</f>
        <v>31544707.24119994</v>
      </c>
      <c r="AQ50" s="26">
        <f>股权价值增加表!AQ47</f>
        <v>-25731661.798400164</v>
      </c>
      <c r="AR50" s="26">
        <f>股权价值增加表!AR47</f>
        <v>-82064717.251600072</v>
      </c>
      <c r="AS50" s="26">
        <f>股权价值增加表!AS47</f>
        <v>70716309.991199613</v>
      </c>
      <c r="AT50" s="26">
        <f>股权价值增加表!AT47</f>
        <v>-13601717.125600129</v>
      </c>
      <c r="AU50" s="26">
        <f>股权价值增加表!AU47</f>
        <v>8886733.0031998754</v>
      </c>
      <c r="AV50" s="26">
        <f>股权价值增加表!AV47</f>
        <v>-27467424.399600007</v>
      </c>
      <c r="AW50" s="26">
        <f>股权价值增加表!AW47</f>
        <v>57234776.112000093</v>
      </c>
      <c r="AX50" s="26">
        <f>股权价值增加表!AX47</f>
        <v>6587313.4800000191</v>
      </c>
      <c r="AY50" s="26">
        <f>股权价值增加表!AY47</f>
        <v>-12331745.180000052</v>
      </c>
      <c r="AZ50" s="26">
        <f>股权价值增加表!AZ47</f>
        <v>-37916117.453199953</v>
      </c>
      <c r="BA50" s="26">
        <f>股权价值增加表!BA47</f>
        <v>22807789.821199961</v>
      </c>
      <c r="BB50" s="26">
        <f>股权价值增加表!BB47</f>
        <v>-18708503.289600082</v>
      </c>
      <c r="BC50" s="26">
        <f>股权价值增加表!BC47</f>
        <v>-28747055.674799994</v>
      </c>
      <c r="BD50" s="26">
        <f>股权价值增加表!BD47</f>
        <v>-47600302.021999985</v>
      </c>
      <c r="BE50" s="26">
        <f>股权价值增加表!BE47</f>
        <v>3829462.2748000324</v>
      </c>
      <c r="BF50" s="26">
        <f>股权价值增加表!BF47</f>
        <v>-12061041.655600056</v>
      </c>
      <c r="BG50" s="26">
        <f>股权价值增加表!BG47</f>
        <v>5647931.4180000126</v>
      </c>
      <c r="BH50" s="26">
        <f>股权价值增加表!BH47</f>
        <v>-6335573.9096000157</v>
      </c>
      <c r="BI50" s="26">
        <f>股权价值增加表!BI47</f>
        <v>38833645.829200074</v>
      </c>
      <c r="BJ50" s="26">
        <f>股权价值增加表!BJ47</f>
        <v>21713366.314400066</v>
      </c>
      <c r="BK50" s="26">
        <f>股权价值增加表!BK47</f>
        <v>17128842.430000011</v>
      </c>
      <c r="BL50" s="26">
        <f>股权价值增加表!BL47</f>
        <v>33436080.210000034</v>
      </c>
      <c r="BM50" s="26">
        <f>股权价值增加表!BM47</f>
        <v>18701209.809999973</v>
      </c>
      <c r="BN50" s="26">
        <f>股权价值增加表!BN47</f>
        <v>0</v>
      </c>
      <c r="BO50" s="26">
        <f>股权价值增加表!BO47</f>
        <v>-200192295.94440001</v>
      </c>
      <c r="BP50" s="26">
        <f>股权价值增加表!BP47</f>
        <v>-182024233.5756</v>
      </c>
      <c r="BQ50" s="26">
        <f>股权价值增加表!BQ47</f>
        <v>-187176644.706</v>
      </c>
      <c r="BR50" s="26">
        <f>股权价值增加表!BR47</f>
        <v>-182958553.6848</v>
      </c>
      <c r="BS50" s="26">
        <f>股权价值增加表!BS47</f>
        <v>-212270530.25800002</v>
      </c>
      <c r="BT50" s="26">
        <f>股权价值增加表!BT47</f>
        <v>-201397911.17360002</v>
      </c>
      <c r="BU50" s="26">
        <f>股权价值增加表!BU47</f>
        <v>-276485512.5772</v>
      </c>
      <c r="BV50" s="26">
        <f>股权价值增加表!BV47</f>
        <v>-216046652.97360003</v>
      </c>
      <c r="BW50" s="26">
        <f>股权价值增加表!BW47</f>
        <v>-247004973.39320001</v>
      </c>
      <c r="BX50" s="26">
        <f>股权价值增加表!BX47</f>
        <v>-194992654.19599998</v>
      </c>
      <c r="BY50" s="26">
        <f>股权价值增加表!BY47</f>
        <v>-215009011.2184</v>
      </c>
      <c r="BZ50" s="26">
        <f>股权价值增加表!BZ47</f>
        <v>-162638106</v>
      </c>
      <c r="CA50" s="26">
        <f>股权价值增加表!CA47</f>
        <v>-126010532.88960001</v>
      </c>
      <c r="CB50" s="26">
        <f>股权价值增加表!CB47</f>
        <v>-69278240</v>
      </c>
      <c r="CC50" s="26">
        <f>股权价值增加表!CC47</f>
        <v>-34265328.020000003</v>
      </c>
      <c r="CD50" s="26">
        <f>股权价值增加表!CD47</f>
        <v>0</v>
      </c>
      <c r="CE50" s="26">
        <f>股权价值增加表!CE47</f>
        <v>0</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684</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1">
        <f>E39</f>
        <v>1473466023.6399994</v>
      </c>
      <c r="F54" s="191">
        <f t="shared" ref="F54:AC54" si="41">F39</f>
        <v>1086981087.9900005</v>
      </c>
      <c r="G54" s="191">
        <f t="shared" si="41"/>
        <v>724315079.88</v>
      </c>
      <c r="H54" s="191">
        <f t="shared" si="41"/>
        <v>463698482.99000031</v>
      </c>
      <c r="I54" s="191">
        <f t="shared" si="41"/>
        <v>1366586280.4000015</v>
      </c>
      <c r="J54" s="191">
        <f t="shared" si="41"/>
        <v>1001078344.5200003</v>
      </c>
      <c r="K54" s="191">
        <f t="shared" si="41"/>
        <v>657937659.04999948</v>
      </c>
      <c r="L54" s="191">
        <f t="shared" si="41"/>
        <v>377276526.5399999</v>
      </c>
      <c r="M54" s="191">
        <f t="shared" si="41"/>
        <v>1176082190.0199993</v>
      </c>
      <c r="N54" s="191">
        <f t="shared" si="41"/>
        <v>867809526.90999961</v>
      </c>
      <c r="O54" s="191">
        <f t="shared" si="41"/>
        <v>533955901.69000024</v>
      </c>
      <c r="P54" s="191">
        <f t="shared" si="41"/>
        <v>307842132.46999985</v>
      </c>
      <c r="Q54" s="191">
        <f t="shared" si="41"/>
        <v>904587689.10000002</v>
      </c>
      <c r="R54" s="191">
        <f t="shared" si="41"/>
        <v>667436142.68000007</v>
      </c>
      <c r="S54" s="191">
        <f t="shared" si="41"/>
        <v>430637161.59000045</v>
      </c>
      <c r="T54" s="191">
        <f t="shared" si="41"/>
        <v>243104656.52000013</v>
      </c>
      <c r="U54" s="191">
        <f t="shared" si="41"/>
        <v>717189631.21999967</v>
      </c>
      <c r="V54" s="191">
        <f t="shared" si="41"/>
        <v>562201088.19000113</v>
      </c>
      <c r="W54" s="191">
        <f t="shared" si="41"/>
        <v>359583999.86000001</v>
      </c>
      <c r="X54" s="191">
        <f t="shared" si="41"/>
        <v>208589523.33999994</v>
      </c>
      <c r="Y54" s="191">
        <f t="shared" si="41"/>
        <v>580618992.03000045</v>
      </c>
      <c r="Z54" s="191">
        <f t="shared" si="41"/>
        <v>433881716.62000006</v>
      </c>
      <c r="AA54" s="191">
        <f t="shared" si="41"/>
        <v>281604651.04999965</v>
      </c>
      <c r="AB54" s="191">
        <f t="shared" si="41"/>
        <v>172966155.67000005</v>
      </c>
      <c r="AC54" s="191">
        <f t="shared" si="41"/>
        <v>614413070.95000052</v>
      </c>
    </row>
    <row r="55" spans="1:88" s="63" customFormat="1" x14ac:dyDescent="0.25">
      <c r="A55" s="63" t="s">
        <v>673</v>
      </c>
      <c r="E55" s="63">
        <f>E54/E2</f>
        <v>0.10385775292734321</v>
      </c>
      <c r="F55" s="63">
        <f t="shared" ref="F55:AC55" si="42">F54/F2</f>
        <v>0.1035551629433904</v>
      </c>
      <c r="G55" s="63">
        <f t="shared" si="42"/>
        <v>0.10482937661400557</v>
      </c>
      <c r="H55" s="63">
        <f t="shared" si="42"/>
        <v>0.11749441246623656</v>
      </c>
      <c r="I55" s="63">
        <f t="shared" si="42"/>
        <v>0.11438622146893813</v>
      </c>
      <c r="J55" s="63">
        <f t="shared" si="42"/>
        <v>0.11335199640951948</v>
      </c>
      <c r="K55" s="63">
        <f t="shared" si="42"/>
        <v>0.11438572954902669</v>
      </c>
      <c r="L55" s="63">
        <f t="shared" si="42"/>
        <v>0.12041399232658764</v>
      </c>
      <c r="M55" s="63">
        <f t="shared" si="42"/>
        <v>0.1078016473202756</v>
      </c>
      <c r="N55" s="63">
        <f t="shared" si="42"/>
        <v>0.10482536269758112</v>
      </c>
      <c r="O55" s="63">
        <f t="shared" si="42"/>
        <v>9.9256152460180908E-2</v>
      </c>
      <c r="P55" s="63">
        <f t="shared" si="42"/>
        <v>0.10238423250939986</v>
      </c>
      <c r="Q55" s="63">
        <f t="shared" si="42"/>
        <v>9.4873777588168354E-2</v>
      </c>
      <c r="R55" s="63">
        <f t="shared" si="42"/>
        <v>9.3147166629701628E-2</v>
      </c>
      <c r="S55" s="63">
        <f t="shared" si="42"/>
        <v>9.2751688398855628E-2</v>
      </c>
      <c r="T55" s="63">
        <f t="shared" si="42"/>
        <v>9.3603153235609846E-2</v>
      </c>
      <c r="U55" s="63">
        <f t="shared" si="42"/>
        <v>8.5550313203546488E-2</v>
      </c>
      <c r="V55" s="63">
        <f t="shared" si="42"/>
        <v>8.9109216794368062E-2</v>
      </c>
      <c r="W55" s="63">
        <f t="shared" si="42"/>
        <v>8.6913104714074901E-2</v>
      </c>
      <c r="X55" s="63">
        <f t="shared" si="42"/>
        <v>9.1844241914752836E-2</v>
      </c>
      <c r="Y55" s="63">
        <f t="shared" si="42"/>
        <v>8.4276409808070163E-2</v>
      </c>
      <c r="Z55" s="63">
        <f t="shared" si="42"/>
        <v>8.5170621424200801E-2</v>
      </c>
      <c r="AA55" s="63">
        <f t="shared" si="42"/>
        <v>8.4363503357459971E-2</v>
      </c>
      <c r="AB55" s="63">
        <f t="shared" si="42"/>
        <v>9.0012462306354041E-2</v>
      </c>
      <c r="AC55" s="63">
        <f t="shared" si="42"/>
        <v>8.6225510845954756E-2</v>
      </c>
    </row>
    <row r="56" spans="1:88" x14ac:dyDescent="0.25">
      <c r="A56" s="17" t="s">
        <v>674</v>
      </c>
      <c r="E56" s="191">
        <f>E23</f>
        <v>1161932616.7801411</v>
      </c>
      <c r="F56" s="191">
        <f t="shared" ref="F56:AC56" si="43">F23</f>
        <v>855254866.24176621</v>
      </c>
      <c r="G56" s="191">
        <f t="shared" si="43"/>
        <v>573440233.07545972</v>
      </c>
      <c r="H56" s="191">
        <f t="shared" si="43"/>
        <v>353987606.52188241</v>
      </c>
      <c r="I56" s="191">
        <f t="shared" si="43"/>
        <v>1062734068.8356625</v>
      </c>
      <c r="J56" s="191">
        <f t="shared" si="43"/>
        <v>744116325.27319133</v>
      </c>
      <c r="K56" s="191">
        <f t="shared" si="43"/>
        <v>477133090.19337124</v>
      </c>
      <c r="L56" s="191">
        <f t="shared" si="43"/>
        <v>279040076.44460034</v>
      </c>
      <c r="M56" s="191">
        <f t="shared" si="43"/>
        <v>937639565.90755606</v>
      </c>
      <c r="N56" s="191">
        <f t="shared" si="43"/>
        <v>664665857.21834385</v>
      </c>
      <c r="O56" s="191">
        <f t="shared" si="43"/>
        <v>413268151.32706547</v>
      </c>
      <c r="P56" s="191">
        <f t="shared" si="43"/>
        <v>238679438.13549852</v>
      </c>
      <c r="Q56" s="191">
        <f t="shared" si="43"/>
        <v>722470144.48341775</v>
      </c>
      <c r="R56" s="191">
        <f t="shared" si="43"/>
        <v>535961897.4493863</v>
      </c>
      <c r="S56" s="191">
        <f t="shared" si="43"/>
        <v>344332399.80662036</v>
      </c>
      <c r="T56" s="191">
        <f t="shared" si="43"/>
        <v>198392328.28936571</v>
      </c>
      <c r="U56" s="191">
        <f t="shared" si="43"/>
        <v>620285743.92216349</v>
      </c>
      <c r="V56" s="191">
        <f t="shared" si="43"/>
        <v>463647712.68482774</v>
      </c>
      <c r="W56" s="191">
        <f t="shared" si="43"/>
        <v>298205288.30303383</v>
      </c>
      <c r="X56" s="191">
        <f t="shared" si="43"/>
        <v>170890499.2280935</v>
      </c>
      <c r="Y56" s="191">
        <f t="shared" si="43"/>
        <v>508203284.2477634</v>
      </c>
      <c r="Z56" s="191">
        <f t="shared" si="43"/>
        <v>356694472.58314705</v>
      </c>
      <c r="AA56" s="191">
        <f t="shared" si="43"/>
        <v>235559866.98412877</v>
      </c>
      <c r="AB56" s="191">
        <f t="shared" si="43"/>
        <v>138973351.33733532</v>
      </c>
      <c r="AC56" s="191">
        <f t="shared" si="43"/>
        <v>522802633.00968504</v>
      </c>
    </row>
    <row r="57" spans="1:88" s="63" customFormat="1" x14ac:dyDescent="0.25">
      <c r="A57" s="63" t="s">
        <v>675</v>
      </c>
      <c r="E57" s="63">
        <f>E56/E2</f>
        <v>8.18992149772549E-2</v>
      </c>
      <c r="F57" s="63">
        <f t="shared" ref="F57:AC57" si="44">F56/F2</f>
        <v>8.1478930967940094E-2</v>
      </c>
      <c r="G57" s="63">
        <f t="shared" si="44"/>
        <v>8.2993415198051257E-2</v>
      </c>
      <c r="H57" s="63">
        <f t="shared" si="44"/>
        <v>8.9695281253518416E-2</v>
      </c>
      <c r="I57" s="63">
        <f t="shared" si="44"/>
        <v>8.8953135490896659E-2</v>
      </c>
      <c r="J57" s="63">
        <f t="shared" si="44"/>
        <v>8.4256213804199884E-2</v>
      </c>
      <c r="K57" s="63">
        <f t="shared" si="44"/>
        <v>8.2951957321541259E-2</v>
      </c>
      <c r="L57" s="63">
        <f t="shared" si="44"/>
        <v>8.9060217798225871E-2</v>
      </c>
      <c r="M57" s="63">
        <f t="shared" si="44"/>
        <v>8.5945600277973613E-2</v>
      </c>
      <c r="N57" s="63">
        <f t="shared" si="44"/>
        <v>8.0287018516261827E-2</v>
      </c>
      <c r="O57" s="63">
        <f t="shared" si="44"/>
        <v>7.682171225231825E-2</v>
      </c>
      <c r="P57" s="63">
        <f t="shared" si="44"/>
        <v>7.9381632699868532E-2</v>
      </c>
      <c r="Q57" s="63">
        <f t="shared" si="44"/>
        <v>7.5773164534228263E-2</v>
      </c>
      <c r="R57" s="63">
        <f t="shared" si="44"/>
        <v>7.4798664585991131E-2</v>
      </c>
      <c r="S57" s="63">
        <f t="shared" si="44"/>
        <v>7.4163157063766569E-2</v>
      </c>
      <c r="T57" s="63">
        <f t="shared" si="44"/>
        <v>7.6387461151371044E-2</v>
      </c>
      <c r="U57" s="63">
        <f t="shared" si="44"/>
        <v>7.3991085980937593E-2</v>
      </c>
      <c r="V57" s="63">
        <f t="shared" si="44"/>
        <v>7.3488446418450024E-2</v>
      </c>
      <c r="W57" s="63">
        <f t="shared" si="44"/>
        <v>7.2077588153709113E-2</v>
      </c>
      <c r="X57" s="63">
        <f t="shared" si="44"/>
        <v>7.5244950468843178E-2</v>
      </c>
      <c r="Y57" s="63">
        <f t="shared" si="44"/>
        <v>7.3765324312468725E-2</v>
      </c>
      <c r="Z57" s="63">
        <f t="shared" si="44"/>
        <v>7.0018829383150391E-2</v>
      </c>
      <c r="AA57" s="63">
        <f t="shared" si="44"/>
        <v>7.0569344487388913E-2</v>
      </c>
      <c r="AB57" s="63">
        <f t="shared" si="44"/>
        <v>7.2322434989570986E-2</v>
      </c>
      <c r="AC57" s="63">
        <f t="shared" si="44"/>
        <v>7.3369083820384276E-2</v>
      </c>
    </row>
    <row r="58" spans="1:88" ht="93" customHeight="1" x14ac:dyDescent="0.25">
      <c r="A58" s="275" t="s">
        <v>676</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3" customFormat="1" x14ac:dyDescent="0.25">
      <c r="A60" s="225" t="s">
        <v>678</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8" t="s">
        <v>679</v>
      </c>
      <c r="B61" s="88"/>
      <c r="C61" s="88"/>
      <c r="D61" s="88"/>
      <c r="E61" s="88">
        <f>股权价值增加表!E38</f>
        <v>1465352750.7399993</v>
      </c>
      <c r="F61" s="88">
        <f>股权价值增加表!F38</f>
        <v>1087339423.1600006</v>
      </c>
      <c r="G61" s="88">
        <f>股权价值增加表!G38</f>
        <v>725640375.39999998</v>
      </c>
      <c r="H61" s="88">
        <f>股权价值增加表!H38</f>
        <v>465195601.9400003</v>
      </c>
      <c r="I61" s="88">
        <f>股权价值增加表!I38</f>
        <v>1377893625.5700016</v>
      </c>
      <c r="J61" s="88">
        <f>股权价值增加表!J38</f>
        <v>1011621688.8300003</v>
      </c>
      <c r="K61" s="88">
        <f>股权价值增加表!K38</f>
        <v>666113143.36999953</v>
      </c>
      <c r="L61" s="88">
        <f>股权价值增加表!L38</f>
        <v>379380083.52999991</v>
      </c>
      <c r="M61" s="88">
        <f>股权价值增加表!M38</f>
        <v>1188109801.5599992</v>
      </c>
      <c r="N61" s="88">
        <f>股权价值增加表!N38</f>
        <v>885378827.40999961</v>
      </c>
      <c r="O61" s="88">
        <f>股权价值增加表!O38</f>
        <v>541848643.52000022</v>
      </c>
      <c r="P61" s="88">
        <f>股权价值增加表!P38</f>
        <v>311387681.01999986</v>
      </c>
      <c r="Q61" s="88">
        <f>股权价值增加表!Q38</f>
        <v>905768593.13999999</v>
      </c>
      <c r="R61" s="88">
        <f>股权价值增加表!R38</f>
        <v>681830974.86000001</v>
      </c>
      <c r="S61" s="88">
        <f>股权价值增加表!S38</f>
        <v>440812792.22000045</v>
      </c>
      <c r="T61" s="88">
        <f>股权价值增加表!T38</f>
        <v>244365798.41000012</v>
      </c>
      <c r="U61" s="88">
        <f>股权价值增加表!U38</f>
        <v>728977871.87999964</v>
      </c>
      <c r="V61" s="88">
        <f>股权价值增加表!V38</f>
        <v>569436724.09000111</v>
      </c>
      <c r="W61" s="88">
        <f>股权价值增加表!W38</f>
        <v>360433316.34000003</v>
      </c>
      <c r="X61" s="88">
        <f>股权价值增加表!X38</f>
        <v>208298496.36999995</v>
      </c>
      <c r="Y61" s="88">
        <f>股权价值增加表!Y38</f>
        <v>584203301.14000046</v>
      </c>
      <c r="Z61" s="88">
        <f>股权价值增加表!Z38</f>
        <v>446340044.80000007</v>
      </c>
      <c r="AA61" s="88">
        <f>股权价值增加表!AA38</f>
        <v>288410432.75999963</v>
      </c>
      <c r="AB61" s="88">
        <f>股权价值增加表!AB38</f>
        <v>174324406.63000005</v>
      </c>
      <c r="AC61" s="88">
        <f>股权价值增加表!AC38</f>
        <v>582910817.90000057</v>
      </c>
    </row>
    <row r="62" spans="1:88" s="191" customFormat="1" x14ac:dyDescent="0.25">
      <c r="A62" s="88" t="s">
        <v>680</v>
      </c>
      <c r="B62" s="88"/>
      <c r="C62" s="88"/>
      <c r="D62" s="88"/>
      <c r="E62" s="88">
        <f>股权价值增加表!E40</f>
        <v>257283850.96000001</v>
      </c>
      <c r="F62" s="88">
        <f>股权价值增加表!F40</f>
        <v>196674732.59</v>
      </c>
      <c r="G62" s="88">
        <f>股权价值增加表!G40</f>
        <v>131663860.56999999</v>
      </c>
      <c r="H62" s="88">
        <f>股权价值增加表!H40</f>
        <v>99163227.120000005</v>
      </c>
      <c r="I62" s="88">
        <f>股权价值增加表!I40</f>
        <v>233513946.19</v>
      </c>
      <c r="J62" s="88">
        <f>股权价值增加表!J40</f>
        <v>216876843.99000001</v>
      </c>
      <c r="K62" s="88">
        <f>股权价值增加表!K40</f>
        <v>144399904.08000001</v>
      </c>
      <c r="L62" s="88">
        <f>股权价值增加表!L40</f>
        <v>82204221.530000001</v>
      </c>
      <c r="M62" s="88">
        <f>股权价值增加表!M40</f>
        <v>187176271.46000001</v>
      </c>
      <c r="N62" s="88">
        <f>股权价值增加表!N40</f>
        <v>178431865.50999999</v>
      </c>
      <c r="O62" s="88">
        <f>股权价值增加表!O40</f>
        <v>104894285.29000001</v>
      </c>
      <c r="P62" s="88">
        <f>股权价值增加表!P40</f>
        <v>63234493.18</v>
      </c>
      <c r="Q62" s="88">
        <f>股权价值增加表!Q40</f>
        <v>143131731.81</v>
      </c>
      <c r="R62" s="88">
        <f>股权价值增加表!R40</f>
        <v>118498249.68000001</v>
      </c>
      <c r="S62" s="88">
        <f>股权价值增加表!S40</f>
        <v>76010920.079999998</v>
      </c>
      <c r="T62" s="88">
        <f>股权价值增加表!T40</f>
        <v>40333355.93</v>
      </c>
      <c r="U62" s="88">
        <f>股权价值增加表!U40</f>
        <v>107716186.73999999</v>
      </c>
      <c r="V62" s="88">
        <f>股权价值增加表!V40</f>
        <v>102000661.56999999</v>
      </c>
      <c r="W62" s="88">
        <f>股权价值增加表!W40</f>
        <v>64006316.909999996</v>
      </c>
      <c r="X62" s="88">
        <f>股权价值增加表!X40</f>
        <v>40011262.060000002</v>
      </c>
      <c r="Y62" s="88">
        <f>股权价值增加表!Y40</f>
        <v>78007085.650000006</v>
      </c>
      <c r="Z62" s="88">
        <f>股权价值增加表!Z40</f>
        <v>82029040.230000004</v>
      </c>
      <c r="AA62" s="88">
        <f>股权价值增加表!AA40</f>
        <v>50505456.640000001</v>
      </c>
      <c r="AB62" s="88">
        <f>股权价值增加表!AB40</f>
        <v>35144075.100000001</v>
      </c>
      <c r="AC62" s="88">
        <f>股权价值增加表!AC40</f>
        <v>95184243.840000004</v>
      </c>
    </row>
    <row r="63" spans="1:88" x14ac:dyDescent="0.25">
      <c r="A63" s="182" t="s">
        <v>681</v>
      </c>
      <c r="B63" s="64"/>
      <c r="C63" s="64"/>
      <c r="D63" s="64"/>
      <c r="E63" s="64">
        <f>股权价值增加表!E42</f>
        <v>1208068899.7799993</v>
      </c>
      <c r="F63" s="64">
        <f>股权价值增加表!F42</f>
        <v>890664690.57000053</v>
      </c>
      <c r="G63" s="64">
        <f>股权价值增加表!G42</f>
        <v>593976514.82999992</v>
      </c>
      <c r="H63" s="64">
        <f>股权价值增加表!H42</f>
        <v>366032374.82000029</v>
      </c>
      <c r="I63" s="64">
        <f>股权价值增加表!I42</f>
        <v>1144379679.3800015</v>
      </c>
      <c r="J63" s="64">
        <f>股权价值增加表!J42</f>
        <v>794744844.84000027</v>
      </c>
      <c r="K63" s="64">
        <f>股权价值增加表!K42</f>
        <v>521713239.28999949</v>
      </c>
      <c r="L63" s="64">
        <f>股权价值增加表!L42</f>
        <v>297175861.99999988</v>
      </c>
      <c r="M63" s="64">
        <f>股权价值增加表!M42</f>
        <v>1000933530.0999992</v>
      </c>
      <c r="N63" s="64">
        <f>股权价值增加表!N42</f>
        <v>706946961.89999962</v>
      </c>
      <c r="O63" s="64">
        <f>股权价值增加表!O42</f>
        <v>436954358.2300002</v>
      </c>
      <c r="P63" s="64">
        <f>股权价值增加表!P42</f>
        <v>248153187.83999985</v>
      </c>
      <c r="Q63" s="64">
        <f>股权价值增加表!Q42</f>
        <v>762636861.32999992</v>
      </c>
      <c r="R63" s="64">
        <f>股权价值增加表!R42</f>
        <v>563332725.18000007</v>
      </c>
      <c r="S63" s="64">
        <f>股权价值增加表!S42</f>
        <v>364801872.14000046</v>
      </c>
      <c r="T63" s="64">
        <f>股权价值增加表!T42</f>
        <v>204032442.48000011</v>
      </c>
      <c r="U63" s="64">
        <f>股权价值增加表!U42</f>
        <v>621261685.13999963</v>
      </c>
      <c r="V63" s="64">
        <f>股权价值增加表!V42</f>
        <v>467436062.52000111</v>
      </c>
      <c r="W63" s="64">
        <f>股权价值增加表!W42</f>
        <v>296426999.43000007</v>
      </c>
      <c r="X63" s="64">
        <f>股权价值增加表!X42</f>
        <v>168287234.30999994</v>
      </c>
      <c r="Y63" s="64">
        <f>股权价值增加表!Y42</f>
        <v>506196215.49000049</v>
      </c>
      <c r="Z63" s="64">
        <f>股权价值增加表!Z42</f>
        <v>364311004.57000005</v>
      </c>
      <c r="AA63" s="64">
        <f>股权价值增加表!AA42</f>
        <v>237904976.11999965</v>
      </c>
      <c r="AB63" s="64">
        <f>股权价值增加表!AB42</f>
        <v>139180331.53000006</v>
      </c>
      <c r="AC63" s="64">
        <f>股权价值增加表!AC42</f>
        <v>487726574.06000054</v>
      </c>
    </row>
    <row r="64" spans="1:88" s="63" customFormat="1" x14ac:dyDescent="0.25">
      <c r="A64" s="212" t="s">
        <v>682</v>
      </c>
      <c r="B64" s="212"/>
      <c r="C64" s="212"/>
      <c r="D64" s="212"/>
      <c r="E64" s="212">
        <f>1-E63/E61</f>
        <v>0.17557809942354996</v>
      </c>
      <c r="F64" s="212">
        <f t="shared" ref="F64:AC64" si="46">1-F63/F61</f>
        <v>0.18087703655444454</v>
      </c>
      <c r="G64" s="212">
        <f t="shared" si="46"/>
        <v>0.1814450587833154</v>
      </c>
      <c r="H64" s="212">
        <f t="shared" si="46"/>
        <v>0.21316458433067864</v>
      </c>
      <c r="I64" s="212">
        <f t="shared" si="46"/>
        <v>0.16947167898639559</v>
      </c>
      <c r="J64" s="212">
        <f t="shared" si="46"/>
        <v>0.21438532445941405</v>
      </c>
      <c r="K64" s="212">
        <f t="shared" si="46"/>
        <v>0.21677984516181747</v>
      </c>
      <c r="L64" s="212">
        <f t="shared" si="46"/>
        <v>0.21668038228343012</v>
      </c>
      <c r="M64" s="212">
        <f t="shared" si="46"/>
        <v>0.15754122322216002</v>
      </c>
      <c r="N64" s="212">
        <f t="shared" si="46"/>
        <v>0.20153166078295215</v>
      </c>
      <c r="O64" s="212">
        <f t="shared" si="46"/>
        <v>0.19358595162032233</v>
      </c>
      <c r="P64" s="212">
        <f t="shared" si="46"/>
        <v>0.20307320113906036</v>
      </c>
      <c r="Q64" s="212">
        <f t="shared" si="46"/>
        <v>0.15802240538481216</v>
      </c>
      <c r="R64" s="212">
        <f t="shared" si="46"/>
        <v>0.1737941719417061</v>
      </c>
      <c r="S64" s="212">
        <f t="shared" si="46"/>
        <v>0.17243356232290219</v>
      </c>
      <c r="T64" s="212">
        <f t="shared" si="46"/>
        <v>0.16505319562898968</v>
      </c>
      <c r="U64" s="212">
        <f t="shared" si="46"/>
        <v>0.14776331476592708</v>
      </c>
      <c r="V64" s="212">
        <f t="shared" si="46"/>
        <v>0.17912554153054328</v>
      </c>
      <c r="W64" s="212">
        <f t="shared" si="46"/>
        <v>0.17758157752992576</v>
      </c>
      <c r="X64" s="212">
        <f t="shared" si="46"/>
        <v>0.19208617804387862</v>
      </c>
      <c r="Y64" s="212">
        <f t="shared" si="46"/>
        <v>0.13352729349145886</v>
      </c>
      <c r="Z64" s="212">
        <f t="shared" si="46"/>
        <v>0.18378149392075338</v>
      </c>
      <c r="AA64" s="212">
        <f t="shared" si="46"/>
        <v>0.17511660780325533</v>
      </c>
      <c r="AB64" s="212">
        <f t="shared" si="46"/>
        <v>0.2016015759318921</v>
      </c>
      <c r="AC64" s="212">
        <f t="shared" si="46"/>
        <v>0.1632912632894884</v>
      </c>
    </row>
    <row r="65" spans="1:29" ht="42.6" customHeight="1" x14ac:dyDescent="0.25">
      <c r="A65" s="277" t="s">
        <v>683</v>
      </c>
      <c r="B65" s="277"/>
      <c r="C65" s="277"/>
      <c r="D65" s="277"/>
      <c r="E65" s="277"/>
      <c r="F65" s="277"/>
      <c r="G65" s="277"/>
      <c r="H65" s="277"/>
      <c r="I65" s="277"/>
      <c r="J65" s="277"/>
      <c r="K65" s="277"/>
      <c r="L65" s="277"/>
      <c r="M65" s="277"/>
      <c r="N65" s="277"/>
      <c r="O65" s="277"/>
      <c r="P65" s="277"/>
      <c r="Q65" s="277"/>
      <c r="R65" s="277"/>
      <c r="S65" s="277"/>
      <c r="T65" s="277"/>
      <c r="U65" s="277"/>
      <c r="V65" s="277"/>
      <c r="W65" s="277"/>
      <c r="X65" s="277"/>
      <c r="Y65" s="277"/>
      <c r="Z65" s="277"/>
      <c r="AA65" s="277"/>
      <c r="AB65" s="277"/>
      <c r="AC65" s="277"/>
    </row>
    <row r="68" spans="1:29" ht="55.8" customHeight="1" x14ac:dyDescent="0.25">
      <c r="A68" s="275" t="s">
        <v>735</v>
      </c>
      <c r="B68" s="274"/>
      <c r="C68" s="274"/>
      <c r="D68" s="274"/>
      <c r="E68" s="274"/>
      <c r="F68" s="274"/>
      <c r="G68" s="274"/>
      <c r="H68" s="274"/>
      <c r="I68" s="274"/>
      <c r="J68" s="274"/>
      <c r="K68" s="274"/>
      <c r="L68" s="274"/>
      <c r="M68" s="274"/>
      <c r="N68" s="274"/>
      <c r="O68" s="274"/>
      <c r="P68" s="274"/>
      <c r="Q68" s="274"/>
      <c r="R68" s="274"/>
      <c r="S68" s="274"/>
      <c r="T68" s="274"/>
      <c r="U68" s="274"/>
      <c r="V68" s="274"/>
      <c r="W68" s="274"/>
      <c r="X68" s="274"/>
      <c r="Y68" s="274"/>
      <c r="Z68" s="274"/>
      <c r="AA68" s="274"/>
      <c r="AB68" s="274"/>
      <c r="AC68" s="274"/>
    </row>
    <row r="69" spans="1:29" x14ac:dyDescent="0.25">
      <c r="A69" s="279" t="s">
        <v>703</v>
      </c>
      <c r="B69" s="279"/>
      <c r="C69" s="279"/>
      <c r="D69" s="279"/>
      <c r="E69" s="279"/>
      <c r="F69" s="255"/>
      <c r="G69" s="255"/>
      <c r="H69" s="255"/>
      <c r="I69" s="255" t="s">
        <v>707</v>
      </c>
      <c r="J69" s="255"/>
      <c r="K69" s="255"/>
      <c r="L69" s="255"/>
      <c r="M69" s="255" t="s">
        <v>708</v>
      </c>
    </row>
    <row r="70" spans="1:29" ht="57.6" x14ac:dyDescent="0.25">
      <c r="A70" s="280" t="s">
        <v>704</v>
      </c>
      <c r="B70" s="65"/>
      <c r="C70" s="65"/>
      <c r="D70" s="65"/>
      <c r="E70" s="65" t="s">
        <v>705</v>
      </c>
      <c r="F70" s="65"/>
      <c r="G70" s="65"/>
      <c r="H70" s="65"/>
      <c r="I70" s="256" t="s">
        <v>709</v>
      </c>
      <c r="J70" s="257"/>
      <c r="K70" s="257"/>
      <c r="L70" s="257"/>
      <c r="M70" s="256" t="s">
        <v>710</v>
      </c>
    </row>
    <row r="71" spans="1:29" ht="54.6" customHeight="1" x14ac:dyDescent="0.25">
      <c r="A71" s="280"/>
      <c r="B71" s="65"/>
      <c r="C71" s="65"/>
      <c r="D71" s="65"/>
      <c r="E71" s="65" t="s">
        <v>706</v>
      </c>
      <c r="F71" s="65"/>
      <c r="G71" s="65"/>
      <c r="H71" s="65"/>
      <c r="I71" s="256" t="s">
        <v>711</v>
      </c>
      <c r="J71" s="257"/>
      <c r="K71" s="257"/>
      <c r="L71" s="257"/>
      <c r="M71" s="256" t="s">
        <v>712</v>
      </c>
    </row>
    <row r="72" spans="1:29" ht="57.6" x14ac:dyDescent="0.25">
      <c r="A72" s="280" t="s">
        <v>720</v>
      </c>
      <c r="B72" s="65"/>
      <c r="C72" s="65"/>
      <c r="D72" s="65"/>
      <c r="E72" s="65" t="s">
        <v>713</v>
      </c>
      <c r="F72" s="65"/>
      <c r="G72" s="65"/>
      <c r="H72" s="65"/>
      <c r="I72" s="256" t="s">
        <v>721</v>
      </c>
      <c r="J72" s="257"/>
      <c r="K72" s="257"/>
      <c r="L72" s="257"/>
      <c r="M72" s="256" t="s">
        <v>722</v>
      </c>
    </row>
    <row r="73" spans="1:29" ht="43.2" x14ac:dyDescent="0.25">
      <c r="A73" s="280"/>
      <c r="B73" s="65"/>
      <c r="C73" s="65"/>
      <c r="D73" s="65"/>
      <c r="E73" s="65" t="s">
        <v>714</v>
      </c>
      <c r="F73" s="65"/>
      <c r="G73" s="65"/>
      <c r="H73" s="65"/>
      <c r="I73" s="256" t="s">
        <v>723</v>
      </c>
      <c r="J73" s="257"/>
      <c r="K73" s="257"/>
      <c r="L73" s="257"/>
      <c r="M73" s="256" t="s">
        <v>724</v>
      </c>
    </row>
    <row r="74" spans="1:29" ht="72" x14ac:dyDescent="0.25">
      <c r="A74" s="280"/>
      <c r="B74" s="65"/>
      <c r="C74" s="65"/>
      <c r="D74" s="65"/>
      <c r="E74" s="65" t="s">
        <v>715</v>
      </c>
      <c r="F74" s="65"/>
      <c r="G74" s="65"/>
      <c r="H74" s="65"/>
      <c r="I74" s="256" t="s">
        <v>725</v>
      </c>
      <c r="J74" s="257"/>
      <c r="K74" s="257"/>
      <c r="L74" s="257"/>
      <c r="M74" s="256" t="s">
        <v>726</v>
      </c>
    </row>
    <row r="75" spans="1:29" ht="72" x14ac:dyDescent="0.25">
      <c r="A75" s="280"/>
      <c r="B75" s="65"/>
      <c r="C75" s="65"/>
      <c r="D75" s="65"/>
      <c r="E75" s="65" t="s">
        <v>716</v>
      </c>
      <c r="F75" s="65"/>
      <c r="G75" s="65"/>
      <c r="H75" s="65"/>
      <c r="I75" s="256" t="s">
        <v>727</v>
      </c>
      <c r="J75" s="257"/>
      <c r="K75" s="257"/>
      <c r="L75" s="257"/>
      <c r="M75" s="256" t="s">
        <v>728</v>
      </c>
    </row>
    <row r="76" spans="1:29" x14ac:dyDescent="0.25">
      <c r="A76" s="280"/>
      <c r="B76" s="65"/>
      <c r="C76" s="65"/>
      <c r="D76" s="65"/>
      <c r="E76" s="65" t="s">
        <v>717</v>
      </c>
      <c r="F76" s="65"/>
      <c r="G76" s="65"/>
      <c r="H76" s="65"/>
      <c r="I76" s="256" t="s">
        <v>729</v>
      </c>
      <c r="J76" s="257"/>
      <c r="K76" s="257"/>
      <c r="L76" s="257"/>
      <c r="M76" s="256" t="s">
        <v>730</v>
      </c>
    </row>
    <row r="77" spans="1:29" ht="57.6" x14ac:dyDescent="0.25">
      <c r="A77" s="280"/>
      <c r="B77" s="65"/>
      <c r="C77" s="65"/>
      <c r="D77" s="65"/>
      <c r="E77" s="65" t="s">
        <v>718</v>
      </c>
      <c r="F77" s="65"/>
      <c r="G77" s="65"/>
      <c r="H77" s="65"/>
      <c r="I77" s="256" t="s">
        <v>731</v>
      </c>
      <c r="J77" s="257"/>
      <c r="K77" s="257"/>
      <c r="L77" s="257"/>
      <c r="M77" s="256" t="s">
        <v>732</v>
      </c>
    </row>
    <row r="78" spans="1:29" ht="57.6" x14ac:dyDescent="0.25">
      <c r="A78" s="280"/>
      <c r="B78" s="65"/>
      <c r="C78" s="65"/>
      <c r="D78" s="65"/>
      <c r="E78" s="65" t="s">
        <v>719</v>
      </c>
      <c r="F78" s="65"/>
      <c r="G78" s="65"/>
      <c r="H78" s="65"/>
      <c r="I78" s="256" t="s">
        <v>733</v>
      </c>
      <c r="J78" s="257"/>
      <c r="K78" s="257"/>
      <c r="L78" s="257"/>
      <c r="M78" s="256"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7" width="19.33203125" hidden="1" customWidth="1"/>
    <col min="48" max="48" width="18.33203125" hidden="1" customWidth="1"/>
    <col min="49" max="49" width="19.33203125" bestFit="1" customWidth="1"/>
    <col min="50" max="50" width="19.33203125" hidden="1" customWidth="1"/>
    <col min="51" max="52" width="18.33203125" hidden="1" customWidth="1"/>
    <col min="53" max="53" width="19.33203125" bestFit="1" customWidth="1"/>
    <col min="54" max="56" width="18.33203125" hidden="1" customWidth="1"/>
    <col min="57" max="57" width="19.33203125" bestFit="1" customWidth="1"/>
    <col min="58" max="60" width="18.33203125" hidden="1" customWidth="1"/>
    <col min="61" max="61" width="18.33203125" bestFit="1" customWidth="1"/>
    <col min="62" max="63" width="17.21875" hidden="1" customWidth="1"/>
    <col min="64" max="65" width="19.33203125" bestFit="1" customWidth="1"/>
    <col min="66" max="66" width="19.33203125" hidden="1" customWidth="1"/>
    <col min="67" max="78" width="19.33203125" bestFit="1" customWidth="1"/>
    <col min="79" max="79" width="18.33203125" bestFit="1" customWidth="1"/>
    <col min="80" max="83" width="17.21875" bestFit="1" customWidth="1"/>
    <col min="84" max="84" width="9.33203125" bestFit="1" customWidth="1"/>
    <col min="85" max="87" width="17.21875" bestFit="1" customWidth="1"/>
    <col min="88" max="89" width="16.10937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1208068899.7799993</v>
      </c>
      <c r="F2" s="26">
        <f>股权价值增加表!F42</f>
        <v>890664690.57000053</v>
      </c>
      <c r="G2" s="26">
        <f>股权价值增加表!G42</f>
        <v>593976514.82999992</v>
      </c>
      <c r="H2" s="26">
        <f>股权价值增加表!H42</f>
        <v>366032374.82000029</v>
      </c>
      <c r="I2" s="26">
        <f>股权价值增加表!I42</f>
        <v>1144379679.3800015</v>
      </c>
      <c r="J2" s="26">
        <f>股权价值增加表!J42</f>
        <v>794744844.84000027</v>
      </c>
      <c r="K2" s="26">
        <f>股权价值增加表!K42</f>
        <v>521713239.28999949</v>
      </c>
      <c r="L2" s="26">
        <f>股权价值增加表!L42</f>
        <v>297175861.99999988</v>
      </c>
      <c r="M2" s="26">
        <f>股权价值增加表!M42</f>
        <v>1000933530.0999992</v>
      </c>
      <c r="N2" s="26">
        <f>股权价值增加表!N42</f>
        <v>706946961.89999962</v>
      </c>
      <c r="O2" s="26">
        <f>股权价值增加表!O42</f>
        <v>436954358.2300002</v>
      </c>
      <c r="P2" s="26">
        <f>股权价值增加表!P42</f>
        <v>248153187.83999985</v>
      </c>
      <c r="Q2" s="26">
        <f>股权价值增加表!Q42</f>
        <v>762636861.32999992</v>
      </c>
      <c r="R2" s="26">
        <f>股权价值增加表!R42</f>
        <v>563332725.18000007</v>
      </c>
      <c r="S2" s="26">
        <f>股权价值增加表!S42</f>
        <v>364801872.14000046</v>
      </c>
      <c r="T2" s="26">
        <f>股权价值增加表!T42</f>
        <v>204032442.48000011</v>
      </c>
      <c r="U2" s="26">
        <f>股权价值增加表!U42</f>
        <v>621261685.13999963</v>
      </c>
      <c r="V2" s="26">
        <f>股权价值增加表!V42</f>
        <v>467436062.52000111</v>
      </c>
      <c r="W2" s="26">
        <f>股权价值增加表!W42</f>
        <v>296426999.43000007</v>
      </c>
      <c r="X2" s="26">
        <f>股权价值增加表!X42</f>
        <v>168287234.30999994</v>
      </c>
      <c r="Y2" s="26">
        <f>股权价值增加表!Y42</f>
        <v>506196215.49000049</v>
      </c>
      <c r="Z2" s="26">
        <f>股权价值增加表!Z42</f>
        <v>364311004.57000005</v>
      </c>
      <c r="AA2" s="26">
        <f>股权价值增加表!AA42</f>
        <v>237904976.11999965</v>
      </c>
      <c r="AB2" s="26">
        <f>股权价值增加表!AB42</f>
        <v>139180331.53000006</v>
      </c>
      <c r="AC2" s="26">
        <f>股权价值增加表!AC42</f>
        <v>487726574.06000054</v>
      </c>
      <c r="AD2" s="26">
        <f>股权价值增加表!AD42</f>
        <v>382695867.81999993</v>
      </c>
      <c r="AE2" s="26">
        <f>股权价值增加表!AE42</f>
        <v>246797533.73999998</v>
      </c>
      <c r="AF2" s="26">
        <f>股权价值增加表!AF42</f>
        <v>148692646.80999997</v>
      </c>
      <c r="AG2" s="26">
        <f>股权价值增加表!AG42</f>
        <v>419815390.3999998</v>
      </c>
      <c r="AH2" s="26">
        <f>股权价值增加表!AH42</f>
        <v>306841798.72000027</v>
      </c>
      <c r="AI2" s="26">
        <f>股权价值增加表!AI42</f>
        <v>190296199.2899999</v>
      </c>
      <c r="AJ2" s="26">
        <f>股权价值增加表!AJ42</f>
        <v>112828617.44999982</v>
      </c>
      <c r="AK2" s="26">
        <f>股权价值增加表!AK42</f>
        <v>352676678.55000055</v>
      </c>
      <c r="AL2" s="26">
        <f>股权价值增加表!AL42</f>
        <v>234210063.29999977</v>
      </c>
      <c r="AM2" s="26">
        <f>股权价值增加表!AM42</f>
        <v>148629107.38999993</v>
      </c>
      <c r="AN2" s="26">
        <f>股权价值增加表!AN42</f>
        <v>78271799.980000019</v>
      </c>
      <c r="AO2" s="26">
        <f>股权价值增加表!AO42</f>
        <v>299407953.86999977</v>
      </c>
      <c r="AP2" s="26">
        <f>股权价值增加表!AP42</f>
        <v>196327741.64999995</v>
      </c>
      <c r="AQ2" s="26">
        <f>股权价值增加表!AQ42</f>
        <v>133483374.41999984</v>
      </c>
      <c r="AR2" s="26">
        <f>股权价值增加表!AR42</f>
        <v>68086983.529999927</v>
      </c>
      <c r="AS2" s="26">
        <f>股权价值增加表!AS42</f>
        <v>215311956.15999961</v>
      </c>
      <c r="AT2" s="26">
        <f>股权价值增加表!AT42</f>
        <v>121937857.07999986</v>
      </c>
      <c r="AU2" s="26">
        <f>股权价值增加表!AU42</f>
        <v>84830537.459999874</v>
      </c>
      <c r="AV2" s="26">
        <f>股权价值增加表!AV42</f>
        <v>48014940.009999998</v>
      </c>
      <c r="AW2" s="26">
        <f>股权价值增加表!AW42</f>
        <v>129687847.9600001</v>
      </c>
      <c r="AX2" s="26">
        <f>股权价值增加表!AX42</f>
        <v>74553012.240000024</v>
      </c>
      <c r="AY2" s="26">
        <f>股权价值增加表!AY42</f>
        <v>53942246.079999946</v>
      </c>
      <c r="AZ2" s="26">
        <f>股权价值增加表!AZ42</f>
        <v>29121432.510000039</v>
      </c>
      <c r="BA2" s="26">
        <f>股权价值增加表!BA42</f>
        <v>87440039.049999967</v>
      </c>
      <c r="BB2" s="26">
        <f>股权价值增加表!BB42</f>
        <v>43285920.699999921</v>
      </c>
      <c r="BC2" s="26">
        <f>股权价值增加表!BC42</f>
        <v>31400207.770000003</v>
      </c>
      <c r="BD2" s="26">
        <f>股权价值增加表!BD42</f>
        <v>13067375.810000014</v>
      </c>
      <c r="BE2" s="26">
        <f>股权价值增加表!BE42</f>
        <v>62937699.010000035</v>
      </c>
      <c r="BF2" s="26">
        <f>股权价值增加表!BF42</f>
        <v>40974539.209999949</v>
      </c>
      <c r="BG2" s="26">
        <f>股权价值增加表!BG42</f>
        <v>25069020.490000013</v>
      </c>
      <c r="BH2" s="26">
        <f>股权价值增加表!BH42</f>
        <v>10786212.439999986</v>
      </c>
      <c r="BI2" s="26">
        <f>股权价值增加表!BI42</f>
        <v>49658396.830000073</v>
      </c>
      <c r="BJ2" s="26">
        <f>股权价值增加表!BJ42</f>
        <v>29424642.880000066</v>
      </c>
      <c r="BK2" s="26">
        <f>股权价值增加表!BK42</f>
        <v>17128842.430000011</v>
      </c>
      <c r="BL2" s="26">
        <f>股权价值增加表!BL42</f>
        <v>33436080.210000034</v>
      </c>
      <c r="BM2" s="26">
        <f>股权价值增加表!BM42</f>
        <v>18701209.809999973</v>
      </c>
      <c r="BN2" s="26">
        <f>股权价值增加表!BN42</f>
        <v>0</v>
      </c>
      <c r="BO2" s="26">
        <f>股权价值增加表!BO42</f>
        <v>-31994201.770000003</v>
      </c>
      <c r="BP2" s="26">
        <f>股权价值增加表!BP42</f>
        <v>-13728975.969999999</v>
      </c>
      <c r="BQ2" s="26">
        <f>股权价值增加表!BQ42</f>
        <v>-29742046.629999995</v>
      </c>
      <c r="BR2" s="26">
        <f>股权价值增加表!BR42</f>
        <v>-8761872.6600000001</v>
      </c>
      <c r="BS2" s="26">
        <f>股权价值增加表!BS42</f>
        <v>-46317330.93</v>
      </c>
      <c r="BT2" s="26">
        <f>股权价值增加表!BT42</f>
        <v>-30346543.920000002</v>
      </c>
      <c r="BU2" s="26">
        <f>股权价值增加表!BU42</f>
        <v>-114756518.49000001</v>
      </c>
      <c r="BV2" s="26">
        <f>股权价值增加表!BV42</f>
        <v>-51180142.579999998</v>
      </c>
      <c r="BW2" s="26">
        <f>股权价值增加表!BW42</f>
        <v>-94705800.890000015</v>
      </c>
      <c r="BX2" s="26">
        <f>股权价值增加表!BX42</f>
        <v>-41114529.640000001</v>
      </c>
      <c r="BY2" s="26">
        <f>股权价值增加表!BY42</f>
        <v>-74344697.039999992</v>
      </c>
      <c r="BZ2" s="26">
        <f>股权价值增加表!BZ42</f>
        <v>-23306390</v>
      </c>
      <c r="CA2" s="26">
        <f>股权价值增加表!CA42</f>
        <v>-53527704.5</v>
      </c>
      <c r="CB2" s="26">
        <f>股权价值增加表!CB42</f>
        <v>-18178000</v>
      </c>
      <c r="CC2" s="26">
        <f>股权价值增加表!CC42</f>
        <v>-34265328.020000003</v>
      </c>
      <c r="CD2" s="26">
        <f>股权价值增加表!CD42</f>
        <v>0</v>
      </c>
      <c r="CE2" s="26">
        <f>股权价值增加表!CE42</f>
        <v>0</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5198489786.6300001</v>
      </c>
      <c r="F3" s="26">
        <f>资产资本表!F107</f>
        <v>4961012507.46</v>
      </c>
      <c r="G3" s="26">
        <f>资产资本表!G107</f>
        <v>4679019908.46</v>
      </c>
      <c r="H3" s="26">
        <f>资产资本表!H107</f>
        <v>4927457035.2799997</v>
      </c>
      <c r="I3" s="26">
        <f>资产资本表!I107</f>
        <v>4558239662.8699999</v>
      </c>
      <c r="J3" s="26">
        <f>资产资本表!J107</f>
        <v>4218102000.5</v>
      </c>
      <c r="K3" s="26">
        <f>资产资本表!K107</f>
        <v>3943260206.9499998</v>
      </c>
      <c r="L3" s="26">
        <f>资产资本表!L107</f>
        <v>5293201433.6599998</v>
      </c>
      <c r="M3" s="26">
        <f>资产资本表!M107</f>
        <v>5009730562.0799999</v>
      </c>
      <c r="N3" s="26">
        <f>资产资本表!N107</f>
        <v>4723090815.25</v>
      </c>
      <c r="O3" s="26">
        <f>资产资本表!O107</f>
        <v>4449943588.5799999</v>
      </c>
      <c r="P3" s="26">
        <f>资产资本表!P107</f>
        <v>4532900385.5299997</v>
      </c>
      <c r="Q3" s="26">
        <f>资产资本表!Q107</f>
        <v>4278816315.1400003</v>
      </c>
      <c r="R3" s="26">
        <f>资产资本表!R107</f>
        <v>4075580236.71</v>
      </c>
      <c r="S3" s="26">
        <f>资产资本表!S107</f>
        <v>3871183124.1600003</v>
      </c>
      <c r="T3" s="26">
        <f>资产资本表!T107</f>
        <v>3940954467.1100001</v>
      </c>
      <c r="U3" s="26">
        <f>资产资本表!U107</f>
        <v>3732910884.5099998</v>
      </c>
      <c r="V3" s="26">
        <f>资产资本表!V107</f>
        <v>3662679370.02</v>
      </c>
      <c r="W3" s="26">
        <f>资产资本表!W107</f>
        <v>3490212382.0599999</v>
      </c>
      <c r="X3" s="26">
        <f>资产资本表!X107</f>
        <v>3567241318.3000002</v>
      </c>
      <c r="Y3" s="26">
        <f>资产资本表!Y107</f>
        <v>3394580309.3799996</v>
      </c>
      <c r="Z3" s="26">
        <f>资产资本表!Z107</f>
        <v>3244843702.75</v>
      </c>
      <c r="AA3" s="26">
        <f>资产资本表!AA107</f>
        <v>3148735362.5799999</v>
      </c>
      <c r="AB3" s="26">
        <f>资产资本表!AB107</f>
        <v>3222313716.3899999</v>
      </c>
      <c r="AC3" s="26">
        <f>资产资本表!AC107</f>
        <v>3094259610.7600002</v>
      </c>
      <c r="AD3" s="26">
        <f>资产资本表!AD107</f>
        <v>2957796924.96</v>
      </c>
      <c r="AE3" s="26">
        <f>资产资本表!AE107</f>
        <v>2821898590.8800001</v>
      </c>
      <c r="AF3" s="26">
        <f>资产资本表!AF107</f>
        <v>2884240451.02</v>
      </c>
      <c r="AG3" s="26">
        <f>资产资本表!AG107</f>
        <v>2736677234.21</v>
      </c>
      <c r="AH3" s="26">
        <f>资产资本表!AH107</f>
        <v>2613523463.1900001</v>
      </c>
      <c r="AI3" s="26">
        <f>资产资本表!AI107</f>
        <v>2488516794.6200004</v>
      </c>
      <c r="AJ3" s="26">
        <f>资产资本表!AJ107</f>
        <v>2499857212.8299999</v>
      </c>
      <c r="AK3" s="26">
        <f>资产资本表!AK107</f>
        <v>2387028595.3699999</v>
      </c>
      <c r="AL3" s="26">
        <f>资产资本表!AL107</f>
        <v>2308512612.4099998</v>
      </c>
      <c r="AM3" s="26">
        <f>资产资本表!AM107</f>
        <v>2222699925.6599998</v>
      </c>
      <c r="AN3" s="26">
        <f>资产资本表!AN107</f>
        <v>2241143445.29</v>
      </c>
      <c r="AO3" s="26">
        <f>资产资本表!AO107</f>
        <v>2162624916.8200002</v>
      </c>
      <c r="AP3" s="26">
        <f>资产资本表!AP107</f>
        <v>2059787930.1099999</v>
      </c>
      <c r="AQ3" s="26">
        <f>资产资本表!AQ107</f>
        <v>1990187952.73</v>
      </c>
      <c r="AR3" s="26">
        <f>资产资本表!AR107</f>
        <v>1876896259.77</v>
      </c>
      <c r="AS3" s="26">
        <f>资产资本表!AS107</f>
        <v>1807445577.1100001</v>
      </c>
      <c r="AT3" s="26">
        <f>资产资本表!AT107</f>
        <v>1694244677.5699999</v>
      </c>
      <c r="AU3" s="26">
        <f>资产资本表!AU107</f>
        <v>949297555.71000004</v>
      </c>
      <c r="AV3" s="26">
        <f>资产资本表!AV107</f>
        <v>943529555.12</v>
      </c>
      <c r="AW3" s="26">
        <f>资产资本表!AW107</f>
        <v>905663398.10000002</v>
      </c>
      <c r="AX3" s="26">
        <f>资产资本表!AX107</f>
        <v>849571234.5</v>
      </c>
      <c r="AY3" s="26">
        <f>资产资本表!AY107</f>
        <v>828424890.75</v>
      </c>
      <c r="AZ3" s="26">
        <f>资产资本表!AZ107</f>
        <v>837969374.53999996</v>
      </c>
      <c r="BA3" s="26">
        <f>资产资本表!BA107</f>
        <v>807903115.36000001</v>
      </c>
      <c r="BB3" s="26">
        <f>资产资本表!BB107</f>
        <v>774930299.87</v>
      </c>
      <c r="BC3" s="26">
        <f>资产资本表!BC107</f>
        <v>751840793.05999994</v>
      </c>
      <c r="BD3" s="26">
        <f>资产资本表!BD107</f>
        <v>758345972.89999998</v>
      </c>
      <c r="BE3" s="26">
        <f>资产资本表!BE107</f>
        <v>738852959.18999994</v>
      </c>
      <c r="BF3" s="26">
        <f>资产资本表!BF107</f>
        <v>662944760.82000005</v>
      </c>
      <c r="BG3" s="26">
        <f>资产资本表!BG107</f>
        <v>242763613.39999998</v>
      </c>
      <c r="BH3" s="26">
        <f>资产资本表!BH107</f>
        <v>214022329.36999997</v>
      </c>
      <c r="BI3" s="26">
        <f>资产资本表!BI107</f>
        <v>135309387.50999999</v>
      </c>
      <c r="BJ3" s="26">
        <f>资产资本表!BJ107</f>
        <v>96390957.070000008</v>
      </c>
      <c r="BK3" s="26">
        <f>资产资本表!BK107</f>
        <v>0</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431</v>
      </c>
      <c r="E4" s="59">
        <f>E2/E3</f>
        <v>0.23238843382688423</v>
      </c>
      <c r="F4" s="59">
        <f t="shared" ref="F4:BQ4" si="0">F2/F3</f>
        <v>0.17953284520663584</v>
      </c>
      <c r="G4" s="59">
        <f t="shared" si="0"/>
        <v>0.12694464363275057</v>
      </c>
      <c r="H4" s="59">
        <f t="shared" si="0"/>
        <v>7.4284234687233705E-2</v>
      </c>
      <c r="I4" s="59">
        <f t="shared" si="0"/>
        <v>0.25105737390286031</v>
      </c>
      <c r="J4" s="59">
        <f t="shared" si="0"/>
        <v>0.18841290342096845</v>
      </c>
      <c r="K4" s="59">
        <f t="shared" si="0"/>
        <v>0.13230505011322341</v>
      </c>
      <c r="L4" s="59">
        <f t="shared" si="0"/>
        <v>5.6142934616133955E-2</v>
      </c>
      <c r="M4" s="59">
        <f t="shared" si="0"/>
        <v>0.19979787689109166</v>
      </c>
      <c r="N4" s="59">
        <f t="shared" si="0"/>
        <v>0.14967888392435663</v>
      </c>
      <c r="O4" s="59">
        <f t="shared" si="0"/>
        <v>9.8193235381987085E-2</v>
      </c>
      <c r="P4" s="59">
        <f t="shared" si="0"/>
        <v>5.474490210112682E-2</v>
      </c>
      <c r="Q4" s="59">
        <f t="shared" si="0"/>
        <v>0.17823547569254486</v>
      </c>
      <c r="R4" s="59">
        <f t="shared" si="0"/>
        <v>0.13822147828323672</v>
      </c>
      <c r="S4" s="59">
        <f t="shared" si="0"/>
        <v>9.4235240348945787E-2</v>
      </c>
      <c r="T4" s="59">
        <f t="shared" si="0"/>
        <v>5.1772342000597174E-2</v>
      </c>
      <c r="U4" s="59">
        <f t="shared" si="0"/>
        <v>0.16642821228815632</v>
      </c>
      <c r="V4" s="59">
        <f t="shared" si="0"/>
        <v>0.1276213436387823</v>
      </c>
      <c r="W4" s="59">
        <f t="shared" si="0"/>
        <v>8.4930934562510024E-2</v>
      </c>
      <c r="X4" s="59">
        <f t="shared" si="0"/>
        <v>4.7175735896162661E-2</v>
      </c>
      <c r="Y4" s="59">
        <f t="shared" si="0"/>
        <v>0.14911893941388421</v>
      </c>
      <c r="Z4" s="59">
        <f t="shared" si="0"/>
        <v>0.11227382208309357</v>
      </c>
      <c r="AA4" s="59">
        <f t="shared" si="0"/>
        <v>7.5555722766446107E-2</v>
      </c>
      <c r="AB4" s="59">
        <f t="shared" si="0"/>
        <v>4.319266954737281E-2</v>
      </c>
      <c r="AC4" s="59">
        <f t="shared" si="0"/>
        <v>0.15762302954929081</v>
      </c>
      <c r="AD4" s="59">
        <f t="shared" si="0"/>
        <v>0.12938544380465719</v>
      </c>
      <c r="AE4" s="59">
        <f t="shared" si="0"/>
        <v>8.7457974052510851E-2</v>
      </c>
      <c r="AF4" s="59">
        <f t="shared" si="0"/>
        <v>5.1553484993740871E-2</v>
      </c>
      <c r="AG4" s="59">
        <f t="shared" si="0"/>
        <v>0.15340332617674896</v>
      </c>
      <c r="AH4" s="59">
        <f t="shared" si="0"/>
        <v>0.11740541190530465</v>
      </c>
      <c r="AI4" s="59">
        <f t="shared" si="0"/>
        <v>7.6469726747035421E-2</v>
      </c>
      <c r="AJ4" s="59">
        <f t="shared" si="0"/>
        <v>4.5134024803868911E-2</v>
      </c>
      <c r="AK4" s="59">
        <f t="shared" si="0"/>
        <v>0.14774715277147071</v>
      </c>
      <c r="AL4" s="59">
        <f t="shared" si="0"/>
        <v>0.10145496370301106</v>
      </c>
      <c r="AM4" s="59">
        <f t="shared" si="0"/>
        <v>6.6868723786845219E-2</v>
      </c>
      <c r="AN4" s="59">
        <f t="shared" si="0"/>
        <v>3.4924939831270721E-2</v>
      </c>
      <c r="AO4" s="59">
        <f t="shared" si="0"/>
        <v>0.13844654777688392</v>
      </c>
      <c r="AP4" s="59">
        <f t="shared" si="0"/>
        <v>9.5314541259359328E-2</v>
      </c>
      <c r="AQ4" s="59">
        <f t="shared" si="0"/>
        <v>6.707073783503549E-2</v>
      </c>
      <c r="AR4" s="59">
        <f t="shared" si="0"/>
        <v>3.6276370191255798E-2</v>
      </c>
      <c r="AS4" s="59">
        <f t="shared" si="0"/>
        <v>0.11912500098856135</v>
      </c>
      <c r="AT4" s="59">
        <f t="shared" si="0"/>
        <v>7.1971810621173901E-2</v>
      </c>
      <c r="AU4" s="59">
        <f t="shared" si="0"/>
        <v>8.9361377736355066E-2</v>
      </c>
      <c r="AV4" s="59">
        <f t="shared" si="0"/>
        <v>5.0888644398524814E-2</v>
      </c>
      <c r="AW4" s="59">
        <f t="shared" si="0"/>
        <v>0.14319652117119172</v>
      </c>
      <c r="AX4" s="59">
        <f t="shared" si="0"/>
        <v>8.7753691759440131E-2</v>
      </c>
      <c r="AY4" s="59">
        <f t="shared" si="0"/>
        <v>6.5114226627309896E-2</v>
      </c>
      <c r="AZ4" s="59">
        <f t="shared" si="0"/>
        <v>3.4752382837363399E-2</v>
      </c>
      <c r="BA4" s="59">
        <f t="shared" si="0"/>
        <v>0.1082308477187105</v>
      </c>
      <c r="BB4" s="59">
        <f t="shared" si="0"/>
        <v>5.5857824513070968E-2</v>
      </c>
      <c r="BC4" s="59">
        <f t="shared" si="0"/>
        <v>4.1764437444529748E-2</v>
      </c>
      <c r="BD4" s="59">
        <f t="shared" si="0"/>
        <v>1.7231417159148225E-2</v>
      </c>
      <c r="BE4" s="59">
        <f t="shared" si="0"/>
        <v>8.5182982929375095E-2</v>
      </c>
      <c r="BF4" s="59">
        <f t="shared" si="0"/>
        <v>6.1806867829105876E-2</v>
      </c>
      <c r="BG4" s="59">
        <f t="shared" si="0"/>
        <v>0.10326514809570723</v>
      </c>
      <c r="BH4" s="59">
        <f t="shared" si="0"/>
        <v>5.0397603239580084E-2</v>
      </c>
      <c r="BI4" s="59">
        <f t="shared" si="0"/>
        <v>0.36699890335642887</v>
      </c>
      <c r="BJ4" s="59">
        <f t="shared" si="0"/>
        <v>0.3052635202971542</v>
      </c>
      <c r="BK4" s="59" t="e">
        <f t="shared" si="0"/>
        <v>#DIV/0!</v>
      </c>
      <c r="BL4" s="59">
        <f t="shared" si="0"/>
        <v>2.7117956659148394E-2</v>
      </c>
      <c r="BM4" s="59">
        <f t="shared" si="0"/>
        <v>1.6436083379142232E-2</v>
      </c>
      <c r="BN4" s="59">
        <f t="shared" si="0"/>
        <v>0</v>
      </c>
      <c r="BO4" s="59">
        <f t="shared" si="0"/>
        <v>-1.5217390863811379E-2</v>
      </c>
      <c r="BP4" s="59">
        <f t="shared" si="0"/>
        <v>-6.5261380102219447E-3</v>
      </c>
      <c r="BQ4" s="59">
        <f t="shared" si="0"/>
        <v>-1.5113347126223076E-2</v>
      </c>
      <c r="BR4" s="59">
        <f t="shared" ref="BR4:CJ4" si="1">BR2/BR3</f>
        <v>-4.0238987831243888E-3</v>
      </c>
      <c r="BS4" s="59">
        <f t="shared" si="1"/>
        <v>-2.2327900211652131E-2</v>
      </c>
      <c r="BT4" s="59">
        <f t="shared" si="1"/>
        <v>-1.419295006277657E-2</v>
      </c>
      <c r="BU4" s="59">
        <f t="shared" si="1"/>
        <v>-5.6764846223244951E-2</v>
      </c>
      <c r="BV4" s="59">
        <f t="shared" si="1"/>
        <v>-2.4834706555170356E-2</v>
      </c>
      <c r="BW4" s="59">
        <f t="shared" si="1"/>
        <v>-4.9747243840348579E-2</v>
      </c>
      <c r="BX4" s="59">
        <f t="shared" si="1"/>
        <v>-2.1375113458722936E-2</v>
      </c>
      <c r="BY4" s="59">
        <f t="shared" si="1"/>
        <v>-4.2282051406847092E-2</v>
      </c>
      <c r="BZ4" s="59">
        <f t="shared" si="1"/>
        <v>-1.338181466163813E-2</v>
      </c>
      <c r="CA4" s="59">
        <f t="shared" si="1"/>
        <v>-5.9079046101551166E-2</v>
      </c>
      <c r="CB4" s="59">
        <f t="shared" si="1"/>
        <v>-2.8458574754247731E-2</v>
      </c>
      <c r="CC4" s="59">
        <f t="shared" si="1"/>
        <v>-6.3943559318223112E-2</v>
      </c>
      <c r="CD4" s="59">
        <f t="shared" si="1"/>
        <v>0</v>
      </c>
      <c r="CE4" s="59">
        <f t="shared" si="1"/>
        <v>0</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792189716.84959924</v>
      </c>
      <c r="F5" s="26">
        <f>股权价值增加表!F47</f>
        <v>493783689.9732005</v>
      </c>
      <c r="G5" s="26">
        <f>股权价值增加表!G47</f>
        <v>219654922.15319991</v>
      </c>
      <c r="H5" s="26">
        <f>股权价值增加表!H47</f>
        <v>-28164188.002399683</v>
      </c>
      <c r="I5" s="26">
        <f>股权价值增加表!I47</f>
        <v>779720506.35040152</v>
      </c>
      <c r="J5" s="26">
        <f>股权价值增加表!J47</f>
        <v>457296684.80000025</v>
      </c>
      <c r="K5" s="26">
        <f>股权价值增加表!K47</f>
        <v>206252422.73399949</v>
      </c>
      <c r="L5" s="26">
        <f>股权价值增加表!L47</f>
        <v>-126280252.6928001</v>
      </c>
      <c r="M5" s="26">
        <f>股权价值增加表!M47</f>
        <v>600155085.13359916</v>
      </c>
      <c r="N5" s="26">
        <f>股权价值增加表!N47</f>
        <v>329099696.67999959</v>
      </c>
      <c r="O5" s="26">
        <f>股权价值增加表!O47</f>
        <v>80958871.143600225</v>
      </c>
      <c r="P5" s="26">
        <f>股权价值增加表!P47</f>
        <v>-114478843.00240016</v>
      </c>
      <c r="Q5" s="26">
        <f>股权价值增加表!Q47</f>
        <v>420331556.11879992</v>
      </c>
      <c r="R5" s="26">
        <f>股权价值增加表!R47</f>
        <v>237286306.24320006</v>
      </c>
      <c r="S5" s="26">
        <f>股权价值增加表!S47</f>
        <v>55107222.207200468</v>
      </c>
      <c r="T5" s="26">
        <f>股权价值增加表!T47</f>
        <v>-111243914.88879994</v>
      </c>
      <c r="U5" s="26">
        <f>股权价值增加表!U47</f>
        <v>322628814.37919962</v>
      </c>
      <c r="V5" s="26">
        <f>股权价值增加表!V47</f>
        <v>174421712.91840112</v>
      </c>
      <c r="W5" s="26">
        <f>股权价值增加表!W47</f>
        <v>17210008.865200043</v>
      </c>
      <c r="X5" s="26">
        <f>股权价值增加表!X47</f>
        <v>-117092071.1540001</v>
      </c>
      <c r="Y5" s="26">
        <f>股权价值增加表!Y47</f>
        <v>234629790.73960048</v>
      </c>
      <c r="Z5" s="26">
        <f>股权价值增加表!Z47</f>
        <v>104723508.35000005</v>
      </c>
      <c r="AA5" s="26">
        <f>股权价值增加表!AA47</f>
        <v>-13993852.886400342</v>
      </c>
      <c r="AB5" s="26">
        <f>股权价值增加表!AB47</f>
        <v>-118604765.78119993</v>
      </c>
      <c r="AC5" s="26">
        <f>股权价值增加表!AC47</f>
        <v>240185805.19920051</v>
      </c>
      <c r="AD5" s="26">
        <f>股权价值增加表!AD47</f>
        <v>146072113.82319993</v>
      </c>
      <c r="AE5" s="26">
        <f>股权价值增加表!AE47</f>
        <v>21045646.469599962</v>
      </c>
      <c r="AF5" s="26">
        <f>股权价值增加表!AF47</f>
        <v>-82046589.271600038</v>
      </c>
      <c r="AG5" s="26">
        <f>股权价值增加表!AG47</f>
        <v>200881211.66319978</v>
      </c>
      <c r="AH5" s="26">
        <f>股权价值增加表!AH47</f>
        <v>97759921.664800256</v>
      </c>
      <c r="AI5" s="26">
        <f>股权价值增加表!AI47</f>
        <v>-8785144.2796000838</v>
      </c>
      <c r="AJ5" s="26">
        <f>股权价值增加表!AJ47</f>
        <v>-87159959.576400176</v>
      </c>
      <c r="AK5" s="26">
        <f>股权价值增加表!AK47</f>
        <v>161714390.92040056</v>
      </c>
      <c r="AL5" s="26">
        <f>股权价值增加表!AL47</f>
        <v>49529054.307199776</v>
      </c>
      <c r="AM5" s="26">
        <f>股权价值增加表!AM47</f>
        <v>-29186886.662800074</v>
      </c>
      <c r="AN5" s="26">
        <f>股权价值增加表!AN47</f>
        <v>-101019675.64319998</v>
      </c>
      <c r="AO5" s="26">
        <f>股权价值增加表!AO47</f>
        <v>126397960.52439976</v>
      </c>
      <c r="AP5" s="26">
        <f>股权价值增加表!AP47</f>
        <v>31544707.24119994</v>
      </c>
      <c r="AQ5" s="26">
        <f>股权价值增加表!AQ47</f>
        <v>-25731661.798400164</v>
      </c>
      <c r="AR5" s="26">
        <f>股权价值增加表!AR47</f>
        <v>-82064717.251600072</v>
      </c>
      <c r="AS5" s="26">
        <f>股权价值增加表!AS47</f>
        <v>70716309.991199613</v>
      </c>
      <c r="AT5" s="26">
        <f>股权价值增加表!AT47</f>
        <v>-13601717.125600129</v>
      </c>
      <c r="AU5" s="26">
        <f>股权价值增加表!AU47</f>
        <v>8886733.0031998754</v>
      </c>
      <c r="AV5" s="26">
        <f>股权价值增加表!AV47</f>
        <v>-27467424.399600007</v>
      </c>
      <c r="AW5" s="26">
        <f>股权价值增加表!AW47</f>
        <v>57234776.112000093</v>
      </c>
      <c r="AX5" s="26">
        <f>股权价值增加表!AX47</f>
        <v>6587313.4800000191</v>
      </c>
      <c r="AY5" s="26">
        <f>股权价值增加表!AY47</f>
        <v>-12331745.180000052</v>
      </c>
      <c r="AZ5" s="26">
        <f>股权价值增加表!AZ47</f>
        <v>-37916117.453199953</v>
      </c>
      <c r="BA5" s="26">
        <f>股权价值增加表!BA47</f>
        <v>22807789.821199961</v>
      </c>
      <c r="BB5" s="26">
        <f>股权价值增加表!BB47</f>
        <v>-18708503.289600082</v>
      </c>
      <c r="BC5" s="26">
        <f>股权价值增加表!BC47</f>
        <v>-28747055.674799994</v>
      </c>
      <c r="BD5" s="26">
        <f>股权价值增加表!BD47</f>
        <v>-47600302.021999985</v>
      </c>
      <c r="BE5" s="26">
        <f>股权价值增加表!BE47</f>
        <v>3829462.2748000324</v>
      </c>
      <c r="BF5" s="26">
        <f>股权价值增加表!BF47</f>
        <v>-12061041.655600056</v>
      </c>
      <c r="BG5" s="26">
        <f>股权价值增加表!BG47</f>
        <v>5647931.4180000126</v>
      </c>
      <c r="BH5" s="26">
        <f>股权价值增加表!BH47</f>
        <v>-6335573.9096000157</v>
      </c>
      <c r="BI5" s="26">
        <f>股权价值增加表!BI47</f>
        <v>38833645.829200074</v>
      </c>
      <c r="BJ5" s="26">
        <f>股权价值增加表!BJ47</f>
        <v>21713366.314400066</v>
      </c>
      <c r="BK5" s="26">
        <f>股权价值增加表!BK47</f>
        <v>17128842.430000011</v>
      </c>
      <c r="BL5" s="26">
        <f>股权价值增加表!BL47</f>
        <v>33436080.210000034</v>
      </c>
      <c r="BM5" s="26">
        <f>股权价值增加表!BM47</f>
        <v>18701209.809999973</v>
      </c>
      <c r="BN5" s="26">
        <f>股权价值增加表!BN47</f>
        <v>0</v>
      </c>
      <c r="BO5" s="26">
        <f>股权价值增加表!BO47</f>
        <v>-200192295.94440001</v>
      </c>
      <c r="BP5" s="26">
        <f>股权价值增加表!BP47</f>
        <v>-182024233.5756</v>
      </c>
      <c r="BQ5" s="26">
        <f>股权价值增加表!BQ47</f>
        <v>-187176644.706</v>
      </c>
      <c r="BR5" s="26">
        <f>股权价值增加表!BR47</f>
        <v>-182958553.6848</v>
      </c>
      <c r="BS5" s="26">
        <f>股权价值增加表!BS47</f>
        <v>-212270530.25800002</v>
      </c>
      <c r="BT5" s="26">
        <f>股权价值增加表!BT47</f>
        <v>-201397911.17360002</v>
      </c>
      <c r="BU5" s="26">
        <f>股权价值增加表!BU47</f>
        <v>-276485512.5772</v>
      </c>
      <c r="BV5" s="26">
        <f>股权价值增加表!BV47</f>
        <v>-216046652.97360003</v>
      </c>
      <c r="BW5" s="26">
        <f>股权价值增加表!BW47</f>
        <v>-247004973.39320001</v>
      </c>
      <c r="BX5" s="26">
        <f>股权价值增加表!BX47</f>
        <v>-194992654.19599998</v>
      </c>
      <c r="BY5" s="26">
        <f>股权价值增加表!BY47</f>
        <v>-215009011.2184</v>
      </c>
      <c r="BZ5" s="26">
        <f>股权价值增加表!BZ47</f>
        <v>-162638106</v>
      </c>
      <c r="CA5" s="26">
        <f>股权价值增加表!CA47</f>
        <v>-126010532.88960001</v>
      </c>
      <c r="CB5" s="26">
        <f>股权价值增加表!CB47</f>
        <v>-69278240</v>
      </c>
      <c r="CC5" s="26">
        <f>股权价值增加表!CC47</f>
        <v>-34265328.020000003</v>
      </c>
      <c r="CD5" s="26">
        <f>股权价值增加表!CD47</f>
        <v>0</v>
      </c>
      <c r="CE5" s="26">
        <f>股权价值增加表!CE47</f>
        <v>0</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438</v>
      </c>
      <c r="E6" s="156">
        <f>股权价值增加表!E31/股权价值增加表!E4</f>
        <v>0.10385775292734321</v>
      </c>
      <c r="F6" s="156">
        <f>股权价值增加表!F31/股权价值增加表!F4</f>
        <v>0.1035551629433904</v>
      </c>
      <c r="G6" s="156">
        <f>股权价值增加表!G31/股权价值增加表!G4</f>
        <v>0.10482937661400557</v>
      </c>
      <c r="H6" s="156">
        <f>股权价值增加表!H31/股权价值增加表!H4</f>
        <v>0.11749441246623656</v>
      </c>
      <c r="I6" s="156">
        <f>股权价值增加表!I31/股权价值增加表!I4</f>
        <v>0.11438622146893813</v>
      </c>
      <c r="J6" s="156">
        <f>股权价值增加表!J31/股权价值增加表!J4</f>
        <v>0.11335199640951948</v>
      </c>
      <c r="K6" s="156">
        <f>股权价值增加表!K31/股权价值增加表!K4</f>
        <v>0.11438572954902669</v>
      </c>
      <c r="L6" s="156">
        <f>股权价值增加表!L31/股权价值增加表!L4</f>
        <v>0.12041399232658764</v>
      </c>
      <c r="M6" s="156">
        <f>股权价值增加表!M31/股权价值增加表!M4</f>
        <v>0.1078016473202756</v>
      </c>
      <c r="N6" s="156">
        <f>股权价值增加表!N31/股权价值增加表!N4</f>
        <v>0.10482536269758112</v>
      </c>
      <c r="O6" s="156">
        <f>股权价值增加表!O31/股权价值增加表!O4</f>
        <v>9.9256152460180908E-2</v>
      </c>
      <c r="P6" s="156">
        <f>股权价值增加表!P31/股权价值增加表!P4</f>
        <v>0.10238423250939986</v>
      </c>
      <c r="Q6" s="156">
        <f>股权价值增加表!Q31/股权价值增加表!Q4</f>
        <v>9.4873777588168354E-2</v>
      </c>
      <c r="R6" s="156">
        <f>股权价值增加表!R31/股权价值增加表!R4</f>
        <v>9.3147166629701628E-2</v>
      </c>
      <c r="S6" s="156">
        <f>股权价值增加表!S31/股权价值增加表!S4</f>
        <v>9.2751688398855628E-2</v>
      </c>
      <c r="T6" s="156">
        <f>股权价值增加表!T31/股权价值增加表!T4</f>
        <v>9.3603153235609846E-2</v>
      </c>
      <c r="U6" s="156">
        <f>股权价值增加表!U31/股权价值增加表!U4</f>
        <v>8.5550313203546488E-2</v>
      </c>
      <c r="V6" s="156">
        <f>股权价值增加表!V31/股权价值增加表!V4</f>
        <v>8.9109216794368062E-2</v>
      </c>
      <c r="W6" s="156">
        <f>股权价值增加表!W31/股权价值增加表!W4</f>
        <v>8.6913104714074901E-2</v>
      </c>
      <c r="X6" s="156">
        <f>股权价值增加表!X31/股权价值增加表!X4</f>
        <v>9.1844241914752836E-2</v>
      </c>
      <c r="Y6" s="156">
        <f>股权价值增加表!Y31/股权价值增加表!Y4</f>
        <v>8.4276409808070163E-2</v>
      </c>
      <c r="Z6" s="156">
        <f>股权价值增加表!Z31/股权价值增加表!Z4</f>
        <v>8.5170621424200801E-2</v>
      </c>
      <c r="AA6" s="156">
        <f>股权价值增加表!AA31/股权价值增加表!AA4</f>
        <v>8.4363503357459971E-2</v>
      </c>
      <c r="AB6" s="156">
        <f>股权价值增加表!AB31/股权价值增加表!AB4</f>
        <v>9.0012462306354041E-2</v>
      </c>
      <c r="AC6" s="156">
        <f>股权价值增加表!AC31/股权价值增加表!AC4</f>
        <v>8.6225510845954756E-2</v>
      </c>
      <c r="AD6" s="156">
        <f>股权价值增加表!AD31/股权价值增加表!AD4</f>
        <v>9.0979058636130622E-2</v>
      </c>
      <c r="AE6" s="156">
        <f>股权价值增加表!AE31/股权价值增加表!AE4</f>
        <v>8.9278114804313122E-2</v>
      </c>
      <c r="AF6" s="156">
        <f>股权价值增加表!AF31/股权价值增加表!AF4</f>
        <v>9.5636068095491605E-2</v>
      </c>
      <c r="AG6" s="156">
        <f>股权价值增加表!AG31/股权价值增加表!AG4</f>
        <v>9.2595534584458475E-2</v>
      </c>
      <c r="AH6" s="156">
        <f>股权价值增加表!AH31/股权价值增加表!AH4</f>
        <v>9.2536466631618047E-2</v>
      </c>
      <c r="AI6" s="156">
        <f>股权价值增加表!AI31/股权价值增加表!AI4</f>
        <v>8.9021413367108296E-2</v>
      </c>
      <c r="AJ6" s="156">
        <f>股权价值增加表!AJ31/股权价值增加表!AJ4</f>
        <v>9.8570541564690625E-2</v>
      </c>
      <c r="AK6" s="156">
        <f>股权价值增加表!AK31/股权价值增加表!AK4</f>
        <v>0.10074370261438634</v>
      </c>
      <c r="AL6" s="156">
        <f>股权价值增加表!AL31/股权价值增加表!AL4</f>
        <v>9.811052927676675E-2</v>
      </c>
      <c r="AM6" s="156">
        <f>股权价值增加表!AM31/股权价值增加表!AM4</f>
        <v>0.10481018518681846</v>
      </c>
      <c r="AN6" s="156">
        <f>股权价值增加表!AN31/股权价值增加表!AN4</f>
        <v>0.10304596581113801</v>
      </c>
      <c r="AO6" s="156">
        <f>股权价值增加表!AO31/股权价值增加表!AO4</f>
        <v>9.3512833932265463E-2</v>
      </c>
      <c r="AP6" s="156">
        <f>股权价值增加表!AP31/股权价值增加表!AP4</f>
        <v>7.4494485954620202E-2</v>
      </c>
      <c r="AQ6" s="156">
        <f>股权价值增加表!AQ31/股权价值增加表!AQ4</f>
        <v>8.150801262936043E-2</v>
      </c>
      <c r="AR6" s="156">
        <f>股权价值增加表!AR31/股权价值增加表!AR4</f>
        <v>8.3546629865786426E-2</v>
      </c>
      <c r="AS6" s="156">
        <f>股权价值增加表!AS31/股权价值增加表!AS4</f>
        <v>9.0703841683097433E-2</v>
      </c>
      <c r="AT6" s="156">
        <f>股权价值增加表!AT31/股权价值增加表!AT4</f>
        <v>9.1561400346063915E-2</v>
      </c>
      <c r="AU6" s="156">
        <f>股权价值增加表!AU31/股权价值增加表!AU4</f>
        <v>9.8150164679651916E-2</v>
      </c>
      <c r="AV6" s="156">
        <f>股权价值增加表!AV31/股权价值增加表!AV4</f>
        <v>9.5332581775926475E-2</v>
      </c>
      <c r="AW6" s="156">
        <f>股权价值增加表!AW31/股权价值增加表!AW4</f>
        <v>8.2803711577646155E-2</v>
      </c>
      <c r="AX6" s="156">
        <f>股权价值增加表!AX31/股权价值增加表!AX4</f>
        <v>7.6619320525882967E-2</v>
      </c>
      <c r="AY6" s="156">
        <f>股权价值增加表!AY31/股权价值增加表!AY4</f>
        <v>7.7917704067724747E-2</v>
      </c>
      <c r="AZ6" s="156">
        <f>股权价值增加表!AZ31/股权价值增加表!AZ4</f>
        <v>7.9838766650649581E-2</v>
      </c>
      <c r="BA6" s="156">
        <f>股权价值增加表!BA31/股权价值增加表!BA4</f>
        <v>7.1400983659657399E-2</v>
      </c>
      <c r="BB6" s="156">
        <f>股权价值增加表!BB31/股权价值增加表!BB4</f>
        <v>6.4432590851598512E-2</v>
      </c>
      <c r="BC6" s="156">
        <f>股权价值增加表!BC31/股权价值增加表!BC4</f>
        <v>7.2628588982170519E-2</v>
      </c>
      <c r="BD6" s="156">
        <f>股权价值增加表!BD31/股权价值增加表!BD4</f>
        <v>6.0357571888898939E-2</v>
      </c>
      <c r="BE6" s="156">
        <f>股权价值增加表!BE31/股权价值增加表!BE4</f>
        <v>8.3347409047097656E-2</v>
      </c>
      <c r="BF6" s="156">
        <f>股权价值增加表!BF31/股权价值增加表!BF4</f>
        <v>9.0042788628541745E-2</v>
      </c>
      <c r="BG6" s="156">
        <f>股权价值增加表!BG31/股权价值增加表!BG4</f>
        <v>9.3356541192672032E-2</v>
      </c>
      <c r="BH6" s="156">
        <f>股权价值增加表!BH31/股权价值增加表!BH4</f>
        <v>8.5901337223133437E-2</v>
      </c>
      <c r="BI6" s="156">
        <f>股权价值增加表!BI31/股权价值增加表!BI4</f>
        <v>0.11018260525770826</v>
      </c>
      <c r="BJ6" s="156">
        <f>股权价值增加表!BJ31/股权价值增加表!BJ4</f>
        <v>0.10501370908955965</v>
      </c>
      <c r="BK6" s="156">
        <f>股权价值增加表!BK31/股权价值增加表!BK4</f>
        <v>0.10798445816397466</v>
      </c>
      <c r="BL6" s="156">
        <f>股权价值增加表!BL31/股权价值增加表!BL4</f>
        <v>0.10845917831673259</v>
      </c>
      <c r="BM6" s="156">
        <f>股权价值增加表!BM31/股权价值增加表!BM4</f>
        <v>8.6278158901284915E-2</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432</v>
      </c>
      <c r="E7" s="61">
        <f>股权价值增加表!E4/资产资本表!E70</f>
        <v>2.7211982427616928</v>
      </c>
      <c r="F7" s="61">
        <f>股权价值增加表!F4/资产资本表!F70</f>
        <v>2.1093841428096436</v>
      </c>
      <c r="G7" s="61">
        <f>股权价值增加表!G4/资产资本表!G70</f>
        <v>1.4719251258071238</v>
      </c>
      <c r="H7" s="61">
        <f>股权价值增加表!H4/资产资本表!H70</f>
        <v>0.79928550659281072</v>
      </c>
      <c r="I7" s="61">
        <f>股权价值增加表!I4/资产资本表!I70</f>
        <v>2.6168901415546486</v>
      </c>
      <c r="J7" s="61">
        <f>股权价值增加表!J4/资产资本表!J70</f>
        <v>2.0922474463526055</v>
      </c>
      <c r="K7" s="61">
        <f>股权价值增加表!K4/资产资本表!K70</f>
        <v>1.4575624809661412</v>
      </c>
      <c r="L7" s="61">
        <f>股权价值增加表!L4/资产资本表!L70</f>
        <v>0.59158660895471138</v>
      </c>
      <c r="M7" s="61">
        <f>股权价值增加表!M4/资产资本表!M70</f>
        <v>2.1763959763624512</v>
      </c>
      <c r="N7" s="61">
        <f>股权价值增加表!N4/资产资本表!N70</f>
        <v>1.7479813462745273</v>
      </c>
      <c r="O7" s="61">
        <f>股权价值增加表!O4/资产资本表!O70</f>
        <v>1.2053835428165092</v>
      </c>
      <c r="P7" s="61">
        <f>股权价值增加表!P4/资产资本表!P70</f>
        <v>0.66141461795961187</v>
      </c>
      <c r="Q7" s="61">
        <f>股权价值增加表!Q4/资产资本表!Q70</f>
        <v>2.2215802300301863</v>
      </c>
      <c r="R7" s="61">
        <f>股权价值增加表!R4/资产资本表!R70</f>
        <v>1.7541515817194402</v>
      </c>
      <c r="S7" s="61">
        <f>股权价值增加表!S4/资产资本表!S70</f>
        <v>1.1947492732250498</v>
      </c>
      <c r="T7" s="61">
        <f>股权价值增加表!T4/资产资本表!T70</f>
        <v>0.65655181731319701</v>
      </c>
      <c r="U7" s="61">
        <f>股权价值增加表!U4/资产资本表!U70</f>
        <v>2.2368667854351791</v>
      </c>
      <c r="V7" s="61">
        <f>股权价值增加表!V4/资产资本表!V70</f>
        <v>1.7225262496353011</v>
      </c>
      <c r="W7" s="61">
        <f>股权价值增加表!W4/资产资本表!W70</f>
        <v>1.1853830780012247</v>
      </c>
      <c r="X7" s="61">
        <f>股权价值增加表!X4/资产资本表!X70</f>
        <v>0.63666073775528109</v>
      </c>
      <c r="Y7" s="61">
        <f>股权价值增加表!Y4/资产资本表!Y70</f>
        <v>2.0294597397835989</v>
      </c>
      <c r="Z7" s="61">
        <f>股权价值增加表!Z4/资产资本表!Z70</f>
        <v>1.569956976942408</v>
      </c>
      <c r="AA7" s="61">
        <f>股权价值增加表!AA4/资产资本表!AA70</f>
        <v>1.060105421290447</v>
      </c>
      <c r="AB7" s="61">
        <f>股权价值增加表!AB4/资产资本表!AB70</f>
        <v>0.59633550979411498</v>
      </c>
      <c r="AC7" s="61">
        <f>股权价值增加表!AC4/资产资本表!AC70</f>
        <v>2.3028620435794087</v>
      </c>
      <c r="AD7" s="61">
        <f>股权价值增加表!AD4/资产资本表!AD70</f>
        <v>1.7989421035833819</v>
      </c>
      <c r="AE7" s="61">
        <f>股权价值增加表!AE4/资产资本表!AE70</f>
        <v>1.232666836130087</v>
      </c>
      <c r="AF7" s="61">
        <f>股权价值增加表!AF4/资产资本表!AF70</f>
        <v>0.66451176221878372</v>
      </c>
      <c r="AG7" s="61">
        <f>股权价值增加表!AG4/资产资本表!AG70</f>
        <v>2.0543396230330133</v>
      </c>
      <c r="AH7" s="61">
        <f>股权价值增加表!AH4/资产资本表!AH70</f>
        <v>1.5808922079532257</v>
      </c>
      <c r="AI7" s="61">
        <f>股权价值增加表!AI4/资产资本表!AI70</f>
        <v>1.0598232096652307</v>
      </c>
      <c r="AJ7" s="61">
        <f>股权价值增加表!AJ4/资产资本表!AJ70</f>
        <v>0.56396186794364467</v>
      </c>
      <c r="AK7" s="61">
        <f>股权价值增加表!AK4/资产资本表!AK70</f>
        <v>1.7241914994370018</v>
      </c>
      <c r="AL7" s="61">
        <f>股权价值增加表!AL4/资产资本表!AL70</f>
        <v>1.24316073455799</v>
      </c>
      <c r="AM7" s="61">
        <f>股权价值增加表!AM4/资产资本表!AM70</f>
        <v>0.80516650129845579</v>
      </c>
      <c r="AN7" s="61">
        <f>股权价值增加表!AN4/资产资本表!AN70</f>
        <v>0.43494306234997221</v>
      </c>
      <c r="AO7" s="61">
        <f>股权价值增加表!AO4/资产资本表!AO70</f>
        <v>1.6743035814181795</v>
      </c>
      <c r="AP7" s="61">
        <f>股权价值增加表!AP4/资产资本表!AP70</f>
        <v>1.3290254733572535</v>
      </c>
      <c r="AQ7" s="61">
        <f>股权价值增加表!AQ4/资产资本表!AQ70</f>
        <v>0.88940883080008282</v>
      </c>
      <c r="AR7" s="61">
        <f>股权价值增加表!AR4/资产资本表!AR70</f>
        <v>0.50555274648811821</v>
      </c>
      <c r="AS7" s="61">
        <f>股权价值增加表!AS4/资产资本表!AS70</f>
        <v>1.6159558535029142</v>
      </c>
      <c r="AT7" s="61">
        <f>股权价值增加表!AT4/资产资本表!AT70</f>
        <v>1.0185503059985774</v>
      </c>
      <c r="AU7" s="61">
        <f>股权价值增加表!AU4/资产资本表!AU70</f>
        <v>1.053587859707988</v>
      </c>
      <c r="AV7" s="61">
        <f>股权价值增加表!AV4/资产资本表!AV70</f>
        <v>0.54305767084181789</v>
      </c>
      <c r="AW7" s="61">
        <f>股权价值增加表!AW4/资产资本表!AW70</f>
        <v>1.7375675155360639</v>
      </c>
      <c r="AX7" s="61">
        <f>股权价值增加表!AX4/资产资本表!AX70</f>
        <v>1.2572859717332103</v>
      </c>
      <c r="AY7" s="61">
        <f>股权价值增加表!AY4/资产资本表!AY70</f>
        <v>0.81453095451027002</v>
      </c>
      <c r="AZ7" s="61">
        <f>股权价值增加表!AZ4/资产资本表!AZ70</f>
        <v>0.46126706980153359</v>
      </c>
      <c r="BA7" s="61">
        <f>股权价值增加表!BA4/资产资本表!BA70</f>
        <v>1.4704538249902726</v>
      </c>
      <c r="BB7" s="61">
        <f>股权价值增加表!BB4/资产资本表!BB70</f>
        <v>0.83944796352892137</v>
      </c>
      <c r="BC7" s="61">
        <f>股权价值增加表!BC4/资产资本表!BC70</f>
        <v>0.51447008201852618</v>
      </c>
      <c r="BD7" s="61">
        <f>股权价值增加表!BD4/资产资本表!BD70</f>
        <v>0.28133957219349004</v>
      </c>
      <c r="BE7" s="61">
        <f>股权价值增加表!BE4/资产资本表!BE70</f>
        <v>0.90191111071405972</v>
      </c>
      <c r="BF7" s="61">
        <f>股权价值增加表!BF4/资产资本表!BF70</f>
        <v>0.64113426729051193</v>
      </c>
      <c r="BG7" s="61">
        <f>股权价值增加表!BG4/资产资本表!BG70</f>
        <v>0.7232364945730968</v>
      </c>
      <c r="BH7" s="61">
        <f>股权价值增加表!BH4/资产资本表!BH70</f>
        <v>0.53292396473520076</v>
      </c>
      <c r="BI7" s="61">
        <f>股权价值增加表!BI4/资产资本表!BI70</f>
        <v>2.6748879545523634</v>
      </c>
      <c r="BJ7" s="61">
        <f>股权价值增加表!BJ4/资产资本表!BJ70</f>
        <v>2.6047029245934072</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0.28261753476306439</v>
      </c>
      <c r="F8" s="63">
        <f>股权价值增加表!F31/资产资本表!F70</f>
        <v>0.21843761861885652</v>
      </c>
      <c r="G8" s="63">
        <f>股权价值增加表!G31/资产资本表!G70</f>
        <v>0.15430099336085248</v>
      </c>
      <c r="H8" s="63">
        <f>股权价值增加表!H31/资产资本表!H70</f>
        <v>9.3911580989900545E-2</v>
      </c>
      <c r="I8" s="63">
        <f>股权价值增加表!I31/资产资本表!I70</f>
        <v>0.29933617529175088</v>
      </c>
      <c r="J8" s="63">
        <f>股权价值增加表!J31/资产资本表!J70</f>
        <v>0.23716042502678689</v>
      </c>
      <c r="K8" s="63">
        <f>股权价值增加表!K31/资产资本表!K70</f>
        <v>0.1667243477486014</v>
      </c>
      <c r="L8" s="63">
        <f>股权价值增加表!L31/资产资本表!L70</f>
        <v>7.1235305391184625E-2</v>
      </c>
      <c r="M8" s="63">
        <f>股权价值增加表!M31/资产资本表!M70</f>
        <v>0.23461907147309183</v>
      </c>
      <c r="N8" s="63">
        <f>股权价值增加表!N31/资产资本表!N70</f>
        <v>0.18323277861183346</v>
      </c>
      <c r="O8" s="63">
        <f>股权价值增加表!O31/资产资本表!O70</f>
        <v>0.11964173269878844</v>
      </c>
      <c r="P8" s="63">
        <f>股权价值增加表!P31/资产资本表!P70</f>
        <v>6.7718428030292779E-2</v>
      </c>
      <c r="Q8" s="63">
        <f>股权价值增加表!Q31/资产资本表!Q70</f>
        <v>0.21076970863815575</v>
      </c>
      <c r="R8" s="63">
        <f>股权价值增加表!R31/资产资本表!R70</f>
        <v>0.16339424967617538</v>
      </c>
      <c r="S8" s="63">
        <f>股权价值增加表!S31/资产资本表!S70</f>
        <v>0.11081501230492903</v>
      </c>
      <c r="T8" s="63">
        <f>股权价值增加表!T31/资产资本表!T70</f>
        <v>6.1455320363085292E-2</v>
      </c>
      <c r="U8" s="63">
        <f>股权价值增加表!U31/资产资本表!U70</f>
        <v>0.1913646540885898</v>
      </c>
      <c r="V8" s="63">
        <f>股权价值增加表!V31/资产资本表!V70</f>
        <v>0.15349296501274182</v>
      </c>
      <c r="W8" s="63">
        <f>股权价值增加表!W31/资产资本表!W70</f>
        <v>0.10302532358461286</v>
      </c>
      <c r="X8" s="63">
        <f>股权价值增加表!X31/资产资本表!X70</f>
        <v>5.8473622816021052E-2</v>
      </c>
      <c r="Y8" s="63">
        <f>股权价值增加表!Y31/资产资本表!Y70</f>
        <v>0.17103558071898203</v>
      </c>
      <c r="Z8" s="63">
        <f>股权价值增加表!Z31/资产资本表!Z70</f>
        <v>0.13371421133544459</v>
      </c>
      <c r="AA8" s="63">
        <f>股权价值增加表!AA31/资产资本表!AA70</f>
        <v>8.9434207268298135E-2</v>
      </c>
      <c r="AB8" s="63">
        <f>股权价值增加表!AB31/资产资本表!AB70</f>
        <v>5.3677627597283201E-2</v>
      </c>
      <c r="AC8" s="63">
        <f>股权价值增加表!AC31/资产资本表!AC70</f>
        <v>0.19856545611539386</v>
      </c>
      <c r="AD8" s="63">
        <f>股权价值增加表!AD31/资产资本表!AD70</f>
        <v>0.16366605912491666</v>
      </c>
      <c r="AE8" s="63">
        <f>股权价值增加表!AE31/资产资本表!AE70</f>
        <v>0.11005017131149133</v>
      </c>
      <c r="AF8" s="63">
        <f>股权价值增加表!AF31/资产资本表!AF70</f>
        <v>6.3551292141810725E-2</v>
      </c>
      <c r="AG8" s="63">
        <f>股权价值增加表!AG31/资产资本表!AG70</f>
        <v>0.19022267561277675</v>
      </c>
      <c r="AH8" s="63">
        <f>股权价值增加表!AH31/资产资本表!AH70</f>
        <v>0.14629017904944866</v>
      </c>
      <c r="AI8" s="63">
        <f>股权价值增加表!AI31/资产资本表!AI70</f>
        <v>9.4346960043663983E-2</v>
      </c>
      <c r="AJ8" s="63">
        <f>股权价值增加表!AJ31/资产资本表!AJ70</f>
        <v>5.5590026745039586E-2</v>
      </c>
      <c r="AK8" s="63">
        <f>股权价值增加表!AK31/资产资本表!AK70</f>
        <v>0.17370143566953417</v>
      </c>
      <c r="AL8" s="63">
        <f>股权价值增加表!AL31/资产资本表!AL70</f>
        <v>0.12196715764357854</v>
      </c>
      <c r="AM8" s="63">
        <f>股权价值增加表!AM31/资产资本表!AM70</f>
        <v>8.4389650107313863E-2</v>
      </c>
      <c r="AN8" s="63">
        <f>股权价值增加表!AN31/资产资本表!AN70</f>
        <v>4.4819127932706905E-2</v>
      </c>
      <c r="AO8" s="63">
        <f>股权价值增加表!AO31/资产资本表!AO70</f>
        <v>0.1565688727613555</v>
      </c>
      <c r="AP8" s="63">
        <f>股权价值增加表!AP31/资产资本表!AP70</f>
        <v>9.9005069458344391E-2</v>
      </c>
      <c r="AQ8" s="63">
        <f>股权价值增加表!AQ31/资产资本表!AQ70</f>
        <v>7.2493946213517846E-2</v>
      </c>
      <c r="AR8" s="63">
        <f>股权价值增加表!AR31/资产资本表!AR70</f>
        <v>4.2237228188474564E-2</v>
      </c>
      <c r="AS8" s="63">
        <f>股权价值增加表!AS31/资产资本表!AS70</f>
        <v>0.14657340390300291</v>
      </c>
      <c r="AT8" s="63">
        <f>股权价值增加表!AT31/资产资本表!AT70</f>
        <v>9.3259892340141662E-2</v>
      </c>
      <c r="AU8" s="63">
        <f>股权价值增加表!AU31/资产资本表!AU70</f>
        <v>0.10340982193482101</v>
      </c>
      <c r="AV8" s="63">
        <f>股权价值增加表!AV31/资产资本表!AV70</f>
        <v>5.177108981457177E-2</v>
      </c>
      <c r="AW8" s="63">
        <f>股权价值增加表!AW31/资产资本表!AW70</f>
        <v>0.14387703940313543</v>
      </c>
      <c r="AX8" s="63">
        <f>股权价值增加表!AX31/资产资本表!AX70</f>
        <v>9.6332396860923084E-2</v>
      </c>
      <c r="AY8" s="63">
        <f>股权价值增加表!AY31/资产资本表!AY70</f>
        <v>6.346638186753259E-2</v>
      </c>
      <c r="AZ8" s="63">
        <f>股权价值增加表!AZ31/资产资本表!AZ70</f>
        <v>3.682699394951354E-2</v>
      </c>
      <c r="BA8" s="63">
        <f>股权价值增加表!BA31/资产资本表!BA70</f>
        <v>0.10499184953041117</v>
      </c>
      <c r="BB8" s="63">
        <f>股权价值增加表!BB31/资产资本表!BB70</f>
        <v>5.4087807175266581E-2</v>
      </c>
      <c r="BC8" s="63">
        <f>股权价值增加表!BC31/资产资本表!BC70</f>
        <v>3.7365236130547097E-2</v>
      </c>
      <c r="BD8" s="63">
        <f>股权价值增加表!BD31/资产资本表!BD70</f>
        <v>1.6980973453860647E-2</v>
      </c>
      <c r="BE8" s="63">
        <f>股权价值增加表!BE31/资产资本表!BE70</f>
        <v>7.517195426880692E-2</v>
      </c>
      <c r="BF8" s="63">
        <f>股权价值增加表!BF31/资产资本表!BF70</f>
        <v>5.7729517312154546E-2</v>
      </c>
      <c r="BG8" s="63">
        <f>股权价值增加表!BG31/资产资本表!BG70</f>
        <v>6.7518857597657037E-2</v>
      </c>
      <c r="BH8" s="63">
        <f>股权价值增加表!BH31/资产资本表!BH70</f>
        <v>4.5778881209007756E-2</v>
      </c>
      <c r="BI8" s="63">
        <f>股权价值增加表!BI31/资产资本表!BI70</f>
        <v>0.29472612360504175</v>
      </c>
      <c r="BJ8" s="63">
        <f>股权价值增加表!BJ31/资产资本表!BJ70</f>
        <v>0.2735295151879773</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433</v>
      </c>
      <c r="E9" s="156">
        <f>股权价值增加表!E38/股权价值增加表!E31</f>
        <v>0.99449374958782055</v>
      </c>
      <c r="F9" s="156">
        <f>股权价值增加表!F38/股权价值增加表!F31</f>
        <v>1.0003296609057502</v>
      </c>
      <c r="G9" s="156">
        <f>股权价值增加表!G38/股权价值增加表!G31</f>
        <v>1.0018297223912824</v>
      </c>
      <c r="H9" s="156">
        <f>股权价值增加表!H38/股权价值增加表!H31</f>
        <v>1.0032286475046162</v>
      </c>
      <c r="I9" s="156">
        <f>股权价值增加表!I38/股权价值增加表!I31</f>
        <v>1.0082741538768343</v>
      </c>
      <c r="J9" s="156">
        <f>股权价值增加表!J38/股权价值增加表!J31</f>
        <v>1.0105319871993188</v>
      </c>
      <c r="K9" s="156">
        <f>股权价值增加表!K38/股权价值增加表!K31</f>
        <v>1.0124259254772021</v>
      </c>
      <c r="L9" s="156">
        <f>股权价值增加表!L38/股权价值增加表!L31</f>
        <v>1.0055756370779061</v>
      </c>
      <c r="M9" s="156">
        <f>股权价值增加表!M38/股权价值增加表!M31</f>
        <v>1.0102268460844521</v>
      </c>
      <c r="N9" s="156">
        <f>股权价值增加表!N38/股权价值增加表!N31</f>
        <v>1.0202455722773163</v>
      </c>
      <c r="O9" s="156">
        <f>股权价值增加表!O38/股权价值增加表!O31</f>
        <v>1.0147816360958255</v>
      </c>
      <c r="P9" s="156">
        <f>股权价值增加表!P38/股权价值增加表!P31</f>
        <v>1.0115174246018632</v>
      </c>
      <c r="Q9" s="156">
        <f>股权价值增加表!Q38/股权价值增加表!Q31</f>
        <v>1.0013054611003769</v>
      </c>
      <c r="R9" s="156">
        <f>股权价值增加表!R38/股权价值增加表!R31</f>
        <v>1.0215673549265694</v>
      </c>
      <c r="S9" s="156">
        <f>股权价值增加表!S38/股权价值增加表!S31</f>
        <v>1.0236292441470436</v>
      </c>
      <c r="T9" s="156">
        <f>股权价值增加表!T38/股权价值增加表!T31</f>
        <v>1.0051876500765267</v>
      </c>
      <c r="U9" s="156">
        <f>股权价值增加表!U38/股权价值增加表!U31</f>
        <v>1.0164367137321091</v>
      </c>
      <c r="V9" s="156">
        <f>股权价值增加表!V38/股权价值增加表!V31</f>
        <v>1.0128701919153074</v>
      </c>
      <c r="W9" s="156">
        <f>股权价值增加表!W38/股权价值增加表!W31</f>
        <v>1.0023619418003322</v>
      </c>
      <c r="X9" s="156">
        <f>股权价值增加表!X38/股权价值增加表!X31</f>
        <v>0.99860478625512927</v>
      </c>
      <c r="Y9" s="156">
        <f>股权价值增加表!Y38/股权价值增加表!Y31</f>
        <v>1.0061732550247251</v>
      </c>
      <c r="Z9" s="156">
        <f>股权价值增加表!Z38/股权价值增加表!Z31</f>
        <v>1.0287136509854624</v>
      </c>
      <c r="AA9" s="156">
        <f>股权价值增加表!AA38/股权价值增加表!AA31</f>
        <v>1.0241678597445878</v>
      </c>
      <c r="AB9" s="156">
        <f>股权价值增加表!AB38/股权价值增加表!AB31</f>
        <v>1.007852697857212</v>
      </c>
      <c r="AC9" s="156">
        <f>股权价值增加表!AC38/股权价值增加表!AC31</f>
        <v>0.94872789245630562</v>
      </c>
      <c r="AD9" s="156">
        <f>股权价值增加表!AD38/股权价值增加表!AD31</f>
        <v>0.95455456024390706</v>
      </c>
      <c r="AE9" s="156">
        <f>股权价值增加表!AE38/股权价值增加表!AE31</f>
        <v>0.95976724161178006</v>
      </c>
      <c r="AF9" s="156">
        <f>股权价值增加表!AF38/股权价值增加表!AF31</f>
        <v>0.95675530676282916</v>
      </c>
      <c r="AG9" s="156">
        <f>股权价值增加表!AG38/股权价值增加表!AG31</f>
        <v>0.96222775292974039</v>
      </c>
      <c r="AH9" s="156">
        <f>股权价值增加表!AH38/股权价值增加表!AH31</f>
        <v>0.98638141069626761</v>
      </c>
      <c r="AI9" s="156">
        <f>股权价值增加表!AI38/股权价值增加表!AI31</f>
        <v>1.0051050355970519</v>
      </c>
      <c r="AJ9" s="156">
        <f>股权价值增加表!AJ38/股权价值增加表!AJ31</f>
        <v>1.0039456634290647</v>
      </c>
      <c r="AK9" s="156">
        <f>股权价值增加表!AK38/股权价值增加表!AK31</f>
        <v>1.0241911538909407</v>
      </c>
      <c r="AL9" s="156">
        <f>股权价值增加表!AL38/股权价值增加表!AL31</f>
        <v>1.0194276444572792</v>
      </c>
      <c r="AM9" s="156">
        <f>股权价值增加表!AM38/股权价值增加表!AM31</f>
        <v>1.0255891913637478</v>
      </c>
      <c r="AN9" s="156">
        <f>股权价值增加表!AN38/股权价值增加表!AN31</f>
        <v>1.0266384760462224</v>
      </c>
      <c r="AO9" s="156">
        <f>股权价值增加表!AO38/股权价值增加表!AO31</f>
        <v>1.0226371820860598</v>
      </c>
      <c r="AP9" s="156">
        <f>股权价值增加表!AP38/股权价值增加表!AP31</f>
        <v>1.1200324979511032</v>
      </c>
      <c r="AQ9" s="156">
        <f>股权价值增加表!AQ38/股权价值增加表!AQ31</f>
        <v>1.0715947440988109</v>
      </c>
      <c r="AR9" s="156">
        <f>股权价值增加表!AR38/股权价值增加表!AR31</f>
        <v>1.009520482672257</v>
      </c>
      <c r="AS9" s="156">
        <f>股权价值增加表!AS38/股权价值增加表!AS31</f>
        <v>0.91017395435316339</v>
      </c>
      <c r="AT9" s="156">
        <f>股权价值增加表!AT38/股权价值增加表!AT31</f>
        <v>0.90189423122583867</v>
      </c>
      <c r="AU9" s="156">
        <f>股权价值增加表!AU38/股权价值增加表!AU31</f>
        <v>0.90936037196800923</v>
      </c>
      <c r="AV9" s="156">
        <f>股权价值增加表!AV38/股权价值增加表!AV31</f>
        <v>0.9317516259241434</v>
      </c>
      <c r="AW9" s="156">
        <f>股权价值增加表!AW38/股权价值增加表!AW31</f>
        <v>0.84658881179395173</v>
      </c>
      <c r="AX9" s="156">
        <f>股权价值增加表!AX38/股权价值增加表!AX31</f>
        <v>0.86658677052098665</v>
      </c>
      <c r="AY9" s="156">
        <f>股权价值增加表!AY38/股权价值增加表!AY31</f>
        <v>0.8948942099012398</v>
      </c>
      <c r="AZ9" s="156">
        <f>股权价值增加表!AZ38/股权价值增加表!AZ31</f>
        <v>0.91811709737710556</v>
      </c>
      <c r="BA9" s="156">
        <f>股权价值增加表!BA38/股权价值增加表!BA31</f>
        <v>0.87114815176333582</v>
      </c>
      <c r="BB9" s="156">
        <f>股权价值增加表!BB38/股权价值增加表!BB31</f>
        <v>0.79330360244978571</v>
      </c>
      <c r="BC9" s="156">
        <f>股权价值增加表!BC38/股权价值增加表!BC31</f>
        <v>0.80567083504261616</v>
      </c>
      <c r="BD9" s="156">
        <f>股权价值增加表!BD38/股权价值增加表!BD31</f>
        <v>0.75303869868903972</v>
      </c>
      <c r="BE9" s="156">
        <f>股权价值增加表!BE38/股权价值增加表!BE31</f>
        <v>0.81213931283535001</v>
      </c>
      <c r="BF9" s="156">
        <f>股权价值增加表!BF38/股权价值增加表!BF31</f>
        <v>0.82998911412747589</v>
      </c>
      <c r="BG9" s="156">
        <f>股权价值增加表!BG38/股权价值增加表!BG31</f>
        <v>0.83676732220819494</v>
      </c>
      <c r="BH9" s="156">
        <f>股权价值增加表!BH38/股权价值增加表!BH31</f>
        <v>0.81273403507589093</v>
      </c>
      <c r="BI9" s="156">
        <f>股权价值增加表!BI38/股权价值增加表!BI31</f>
        <v>0.89409833039447051</v>
      </c>
      <c r="BJ9" s="156">
        <f>股权价值增加表!BJ38/股权价值增加表!BJ31</f>
        <v>0.89521047742744375</v>
      </c>
      <c r="BK9" s="156">
        <f>股权价值增加表!BK38/股权价值增加表!BK31</f>
        <v>0.91379027164386528</v>
      </c>
      <c r="BL9" s="156">
        <f>股权价值增加表!BL38/股权价值增加表!BL31</f>
        <v>0.87264410088571143</v>
      </c>
      <c r="BM9" s="156">
        <f>股权价值增加表!BM38/股权价值增加表!BM31</f>
        <v>0.79783782137636783</v>
      </c>
      <c r="BN9" s="156" t="e">
        <f>股权价值增加表!BN38/股权价值增加表!BN31</f>
        <v>#DIV/0!</v>
      </c>
      <c r="BO9" s="156">
        <f>股权价值增加表!BO38/股权价值增加表!BO31</f>
        <v>1.8697782626177561</v>
      </c>
      <c r="BP9" s="156">
        <f>股权价值增加表!BP38/股权价值增加表!BP31</f>
        <v>-0.66600438522699235</v>
      </c>
      <c r="BQ9" s="156">
        <f>股权价值增加表!BQ38/股权价值增加表!BQ31</f>
        <v>0.89401289659664029</v>
      </c>
      <c r="BR9" s="156">
        <f>股权价值增加表!BR38/股权价值增加表!BR31</f>
        <v>0.75828929695031189</v>
      </c>
      <c r="BS9" s="156">
        <f>股权价值增加表!BS38/股权价值增加表!BS31</f>
        <v>-0.25125960241662232</v>
      </c>
      <c r="BT9" s="156">
        <f>股权价值增加表!BT38/股权价值增加表!BT31</f>
        <v>-0.84455658054514915</v>
      </c>
      <c r="BU9" s="156">
        <f>股权价值增加表!BU38/股权价值增加表!BU31</f>
        <v>1.9036600553646572</v>
      </c>
      <c r="BV9" s="156">
        <f>股权价值增加表!BV38/股权价值增加表!BV31</f>
        <v>1.6760469803334899</v>
      </c>
      <c r="BW9" s="156">
        <f>股权价值增加表!BW38/股权价值增加表!BW31</f>
        <v>0.65910012704778753</v>
      </c>
      <c r="BX9" s="156">
        <f>股权价值增加表!BX38/股权价值增加表!BX31</f>
        <v>0.83034586959117029</v>
      </c>
      <c r="BY9" s="156">
        <f>股权价值增加表!BY38/股权价值增加表!BY31</f>
        <v>0.70492032101260704</v>
      </c>
      <c r="BZ9" s="156">
        <f>股权价值增加表!BZ38/股权价值增加表!BZ31</f>
        <v>1</v>
      </c>
      <c r="CA9" s="156">
        <f>股权价值增加表!CA38/股权价值增加表!CA31</f>
        <v>1.4085190958577554</v>
      </c>
      <c r="CB9" s="156">
        <f>股权价值增加表!CB38/股权价值增加表!CB31</f>
        <v>1</v>
      </c>
      <c r="CC9" s="156">
        <f>股权价值增加表!CC38/股权价值增加表!CC31</f>
        <v>-11.287006229103939</v>
      </c>
      <c r="CD9" s="156" t="e">
        <f>股权价值增加表!CD38/股权价值增加表!CD31</f>
        <v>#DIV/0!</v>
      </c>
      <c r="CE9" s="156" t="e">
        <f>股权价值增加表!CE38/股权价值增加表!CE31</f>
        <v>#DIV/0!</v>
      </c>
      <c r="CF9" s="156" t="e">
        <f>股权价值增加表!CF38/股权价值增加表!CF31</f>
        <v>#DIV/0!</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434</v>
      </c>
      <c r="E10" s="61">
        <f>资产资本表!E70/资产资本表!E107</f>
        <v>1.0029143079282301</v>
      </c>
      <c r="F10" s="61">
        <f>资产资本表!F70/资产资本表!F107</f>
        <v>1.0030538120952566</v>
      </c>
      <c r="G10" s="61">
        <f>资产资本表!G70/资产资本表!G107</f>
        <v>1.00323785756342</v>
      </c>
      <c r="H10" s="61">
        <f>资产资本表!H70/资产资本表!H107</f>
        <v>1.002059886048184</v>
      </c>
      <c r="I10" s="61">
        <f>资产资本表!I70/资产资本表!I107</f>
        <v>1.0015685879920357</v>
      </c>
      <c r="J10" s="61">
        <f>资产资本表!J70/资产资本表!J107</f>
        <v>1.0007112203544732</v>
      </c>
      <c r="K10" s="61">
        <f>资产资本表!K70/资产资本表!K107</f>
        <v>1.000760791792211</v>
      </c>
      <c r="L10" s="61">
        <f>资产资本表!L70/资产资本表!L107</f>
        <v>1.0005667647524092</v>
      </c>
      <c r="M10" s="61">
        <f>资产资本表!M70/资产资本表!M107</f>
        <v>1.0005988346005488</v>
      </c>
      <c r="N10" s="61">
        <f>资产资本表!N70/资产资本表!N107</f>
        <v>1.0027552624984435</v>
      </c>
      <c r="O10" s="61">
        <f>资产资本表!O70/资产资本表!O107</f>
        <v>1.0029243865098416</v>
      </c>
      <c r="P10" s="61">
        <f>资产资本表!P70/资产资本表!P107</f>
        <v>1.0028708671916862</v>
      </c>
      <c r="Q10" s="61">
        <f>资产资本表!Q70/资产资本表!Q107</f>
        <v>1.0030413446246698</v>
      </c>
      <c r="R10" s="61">
        <f>资产资本表!R70/资产资本表!R107</f>
        <v>1.0022671694122893</v>
      </c>
      <c r="S10" s="61">
        <f>资产资本表!S70/资产资本表!S107</f>
        <v>1.0038508462069291</v>
      </c>
      <c r="T10" s="61">
        <f>资产资本表!T70/资产资本表!T107</f>
        <v>1.003765751450278</v>
      </c>
      <c r="U10" s="61">
        <f>资产资本表!U70/资产资本表!U107</f>
        <v>1.0039790609686494</v>
      </c>
      <c r="V10" s="61">
        <f>资产资本表!V70/资产资本表!V107</f>
        <v>1.000009910777421</v>
      </c>
      <c r="W10" s="61">
        <f>资产资本表!W70/资产资本表!W107</f>
        <v>1.000010400513214</v>
      </c>
      <c r="X10" s="61">
        <f>资产资本表!X70/资产资本表!X107</f>
        <v>1.0000000000000002</v>
      </c>
      <c r="Y10" s="61">
        <f>资产资本表!Y70/资产资本表!Y107</f>
        <v>1.0000430206260247</v>
      </c>
      <c r="Z10" s="61">
        <f>资产资本表!Z70/资产资本表!Z107</f>
        <v>1.0000000000000002</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0.99999999999999978</v>
      </c>
      <c r="AF10" s="61">
        <f>资产资本表!AF70/资产资本表!AF107</f>
        <v>1.0000000000000002</v>
      </c>
      <c r="AG10" s="61">
        <f>资产资本表!AG70/资产资本表!AG107</f>
        <v>0.99999999999999978</v>
      </c>
      <c r="AH10" s="61">
        <f>资产资本表!AH70/资产资本表!AH107</f>
        <v>1</v>
      </c>
      <c r="AI10" s="61">
        <f>资产资本表!AI70/资产资本表!AI107</f>
        <v>0.99999999999999978</v>
      </c>
      <c r="AJ10" s="61">
        <f>资产资本表!AJ70/资产资本表!AJ107</f>
        <v>1</v>
      </c>
      <c r="AK10" s="61">
        <f>资产资本表!AK70/资产资本表!AK107</f>
        <v>1</v>
      </c>
      <c r="AL10" s="61">
        <f>资产资本表!AL70/资产资本表!AL107</f>
        <v>1</v>
      </c>
      <c r="AM10" s="61">
        <f>资产资本表!AM70/资产资本表!AM107</f>
        <v>1</v>
      </c>
      <c r="AN10" s="61">
        <f>资产资本表!AN70/资产资本表!AN107</f>
        <v>1</v>
      </c>
      <c r="AO10" s="61">
        <f>资产资本表!AO70/资产资本表!AO107</f>
        <v>1.000436922738035</v>
      </c>
      <c r="AP10" s="61">
        <f>资产资本表!AP70/资产资本表!AP107</f>
        <v>0.99999999999999989</v>
      </c>
      <c r="AQ10" s="61">
        <f>资产资本表!AQ70/资产资本表!AQ107</f>
        <v>1</v>
      </c>
      <c r="AR10" s="61">
        <f>资产资本表!AR70/资产资本表!AR107</f>
        <v>1</v>
      </c>
      <c r="AS10" s="61">
        <f>资产资本表!AS70/资产资本表!AS107</f>
        <v>1.0044339924263799</v>
      </c>
      <c r="AT10" s="61">
        <f>资产资本表!AT70/资产资本表!AT107</f>
        <v>1.1804007739651714</v>
      </c>
      <c r="AU10" s="61">
        <f>资产资本表!AU70/资产资本表!AU107</f>
        <v>1.3428409886261456</v>
      </c>
      <c r="AV10" s="61">
        <f>资产资本表!AV70/资产资本表!AV107</f>
        <v>1.3476308698759141</v>
      </c>
      <c r="AW10" s="61">
        <f>资产资本表!AW70/资产资本表!AW107</f>
        <v>1.3210892656367361</v>
      </c>
      <c r="AX10" s="61">
        <f>资产资本表!AX70/资产资本表!AX107</f>
        <v>1.3063000105025331</v>
      </c>
      <c r="AY10" s="61">
        <f>资产资本表!AY70/资产资本表!AY107</f>
        <v>1.4087956878787202</v>
      </c>
      <c r="AZ10" s="61">
        <f>资产资本表!AZ70/资产资本表!AZ107</f>
        <v>1.287362579941763</v>
      </c>
      <c r="BA10" s="61">
        <f>资产资本表!BA70/资产资本表!BA107</f>
        <v>1.2371016435611135</v>
      </c>
      <c r="BB10" s="61">
        <f>资产资本表!BB70/资产资本表!BB107</f>
        <v>1.3726843958720532</v>
      </c>
      <c r="BC10" s="61">
        <f>资产资本表!BC70/资产资本表!BC107</f>
        <v>1.4770801444147967</v>
      </c>
      <c r="BD10" s="61">
        <f>资产资本表!BD70/资产资本表!BD107</f>
        <v>1.4410001960992809</v>
      </c>
      <c r="BE10" s="61">
        <f>资产资本表!BE70/资产资本表!BE107</f>
        <v>1.5082998951668585</v>
      </c>
      <c r="BF10" s="61">
        <f>资产资本表!BF70/资产资本表!BF107</f>
        <v>1.6251800112989085</v>
      </c>
      <c r="BG10" s="61">
        <f>资产资本表!BG70/资产资本表!BG107</f>
        <v>2.3992819446145224</v>
      </c>
      <c r="BH10" s="61">
        <f>资产资本表!BH70/资产资本表!BH107</f>
        <v>1.8879340721101323</v>
      </c>
      <c r="BI10" s="61">
        <f>资产资本表!BI70/资产资本表!BI107</f>
        <v>2.3112341324942265</v>
      </c>
      <c r="BJ10" s="61">
        <f>资产资本表!BJ70/资产资本表!BJ107</f>
        <v>2.2505348638924971</v>
      </c>
      <c r="BK10" s="61" t="e">
        <f>资产资本表!BK70/资产资本表!BK107</f>
        <v>#DIV/0!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0.99739201060681959</v>
      </c>
      <c r="F11" s="28">
        <f t="shared" ref="F11:BQ11" si="2">F9*F10</f>
        <v>1.0033844797234681</v>
      </c>
      <c r="G11" s="28">
        <f t="shared" si="2"/>
        <v>1.0050735043351859</v>
      </c>
      <c r="H11" s="28">
        <f t="shared" si="2"/>
        <v>1.0052951841987494</v>
      </c>
      <c r="I11" s="28">
        <f t="shared" si="2"/>
        <v>1.0098557206072856</v>
      </c>
      <c r="J11" s="28">
        <f t="shared" si="2"/>
        <v>1.0112506981174612</v>
      </c>
      <c r="K11" s="28">
        <f t="shared" si="2"/>
        <v>1.0131961708115269</v>
      </c>
      <c r="L11" s="28">
        <f t="shared" si="2"/>
        <v>1.0061455619048834</v>
      </c>
      <c r="M11" s="28">
        <f t="shared" si="2"/>
        <v>1.0108318048742908</v>
      </c>
      <c r="N11" s="28">
        <f t="shared" si="2"/>
        <v>1.0230566166418149</v>
      </c>
      <c r="O11" s="28">
        <f t="shared" si="2"/>
        <v>1.0177492498228591</v>
      </c>
      <c r="P11" s="28">
        <f t="shared" si="2"/>
        <v>1.0144213567899716</v>
      </c>
      <c r="Q11" s="28">
        <f t="shared" si="2"/>
        <v>1.0043507760821471</v>
      </c>
      <c r="R11" s="28">
        <f t="shared" si="2"/>
        <v>1.0238834211862522</v>
      </c>
      <c r="S11" s="28">
        <f t="shared" si="2"/>
        <v>1.0275710829391689</v>
      </c>
      <c r="T11" s="28">
        <f t="shared" si="2"/>
        <v>1.0089729369276039</v>
      </c>
      <c r="U11" s="28">
        <f t="shared" si="2"/>
        <v>1.0204811773868228</v>
      </c>
      <c r="V11" s="28">
        <f t="shared" si="2"/>
        <v>1.0128802302463358</v>
      </c>
      <c r="W11" s="28">
        <f t="shared" si="2"/>
        <v>1.002372366878953</v>
      </c>
      <c r="X11" s="28">
        <f t="shared" si="2"/>
        <v>0.9986047862551295</v>
      </c>
      <c r="Y11" s="28">
        <f t="shared" si="2"/>
        <v>1.0062165412280455</v>
      </c>
      <c r="Z11" s="28">
        <f t="shared" si="2"/>
        <v>1.0287136509854626</v>
      </c>
      <c r="AA11" s="28">
        <f t="shared" si="2"/>
        <v>1.024167859744588</v>
      </c>
      <c r="AB11" s="28">
        <f t="shared" si="2"/>
        <v>1.007852697857212</v>
      </c>
      <c r="AC11" s="28">
        <f t="shared" si="2"/>
        <v>0.94872789245630562</v>
      </c>
      <c r="AD11" s="28">
        <f t="shared" si="2"/>
        <v>0.95455456024390695</v>
      </c>
      <c r="AE11" s="28">
        <f t="shared" si="2"/>
        <v>0.95976724161177984</v>
      </c>
      <c r="AF11" s="28">
        <f t="shared" si="2"/>
        <v>0.95675530676282938</v>
      </c>
      <c r="AG11" s="28">
        <f t="shared" si="2"/>
        <v>0.96222775292974017</v>
      </c>
      <c r="AH11" s="28">
        <f t="shared" si="2"/>
        <v>0.98638141069626761</v>
      </c>
      <c r="AI11" s="28">
        <f t="shared" si="2"/>
        <v>1.0051050355970517</v>
      </c>
      <c r="AJ11" s="28">
        <f t="shared" si="2"/>
        <v>1.0039456634290647</v>
      </c>
      <c r="AK11" s="28">
        <f t="shared" si="2"/>
        <v>1.0241911538909407</v>
      </c>
      <c r="AL11" s="28">
        <f t="shared" si="2"/>
        <v>1.0194276444572792</v>
      </c>
      <c r="AM11" s="28">
        <f t="shared" si="2"/>
        <v>1.0255891913637478</v>
      </c>
      <c r="AN11" s="28">
        <f t="shared" si="2"/>
        <v>1.0266384760462224</v>
      </c>
      <c r="AO11" s="28">
        <f t="shared" si="2"/>
        <v>1.0230839955236732</v>
      </c>
      <c r="AP11" s="28">
        <f t="shared" si="2"/>
        <v>1.1200324979511029</v>
      </c>
      <c r="AQ11" s="28">
        <f t="shared" si="2"/>
        <v>1.0715947440988109</v>
      </c>
      <c r="AR11" s="28">
        <f t="shared" si="2"/>
        <v>1.009520482672257</v>
      </c>
      <c r="AS11" s="28">
        <f t="shared" si="2"/>
        <v>0.9142096587734535</v>
      </c>
      <c r="AT11" s="28">
        <f t="shared" si="2"/>
        <v>1.0645966485737033</v>
      </c>
      <c r="AU11" s="28">
        <f t="shared" si="2"/>
        <v>1.2211263809109612</v>
      </c>
      <c r="AV11" s="28">
        <f t="shared" si="2"/>
        <v>1.2556572541524507</v>
      </c>
      <c r="AW11" s="28">
        <f t="shared" si="2"/>
        <v>1.1184193916691487</v>
      </c>
      <c r="AX11" s="28">
        <f t="shared" si="2"/>
        <v>1.132022307432921</v>
      </c>
      <c r="AY11" s="28">
        <f t="shared" si="2"/>
        <v>1.260723104016501</v>
      </c>
      <c r="AZ11" s="28">
        <f t="shared" si="2"/>
        <v>1.1819495951680334</v>
      </c>
      <c r="BA11" s="28">
        <f t="shared" si="2"/>
        <v>1.0776988103316492</v>
      </c>
      <c r="BB11" s="28">
        <f t="shared" si="2"/>
        <v>1.0889554762719076</v>
      </c>
      <c r="BC11" s="28">
        <f t="shared" si="2"/>
        <v>1.1900403933755375</v>
      </c>
      <c r="BD11" s="28">
        <f t="shared" si="2"/>
        <v>1.0851289124812535</v>
      </c>
      <c r="BE11" s="28">
        <f t="shared" si="2"/>
        <v>1.224949640410443</v>
      </c>
      <c r="BF11" s="28">
        <f t="shared" si="2"/>
        <v>1.3488817178756625</v>
      </c>
      <c r="BG11" s="28">
        <f t="shared" si="2"/>
        <v>2.0076407280175648</v>
      </c>
      <c r="BH11" s="28">
        <f t="shared" si="2"/>
        <v>1.5343882763833259</v>
      </c>
      <c r="BI11" s="28">
        <f t="shared" si="2"/>
        <v>2.0664705790138003</v>
      </c>
      <c r="BJ11" s="28">
        <f t="shared" si="2"/>
        <v>2.0147023899723093</v>
      </c>
      <c r="BK11" s="28" t="e">
        <f t="shared" si="2"/>
        <v>#DIV/0!</v>
      </c>
      <c r="BL11" s="28">
        <f t="shared" si="2"/>
        <v>0</v>
      </c>
      <c r="BM11" s="28">
        <f t="shared" si="2"/>
        <v>0</v>
      </c>
      <c r="BN11" s="28" t="e">
        <f t="shared" si="2"/>
        <v>#DIV/0!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t="e">
        <f t="shared" si="3"/>
        <v>#DIV/0!</v>
      </c>
      <c r="CE11" s="28" t="e">
        <f t="shared" si="3"/>
        <v>#DIV/0!</v>
      </c>
      <c r="CF11" s="28" t="e">
        <f t="shared" si="3"/>
        <v>#DIV/0!</v>
      </c>
      <c r="CG11" s="28" t="e">
        <f t="shared" si="3"/>
        <v>#DIV/0!</v>
      </c>
      <c r="CH11" s="28" t="e">
        <f t="shared" si="3"/>
        <v>#DIV/0!</v>
      </c>
      <c r="CI11" s="28" t="e">
        <f t="shared" si="3"/>
        <v>#DIV/0!</v>
      </c>
      <c r="CJ11" s="28" t="e">
        <f t="shared" si="3"/>
        <v>#DIV/0!</v>
      </c>
    </row>
    <row r="12" spans="1:89" s="156" customFormat="1" x14ac:dyDescent="0.25">
      <c r="A12" s="156" t="s">
        <v>435</v>
      </c>
      <c r="E12" s="156">
        <f>E2/股权价值增加表!E38</f>
        <v>0.82442190057645004</v>
      </c>
      <c r="F12" s="156">
        <f>F2/股权价值增加表!F38</f>
        <v>0.81912296344555546</v>
      </c>
      <c r="G12" s="156">
        <f>G2/股权价值增加表!G38</f>
        <v>0.8185549412166846</v>
      </c>
      <c r="H12" s="156">
        <f>H2/股权价值增加表!H38</f>
        <v>0.78683541566932136</v>
      </c>
      <c r="I12" s="156">
        <f>I2/股权价值增加表!I38</f>
        <v>0.83052832101360441</v>
      </c>
      <c r="J12" s="156">
        <f>J2/股权价值增加表!J38</f>
        <v>0.78561467554058595</v>
      </c>
      <c r="K12" s="156">
        <f>K2/股权价值增加表!K38</f>
        <v>0.78322015483818253</v>
      </c>
      <c r="L12" s="156">
        <f>L2/股权价值增加表!L38</f>
        <v>0.78331961771656988</v>
      </c>
      <c r="M12" s="156">
        <f>M2/股权价值增加表!M38</f>
        <v>0.84245877677783998</v>
      </c>
      <c r="N12" s="156">
        <f>N2/股权价值增加表!N38</f>
        <v>0.79846833921704785</v>
      </c>
      <c r="O12" s="156">
        <f>O2/股权价值增加表!O38</f>
        <v>0.80641404837967767</v>
      </c>
      <c r="P12" s="156">
        <f>P2/股权价值增加表!P38</f>
        <v>0.79692679886093964</v>
      </c>
      <c r="Q12" s="156">
        <f>Q2/股权价值增加表!Q38</f>
        <v>0.84197759461518784</v>
      </c>
      <c r="R12" s="156">
        <f>R2/股权价值增加表!R38</f>
        <v>0.8262058280582939</v>
      </c>
      <c r="S12" s="156">
        <f>S2/股权价值增加表!S38</f>
        <v>0.82756643767709781</v>
      </c>
      <c r="T12" s="156">
        <f>T2/股权价值增加表!T38</f>
        <v>0.83494680437101032</v>
      </c>
      <c r="U12" s="156">
        <f>U2/股权价值增加表!U38</f>
        <v>0.85223668523407292</v>
      </c>
      <c r="V12" s="156">
        <f>V2/股权价值增加表!V38</f>
        <v>0.82087445846945672</v>
      </c>
      <c r="W12" s="156">
        <f>W2/股权价值增加表!W38</f>
        <v>0.82241842247007424</v>
      </c>
      <c r="X12" s="156">
        <f>X2/股权价值增加表!X38</f>
        <v>0.80791382195612138</v>
      </c>
      <c r="Y12" s="156">
        <f>Y2/股权价值增加表!Y38</f>
        <v>0.86647270650854114</v>
      </c>
      <c r="Z12" s="156">
        <f>Z2/股权价值增加表!Z38</f>
        <v>0.81621850607924662</v>
      </c>
      <c r="AA12" s="156">
        <f>AA2/股权价值增加表!AA38</f>
        <v>0.82488339219674467</v>
      </c>
      <c r="AB12" s="156">
        <f>AB2/股权价值增加表!AB38</f>
        <v>0.7983984240681079</v>
      </c>
      <c r="AC12" s="156">
        <f>AC2/股权价值增加表!AC38</f>
        <v>0.8367087367105116</v>
      </c>
      <c r="AD12" s="156">
        <f>AD2/股权价值增加表!AD38</f>
        <v>0.82818247797270961</v>
      </c>
      <c r="AE12" s="156">
        <f>AE2/股权价值增加表!AE38</f>
        <v>0.82802369932992537</v>
      </c>
      <c r="AF12" s="156">
        <f>AF2/股权价值增加表!AF38</f>
        <v>0.84787682290557109</v>
      </c>
      <c r="AG12" s="156">
        <f>AG2/股权价值增加表!AG38</f>
        <v>0.8380976279238459</v>
      </c>
      <c r="AH12" s="156">
        <f>AH2/股权价值增加表!AH38</f>
        <v>0.8136320845983579</v>
      </c>
      <c r="AI12" s="156">
        <f>AI2/股权价值增加表!AI38</f>
        <v>0.8063993669721764</v>
      </c>
      <c r="AJ12" s="156">
        <f>AJ2/股权价值增加表!AJ38</f>
        <v>0.80871774420358489</v>
      </c>
      <c r="AK12" s="156">
        <f>AK2/股权价值增加表!AK38</f>
        <v>0.83049054405712341</v>
      </c>
      <c r="AL12" s="156">
        <f>AL2/股权价值增加表!AL38</f>
        <v>0.81596962162496223</v>
      </c>
      <c r="AM12" s="156">
        <f>AM2/股权价值增加表!AM38</f>
        <v>0.77261015692648849</v>
      </c>
      <c r="AN12" s="156">
        <f>AN2/股权价值增加表!AN38</f>
        <v>0.75902263622530541</v>
      </c>
      <c r="AO12" s="156">
        <f>AO2/股权价值增加表!AO38</f>
        <v>0.86430179545905239</v>
      </c>
      <c r="AP12" s="156">
        <f>AP2/股权价值增加表!AP38</f>
        <v>0.85954992192822888</v>
      </c>
      <c r="AQ12" s="156">
        <f>AQ2/股权价值增加表!AQ38</f>
        <v>0.86337758215945082</v>
      </c>
      <c r="AR12" s="156">
        <f>AR2/股权价值增加表!AR38</f>
        <v>0.85077218002033095</v>
      </c>
      <c r="AS12" s="156">
        <f>AS2/股权价值增加表!AS38</f>
        <v>0.88900036280257844</v>
      </c>
      <c r="AT12" s="156">
        <f>AT2/股权价值增加表!AT38</f>
        <v>0.72490721801987745</v>
      </c>
      <c r="AU12" s="156">
        <f>AU2/股权价值增加表!AU38</f>
        <v>0.70766456865416816</v>
      </c>
      <c r="AV12" s="156">
        <f>AV2/股权价值增加表!AV38</f>
        <v>0.78282099503326319</v>
      </c>
      <c r="AW12" s="156">
        <f>AW2/股权价值增加表!AW38</f>
        <v>0.88988991747103086</v>
      </c>
      <c r="AX12" s="156">
        <f>AX2/股权价值增加表!AX38</f>
        <v>0.80470749226976201</v>
      </c>
      <c r="AY12" s="156">
        <f>AY2/股权价值增加表!AY38</f>
        <v>0.81379016041250063</v>
      </c>
      <c r="AZ12" s="156">
        <f>AZ2/股权价值增加表!AZ38</f>
        <v>0.79839785438455713</v>
      </c>
      <c r="BA12" s="156">
        <f>BA2/股权价值增加表!BA38</f>
        <v>0.95652884330586796</v>
      </c>
      <c r="BB12" s="156">
        <f>BB2/股权价值增加表!BB38</f>
        <v>0.94836281993318305</v>
      </c>
      <c r="BC12" s="156">
        <f>BC2/股权价值增加表!BC38</f>
        <v>0.93924134542813376</v>
      </c>
      <c r="BD12" s="156">
        <f>BD2/股权价值增加表!BD38</f>
        <v>0.93514095664418551</v>
      </c>
      <c r="BE12" s="156">
        <f>BE2/股权价值增加表!BE38</f>
        <v>0.92507888584428355</v>
      </c>
      <c r="BF12" s="156">
        <f>BF2/股权价值增加表!BF38</f>
        <v>0.79371564488622048</v>
      </c>
      <c r="BG12" s="156">
        <f>BG2/股权价值增加表!BG38</f>
        <v>0.76180301872907197</v>
      </c>
      <c r="BH12" s="156">
        <f>BH2/股权价值增加表!BH38</f>
        <v>0.71747940096080054</v>
      </c>
      <c r="BI12" s="156">
        <f>BI2/股权价值增加表!BI38</f>
        <v>0.60258304541974517</v>
      </c>
      <c r="BJ12" s="156">
        <f>BJ2/股权价值增加表!BJ38</f>
        <v>0.55393628089203872</v>
      </c>
      <c r="BK12" s="156">
        <f>BK2/股权价值增加表!BK38</f>
        <v>0.48327967395058141</v>
      </c>
      <c r="BL12" s="156">
        <f>BL2/股权价值增加表!BL38</f>
        <v>0.57429493263507603</v>
      </c>
      <c r="BM12" s="156">
        <f>BM2/股权价值增加表!BM38</f>
        <v>0.57871309850993102</v>
      </c>
      <c r="BN12" s="156" t="e">
        <f>BN2/股权价值增加表!BN38</f>
        <v>#DIV/0!</v>
      </c>
      <c r="BO12" s="156">
        <f>BO2/股权价值增加表!BO38</f>
        <v>1.6103595345931847</v>
      </c>
      <c r="BP12" s="156">
        <f>BP2/股权价值增加表!BP38</f>
        <v>4.5229028155064954</v>
      </c>
      <c r="BQ12" s="156">
        <f>BQ2/股权价值增加表!BQ38</f>
        <v>-1.5652085153600652</v>
      </c>
      <c r="BR12" s="156">
        <f>BR2/股权价值增加表!BR38</f>
        <v>-0.8013460537536532</v>
      </c>
      <c r="BS12" s="156">
        <f>BS2/股权价值增加表!BS38</f>
        <v>10.67120256310883</v>
      </c>
      <c r="BT12" s="156">
        <f>BT2/股权价值增加表!BT38</f>
        <v>5.4877170318057598</v>
      </c>
      <c r="BU12" s="156">
        <f>BU2/股权价值增加表!BU38</f>
        <v>2.4734583048077887</v>
      </c>
      <c r="BV12" s="156">
        <f>BV2/股权价值增加表!BV38</f>
        <v>3.4023514340444883</v>
      </c>
      <c r="BW12" s="156">
        <f>BW2/股权价值增加表!BW38</f>
        <v>3.1478797907277696</v>
      </c>
      <c r="BX12" s="156">
        <f>BX2/股权价值增加表!BX38</f>
        <v>4.4672171720354035</v>
      </c>
      <c r="BY12" s="156">
        <f>BY2/股权价值增加表!BY38</f>
        <v>4.6378791400626973</v>
      </c>
      <c r="BZ12" s="156">
        <f>BZ2/股权价值增加表!BZ38</f>
        <v>6.7704488477415268</v>
      </c>
      <c r="CA12" s="156">
        <f>CA2/股权价值增加表!CA38</f>
        <v>3.0922177607919297</v>
      </c>
      <c r="CB12" s="156">
        <f>CB2/股权价值增加表!CB38</f>
        <v>14.358609794628752</v>
      </c>
      <c r="CC12" s="156">
        <f>CC2/股权价值增加表!CC38</f>
        <v>4.0695362562874271</v>
      </c>
      <c r="CD12" s="156" t="e">
        <f>CD2/股权价值增加表!CD38</f>
        <v>#DIV/0!</v>
      </c>
      <c r="CE12" s="156" t="e">
        <f>CE2/股权价值增加表!CE38</f>
        <v>#DIV/0!</v>
      </c>
      <c r="CF12" s="156" t="e">
        <f>CF2/股权价值增加表!CF38</f>
        <v>#DIV/0!</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436</v>
      </c>
      <c r="E13" s="63">
        <f>1-E2/股权价值增加表!E38</f>
        <v>0.17557809942354996</v>
      </c>
      <c r="F13" s="63">
        <f>1-F2/股权价值增加表!F38</f>
        <v>0.18087703655444454</v>
      </c>
      <c r="G13" s="63">
        <f>1-G2/股权价值增加表!G38</f>
        <v>0.1814450587833154</v>
      </c>
      <c r="H13" s="63">
        <f>1-H2/股权价值增加表!H38</f>
        <v>0.21316458433067864</v>
      </c>
      <c r="I13" s="63">
        <f>1-I2/股权价值增加表!I38</f>
        <v>0.16947167898639559</v>
      </c>
      <c r="J13" s="63">
        <f>1-J2/股权价值增加表!J38</f>
        <v>0.21438532445941405</v>
      </c>
      <c r="K13" s="63">
        <f>1-K2/股权价值增加表!K38</f>
        <v>0.21677984516181747</v>
      </c>
      <c r="L13" s="63">
        <f>1-L2/股权价值增加表!L38</f>
        <v>0.21668038228343012</v>
      </c>
      <c r="M13" s="63">
        <f>1-M2/股权价值增加表!M38</f>
        <v>0.15754122322216002</v>
      </c>
      <c r="N13" s="63">
        <f>1-N2/股权价值增加表!N38</f>
        <v>0.20153166078295215</v>
      </c>
      <c r="O13" s="63">
        <f>1-O2/股权价值增加表!O38</f>
        <v>0.19358595162032233</v>
      </c>
      <c r="P13" s="63">
        <f>1-P2/股权价值增加表!P38</f>
        <v>0.20307320113906036</v>
      </c>
      <c r="Q13" s="63">
        <f>1-Q2/股权价值增加表!Q38</f>
        <v>0.15802240538481216</v>
      </c>
      <c r="R13" s="63">
        <f>1-R2/股权价值增加表!R38</f>
        <v>0.1737941719417061</v>
      </c>
      <c r="S13" s="63">
        <f>1-S2/股权价值增加表!S38</f>
        <v>0.17243356232290219</v>
      </c>
      <c r="T13" s="63">
        <f>1-T2/股权价值增加表!T38</f>
        <v>0.16505319562898968</v>
      </c>
      <c r="U13" s="63">
        <f>1-U2/股权价值增加表!U38</f>
        <v>0.14776331476592708</v>
      </c>
      <c r="V13" s="63">
        <f>1-V2/股权价值增加表!V38</f>
        <v>0.17912554153054328</v>
      </c>
      <c r="W13" s="63">
        <f>1-W2/股权价值增加表!W38</f>
        <v>0.17758157752992576</v>
      </c>
      <c r="X13" s="63">
        <f>1-X2/股权价值增加表!X38</f>
        <v>0.19208617804387862</v>
      </c>
      <c r="Y13" s="63">
        <f>1-Y2/股权价值增加表!Y38</f>
        <v>0.13352729349145886</v>
      </c>
      <c r="Z13" s="63">
        <f>1-Z2/股权价值增加表!Z38</f>
        <v>0.18378149392075338</v>
      </c>
      <c r="AA13" s="63">
        <f>1-AA2/股权价值增加表!AA38</f>
        <v>0.17511660780325533</v>
      </c>
      <c r="AB13" s="63">
        <f>1-AB2/股权价值增加表!AB38</f>
        <v>0.2016015759318921</v>
      </c>
      <c r="AC13" s="63">
        <f>1-AC2/股权价值增加表!AC38</f>
        <v>0.1632912632894884</v>
      </c>
      <c r="AD13" s="63">
        <f>1-AD2/股权价值增加表!AD38</f>
        <v>0.17181752202729039</v>
      </c>
      <c r="AE13" s="63">
        <f>1-AE2/股权价值增加表!AE38</f>
        <v>0.17197630067007463</v>
      </c>
      <c r="AF13" s="63">
        <f>1-AF2/股权价值增加表!AF38</f>
        <v>0.15212317709442891</v>
      </c>
      <c r="AG13" s="63">
        <f>1-AG2/股权价值增加表!AG38</f>
        <v>0.1619023720761541</v>
      </c>
      <c r="AH13" s="63">
        <f>1-AH2/股权价值增加表!AH38</f>
        <v>0.1863679154016421</v>
      </c>
      <c r="AI13" s="63">
        <f>1-AI2/股权价值增加表!AI38</f>
        <v>0.1936006330278236</v>
      </c>
      <c r="AJ13" s="63">
        <f>1-AJ2/股权价值增加表!AJ38</f>
        <v>0.19128225579641511</v>
      </c>
      <c r="AK13" s="63">
        <f>1-AK2/股权价值增加表!AK38</f>
        <v>0.16950945594287659</v>
      </c>
      <c r="AL13" s="63">
        <f>1-AL2/股权价值增加表!AL38</f>
        <v>0.18403037837503777</v>
      </c>
      <c r="AM13" s="63">
        <f>1-AM2/股权价值增加表!AM38</f>
        <v>0.22738984307351151</v>
      </c>
      <c r="AN13" s="63">
        <f>1-AN2/股权价值增加表!AN38</f>
        <v>0.24097736377469459</v>
      </c>
      <c r="AO13" s="63">
        <f>1-AO2/股权价值增加表!AO38</f>
        <v>0.13569820454094761</v>
      </c>
      <c r="AP13" s="63">
        <f>1-AP2/股权价值增加表!AP38</f>
        <v>0.14045007807177112</v>
      </c>
      <c r="AQ13" s="63">
        <f>1-AQ2/股权价值增加表!AQ38</f>
        <v>0.13662241784054918</v>
      </c>
      <c r="AR13" s="63">
        <f>1-AR2/股权价值增加表!AR38</f>
        <v>0.14922781997966905</v>
      </c>
      <c r="AS13" s="63">
        <f>1-AS2/股权价值增加表!AS38</f>
        <v>0.11099963719742156</v>
      </c>
      <c r="AT13" s="63">
        <f>1-AT2/股权价值增加表!AT38</f>
        <v>0.27509278198012255</v>
      </c>
      <c r="AU13" s="63">
        <f>1-AU2/股权价值增加表!AU38</f>
        <v>0.29233543134583184</v>
      </c>
      <c r="AV13" s="63">
        <f>1-AV2/股权价值增加表!AV38</f>
        <v>0.21717900496673681</v>
      </c>
      <c r="AW13" s="63">
        <f>1-AW2/股权价值增加表!AW38</f>
        <v>0.11011008252896914</v>
      </c>
      <c r="AX13" s="63">
        <f>1-AX2/股权价值增加表!AX38</f>
        <v>0.19529250773023799</v>
      </c>
      <c r="AY13" s="63">
        <f>1-AY2/股权价值增加表!AY38</f>
        <v>0.18620983958749937</v>
      </c>
      <c r="AZ13" s="63">
        <f>1-AZ2/股权价值增加表!AZ38</f>
        <v>0.20160214561544287</v>
      </c>
      <c r="BA13" s="63">
        <f>1-BA2/股权价值增加表!BA38</f>
        <v>4.347115669413204E-2</v>
      </c>
      <c r="BB13" s="63">
        <f>1-BB2/股权价值增加表!BB38</f>
        <v>5.1637180066816946E-2</v>
      </c>
      <c r="BC13" s="63">
        <f>1-BC2/股权价值增加表!BC38</f>
        <v>6.0758654571866244E-2</v>
      </c>
      <c r="BD13" s="63">
        <f>1-BD2/股权价值增加表!BD38</f>
        <v>6.4859043355814494E-2</v>
      </c>
      <c r="BE13" s="63">
        <f>1-BE2/股权价值增加表!BE38</f>
        <v>7.4921114155716451E-2</v>
      </c>
      <c r="BF13" s="63">
        <f>1-BF2/股权价值增加表!BF38</f>
        <v>0.20628435511377952</v>
      </c>
      <c r="BG13" s="63">
        <f>1-BG2/股权价值增加表!BG38</f>
        <v>0.23819698127092803</v>
      </c>
      <c r="BH13" s="63">
        <f>1-BH2/股权价值增加表!BH38</f>
        <v>0.28252059903919946</v>
      </c>
      <c r="BI13" s="63">
        <f>1-BI2/股权价值增加表!BI38</f>
        <v>0.39741695458025483</v>
      </c>
      <c r="BJ13" s="63">
        <f>1-BJ2/股权价值增加表!BJ38</f>
        <v>0.44606371910796128</v>
      </c>
      <c r="BK13" s="63">
        <f>1-BK2/股权价值增加表!BK38</f>
        <v>0.51672032604941864</v>
      </c>
      <c r="BL13" s="63">
        <f>1-BL2/股权价值增加表!BL38</f>
        <v>0.42570506736492397</v>
      </c>
      <c r="BM13" s="63">
        <f>1-BM2/股权价值增加表!BM38</f>
        <v>0.42128690149006898</v>
      </c>
      <c r="BN13" s="63" t="e">
        <f>1-BN2/股权价值增加表!BN38</f>
        <v>#DIV/0!</v>
      </c>
      <c r="BO13" s="63">
        <f>1-BO2/股权价值增加表!BO38</f>
        <v>-0.6103595345931847</v>
      </c>
      <c r="BP13" s="63">
        <f>1-BP2/股权价值增加表!BP38</f>
        <v>-3.5229028155064954</v>
      </c>
      <c r="BQ13" s="63">
        <f>1-BQ2/股权价值增加表!BQ38</f>
        <v>2.565208515360065</v>
      </c>
      <c r="BR13" s="63">
        <f>1-BR2/股权价值增加表!BR38</f>
        <v>1.8013460537536532</v>
      </c>
      <c r="BS13" s="63">
        <f>1-BS2/股权价值增加表!BS38</f>
        <v>-9.6712025631088299</v>
      </c>
      <c r="BT13" s="63">
        <f>1-BT2/股权价值增加表!BT38</f>
        <v>-4.4877170318057598</v>
      </c>
      <c r="BU13" s="63">
        <f>1-BU2/股权价值增加表!BU38</f>
        <v>-1.4734583048077887</v>
      </c>
      <c r="BV13" s="63">
        <f>1-BV2/股权价值增加表!BV38</f>
        <v>-2.4023514340444883</v>
      </c>
      <c r="BW13" s="63">
        <f>1-BW2/股权价值增加表!BW38</f>
        <v>-2.1478797907277696</v>
      </c>
      <c r="BX13" s="63">
        <f>1-BX2/股权价值增加表!BX38</f>
        <v>-3.4672171720354035</v>
      </c>
      <c r="BY13" s="63">
        <f>1-BY2/股权价值增加表!BY38</f>
        <v>-3.6378791400626973</v>
      </c>
      <c r="BZ13" s="63">
        <f>1-BZ2/股权价值增加表!BZ38</f>
        <v>-5.7704488477415268</v>
      </c>
      <c r="CA13" s="63">
        <f>1-CA2/股权价值增加表!CA38</f>
        <v>-2.0922177607919297</v>
      </c>
      <c r="CB13" s="63">
        <f>1-CB2/股权价值增加表!CB38</f>
        <v>-13.358609794628752</v>
      </c>
      <c r="CC13" s="63">
        <f>1-CC2/股权价值增加表!CC38</f>
        <v>-3.0695362562874271</v>
      </c>
      <c r="CD13" s="63" t="e">
        <f>1-CD2/股权价值增加表!CD38</f>
        <v>#DIV/0!</v>
      </c>
      <c r="CE13" s="63" t="e">
        <f>1-CE2/股权价值增加表!CE38</f>
        <v>#DIV/0!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437</v>
      </c>
      <c r="E14" s="59">
        <f>E6*E7*E9*E10*E12</f>
        <v>0.23238843382688421</v>
      </c>
      <c r="F14" s="59">
        <f t="shared" ref="F14:BQ14" si="4">F6*F7*F9*F10*F12</f>
        <v>0.17953284520663584</v>
      </c>
      <c r="G14" s="59">
        <f t="shared" si="4"/>
        <v>0.1269446436327506</v>
      </c>
      <c r="H14" s="59">
        <f t="shared" si="4"/>
        <v>7.4284234687233705E-2</v>
      </c>
      <c r="I14" s="59">
        <f t="shared" si="4"/>
        <v>0.25105737390286031</v>
      </c>
      <c r="J14" s="59">
        <f t="shared" si="4"/>
        <v>0.18841290342096842</v>
      </c>
      <c r="K14" s="59">
        <f t="shared" si="4"/>
        <v>0.13230505011322344</v>
      </c>
      <c r="L14" s="59">
        <f t="shared" si="4"/>
        <v>5.6142934616133976E-2</v>
      </c>
      <c r="M14" s="59">
        <f t="shared" si="4"/>
        <v>0.19979787689109163</v>
      </c>
      <c r="N14" s="59">
        <f t="shared" si="4"/>
        <v>0.14967888392435663</v>
      </c>
      <c r="O14" s="59">
        <f t="shared" si="4"/>
        <v>9.8193235381987043E-2</v>
      </c>
      <c r="P14" s="59">
        <f t="shared" si="4"/>
        <v>5.4744902101126813E-2</v>
      </c>
      <c r="Q14" s="59">
        <f t="shared" si="4"/>
        <v>0.17823547569254489</v>
      </c>
      <c r="R14" s="59">
        <f t="shared" si="4"/>
        <v>0.13822147828323672</v>
      </c>
      <c r="S14" s="59">
        <f t="shared" si="4"/>
        <v>9.4235240348945773E-2</v>
      </c>
      <c r="T14" s="59">
        <f t="shared" si="4"/>
        <v>5.1772342000597174E-2</v>
      </c>
      <c r="U14" s="59">
        <f t="shared" si="4"/>
        <v>0.16642821228815632</v>
      </c>
      <c r="V14" s="59">
        <f t="shared" si="4"/>
        <v>0.1276213436387823</v>
      </c>
      <c r="W14" s="59">
        <f t="shared" si="4"/>
        <v>8.493093456251001E-2</v>
      </c>
      <c r="X14" s="59">
        <f t="shared" si="4"/>
        <v>4.7175735896162661E-2</v>
      </c>
      <c r="Y14" s="59">
        <f t="shared" si="4"/>
        <v>0.14911893941388418</v>
      </c>
      <c r="Z14" s="59">
        <f t="shared" si="4"/>
        <v>0.1122738220830936</v>
      </c>
      <c r="AA14" s="59">
        <f t="shared" si="4"/>
        <v>7.5555722766446121E-2</v>
      </c>
      <c r="AB14" s="59">
        <f t="shared" si="4"/>
        <v>4.319266954737281E-2</v>
      </c>
      <c r="AC14" s="59">
        <f t="shared" si="4"/>
        <v>0.15762302954929078</v>
      </c>
      <c r="AD14" s="59">
        <f t="shared" si="4"/>
        <v>0.12938544380465719</v>
      </c>
      <c r="AE14" s="59">
        <f t="shared" si="4"/>
        <v>8.7457974052510851E-2</v>
      </c>
      <c r="AF14" s="59">
        <f t="shared" si="4"/>
        <v>5.1553484993740878E-2</v>
      </c>
      <c r="AG14" s="59">
        <f t="shared" si="4"/>
        <v>0.15340332617674896</v>
      </c>
      <c r="AH14" s="59">
        <f t="shared" si="4"/>
        <v>0.11740541190530465</v>
      </c>
      <c r="AI14" s="59">
        <f t="shared" si="4"/>
        <v>7.6469726747035421E-2</v>
      </c>
      <c r="AJ14" s="59">
        <f t="shared" si="4"/>
        <v>4.5134024803868925E-2</v>
      </c>
      <c r="AK14" s="59">
        <f t="shared" si="4"/>
        <v>0.14774715277147074</v>
      </c>
      <c r="AL14" s="59">
        <f t="shared" si="4"/>
        <v>0.10145496370301106</v>
      </c>
      <c r="AM14" s="59">
        <f t="shared" si="4"/>
        <v>6.6868723786845219E-2</v>
      </c>
      <c r="AN14" s="59">
        <f t="shared" si="4"/>
        <v>3.4924939831270721E-2</v>
      </c>
      <c r="AO14" s="59">
        <f t="shared" si="4"/>
        <v>0.13844654777688395</v>
      </c>
      <c r="AP14" s="59">
        <f t="shared" si="4"/>
        <v>9.5314541259359342E-2</v>
      </c>
      <c r="AQ14" s="59">
        <f t="shared" si="4"/>
        <v>6.707073783503549E-2</v>
      </c>
      <c r="AR14" s="59">
        <f t="shared" si="4"/>
        <v>3.6276370191255798E-2</v>
      </c>
      <c r="AS14" s="59">
        <f t="shared" si="4"/>
        <v>0.11912500098856138</v>
      </c>
      <c r="AT14" s="59">
        <f t="shared" si="4"/>
        <v>7.1971810621173887E-2</v>
      </c>
      <c r="AU14" s="59">
        <f t="shared" si="4"/>
        <v>8.9361377736355052E-2</v>
      </c>
      <c r="AV14" s="59">
        <f t="shared" si="4"/>
        <v>5.08886443985248E-2</v>
      </c>
      <c r="AW14" s="59">
        <f t="shared" si="4"/>
        <v>0.14319652117119178</v>
      </c>
      <c r="AX14" s="59">
        <f t="shared" si="4"/>
        <v>8.7753691759440131E-2</v>
      </c>
      <c r="AY14" s="59">
        <f t="shared" si="4"/>
        <v>6.5114226627309882E-2</v>
      </c>
      <c r="AZ14" s="59">
        <f t="shared" si="4"/>
        <v>3.4752382837363399E-2</v>
      </c>
      <c r="BA14" s="59">
        <f t="shared" si="4"/>
        <v>0.10823084771871051</v>
      </c>
      <c r="BB14" s="59">
        <f t="shared" si="4"/>
        <v>5.5857824513070961E-2</v>
      </c>
      <c r="BC14" s="59">
        <f t="shared" si="4"/>
        <v>4.1764437444529748E-2</v>
      </c>
      <c r="BD14" s="59">
        <f t="shared" si="4"/>
        <v>1.7231417159148225E-2</v>
      </c>
      <c r="BE14" s="59">
        <f t="shared" si="4"/>
        <v>8.5182982929375081E-2</v>
      </c>
      <c r="BF14" s="59">
        <f t="shared" si="4"/>
        <v>6.1806867829105883E-2</v>
      </c>
      <c r="BG14" s="59">
        <f t="shared" si="4"/>
        <v>0.10326514809570723</v>
      </c>
      <c r="BH14" s="59">
        <f t="shared" si="4"/>
        <v>5.039760323958007E-2</v>
      </c>
      <c r="BI14" s="59">
        <f t="shared" si="4"/>
        <v>0.36699890335642882</v>
      </c>
      <c r="BJ14" s="59">
        <f t="shared" si="4"/>
        <v>0.30526352029715415</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5" t="s">
        <v>698</v>
      </c>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4"/>
    </row>
    <row r="17" spans="1:89" ht="15" thickBot="1" x14ac:dyDescent="0.3"/>
    <row r="18" spans="1:89" s="248" customFormat="1" x14ac:dyDescent="0.25">
      <c r="A18" s="247"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37621</v>
      </c>
      <c r="BM18" s="1">
        <v>37256</v>
      </c>
      <c r="BN18" s="1">
        <v>25569</v>
      </c>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447</v>
      </c>
      <c r="B19" s="75">
        <v>43373</v>
      </c>
      <c r="C19" s="75">
        <v>43281</v>
      </c>
      <c r="D19" s="75">
        <v>43190</v>
      </c>
      <c r="E19" s="75">
        <f>股权价值增加表!E4</f>
        <v>14187347425.77</v>
      </c>
      <c r="F19" s="75">
        <f>股权价值增加表!F4</f>
        <v>10496638285.280001</v>
      </c>
      <c r="G19" s="75">
        <f>股权价值增加表!G4</f>
        <v>6909466633.0699997</v>
      </c>
      <c r="H19" s="75">
        <f>股权价值增加表!H4</f>
        <v>3946557740.5500002</v>
      </c>
      <c r="I19" s="75">
        <f>股权价值增加表!I4</f>
        <v>11947123201.120001</v>
      </c>
      <c r="J19" s="75">
        <f>股权价值增加表!J4</f>
        <v>8831589881.3400002</v>
      </c>
      <c r="K19" s="75">
        <f>股权价值增加表!K4</f>
        <v>5751920817.7799997</v>
      </c>
      <c r="L19" s="75">
        <f>股权价值增加表!L4</f>
        <v>3133161846.48</v>
      </c>
      <c r="M19" s="75">
        <f>股权价值增加表!M4</f>
        <v>10909686625.9</v>
      </c>
      <c r="N19" s="75">
        <f>股权价值增加表!N4</f>
        <v>8278621743.6099997</v>
      </c>
      <c r="O19" s="75">
        <f>股权价值增加表!O4</f>
        <v>5379574852.0900002</v>
      </c>
      <c r="P19" s="75">
        <f>股权价值增加表!P4</f>
        <v>3006733799.9699998</v>
      </c>
      <c r="Q19" s="75">
        <f>股权价值增加表!Q4</f>
        <v>9534643945.8400002</v>
      </c>
      <c r="R19" s="75">
        <f>股权价值增加表!R4</f>
        <v>7165393933.3800001</v>
      </c>
      <c r="S19" s="75">
        <f>股权价值增加表!S4</f>
        <v>4642903746.8100004</v>
      </c>
      <c r="T19" s="75">
        <f>股权价值增加表!T4</f>
        <v>2597184476.3400002</v>
      </c>
      <c r="U19" s="75">
        <f>股权价值增加表!U4</f>
        <v>8383249626.6099997</v>
      </c>
      <c r="V19" s="75">
        <f>股权价值增加表!V4</f>
        <v>6309123886.5600004</v>
      </c>
      <c r="W19" s="75">
        <f>股权价值增加表!W4</f>
        <v>4137281725.73</v>
      </c>
      <c r="X19" s="75">
        <f>股权价值增加表!X4</f>
        <v>2271122489.46</v>
      </c>
      <c r="Y19" s="75">
        <f>股权价值增加表!Y4</f>
        <v>6889460447.5</v>
      </c>
      <c r="Z19" s="75">
        <f>股权价值增加表!Z4</f>
        <v>5094265010.2200003</v>
      </c>
      <c r="AA19" s="75">
        <f>股权价值增加表!AA4</f>
        <v>3337991428.0799999</v>
      </c>
      <c r="AB19" s="75">
        <f>股权价值增加表!AB4</f>
        <v>1921580092.78</v>
      </c>
      <c r="AC19" s="75">
        <f>股权价值增加表!AC4</f>
        <v>7125653010.6000004</v>
      </c>
      <c r="AD19" s="75">
        <f>股权价值增加表!AD4</f>
        <v>5320905422.1599998</v>
      </c>
      <c r="AE19" s="75">
        <f>股权价值增加表!AE4</f>
        <v>3478460807.9000001</v>
      </c>
      <c r="AF19" s="75">
        <f>股权价值增加表!AF4</f>
        <v>1916611704.77</v>
      </c>
      <c r="AG19" s="75">
        <f>股权价值增加表!AG4</f>
        <v>5622064477.6899996</v>
      </c>
      <c r="AH19" s="75">
        <f>股权价值增加表!AH4</f>
        <v>4131698878.2600002</v>
      </c>
      <c r="AI19" s="75">
        <f>股权价值增加表!AI4</f>
        <v>2637387856.5799999</v>
      </c>
      <c r="AJ19" s="75">
        <f>股权价值增加表!AJ4</f>
        <v>1409824143.3399999</v>
      </c>
      <c r="AK19" s="75">
        <f>股权价值增加表!AK4</f>
        <v>4115694413.0500002</v>
      </c>
      <c r="AL19" s="75">
        <f>股权价值增加表!AL4</f>
        <v>2869852234.98</v>
      </c>
      <c r="AM19" s="75">
        <f>股权价值增加表!AM4</f>
        <v>1789643522.5799999</v>
      </c>
      <c r="AN19" s="75">
        <f>股权价值增加表!AN4</f>
        <v>974769793.25999999</v>
      </c>
      <c r="AO19" s="75">
        <f>股权价值增加表!AO4</f>
        <v>3622472692.9499998</v>
      </c>
      <c r="AP19" s="75">
        <f>股权价值增加表!AP4</f>
        <v>2737510628.8299999</v>
      </c>
      <c r="AQ19" s="75">
        <f>股权价值增加表!AQ4</f>
        <v>1770090740.1099999</v>
      </c>
      <c r="AR19" s="75">
        <f>股权价值增加表!AR4</f>
        <v>948870059</v>
      </c>
      <c r="AS19" s="75">
        <f>股权价值增加表!AS4</f>
        <v>2933702853.6199999</v>
      </c>
      <c r="AT19" s="75">
        <f>股权价值增加表!AT4</f>
        <v>2036986258.02</v>
      </c>
      <c r="AU19" s="75">
        <f>股权价值增加表!AU4</f>
        <v>1343067096.1199999</v>
      </c>
      <c r="AV19" s="75">
        <f>股权价值增加表!AV4</f>
        <v>690513878.61000001</v>
      </c>
      <c r="AW19" s="75">
        <f>股权价值增加表!AW4</f>
        <v>2078933841.01</v>
      </c>
      <c r="AX19" s="75">
        <f>股权价值增加表!AX4</f>
        <v>1395329575.05</v>
      </c>
      <c r="AY19" s="75">
        <f>股权价值增加表!AY4</f>
        <v>950623937.99000001</v>
      </c>
      <c r="AZ19" s="75">
        <f>股权价值增加表!AZ4</f>
        <v>497601268.74000001</v>
      </c>
      <c r="BA19" s="75">
        <f>股权价值增加表!BA4</f>
        <v>1469657238.76</v>
      </c>
      <c r="BB19" s="75">
        <f>股权价值增加表!BB4</f>
        <v>892949953.26999998</v>
      </c>
      <c r="BC19" s="75">
        <f>股权价值增加表!BC4</f>
        <v>571334000.86000001</v>
      </c>
      <c r="BD19" s="75">
        <f>股权价值增加表!BD4</f>
        <v>307441328.06</v>
      </c>
      <c r="BE19" s="75">
        <f>股权价值增加表!BE4</f>
        <v>1005100421.21</v>
      </c>
      <c r="BF19" s="75">
        <f>股权价值增加表!BF4</f>
        <v>690760992.04999995</v>
      </c>
      <c r="BG19" s="75">
        <f>股权价值增加表!BG4</f>
        <v>421255138.5</v>
      </c>
      <c r="BH19" s="75">
        <f>股权价值增加表!BH4</f>
        <v>215333282.66999999</v>
      </c>
      <c r="BI19" s="75">
        <f>股权价值增加表!BI4</f>
        <v>836522190.09000003</v>
      </c>
      <c r="BJ19" s="75">
        <f>股权价值增加表!BJ4</f>
        <v>565041355.69000006</v>
      </c>
      <c r="BK19" s="75">
        <f>股权价值增加表!BK4</f>
        <v>359187902.31</v>
      </c>
      <c r="BL19" s="75">
        <f>股权价值增加表!BL4</f>
        <v>615144162.49000001</v>
      </c>
      <c r="BM19" s="75">
        <f>股权价值增加表!BM4</f>
        <v>469451683.89999998</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448</v>
      </c>
      <c r="E20" s="75">
        <f>股权价值增加表!E15</f>
        <v>1409390769.4199994</v>
      </c>
      <c r="F20" s="75">
        <f>股权价值增加表!F15</f>
        <v>1044110474.7500005</v>
      </c>
      <c r="G20" s="75">
        <f>股权价值增加表!G15</f>
        <v>700551916.79999995</v>
      </c>
      <c r="H20" s="75">
        <f>股权价值增加表!H15</f>
        <v>449887739.51000029</v>
      </c>
      <c r="I20" s="75">
        <f>股权价值增加表!I15</f>
        <v>1279587994.7100015</v>
      </c>
      <c r="J20" s="75">
        <f>股权价值增加表!J15</f>
        <v>947177221.15000033</v>
      </c>
      <c r="K20" s="75">
        <f>股权价值增加表!K15</f>
        <v>609194090.88999951</v>
      </c>
      <c r="L20" s="75">
        <f>股权价值增加表!L15</f>
        <v>356227611.4799999</v>
      </c>
      <c r="M20" s="75">
        <f>股权价值增加表!M15</f>
        <v>1112979758.4799993</v>
      </c>
      <c r="N20" s="75">
        <f>股权价值增加表!N15</f>
        <v>832426064.46999967</v>
      </c>
      <c r="O20" s="75">
        <f>股权价值增加表!O15</f>
        <v>512476378.80000025</v>
      </c>
      <c r="P20" s="75">
        <f>股权价值增加表!P15</f>
        <v>299499826.67999983</v>
      </c>
      <c r="Q20" s="75">
        <f>股权价值增加表!Q15</f>
        <v>858063384.47000003</v>
      </c>
      <c r="R20" s="75">
        <f>股权价值增加表!R15</f>
        <v>648702634.68000007</v>
      </c>
      <c r="S20" s="75">
        <f>股权价值增加表!S15</f>
        <v>416078255.63000047</v>
      </c>
      <c r="T20" s="75">
        <f>股权价值增加表!T15</f>
        <v>237610740.29000014</v>
      </c>
      <c r="U20" s="75">
        <f>股权价值增加表!U15</f>
        <v>727832719.08999968</v>
      </c>
      <c r="V20" s="75">
        <f>股权价值增加表!V15</f>
        <v>564821706.78000116</v>
      </c>
      <c r="W20" s="75">
        <f>股权价值增加表!W15</f>
        <v>362595584.13999999</v>
      </c>
      <c r="X20" s="75">
        <f>股权价值增加表!X15</f>
        <v>211520702.55999994</v>
      </c>
      <c r="Y20" s="75">
        <f>股权价值增加表!Y15</f>
        <v>586519668.11000049</v>
      </c>
      <c r="Z20" s="75">
        <f>股权价值增加表!Z15</f>
        <v>437008558.28000009</v>
      </c>
      <c r="AA20" s="75">
        <f>股权价值增加表!AA15</f>
        <v>285567474.39999968</v>
      </c>
      <c r="AB20" s="75">
        <f>股权价值增加表!AB15</f>
        <v>174065162.39000005</v>
      </c>
      <c r="AC20" s="75">
        <f>股权价值增加表!AC15</f>
        <v>624832286.40000057</v>
      </c>
      <c r="AD20" s="75">
        <f>股权价值增加表!AD15</f>
        <v>475419167.82999998</v>
      </c>
      <c r="AE20" s="75">
        <f>股权价值增加表!AE15</f>
        <v>307894210.86999995</v>
      </c>
      <c r="AF20" s="75">
        <f>股权价值增加表!AF15</f>
        <v>187079685.04999995</v>
      </c>
      <c r="AG20" s="75">
        <f>股权价值增加表!AG15</f>
        <v>529634603.3999998</v>
      </c>
      <c r="AH20" s="75">
        <f>股权价值增加表!AH15</f>
        <v>388568898.26000023</v>
      </c>
      <c r="AI20" s="75">
        <f>股权价值增加表!AI15</f>
        <v>240334963.6099999</v>
      </c>
      <c r="AJ20" s="75">
        <f>股权价值增加表!AJ15</f>
        <v>142170582.3299998</v>
      </c>
      <c r="AK20" s="75">
        <f>股权价值增加表!AK15</f>
        <v>394410631.00000054</v>
      </c>
      <c r="AL20" s="75">
        <f>股权价值增加表!AL15</f>
        <v>272989734.68999982</v>
      </c>
      <c r="AM20" s="75">
        <f>股权价值增加表!AM15</f>
        <v>182676215.90999994</v>
      </c>
      <c r="AN20" s="75">
        <f>股权价值增加表!AN15</f>
        <v>100538764.15000002</v>
      </c>
      <c r="AO20" s="75">
        <f>股权价值增加表!AO15</f>
        <v>312565488.05999976</v>
      </c>
      <c r="AP20" s="75">
        <f>股权价值增加表!AP15</f>
        <v>202211127.08999994</v>
      </c>
      <c r="AQ20" s="75">
        <f>股权价值增加表!AQ15</f>
        <v>142601683.39999983</v>
      </c>
      <c r="AR20" s="75">
        <f>股权价值增加表!AR15</f>
        <v>79031720.609999925</v>
      </c>
      <c r="AS20" s="75">
        <f>股权价值增加表!AS15</f>
        <v>263805950.34999961</v>
      </c>
      <c r="AT20" s="75">
        <f>股权价值增加表!AT15</f>
        <v>184254919.45999986</v>
      </c>
      <c r="AU20" s="75">
        <f>股权价值增加表!AU15</f>
        <v>131901671.65999988</v>
      </c>
      <c r="AV20" s="75">
        <f>股权价值增加表!AV15</f>
        <v>65733420.789999999</v>
      </c>
      <c r="AW20" s="75">
        <f>股权价值增加表!AW15</f>
        <v>172515048.10000011</v>
      </c>
      <c r="AX20" s="75">
        <f>股权价值增加表!AX15</f>
        <v>108220583.59000002</v>
      </c>
      <c r="AY20" s="75">
        <f>股权价值增加表!AY15</f>
        <v>73263521.269999951</v>
      </c>
      <c r="AZ20" s="75">
        <f>股权价值增加表!AZ15</f>
        <v>39210345.610000037</v>
      </c>
      <c r="BA20" s="75">
        <f>股权价值增加表!BA15</f>
        <v>107662853.21999998</v>
      </c>
      <c r="BB20" s="75">
        <f>股权价值增加表!BB15</f>
        <v>59446656.119999923</v>
      </c>
      <c r="BC20" s="75">
        <f>股权价值增加表!BC15</f>
        <v>42793323.740000002</v>
      </c>
      <c r="BD20" s="75">
        <f>股权价值增加表!BD15</f>
        <v>19518937.770000014</v>
      </c>
      <c r="BE20" s="75">
        <f>股权价值增加表!BE15</f>
        <v>78470530.810000032</v>
      </c>
      <c r="BF20" s="75">
        <f>股权价值增加表!BF15</f>
        <v>57371018.129999951</v>
      </c>
      <c r="BG20" s="75">
        <f>股权价值增加表!BG15</f>
        <v>34471804.110000014</v>
      </c>
      <c r="BH20" s="75">
        <f>股权价值增加表!BH15</f>
        <v>12732757.639999984</v>
      </c>
      <c r="BI20" s="75">
        <f>股权价值增加表!BI15</f>
        <v>86989397.920000061</v>
      </c>
      <c r="BJ20" s="75">
        <f>股权价值增加表!BJ15</f>
        <v>57285766.450000063</v>
      </c>
      <c r="BK20" s="75">
        <f>股权价值增加表!BK15</f>
        <v>36172263.390000015</v>
      </c>
      <c r="BL20" s="75">
        <f>股权价值增加表!BL15</f>
        <v>69131959.64000003</v>
      </c>
      <c r="BM20" s="75">
        <f>股权价值增加表!BM15</f>
        <v>41639919.209999971</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449</v>
      </c>
      <c r="E21" s="242">
        <f>E20/E19</f>
        <v>9.9341386879690546E-2</v>
      </c>
      <c r="F21" s="242">
        <f t="shared" ref="F21:BQ21" si="6">F20/F19</f>
        <v>9.9470939778330048E-2</v>
      </c>
      <c r="G21" s="242">
        <f t="shared" si="6"/>
        <v>0.10139015845984803</v>
      </c>
      <c r="H21" s="242">
        <f t="shared" si="6"/>
        <v>0.1139949720961901</v>
      </c>
      <c r="I21" s="242">
        <f t="shared" si="6"/>
        <v>0.10710427716942306</v>
      </c>
      <c r="J21" s="242">
        <f t="shared" si="6"/>
        <v>0.10724877783911395</v>
      </c>
      <c r="K21" s="242">
        <f t="shared" si="6"/>
        <v>0.10591141814868078</v>
      </c>
      <c r="L21" s="242">
        <f t="shared" si="6"/>
        <v>0.11369588579671025</v>
      </c>
      <c r="M21" s="242">
        <f t="shared" si="6"/>
        <v>0.10201757361551927</v>
      </c>
      <c r="N21" s="242">
        <f t="shared" si="6"/>
        <v>0.10055128622255539</v>
      </c>
      <c r="O21" s="242">
        <f t="shared" si="6"/>
        <v>9.5263360561085947E-2</v>
      </c>
      <c r="P21" s="242">
        <f t="shared" si="6"/>
        <v>9.9609691647124909E-2</v>
      </c>
      <c r="Q21" s="242">
        <f t="shared" si="6"/>
        <v>8.999427659219264E-2</v>
      </c>
      <c r="R21" s="242">
        <f t="shared" si="6"/>
        <v>9.0532724468646131E-2</v>
      </c>
      <c r="S21" s="242">
        <f t="shared" si="6"/>
        <v>8.9615955514019713E-2</v>
      </c>
      <c r="T21" s="242">
        <f t="shared" si="6"/>
        <v>9.1487817848366917E-2</v>
      </c>
      <c r="U21" s="242">
        <f t="shared" si="6"/>
        <v>8.6819879105081488E-2</v>
      </c>
      <c r="V21" s="242">
        <f t="shared" si="6"/>
        <v>8.9524586445863197E-2</v>
      </c>
      <c r="W21" s="242">
        <f t="shared" si="6"/>
        <v>8.7641018469928347E-2</v>
      </c>
      <c r="X21" s="242">
        <f t="shared" si="6"/>
        <v>9.3134872091506074E-2</v>
      </c>
      <c r="Y21" s="242">
        <f t="shared" si="6"/>
        <v>8.5132888501135484E-2</v>
      </c>
      <c r="Z21" s="242">
        <f t="shared" si="6"/>
        <v>8.5784417850913397E-2</v>
      </c>
      <c r="AA21" s="242">
        <f t="shared" si="6"/>
        <v>8.555069135221148E-2</v>
      </c>
      <c r="AB21" s="242">
        <f t="shared" si="6"/>
        <v>9.0584390962426889E-2</v>
      </c>
      <c r="AC21" s="242">
        <f t="shared" si="6"/>
        <v>8.7687722861401002E-2</v>
      </c>
      <c r="AD21" s="242">
        <f t="shared" si="6"/>
        <v>8.9349298683269116E-2</v>
      </c>
      <c r="AE21" s="242">
        <f t="shared" si="6"/>
        <v>8.8514497610763757E-2</v>
      </c>
      <c r="AF21" s="242">
        <f t="shared" si="6"/>
        <v>9.7609591230400083E-2</v>
      </c>
      <c r="AG21" s="242">
        <f t="shared" si="6"/>
        <v>9.4206426394031095E-2</v>
      </c>
      <c r="AH21" s="242">
        <f t="shared" si="6"/>
        <v>9.4045793197697861E-2</v>
      </c>
      <c r="AI21" s="242">
        <f t="shared" si="6"/>
        <v>9.112613566123387E-2</v>
      </c>
      <c r="AJ21" s="242">
        <f t="shared" si="6"/>
        <v>0.1008427774496647</v>
      </c>
      <c r="AK21" s="242">
        <f t="shared" si="6"/>
        <v>9.5830883301104064E-2</v>
      </c>
      <c r="AL21" s="242">
        <f t="shared" si="6"/>
        <v>9.5123271979855886E-2</v>
      </c>
      <c r="AM21" s="242">
        <f t="shared" si="6"/>
        <v>0.10207407989645269</v>
      </c>
      <c r="AN21" s="242">
        <f t="shared" si="6"/>
        <v>0.1031410337550164</v>
      </c>
      <c r="AO21" s="242">
        <f t="shared" si="6"/>
        <v>8.6285119186214954E-2</v>
      </c>
      <c r="AP21" s="242">
        <f t="shared" si="6"/>
        <v>7.386679158810211E-2</v>
      </c>
      <c r="AQ21" s="242">
        <f t="shared" si="6"/>
        <v>8.0561792776305943E-2</v>
      </c>
      <c r="AR21" s="242">
        <f t="shared" si="6"/>
        <v>8.329035136095482E-2</v>
      </c>
      <c r="AS21" s="242">
        <f t="shared" si="6"/>
        <v>8.9922518916488114E-2</v>
      </c>
      <c r="AT21" s="242">
        <f t="shared" si="6"/>
        <v>9.0454669850890457E-2</v>
      </c>
      <c r="AU21" s="242">
        <f t="shared" si="6"/>
        <v>9.8209294264636482E-2</v>
      </c>
      <c r="AV21" s="242">
        <f t="shared" si="6"/>
        <v>9.5194930654139712E-2</v>
      </c>
      <c r="AW21" s="242">
        <f t="shared" si="6"/>
        <v>8.2982461825811552E-2</v>
      </c>
      <c r="AX21" s="242">
        <f t="shared" si="6"/>
        <v>7.7559155575213881E-2</v>
      </c>
      <c r="AY21" s="242">
        <f t="shared" si="6"/>
        <v>7.7068879019508388E-2</v>
      </c>
      <c r="AZ21" s="242">
        <f t="shared" si="6"/>
        <v>7.8798725150533544E-2</v>
      </c>
      <c r="BA21" s="242">
        <f t="shared" si="6"/>
        <v>7.3257117632978708E-2</v>
      </c>
      <c r="BB21" s="242">
        <f t="shared" si="6"/>
        <v>6.6573334711878443E-2</v>
      </c>
      <c r="BC21" s="242">
        <f t="shared" si="6"/>
        <v>7.4900712500193214E-2</v>
      </c>
      <c r="BD21" s="242">
        <f t="shared" si="6"/>
        <v>6.3488334158479542E-2</v>
      </c>
      <c r="BE21" s="242">
        <f t="shared" si="6"/>
        <v>7.8072329047014541E-2</v>
      </c>
      <c r="BF21" s="242">
        <f t="shared" si="6"/>
        <v>8.305480302200853E-2</v>
      </c>
      <c r="BG21" s="242">
        <f t="shared" si="6"/>
        <v>8.1831177734108557E-2</v>
      </c>
      <c r="BH21" s="242">
        <f t="shared" si="6"/>
        <v>5.9130467348668246E-2</v>
      </c>
      <c r="BI21" s="242">
        <f t="shared" si="6"/>
        <v>0.1039893489384197</v>
      </c>
      <c r="BJ21" s="242">
        <f t="shared" si="6"/>
        <v>0.10138331623540292</v>
      </c>
      <c r="BK21" s="242">
        <f t="shared" si="6"/>
        <v>0.10070568400931625</v>
      </c>
      <c r="BL21" s="242">
        <f t="shared" si="6"/>
        <v>0.1123833466291308</v>
      </c>
      <c r="BM21" s="242">
        <f t="shared" si="6"/>
        <v>8.8699051761991082E-2</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685</v>
      </c>
      <c r="E22" s="26">
        <f>资产资本表!E69</f>
        <v>3068655942.6699991</v>
      </c>
      <c r="F22" s="191">
        <f>资产资本表!F69</f>
        <v>3059869862.4300003</v>
      </c>
      <c r="G22" s="191">
        <f>资产资本表!G69</f>
        <v>2820742966.0299997</v>
      </c>
      <c r="H22" s="191">
        <f>资产资本表!H69</f>
        <v>2914787311.749999</v>
      </c>
      <c r="I22" s="191">
        <f>资产资本表!I69</f>
        <v>2903673426.2699986</v>
      </c>
      <c r="J22" s="191">
        <f>资产资本表!J69</f>
        <v>3020232517.52</v>
      </c>
      <c r="K22" s="191">
        <f>资产资本表!K69</f>
        <v>2919665358.6399999</v>
      </c>
      <c r="L22" s="191">
        <f>资产资本表!L69</f>
        <v>3711296225.3899994</v>
      </c>
      <c r="M22" s="191">
        <f>资产资本表!M69</f>
        <v>3516957804.2000003</v>
      </c>
      <c r="N22" s="191">
        <f>资产资本表!N69</f>
        <v>3167137507.7000008</v>
      </c>
      <c r="O22" s="191">
        <f>资产资本表!O69</f>
        <v>3063432034.4799995</v>
      </c>
      <c r="P22" s="191">
        <f>资产资本表!P69</f>
        <v>2959033569.5199995</v>
      </c>
      <c r="Q22" s="191">
        <f>资产资本表!Q69</f>
        <v>2707676117.3600001</v>
      </c>
      <c r="R22" s="191">
        <f>资产资本表!R69</f>
        <v>2340039678.3999996</v>
      </c>
      <c r="S22" s="191">
        <f>资产资本表!S69</f>
        <v>2365958909.9100003</v>
      </c>
      <c r="T22" s="191">
        <f>资产资本表!T69</f>
        <v>2305699563.5599999</v>
      </c>
      <c r="U22" s="191">
        <f>资产资本表!U69</f>
        <v>2292179049.5299997</v>
      </c>
      <c r="V22" s="191">
        <f>资产资本表!V69</f>
        <v>2145707938.5300004</v>
      </c>
      <c r="W22" s="191">
        <f>资产资本表!W69</f>
        <v>2219966612.2199993</v>
      </c>
      <c r="X22" s="191">
        <f>资产资本表!X69</f>
        <v>2150789859.6500006</v>
      </c>
      <c r="Y22" s="191">
        <f>资产资本表!Y69</f>
        <v>2234525594.3699999</v>
      </c>
      <c r="Z22" s="191">
        <f>资产资本表!Z69</f>
        <v>2204471907.5900006</v>
      </c>
      <c r="AA22" s="191">
        <f>资产资本表!AA69</f>
        <v>2454030400.6400003</v>
      </c>
      <c r="AB22" s="191">
        <f>资产资本表!AB69</f>
        <v>2582243509.5799999</v>
      </c>
      <c r="AC22" s="191">
        <f>资产资本表!AC69</f>
        <v>2517747558.9700003</v>
      </c>
      <c r="AD22" s="191">
        <f>资产资本表!AD69</f>
        <v>2382308685.1499996</v>
      </c>
      <c r="AE22" s="191">
        <f>资产资本表!AE69</f>
        <v>2265087525.9899998</v>
      </c>
      <c r="AF22" s="191">
        <f>资产资本表!AF69</f>
        <v>2116462485.5200005</v>
      </c>
      <c r="AG22" s="191">
        <f>资产资本表!AG69</f>
        <v>1984739952.2499998</v>
      </c>
      <c r="AH22" s="191">
        <f>资产资本表!AH69</f>
        <v>1831289991.6100001</v>
      </c>
      <c r="AI22" s="191">
        <f>资产资本表!AI69</f>
        <v>1837551612.3899999</v>
      </c>
      <c r="AJ22" s="191">
        <f>资产资本表!AJ69</f>
        <v>1627788188.5499997</v>
      </c>
      <c r="AK22" s="191">
        <f>资产资本表!AK69</f>
        <v>1415272527.4000001</v>
      </c>
      <c r="AL22" s="191">
        <f>资产资本表!AL69</f>
        <v>1287946256.4200001</v>
      </c>
      <c r="AM22" s="191">
        <f>资产资本表!AM69</f>
        <v>1240490166.51</v>
      </c>
      <c r="AN22" s="191">
        <f>资产资本表!AN69</f>
        <v>1227622782.55</v>
      </c>
      <c r="AO22" s="191">
        <f>资产资本表!AO69</f>
        <v>1262758607.8699999</v>
      </c>
      <c r="AP22" s="191">
        <f>资产资本表!AP69</f>
        <v>1336987737.0299997</v>
      </c>
      <c r="AQ22" s="191">
        <f>资产资本表!AQ69</f>
        <v>1311524456.6600001</v>
      </c>
      <c r="AR22" s="191">
        <f>资产资本表!AR69</f>
        <v>1192307308.98</v>
      </c>
      <c r="AS22" s="191">
        <f>资产资本表!AS69</f>
        <v>1018019900.2399998</v>
      </c>
      <c r="AT22" s="191">
        <f>资产资本表!AT69</f>
        <v>1129471157.0200002</v>
      </c>
      <c r="AU22" s="191">
        <f>资产资本表!AU69</f>
        <v>1023290099.5000001</v>
      </c>
      <c r="AV22" s="191">
        <f>资产资本表!AV69</f>
        <v>952063497.48000002</v>
      </c>
      <c r="AW22" s="191">
        <f>资产资本表!AW69</f>
        <v>766886228.83000004</v>
      </c>
      <c r="AX22" s="191">
        <f>资产资本表!AX69</f>
        <v>935659019.57999992</v>
      </c>
      <c r="AY22" s="191">
        <f>资产资本表!AY69</f>
        <v>918166563.5</v>
      </c>
      <c r="AZ22" s="191">
        <f>资产资本表!AZ69</f>
        <v>852413436.07999992</v>
      </c>
      <c r="BA22" s="191">
        <f>资产资本表!BA69</f>
        <v>713575247.07999992</v>
      </c>
      <c r="BB22" s="191">
        <f>资产资本表!BB69</f>
        <v>834840173.24000001</v>
      </c>
      <c r="BC22" s="191">
        <f>资产资本表!BC69</f>
        <v>799168803.75999999</v>
      </c>
      <c r="BD22" s="191">
        <f>资产资本表!BD69</f>
        <v>757863048.25999999</v>
      </c>
      <c r="BE22" s="191">
        <f>资产资本表!BE69</f>
        <v>620247699.47000003</v>
      </c>
      <c r="BF22" s="191">
        <f>资产资本表!BF69</f>
        <v>575119858.53999984</v>
      </c>
      <c r="BG22" s="191">
        <f>资产资本表!BG69</f>
        <v>523130703.24000001</v>
      </c>
      <c r="BH22" s="191">
        <f>资产资本表!BH69</f>
        <v>377026357.80000001</v>
      </c>
      <c r="BI22" s="191">
        <f>资产资本表!BI69</f>
        <v>285104775.26999998</v>
      </c>
      <c r="BJ22" s="191">
        <f>资产资本表!BJ69</f>
        <v>201913773.27000001</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686</v>
      </c>
      <c r="E23" s="244">
        <f>E19/E22</f>
        <v>4.6233099085802909</v>
      </c>
      <c r="F23" s="244">
        <f t="shared" ref="F23:BQ23" si="8">F19/F22</f>
        <v>3.4304198404516719</v>
      </c>
      <c r="G23" s="244">
        <f t="shared" si="8"/>
        <v>2.4495201144805461</v>
      </c>
      <c r="H23" s="244">
        <f t="shared" si="8"/>
        <v>1.3539779470840843</v>
      </c>
      <c r="I23" s="244">
        <f t="shared" si="8"/>
        <v>4.114485841635104</v>
      </c>
      <c r="J23" s="244">
        <f t="shared" si="8"/>
        <v>2.9241423731812124</v>
      </c>
      <c r="K23" s="244">
        <f t="shared" si="8"/>
        <v>1.9700616718825898</v>
      </c>
      <c r="L23" s="244">
        <f t="shared" si="8"/>
        <v>0.84422305744423665</v>
      </c>
      <c r="M23" s="244">
        <f t="shared" si="8"/>
        <v>3.1020237470212177</v>
      </c>
      <c r="N23" s="244">
        <f t="shared" si="8"/>
        <v>2.6139129493060747</v>
      </c>
      <c r="O23" s="244">
        <f t="shared" si="8"/>
        <v>1.7560614342152863</v>
      </c>
      <c r="P23" s="244">
        <f t="shared" si="8"/>
        <v>1.0161202059149799</v>
      </c>
      <c r="Q23" s="244">
        <f t="shared" si="8"/>
        <v>3.5213384217963015</v>
      </c>
      <c r="R23" s="244">
        <f t="shared" si="8"/>
        <v>3.0620822371180187</v>
      </c>
      <c r="S23" s="244">
        <f t="shared" si="8"/>
        <v>1.9623771686663036</v>
      </c>
      <c r="T23" s="244">
        <f t="shared" si="8"/>
        <v>1.1264192947714087</v>
      </c>
      <c r="U23" s="244">
        <f t="shared" si="8"/>
        <v>3.6573275671152063</v>
      </c>
      <c r="V23" s="244">
        <f t="shared" si="8"/>
        <v>2.9403460616743153</v>
      </c>
      <c r="W23" s="244">
        <f t="shared" si="8"/>
        <v>1.8636684457126396</v>
      </c>
      <c r="X23" s="244">
        <f t="shared" si="8"/>
        <v>1.0559481110021511</v>
      </c>
      <c r="Y23" s="244">
        <f t="shared" si="8"/>
        <v>3.083187082241682</v>
      </c>
      <c r="Z23" s="244">
        <f t="shared" si="8"/>
        <v>2.3108777175524158</v>
      </c>
      <c r="AA23" s="244">
        <f t="shared" si="8"/>
        <v>1.3602078552936698</v>
      </c>
      <c r="AB23" s="244">
        <f t="shared" si="8"/>
        <v>0.74415138837643691</v>
      </c>
      <c r="AC23" s="244">
        <f t="shared" si="8"/>
        <v>2.8301697623391102</v>
      </c>
      <c r="AD23" s="244">
        <f t="shared" si="8"/>
        <v>2.2335079644915852</v>
      </c>
      <c r="AE23" s="244">
        <f t="shared" si="8"/>
        <v>1.5356849428499115</v>
      </c>
      <c r="AF23" s="244">
        <f t="shared" si="8"/>
        <v>0.90557319956422544</v>
      </c>
      <c r="AG23" s="244">
        <f t="shared" si="8"/>
        <v>2.8326453908062605</v>
      </c>
      <c r="AH23" s="244">
        <f t="shared" si="8"/>
        <v>2.2561685463194001</v>
      </c>
      <c r="AI23" s="244">
        <f t="shared" si="8"/>
        <v>1.4352728047457117</v>
      </c>
      <c r="AJ23" s="244">
        <f t="shared" si="8"/>
        <v>0.86609802998745333</v>
      </c>
      <c r="AK23" s="244">
        <f t="shared" si="8"/>
        <v>2.9080578710949405</v>
      </c>
      <c r="AL23" s="244">
        <f t="shared" si="8"/>
        <v>2.2282391215275519</v>
      </c>
      <c r="AM23" s="244">
        <f t="shared" si="8"/>
        <v>1.4426906160933062</v>
      </c>
      <c r="AN23" s="244">
        <f t="shared" si="8"/>
        <v>0.79403038711551321</v>
      </c>
      <c r="AO23" s="244">
        <f t="shared" si="8"/>
        <v>2.8686976832890698</v>
      </c>
      <c r="AP23" s="244">
        <f t="shared" si="8"/>
        <v>2.047521120059888</v>
      </c>
      <c r="AQ23" s="244">
        <f t="shared" si="8"/>
        <v>1.3496437150839031</v>
      </c>
      <c r="AR23" s="244">
        <f t="shared" si="8"/>
        <v>0.79582675695559002</v>
      </c>
      <c r="AS23" s="244">
        <f t="shared" si="8"/>
        <v>2.8817735811729954</v>
      </c>
      <c r="AT23" s="244">
        <f t="shared" si="8"/>
        <v>1.8034867427641004</v>
      </c>
      <c r="AU23" s="244">
        <f t="shared" si="8"/>
        <v>1.3124988669158915</v>
      </c>
      <c r="AV23" s="244">
        <f t="shared" si="8"/>
        <v>0.72528132885853613</v>
      </c>
      <c r="AW23" s="244">
        <f t="shared" si="8"/>
        <v>2.7108764805722556</v>
      </c>
      <c r="AX23" s="244">
        <f t="shared" si="8"/>
        <v>1.4912799918033577</v>
      </c>
      <c r="AY23" s="244">
        <f t="shared" si="8"/>
        <v>1.0353502030898123</v>
      </c>
      <c r="AZ23" s="244">
        <f t="shared" si="8"/>
        <v>0.58375577821523172</v>
      </c>
      <c r="BA23" s="244">
        <f t="shared" si="8"/>
        <v>2.0595686926836949</v>
      </c>
      <c r="BB23" s="244">
        <f t="shared" si="8"/>
        <v>1.0696058741453192</v>
      </c>
      <c r="BC23" s="244">
        <f t="shared" si="8"/>
        <v>0.71491028950571811</v>
      </c>
      <c r="BD23" s="244">
        <f t="shared" si="8"/>
        <v>0.40566871384726244</v>
      </c>
      <c r="BE23" s="244">
        <f t="shared" si="8"/>
        <v>1.6204823041969452</v>
      </c>
      <c r="BF23" s="244">
        <f t="shared" si="8"/>
        <v>1.2010731011854936</v>
      </c>
      <c r="BG23" s="244">
        <f t="shared" si="8"/>
        <v>0.80525791334931085</v>
      </c>
      <c r="BH23" s="244">
        <f t="shared" si="8"/>
        <v>0.57113588537018722</v>
      </c>
      <c r="BI23" s="244">
        <f t="shared" si="8"/>
        <v>2.9340869134787257</v>
      </c>
      <c r="BJ23" s="244">
        <f t="shared" si="8"/>
        <v>2.7984289854978055</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693</v>
      </c>
      <c r="E24" s="159">
        <f>E21*E23</f>
        <v>0.45928601829298143</v>
      </c>
      <c r="F24" s="159">
        <f t="shared" ref="F24:BQ24" si="10">F21*F23</f>
        <v>0.34122708536395685</v>
      </c>
      <c r="G24" s="159">
        <f t="shared" si="10"/>
        <v>0.24835723255776765</v>
      </c>
      <c r="H24" s="159">
        <f t="shared" si="10"/>
        <v>0.15434667829670692</v>
      </c>
      <c r="I24" s="159">
        <f t="shared" si="10"/>
        <v>0.44067903199215308</v>
      </c>
      <c r="J24" s="159">
        <f t="shared" si="10"/>
        <v>0.31361069575125128</v>
      </c>
      <c r="K24" s="159">
        <f t="shared" si="10"/>
        <v>0.20865202550944614</v>
      </c>
      <c r="L24" s="159">
        <f t="shared" si="10"/>
        <v>9.5984688326129483E-2</v>
      </c>
      <c r="M24" s="159">
        <f t="shared" si="10"/>
        <v>0.31646093596882602</v>
      </c>
      <c r="N24" s="159">
        <f t="shared" si="10"/>
        <v>0.26283230912651906</v>
      </c>
      <c r="O24" s="159">
        <f t="shared" si="10"/>
        <v>0.16728831357506851</v>
      </c>
      <c r="P24" s="159">
        <f t="shared" si="10"/>
        <v>0.10121542038760421</v>
      </c>
      <c r="Q24" s="159">
        <f t="shared" si="10"/>
        <v>0.3169003039058515</v>
      </c>
      <c r="R24" s="159">
        <f t="shared" si="10"/>
        <v>0.27721864747334113</v>
      </c>
      <c r="S24" s="159">
        <f t="shared" si="10"/>
        <v>0.17586030504892741</v>
      </c>
      <c r="T24" s="159">
        <f t="shared" si="10"/>
        <v>0.10305364326093255</v>
      </c>
      <c r="U24" s="159">
        <f t="shared" si="10"/>
        <v>0.31752873722462399</v>
      </c>
      <c r="V24" s="159">
        <f t="shared" si="10"/>
        <v>0.26323326517911566</v>
      </c>
      <c r="W24" s="159">
        <f t="shared" si="10"/>
        <v>0.16333380067252409</v>
      </c>
      <c r="X24" s="159">
        <f t="shared" si="10"/>
        <v>9.834559225345281E-2</v>
      </c>
      <c r="Y24" s="159">
        <f t="shared" si="10"/>
        <v>0.26248062210062234</v>
      </c>
      <c r="Z24" s="159">
        <f t="shared" si="10"/>
        <v>0.19823729972488147</v>
      </c>
      <c r="AA24" s="159">
        <f t="shared" si="10"/>
        <v>0.11636672240308228</v>
      </c>
      <c r="AB24" s="159">
        <f t="shared" si="10"/>
        <v>6.7408500299923929E-2</v>
      </c>
      <c r="AC24" s="159">
        <f t="shared" si="10"/>
        <v>0.24817114177070904</v>
      </c>
      <c r="AD24" s="159">
        <f t="shared" si="10"/>
        <v>0.19956237023081908</v>
      </c>
      <c r="AE24" s="159">
        <f t="shared" si="10"/>
        <v>0.13593038120477438</v>
      </c>
      <c r="AF24" s="159">
        <f t="shared" si="10"/>
        <v>8.8392629838669565E-2</v>
      </c>
      <c r="AG24" s="159">
        <f t="shared" si="10"/>
        <v>0.26685339950938142</v>
      </c>
      <c r="AH24" s="159">
        <f t="shared" si="10"/>
        <v>0.2121831605263049</v>
      </c>
      <c r="AI24" s="159">
        <f t="shared" si="10"/>
        <v>0.13079086431613735</v>
      </c>
      <c r="AJ24" s="159">
        <f t="shared" si="10"/>
        <v>8.7339730887617789E-2</v>
      </c>
      <c r="AK24" s="159">
        <f t="shared" si="10"/>
        <v>0.27868175447775639</v>
      </c>
      <c r="AL24" s="159">
        <f t="shared" si="10"/>
        <v>0.21195739599322047</v>
      </c>
      <c r="AM24" s="159">
        <f t="shared" si="10"/>
        <v>0.1472613172129707</v>
      </c>
      <c r="AN24" s="159">
        <f t="shared" si="10"/>
        <v>8.1897114959989886E-2</v>
      </c>
      <c r="AO24" s="159">
        <f t="shared" si="10"/>
        <v>0.2475259215118161</v>
      </c>
      <c r="AP24" s="159">
        <f t="shared" si="10"/>
        <v>0.15124381584770114</v>
      </c>
      <c r="AQ24" s="159">
        <f t="shared" si="10"/>
        <v>0.1087297172964331</v>
      </c>
      <c r="AR24" s="159">
        <f t="shared" si="10"/>
        <v>6.6284690209280295E-2</v>
      </c>
      <c r="AS24" s="159">
        <f t="shared" si="10"/>
        <v>0.25913633936606439</v>
      </c>
      <c r="AT24" s="159">
        <f t="shared" si="10"/>
        <v>0.16313379789718449</v>
      </c>
      <c r="AU24" s="159">
        <f t="shared" si="10"/>
        <v>0.12889958744294475</v>
      </c>
      <c r="AV24" s="159">
        <f t="shared" si="10"/>
        <v>6.9043105805430646E-2</v>
      </c>
      <c r="AW24" s="159">
        <f t="shared" si="10"/>
        <v>0.22495520406357758</v>
      </c>
      <c r="AX24" s="159">
        <f t="shared" si="10"/>
        <v>0.1156624168904803</v>
      </c>
      <c r="AY24" s="159">
        <f t="shared" si="10"/>
        <v>7.9793279544752183E-2</v>
      </c>
      <c r="AZ24" s="159">
        <f t="shared" si="10"/>
        <v>4.5999211122617858E-2</v>
      </c>
      <c r="BA24" s="159">
        <f t="shared" si="10"/>
        <v>0.15087806599312961</v>
      </c>
      <c r="BB24" s="159">
        <f t="shared" si="10"/>
        <v>7.1207229869267655E-2</v>
      </c>
      <c r="BC24" s="159">
        <f t="shared" si="10"/>
        <v>5.3547290057697691E-2</v>
      </c>
      <c r="BD24" s="159">
        <f t="shared" si="10"/>
        <v>2.5755230862375616E-2</v>
      </c>
      <c r="BE24" s="159">
        <f t="shared" si="10"/>
        <v>0.12651482766812822</v>
      </c>
      <c r="BF24" s="159">
        <f t="shared" si="10"/>
        <v>9.9754889833994095E-2</v>
      </c>
      <c r="BG24" s="159">
        <f t="shared" si="10"/>
        <v>6.589520342908485E-2</v>
      </c>
      <c r="BH24" s="159">
        <f t="shared" si="10"/>
        <v>3.3771531821534584E-2</v>
      </c>
      <c r="BI24" s="159">
        <f t="shared" si="10"/>
        <v>0.30511378786139004</v>
      </c>
      <c r="BJ24" s="159">
        <f t="shared" si="10"/>
        <v>0.28371401079904179</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37621</v>
      </c>
      <c r="BM25" s="1">
        <v>37256</v>
      </c>
      <c r="BN25" s="1">
        <v>25569</v>
      </c>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443</v>
      </c>
      <c r="E26" s="75">
        <f>利润表!E14</f>
        <v>3933753.55</v>
      </c>
      <c r="F26" s="75">
        <f>利润表!F14</f>
        <v>2715833.09</v>
      </c>
      <c r="G26" s="75">
        <f>利润表!G14</f>
        <v>1822909.46</v>
      </c>
      <c r="H26" s="75">
        <f>利润表!H14</f>
        <v>1060099</v>
      </c>
      <c r="I26" s="75">
        <f>利润表!I14</f>
        <v>2349174.5299999998</v>
      </c>
      <c r="J26" s="75">
        <f>利润表!J14</f>
        <v>0</v>
      </c>
      <c r="K26" s="75">
        <f>利润表!K14</f>
        <v>0</v>
      </c>
      <c r="L26" s="75">
        <f>利润表!L14</f>
        <v>1162504.93</v>
      </c>
      <c r="M26" s="75">
        <f>利润表!M14</f>
        <v>3290945.74</v>
      </c>
      <c r="N26" s="75">
        <f>利润表!N14</f>
        <v>0</v>
      </c>
      <c r="O26" s="75">
        <f>利润表!O14</f>
        <v>0</v>
      </c>
      <c r="P26" s="75">
        <f>利润表!P14</f>
        <v>0</v>
      </c>
      <c r="Q26" s="75">
        <f>利润表!Q14</f>
        <v>2614494.84</v>
      </c>
      <c r="R26" s="75">
        <f>利润表!R14</f>
        <v>0</v>
      </c>
      <c r="S26" s="75">
        <f>利润表!S14</f>
        <v>0</v>
      </c>
      <c r="T26" s="75">
        <f>利润表!T14</f>
        <v>0</v>
      </c>
      <c r="U26" s="75">
        <f>利润表!U14</f>
        <v>3862222.39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444</v>
      </c>
      <c r="E27" s="75">
        <f>资产资本表!E19</f>
        <v>57828126.149999999</v>
      </c>
      <c r="F27" s="75">
        <f>资产资本表!F19</f>
        <v>56409847.630000003</v>
      </c>
      <c r="G27" s="75">
        <f>资产资本表!G19</f>
        <v>55343612.409999996</v>
      </c>
      <c r="H27" s="75">
        <f>资产资本表!H19</f>
        <v>54712420.270000003</v>
      </c>
      <c r="I27" s="75">
        <f>资产资本表!I19</f>
        <v>53877930.880000003</v>
      </c>
      <c r="J27" s="75">
        <f>资产资本表!J19</f>
        <v>53934016.920000002</v>
      </c>
      <c r="K27" s="75">
        <f>资产资本表!K19</f>
        <v>53121774.780000001</v>
      </c>
      <c r="L27" s="75">
        <f>资产资本表!L19</f>
        <v>52335697.979999997</v>
      </c>
      <c r="M27" s="75">
        <f>资产资本表!M19</f>
        <v>51328807.280000001</v>
      </c>
      <c r="N27" s="75">
        <f>资产资本表!N19</f>
        <v>50434094.880000003</v>
      </c>
      <c r="O27" s="75">
        <f>资产资本表!O19</f>
        <v>49639746.32</v>
      </c>
      <c r="P27" s="75">
        <f>资产资本表!P19</f>
        <v>48953354.310000002</v>
      </c>
      <c r="Q27" s="75">
        <f>资产资本表!Q19</f>
        <v>48480778.130000003</v>
      </c>
      <c r="R27" s="75">
        <f>资产资本表!R19</f>
        <v>46486926.740000002</v>
      </c>
      <c r="S27" s="75">
        <f>资产资本表!S19</f>
        <v>45724712.560000002</v>
      </c>
      <c r="T27" s="75">
        <f>资产资本表!T19</f>
        <v>44861176.990000002</v>
      </c>
      <c r="U27" s="75">
        <f>资产资本表!U19</f>
        <v>44495224.649999999</v>
      </c>
      <c r="V27" s="75">
        <f>资产资本表!V19</f>
        <v>43796247.729999997</v>
      </c>
      <c r="W27" s="75">
        <f>资产资本表!W19</f>
        <v>43035511</v>
      </c>
      <c r="X27" s="75">
        <f>资产资本表!X19</f>
        <v>42865431.130000003</v>
      </c>
      <c r="Y27" s="75">
        <f>资产资本表!Y19</f>
        <v>41365518.659999996</v>
      </c>
      <c r="Z27" s="75">
        <f>资产资本表!Z19</f>
        <v>40798502.920000002</v>
      </c>
      <c r="AA27" s="75">
        <f>资产资本表!AA19</f>
        <v>39735570.5</v>
      </c>
      <c r="AB27" s="75">
        <f>资产资本表!AB19</f>
        <v>0</v>
      </c>
      <c r="AC27" s="75">
        <f>资产资本表!AC19</f>
        <v>0</v>
      </c>
      <c r="AD27" s="75">
        <f>资产资本表!AD19</f>
        <v>0</v>
      </c>
      <c r="AE27" s="75">
        <f>资产资本表!AE19</f>
        <v>0</v>
      </c>
      <c r="AF27" s="75">
        <f>资产资本表!AF19</f>
        <v>400000</v>
      </c>
      <c r="AG27" s="75">
        <f>资产资本表!AG19</f>
        <v>400000</v>
      </c>
      <c r="AH27" s="75">
        <f>资产资本表!AH19</f>
        <v>400000</v>
      </c>
      <c r="AI27" s="75">
        <f>资产资本表!AI19</f>
        <v>400000</v>
      </c>
      <c r="AJ27" s="75">
        <f>资产资本表!AJ19</f>
        <v>400000</v>
      </c>
      <c r="AK27" s="75">
        <f>资产资本表!AK19</f>
        <v>400000</v>
      </c>
      <c r="AL27" s="75">
        <f>资产资本表!AL19</f>
        <v>400000</v>
      </c>
      <c r="AM27" s="75">
        <f>资产资本表!AM19</f>
        <v>400000</v>
      </c>
      <c r="AN27" s="75">
        <f>资产资本表!AN19</f>
        <v>400000</v>
      </c>
      <c r="AO27" s="75">
        <f>资产资本表!AO19</f>
        <v>400000</v>
      </c>
      <c r="AP27" s="75">
        <f>资产资本表!AP19</f>
        <v>443875.6</v>
      </c>
      <c r="AQ27" s="75">
        <f>资产资本表!AQ19</f>
        <v>443875.6</v>
      </c>
      <c r="AR27" s="75">
        <f>资产资本表!AR19</f>
        <v>443875.6</v>
      </c>
      <c r="AS27" s="75">
        <f>资产资本表!AS19</f>
        <v>443875.6</v>
      </c>
      <c r="AT27" s="75">
        <f>资产资本表!AT19</f>
        <v>469754.19</v>
      </c>
      <c r="AU27" s="75">
        <f>资产资本表!AU19</f>
        <v>1469754.18</v>
      </c>
      <c r="AV27" s="75">
        <f>资产资本表!AV19</f>
        <v>495384.06</v>
      </c>
      <c r="AW27" s="75">
        <f>资产资本表!AW19</f>
        <v>10620859.4</v>
      </c>
      <c r="AX27" s="75">
        <f>资产资本表!AX19</f>
        <v>11118299.699999999</v>
      </c>
      <c r="AY27" s="75">
        <f>资产资本表!AY19</f>
        <v>13014167.08</v>
      </c>
      <c r="AZ27" s="75">
        <f>资产资本表!AZ19</f>
        <v>13699423.08</v>
      </c>
      <c r="BA27" s="75">
        <f>资产资本表!BA19</f>
        <v>16764367.109999999</v>
      </c>
      <c r="BB27" s="75">
        <f>资产资本表!BB19</f>
        <v>16665854.359999999</v>
      </c>
      <c r="BC27" s="75">
        <f>资产资本表!BC19</f>
        <v>15941057.57</v>
      </c>
      <c r="BD27" s="75">
        <f>资产资本表!BD19</f>
        <v>15141098.279999999</v>
      </c>
      <c r="BE27" s="75">
        <f>资产资本表!BE19</f>
        <v>15591138.99</v>
      </c>
      <c r="BF27" s="75">
        <f>资产资本表!BF19</f>
        <v>16125841.73</v>
      </c>
      <c r="BG27" s="75">
        <f>资产资本表!BG19</f>
        <v>16575882.439999999</v>
      </c>
      <c r="BH27" s="75">
        <f>资产资本表!BH19</f>
        <v>17475963.859999999</v>
      </c>
      <c r="BI27" s="75">
        <f>资产资本表!BI19</f>
        <v>12710112.58</v>
      </c>
      <c r="BJ27" s="75">
        <f>资产资本表!BJ19</f>
        <v>2895176.54</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445</v>
      </c>
      <c r="E28" s="109">
        <f>E26/E27</f>
        <v>6.8024918182482033E-2</v>
      </c>
      <c r="F28" s="109">
        <f t="shared" ref="F28:BQ28" si="12">F26/F27</f>
        <v>4.8144662751325354E-2</v>
      </c>
      <c r="G28" s="109">
        <f t="shared" si="12"/>
        <v>3.293802808706104E-2</v>
      </c>
      <c r="H28" s="109">
        <f t="shared" si="12"/>
        <v>1.9375838150981508E-2</v>
      </c>
      <c r="I28" s="109">
        <f t="shared" si="12"/>
        <v>4.3601795607782622E-2</v>
      </c>
      <c r="J28" s="109">
        <f t="shared" si="12"/>
        <v>0</v>
      </c>
      <c r="K28" s="109">
        <f t="shared" si="12"/>
        <v>0</v>
      </c>
      <c r="L28" s="109">
        <f t="shared" si="12"/>
        <v>2.2212466344563694E-2</v>
      </c>
      <c r="M28" s="109">
        <f t="shared" si="12"/>
        <v>6.4114985607356983E-2</v>
      </c>
      <c r="N28" s="109">
        <f t="shared" si="12"/>
        <v>0</v>
      </c>
      <c r="O28" s="109">
        <f t="shared" si="12"/>
        <v>0</v>
      </c>
      <c r="P28" s="109">
        <f t="shared" si="12"/>
        <v>0</v>
      </c>
      <c r="Q28" s="109">
        <f t="shared" si="12"/>
        <v>5.3928483428819909E-2</v>
      </c>
      <c r="R28" s="109">
        <f t="shared" si="12"/>
        <v>0</v>
      </c>
      <c r="S28" s="109">
        <f t="shared" si="12"/>
        <v>0</v>
      </c>
      <c r="T28" s="109">
        <f t="shared" si="12"/>
        <v>0</v>
      </c>
      <c r="U28" s="109">
        <f t="shared" si="12"/>
        <v>8.6800829086273651E-2</v>
      </c>
      <c r="V28" s="109">
        <f t="shared" si="12"/>
        <v>0</v>
      </c>
      <c r="W28" s="109">
        <f t="shared" si="12"/>
        <v>0</v>
      </c>
      <c r="X28" s="109">
        <f t="shared" si="12"/>
        <v>0</v>
      </c>
      <c r="Y28" s="109">
        <f t="shared" si="12"/>
        <v>0</v>
      </c>
      <c r="Z28" s="109">
        <f t="shared" si="12"/>
        <v>0</v>
      </c>
      <c r="AA28" s="109">
        <f t="shared" si="12"/>
        <v>0</v>
      </c>
      <c r="AB28" s="109" t="e">
        <f t="shared" si="12"/>
        <v>#DIV/0!</v>
      </c>
      <c r="AC28" s="109" t="e">
        <f t="shared" si="12"/>
        <v>#DIV/0!</v>
      </c>
      <c r="AD28" s="109" t="e">
        <f t="shared" si="12"/>
        <v>#DIV/0!</v>
      </c>
      <c r="AE28" s="109" t="e">
        <f t="shared" si="12"/>
        <v>#DIV/0!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6" t="s">
        <v>695</v>
      </c>
      <c r="B29" s="277"/>
      <c r="C29" s="277"/>
      <c r="D29" s="277"/>
      <c r="E29" s="277"/>
      <c r="F29" s="277"/>
      <c r="G29" s="277"/>
      <c r="H29" s="277"/>
      <c r="I29" s="277"/>
      <c r="J29" s="277"/>
      <c r="K29" s="277"/>
      <c r="L29" s="277"/>
      <c r="M29" s="277"/>
      <c r="N29" s="277"/>
      <c r="O29" s="277"/>
      <c r="P29" s="277"/>
      <c r="Q29" s="277"/>
      <c r="R29" s="277"/>
      <c r="S29" s="277"/>
      <c r="T29" s="277"/>
      <c r="U29" s="277"/>
    </row>
    <row r="30" spans="1:89" s="26" customFormat="1" x14ac:dyDescent="0.25">
      <c r="A30" s="17"/>
    </row>
    <row r="31" spans="1:89" s="115" customFormat="1" x14ac:dyDescent="0.25">
      <c r="A31" s="117"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37621</v>
      </c>
      <c r="BM31" s="1">
        <v>37256</v>
      </c>
      <c r="BN31" s="1">
        <v>25569</v>
      </c>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450</v>
      </c>
      <c r="E32" s="75">
        <f>股权价值增加表!E29</f>
        <v>48101665.089595638</v>
      </c>
      <c r="F32" s="75">
        <f>股权价值增加表!F29</f>
        <v>31751007.411091428</v>
      </c>
      <c r="G32" s="75">
        <f>股权价值增加表!G29</f>
        <v>17360117.94716467</v>
      </c>
      <c r="H32" s="75">
        <f>股权价值增加表!H29</f>
        <v>9872090.0495403372</v>
      </c>
      <c r="I32" s="75">
        <f>股权价值增加表!I29</f>
        <v>70154109.214202151</v>
      </c>
      <c r="J32" s="75">
        <f>股权价值增加表!J29</f>
        <v>41630736.095908612</v>
      </c>
      <c r="K32" s="75">
        <f>股权价值增加表!K29</f>
        <v>37243680.772624955</v>
      </c>
      <c r="L32" s="75">
        <f>股权价值增加表!L29</f>
        <v>13953370.097450618</v>
      </c>
      <c r="M32" s="75">
        <f>股权价值增加表!M29</f>
        <v>50995169.431972899</v>
      </c>
      <c r="N32" s="75">
        <f>股权价值增加表!N29</f>
        <v>27631944.060865354</v>
      </c>
      <c r="O32" s="75">
        <f>股权价值增加表!O29</f>
        <v>16564007.048783919</v>
      </c>
      <c r="P32" s="75">
        <f>股权价值增加表!P29</f>
        <v>5602156.8505071253</v>
      </c>
      <c r="Q32" s="75">
        <f>股权价值增加表!Q29</f>
        <v>36845252.883218408</v>
      </c>
      <c r="R32" s="75">
        <f>股权价值增加表!R29</f>
        <v>14664739.794845548</v>
      </c>
      <c r="S32" s="75">
        <f>股权价值增加表!S29</f>
        <v>11428334.569365168</v>
      </c>
      <c r="T32" s="75">
        <f>股权价值增加表!T29</f>
        <v>3992071.6312802238</v>
      </c>
      <c r="U32" s="75">
        <f>股权价值增加表!U29</f>
        <v>-12966873.01514272</v>
      </c>
      <c r="V32" s="75">
        <f>股权价值增加表!V29</f>
        <v>-3554276.1673129862</v>
      </c>
      <c r="W32" s="75">
        <f>股权价值增加表!W29</f>
        <v>-3596899.5720094</v>
      </c>
      <c r="X32" s="75">
        <f>股权价值增加表!X29</f>
        <v>-3303232.4461296867</v>
      </c>
      <c r="Y32" s="75">
        <f>股权价值增加表!Y29</f>
        <v>-5144606.2152417637</v>
      </c>
      <c r="Z32" s="75">
        <f>股权价值增加表!Z29</f>
        <v>-3217349.9639689913</v>
      </c>
      <c r="AA32" s="75">
        <f>股权价值增加表!AA29</f>
        <v>-3943974.500553655</v>
      </c>
      <c r="AB32" s="75">
        <f>股权价值增加表!AB29</f>
        <v>-1099006.72</v>
      </c>
      <c r="AC32" s="75">
        <f>股权价值增加表!AC29</f>
        <v>-9656000.0735935308</v>
      </c>
      <c r="AD32" s="75">
        <f>股权价值增加表!AD29</f>
        <v>5760109.6370640164</v>
      </c>
      <c r="AE32" s="75">
        <f>股权价值增加表!AE29</f>
        <v>1054623.4973545454</v>
      </c>
      <c r="AF32" s="75">
        <f>股权价值增加表!AF29</f>
        <v>-4054572.6622311822</v>
      </c>
      <c r="AG32" s="75">
        <f>股权价值增加表!AG29</f>
        <v>-8296697.7473671762</v>
      </c>
      <c r="AH32" s="75">
        <f>股权价值增加表!AH29</f>
        <v>-5750012.9645274812</v>
      </c>
      <c r="AI32" s="75">
        <f>股权价值增加表!AI29</f>
        <v>-4840731.2417401224</v>
      </c>
      <c r="AJ32" s="75">
        <f>股权价值增加表!AJ29</f>
        <v>-2900166.0854201317</v>
      </c>
      <c r="AK32" s="75">
        <f>股权价值增加表!AK29</f>
        <v>16351660.50976916</v>
      </c>
      <c r="AL32" s="75">
        <f>股权价值增加表!AL29</f>
        <v>6995296.983064808</v>
      </c>
      <c r="AM32" s="75">
        <f>股权价值增加表!AM29</f>
        <v>3783203.927731677</v>
      </c>
      <c r="AN32" s="75">
        <f>股权价值增加表!AN29</f>
        <v>-70338.141924511961</v>
      </c>
      <c r="AO32" s="75">
        <f>股权价值增加表!AO29</f>
        <v>22629321.864056744</v>
      </c>
      <c r="AP32" s="75">
        <f>股权价值增加表!AP29</f>
        <v>1476981.821847714</v>
      </c>
      <c r="AQ32" s="75">
        <f>股权价值增加表!AQ29</f>
        <v>1446066.7954709535</v>
      </c>
      <c r="AR32" s="75">
        <f>股权价值增加表!AR29</f>
        <v>206886.52487644396</v>
      </c>
      <c r="AS32" s="75">
        <f>股权价值增加表!AS29</f>
        <v>2037738.9214747618</v>
      </c>
      <c r="AT32" s="75">
        <f>股权价值增加表!AT29</f>
        <v>1634227.0700355503</v>
      </c>
      <c r="AU32" s="75">
        <f>股权价值增加表!AU29</f>
        <v>-56199.181719670771</v>
      </c>
      <c r="AV32" s="75">
        <f>股权价值增加表!AV29</f>
        <v>74407.143406121613</v>
      </c>
      <c r="AW32" s="75">
        <f>股权价值增加表!AW29</f>
        <v>-330691.93883801473</v>
      </c>
      <c r="AX32" s="75">
        <f>股权价值增加表!AX29</f>
        <v>-1055277.0215180232</v>
      </c>
      <c r="AY32" s="75">
        <f>股权价值增加表!AY29</f>
        <v>656658.19336289796</v>
      </c>
      <c r="AZ32" s="75">
        <f>股权价值增加表!AZ29</f>
        <v>413191.62403628661</v>
      </c>
      <c r="BA32" s="75">
        <f>股权价值增加表!BA29</f>
        <v>-2609296.5993432668</v>
      </c>
      <c r="BB32" s="75">
        <f>股权价值增加表!BB29</f>
        <v>-1812868.6775265806</v>
      </c>
      <c r="BC32" s="75">
        <f>股权价值增加表!BC29</f>
        <v>-1219268.0938767879</v>
      </c>
      <c r="BD32" s="75">
        <f>股权价值增加表!BD29</f>
        <v>-900097.21324402385</v>
      </c>
      <c r="BE32" s="75">
        <f>股权价值增加表!BE29</f>
        <v>4904754.4968233583</v>
      </c>
      <c r="BF32" s="75">
        <f>股权价值增加表!BF29</f>
        <v>3831287.5387208089</v>
      </c>
      <c r="BG32" s="75">
        <f>股权价值增加表!BG29</f>
        <v>3698643.9905316057</v>
      </c>
      <c r="BH32" s="75">
        <f>股权价值增加表!BH29</f>
        <v>4136024.2941323137</v>
      </c>
      <c r="BI32" s="75">
        <f>股权价值增加表!BI29</f>
        <v>3121860.03625667</v>
      </c>
      <c r="BJ32" s="75">
        <f>股权价值增加表!BJ29</f>
        <v>1136301.7349856468</v>
      </c>
      <c r="BK32" s="75">
        <f>股权价值增加表!BK29</f>
        <v>1263509.3933544734</v>
      </c>
      <c r="BL32" s="75">
        <f>股权价值增加表!BL29</f>
        <v>-1386307.3245286909</v>
      </c>
      <c r="BM32" s="75">
        <f>股权价值增加表!BM29</f>
        <v>-657702.93985576124</v>
      </c>
      <c r="BN32" s="75" t="e">
        <f>股权价值增加表!BN29</f>
        <v>#DIV/0!</v>
      </c>
      <c r="BO32" s="75">
        <f>股权价值增加表!BO29</f>
        <v>-17111227.790832791</v>
      </c>
      <c r="BP32" s="75">
        <f>股权价值增加表!BP29</f>
        <v>20613942.302077774</v>
      </c>
      <c r="BQ32" s="75">
        <f>股权价值增加表!BQ29</f>
        <v>-33268028.619299632</v>
      </c>
      <c r="BR32" s="75">
        <f>股权价值增加表!BR29</f>
        <v>-11554788.779478364</v>
      </c>
      <c r="BS32" s="75">
        <f>股权价值增加表!BS29</f>
        <v>184340540.55852407</v>
      </c>
      <c r="BT32" s="75">
        <f>股权价值增加表!BT29</f>
        <v>35931925.248171933</v>
      </c>
      <c r="BU32" s="75">
        <f>股权价值增加表!BU29</f>
        <v>-60282043.617297903</v>
      </c>
      <c r="BV32" s="75">
        <f>股权价值增加表!BV29</f>
        <v>-30536221.94397945</v>
      </c>
      <c r="BW32" s="75">
        <f>股权价值增加表!BW29</f>
        <v>-143689550.34829396</v>
      </c>
      <c r="BX32" s="75">
        <f>股权价值增加表!BX29</f>
        <v>-49514944.489629582</v>
      </c>
      <c r="BY32" s="75">
        <f>股权价值增加表!BY29</f>
        <v>-105465390.66033024</v>
      </c>
      <c r="BZ32" s="75">
        <f>股权价值增加表!BZ29</f>
        <v>-23306390</v>
      </c>
      <c r="CA32" s="75">
        <f>股权价值增加表!CA29</f>
        <v>-38002824.851588458</v>
      </c>
      <c r="CB32" s="75">
        <f>股权价值增加表!CB29</f>
        <v>-18178000</v>
      </c>
      <c r="CC32" s="75">
        <f>股权价值增加表!CC29</f>
        <v>3035820.7769608255</v>
      </c>
      <c r="CD32" s="75" t="e">
        <f>股权价值增加表!CD29</f>
        <v>#DIV/0!</v>
      </c>
      <c r="CE32" s="75" t="e">
        <f>股权价值增加表!CE29</f>
        <v>#DIV/0!</v>
      </c>
      <c r="CF32" s="75" t="e">
        <f>股权价值增加表!CF29</f>
        <v>#DIV/0!</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451</v>
      </c>
    </row>
    <row r="34" spans="1:89" s="75" customFormat="1" x14ac:dyDescent="0.25">
      <c r="A34" s="145" t="s">
        <v>452</v>
      </c>
      <c r="E34" s="75">
        <f>资产资本表!E4</f>
        <v>779641360.92999995</v>
      </c>
      <c r="F34" s="75">
        <f>资产资本表!F4</f>
        <v>803108925.85000002</v>
      </c>
      <c r="G34" s="75">
        <f>资产资本表!G4</f>
        <v>507338270.69</v>
      </c>
      <c r="H34" s="75">
        <f>资产资本表!H4</f>
        <v>507127583.12</v>
      </c>
      <c r="I34" s="75">
        <f>资产资本表!I4</f>
        <v>750563840.71000004</v>
      </c>
      <c r="J34" s="75">
        <f>资产资本表!J4</f>
        <v>763995193.26999998</v>
      </c>
      <c r="K34" s="75">
        <f>资产资本表!K4</f>
        <v>638985853.80999994</v>
      </c>
      <c r="L34" s="75">
        <f>资产资本表!L4</f>
        <v>1043515469.25</v>
      </c>
      <c r="M34" s="75">
        <f>资产资本表!M4</f>
        <v>1041013222.62</v>
      </c>
      <c r="N34" s="75">
        <f>资产资本表!N4</f>
        <v>726386791.75999999</v>
      </c>
      <c r="O34" s="75">
        <f>资产资本表!O4</f>
        <v>694987606.90999997</v>
      </c>
      <c r="P34" s="75">
        <f>资产资本表!P4</f>
        <v>614368228.64999998</v>
      </c>
      <c r="Q34" s="75">
        <f>资产资本表!Q4</f>
        <v>620684489.46000004</v>
      </c>
      <c r="R34" s="75">
        <f>资产资本表!R4</f>
        <v>1695941501.05</v>
      </c>
      <c r="S34" s="75">
        <f>资产资本表!S4</f>
        <v>1469306212.97</v>
      </c>
      <c r="T34" s="75">
        <f>资产资本表!T4</f>
        <v>1603087317.8699999</v>
      </c>
      <c r="U34" s="75">
        <f>资产资本表!U4</f>
        <v>1405405891.78</v>
      </c>
      <c r="V34" s="75">
        <f>资产资本表!V4</f>
        <v>1463287559.1300001</v>
      </c>
      <c r="W34" s="75">
        <f>资产资本表!W4</f>
        <v>1221865137.3699999</v>
      </c>
      <c r="X34" s="75">
        <f>资产资本表!X4</f>
        <v>1367955509.0799999</v>
      </c>
      <c r="Y34" s="75">
        <f>资产资本表!Y4</f>
        <v>1115082323.6500001</v>
      </c>
      <c r="Z34" s="75">
        <f>资产资本表!Z4</f>
        <v>996333354.51999998</v>
      </c>
      <c r="AA34" s="75">
        <f>资产资本表!AA4</f>
        <v>653623662.95000005</v>
      </c>
      <c r="AB34" s="75">
        <f>资产资本表!AB4</f>
        <v>639302362.79999995</v>
      </c>
      <c r="AC34" s="75">
        <f>资产资本表!AC4</f>
        <v>575335990.87</v>
      </c>
      <c r="AD34" s="75">
        <f>资产资本表!AD4</f>
        <v>561789397.58000004</v>
      </c>
      <c r="AE34" s="75">
        <f>资产资本表!AE4</f>
        <v>544414180.04999995</v>
      </c>
      <c r="AF34" s="75">
        <f>资产资本表!AF4</f>
        <v>754714270.61000001</v>
      </c>
      <c r="AG34" s="75">
        <f>资产资本表!AG4</f>
        <v>742027476.28999996</v>
      </c>
      <c r="AH34" s="75">
        <f>资产资本表!AH4</f>
        <v>775568597.95000005</v>
      </c>
      <c r="AI34" s="75">
        <f>资产资本表!AI4</f>
        <v>648133429.65999997</v>
      </c>
      <c r="AJ34" s="75">
        <f>资产资本表!AJ4</f>
        <v>870331250.71000004</v>
      </c>
      <c r="AK34" s="75">
        <f>资产资本表!AK4</f>
        <v>944929707.47000003</v>
      </c>
      <c r="AL34" s="75">
        <f>资产资本表!AL4</f>
        <v>984170697.75</v>
      </c>
      <c r="AM34" s="75">
        <f>资产资本表!AM4</f>
        <v>955566559.46000004</v>
      </c>
      <c r="AN34" s="75">
        <f>资产资本表!AN4</f>
        <v>993601514.64999998</v>
      </c>
      <c r="AO34" s="75">
        <f>资产资本表!AO4</f>
        <v>879905947.85000002</v>
      </c>
      <c r="AP34" s="75">
        <f>资产资本表!AP4</f>
        <v>718818464.83000004</v>
      </c>
      <c r="AQ34" s="75">
        <f>资产资本表!AQ4</f>
        <v>675051384.38999999</v>
      </c>
      <c r="AR34" s="75">
        <f>资产资本表!AR4</f>
        <v>682557965.45000005</v>
      </c>
      <c r="AS34" s="75">
        <f>资产资本表!AS4</f>
        <v>795355770.86000001</v>
      </c>
      <c r="AT34" s="75">
        <f>资产资本表!AT4</f>
        <v>867881474.48000002</v>
      </c>
      <c r="AU34" s="75">
        <f>资产资本表!AU4</f>
        <v>244656965.03</v>
      </c>
      <c r="AV34" s="75">
        <f>资产资本表!AV4</f>
        <v>318970673.57999998</v>
      </c>
      <c r="AW34" s="75">
        <f>资产资本表!AW4</f>
        <v>418412485.27999997</v>
      </c>
      <c r="AX34" s="75">
        <f>资产资本表!AX4</f>
        <v>163017593.27000001</v>
      </c>
      <c r="AY34" s="75">
        <f>资产资本表!AY4</f>
        <v>235900683.24000001</v>
      </c>
      <c r="AZ34" s="75">
        <f>资产资本表!AZ4</f>
        <v>212657556.75999999</v>
      </c>
      <c r="BA34" s="75">
        <f>资产资本表!BA4</f>
        <v>269118657.66000003</v>
      </c>
      <c r="BB34" s="75">
        <f>资产资本表!BB4</f>
        <v>212228702.91999999</v>
      </c>
      <c r="BC34" s="75">
        <f>资产资本表!BC4</f>
        <v>295419245.86000001</v>
      </c>
      <c r="BD34" s="75">
        <f>资产资本表!BD4</f>
        <v>319772549.12</v>
      </c>
      <c r="BE34" s="75">
        <f>资产资本表!BE4</f>
        <v>476895712.43000001</v>
      </c>
      <c r="BF34" s="75">
        <f>资产资本表!BF4</f>
        <v>484855373.61000001</v>
      </c>
      <c r="BG34" s="75">
        <f>资产资本表!BG4</f>
        <v>42751768.759999998</v>
      </c>
      <c r="BH34" s="75">
        <f>资产资本表!BH4</f>
        <v>9557726.1500000004</v>
      </c>
      <c r="BI34" s="75">
        <f>资产资本表!BI4</f>
        <v>11862561.01</v>
      </c>
      <c r="BJ34" s="75">
        <f>资产资本表!BJ4</f>
        <v>10867563.640000001</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453</v>
      </c>
      <c r="E35" s="75">
        <f>利润表!E12</f>
        <v>8541712.75</v>
      </c>
      <c r="F35" s="75">
        <f>利润表!F12</f>
        <v>-1914051.36</v>
      </c>
      <c r="G35" s="75">
        <f>利润表!G12</f>
        <v>2346163.5099999998</v>
      </c>
      <c r="H35" s="75">
        <f>利润表!H12</f>
        <v>2992977.8</v>
      </c>
      <c r="I35" s="75">
        <f>利润表!I12</f>
        <v>4769895.1900000004</v>
      </c>
      <c r="J35" s="75">
        <f>利润表!J12</f>
        <v>559333.32999999996</v>
      </c>
      <c r="K35" s="75">
        <f>利润表!K12</f>
        <v>-349986.11</v>
      </c>
      <c r="L35" s="75">
        <f>利润表!L12</f>
        <v>4211222.22</v>
      </c>
      <c r="M35" s="75">
        <f>利润表!M12</f>
        <v>-1436259.57</v>
      </c>
      <c r="N35" s="75">
        <f>利润表!N12</f>
        <v>5858714.1600000001</v>
      </c>
      <c r="O35" s="75">
        <f>利润表!O12</f>
        <v>-1966929.68</v>
      </c>
      <c r="P35" s="75">
        <f>利润表!P12</f>
        <v>8398317.4499999993</v>
      </c>
      <c r="Q35" s="75">
        <f>利润表!Q12</f>
        <v>3667973.86</v>
      </c>
      <c r="R35" s="75">
        <f>利润表!R12</f>
        <v>12825</v>
      </c>
      <c r="S35" s="75">
        <f>利润表!S12</f>
        <v>12825</v>
      </c>
      <c r="T35" s="75">
        <f>利润表!T12</f>
        <v>12825</v>
      </c>
      <c r="U35" s="75">
        <f>利润表!U12</f>
        <v>133211.97</v>
      </c>
      <c r="V35" s="75">
        <f>利润表!V12</f>
        <v>876438.61</v>
      </c>
      <c r="W35" s="75">
        <f>利润表!W12</f>
        <v>499382.3</v>
      </c>
      <c r="X35" s="75">
        <f>利润表!X12</f>
        <v>437519.41</v>
      </c>
      <c r="Y35" s="75">
        <f>利润表!Y12</f>
        <v>-146036.97</v>
      </c>
      <c r="Z35" s="75">
        <f>利润表!Z12</f>
        <v>0</v>
      </c>
      <c r="AA35" s="75">
        <f>利润表!AA12</f>
        <v>0</v>
      </c>
      <c r="AB35" s="75">
        <f>利润表!AB12</f>
        <v>0</v>
      </c>
      <c r="AC35" s="75">
        <f>利润表!AC12</f>
        <v>-2703150</v>
      </c>
      <c r="AD35" s="75">
        <f>利润表!AD12</f>
        <v>1891536.98</v>
      </c>
      <c r="AE35" s="75">
        <f>利润表!AE12</f>
        <v>4730712.04</v>
      </c>
      <c r="AF35" s="75">
        <f>利润表!AF12</f>
        <v>-439899.99</v>
      </c>
      <c r="AG35" s="75">
        <f>利润表!AG12</f>
        <v>-7820010</v>
      </c>
      <c r="AH35" s="75">
        <f>利润表!AH12</f>
        <v>-10203660.01</v>
      </c>
      <c r="AI35" s="75">
        <f>利润表!AI12</f>
        <v>-10391961.43</v>
      </c>
      <c r="AJ35" s="75">
        <f>利润表!AJ12</f>
        <v>-10268061.439999999</v>
      </c>
      <c r="AK35" s="75">
        <f>利润表!AK12</f>
        <v>9653400</v>
      </c>
      <c r="AL35" s="75">
        <f>利润表!AL12</f>
        <v>-2051395</v>
      </c>
      <c r="AM35" s="75">
        <f>利润表!AM12</f>
        <v>1572600</v>
      </c>
      <c r="AN35" s="75">
        <f>利润表!AN12</f>
        <v>1878060</v>
      </c>
      <c r="AO35" s="75">
        <f>利润表!AO12</f>
        <v>869760</v>
      </c>
      <c r="AP35" s="75">
        <f>利润表!AP12</f>
        <v>0</v>
      </c>
      <c r="AQ35" s="75">
        <f>利润表!AQ12</f>
        <v>0</v>
      </c>
      <c r="AR35" s="75">
        <f>利润表!AR12</f>
        <v>0</v>
      </c>
      <c r="AS35" s="75">
        <f>利润表!AS12</f>
        <v>0</v>
      </c>
      <c r="AT35" s="75">
        <f>利润表!AT12</f>
        <v>177205</v>
      </c>
      <c r="AU35" s="75">
        <f>利润表!AU12</f>
        <v>-285400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454</v>
      </c>
      <c r="E36" s="75">
        <f>资产资本表!E13</f>
        <v>1983860.05</v>
      </c>
      <c r="F36" s="75">
        <f>资产资本表!F13</f>
        <v>1699138.85</v>
      </c>
      <c r="G36" s="75">
        <f>资产资本表!G13</f>
        <v>1410111.74</v>
      </c>
      <c r="H36" s="75">
        <f>资产资本表!H13</f>
        <v>997958.27</v>
      </c>
      <c r="I36" s="75">
        <f>资产资本表!I13</f>
        <v>285680.93</v>
      </c>
      <c r="J36" s="75">
        <f>资产资本表!J13</f>
        <v>162050.57</v>
      </c>
      <c r="K36" s="75">
        <f>资产资本表!K13</f>
        <v>2618316.94</v>
      </c>
      <c r="L36" s="75">
        <f>资产资本表!L13</f>
        <v>2623929.9300000002</v>
      </c>
      <c r="M36" s="75">
        <f>资产资本表!M13</f>
        <v>1211839.0900000001</v>
      </c>
      <c r="N36" s="75">
        <f>资产资本表!N13</f>
        <v>2631912.89</v>
      </c>
      <c r="O36" s="75">
        <f>资产资本表!O13</f>
        <v>3209336.69</v>
      </c>
      <c r="P36" s="75">
        <f>资产资本表!P13</f>
        <v>1505121.74</v>
      </c>
      <c r="Q36" s="75">
        <f>资产资本表!Q13</f>
        <v>1333136.33</v>
      </c>
      <c r="R36" s="75">
        <f>资产资本表!R13</f>
        <v>2352161.37</v>
      </c>
      <c r="S36" s="75">
        <f>资产资本表!S13</f>
        <v>5100619.57</v>
      </c>
      <c r="T36" s="75">
        <f>资产资本表!T13</f>
        <v>2147063.69</v>
      </c>
      <c r="U36" s="75">
        <f>资产资本表!U13</f>
        <v>5684198.5499999998</v>
      </c>
      <c r="V36" s="75">
        <f>资产资本表!V13</f>
        <v>9193522.9900000002</v>
      </c>
      <c r="W36" s="75">
        <f>资产资本表!W13</f>
        <v>5028076.1399999997</v>
      </c>
      <c r="X36" s="75">
        <f>资产资本表!X13</f>
        <v>5339036</v>
      </c>
      <c r="Y36" s="75">
        <f>资产资本表!Y13</f>
        <v>3752909.67</v>
      </c>
      <c r="Z36" s="75">
        <f>资产资本表!Z13</f>
        <v>3239937.72</v>
      </c>
      <c r="AA36" s="75">
        <f>资产资本表!AA13</f>
        <v>1345728.49</v>
      </c>
      <c r="AB36" s="75">
        <f>资产资本表!AB13</f>
        <v>767844.01</v>
      </c>
      <c r="AC36" s="75">
        <f>资产资本表!AC13</f>
        <v>1176060.92</v>
      </c>
      <c r="AD36" s="75">
        <f>资产资本表!AD13</f>
        <v>1673230.23</v>
      </c>
      <c r="AE36" s="75">
        <f>资产资本表!AE13</f>
        <v>1075872.8400000001</v>
      </c>
      <c r="AF36" s="75">
        <f>资产资本表!AF13</f>
        <v>1189484.8899999999</v>
      </c>
      <c r="AG36" s="75">
        <f>资产资本表!AG13</f>
        <v>989655.67</v>
      </c>
      <c r="AH36" s="75">
        <f>资产资本表!AH13</f>
        <v>1924423.63</v>
      </c>
      <c r="AI36" s="75">
        <f>资产资本表!AI13</f>
        <v>2300554</v>
      </c>
      <c r="AJ36" s="75">
        <f>资产资本表!AJ13</f>
        <v>1082675</v>
      </c>
      <c r="AK36" s="75">
        <f>资产资本表!AK13</f>
        <v>1810116.5</v>
      </c>
      <c r="AL36" s="75">
        <f>资产资本表!AL13</f>
        <v>1210468.08</v>
      </c>
      <c r="AM36" s="75">
        <f>资产资本表!AM13</f>
        <v>2217790.2200000002</v>
      </c>
      <c r="AN36" s="75">
        <f>资产资本表!AN13</f>
        <v>1970912.8</v>
      </c>
      <c r="AO36" s="75">
        <f>资产资本表!AO13</f>
        <v>3488799</v>
      </c>
      <c r="AP36" s="75">
        <f>资产资本表!AP13</f>
        <v>2056984.24</v>
      </c>
      <c r="AQ36" s="75">
        <f>资产资本表!AQ13</f>
        <v>1634247</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455</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456</v>
      </c>
      <c r="E38" s="75">
        <f>资产资本表!E8</f>
        <v>0</v>
      </c>
      <c r="F38" s="75">
        <f>资产资本表!F8</f>
        <v>0</v>
      </c>
      <c r="G38" s="75">
        <f>资产资本表!G8</f>
        <v>0</v>
      </c>
      <c r="H38" s="75">
        <f>资产资本表!H8</f>
        <v>0</v>
      </c>
      <c r="I38" s="75">
        <f>资产资本表!I8</f>
        <v>0</v>
      </c>
      <c r="J38" s="75">
        <f>资产资本表!J8</f>
        <v>0</v>
      </c>
      <c r="K38" s="75">
        <f>资产资本表!K8</f>
        <v>0</v>
      </c>
      <c r="L38" s="75">
        <f>资产资本表!L8</f>
        <v>0</v>
      </c>
      <c r="M38" s="75">
        <f>资产资本表!M8</f>
        <v>0</v>
      </c>
      <c r="N38" s="75">
        <f>资产资本表!N8</f>
        <v>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457</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458</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14509311.66</v>
      </c>
      <c r="AM40" s="75">
        <f>资产资本表!AM10</f>
        <v>14654863.470000001</v>
      </c>
      <c r="AN40" s="75">
        <f>资产资本表!AN10</f>
        <v>14800415.289999999</v>
      </c>
      <c r="AO40" s="75">
        <f>资产资本表!AO10</f>
        <v>14945967.1</v>
      </c>
      <c r="AP40" s="75">
        <f>资产资本表!AP10</f>
        <v>1480868.41</v>
      </c>
      <c r="AQ40" s="75">
        <f>资产资本表!AQ10</f>
        <v>1533989.08</v>
      </c>
      <c r="AR40" s="75">
        <f>资产资本表!AR10</f>
        <v>1587109.74</v>
      </c>
      <c r="AS40" s="75">
        <f>资产资本表!AS10</f>
        <v>1640230.41</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459</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460</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461</v>
      </c>
      <c r="E43" s="75">
        <f>SUM(E34:E42)</f>
        <v>790166933.7299999</v>
      </c>
      <c r="F43" s="75">
        <f t="shared" ref="F43:BQ43" si="14">SUM(F34:F42)</f>
        <v>802894013.34000003</v>
      </c>
      <c r="G43" s="75">
        <f t="shared" si="14"/>
        <v>511094545.94</v>
      </c>
      <c r="H43" s="75">
        <f t="shared" si="14"/>
        <v>511118519.19</v>
      </c>
      <c r="I43" s="75">
        <f t="shared" si="14"/>
        <v>755619416.83000004</v>
      </c>
      <c r="J43" s="75">
        <f t="shared" si="14"/>
        <v>764716577.17000008</v>
      </c>
      <c r="K43" s="75">
        <f t="shared" si="14"/>
        <v>641254184.63999999</v>
      </c>
      <c r="L43" s="75">
        <f t="shared" si="14"/>
        <v>1050350621.4</v>
      </c>
      <c r="M43" s="75">
        <f t="shared" si="14"/>
        <v>1040788802.14</v>
      </c>
      <c r="N43" s="75">
        <f t="shared" si="14"/>
        <v>734877418.80999994</v>
      </c>
      <c r="O43" s="75">
        <f t="shared" si="14"/>
        <v>696230013.92000008</v>
      </c>
      <c r="P43" s="75">
        <f t="shared" si="14"/>
        <v>624271667.84000003</v>
      </c>
      <c r="Q43" s="75">
        <f t="shared" si="14"/>
        <v>625685599.6500001</v>
      </c>
      <c r="R43" s="75">
        <f t="shared" si="14"/>
        <v>1698306487.4199998</v>
      </c>
      <c r="S43" s="75">
        <f t="shared" si="14"/>
        <v>1474419657.54</v>
      </c>
      <c r="T43" s="75">
        <f t="shared" si="14"/>
        <v>1605247206.5599999</v>
      </c>
      <c r="U43" s="75">
        <f t="shared" si="14"/>
        <v>1411223302.3</v>
      </c>
      <c r="V43" s="75">
        <f t="shared" si="14"/>
        <v>1473357520.73</v>
      </c>
      <c r="W43" s="75">
        <f t="shared" si="14"/>
        <v>1227392595.8099999</v>
      </c>
      <c r="X43" s="75">
        <f t="shared" si="14"/>
        <v>1373732064.49</v>
      </c>
      <c r="Y43" s="75">
        <f t="shared" si="14"/>
        <v>1118689196.3500001</v>
      </c>
      <c r="Z43" s="75">
        <f t="shared" si="14"/>
        <v>999573292.24000001</v>
      </c>
      <c r="AA43" s="75">
        <f t="shared" si="14"/>
        <v>654969391.44000006</v>
      </c>
      <c r="AB43" s="75">
        <f t="shared" si="14"/>
        <v>640070206.80999994</v>
      </c>
      <c r="AC43" s="75">
        <f t="shared" si="14"/>
        <v>573808901.78999996</v>
      </c>
      <c r="AD43" s="75">
        <f t="shared" si="14"/>
        <v>565354164.79000008</v>
      </c>
      <c r="AE43" s="75">
        <f t="shared" si="14"/>
        <v>550220764.92999995</v>
      </c>
      <c r="AF43" s="75">
        <f t="shared" si="14"/>
        <v>755463855.50999999</v>
      </c>
      <c r="AG43" s="75">
        <f t="shared" si="14"/>
        <v>735197121.95999992</v>
      </c>
      <c r="AH43" s="75">
        <f t="shared" si="14"/>
        <v>767289361.57000005</v>
      </c>
      <c r="AI43" s="75">
        <f t="shared" si="14"/>
        <v>640042022.23000002</v>
      </c>
      <c r="AJ43" s="75">
        <f t="shared" si="14"/>
        <v>861145864.26999998</v>
      </c>
      <c r="AK43" s="75">
        <f t="shared" si="14"/>
        <v>956393223.97000003</v>
      </c>
      <c r="AL43" s="75">
        <f t="shared" si="14"/>
        <v>997839082.49000001</v>
      </c>
      <c r="AM43" s="75">
        <f t="shared" si="14"/>
        <v>974011813.1500001</v>
      </c>
      <c r="AN43" s="75">
        <f t="shared" si="14"/>
        <v>1012250902.7399999</v>
      </c>
      <c r="AO43" s="75">
        <f t="shared" si="14"/>
        <v>899210473.95000005</v>
      </c>
      <c r="AP43" s="75">
        <f t="shared" si="14"/>
        <v>722356317.48000002</v>
      </c>
      <c r="AQ43" s="75">
        <f t="shared" si="14"/>
        <v>678219620.47000003</v>
      </c>
      <c r="AR43" s="75">
        <f t="shared" si="14"/>
        <v>684145075.19000006</v>
      </c>
      <c r="AS43" s="75">
        <f t="shared" si="14"/>
        <v>796996001.26999998</v>
      </c>
      <c r="AT43" s="75">
        <f t="shared" si="14"/>
        <v>868058679.48000002</v>
      </c>
      <c r="AU43" s="75">
        <f t="shared" si="14"/>
        <v>244371565.03</v>
      </c>
      <c r="AV43" s="75">
        <f t="shared" si="14"/>
        <v>318970673.57999998</v>
      </c>
      <c r="AW43" s="75">
        <f t="shared" si="14"/>
        <v>418412485.27999997</v>
      </c>
      <c r="AX43" s="75">
        <f t="shared" si="14"/>
        <v>163017593.27000001</v>
      </c>
      <c r="AY43" s="75">
        <f t="shared" si="14"/>
        <v>235900683.24000001</v>
      </c>
      <c r="AZ43" s="75">
        <f t="shared" si="14"/>
        <v>212657556.75999999</v>
      </c>
      <c r="BA43" s="75">
        <f t="shared" si="14"/>
        <v>269118657.66000003</v>
      </c>
      <c r="BB43" s="75">
        <f t="shared" si="14"/>
        <v>212228702.91999999</v>
      </c>
      <c r="BC43" s="75">
        <f t="shared" si="14"/>
        <v>295419245.86000001</v>
      </c>
      <c r="BD43" s="75">
        <f t="shared" si="14"/>
        <v>319772549.12</v>
      </c>
      <c r="BE43" s="75">
        <f t="shared" si="14"/>
        <v>476895712.43000001</v>
      </c>
      <c r="BF43" s="75">
        <f t="shared" si="14"/>
        <v>484855373.61000001</v>
      </c>
      <c r="BG43" s="75">
        <f t="shared" si="14"/>
        <v>42751768.759999998</v>
      </c>
      <c r="BH43" s="75">
        <f t="shared" si="14"/>
        <v>9557726.1500000004</v>
      </c>
      <c r="BI43" s="75">
        <f t="shared" si="14"/>
        <v>11862561.01</v>
      </c>
      <c r="BJ43" s="75">
        <f t="shared" si="14"/>
        <v>10867563.640000001</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462</v>
      </c>
      <c r="E44" s="109">
        <f>E32/E43</f>
        <v>6.0875320183965048E-2</v>
      </c>
      <c r="F44" s="109">
        <f t="shared" ref="F44:BQ44" si="16">F32/F43</f>
        <v>3.9545702027355745E-2</v>
      </c>
      <c r="G44" s="109">
        <f t="shared" si="16"/>
        <v>3.3966549017337123E-2</v>
      </c>
      <c r="H44" s="109">
        <f t="shared" si="16"/>
        <v>1.9314678844322111E-2</v>
      </c>
      <c r="I44" s="109">
        <f t="shared" si="16"/>
        <v>9.2843179584393198E-2</v>
      </c>
      <c r="J44" s="109">
        <f t="shared" si="16"/>
        <v>5.4439431991878874E-2</v>
      </c>
      <c r="K44" s="109">
        <f t="shared" si="16"/>
        <v>5.8079435058242236E-2</v>
      </c>
      <c r="L44" s="109">
        <f t="shared" si="16"/>
        <v>1.3284487877821537E-2</v>
      </c>
      <c r="M44" s="109">
        <f t="shared" si="16"/>
        <v>4.8996654582678115E-2</v>
      </c>
      <c r="N44" s="109">
        <f t="shared" si="16"/>
        <v>3.7600752661049584E-2</v>
      </c>
      <c r="O44" s="109">
        <f t="shared" si="16"/>
        <v>2.3790998258640422E-2</v>
      </c>
      <c r="P44" s="109">
        <f t="shared" si="16"/>
        <v>8.9739085387148306E-3</v>
      </c>
      <c r="Q44" s="109">
        <f t="shared" si="16"/>
        <v>5.8887807077275124E-2</v>
      </c>
      <c r="R44" s="109">
        <f t="shared" si="16"/>
        <v>8.63491949390339E-3</v>
      </c>
      <c r="S44" s="109">
        <f t="shared" si="16"/>
        <v>7.7510731160711785E-3</v>
      </c>
      <c r="T44" s="109">
        <f t="shared" si="16"/>
        <v>2.4868890068559112E-3</v>
      </c>
      <c r="U44" s="109">
        <f t="shared" si="16"/>
        <v>-9.1883920808347053E-3</v>
      </c>
      <c r="V44" s="109">
        <f t="shared" si="16"/>
        <v>-2.4123650351694404E-3</v>
      </c>
      <c r="W44" s="109">
        <f t="shared" si="16"/>
        <v>-2.9305208327704457E-3</v>
      </c>
      <c r="X44" s="109">
        <f t="shared" si="16"/>
        <v>-2.4045682062142273E-3</v>
      </c>
      <c r="Y44" s="109">
        <f t="shared" si="16"/>
        <v>-4.5987806372201614E-3</v>
      </c>
      <c r="Z44" s="109">
        <f t="shared" si="16"/>
        <v>-3.2187234182288432E-3</v>
      </c>
      <c r="AA44" s="109">
        <f t="shared" si="16"/>
        <v>-6.0216165092578247E-3</v>
      </c>
      <c r="AB44" s="109">
        <f t="shared" si="16"/>
        <v>-1.7170096472342634E-3</v>
      </c>
      <c r="AC44" s="109">
        <f t="shared" si="16"/>
        <v>-1.6827902187420911E-2</v>
      </c>
      <c r="AD44" s="109">
        <f t="shared" si="16"/>
        <v>1.0188497752030535E-2</v>
      </c>
      <c r="AE44" s="109">
        <f t="shared" si="16"/>
        <v>1.9167279110026253E-3</v>
      </c>
      <c r="AF44" s="109">
        <f t="shared" si="16"/>
        <v>-5.3669975507882025E-3</v>
      </c>
      <c r="AG44" s="109">
        <f t="shared" si="16"/>
        <v>-1.128499758710777E-2</v>
      </c>
      <c r="AH44" s="109">
        <f t="shared" si="16"/>
        <v>-7.4939302595855234E-3</v>
      </c>
      <c r="AI44" s="109">
        <f t="shared" si="16"/>
        <v>-7.5631459710634417E-3</v>
      </c>
      <c r="AJ44" s="109">
        <f t="shared" si="16"/>
        <v>-3.3677988895396077E-3</v>
      </c>
      <c r="AK44" s="109">
        <f t="shared" si="16"/>
        <v>1.7097214932047737E-2</v>
      </c>
      <c r="AL44" s="109">
        <f t="shared" si="16"/>
        <v>7.0104459785327285E-3</v>
      </c>
      <c r="AM44" s="109">
        <f t="shared" si="16"/>
        <v>3.8841458354561607E-3</v>
      </c>
      <c r="AN44" s="109">
        <f t="shared" si="16"/>
        <v>-6.9486865098482953E-5</v>
      </c>
      <c r="AO44" s="109">
        <f t="shared" si="16"/>
        <v>2.5165767659102056E-2</v>
      </c>
      <c r="AP44" s="109">
        <f t="shared" si="16"/>
        <v>2.0446721183256036E-3</v>
      </c>
      <c r="AQ44" s="109">
        <f t="shared" si="16"/>
        <v>2.1321512262780637E-3</v>
      </c>
      <c r="AR44" s="109">
        <f t="shared" si="16"/>
        <v>3.0240154081206776E-4</v>
      </c>
      <c r="AS44" s="109">
        <f t="shared" si="16"/>
        <v>2.5567743354140528E-3</v>
      </c>
      <c r="AT44" s="109">
        <f t="shared" si="16"/>
        <v>1.8826228095714843E-3</v>
      </c>
      <c r="AU44" s="109">
        <f t="shared" si="16"/>
        <v>-2.2997430864254414E-4</v>
      </c>
      <c r="AV44" s="109">
        <f t="shared" si="16"/>
        <v>2.3327267855381632E-4</v>
      </c>
      <c r="AW44" s="109">
        <f t="shared" si="16"/>
        <v>-7.9034911832689936E-4</v>
      </c>
      <c r="AX44" s="109">
        <f t="shared" si="16"/>
        <v>-6.4733934561909947E-3</v>
      </c>
      <c r="AY44" s="109">
        <f t="shared" si="16"/>
        <v>2.7836214136558002E-3</v>
      </c>
      <c r="AZ44" s="109">
        <f t="shared" si="16"/>
        <v>1.9429905540700083E-3</v>
      </c>
      <c r="BA44" s="109">
        <f t="shared" si="16"/>
        <v>-9.6957105168078237E-3</v>
      </c>
      <c r="BB44" s="109">
        <f t="shared" si="16"/>
        <v>-8.5420522887987727E-3</v>
      </c>
      <c r="BC44" s="109">
        <f t="shared" si="16"/>
        <v>-4.1272466535731472E-3</v>
      </c>
      <c r="BD44" s="109">
        <f t="shared" si="16"/>
        <v>-2.8148045093959809E-3</v>
      </c>
      <c r="BE44" s="109">
        <f t="shared" si="16"/>
        <v>1.0284752764564415E-2</v>
      </c>
      <c r="BF44" s="109">
        <f t="shared" si="16"/>
        <v>7.901918277598707E-3</v>
      </c>
      <c r="BG44" s="109">
        <f t="shared" si="16"/>
        <v>8.6514408591959413E-2</v>
      </c>
      <c r="BH44" s="109">
        <f t="shared" si="16"/>
        <v>0.43274145222630317</v>
      </c>
      <c r="BI44" s="109">
        <f t="shared" si="16"/>
        <v>0.26316914480987524</v>
      </c>
      <c r="BJ44" s="109">
        <f t="shared" si="16"/>
        <v>0.10455901365079531</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5" t="s">
        <v>696</v>
      </c>
      <c r="B45" s="274"/>
      <c r="C45" s="274"/>
      <c r="D45" s="274"/>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row>
    <row r="46" spans="1:89" s="57" customFormat="1" x14ac:dyDescent="0.25">
      <c r="A46" s="57" t="s">
        <v>697</v>
      </c>
      <c r="E46" s="57">
        <f>E43/资产资本表!E70</f>
        <v>0.15155763843837575</v>
      </c>
      <c r="F46" s="57">
        <f>F43/资产资本表!F70</f>
        <v>0.16134802915627125</v>
      </c>
      <c r="G46" s="57">
        <f>G43/资产资本表!G70</f>
        <v>0.1088785783017541</v>
      </c>
      <c r="H46" s="57">
        <f>H43/资产资本表!H70</f>
        <v>0.1035154307619006</v>
      </c>
      <c r="I46" s="57">
        <f>I43/资产资本表!I70</f>
        <v>0.16551038851631897</v>
      </c>
      <c r="J46" s="57">
        <f>J43/资产资本表!J70</f>
        <v>0.18116515001992786</v>
      </c>
      <c r="K46" s="57">
        <f>K43/资产资本表!K70</f>
        <v>0.16249668065746098</v>
      </c>
      <c r="L46" s="57">
        <f>L43/资产资本表!L70</f>
        <v>0.19832150165673426</v>
      </c>
      <c r="M46" s="57">
        <f>M43/资产资本表!M70</f>
        <v>0.20762911336453949</v>
      </c>
      <c r="N46" s="57">
        <f>N43/资产资本表!N70</f>
        <v>0.1551649609875892</v>
      </c>
      <c r="O46" s="57">
        <f>O43/资产资本表!O70</f>
        <v>0.15600195626389196</v>
      </c>
      <c r="P46" s="57">
        <f>P43/资产资本表!P70</f>
        <v>0.13732589386247732</v>
      </c>
      <c r="Q46" s="57">
        <f>Q43/资产资本表!Q70</f>
        <v>0.14578528220799361</v>
      </c>
      <c r="R46" s="57">
        <f>R43/资产资本表!R70</f>
        <v>0.41576039487153627</v>
      </c>
      <c r="S46" s="57">
        <f>S43/资产资本表!S70</f>
        <v>0.37940950541672497</v>
      </c>
      <c r="T46" s="57">
        <f>T43/资产资本表!T70</f>
        <v>0.40579634612213428</v>
      </c>
      <c r="U46" s="57">
        <f>U43/资产资本表!U70</f>
        <v>0.37655070197683305</v>
      </c>
      <c r="V46" s="57">
        <f>V43/资产资本表!V70</f>
        <v>0.40225822953981977</v>
      </c>
      <c r="W46" s="57">
        <f>W43/资产资本表!W70</f>
        <v>0.35166336488251992</v>
      </c>
      <c r="X46" s="57">
        <f>X43/资产资本表!X70</f>
        <v>0.38509647705714056</v>
      </c>
      <c r="Y46" s="57">
        <f>Y43/资产资本表!Y70</f>
        <v>0.32953737126788185</v>
      </c>
      <c r="Z46" s="57">
        <f>Z43/资产资本表!Z70</f>
        <v>0.30804975025233511</v>
      </c>
      <c r="AA46" s="57">
        <f>AA43/资产资本表!AA70</f>
        <v>0.20801030128595291</v>
      </c>
      <c r="AB46" s="57">
        <f>AB43/资产资本表!AB70</f>
        <v>0.19863683773381288</v>
      </c>
      <c r="AC46" s="57">
        <f>AC43/资产资本表!AC70</f>
        <v>0.18544303774467819</v>
      </c>
      <c r="AD46" s="57">
        <f>AD43/资产资本表!AD70</f>
        <v>0.19114029094395849</v>
      </c>
      <c r="AE46" s="57">
        <f>AE43/资产资本表!AE70</f>
        <v>0.19498247268992591</v>
      </c>
      <c r="AF46" s="57">
        <f>AF43/资产资本表!AF70</f>
        <v>0.26192818121070077</v>
      </c>
      <c r="AG46" s="57">
        <f>AG43/资产资本表!AG70</f>
        <v>0.26864590123001125</v>
      </c>
      <c r="AH46" s="57">
        <f>AH43/资产资本表!AH70</f>
        <v>0.29358426368725471</v>
      </c>
      <c r="AI46" s="57">
        <f>AI43/资产资本表!AI70</f>
        <v>0.25719819276033273</v>
      </c>
      <c r="AJ46" s="57">
        <f>AJ43/资产资本表!AJ70</f>
        <v>0.34447802052467119</v>
      </c>
      <c r="AK46" s="57">
        <f>AK43/资产资本表!AK70</f>
        <v>0.40066265893297975</v>
      </c>
      <c r="AL46" s="57">
        <f>AL43/资产资本表!AL70</f>
        <v>0.432243288221975</v>
      </c>
      <c r="AM46" s="57">
        <f>AM43/资产资本表!AM70</f>
        <v>0.43821111518721129</v>
      </c>
      <c r="AN46" s="57">
        <f>AN43/资产资本表!AN70</f>
        <v>0.45166716341488639</v>
      </c>
      <c r="AO46" s="57">
        <f>AO43/资产资本表!AO70</f>
        <v>0.41561426257630713</v>
      </c>
      <c r="AP46" s="57">
        <f>AP43/资产资本表!AP70</f>
        <v>0.35069450933301843</v>
      </c>
      <c r="AQ46" s="57">
        <f>AQ43/资产资本表!AQ70</f>
        <v>0.3407816932765903</v>
      </c>
      <c r="AR46" s="57">
        <f>AR43/资产资本表!AR70</f>
        <v>0.36450873170466919</v>
      </c>
      <c r="AS46" s="57">
        <f>AS43/资产资本表!AS70</f>
        <v>0.4390050450683764</v>
      </c>
      <c r="AT46" s="57">
        <f>AT43/资产资本表!AT70</f>
        <v>0.43405370562907059</v>
      </c>
      <c r="AU46" s="57">
        <f>AU43/资产资本表!AU70</f>
        <v>0.1917007087116108</v>
      </c>
      <c r="AV46" s="57">
        <f>AV43/资产资本表!AV70</f>
        <v>0.2508558863579835</v>
      </c>
      <c r="AW46" s="57">
        <f>AW43/资产资本表!AW70</f>
        <v>0.3497080706349146</v>
      </c>
      <c r="AX46" s="57">
        <f>AX43/资产资本表!AX70</f>
        <v>0.14688983651531698</v>
      </c>
      <c r="AY46" s="57">
        <f>AY43/资产资本表!AY70</f>
        <v>0.20212872936419085</v>
      </c>
      <c r="AZ46" s="57">
        <f>AZ43/资产资本表!AZ70</f>
        <v>0.19712957791731878</v>
      </c>
      <c r="BA46" s="57">
        <f>BA43/资产资本表!BA70</f>
        <v>0.2692645258334404</v>
      </c>
      <c r="BB46" s="57">
        <f>BB43/资产资本表!BB70</f>
        <v>0.19951280787481041</v>
      </c>
      <c r="BC46" s="57">
        <f>BC43/资产资本表!BC70</f>
        <v>0.26601666174019228</v>
      </c>
      <c r="BD46" s="57">
        <f>BD43/资产资本表!BD70</f>
        <v>0.29262387310233434</v>
      </c>
      <c r="BE46" s="57">
        <f>BE43/资产资本表!BE70</f>
        <v>0.42793489348528269</v>
      </c>
      <c r="BF46" s="57">
        <f>BF43/资产资本表!BF70</f>
        <v>0.45002164030538322</v>
      </c>
      <c r="BG46" s="57">
        <f>BG43/资产资本表!BG70</f>
        <v>7.3398842053013974E-2</v>
      </c>
      <c r="BH46" s="57">
        <f>BH43/资产资本表!BH70</f>
        <v>2.3654222192475469E-2</v>
      </c>
      <c r="BI46" s="57">
        <f>BI43/资产资本表!BI70</f>
        <v>3.7932073926667302E-2</v>
      </c>
      <c r="BJ46" s="57">
        <f>BJ43/资产资本表!BJ70</f>
        <v>5.0096819482790191E-2</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37621</v>
      </c>
      <c r="BM48" s="1">
        <v>37256</v>
      </c>
      <c r="BN48" s="1">
        <v>25569</v>
      </c>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464</v>
      </c>
      <c r="E49" s="75">
        <f>利润表!E4</f>
        <v>14187347425.77</v>
      </c>
      <c r="F49" s="75">
        <f>利润表!F4</f>
        <v>10496638285.280001</v>
      </c>
      <c r="G49" s="75">
        <f>利润表!G4</f>
        <v>6909466633.0699997</v>
      </c>
      <c r="H49" s="75">
        <f>利润表!H4</f>
        <v>3946557740.5500002</v>
      </c>
      <c r="I49" s="75">
        <f>利润表!I4</f>
        <v>11947123201.120001</v>
      </c>
      <c r="J49" s="75">
        <f>利润表!J4</f>
        <v>8831589881.3400002</v>
      </c>
      <c r="K49" s="75">
        <f>利润表!K4</f>
        <v>5751920817.7799997</v>
      </c>
      <c r="L49" s="75">
        <f>利润表!L4</f>
        <v>3133161846.48</v>
      </c>
      <c r="M49" s="75">
        <f>利润表!M4</f>
        <v>10909686625.9</v>
      </c>
      <c r="N49" s="75">
        <f>利润表!N4</f>
        <v>8278621743.6099997</v>
      </c>
      <c r="O49" s="75">
        <f>利润表!O4</f>
        <v>5379574852.0900002</v>
      </c>
      <c r="P49" s="75">
        <f>利润表!P4</f>
        <v>3006733799.9699998</v>
      </c>
      <c r="Q49" s="75">
        <f>利润表!Q4</f>
        <v>9534643945.8400002</v>
      </c>
      <c r="R49" s="75">
        <f>利润表!R4</f>
        <v>7165393933.3800001</v>
      </c>
      <c r="S49" s="75">
        <f>利润表!S4</f>
        <v>4642903746.8100004</v>
      </c>
      <c r="T49" s="75">
        <f>利润表!T4</f>
        <v>2597184476.3400002</v>
      </c>
      <c r="U49" s="75">
        <f>利润表!U4</f>
        <v>8383249626.6099997</v>
      </c>
      <c r="V49" s="75">
        <f>利润表!V4</f>
        <v>6309123886.5600004</v>
      </c>
      <c r="W49" s="75">
        <f>利润表!W4</f>
        <v>4137281725.73</v>
      </c>
      <c r="X49" s="75">
        <f>利润表!X4</f>
        <v>2271122489.46</v>
      </c>
      <c r="Y49" s="75">
        <f>利润表!Y4</f>
        <v>6889460447.5</v>
      </c>
      <c r="Z49" s="75">
        <f>利润表!Z4</f>
        <v>5094265010.2200003</v>
      </c>
      <c r="AA49" s="75">
        <f>利润表!AA4</f>
        <v>3337991428.0799999</v>
      </c>
      <c r="AB49" s="75">
        <f>利润表!AB4</f>
        <v>1921580092.78</v>
      </c>
      <c r="AC49" s="75">
        <f>利润表!AC4</f>
        <v>7125653010.6000004</v>
      </c>
      <c r="AD49" s="75">
        <f>利润表!AD4</f>
        <v>5320905422.1599998</v>
      </c>
      <c r="AE49" s="75">
        <f>利润表!AE4</f>
        <v>3478460807.9000001</v>
      </c>
      <c r="AF49" s="75">
        <f>利润表!AF4</f>
        <v>1916611704.77</v>
      </c>
      <c r="AG49" s="75">
        <f>利润表!AG4</f>
        <v>5622064477.6899996</v>
      </c>
      <c r="AH49" s="75">
        <f>利润表!AH4</f>
        <v>4131698878.2600002</v>
      </c>
      <c r="AI49" s="75">
        <f>利润表!AI4</f>
        <v>2637387856.5799999</v>
      </c>
      <c r="AJ49" s="75">
        <f>利润表!AJ4</f>
        <v>1409824143.3399999</v>
      </c>
      <c r="AK49" s="75">
        <f>利润表!AK4</f>
        <v>4115694413.0500002</v>
      </c>
      <c r="AL49" s="75">
        <f>利润表!AL4</f>
        <v>2869852234.98</v>
      </c>
      <c r="AM49" s="75">
        <f>利润表!AM4</f>
        <v>1789643522.5799999</v>
      </c>
      <c r="AN49" s="75">
        <f>利润表!AN4</f>
        <v>974769793.25999999</v>
      </c>
      <c r="AO49" s="75">
        <f>利润表!AO4</f>
        <v>3622472692.9499998</v>
      </c>
      <c r="AP49" s="75">
        <f>利润表!AP4</f>
        <v>2737510628.8299999</v>
      </c>
      <c r="AQ49" s="75">
        <f>利润表!AQ4</f>
        <v>1770090740.1099999</v>
      </c>
      <c r="AR49" s="75">
        <f>利润表!AR4</f>
        <v>948870059</v>
      </c>
      <c r="AS49" s="75">
        <f>利润表!AS4</f>
        <v>2933702853.6199999</v>
      </c>
      <c r="AT49" s="75">
        <f>利润表!AT4</f>
        <v>2036986258.02</v>
      </c>
      <c r="AU49" s="75">
        <f>利润表!AU4</f>
        <v>1343067096.1199999</v>
      </c>
      <c r="AV49" s="75">
        <f>利润表!AV4</f>
        <v>690513878.61000001</v>
      </c>
      <c r="AW49" s="75">
        <f>利润表!AW4</f>
        <v>2078933841.01</v>
      </c>
      <c r="AX49" s="75">
        <f>利润表!AX4</f>
        <v>1395329575.05</v>
      </c>
      <c r="AY49" s="75">
        <f>利润表!AY4</f>
        <v>950623937.99000001</v>
      </c>
      <c r="AZ49" s="75">
        <f>利润表!AZ4</f>
        <v>497601268.74000001</v>
      </c>
      <c r="BA49" s="75">
        <f>利润表!BA4</f>
        <v>1469657238.76</v>
      </c>
      <c r="BB49" s="75">
        <f>利润表!BB4</f>
        <v>892949953.26999998</v>
      </c>
      <c r="BC49" s="75">
        <f>利润表!BC4</f>
        <v>571334000.86000001</v>
      </c>
      <c r="BD49" s="75">
        <f>利润表!BD4</f>
        <v>307441328.06</v>
      </c>
      <c r="BE49" s="75">
        <f>利润表!BE4</f>
        <v>1005100421.21</v>
      </c>
      <c r="BF49" s="75">
        <f>利润表!BF4</f>
        <v>690760992.04999995</v>
      </c>
      <c r="BG49" s="75">
        <f>利润表!BG4</f>
        <v>421255138.5</v>
      </c>
      <c r="BH49" s="75">
        <f>利润表!BH4</f>
        <v>215333282.66999999</v>
      </c>
      <c r="BI49" s="75">
        <f>利润表!BI4</f>
        <v>836522190.09000003</v>
      </c>
      <c r="BJ49" s="75">
        <f>利润表!BJ4</f>
        <v>565041355.69000006</v>
      </c>
      <c r="BK49" s="75">
        <f>利润表!BK4</f>
        <v>359187902.31</v>
      </c>
      <c r="BL49" s="75">
        <f>利润表!BL4</f>
        <v>615144162.49000001</v>
      </c>
      <c r="BM49" s="75">
        <f>利润表!BM4</f>
        <v>469451683.89999998</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465</v>
      </c>
      <c r="E50" s="75">
        <f>资产资本表!E50</f>
        <v>1676575466.5499992</v>
      </c>
      <c r="F50" s="75">
        <f>资产资本表!F50</f>
        <v>1640259018.8699999</v>
      </c>
      <c r="G50" s="75">
        <f>资产资本表!G50</f>
        <v>1431996308.1399999</v>
      </c>
      <c r="H50" s="75">
        <f>资产资本表!H50</f>
        <v>1538898186.3499994</v>
      </c>
      <c r="I50" s="75">
        <f>资产资本表!I50</f>
        <v>1613278029.2599988</v>
      </c>
      <c r="J50" s="75">
        <f>资产资本表!J50</f>
        <v>1688522562.0700002</v>
      </c>
      <c r="K50" s="75">
        <f>资产资本表!K50</f>
        <v>1586724583.3800001</v>
      </c>
      <c r="L50" s="75">
        <f>资产资本表!L50</f>
        <v>2374901638.2699995</v>
      </c>
      <c r="M50" s="75">
        <f>资产资本表!M50</f>
        <v>2225892520.0400004</v>
      </c>
      <c r="N50" s="75">
        <f>资产资本表!N50</f>
        <v>1808095255.9400005</v>
      </c>
      <c r="O50" s="75">
        <f>资产资本表!O50</f>
        <v>1700168747.3700001</v>
      </c>
      <c r="P50" s="75">
        <f>资产资本表!P50</f>
        <v>1578444423.9399993</v>
      </c>
      <c r="Q50" s="75">
        <f>资产资本表!Q50</f>
        <v>1387180146.25</v>
      </c>
      <c r="R50" s="75">
        <f>资产资本表!R50</f>
        <v>1034913020.5999994</v>
      </c>
      <c r="S50" s="75">
        <f>资产资本表!S50</f>
        <v>1092743752.5000005</v>
      </c>
      <c r="T50" s="75">
        <f>资产资本表!T50</f>
        <v>1040107761.3699999</v>
      </c>
      <c r="U50" s="75">
        <f>资产资本表!U50</f>
        <v>1035290874.7199996</v>
      </c>
      <c r="V50" s="75">
        <f>资产资本表!V50</f>
        <v>900596915.91000056</v>
      </c>
      <c r="W50" s="75">
        <f>资产资本表!W50</f>
        <v>998348814.40999961</v>
      </c>
      <c r="X50" s="75">
        <f>资产资本表!X50</f>
        <v>922917637.38000011</v>
      </c>
      <c r="Y50" s="75">
        <f>资产资本表!Y50</f>
        <v>1003579860.27</v>
      </c>
      <c r="Z50" s="75">
        <f>资产资本表!Z50</f>
        <v>971562378.71000051</v>
      </c>
      <c r="AA50" s="75">
        <f>资产资本表!AA50</f>
        <v>1211546149.6500003</v>
      </c>
      <c r="AB50" s="75">
        <f>资产资本表!AB50</f>
        <v>1340677963.2000003</v>
      </c>
      <c r="AC50" s="75">
        <f>资产资本表!AC50</f>
        <v>1297074209.9000003</v>
      </c>
      <c r="AD50" s="75">
        <f>资产资本表!AD50</f>
        <v>1177604674.3699999</v>
      </c>
      <c r="AE50" s="75">
        <f>资产资本表!AE50</f>
        <v>1092209731.3200002</v>
      </c>
      <c r="AF50" s="75">
        <f>资产资本表!AF50</f>
        <v>985585763.06000018</v>
      </c>
      <c r="AG50" s="75">
        <f>资产资本表!AG50</f>
        <v>880437615.12999988</v>
      </c>
      <c r="AH50" s="75">
        <f>资产资本表!AH50</f>
        <v>809146854.70000017</v>
      </c>
      <c r="AI50" s="75">
        <f>资产资本表!AI50</f>
        <v>862264612.38999999</v>
      </c>
      <c r="AJ50" s="75">
        <f>资产资本表!AJ50</f>
        <v>696243291.13999987</v>
      </c>
      <c r="AK50" s="75">
        <f>资产资本表!AK50</f>
        <v>506768983.1400001</v>
      </c>
      <c r="AL50" s="75">
        <f>资产资本表!AL50</f>
        <v>436980193.42999995</v>
      </c>
      <c r="AM50" s="75">
        <f>资产资本表!AM50</f>
        <v>425314498.65000004</v>
      </c>
      <c r="AN50" s="75">
        <f>资产资本表!AN50</f>
        <v>431152332.41999984</v>
      </c>
      <c r="AO50" s="75">
        <f>资产资本表!AO50</f>
        <v>480706719.60000002</v>
      </c>
      <c r="AP50" s="75">
        <f>资产资本表!AP50</f>
        <v>549605027.46999991</v>
      </c>
      <c r="AQ50" s="75">
        <f>资产资本表!AQ50</f>
        <v>566817243.36000013</v>
      </c>
      <c r="AR50" s="75">
        <f>资产资本表!AR50</f>
        <v>454765314.2299999</v>
      </c>
      <c r="AS50" s="75">
        <f>资产资本表!AS50</f>
        <v>281980932.93999994</v>
      </c>
      <c r="AT50" s="75">
        <f>资产资本表!AT50</f>
        <v>444940001.75000006</v>
      </c>
      <c r="AU50" s="75">
        <f>资产资本表!AU50</f>
        <v>349653362.87</v>
      </c>
      <c r="AV50" s="75">
        <f>资产资本表!AV50</f>
        <v>363413654.77000004</v>
      </c>
      <c r="AW50" s="75">
        <f>资产资本表!AW50</f>
        <v>173855672.78999996</v>
      </c>
      <c r="AX50" s="75">
        <f>资产资本表!AX50</f>
        <v>362978839.09999985</v>
      </c>
      <c r="AY50" s="75">
        <f>资产资本表!AY50</f>
        <v>342163819.86999995</v>
      </c>
      <c r="AZ50" s="75">
        <f>资产资本表!AZ50</f>
        <v>335610376.46999997</v>
      </c>
      <c r="BA50" s="75">
        <f>资产资本表!BA50</f>
        <v>197405879.38000005</v>
      </c>
      <c r="BB50" s="75">
        <f>资产资本表!BB50</f>
        <v>345635787.67000008</v>
      </c>
      <c r="BC50" s="75">
        <f>资产资本表!BC50</f>
        <v>318982811.22999996</v>
      </c>
      <c r="BD50" s="75">
        <f>资产资本表!BD50</f>
        <v>280716622.44</v>
      </c>
      <c r="BE50" s="75">
        <f>资产资本表!BE50</f>
        <v>155504312.19</v>
      </c>
      <c r="BF50" s="75">
        <f>资产资本表!BF50</f>
        <v>198895214.82999989</v>
      </c>
      <c r="BG50" s="75">
        <f>资产资本表!BG50</f>
        <v>251004603.18000007</v>
      </c>
      <c r="BH50" s="75">
        <f>资产资本表!BH50</f>
        <v>168352118.37000003</v>
      </c>
      <c r="BI50" s="75">
        <f>资产资本表!BI50</f>
        <v>124589627.98</v>
      </c>
      <c r="BJ50" s="75">
        <f>资产资本表!BJ50</f>
        <v>99611967.430000007</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466</v>
      </c>
      <c r="E51" s="44">
        <f>E49/E50</f>
        <v>8.4620989086547045</v>
      </c>
      <c r="F51" s="44">
        <f t="shared" ref="F51:BQ51" si="18">F49/F50</f>
        <v>6.3993784911551952</v>
      </c>
      <c r="G51" s="44">
        <f t="shared" si="18"/>
        <v>4.8250589710280813</v>
      </c>
      <c r="H51" s="44">
        <f t="shared" si="18"/>
        <v>2.564534662238152</v>
      </c>
      <c r="I51" s="44">
        <f t="shared" si="18"/>
        <v>7.4054955094132637</v>
      </c>
      <c r="J51" s="44">
        <f t="shared" si="18"/>
        <v>5.2303653381528656</v>
      </c>
      <c r="K51" s="44">
        <f t="shared" si="18"/>
        <v>3.6250278580340676</v>
      </c>
      <c r="L51" s="44">
        <f t="shared" si="18"/>
        <v>1.3192806792463019</v>
      </c>
      <c r="M51" s="44">
        <f t="shared" si="18"/>
        <v>4.9012638874872296</v>
      </c>
      <c r="N51" s="44">
        <f t="shared" si="18"/>
        <v>4.5786424782725694</v>
      </c>
      <c r="O51" s="44">
        <f t="shared" si="18"/>
        <v>3.1641417126456961</v>
      </c>
      <c r="P51" s="44">
        <f t="shared" si="18"/>
        <v>1.9048715015665914</v>
      </c>
      <c r="Q51" s="44">
        <f t="shared" si="18"/>
        <v>6.8733999485324597</v>
      </c>
      <c r="R51" s="44">
        <f t="shared" si="18"/>
        <v>6.9236677776319828</v>
      </c>
      <c r="S51" s="44">
        <f t="shared" si="18"/>
        <v>4.2488495003406559</v>
      </c>
      <c r="T51" s="44">
        <f t="shared" si="18"/>
        <v>2.4970340312806281</v>
      </c>
      <c r="U51" s="44">
        <f t="shared" si="18"/>
        <v>8.097482390035843</v>
      </c>
      <c r="V51" s="44">
        <f t="shared" si="18"/>
        <v>7.0054913303639283</v>
      </c>
      <c r="W51" s="44">
        <f t="shared" si="18"/>
        <v>4.1441244442955893</v>
      </c>
      <c r="X51" s="44">
        <f t="shared" si="18"/>
        <v>2.4608073326102153</v>
      </c>
      <c r="Y51" s="44">
        <f t="shared" si="18"/>
        <v>6.8648851180079289</v>
      </c>
      <c r="Z51" s="44">
        <f t="shared" si="18"/>
        <v>5.2433740970743949</v>
      </c>
      <c r="AA51" s="44">
        <f t="shared" si="18"/>
        <v>2.7551500444653318</v>
      </c>
      <c r="AB51" s="44">
        <f t="shared" si="18"/>
        <v>1.433289832103656</v>
      </c>
      <c r="AC51" s="44">
        <f t="shared" si="18"/>
        <v>5.493635565500421</v>
      </c>
      <c r="AD51" s="44">
        <f t="shared" si="18"/>
        <v>4.5184139787884261</v>
      </c>
      <c r="AE51" s="44">
        <f t="shared" si="18"/>
        <v>3.1847919938381013</v>
      </c>
      <c r="AF51" s="44">
        <f t="shared" si="18"/>
        <v>1.9446422387630624</v>
      </c>
      <c r="AG51" s="44">
        <f t="shared" si="18"/>
        <v>6.3855341719582039</v>
      </c>
      <c r="AH51" s="44">
        <f t="shared" si="18"/>
        <v>5.1062410417350899</v>
      </c>
      <c r="AI51" s="44">
        <f t="shared" si="18"/>
        <v>3.0586757460331868</v>
      </c>
      <c r="AJ51" s="44">
        <f t="shared" si="18"/>
        <v>2.0249015843752152</v>
      </c>
      <c r="AK51" s="44">
        <f t="shared" si="18"/>
        <v>8.1214410312736085</v>
      </c>
      <c r="AL51" s="44">
        <f t="shared" si="18"/>
        <v>6.567465249291037</v>
      </c>
      <c r="AM51" s="44">
        <f t="shared" si="18"/>
        <v>4.2078121678441391</v>
      </c>
      <c r="AN51" s="44">
        <f t="shared" si="18"/>
        <v>2.2608477792263089</v>
      </c>
      <c r="AO51" s="44">
        <f t="shared" si="18"/>
        <v>7.5357230203985681</v>
      </c>
      <c r="AP51" s="44">
        <f t="shared" si="18"/>
        <v>4.9808689731817024</v>
      </c>
      <c r="AQ51" s="44">
        <f t="shared" si="18"/>
        <v>3.1228597239159326</v>
      </c>
      <c r="AR51" s="44">
        <f t="shared" si="18"/>
        <v>2.0865049055172755</v>
      </c>
      <c r="AS51" s="44">
        <f t="shared" si="18"/>
        <v>10.403905054971341</v>
      </c>
      <c r="AT51" s="44">
        <f t="shared" si="18"/>
        <v>4.5781144648903211</v>
      </c>
      <c r="AU51" s="44">
        <f t="shared" si="18"/>
        <v>3.8411387927058147</v>
      </c>
      <c r="AV51" s="44">
        <f t="shared" si="18"/>
        <v>1.9000768670814463</v>
      </c>
      <c r="AW51" s="44">
        <f t="shared" si="18"/>
        <v>11.957814246999817</v>
      </c>
      <c r="AX51" s="44">
        <f t="shared" si="18"/>
        <v>3.8441072171306101</v>
      </c>
      <c r="AY51" s="44">
        <f t="shared" si="18"/>
        <v>2.7782713506973806</v>
      </c>
      <c r="AZ51" s="44">
        <f t="shared" si="18"/>
        <v>1.4826754582913806</v>
      </c>
      <c r="BA51" s="44">
        <f t="shared" si="18"/>
        <v>7.4448503933915591</v>
      </c>
      <c r="BB51" s="44">
        <f t="shared" si="18"/>
        <v>2.5834996985976311</v>
      </c>
      <c r="BC51" s="44">
        <f t="shared" si="18"/>
        <v>1.7911121876972997</v>
      </c>
      <c r="BD51" s="44">
        <f t="shared" si="18"/>
        <v>1.0952017211795575</v>
      </c>
      <c r="BE51" s="44">
        <f t="shared" si="18"/>
        <v>6.4634890637755253</v>
      </c>
      <c r="BF51" s="44">
        <f t="shared" si="18"/>
        <v>3.4729894967076436</v>
      </c>
      <c r="BG51" s="44">
        <f t="shared" si="18"/>
        <v>1.6782765461791556</v>
      </c>
      <c r="BH51" s="44">
        <f t="shared" si="18"/>
        <v>1.2790648835005802</v>
      </c>
      <c r="BI51" s="44">
        <f t="shared" si="18"/>
        <v>6.7142201453903079</v>
      </c>
      <c r="BJ51" s="44">
        <f t="shared" si="18"/>
        <v>5.6724244111237914</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467</v>
      </c>
      <c r="E52" s="75">
        <f>资产资本表!E68</f>
        <v>1392080476.1199999</v>
      </c>
      <c r="F52" s="75">
        <f>资产资本表!F68</f>
        <v>1419610843.5600002</v>
      </c>
      <c r="G52" s="75">
        <f>资产资本表!G68</f>
        <v>1388746657.8899999</v>
      </c>
      <c r="H52" s="75">
        <f>资产资本表!H68</f>
        <v>1375889125.3999999</v>
      </c>
      <c r="I52" s="75">
        <f>资产资本表!I68</f>
        <v>1290395397.01</v>
      </c>
      <c r="J52" s="75">
        <f>资产资本表!J68</f>
        <v>1331709955.4499998</v>
      </c>
      <c r="K52" s="75">
        <f>资产资本表!K68</f>
        <v>1332940775.2599998</v>
      </c>
      <c r="L52" s="75">
        <f>资产资本表!L68</f>
        <v>1336394587.1199999</v>
      </c>
      <c r="M52" s="75">
        <f>资产资本表!M68</f>
        <v>1291065284.1599998</v>
      </c>
      <c r="N52" s="75">
        <f>资产资本表!N68</f>
        <v>1359042251.7600002</v>
      </c>
      <c r="O52" s="75">
        <f>资产资本表!O68</f>
        <v>1363263287.1099997</v>
      </c>
      <c r="P52" s="75">
        <f>资产资本表!P68</f>
        <v>1380589145.5799999</v>
      </c>
      <c r="Q52" s="75">
        <f>资产资本表!Q68</f>
        <v>1320495971.1100001</v>
      </c>
      <c r="R52" s="75">
        <f>资产资本表!R68</f>
        <v>1305126657.8000002</v>
      </c>
      <c r="S52" s="75">
        <f>资产资本表!S68</f>
        <v>1273215157.4099998</v>
      </c>
      <c r="T52" s="75">
        <f>资产资本表!T68</f>
        <v>1265591802.1900001</v>
      </c>
      <c r="U52" s="75">
        <f>资产资本表!U68</f>
        <v>1256888174.8099999</v>
      </c>
      <c r="V52" s="75">
        <f>资产资本表!V68</f>
        <v>1245111022.6199999</v>
      </c>
      <c r="W52" s="75">
        <f>资产资本表!W68</f>
        <v>1221617797.8099999</v>
      </c>
      <c r="X52" s="75">
        <f>资产资本表!X68</f>
        <v>1227872222.2700002</v>
      </c>
      <c r="Y52" s="75">
        <f>资产资本表!Y68</f>
        <v>1230945734.1000001</v>
      </c>
      <c r="Z52" s="75">
        <f>资产资本表!Z68</f>
        <v>1232909528.8800001</v>
      </c>
      <c r="AA52" s="75">
        <f>资产资本表!AA68</f>
        <v>1242484250.99</v>
      </c>
      <c r="AB52" s="75">
        <f>资产资本表!AB68</f>
        <v>1241565546.3799999</v>
      </c>
      <c r="AC52" s="75">
        <f>资产资本表!AC68</f>
        <v>1220673349.0700002</v>
      </c>
      <c r="AD52" s="75">
        <f>资产资本表!AD68</f>
        <v>1204704010.78</v>
      </c>
      <c r="AE52" s="75">
        <f>资产资本表!AE68</f>
        <v>1172877794.6699998</v>
      </c>
      <c r="AF52" s="75">
        <f>资产资本表!AF68</f>
        <v>1130876722.4600003</v>
      </c>
      <c r="AG52" s="75">
        <f>资产资本表!AG68</f>
        <v>1104302337.1199999</v>
      </c>
      <c r="AH52" s="75">
        <f>资产资本表!AH68</f>
        <v>1022143136.9099998</v>
      </c>
      <c r="AI52" s="75">
        <f>资产资本表!AI68</f>
        <v>975287000</v>
      </c>
      <c r="AJ52" s="75">
        <f>资产资本表!AJ68</f>
        <v>931544897.40999985</v>
      </c>
      <c r="AK52" s="75">
        <f>资产资本表!AK68</f>
        <v>908503544.25999999</v>
      </c>
      <c r="AL52" s="75">
        <f>资产资本表!AL68</f>
        <v>850966062.99000001</v>
      </c>
      <c r="AM52" s="75">
        <f>资产资本表!AM68</f>
        <v>815175667.8599999</v>
      </c>
      <c r="AN52" s="75">
        <f>资产资本表!AN68</f>
        <v>796470450.13000011</v>
      </c>
      <c r="AO52" s="75">
        <f>资产资本表!AO68</f>
        <v>782051888.26999998</v>
      </c>
      <c r="AP52" s="75">
        <f>资产资本表!AP68</f>
        <v>787382709.55999982</v>
      </c>
      <c r="AQ52" s="75">
        <f>资产资本表!AQ68</f>
        <v>744707213.29999995</v>
      </c>
      <c r="AR52" s="75">
        <f>资产资本表!AR68</f>
        <v>737541994.75</v>
      </c>
      <c r="AS52" s="75">
        <f>资产资本表!AS68</f>
        <v>736038967.29999983</v>
      </c>
      <c r="AT52" s="75">
        <f>资产资本表!AT68</f>
        <v>684531155.2700001</v>
      </c>
      <c r="AU52" s="75">
        <f>资产资本表!AU68</f>
        <v>673636736.63000011</v>
      </c>
      <c r="AV52" s="75">
        <f>资产资本表!AV68</f>
        <v>588649842.70999992</v>
      </c>
      <c r="AW52" s="75">
        <f>资产资本表!AW68</f>
        <v>593030556.04000008</v>
      </c>
      <c r="AX52" s="75">
        <f>资产资本表!AX68</f>
        <v>572680180.48000002</v>
      </c>
      <c r="AY52" s="75">
        <f>资产资本表!AY68</f>
        <v>576002743.63000011</v>
      </c>
      <c r="AZ52" s="75">
        <f>资产资本表!AZ68</f>
        <v>516803059.60999995</v>
      </c>
      <c r="BA52" s="75">
        <f>资产资本表!BA68</f>
        <v>516169367.69999993</v>
      </c>
      <c r="BB52" s="75">
        <f>资产资本表!BB68</f>
        <v>489204385.56999999</v>
      </c>
      <c r="BC52" s="75">
        <f>资产资本表!BC68</f>
        <v>480185992.52999997</v>
      </c>
      <c r="BD52" s="75">
        <f>资产资本表!BD68</f>
        <v>477146425.81999999</v>
      </c>
      <c r="BE52" s="75">
        <f>资产资本表!BE68</f>
        <v>464743387.27999997</v>
      </c>
      <c r="BF52" s="75">
        <f>资产资本表!BF68</f>
        <v>376224643.70999998</v>
      </c>
      <c r="BG52" s="75">
        <f>资产资本表!BG68</f>
        <v>272126100.05999994</v>
      </c>
      <c r="BH52" s="75">
        <f>资产资本表!BH68</f>
        <v>208674239.42999998</v>
      </c>
      <c r="BI52" s="75">
        <f>资产资本表!BI68</f>
        <v>160515147.28999999</v>
      </c>
      <c r="BJ52" s="75">
        <f>资产资本表!BJ68</f>
        <v>102301805.84</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468</v>
      </c>
      <c r="E53" s="44">
        <f>E49/E52</f>
        <v>10.191470729704442</v>
      </c>
      <c r="F53" s="44">
        <f t="shared" ref="F53:BQ53" si="20">F49/F52</f>
        <v>7.3940251533703911</v>
      </c>
      <c r="G53" s="44">
        <f t="shared" si="20"/>
        <v>4.9753254805796887</v>
      </c>
      <c r="H53" s="44">
        <f t="shared" si="20"/>
        <v>2.8683690187627966</v>
      </c>
      <c r="I53" s="44">
        <f t="shared" si="20"/>
        <v>9.2584979989876821</v>
      </c>
      <c r="J53" s="44">
        <f t="shared" si="20"/>
        <v>6.631766808678476</v>
      </c>
      <c r="K53" s="44">
        <f t="shared" si="20"/>
        <v>4.3152110915490942</v>
      </c>
      <c r="L53" s="44">
        <f t="shared" si="20"/>
        <v>2.3444885789549086</v>
      </c>
      <c r="M53" s="44">
        <f t="shared" si="20"/>
        <v>8.4501432729624675</v>
      </c>
      <c r="N53" s="44">
        <f t="shared" si="20"/>
        <v>6.091511675143976</v>
      </c>
      <c r="O53" s="44">
        <f t="shared" si="20"/>
        <v>3.9461011698585633</v>
      </c>
      <c r="P53" s="44">
        <f t="shared" si="20"/>
        <v>2.1778628418136949</v>
      </c>
      <c r="Q53" s="44">
        <f t="shared" si="20"/>
        <v>7.2205021101467217</v>
      </c>
      <c r="R53" s="44">
        <f t="shared" si="20"/>
        <v>5.4901904658498184</v>
      </c>
      <c r="S53" s="44">
        <f t="shared" si="20"/>
        <v>3.6465979216385467</v>
      </c>
      <c r="T53" s="44">
        <f t="shared" si="20"/>
        <v>2.0521502050232874</v>
      </c>
      <c r="U53" s="44">
        <f t="shared" si="20"/>
        <v>6.6698452532400276</v>
      </c>
      <c r="V53" s="44">
        <f t="shared" si="20"/>
        <v>5.0671175276274987</v>
      </c>
      <c r="W53" s="44">
        <f t="shared" si="20"/>
        <v>3.3867235179013639</v>
      </c>
      <c r="X53" s="44">
        <f t="shared" si="20"/>
        <v>1.8496407429604647</v>
      </c>
      <c r="Y53" s="44">
        <f t="shared" si="20"/>
        <v>5.5968839703053153</v>
      </c>
      <c r="Z53" s="44">
        <f t="shared" si="20"/>
        <v>4.1319049702274047</v>
      </c>
      <c r="AA53" s="44">
        <f t="shared" si="20"/>
        <v>2.6865462684298165</v>
      </c>
      <c r="AB53" s="44">
        <f t="shared" si="20"/>
        <v>1.5477073267558854</v>
      </c>
      <c r="AC53" s="44">
        <f t="shared" si="20"/>
        <v>5.8374773366100383</v>
      </c>
      <c r="AD53" s="44">
        <f t="shared" si="20"/>
        <v>4.4167740578160073</v>
      </c>
      <c r="AE53" s="44">
        <f t="shared" si="20"/>
        <v>2.9657487111678993</v>
      </c>
      <c r="AF53" s="44">
        <f t="shared" si="20"/>
        <v>1.6948016231166094</v>
      </c>
      <c r="AG53" s="44">
        <f t="shared" si="20"/>
        <v>5.0910554915171513</v>
      </c>
      <c r="AH53" s="44">
        <f t="shared" si="20"/>
        <v>4.0421920659276491</v>
      </c>
      <c r="AI53" s="44">
        <f t="shared" si="20"/>
        <v>2.7042171756416318</v>
      </c>
      <c r="AJ53" s="44">
        <f t="shared" si="20"/>
        <v>1.5134258662784512</v>
      </c>
      <c r="AK53" s="44">
        <f t="shared" si="20"/>
        <v>4.5301908165942724</v>
      </c>
      <c r="AL53" s="44">
        <f t="shared" si="20"/>
        <v>3.3724637912072937</v>
      </c>
      <c r="AM53" s="44">
        <f t="shared" si="20"/>
        <v>2.1954084170325818</v>
      </c>
      <c r="AN53" s="44">
        <f t="shared" si="20"/>
        <v>1.2238618433375623</v>
      </c>
      <c r="AO53" s="44">
        <f t="shared" si="20"/>
        <v>4.6320106725442196</v>
      </c>
      <c r="AP53" s="44">
        <f t="shared" si="20"/>
        <v>3.4767217969007196</v>
      </c>
      <c r="AQ53" s="44">
        <f t="shared" si="20"/>
        <v>2.3768948500797342</v>
      </c>
      <c r="AR53" s="44">
        <f t="shared" si="20"/>
        <v>1.2865302121835551</v>
      </c>
      <c r="AS53" s="44">
        <f t="shared" si="20"/>
        <v>3.9857982850848996</v>
      </c>
      <c r="AT53" s="44">
        <f t="shared" si="20"/>
        <v>2.9757392959222582</v>
      </c>
      <c r="AU53" s="44">
        <f t="shared" si="20"/>
        <v>1.9937557189041626</v>
      </c>
      <c r="AV53" s="44">
        <f t="shared" si="20"/>
        <v>1.1730469092305249</v>
      </c>
      <c r="AW53" s="44">
        <f t="shared" si="20"/>
        <v>3.5056099889560755</v>
      </c>
      <c r="AX53" s="44">
        <f t="shared" si="20"/>
        <v>2.4364900735354325</v>
      </c>
      <c r="AY53" s="44">
        <f t="shared" si="20"/>
        <v>1.6503809200614517</v>
      </c>
      <c r="AZ53" s="44">
        <f t="shared" si="20"/>
        <v>0.96284505187625946</v>
      </c>
      <c r="BA53" s="44">
        <f t="shared" si="20"/>
        <v>2.8472383886487656</v>
      </c>
      <c r="BB53" s="44">
        <f t="shared" si="20"/>
        <v>1.8253106055653465</v>
      </c>
      <c r="BC53" s="44">
        <f t="shared" si="20"/>
        <v>1.1898181324485544</v>
      </c>
      <c r="BD53" s="44">
        <f t="shared" si="20"/>
        <v>0.64433329356213176</v>
      </c>
      <c r="BE53" s="44">
        <f t="shared" si="20"/>
        <v>2.1626997795332676</v>
      </c>
      <c r="BF53" s="44">
        <f t="shared" si="20"/>
        <v>1.8360333476252813</v>
      </c>
      <c r="BG53" s="44">
        <f t="shared" si="20"/>
        <v>1.5480144624389913</v>
      </c>
      <c r="BH53" s="44">
        <f t="shared" si="20"/>
        <v>1.0319111897002207</v>
      </c>
      <c r="BI53" s="44">
        <f t="shared" si="20"/>
        <v>5.2114844250721681</v>
      </c>
      <c r="BJ53" s="44">
        <f t="shared" si="20"/>
        <v>5.5232784118564302</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469</v>
      </c>
      <c r="E54" s="75">
        <f>资产资本表!E17</f>
        <v>2087155717.8099997</v>
      </c>
      <c r="F54" s="75">
        <f>资产资本表!F17</f>
        <v>1859882797.4000001</v>
      </c>
      <c r="G54" s="75">
        <f>资产资本表!G17</f>
        <v>1818083330.02</v>
      </c>
      <c r="H54" s="75">
        <f>资产资本表!H17</f>
        <v>1968107303.2599998</v>
      </c>
      <c r="I54" s="75">
        <f>资产资本表!I17</f>
        <v>1607838305.72</v>
      </c>
      <c r="J54" s="75">
        <f>资产资本表!J17</f>
        <v>1146935466.0599999</v>
      </c>
      <c r="K54" s="75">
        <f>资产资本表!K17</f>
        <v>973473073.52999997</v>
      </c>
      <c r="L54" s="75">
        <f>资产资本表!L17</f>
        <v>1532569510.2900002</v>
      </c>
      <c r="M54" s="75">
        <f>资产资本表!M17</f>
        <v>1444443950.5999999</v>
      </c>
      <c r="N54" s="75">
        <f>资产资本表!N17</f>
        <v>1518532567.6700001</v>
      </c>
      <c r="O54" s="75">
        <f>资产资本表!O17</f>
        <v>1349885162.78</v>
      </c>
      <c r="P54" s="75">
        <f>资产资本表!P17</f>
        <v>1537926816.7</v>
      </c>
      <c r="Q54" s="75">
        <f>资产资本表!Q17</f>
        <v>1535672774.6500001</v>
      </c>
      <c r="R54" s="75">
        <f>资产资本表!R17</f>
        <v>1698293662.4199998</v>
      </c>
      <c r="S54" s="75">
        <f>资产资本表!S17</f>
        <v>1474406832.54</v>
      </c>
      <c r="T54" s="75">
        <f>资产资本表!T17</f>
        <v>1605234381.5599999</v>
      </c>
      <c r="U54" s="75">
        <f>资产资本表!U17</f>
        <v>1411090090.3299999</v>
      </c>
      <c r="V54" s="75">
        <f>资产资本表!V17</f>
        <v>1473211483.7600002</v>
      </c>
      <c r="W54" s="75">
        <f>资产资本表!W17</f>
        <v>1227246558.8399999</v>
      </c>
      <c r="X54" s="75">
        <f>资产资本表!X17</f>
        <v>1373586027.52</v>
      </c>
      <c r="Y54" s="75">
        <f>资产资本表!Y17</f>
        <v>1118835233.3200002</v>
      </c>
      <c r="Z54" s="75">
        <f>资产资本表!Z17</f>
        <v>999573292.24000001</v>
      </c>
      <c r="AA54" s="75">
        <f>资产资本表!AA17</f>
        <v>654969391.44000006</v>
      </c>
      <c r="AB54" s="75">
        <f>资产资本表!AB17</f>
        <v>640070206.80999994</v>
      </c>
      <c r="AC54" s="75">
        <f>资产资本表!AC17</f>
        <v>576512051.78999996</v>
      </c>
      <c r="AD54" s="75">
        <f>资产资本表!AD17</f>
        <v>575488239.81000006</v>
      </c>
      <c r="AE54" s="75">
        <f>资产资本表!AE17</f>
        <v>556811064.88999999</v>
      </c>
      <c r="AF54" s="75">
        <f>资产资本表!AF17</f>
        <v>767377965.5</v>
      </c>
      <c r="AG54" s="75">
        <f>资产资本表!AG17</f>
        <v>751537281.95999992</v>
      </c>
      <c r="AH54" s="75">
        <f>资产资本表!AH17</f>
        <v>781833471.58000004</v>
      </c>
      <c r="AI54" s="75">
        <f>资产资本表!AI17</f>
        <v>650565182.23000002</v>
      </c>
      <c r="AJ54" s="75">
        <f>资产资本表!AJ17</f>
        <v>871669024.28000009</v>
      </c>
      <c r="AK54" s="75">
        <f>资产资本表!AK17</f>
        <v>971356067.97000003</v>
      </c>
      <c r="AL54" s="75">
        <f>资产资本表!AL17</f>
        <v>1020166355.99</v>
      </c>
      <c r="AM54" s="75">
        <f>资产资本表!AM17</f>
        <v>981809759.1500001</v>
      </c>
      <c r="AN54" s="75">
        <f>资产资本表!AN17</f>
        <v>1013120662.7399999</v>
      </c>
      <c r="AO54" s="75">
        <f>资产资本表!AO17</f>
        <v>900411208.95000005</v>
      </c>
      <c r="AP54" s="75">
        <f>资产资本表!AP17</f>
        <v>722356317.48000002</v>
      </c>
      <c r="AQ54" s="75">
        <f>资产资本表!AQ17</f>
        <v>678219620.47000003</v>
      </c>
      <c r="AR54" s="75">
        <f>资产资本表!AR17</f>
        <v>684145075.19000006</v>
      </c>
      <c r="AS54" s="75">
        <f>资产资本表!AS17</f>
        <v>796996001.26999998</v>
      </c>
      <c r="AT54" s="75">
        <f>资产资本表!AT17</f>
        <v>869946817.48000002</v>
      </c>
      <c r="AU54" s="75">
        <f>资产资本表!AU17</f>
        <v>249995814.53</v>
      </c>
      <c r="AV54" s="75">
        <f>资产资本表!AV17</f>
        <v>318970673.57999998</v>
      </c>
      <c r="AW54" s="75">
        <f>资产资本表!AW17</f>
        <v>418955105.27999997</v>
      </c>
      <c r="AX54" s="75">
        <f>资产资本表!AX17</f>
        <v>163017593.27000001</v>
      </c>
      <c r="AY54" s="75">
        <f>资产资本表!AY17</f>
        <v>235900683.24000001</v>
      </c>
      <c r="AZ54" s="75">
        <f>资产资本表!AZ17</f>
        <v>212657556.75999999</v>
      </c>
      <c r="BA54" s="75">
        <f>资产资本表!BA17</f>
        <v>269118657.66000003</v>
      </c>
      <c r="BB54" s="75">
        <f>资产资本表!BB17</f>
        <v>212228702.91999999</v>
      </c>
      <c r="BC54" s="75">
        <f>资产资本表!BC17</f>
        <v>295419245.86000001</v>
      </c>
      <c r="BD54" s="75">
        <f>资产资本表!BD17</f>
        <v>319772549.12</v>
      </c>
      <c r="BE54" s="75">
        <f>资产资本表!BE17</f>
        <v>478573002.43000001</v>
      </c>
      <c r="BF54" s="75">
        <f>资产资本表!BF17</f>
        <v>486158873.61000001</v>
      </c>
      <c r="BG54" s="75">
        <f>资产资本表!BG17</f>
        <v>42751768.759999998</v>
      </c>
      <c r="BH54" s="75">
        <f>资产资本表!BH17</f>
        <v>9557726.1500000004</v>
      </c>
      <c r="BI54" s="75">
        <f>资产资本表!BI17</f>
        <v>14916787.01</v>
      </c>
      <c r="BJ54" s="75">
        <f>资产资本表!BJ17</f>
        <v>12122259.640000001</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470</v>
      </c>
      <c r="E55" s="44">
        <f>E49/E54</f>
        <v>6.797455170549723</v>
      </c>
      <c r="F55" s="44">
        <f t="shared" ref="F55:BQ55" si="22">F49/F54</f>
        <v>5.6437095390922725</v>
      </c>
      <c r="G55" s="44">
        <f t="shared" si="22"/>
        <v>3.8004125107917863</v>
      </c>
      <c r="H55" s="44">
        <f t="shared" si="22"/>
        <v>2.0052553709916467</v>
      </c>
      <c r="I55" s="44">
        <f t="shared" si="22"/>
        <v>7.4305501732464352</v>
      </c>
      <c r="J55" s="44">
        <f t="shared" si="22"/>
        <v>7.7001628624133858</v>
      </c>
      <c r="K55" s="44">
        <f t="shared" si="22"/>
        <v>5.9086593909808229</v>
      </c>
      <c r="L55" s="44">
        <f t="shared" si="22"/>
        <v>2.0443848226415047</v>
      </c>
      <c r="M55" s="44">
        <f t="shared" si="22"/>
        <v>7.552862554042532</v>
      </c>
      <c r="N55" s="44">
        <f t="shared" si="22"/>
        <v>5.4517248558669493</v>
      </c>
      <c r="O55" s="44">
        <f t="shared" si="22"/>
        <v>3.9852092610686367</v>
      </c>
      <c r="P55" s="44">
        <f t="shared" si="22"/>
        <v>1.9550564872922147</v>
      </c>
      <c r="Q55" s="44">
        <f t="shared" si="22"/>
        <v>6.2087731860800037</v>
      </c>
      <c r="R55" s="44">
        <f t="shared" si="22"/>
        <v>4.2191725094054719</v>
      </c>
      <c r="S55" s="44">
        <f t="shared" si="22"/>
        <v>3.1489977151093003</v>
      </c>
      <c r="T55" s="44">
        <f t="shared" si="22"/>
        <v>1.6179472020877117</v>
      </c>
      <c r="U55" s="44">
        <f t="shared" si="22"/>
        <v>5.9409740625770242</v>
      </c>
      <c r="V55" s="44">
        <f t="shared" si="22"/>
        <v>4.2825649651179445</v>
      </c>
      <c r="W55" s="44">
        <f t="shared" si="22"/>
        <v>3.371190325145895</v>
      </c>
      <c r="X55" s="44">
        <f t="shared" si="22"/>
        <v>1.6534257366904757</v>
      </c>
      <c r="Y55" s="44">
        <f t="shared" si="22"/>
        <v>6.1577078039063977</v>
      </c>
      <c r="Z55" s="44">
        <f t="shared" si="22"/>
        <v>5.0964397005886131</v>
      </c>
      <c r="AA55" s="44">
        <f t="shared" si="22"/>
        <v>5.0964082775550343</v>
      </c>
      <c r="AB55" s="44">
        <f t="shared" si="22"/>
        <v>3.0021395658404808</v>
      </c>
      <c r="AC55" s="44">
        <f t="shared" si="22"/>
        <v>12.359937643065244</v>
      </c>
      <c r="AD55" s="44">
        <f t="shared" si="22"/>
        <v>9.2458977509544233</v>
      </c>
      <c r="AE55" s="44">
        <f t="shared" si="22"/>
        <v>6.247111501972725</v>
      </c>
      <c r="AF55" s="44">
        <f t="shared" si="22"/>
        <v>2.4976110742523008</v>
      </c>
      <c r="AG55" s="44">
        <f t="shared" si="22"/>
        <v>7.4807526022231725</v>
      </c>
      <c r="AH55" s="44">
        <f t="shared" si="22"/>
        <v>5.2846277736233116</v>
      </c>
      <c r="AI55" s="44">
        <f t="shared" si="22"/>
        <v>4.0539947857947016</v>
      </c>
      <c r="AJ55" s="44">
        <f t="shared" si="22"/>
        <v>1.6173847000064236</v>
      </c>
      <c r="AK55" s="44">
        <f t="shared" si="22"/>
        <v>4.237060485606718</v>
      </c>
      <c r="AL55" s="44">
        <f t="shared" si="22"/>
        <v>2.8131218189360983</v>
      </c>
      <c r="AM55" s="44">
        <f t="shared" si="22"/>
        <v>1.8228007064519101</v>
      </c>
      <c r="AN55" s="44">
        <f t="shared" si="22"/>
        <v>0.96214580267637673</v>
      </c>
      <c r="AO55" s="44">
        <f t="shared" si="22"/>
        <v>4.0231314947470365</v>
      </c>
      <c r="AP55" s="44">
        <f t="shared" si="22"/>
        <v>3.7896956980732623</v>
      </c>
      <c r="AQ55" s="44">
        <f t="shared" si="22"/>
        <v>2.6099078922006753</v>
      </c>
      <c r="AR55" s="44">
        <f t="shared" si="22"/>
        <v>1.3869427602566324</v>
      </c>
      <c r="AS55" s="44">
        <f t="shared" si="22"/>
        <v>3.6809505304232304</v>
      </c>
      <c r="AT55" s="44">
        <f t="shared" si="22"/>
        <v>2.3415066497060093</v>
      </c>
      <c r="AU55" s="44">
        <f t="shared" si="22"/>
        <v>5.3723583278584419</v>
      </c>
      <c r="AV55" s="44">
        <f t="shared" si="22"/>
        <v>2.1648193260526019</v>
      </c>
      <c r="AW55" s="44">
        <f t="shared" si="22"/>
        <v>4.9621876301533252</v>
      </c>
      <c r="AX55" s="44">
        <f t="shared" si="22"/>
        <v>8.5593802917883046</v>
      </c>
      <c r="AY55" s="44">
        <f t="shared" si="22"/>
        <v>4.0297633942113542</v>
      </c>
      <c r="AZ55" s="44">
        <f t="shared" si="22"/>
        <v>2.3399181121110142</v>
      </c>
      <c r="BA55" s="44">
        <f t="shared" si="22"/>
        <v>5.461000926278178</v>
      </c>
      <c r="BB55" s="44">
        <f t="shared" si="22"/>
        <v>4.2074890954151432</v>
      </c>
      <c r="BC55" s="44">
        <f t="shared" si="22"/>
        <v>1.9339769120213541</v>
      </c>
      <c r="BD55" s="44">
        <f t="shared" si="22"/>
        <v>0.96143752459698317</v>
      </c>
      <c r="BE55" s="44">
        <f t="shared" si="22"/>
        <v>2.1002029285114432</v>
      </c>
      <c r="BF55" s="44">
        <f t="shared" si="22"/>
        <v>1.42085443575413</v>
      </c>
      <c r="BG55" s="44">
        <f t="shared" si="22"/>
        <v>9.8535136841903146</v>
      </c>
      <c r="BH55" s="44">
        <f t="shared" si="22"/>
        <v>22.529760665929938</v>
      </c>
      <c r="BI55" s="44">
        <f t="shared" si="22"/>
        <v>56.079247463224327</v>
      </c>
      <c r="BJ55" s="44">
        <f t="shared" si="22"/>
        <v>46.611883631458007</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444</v>
      </c>
      <c r="E56" s="75">
        <f>资产资本表!E19</f>
        <v>57828126.149999999</v>
      </c>
      <c r="F56" s="75">
        <f>资产资本表!F19</f>
        <v>56409847.630000003</v>
      </c>
      <c r="G56" s="75">
        <f>资产资本表!G19</f>
        <v>55343612.409999996</v>
      </c>
      <c r="H56" s="75">
        <f>资产资本表!H19</f>
        <v>54712420.270000003</v>
      </c>
      <c r="I56" s="75">
        <f>资产资本表!I19</f>
        <v>53877930.880000003</v>
      </c>
      <c r="J56" s="75">
        <f>资产资本表!J19</f>
        <v>53934016.920000002</v>
      </c>
      <c r="K56" s="75">
        <f>资产资本表!K19</f>
        <v>53121774.780000001</v>
      </c>
      <c r="L56" s="75">
        <f>资产资本表!L19</f>
        <v>52335697.979999997</v>
      </c>
      <c r="M56" s="75">
        <f>资产资本表!M19</f>
        <v>51328807.280000001</v>
      </c>
      <c r="N56" s="75">
        <f>资产资本表!N19</f>
        <v>50434094.880000003</v>
      </c>
      <c r="O56" s="75">
        <f>资产资本表!O19</f>
        <v>49639746.32</v>
      </c>
      <c r="P56" s="75">
        <f>资产资本表!P19</f>
        <v>48953354.310000002</v>
      </c>
      <c r="Q56" s="75">
        <f>资产资本表!Q19</f>
        <v>48480778.130000003</v>
      </c>
      <c r="R56" s="75">
        <f>资产资本表!R19</f>
        <v>46486926.740000002</v>
      </c>
      <c r="S56" s="75">
        <f>资产资本表!S19</f>
        <v>45724712.560000002</v>
      </c>
      <c r="T56" s="75">
        <f>资产资本表!T19</f>
        <v>44861176.990000002</v>
      </c>
      <c r="U56" s="75">
        <f>资产资本表!U19</f>
        <v>44495224.649999999</v>
      </c>
      <c r="V56" s="75">
        <f>资产资本表!V19</f>
        <v>43796247.729999997</v>
      </c>
      <c r="W56" s="75">
        <f>资产资本表!W19</f>
        <v>43035511</v>
      </c>
      <c r="X56" s="75">
        <f>资产资本表!X19</f>
        <v>42865431.130000003</v>
      </c>
      <c r="Y56" s="75">
        <f>资产资本表!Y19</f>
        <v>41365518.659999996</v>
      </c>
      <c r="Z56" s="75">
        <f>资产资本表!Z19</f>
        <v>40798502.920000002</v>
      </c>
      <c r="AA56" s="75">
        <f>资产资本表!AA19</f>
        <v>39735570.5</v>
      </c>
      <c r="AB56" s="75">
        <f>资产资本表!AB19</f>
        <v>0</v>
      </c>
      <c r="AC56" s="75">
        <f>资产资本表!AC19</f>
        <v>0</v>
      </c>
      <c r="AD56" s="75">
        <f>资产资本表!AD19</f>
        <v>0</v>
      </c>
      <c r="AE56" s="75">
        <f>资产资本表!AE19</f>
        <v>0</v>
      </c>
      <c r="AF56" s="75">
        <f>资产资本表!AF19</f>
        <v>400000</v>
      </c>
      <c r="AG56" s="75">
        <f>资产资本表!AG19</f>
        <v>400000</v>
      </c>
      <c r="AH56" s="75">
        <f>资产资本表!AH19</f>
        <v>400000</v>
      </c>
      <c r="AI56" s="75">
        <f>资产资本表!AI19</f>
        <v>400000</v>
      </c>
      <c r="AJ56" s="75">
        <f>资产资本表!AJ19</f>
        <v>400000</v>
      </c>
      <c r="AK56" s="75">
        <f>资产资本表!AK19</f>
        <v>400000</v>
      </c>
      <c r="AL56" s="75">
        <f>资产资本表!AL19</f>
        <v>400000</v>
      </c>
      <c r="AM56" s="75">
        <f>资产资本表!AM19</f>
        <v>400000</v>
      </c>
      <c r="AN56" s="75">
        <f>资产资本表!AN19</f>
        <v>400000</v>
      </c>
      <c r="AO56" s="75">
        <f>资产资本表!AO19</f>
        <v>400000</v>
      </c>
      <c r="AP56" s="75">
        <f>资产资本表!AP19</f>
        <v>443875.6</v>
      </c>
      <c r="AQ56" s="75">
        <f>资产资本表!AQ19</f>
        <v>443875.6</v>
      </c>
      <c r="AR56" s="75">
        <f>资产资本表!AR19</f>
        <v>443875.6</v>
      </c>
      <c r="AS56" s="75">
        <f>资产资本表!AS19</f>
        <v>443875.6</v>
      </c>
      <c r="AT56" s="75">
        <f>资产资本表!AT19</f>
        <v>469754.19</v>
      </c>
      <c r="AU56" s="75">
        <f>资产资本表!AU19</f>
        <v>1469754.18</v>
      </c>
      <c r="AV56" s="75">
        <f>资产资本表!AV19</f>
        <v>495384.06</v>
      </c>
      <c r="AW56" s="75">
        <f>资产资本表!AW19</f>
        <v>10620859.4</v>
      </c>
      <c r="AX56" s="75">
        <f>资产资本表!AX19</f>
        <v>11118299.699999999</v>
      </c>
      <c r="AY56" s="75">
        <f>资产资本表!AY19</f>
        <v>13014167.08</v>
      </c>
      <c r="AZ56" s="75">
        <f>资产资本表!AZ19</f>
        <v>13699423.08</v>
      </c>
      <c r="BA56" s="75">
        <f>资产资本表!BA19</f>
        <v>16764367.109999999</v>
      </c>
      <c r="BB56" s="75">
        <f>资产资本表!BB19</f>
        <v>16665854.359999999</v>
      </c>
      <c r="BC56" s="75">
        <f>资产资本表!BC19</f>
        <v>15941057.57</v>
      </c>
      <c r="BD56" s="75">
        <f>资产资本表!BD19</f>
        <v>15141098.279999999</v>
      </c>
      <c r="BE56" s="75">
        <f>资产资本表!BE19</f>
        <v>15591138.99</v>
      </c>
      <c r="BF56" s="75">
        <f>资产资本表!BF19</f>
        <v>16125841.73</v>
      </c>
      <c r="BG56" s="75">
        <f>资产资本表!BG19</f>
        <v>16575882.439999999</v>
      </c>
      <c r="BH56" s="75">
        <f>资产资本表!BH19</f>
        <v>17475963.859999999</v>
      </c>
      <c r="BI56" s="75">
        <f>资产资本表!BI19</f>
        <v>12710112.58</v>
      </c>
      <c r="BJ56" s="75">
        <f>资产资本表!BJ19</f>
        <v>2895176.54</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471</v>
      </c>
      <c r="E57" s="116">
        <f>E49/E56</f>
        <v>245.33645425358472</v>
      </c>
      <c r="F57" s="116">
        <f t="shared" ref="F57:BQ57" si="24">F49/F56</f>
        <v>186.07811802876873</v>
      </c>
      <c r="G57" s="116">
        <f t="shared" si="24"/>
        <v>124.84668658566879</v>
      </c>
      <c r="H57" s="116">
        <f t="shared" si="24"/>
        <v>72.132757444729279</v>
      </c>
      <c r="I57" s="116">
        <f t="shared" si="24"/>
        <v>221.74428390224031</v>
      </c>
      <c r="J57" s="116">
        <f t="shared" si="24"/>
        <v>163.74804595845038</v>
      </c>
      <c r="K57" s="116">
        <f t="shared" si="24"/>
        <v>108.2780242490234</v>
      </c>
      <c r="L57" s="116">
        <f t="shared" si="24"/>
        <v>59.866629612493803</v>
      </c>
      <c r="M57" s="116">
        <f t="shared" si="24"/>
        <v>212.54510291632866</v>
      </c>
      <c r="N57" s="116">
        <f t="shared" si="24"/>
        <v>164.14732460863385</v>
      </c>
      <c r="O57" s="116">
        <f t="shared" si="24"/>
        <v>108.37232763863972</v>
      </c>
      <c r="P57" s="116">
        <f t="shared" si="24"/>
        <v>61.420383594751868</v>
      </c>
      <c r="Q57" s="116">
        <f t="shared" si="24"/>
        <v>196.66854191723345</v>
      </c>
      <c r="R57" s="116">
        <f t="shared" si="24"/>
        <v>154.13782832872207</v>
      </c>
      <c r="S57" s="116">
        <f t="shared" si="24"/>
        <v>101.54035940012916</v>
      </c>
      <c r="T57" s="116">
        <f t="shared" si="24"/>
        <v>57.893810430317913</v>
      </c>
      <c r="U57" s="116">
        <f t="shared" si="24"/>
        <v>188.40785033793509</v>
      </c>
      <c r="V57" s="116">
        <f t="shared" si="24"/>
        <v>144.0562654009812</v>
      </c>
      <c r="W57" s="116">
        <f t="shared" si="24"/>
        <v>96.13646102006318</v>
      </c>
      <c r="X57" s="116">
        <f t="shared" si="24"/>
        <v>52.982611619424993</v>
      </c>
      <c r="Y57" s="116">
        <f t="shared" si="24"/>
        <v>166.55080537312429</v>
      </c>
      <c r="Z57" s="116">
        <f t="shared" si="24"/>
        <v>124.86401817755718</v>
      </c>
      <c r="AA57" s="116">
        <f t="shared" si="24"/>
        <v>84.005121508951277</v>
      </c>
      <c r="AB57" s="116" t="e">
        <f t="shared" si="24"/>
        <v>#DIV/0!</v>
      </c>
      <c r="AC57" s="116" t="e">
        <f t="shared" si="24"/>
        <v>#DIV/0!</v>
      </c>
      <c r="AD57" s="116" t="e">
        <f t="shared" si="24"/>
        <v>#DIV/0!</v>
      </c>
      <c r="AE57" s="116" t="e">
        <f t="shared" si="24"/>
        <v>#DIV/0!</v>
      </c>
      <c r="AF57" s="116">
        <f t="shared" si="24"/>
        <v>4791.5292619250004</v>
      </c>
      <c r="AG57" s="116">
        <f t="shared" si="24"/>
        <v>14055.161194224998</v>
      </c>
      <c r="AH57" s="116">
        <f t="shared" si="24"/>
        <v>10329.247195650001</v>
      </c>
      <c r="AI57" s="116">
        <f t="shared" si="24"/>
        <v>6593.4696414499995</v>
      </c>
      <c r="AJ57" s="116">
        <f t="shared" si="24"/>
        <v>3524.5603583499997</v>
      </c>
      <c r="AK57" s="116">
        <f t="shared" si="24"/>
        <v>10289.236032625</v>
      </c>
      <c r="AL57" s="116">
        <f t="shared" si="24"/>
        <v>7174.6305874500003</v>
      </c>
      <c r="AM57" s="116">
        <f t="shared" si="24"/>
        <v>4474.10880645</v>
      </c>
      <c r="AN57" s="116">
        <f t="shared" si="24"/>
        <v>2436.92448315</v>
      </c>
      <c r="AO57" s="116">
        <f t="shared" si="24"/>
        <v>9056.1817323750001</v>
      </c>
      <c r="AP57" s="116">
        <f t="shared" si="24"/>
        <v>6167.2924324517953</v>
      </c>
      <c r="AQ57" s="116">
        <f t="shared" si="24"/>
        <v>3987.8081609126521</v>
      </c>
      <c r="AR57" s="116">
        <f t="shared" si="24"/>
        <v>2137.6936668742323</v>
      </c>
      <c r="AS57" s="116">
        <f t="shared" si="24"/>
        <v>6609.2906517501751</v>
      </c>
      <c r="AT57" s="116">
        <f t="shared" si="24"/>
        <v>4336.281189998539</v>
      </c>
      <c r="AU57" s="116">
        <f t="shared" si="24"/>
        <v>913.80389618623155</v>
      </c>
      <c r="AV57" s="116">
        <f t="shared" si="24"/>
        <v>1393.8960381769248</v>
      </c>
      <c r="AW57" s="116">
        <f t="shared" si="24"/>
        <v>195.7406423259873</v>
      </c>
      <c r="AX57" s="116">
        <f t="shared" si="24"/>
        <v>125.49846763439918</v>
      </c>
      <c r="AY57" s="116">
        <f t="shared" si="24"/>
        <v>73.045315320325514</v>
      </c>
      <c r="AZ57" s="116">
        <f t="shared" si="24"/>
        <v>36.32279007912792</v>
      </c>
      <c r="BA57" s="116">
        <f t="shared" si="24"/>
        <v>87.66553661804177</v>
      </c>
      <c r="BB57" s="116">
        <f t="shared" si="24"/>
        <v>53.579608580594844</v>
      </c>
      <c r="BC57" s="116">
        <f t="shared" si="24"/>
        <v>35.840407598502892</v>
      </c>
      <c r="BD57" s="116">
        <f t="shared" si="24"/>
        <v>20.305087674260839</v>
      </c>
      <c r="BE57" s="116">
        <f t="shared" si="24"/>
        <v>64.466131810810055</v>
      </c>
      <c r="BF57" s="116">
        <f t="shared" si="24"/>
        <v>42.835654945374436</v>
      </c>
      <c r="BG57" s="116">
        <f t="shared" si="24"/>
        <v>25.413738304722195</v>
      </c>
      <c r="BH57" s="116">
        <f t="shared" si="24"/>
        <v>12.32168276353943</v>
      </c>
      <c r="BI57" s="116">
        <f t="shared" si="24"/>
        <v>65.815482343272848</v>
      </c>
      <c r="BJ57" s="116">
        <f t="shared" si="24"/>
        <v>195.16645975930712</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5" t="s">
        <v>694</v>
      </c>
      <c r="B58" s="274"/>
      <c r="C58" s="274"/>
      <c r="D58" s="274"/>
      <c r="E58" s="274"/>
      <c r="F58" s="274"/>
      <c r="G58" s="274"/>
      <c r="H58" s="274"/>
      <c r="I58" s="274"/>
      <c r="J58" s="274"/>
      <c r="K58" s="274"/>
      <c r="L58" s="274"/>
      <c r="M58" s="274"/>
      <c r="N58" s="274"/>
      <c r="O58" s="274"/>
      <c r="P58" s="274"/>
      <c r="Q58" s="274"/>
      <c r="R58" s="274"/>
      <c r="S58" s="274"/>
      <c r="T58" s="274"/>
      <c r="U58" s="274"/>
      <c r="V58" s="274"/>
      <c r="W58" s="274"/>
      <c r="X58" s="274"/>
      <c r="Y58" s="274"/>
      <c r="Z58" s="274"/>
      <c r="AA58" s="274"/>
      <c r="AB58" s="274"/>
      <c r="AC58" s="274"/>
      <c r="AD58" s="274"/>
      <c r="AE58" s="274"/>
      <c r="AF58" s="274"/>
      <c r="AG58" s="274"/>
    </row>
    <row r="61" spans="1:89" s="118" customFormat="1" x14ac:dyDescent="0.25">
      <c r="A61" s="117"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37621</v>
      </c>
      <c r="BM61" s="1">
        <v>37256</v>
      </c>
      <c r="BN61" s="1">
        <v>25569</v>
      </c>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473</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464</v>
      </c>
      <c r="E63" s="75">
        <f>E49</f>
        <v>14187347425.77</v>
      </c>
      <c r="F63" s="75">
        <f t="shared" ref="F63:BQ63" si="26">F49</f>
        <v>10496638285.280001</v>
      </c>
      <c r="G63" s="75">
        <f t="shared" si="26"/>
        <v>6909466633.0699997</v>
      </c>
      <c r="H63" s="75">
        <f t="shared" si="26"/>
        <v>3946557740.5500002</v>
      </c>
      <c r="I63" s="75">
        <f t="shared" si="26"/>
        <v>11947123201.120001</v>
      </c>
      <c r="J63" s="75">
        <f t="shared" si="26"/>
        <v>8831589881.3400002</v>
      </c>
      <c r="K63" s="75">
        <f t="shared" si="26"/>
        <v>5751920817.7799997</v>
      </c>
      <c r="L63" s="75">
        <f t="shared" si="26"/>
        <v>3133161846.48</v>
      </c>
      <c r="M63" s="75">
        <f t="shared" si="26"/>
        <v>10909686625.9</v>
      </c>
      <c r="N63" s="75">
        <f t="shared" si="26"/>
        <v>8278621743.6099997</v>
      </c>
      <c r="O63" s="75">
        <f t="shared" si="26"/>
        <v>5379574852.0900002</v>
      </c>
      <c r="P63" s="75">
        <f t="shared" si="26"/>
        <v>3006733799.9699998</v>
      </c>
      <c r="Q63" s="75">
        <f t="shared" si="26"/>
        <v>9534643945.8400002</v>
      </c>
      <c r="R63" s="75">
        <f t="shared" si="26"/>
        <v>7165393933.3800001</v>
      </c>
      <c r="S63" s="75">
        <f t="shared" si="26"/>
        <v>4642903746.8100004</v>
      </c>
      <c r="T63" s="75">
        <f t="shared" si="26"/>
        <v>2597184476.3400002</v>
      </c>
      <c r="U63" s="75">
        <f t="shared" si="26"/>
        <v>8383249626.6099997</v>
      </c>
      <c r="V63" s="75">
        <f t="shared" si="26"/>
        <v>6309123886.5600004</v>
      </c>
      <c r="W63" s="75">
        <f t="shared" si="26"/>
        <v>4137281725.73</v>
      </c>
      <c r="X63" s="75">
        <f t="shared" si="26"/>
        <v>2271122489.46</v>
      </c>
      <c r="Y63" s="75">
        <f t="shared" si="26"/>
        <v>6889460447.5</v>
      </c>
      <c r="Z63" s="75">
        <f t="shared" si="26"/>
        <v>5094265010.2200003</v>
      </c>
      <c r="AA63" s="75">
        <f t="shared" si="26"/>
        <v>3337991428.0799999</v>
      </c>
      <c r="AB63" s="75">
        <f t="shared" si="26"/>
        <v>1921580092.78</v>
      </c>
      <c r="AC63" s="75">
        <f t="shared" si="26"/>
        <v>7125653010.6000004</v>
      </c>
      <c r="AD63" s="75">
        <f t="shared" si="26"/>
        <v>5320905422.1599998</v>
      </c>
      <c r="AE63" s="75">
        <f t="shared" si="26"/>
        <v>3478460807.9000001</v>
      </c>
      <c r="AF63" s="75">
        <f t="shared" si="26"/>
        <v>1916611704.77</v>
      </c>
      <c r="AG63" s="75">
        <f t="shared" si="26"/>
        <v>5622064477.6899996</v>
      </c>
      <c r="AH63" s="75">
        <f t="shared" si="26"/>
        <v>4131698878.2600002</v>
      </c>
      <c r="AI63" s="75">
        <f t="shared" si="26"/>
        <v>2637387856.5799999</v>
      </c>
      <c r="AJ63" s="75">
        <f t="shared" si="26"/>
        <v>1409824143.3399999</v>
      </c>
      <c r="AK63" s="75">
        <f t="shared" si="26"/>
        <v>4115694413.0500002</v>
      </c>
      <c r="AL63" s="75">
        <f t="shared" si="26"/>
        <v>2869852234.98</v>
      </c>
      <c r="AM63" s="75">
        <f t="shared" si="26"/>
        <v>1789643522.5799999</v>
      </c>
      <c r="AN63" s="75">
        <f t="shared" si="26"/>
        <v>974769793.25999999</v>
      </c>
      <c r="AO63" s="75">
        <f t="shared" si="26"/>
        <v>3622472692.9499998</v>
      </c>
      <c r="AP63" s="75">
        <f t="shared" si="26"/>
        <v>2737510628.8299999</v>
      </c>
      <c r="AQ63" s="75">
        <f t="shared" si="26"/>
        <v>1770090740.1099999</v>
      </c>
      <c r="AR63" s="75">
        <f t="shared" si="26"/>
        <v>948870059</v>
      </c>
      <c r="AS63" s="75">
        <f t="shared" si="26"/>
        <v>2933702853.6199999</v>
      </c>
      <c r="AT63" s="75">
        <f t="shared" si="26"/>
        <v>2036986258.02</v>
      </c>
      <c r="AU63" s="75">
        <f t="shared" si="26"/>
        <v>1343067096.1199999</v>
      </c>
      <c r="AV63" s="75">
        <f t="shared" si="26"/>
        <v>690513878.61000001</v>
      </c>
      <c r="AW63" s="75">
        <f t="shared" si="26"/>
        <v>2078933841.01</v>
      </c>
      <c r="AX63" s="75">
        <f t="shared" si="26"/>
        <v>1395329575.05</v>
      </c>
      <c r="AY63" s="75">
        <f t="shared" si="26"/>
        <v>950623937.99000001</v>
      </c>
      <c r="AZ63" s="75">
        <f t="shared" si="26"/>
        <v>497601268.74000001</v>
      </c>
      <c r="BA63" s="75">
        <f t="shared" si="26"/>
        <v>1469657238.76</v>
      </c>
      <c r="BB63" s="75">
        <f t="shared" si="26"/>
        <v>892949953.26999998</v>
      </c>
      <c r="BC63" s="75">
        <f t="shared" si="26"/>
        <v>571334000.86000001</v>
      </c>
      <c r="BD63" s="75">
        <f t="shared" si="26"/>
        <v>307441328.06</v>
      </c>
      <c r="BE63" s="75">
        <f t="shared" si="26"/>
        <v>1005100421.21</v>
      </c>
      <c r="BF63" s="75">
        <f t="shared" si="26"/>
        <v>690760992.04999995</v>
      </c>
      <c r="BG63" s="75">
        <f t="shared" si="26"/>
        <v>421255138.5</v>
      </c>
      <c r="BH63" s="75">
        <f t="shared" si="26"/>
        <v>215333282.66999999</v>
      </c>
      <c r="BI63" s="75">
        <f t="shared" si="26"/>
        <v>836522190.09000003</v>
      </c>
      <c r="BJ63" s="75">
        <f t="shared" si="26"/>
        <v>565041355.69000006</v>
      </c>
      <c r="BK63" s="75">
        <f t="shared" si="26"/>
        <v>359187902.31</v>
      </c>
      <c r="BL63" s="75">
        <f t="shared" si="26"/>
        <v>615144162.49000001</v>
      </c>
      <c r="BM63" s="75">
        <f t="shared" si="26"/>
        <v>469451683.89999998</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474</v>
      </c>
      <c r="E64" s="75">
        <f>资产资本表!E22+资产资本表!E23-资产资本表!E37</f>
        <v>867314511.27999997</v>
      </c>
      <c r="F64" s="75">
        <f>资产资本表!F22+资产资本表!F23-资产资本表!F37</f>
        <v>1667045967.2400002</v>
      </c>
      <c r="G64" s="75">
        <f>资产资本表!G22+资产资本表!G23-资产资本表!G37</f>
        <v>1484416973.55</v>
      </c>
      <c r="H64" s="75">
        <f>资产资本表!H22+资产资本表!H23-资产资本表!H37</f>
        <v>1673814146.2</v>
      </c>
      <c r="I64" s="75">
        <f>资产资本表!I22+资产资本表!I23-资产资本表!I37</f>
        <v>1224050744.21</v>
      </c>
      <c r="J64" s="75">
        <f>资产资本表!J22+资产资本表!J23-资产资本表!J37</f>
        <v>2166304753.0900002</v>
      </c>
      <c r="K64" s="75">
        <f>资产资本表!K22+资产资本表!K23-资产资本表!K37</f>
        <v>1956101736.6999998</v>
      </c>
      <c r="L64" s="75">
        <f>资产资本表!L22+资产资本表!L23-资产资本表!L37</f>
        <v>1656001471.3499999</v>
      </c>
      <c r="M64" s="75">
        <f>资产资本表!M22+资产资本表!M23-资产资本表!M37</f>
        <v>1298866924.76</v>
      </c>
      <c r="N64" s="75">
        <f>资产资本表!N22+资产资本表!N23-资产资本表!N37</f>
        <v>2214434544.9200001</v>
      </c>
      <c r="O64" s="75">
        <f>资产资本表!O22+资产资本表!O23-资产资本表!O37</f>
        <v>1843830544.0699999</v>
      </c>
      <c r="P64" s="75">
        <f>资产资本表!P22+资产资本表!P23-资产资本表!P37</f>
        <v>1617807864.5699999</v>
      </c>
      <c r="Q64" s="75">
        <f>资产资本表!Q22+资产资本表!Q23-资产资本表!Q37</f>
        <v>1135020499.27</v>
      </c>
      <c r="R64" s="75">
        <f>资产资本表!R22+资产资本表!R23-资产资本表!R37</f>
        <v>1666799762.1799998</v>
      </c>
      <c r="S64" s="75">
        <f>资产资本表!S22+资产资本表!S23-资产资本表!S37</f>
        <v>1458278305.6199999</v>
      </c>
      <c r="T64" s="75">
        <f>资产资本表!T22+资产资本表!T23-资产资本表!T37</f>
        <v>1362903455.3500001</v>
      </c>
      <c r="U64" s="75">
        <f>资产资本表!U22+资产资本表!U23-资产资本表!U37</f>
        <v>1001042117.1999998</v>
      </c>
      <c r="V64" s="75">
        <f>资产资本表!V22+资产资本表!V23-资产资本表!V37</f>
        <v>1305731972.3900001</v>
      </c>
      <c r="W64" s="75">
        <f>资产资本表!W22+资产资本表!W23-资产资本表!W37</f>
        <v>1121875298.4699998</v>
      </c>
      <c r="X64" s="75">
        <f>资产资本表!X22+资产资本表!X23-资产资本表!X37</f>
        <v>1113355261.8099999</v>
      </c>
      <c r="Y64" s="75">
        <f>资产资本表!Y22+资产资本表!Y23-资产资本表!Y37</f>
        <v>1035613029.0899998</v>
      </c>
      <c r="Z64" s="75">
        <f>资产资本表!Z22+资产资本表!Z23-资产资本表!Z37</f>
        <v>1242701516.9100001</v>
      </c>
      <c r="AA64" s="75">
        <f>资产资本表!AA22+资产资本表!AA23-资产资本表!AA37</f>
        <v>1167602595.1399999</v>
      </c>
      <c r="AB64" s="75">
        <f>资产资本表!AB22+资产资本表!AB23-资产资本表!AB37</f>
        <v>1407660492</v>
      </c>
      <c r="AC64" s="75">
        <f>资产资本表!AC22+资产资本表!AC23-资产资本表!AC37</f>
        <v>1232473467.48</v>
      </c>
      <c r="AD64" s="75">
        <f>资产资本表!AD22+资产资本表!AD23-资产资本表!AD37</f>
        <v>1238625968.4300001</v>
      </c>
      <c r="AE64" s="75">
        <f>资产资本表!AE22+资产资本表!AE23-资产资本表!AE37</f>
        <v>947848380.57999992</v>
      </c>
      <c r="AF64" s="75">
        <f>资产资本表!AF22+资产资本表!AF23-资产资本表!AF37</f>
        <v>873035200.71000004</v>
      </c>
      <c r="AG64" s="75">
        <f>资产资本表!AG22+资产资本表!AG23-资产资本表!AG37</f>
        <v>695907591.99999988</v>
      </c>
      <c r="AH64" s="75">
        <f>资产资本表!AH22+资产资本表!AH23-资产资本表!AH37</f>
        <v>777303731.66000009</v>
      </c>
      <c r="AI64" s="75">
        <f>资产资本表!AI22+资产资本表!AI23-资产资本表!AI37</f>
        <v>669007993.98000002</v>
      </c>
      <c r="AJ64" s="75">
        <f>资产资本表!AJ22+资产资本表!AJ23-资产资本表!AJ37</f>
        <v>699152803.71000004</v>
      </c>
      <c r="AK64" s="75">
        <f>资产资本表!AK22+资产资本表!AK23-资产资本表!AK37</f>
        <v>565969033.06999993</v>
      </c>
      <c r="AL64" s="75">
        <f>资产资本表!AL22+资产资本表!AL23-资产资本表!AL37</f>
        <v>568875438.62</v>
      </c>
      <c r="AM64" s="75">
        <f>资产资本表!AM22+资产资本表!AM23-资产资本表!AM37</f>
        <v>476663471.19000006</v>
      </c>
      <c r="AN64" s="75">
        <f>资产资本表!AN22+资产资本表!AN23-资产资本表!AN37</f>
        <v>579627863.93999994</v>
      </c>
      <c r="AO64" s="75">
        <f>资产资本表!AO22+资产资本表!AO23-资产资本表!AO37</f>
        <v>449135753.46999997</v>
      </c>
      <c r="AP64" s="75">
        <f>资产资本表!AP22+资产资本表!AP23-资产资本表!AP37</f>
        <v>560736038.87999988</v>
      </c>
      <c r="AQ64" s="75">
        <f>资产资本表!AQ22+资产资本表!AQ23-资产资本表!AQ37</f>
        <v>482462920.34000003</v>
      </c>
      <c r="AR64" s="75">
        <f>资产资本表!AR22+资产资本表!AR23-资产资本表!AR37</f>
        <v>471364912.22000003</v>
      </c>
      <c r="AS64" s="75">
        <f>资产资本表!AS22+资产资本表!AS23-资产资本表!AS37</f>
        <v>277676160.61000001</v>
      </c>
      <c r="AT64" s="75">
        <f>资产资本表!AT22+资产资本表!AT23-资产资本表!AT37</f>
        <v>375094182.36000001</v>
      </c>
      <c r="AU64" s="75">
        <f>资产资本表!AU22+资产资本表!AU23-资产资本表!AU37</f>
        <v>287000824.84999996</v>
      </c>
      <c r="AV64" s="75">
        <f>资产资本表!AV22+资产资本表!AV23-资产资本表!AV37</f>
        <v>301864621.68000001</v>
      </c>
      <c r="AW64" s="75">
        <f>资产资本表!AW22+资产资本表!AW23-资产资本表!AW37</f>
        <v>111783349.39000002</v>
      </c>
      <c r="AX64" s="75">
        <f>资产资本表!AX22+资产资本表!AX23-资产资本表!AX37</f>
        <v>277302408.65999997</v>
      </c>
      <c r="AY64" s="75">
        <f>资产资本表!AY22+资产资本表!AY23-资产资本表!AY37</f>
        <v>285051095.27999997</v>
      </c>
      <c r="AZ64" s="75">
        <f>资产资本表!AZ22+资产资本表!AZ23-资产资本表!AZ37</f>
        <v>246238341.85999998</v>
      </c>
      <c r="BA64" s="75">
        <f>资产资本表!BA22+资产资本表!BA23-资产资本表!BA37</f>
        <v>143947062.28999996</v>
      </c>
      <c r="BB64" s="75">
        <f>资产资本表!BB22+资产资本表!BB23-资产资本表!BB37</f>
        <v>250120754.91000003</v>
      </c>
      <c r="BC64" s="75">
        <f>资产资本表!BC22+资产资本表!BC23-资产资本表!BC37</f>
        <v>182835516.59</v>
      </c>
      <c r="BD64" s="75">
        <f>资产资本表!BD22+资产资本表!BD23-资产资本表!BD37</f>
        <v>180642082.63</v>
      </c>
      <c r="BE64" s="75">
        <f>资产资本表!BE22+资产资本表!BE23-资产资本表!BE37</f>
        <v>94884351.310000002</v>
      </c>
      <c r="BF64" s="75">
        <f>资产资本表!BF22+资产资本表!BF23-资产资本表!BF37</f>
        <v>159482624.61999997</v>
      </c>
      <c r="BG64" s="75">
        <f>资产资本表!BG22+资产资本表!BG23-资产资本表!BG37</f>
        <v>114009593.63000001</v>
      </c>
      <c r="BH64" s="75">
        <f>资产资本表!BH22+资产资本表!BH23-资产资本表!BH37</f>
        <v>95984233.430000007</v>
      </c>
      <c r="BI64" s="75">
        <f>资产资本表!BI22+资产资本表!BI23-资产资本表!BI37</f>
        <v>81734825.460000008</v>
      </c>
      <c r="BJ64" s="75">
        <f>资产资本表!BJ22+资产资本表!BJ23-资产资本表!BJ37</f>
        <v>50301291.890000001</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692</v>
      </c>
      <c r="E65" s="153">
        <f>E63/(E64+I64)*2</f>
        <v>13.56754626053683</v>
      </c>
      <c r="F65" s="153">
        <f t="shared" ref="F65:BQ65" si="28">F63/(F64+J64)*2</f>
        <v>5.4764820915610768</v>
      </c>
      <c r="G65" s="153">
        <f t="shared" si="28"/>
        <v>4.0165261200209743</v>
      </c>
      <c r="H65" s="153">
        <f t="shared" si="28"/>
        <v>2.3704362005808504</v>
      </c>
      <c r="I65" s="153">
        <f t="shared" si="28"/>
        <v>9.4708783786809043</v>
      </c>
      <c r="J65" s="153">
        <f t="shared" si="28"/>
        <v>4.0320088827709277</v>
      </c>
      <c r="K65" s="153">
        <f t="shared" si="28"/>
        <v>3.0273806966972892</v>
      </c>
      <c r="L65" s="153">
        <f t="shared" si="28"/>
        <v>1.9140771651563053</v>
      </c>
      <c r="M65" s="153">
        <f t="shared" si="28"/>
        <v>8.9648243531624647</v>
      </c>
      <c r="N65" s="153">
        <f t="shared" si="28"/>
        <v>4.2659737024718103</v>
      </c>
      <c r="O65" s="153">
        <f t="shared" si="28"/>
        <v>3.2582662152975557</v>
      </c>
      <c r="P65" s="153">
        <f t="shared" si="28"/>
        <v>2.0174605839056552</v>
      </c>
      <c r="Q65" s="153">
        <f t="shared" si="28"/>
        <v>8.9273075352039069</v>
      </c>
      <c r="R65" s="153">
        <f t="shared" si="28"/>
        <v>4.8210714456285064</v>
      </c>
      <c r="S65" s="153">
        <f t="shared" si="28"/>
        <v>3.598935923388574</v>
      </c>
      <c r="T65" s="153">
        <f t="shared" si="28"/>
        <v>2.0976681138703381</v>
      </c>
      <c r="U65" s="153">
        <f t="shared" si="28"/>
        <v>8.2323702585398895</v>
      </c>
      <c r="V65" s="153">
        <f t="shared" si="28"/>
        <v>4.9513741779409601</v>
      </c>
      <c r="W65" s="153">
        <f t="shared" si="28"/>
        <v>3.6141704947466629</v>
      </c>
      <c r="X65" s="153">
        <f t="shared" si="28"/>
        <v>1.8017519216432207</v>
      </c>
      <c r="Y65" s="153">
        <f t="shared" si="28"/>
        <v>6.0751302544403396</v>
      </c>
      <c r="Z65" s="153">
        <f t="shared" si="28"/>
        <v>4.1060803463610256</v>
      </c>
      <c r="AA65" s="153">
        <f t="shared" si="28"/>
        <v>3.1558201692137109</v>
      </c>
      <c r="AB65" s="153">
        <f t="shared" si="28"/>
        <v>1.6850824061466203</v>
      </c>
      <c r="AC65" s="153">
        <f t="shared" si="28"/>
        <v>7.3902955803989041</v>
      </c>
      <c r="AD65" s="153">
        <f t="shared" si="28"/>
        <v>5.2788600931098451</v>
      </c>
      <c r="AE65" s="153">
        <f t="shared" si="28"/>
        <v>4.3027455779386763</v>
      </c>
      <c r="AF65" s="153">
        <f t="shared" si="28"/>
        <v>2.4381456917133293</v>
      </c>
      <c r="AG65" s="153">
        <f t="shared" si="28"/>
        <v>8.910640495267323</v>
      </c>
      <c r="AH65" s="153">
        <f t="shared" si="28"/>
        <v>6.1384085706817499</v>
      </c>
      <c r="AI65" s="153">
        <f t="shared" si="28"/>
        <v>4.6040910274197184</v>
      </c>
      <c r="AJ65" s="153">
        <f t="shared" si="28"/>
        <v>2.2049506674679669</v>
      </c>
      <c r="AK65" s="153">
        <f t="shared" si="28"/>
        <v>8.1089055388624587</v>
      </c>
      <c r="AL65" s="153">
        <f t="shared" si="28"/>
        <v>5.0811315078550976</v>
      </c>
      <c r="AM65" s="153">
        <f t="shared" si="28"/>
        <v>3.731819994495527</v>
      </c>
      <c r="AN65" s="153">
        <f t="shared" si="28"/>
        <v>1.8549505103574642</v>
      </c>
      <c r="AO65" s="153">
        <f t="shared" si="28"/>
        <v>9.9681158846586424</v>
      </c>
      <c r="AP65" s="153">
        <f t="shared" si="28"/>
        <v>5.8504428831176787</v>
      </c>
      <c r="AQ65" s="153">
        <f t="shared" si="28"/>
        <v>4.6008424728910908</v>
      </c>
      <c r="AR65" s="153">
        <f t="shared" si="28"/>
        <v>2.4543037155192655</v>
      </c>
      <c r="AS65" s="153">
        <f t="shared" si="28"/>
        <v>15.065508882399611</v>
      </c>
      <c r="AT65" s="153">
        <f t="shared" si="28"/>
        <v>6.2446256956531334</v>
      </c>
      <c r="AU65" s="153">
        <f t="shared" si="28"/>
        <v>4.6956125794133703</v>
      </c>
      <c r="AV65" s="153">
        <f t="shared" si="28"/>
        <v>2.5196502283082696</v>
      </c>
      <c r="AW65" s="153">
        <f t="shared" si="28"/>
        <v>16.258792431863029</v>
      </c>
      <c r="AX65" s="153">
        <f t="shared" si="28"/>
        <v>5.2911198120512992</v>
      </c>
      <c r="AY65" s="153">
        <f t="shared" si="28"/>
        <v>4.063479970887161</v>
      </c>
      <c r="AZ65" s="153">
        <f t="shared" si="28"/>
        <v>2.3313379587948599</v>
      </c>
      <c r="BA65" s="153">
        <f t="shared" si="28"/>
        <v>12.307068124810531</v>
      </c>
      <c r="BB65" s="153">
        <f t="shared" si="28"/>
        <v>4.360071219600858</v>
      </c>
      <c r="BC65" s="153">
        <f t="shared" si="28"/>
        <v>3.8493745134394755</v>
      </c>
      <c r="BD65" s="153">
        <f t="shared" si="28"/>
        <v>2.2227916160609698</v>
      </c>
      <c r="BE65" s="153">
        <f t="shared" si="28"/>
        <v>11.381554818578719</v>
      </c>
      <c r="BF65" s="153">
        <f t="shared" si="28"/>
        <v>6.5854523410718446</v>
      </c>
      <c r="BG65" s="153">
        <f t="shared" si="28"/>
        <v>7.3898191386790923</v>
      </c>
      <c r="BH65" s="153">
        <f t="shared" si="28"/>
        <v>4.4868469534017716</v>
      </c>
      <c r="BI65" s="153">
        <f t="shared" si="28"/>
        <v>20.469174195505769</v>
      </c>
      <c r="BJ65" s="153">
        <f t="shared" si="28"/>
        <v>22.466276091900195</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475</v>
      </c>
      <c r="E66" s="82">
        <f>E62/E65</f>
        <v>26.902432686863598</v>
      </c>
      <c r="F66" s="82">
        <f t="shared" ref="F66:BQ66" si="30">F62/F65</f>
        <v>66.64862477363755</v>
      </c>
      <c r="G66" s="82">
        <f t="shared" si="30"/>
        <v>90.874549073788657</v>
      </c>
      <c r="H66" s="82">
        <f t="shared" si="30"/>
        <v>153.98009864621565</v>
      </c>
      <c r="I66" s="82">
        <f t="shared" si="30"/>
        <v>38.539191974170073</v>
      </c>
      <c r="J66" s="82">
        <f t="shared" si="30"/>
        <v>90.525594216736977</v>
      </c>
      <c r="K66" s="82">
        <f t="shared" si="30"/>
        <v>120.56627050512529</v>
      </c>
      <c r="L66" s="82">
        <f t="shared" si="30"/>
        <v>190.69241650463647</v>
      </c>
      <c r="M66" s="82">
        <f t="shared" si="30"/>
        <v>40.714685042461682</v>
      </c>
      <c r="N66" s="82">
        <f t="shared" si="30"/>
        <v>85.56077122287698</v>
      </c>
      <c r="O66" s="82">
        <f t="shared" si="30"/>
        <v>112.02276790224367</v>
      </c>
      <c r="P66" s="82">
        <f t="shared" si="30"/>
        <v>180.92051111768779</v>
      </c>
      <c r="Q66" s="82">
        <f t="shared" si="30"/>
        <v>40.885787630891009</v>
      </c>
      <c r="R66" s="82">
        <f t="shared" si="30"/>
        <v>75.709311533012595</v>
      </c>
      <c r="S66" s="82">
        <f t="shared" si="30"/>
        <v>101.41886595645045</v>
      </c>
      <c r="T66" s="82">
        <f t="shared" si="30"/>
        <v>174.00274027455686</v>
      </c>
      <c r="U66" s="82">
        <f t="shared" si="30"/>
        <v>44.337170041807276</v>
      </c>
      <c r="V66" s="82">
        <f t="shared" si="30"/>
        <v>73.716909060544083</v>
      </c>
      <c r="W66" s="82">
        <f t="shared" si="30"/>
        <v>100.9913617884219</v>
      </c>
      <c r="X66" s="82">
        <f t="shared" si="30"/>
        <v>202.58060813783695</v>
      </c>
      <c r="Y66" s="82">
        <f t="shared" si="30"/>
        <v>60.081016326064763</v>
      </c>
      <c r="Z66" s="82">
        <f t="shared" si="30"/>
        <v>88.892561569935609</v>
      </c>
      <c r="AA66" s="82">
        <f t="shared" si="30"/>
        <v>115.65931530596107</v>
      </c>
      <c r="AB66" s="82">
        <f t="shared" si="30"/>
        <v>216.60661737883046</v>
      </c>
      <c r="AC66" s="82">
        <f t="shared" si="30"/>
        <v>49.389093579434139</v>
      </c>
      <c r="AD66" s="82">
        <f t="shared" si="30"/>
        <v>69.143715416214746</v>
      </c>
      <c r="AE66" s="82">
        <f t="shared" si="30"/>
        <v>84.829556707106349</v>
      </c>
      <c r="AF66" s="82">
        <f t="shared" si="30"/>
        <v>149.70393329674565</v>
      </c>
      <c r="AG66" s="82">
        <f t="shared" si="30"/>
        <v>40.962263059974326</v>
      </c>
      <c r="AH66" s="82">
        <f t="shared" si="30"/>
        <v>59.461665967187649</v>
      </c>
      <c r="AI66" s="82">
        <f t="shared" si="30"/>
        <v>79.27732050175338</v>
      </c>
      <c r="AJ66" s="82">
        <f t="shared" si="30"/>
        <v>165.53658337360633</v>
      </c>
      <c r="AK66" s="82">
        <f t="shared" si="30"/>
        <v>45.012239722205877</v>
      </c>
      <c r="AL66" s="82">
        <f t="shared" si="30"/>
        <v>71.834393468410298</v>
      </c>
      <c r="AM66" s="82">
        <f t="shared" si="30"/>
        <v>97.807504257541567</v>
      </c>
      <c r="AN66" s="82">
        <f t="shared" si="30"/>
        <v>196.77074830943144</v>
      </c>
      <c r="AO66" s="82">
        <f t="shared" si="30"/>
        <v>36.616749265701323</v>
      </c>
      <c r="AP66" s="82">
        <f t="shared" si="30"/>
        <v>62.388439181803086</v>
      </c>
      <c r="AQ66" s="82">
        <f t="shared" si="30"/>
        <v>79.333296488771154</v>
      </c>
      <c r="AR66" s="82">
        <f t="shared" si="30"/>
        <v>148.71835041930646</v>
      </c>
      <c r="AS66" s="82">
        <f t="shared" si="30"/>
        <v>24.227525458925179</v>
      </c>
      <c r="AT66" s="82">
        <f t="shared" si="30"/>
        <v>58.450260718440738</v>
      </c>
      <c r="AU66" s="82">
        <f t="shared" si="30"/>
        <v>77.732136931450157</v>
      </c>
      <c r="AV66" s="82">
        <f t="shared" si="30"/>
        <v>144.86137635264811</v>
      </c>
      <c r="AW66" s="82">
        <f t="shared" si="30"/>
        <v>22.44939170787951</v>
      </c>
      <c r="AX66" s="82">
        <f t="shared" si="30"/>
        <v>68.983506888023797</v>
      </c>
      <c r="AY66" s="82">
        <f t="shared" si="30"/>
        <v>89.824486059989425</v>
      </c>
      <c r="AZ66" s="82">
        <f t="shared" si="30"/>
        <v>156.56245746055612</v>
      </c>
      <c r="BA66" s="82">
        <f t="shared" si="30"/>
        <v>29.657754088821154</v>
      </c>
      <c r="BB66" s="82">
        <f t="shared" si="30"/>
        <v>83.714228877530559</v>
      </c>
      <c r="BC66" s="82">
        <f t="shared" si="30"/>
        <v>94.820599743064975</v>
      </c>
      <c r="BD66" s="82">
        <f t="shared" si="30"/>
        <v>164.20792545853666</v>
      </c>
      <c r="BE66" s="82">
        <f t="shared" si="30"/>
        <v>32.069432148601614</v>
      </c>
      <c r="BF66" s="82">
        <f t="shared" si="30"/>
        <v>55.425198011620992</v>
      </c>
      <c r="BG66" s="82">
        <f t="shared" si="30"/>
        <v>49.392277828499417</v>
      </c>
      <c r="BH66" s="82">
        <f t="shared" si="30"/>
        <v>81.348885707650368</v>
      </c>
      <c r="BI66" s="82">
        <f t="shared" si="30"/>
        <v>17.831691523742066</v>
      </c>
      <c r="BJ66" s="82">
        <f t="shared" si="30"/>
        <v>16.246573241908749</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476</v>
      </c>
      <c r="E67" s="75">
        <f>股权价值增加表!E5</f>
        <v>9994038739.0300007</v>
      </c>
      <c r="F67" s="75">
        <f>股权价值增加表!F5</f>
        <v>7393683346.5900002</v>
      </c>
      <c r="G67" s="75">
        <f>股权价值增加表!G5</f>
        <v>4834039606.04</v>
      </c>
      <c r="H67" s="75">
        <f>股权价值增加表!H5</f>
        <v>2717483854.0999999</v>
      </c>
      <c r="I67" s="75">
        <f>股权价值增加表!I5</f>
        <v>8299999071.7799997</v>
      </c>
      <c r="J67" s="75">
        <f>股权价值增加表!J5</f>
        <v>6175639591.1999998</v>
      </c>
      <c r="K67" s="75">
        <f>股权价值增加表!K5</f>
        <v>4012799751.8000002</v>
      </c>
      <c r="L67" s="75">
        <f>股权价值增加表!L5</f>
        <v>2157873063.1100001</v>
      </c>
      <c r="M67" s="75">
        <f>股权价值增加表!M5</f>
        <v>7749205984.6800003</v>
      </c>
      <c r="N67" s="75">
        <f>股权价值增加表!N5</f>
        <v>5917522087.8100004</v>
      </c>
      <c r="O67" s="75">
        <f>股权价值增加表!O5</f>
        <v>3826621021.75</v>
      </c>
      <c r="P67" s="75">
        <f>股权价值增加表!P5</f>
        <v>2119536321.05</v>
      </c>
      <c r="Q67" s="75">
        <f>股权价值增加表!Q5</f>
        <v>6766783798.5900002</v>
      </c>
      <c r="R67" s="75">
        <f>股权价值增加表!R5</f>
        <v>5105893650.71</v>
      </c>
      <c r="S67" s="75">
        <f>股权价值增加表!S5</f>
        <v>3272332302.5599999</v>
      </c>
      <c r="T67" s="75">
        <f>股权价值增加表!T5</f>
        <v>1809225118.5</v>
      </c>
      <c r="U67" s="75">
        <f>股权价值增加表!U5</f>
        <v>5990546429.8400002</v>
      </c>
      <c r="V67" s="75">
        <f>股权价值增加表!V5</f>
        <v>4543607402.7299995</v>
      </c>
      <c r="W67" s="75">
        <f>股权价值增加表!W5</f>
        <v>2972551661.21</v>
      </c>
      <c r="X67" s="75">
        <f>股权价值增加表!X5</f>
        <v>1617435886.8800001</v>
      </c>
      <c r="Y67" s="75">
        <f>股权价值增加表!Y5</f>
        <v>4883816910.9799995</v>
      </c>
      <c r="Z67" s="75">
        <f>股权价值增加表!Z5</f>
        <v>3637694852.5300002</v>
      </c>
      <c r="AA67" s="75">
        <f>股权价值增加表!AA5</f>
        <v>2373210048.5100002</v>
      </c>
      <c r="AB67" s="75">
        <f>股权价值增加表!AB5</f>
        <v>1344332758.29</v>
      </c>
      <c r="AC67" s="75">
        <f>股权价值增加表!AC5</f>
        <v>5177587426.1999998</v>
      </c>
      <c r="AD67" s="75">
        <f>股权价值增加表!AD5</f>
        <v>3860633717.8899999</v>
      </c>
      <c r="AE67" s="75">
        <f>股权价值增加表!AE5</f>
        <v>2496676794.8600001</v>
      </c>
      <c r="AF67" s="75">
        <f>股权价值增加表!AF5</f>
        <v>1358295682.6600001</v>
      </c>
      <c r="AG67" s="75">
        <f>股权价值增加表!AG5</f>
        <v>4050296293.5</v>
      </c>
      <c r="AH67" s="75">
        <f>股权价值增加表!AH5</f>
        <v>2960460127.6900001</v>
      </c>
      <c r="AI67" s="75">
        <f>股权价值增加表!AI5</f>
        <v>1875365183</v>
      </c>
      <c r="AJ67" s="75">
        <f>股权价值增加表!AJ5</f>
        <v>993455551.94000006</v>
      </c>
      <c r="AK67" s="75">
        <f>股权价值增加表!AK5</f>
        <v>2838977342.4699998</v>
      </c>
      <c r="AL67" s="75">
        <f>股权价值增加表!AL5</f>
        <v>1967777388.4000001</v>
      </c>
      <c r="AM67" s="75">
        <f>股权价值增加表!AM5</f>
        <v>1207313239.52</v>
      </c>
      <c r="AN67" s="75">
        <f>股权价值增加表!AN5</f>
        <v>641973107.02999997</v>
      </c>
      <c r="AO67" s="75">
        <f>股权价值增加表!AO5</f>
        <v>2620554181.21</v>
      </c>
      <c r="AP67" s="75">
        <f>股权价值增加表!AP5</f>
        <v>1998835580.3</v>
      </c>
      <c r="AQ67" s="75">
        <f>股权价值增加表!AQ5</f>
        <v>1278392611.24</v>
      </c>
      <c r="AR67" s="75">
        <f>股权价值增加表!AR5</f>
        <v>659435870.07000005</v>
      </c>
      <c r="AS67" s="75">
        <f>股权价值增加表!AS5</f>
        <v>2148775148.0300002</v>
      </c>
      <c r="AT67" s="75">
        <f>股权价值增加表!AT5</f>
        <v>1498759961.8800001</v>
      </c>
      <c r="AU67" s="75">
        <f>股权价值增加表!AU5</f>
        <v>973161667.58000004</v>
      </c>
      <c r="AV67" s="75">
        <f>股权价值增加表!AV5</f>
        <v>483136840.17000002</v>
      </c>
      <c r="AW67" s="75">
        <f>股权价值增加表!AW5</f>
        <v>1517457672.6099999</v>
      </c>
      <c r="AX67" s="75">
        <f>股权价值增加表!AX5</f>
        <v>1005686269.8099999</v>
      </c>
      <c r="AY67" s="75">
        <f>股权价值增加表!AY5</f>
        <v>686077206.70000005</v>
      </c>
      <c r="AZ67" s="75">
        <f>股权价值增加表!AZ5</f>
        <v>359053640.45999998</v>
      </c>
      <c r="BA67" s="75">
        <f>股权价值增加表!BA5</f>
        <v>1104147473.76</v>
      </c>
      <c r="BB67" s="75">
        <f>股权价值增加表!BB5</f>
        <v>657317342.32000005</v>
      </c>
      <c r="BC67" s="75">
        <f>股权价值增加表!BC5</f>
        <v>412465271.30000001</v>
      </c>
      <c r="BD67" s="75">
        <f>股权价值增加表!BD5</f>
        <v>221081799.97999999</v>
      </c>
      <c r="BE67" s="75">
        <f>股权价值增加表!BE5</f>
        <v>726513585.96000004</v>
      </c>
      <c r="BF67" s="75">
        <f>股权价值增加表!BF5</f>
        <v>498366992.25</v>
      </c>
      <c r="BG67" s="75">
        <f>股权价值增加表!BG5</f>
        <v>297904515.07999998</v>
      </c>
      <c r="BH67" s="75">
        <f>股权价值增加表!BH5</f>
        <v>149935201.59</v>
      </c>
      <c r="BI67" s="75">
        <f>股权价值增加表!BI5</f>
        <v>596658019.77999997</v>
      </c>
      <c r="BJ67" s="75">
        <f>股权价值增加表!BJ5</f>
        <v>406494610.31999999</v>
      </c>
      <c r="BK67" s="75">
        <f>股权价值增加表!BK5</f>
        <v>258437151.44999999</v>
      </c>
      <c r="BL67" s="75">
        <f>股权价值增加表!BL5</f>
        <v>429677830.88999999</v>
      </c>
      <c r="BM67" s="75">
        <f>股权价值增加表!BM5</f>
        <v>312345786.75</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477</v>
      </c>
      <c r="E68" s="75">
        <f>资产资本表!E26</f>
        <v>2185899491.7199998</v>
      </c>
      <c r="F68" s="75">
        <f>资产资本表!F26</f>
        <v>1470400344.9200001</v>
      </c>
      <c r="G68" s="75">
        <f>资产资本表!G26</f>
        <v>1293921923.4300001</v>
      </c>
      <c r="H68" s="75">
        <f>资产资本表!H26</f>
        <v>1118765372.3099999</v>
      </c>
      <c r="I68" s="75">
        <f>资产资本表!I26</f>
        <v>1696932203.1900001</v>
      </c>
      <c r="J68" s="75">
        <f>资产资本表!J26</f>
        <v>964907065.76999998</v>
      </c>
      <c r="K68" s="75">
        <f>资产资本表!K26</f>
        <v>1057725660.29</v>
      </c>
      <c r="L68" s="75">
        <f>资产资本表!L26</f>
        <v>920959661.87</v>
      </c>
      <c r="M68" s="75">
        <f>资产资本表!M26</f>
        <v>1426745280.9300001</v>
      </c>
      <c r="N68" s="75">
        <f>资产资本表!N26</f>
        <v>1010846140.4</v>
      </c>
      <c r="O68" s="75">
        <f>资产资本表!O26</f>
        <v>1098826788.8199999</v>
      </c>
      <c r="P68" s="75">
        <f>资产资本表!P26</f>
        <v>1135582960.8499999</v>
      </c>
      <c r="Q68" s="75">
        <f>资产资本表!Q26</f>
        <v>1568475227.8800001</v>
      </c>
      <c r="R68" s="75">
        <f>资产资本表!R26</f>
        <v>978487335.64999998</v>
      </c>
      <c r="S68" s="75">
        <f>资产资本表!S26</f>
        <v>941861832.96000004</v>
      </c>
      <c r="T68" s="75">
        <f>资产资本表!T26</f>
        <v>857047457.5</v>
      </c>
      <c r="U68" s="75">
        <f>资产资本表!U26</f>
        <v>1325378544.29</v>
      </c>
      <c r="V68" s="75">
        <f>资产资本表!V26</f>
        <v>878054202.94000006</v>
      </c>
      <c r="W68" s="75">
        <f>资产资本表!W26</f>
        <v>871388665.28999996</v>
      </c>
      <c r="X68" s="75">
        <f>资产资本表!X26</f>
        <v>791718974.51999998</v>
      </c>
      <c r="Y68" s="75">
        <f>资产资本表!Y26</f>
        <v>1073369840.5700001</v>
      </c>
      <c r="Z68" s="75">
        <f>资产资本表!Z26</f>
        <v>717909540.94000006</v>
      </c>
      <c r="AA68" s="75">
        <f>资产资本表!AA26</f>
        <v>742018284.57000005</v>
      </c>
      <c r="AB68" s="75">
        <f>资产资本表!AB26</f>
        <v>764629040.47000003</v>
      </c>
      <c r="AC68" s="75">
        <f>资产资本表!AC26</f>
        <v>1030294935.02</v>
      </c>
      <c r="AD68" s="75">
        <f>资产资本表!AD26</f>
        <v>926056707.29999995</v>
      </c>
      <c r="AE68" s="75">
        <f>资产资本表!AE26</f>
        <v>971723704.05999994</v>
      </c>
      <c r="AF68" s="75">
        <f>资产资本表!AF26</f>
        <v>859193852.50999999</v>
      </c>
      <c r="AG68" s="75">
        <f>资产资本表!AG26</f>
        <v>1065910997.37</v>
      </c>
      <c r="AH68" s="75">
        <f>资产资本表!AH26</f>
        <v>774328296.45000005</v>
      </c>
      <c r="AI68" s="75">
        <f>资产资本表!AI26</f>
        <v>744906149.55999994</v>
      </c>
      <c r="AJ68" s="75">
        <f>资产资本表!AJ26</f>
        <v>660124469.33000004</v>
      </c>
      <c r="AK68" s="75">
        <f>资产资本表!AK26</f>
        <v>609153929.08000004</v>
      </c>
      <c r="AL68" s="75">
        <f>资产资本表!AL26</f>
        <v>451928532.52999997</v>
      </c>
      <c r="AM68" s="75">
        <f>资产资本表!AM26</f>
        <v>369674847.49000001</v>
      </c>
      <c r="AN68" s="75">
        <f>资产资本表!AN26</f>
        <v>349318266.39999998</v>
      </c>
      <c r="AO68" s="75">
        <f>资产资本表!AO26</f>
        <v>401306258.81999999</v>
      </c>
      <c r="AP68" s="75">
        <f>资产资本表!AP26</f>
        <v>451856996.35000002</v>
      </c>
      <c r="AQ68" s="75">
        <f>资产资本表!AQ26</f>
        <v>447686866.85000002</v>
      </c>
      <c r="AR68" s="75">
        <f>资产资本表!AR26</f>
        <v>410327776.82999998</v>
      </c>
      <c r="AS68" s="75">
        <f>资产资本表!AS26</f>
        <v>423691037.51999998</v>
      </c>
      <c r="AT68" s="75">
        <f>资产资本表!AT26</f>
        <v>386717593.16000003</v>
      </c>
      <c r="AU68" s="75">
        <f>资产资本表!AU26</f>
        <v>371701744.98000002</v>
      </c>
      <c r="AV68" s="75">
        <f>资产资本表!AV26</f>
        <v>363693904.29000002</v>
      </c>
      <c r="AW68" s="75">
        <f>资产资本表!AW26</f>
        <v>373108583.83999997</v>
      </c>
      <c r="AX68" s="75">
        <f>资产资本表!AX26</f>
        <v>318782897.86000001</v>
      </c>
      <c r="AY68" s="75">
        <f>资产资本表!AY26</f>
        <v>300631240.80000001</v>
      </c>
      <c r="AZ68" s="75">
        <f>资产资本表!AZ26</f>
        <v>336286463.70999998</v>
      </c>
      <c r="BA68" s="75">
        <f>资产资本表!BA26</f>
        <v>318488911.10000002</v>
      </c>
      <c r="BB68" s="75">
        <f>资产资本表!BB26</f>
        <v>281272317.88</v>
      </c>
      <c r="BC68" s="75">
        <f>资产资本表!BC26</f>
        <v>289181914.31</v>
      </c>
      <c r="BD68" s="75">
        <f>资产资本表!BD26</f>
        <v>274648278.17000002</v>
      </c>
      <c r="BE68" s="75">
        <f>资产资本表!BE26</f>
        <v>244401356.97</v>
      </c>
      <c r="BF68" s="75">
        <f>资产资本表!BF26</f>
        <v>207346234.84999999</v>
      </c>
      <c r="BG68" s="75">
        <f>资产资本表!BG26</f>
        <v>215414694.71000001</v>
      </c>
      <c r="BH68" s="75">
        <f>资产资本表!BH26</f>
        <v>170315284</v>
      </c>
      <c r="BI68" s="75">
        <f>资产资本表!BI26</f>
        <v>128800723.88</v>
      </c>
      <c r="BJ68" s="75">
        <f>资产资本表!BJ26</f>
        <v>86397241.609999999</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478</v>
      </c>
      <c r="E69" s="153">
        <f>E67/(E68+I68)*2</f>
        <v>5.147809394948113</v>
      </c>
      <c r="F69" s="153">
        <f t="shared" ref="F69:BQ69" si="32">F67/(F68+J68)*2</f>
        <v>6.0720739518426008</v>
      </c>
      <c r="G69" s="153">
        <f t="shared" si="32"/>
        <v>4.1111939046523105</v>
      </c>
      <c r="H69" s="153">
        <f t="shared" si="32"/>
        <v>2.6645590053195276</v>
      </c>
      <c r="I69" s="153">
        <f t="shared" si="32"/>
        <v>5.3142484228766458</v>
      </c>
      <c r="J69" s="153">
        <f t="shared" si="32"/>
        <v>6.2514281357756056</v>
      </c>
      <c r="K69" s="153">
        <f t="shared" si="32"/>
        <v>3.7214951609046802</v>
      </c>
      <c r="L69" s="153">
        <f t="shared" si="32"/>
        <v>2.0985444592983731</v>
      </c>
      <c r="M69" s="153">
        <f t="shared" si="32"/>
        <v>5.1743809591893823</v>
      </c>
      <c r="N69" s="153">
        <f t="shared" si="32"/>
        <v>5.9492510019584763</v>
      </c>
      <c r="O69" s="153">
        <f t="shared" si="32"/>
        <v>3.750323279023541</v>
      </c>
      <c r="P69" s="153">
        <f t="shared" si="32"/>
        <v>2.1273752538667803</v>
      </c>
      <c r="Q69" s="153">
        <f t="shared" si="32"/>
        <v>4.6766591067356007</v>
      </c>
      <c r="R69" s="153">
        <f t="shared" si="32"/>
        <v>5.5004356698507344</v>
      </c>
      <c r="S69" s="153">
        <f t="shared" si="32"/>
        <v>3.6093549189350127</v>
      </c>
      <c r="T69" s="153">
        <f t="shared" si="32"/>
        <v>2.1946408943847948</v>
      </c>
      <c r="U69" s="153">
        <f t="shared" si="32"/>
        <v>4.994726806404608</v>
      </c>
      <c r="V69" s="153">
        <f t="shared" si="32"/>
        <v>5.6938729593992976</v>
      </c>
      <c r="W69" s="153">
        <f t="shared" si="32"/>
        <v>3.6848132598758632</v>
      </c>
      <c r="X69" s="153">
        <f t="shared" si="32"/>
        <v>2.0785015578798971</v>
      </c>
      <c r="Y69" s="153">
        <f t="shared" si="32"/>
        <v>4.643151292591539</v>
      </c>
      <c r="Z69" s="153">
        <f t="shared" si="32"/>
        <v>4.4255103855379625</v>
      </c>
      <c r="AA69" s="153">
        <f t="shared" si="32"/>
        <v>2.7696235072202349</v>
      </c>
      <c r="AB69" s="153">
        <f t="shared" si="32"/>
        <v>1.6557627855866885</v>
      </c>
      <c r="AC69" s="153">
        <f t="shared" si="32"/>
        <v>4.9399606653118733</v>
      </c>
      <c r="AD69" s="153">
        <f t="shared" si="32"/>
        <v>4.5408936321783884</v>
      </c>
      <c r="AE69" s="153">
        <f t="shared" si="32"/>
        <v>2.9088120419146275</v>
      </c>
      <c r="AF69" s="153">
        <f t="shared" si="32"/>
        <v>1.788033044997456</v>
      </c>
      <c r="AG69" s="153">
        <f t="shared" si="32"/>
        <v>4.8359872259804009</v>
      </c>
      <c r="AH69" s="153">
        <f t="shared" si="32"/>
        <v>4.8284503828655696</v>
      </c>
      <c r="AI69" s="153">
        <f t="shared" si="32"/>
        <v>3.3651483166563829</v>
      </c>
      <c r="AJ69" s="153">
        <f t="shared" si="32"/>
        <v>1.9683247335898881</v>
      </c>
      <c r="AK69" s="153">
        <f t="shared" si="32"/>
        <v>5.6191770372866161</v>
      </c>
      <c r="AL69" s="153">
        <f t="shared" si="32"/>
        <v>4.3545228940289249</v>
      </c>
      <c r="AM69" s="153">
        <f t="shared" si="32"/>
        <v>2.9541712520628067</v>
      </c>
      <c r="AN69" s="153">
        <f t="shared" si="32"/>
        <v>1.6901900898485378</v>
      </c>
      <c r="AO69" s="153">
        <f t="shared" si="32"/>
        <v>6.352879440540641</v>
      </c>
      <c r="AP69" s="153">
        <f t="shared" si="32"/>
        <v>4.7672219151500155</v>
      </c>
      <c r="AQ69" s="153">
        <f t="shared" si="32"/>
        <v>3.1203572829377579</v>
      </c>
      <c r="AR69" s="153">
        <f t="shared" si="32"/>
        <v>1.7039209266484741</v>
      </c>
      <c r="AS69" s="153">
        <f t="shared" si="32"/>
        <v>5.3935144807483981</v>
      </c>
      <c r="AT69" s="153">
        <f t="shared" si="32"/>
        <v>4.2487850283792712</v>
      </c>
      <c r="AU69" s="153">
        <f t="shared" si="32"/>
        <v>2.8948800316587082</v>
      </c>
      <c r="AV69" s="153">
        <f t="shared" si="32"/>
        <v>1.3804296870508803</v>
      </c>
      <c r="AW69" s="153">
        <f t="shared" si="32"/>
        <v>4.3882682737063643</v>
      </c>
      <c r="AX69" s="153">
        <f t="shared" si="32"/>
        <v>3.3519790960229141</v>
      </c>
      <c r="AY69" s="153">
        <f t="shared" si="32"/>
        <v>2.3264221923705546</v>
      </c>
      <c r="AZ69" s="153">
        <f t="shared" si="32"/>
        <v>1.1754238737679299</v>
      </c>
      <c r="BA69" s="153">
        <f t="shared" si="32"/>
        <v>3.9231357740322137</v>
      </c>
      <c r="BB69" s="153">
        <f t="shared" si="32"/>
        <v>2.6905132383838044</v>
      </c>
      <c r="BC69" s="153">
        <f t="shared" si="32"/>
        <v>1.6348317207325969</v>
      </c>
      <c r="BD69" s="153">
        <f t="shared" si="32"/>
        <v>0.9937074348372591</v>
      </c>
      <c r="BE69" s="153">
        <f t="shared" si="32"/>
        <v>3.8934058690417936</v>
      </c>
      <c r="BF69" s="153">
        <f t="shared" si="32"/>
        <v>3.3932123242768544</v>
      </c>
      <c r="BG69" s="153">
        <f t="shared" si="32"/>
        <v>2.765869946625982</v>
      </c>
      <c r="BH69" s="153">
        <f t="shared" si="32"/>
        <v>1.7606781736629109</v>
      </c>
      <c r="BI69" s="153">
        <f t="shared" si="32"/>
        <v>9.264824013503052</v>
      </c>
      <c r="BJ69" s="153">
        <f t="shared" si="32"/>
        <v>9.4098978797246815</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479</v>
      </c>
      <c r="E70" s="82">
        <f>E62/E69</f>
        <v>70.903946124772744</v>
      </c>
      <c r="F70" s="82">
        <f t="shared" ref="F70:BQ70" si="34">F62/F69</f>
        <v>60.111257355361907</v>
      </c>
      <c r="G70" s="82">
        <f t="shared" si="34"/>
        <v>88.781995805879788</v>
      </c>
      <c r="H70" s="82">
        <f t="shared" si="34"/>
        <v>136.98326787709101</v>
      </c>
      <c r="I70" s="82">
        <f t="shared" si="34"/>
        <v>68.683277663264107</v>
      </c>
      <c r="J70" s="82">
        <f t="shared" si="34"/>
        <v>58.386658547857557</v>
      </c>
      <c r="K70" s="82">
        <f t="shared" si="34"/>
        <v>98.078859226910836</v>
      </c>
      <c r="L70" s="82">
        <f t="shared" si="34"/>
        <v>173.93007728891959</v>
      </c>
      <c r="M70" s="82">
        <f t="shared" si="34"/>
        <v>70.539839041379906</v>
      </c>
      <c r="N70" s="82">
        <f t="shared" si="34"/>
        <v>61.352260961899752</v>
      </c>
      <c r="O70" s="82">
        <f t="shared" si="34"/>
        <v>97.324943169974887</v>
      </c>
      <c r="P70" s="82">
        <f t="shared" si="34"/>
        <v>171.57292740740741</v>
      </c>
      <c r="Q70" s="82">
        <f t="shared" si="34"/>
        <v>78.04716821765038</v>
      </c>
      <c r="R70" s="82">
        <f t="shared" si="34"/>
        <v>66.358379937185049</v>
      </c>
      <c r="S70" s="82">
        <f t="shared" si="34"/>
        <v>101.12610374922563</v>
      </c>
      <c r="T70" s="82">
        <f t="shared" si="34"/>
        <v>166.31422522649993</v>
      </c>
      <c r="U70" s="82">
        <f t="shared" si="34"/>
        <v>73.077069907401139</v>
      </c>
      <c r="V70" s="82">
        <f t="shared" si="34"/>
        <v>64.103994346671797</v>
      </c>
      <c r="W70" s="82">
        <f t="shared" si="34"/>
        <v>99.055223225151011</v>
      </c>
      <c r="X70" s="82">
        <f t="shared" si="34"/>
        <v>175.6072775679348</v>
      </c>
      <c r="Y70" s="82">
        <f t="shared" si="34"/>
        <v>78.610404227487081</v>
      </c>
      <c r="Z70" s="82">
        <f t="shared" si="34"/>
        <v>82.476362769992875</v>
      </c>
      <c r="AA70" s="82">
        <f t="shared" si="34"/>
        <v>131.7868652719288</v>
      </c>
      <c r="AB70" s="82">
        <f t="shared" si="34"/>
        <v>220.44220535532153</v>
      </c>
      <c r="AC70" s="82">
        <f t="shared" si="34"/>
        <v>73.887228002240889</v>
      </c>
      <c r="AD70" s="82">
        <f t="shared" si="34"/>
        <v>80.380654022256792</v>
      </c>
      <c r="AE70" s="82">
        <f t="shared" si="34"/>
        <v>125.4807786617079</v>
      </c>
      <c r="AF70" s="82">
        <f t="shared" si="34"/>
        <v>204.1349297325315</v>
      </c>
      <c r="AG70" s="82">
        <f t="shared" si="34"/>
        <v>75.475799034188611</v>
      </c>
      <c r="AH70" s="82">
        <f t="shared" si="34"/>
        <v>75.59361100514846</v>
      </c>
      <c r="AI70" s="82">
        <f t="shared" si="34"/>
        <v>108.46475865368829</v>
      </c>
      <c r="AJ70" s="82">
        <f t="shared" si="34"/>
        <v>185.4368813088592</v>
      </c>
      <c r="AK70" s="82">
        <f t="shared" si="34"/>
        <v>64.956131045170082</v>
      </c>
      <c r="AL70" s="82">
        <f t="shared" si="34"/>
        <v>83.820893558855971</v>
      </c>
      <c r="AM70" s="82">
        <f t="shared" si="34"/>
        <v>123.55411005544508</v>
      </c>
      <c r="AN70" s="82">
        <f t="shared" si="34"/>
        <v>215.95204124804008</v>
      </c>
      <c r="AO70" s="82">
        <f t="shared" si="34"/>
        <v>57.454262026565054</v>
      </c>
      <c r="AP70" s="82">
        <f t="shared" si="34"/>
        <v>76.564507903449282</v>
      </c>
      <c r="AQ70" s="82">
        <f t="shared" si="34"/>
        <v>116.97378437906295</v>
      </c>
      <c r="AR70" s="82">
        <f t="shared" si="34"/>
        <v>214.21181833709647</v>
      </c>
      <c r="AS70" s="82">
        <f t="shared" si="34"/>
        <v>67.673870405434229</v>
      </c>
      <c r="AT70" s="82">
        <f t="shared" si="34"/>
        <v>85.90691163756803</v>
      </c>
      <c r="AU70" s="82">
        <f t="shared" si="34"/>
        <v>126.08467225181083</v>
      </c>
      <c r="AV70" s="82">
        <f t="shared" si="34"/>
        <v>264.41042482922688</v>
      </c>
      <c r="AW70" s="82">
        <f t="shared" si="34"/>
        <v>83.176318591779776</v>
      </c>
      <c r="AX70" s="82">
        <f t="shared" si="34"/>
        <v>108.89089387015224</v>
      </c>
      <c r="AY70" s="82">
        <f t="shared" si="34"/>
        <v>156.89327637821231</v>
      </c>
      <c r="AZ70" s="82">
        <f t="shared" si="34"/>
        <v>310.5262774950782</v>
      </c>
      <c r="BA70" s="82">
        <f t="shared" si="34"/>
        <v>93.037820005105672</v>
      </c>
      <c r="BB70" s="82">
        <f t="shared" si="34"/>
        <v>135.66184874795712</v>
      </c>
      <c r="BC70" s="82">
        <f t="shared" si="34"/>
        <v>223.26456929550955</v>
      </c>
      <c r="BD70" s="82">
        <f t="shared" si="34"/>
        <v>367.31133048207147</v>
      </c>
      <c r="BE70" s="82">
        <f t="shared" si="34"/>
        <v>93.748253400005837</v>
      </c>
      <c r="BF70" s="82">
        <f t="shared" si="34"/>
        <v>107.5676866397646</v>
      </c>
      <c r="BG70" s="82">
        <f t="shared" si="34"/>
        <v>131.96571315482663</v>
      </c>
      <c r="BH70" s="82">
        <f t="shared" si="34"/>
        <v>207.30648306990415</v>
      </c>
      <c r="BI70" s="82">
        <f t="shared" si="34"/>
        <v>39.396323067554157</v>
      </c>
      <c r="BJ70" s="82">
        <f t="shared" si="34"/>
        <v>38.788943797834214</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480</v>
      </c>
      <c r="E71" s="75">
        <f>资产资本表!E35+资产资本表!E36-资产资本表!E24</f>
        <v>1980397458.3600001</v>
      </c>
      <c r="F71" s="75">
        <f>资产资本表!F35+资产资本表!F36-资产资本表!F24</f>
        <v>1973022315.9799998</v>
      </c>
      <c r="G71" s="75">
        <f>资产资本表!G35+资产资本表!G36-资产资本表!G24</f>
        <v>1717969310.0900002</v>
      </c>
      <c r="H71" s="75">
        <f>资产资本表!H35+资产资本表!H36-资产资本表!H24</f>
        <v>1806661301.3900001</v>
      </c>
      <c r="I71" s="75">
        <f>资产资本表!I35+资产资本表!I36-资产资本表!I24</f>
        <v>1904813882.21</v>
      </c>
      <c r="J71" s="75">
        <f>资产资本表!J35+资产资本表!J36-资产资本表!J24</f>
        <v>1561117344.4400001</v>
      </c>
      <c r="K71" s="75">
        <f>资产资本表!K35+资产资本表!K36-资产资本表!K24</f>
        <v>1459609108.29</v>
      </c>
      <c r="L71" s="75">
        <f>资产资本表!L35+资产资本表!L36-资产资本表!L24</f>
        <v>1186961485.3000002</v>
      </c>
      <c r="M71" s="75">
        <f>资产资本表!M35+资产资本表!M36-资产资本表!M24</f>
        <v>1530790385.77</v>
      </c>
      <c r="N71" s="75">
        <f>资产资本表!N35+资产资本表!N36-资产资本表!N24</f>
        <v>1537198538.25</v>
      </c>
      <c r="O71" s="75">
        <f>资产资本表!O35+资产资本表!O36-资产资本表!O24</f>
        <v>1289726029.6900001</v>
      </c>
      <c r="P71" s="75">
        <f>资产资本表!P35+资产资本表!P36-资产资本表!P24</f>
        <v>1135926418.8499999</v>
      </c>
      <c r="Q71" s="75">
        <f>资产资本表!Q35+资产资本表!Q36-资产资本表!Q24</f>
        <v>1422136846.97</v>
      </c>
      <c r="R71" s="75">
        <f>资产资本表!R35+资产资本表!R36-资产资本表!R24</f>
        <v>1246732601.1099999</v>
      </c>
      <c r="S71" s="75">
        <f>资产资本表!S35+资产资本表!S36-资产资本表!S24</f>
        <v>991624994.8499999</v>
      </c>
      <c r="T71" s="75">
        <f>资产资本表!T35+资产资本表!T36-资产资本表!T24</f>
        <v>864035918.76999998</v>
      </c>
      <c r="U71" s="75">
        <f>资产资本表!U35+资产资本表!U36-资产资本表!U24</f>
        <v>1058530085.97</v>
      </c>
      <c r="V71" s="75">
        <f>资产资本表!V35+资产资本表!V36-资产资本表!V24</f>
        <v>967955431.40999997</v>
      </c>
      <c r="W71" s="75">
        <f>资产资本表!W35+资产资本表!W36-资产资本表!W24</f>
        <v>779844772.54999995</v>
      </c>
      <c r="X71" s="75">
        <f>资产资本表!X35+资产资本表!X36-资产资本表!X24</f>
        <v>745487679.47000003</v>
      </c>
      <c r="Y71" s="75">
        <f>资产资本表!Y35+资产资本表!Y36-资产资本表!Y24</f>
        <v>896786922.69000006</v>
      </c>
      <c r="Z71" s="75">
        <f>资产资本表!Z35+资产资本表!Z36-资产资本表!Z24</f>
        <v>752119277.22000003</v>
      </c>
      <c r="AA71" s="75">
        <f>资产资本表!AA35+资产资本表!AA36-资产资本表!AA24</f>
        <v>537107773.76999998</v>
      </c>
      <c r="AB71" s="75">
        <f>资产资本表!AB35+资产资本表!AB36-资产资本表!AB24</f>
        <v>617540784.33000004</v>
      </c>
      <c r="AC71" s="75">
        <f>资产资本表!AC35+资产资本表!AC36-资产资本表!AC24</f>
        <v>793257819.11000001</v>
      </c>
      <c r="AD71" s="75">
        <f>资产资本表!AD35+资产资本表!AD36-资产资本表!AD24</f>
        <v>727886600.96000004</v>
      </c>
      <c r="AE71" s="75">
        <f>资产资本表!AE35+资产资本表!AE36-资产资本表!AE24</f>
        <v>629601982.18000007</v>
      </c>
      <c r="AF71" s="75">
        <f>资产资本表!AF35+资产资本表!AF36-资产资本表!AF24</f>
        <v>544660910.26999998</v>
      </c>
      <c r="AG71" s="75">
        <f>资产资本表!AG35+资产资本表!AG36-资产资本表!AG24</f>
        <v>729432318.47000003</v>
      </c>
      <c r="AH71" s="75">
        <f>资产资本表!AH35+资产资本表!AH36-资产资本表!AH24</f>
        <v>518844197.88</v>
      </c>
      <c r="AI71" s="75">
        <f>资产资本表!AI35+资产资本表!AI36-资产资本表!AI24</f>
        <v>421188735.59000003</v>
      </c>
      <c r="AJ71" s="75">
        <f>资产资本表!AJ35+资产资本表!AJ36-资产资本表!AJ24</f>
        <v>497693778.09999996</v>
      </c>
      <c r="AK71" s="75">
        <f>资产资本表!AK35+资产资本表!AK36-资产资本表!AK24</f>
        <v>518187542.92000002</v>
      </c>
      <c r="AL71" s="75">
        <f>资产资本表!AL35+资产资本表!AL36-资产资本表!AL24</f>
        <v>449952805.88999999</v>
      </c>
      <c r="AM71" s="75">
        <f>资产资本表!AM35+资产资本表!AM36-资产资本表!AM24</f>
        <v>295541362.69</v>
      </c>
      <c r="AN71" s="75">
        <f>资产资本表!AN35+资产资本表!AN36-资产资本表!AN24</f>
        <v>383214140.58999997</v>
      </c>
      <c r="AO71" s="75">
        <f>资产资本表!AO35+资产资本表!AO36-资产资本表!AO24</f>
        <v>273313397.98000002</v>
      </c>
      <c r="AP71" s="75">
        <f>资产资本表!AP35+资产资本表!AP36-资产资本表!AP24</f>
        <v>403079354.94</v>
      </c>
      <c r="AQ71" s="75">
        <f>资产资本表!AQ35+资产资本表!AQ36-资产资本表!AQ24</f>
        <v>300356361.23000002</v>
      </c>
      <c r="AR71" s="75">
        <f>资产资本表!AR35+资产资本表!AR36-资产资本表!AR24</f>
        <v>361728428.78000003</v>
      </c>
      <c r="AS71" s="75">
        <f>资产资本表!AS35+资产资本表!AS36-资产资本表!AS24</f>
        <v>335819449.5</v>
      </c>
      <c r="AT71" s="75">
        <f>资产资本表!AT35+资产资本表!AT36-资产资本表!AT24</f>
        <v>247048817.90000001</v>
      </c>
      <c r="AU71" s="75">
        <f>资产资本表!AU35+资产资本表!AU36-资产资本表!AU24</f>
        <v>250819504.12999997</v>
      </c>
      <c r="AV71" s="75">
        <f>资产资本表!AV35+资产资本表!AV36-资产资本表!AV24</f>
        <v>259557516.12</v>
      </c>
      <c r="AW71" s="75">
        <f>资产资本表!AW35+资产资本表!AW36-资产资本表!AW24</f>
        <v>267496846.88</v>
      </c>
      <c r="AX71" s="75">
        <f>资产资本表!AX35+资产资本表!AX36-资产资本表!AX24</f>
        <v>190664705.50999999</v>
      </c>
      <c r="AY71" s="75">
        <f>资产资本表!AY35+资产资本表!AY36-资产资本表!AY24</f>
        <v>204842462.81999999</v>
      </c>
      <c r="AZ71" s="75">
        <f>资产资本表!AZ35+资产资本表!AZ36-资产资本表!AZ24</f>
        <v>212104577.56999999</v>
      </c>
      <c r="BA71" s="75">
        <f>资产资本表!BA35+资产资本表!BA36-资产资本表!BA24</f>
        <v>238682458.65000004</v>
      </c>
      <c r="BB71" s="75">
        <f>资产资本表!BB35+资产资本表!BB36-资产资本表!BB24</f>
        <v>173280184.25</v>
      </c>
      <c r="BC71" s="75">
        <f>资产资本表!BC35+资产资本表!BC36-资产资本表!BC24</f>
        <v>136300133.82999998</v>
      </c>
      <c r="BD71" s="75">
        <f>资产资本表!BD35+资产资本表!BD36-资产资本表!BD24</f>
        <v>146211970.31</v>
      </c>
      <c r="BE71" s="75">
        <f>资产资本表!BE35+资产资本表!BE36-资产资本表!BE24</f>
        <v>156196773.44</v>
      </c>
      <c r="BF71" s="75">
        <f>资产资本表!BF35+资产资本表!BF36-资产资本表!BF24</f>
        <v>142821030.97</v>
      </c>
      <c r="BG71" s="75">
        <f>资产资本表!BG35+资产资本表!BG36-资产资本表!BG24</f>
        <v>67284123.5</v>
      </c>
      <c r="BH71" s="75">
        <f>资产资本表!BH35+资产资本表!BH36-资产资本表!BH24</f>
        <v>64085669.869999997</v>
      </c>
      <c r="BI71" s="75">
        <f>资产资本表!BI35+资产资本表!BI36-资产资本表!BI24</f>
        <v>62304835.609999999</v>
      </c>
      <c r="BJ71" s="75">
        <f>资产资本表!BJ35+资产资本表!BJ36-资产资本表!BJ24</f>
        <v>59127792.160000004</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481</v>
      </c>
      <c r="E72" s="153">
        <f>E67/(E71+I71)*2</f>
        <v>5.1446564230216483</v>
      </c>
      <c r="F72" s="153">
        <f t="shared" ref="F72:BQ72" si="36">F67/(F71+J71)*2</f>
        <v>4.1841489341206897</v>
      </c>
      <c r="G72" s="153">
        <f t="shared" si="36"/>
        <v>3.0425934277993369</v>
      </c>
      <c r="H72" s="153">
        <f t="shared" si="36"/>
        <v>1.8155152119914728</v>
      </c>
      <c r="I72" s="153">
        <f t="shared" si="36"/>
        <v>4.8317550127273954</v>
      </c>
      <c r="J72" s="153">
        <f t="shared" si="36"/>
        <v>3.9864493002167523</v>
      </c>
      <c r="K72" s="153">
        <f t="shared" si="36"/>
        <v>2.9191055658265777</v>
      </c>
      <c r="L72" s="153">
        <f t="shared" si="36"/>
        <v>1.8579226825838737</v>
      </c>
      <c r="M72" s="153">
        <f t="shared" si="36"/>
        <v>5.2484909880353321</v>
      </c>
      <c r="N72" s="153">
        <f t="shared" si="36"/>
        <v>4.2511986048407682</v>
      </c>
      <c r="O72" s="153">
        <f t="shared" si="36"/>
        <v>3.3546972654254996</v>
      </c>
      <c r="P72" s="153">
        <f t="shared" si="36"/>
        <v>2.1195762351928047</v>
      </c>
      <c r="Q72" s="153">
        <f t="shared" si="36"/>
        <v>5.4556165591889787</v>
      </c>
      <c r="R72" s="153">
        <f t="shared" si="36"/>
        <v>4.6109371394401037</v>
      </c>
      <c r="S72" s="153">
        <f t="shared" si="36"/>
        <v>3.6944828105791814</v>
      </c>
      <c r="T72" s="153">
        <f t="shared" si="36"/>
        <v>2.2481498506494368</v>
      </c>
      <c r="U72" s="153">
        <f t="shared" si="36"/>
        <v>6.1274426635764669</v>
      </c>
      <c r="V72" s="153">
        <f t="shared" si="36"/>
        <v>5.2830349518351776</v>
      </c>
      <c r="W72" s="153">
        <f t="shared" si="36"/>
        <v>4.5142881867935039</v>
      </c>
      <c r="X72" s="153">
        <f t="shared" si="36"/>
        <v>2.3732973005871574</v>
      </c>
      <c r="Y72" s="153">
        <f t="shared" si="36"/>
        <v>5.7795119740776073</v>
      </c>
      <c r="Z72" s="153">
        <f t="shared" si="36"/>
        <v>4.9157843305370701</v>
      </c>
      <c r="AA72" s="153">
        <f t="shared" si="36"/>
        <v>4.0682098292348652</v>
      </c>
      <c r="AB72" s="153">
        <f t="shared" si="36"/>
        <v>2.3134241922658441</v>
      </c>
      <c r="AC72" s="153">
        <f t="shared" si="36"/>
        <v>6.8005791834032641</v>
      </c>
      <c r="AD72" s="153">
        <f t="shared" si="36"/>
        <v>6.193211431821628</v>
      </c>
      <c r="AE72" s="153">
        <f t="shared" si="36"/>
        <v>4.7519962874405204</v>
      </c>
      <c r="AF72" s="153">
        <f t="shared" si="36"/>
        <v>2.6062063092632286</v>
      </c>
      <c r="AG72" s="153">
        <f t="shared" si="36"/>
        <v>6.4928371515142089</v>
      </c>
      <c r="AH72" s="153">
        <f t="shared" si="36"/>
        <v>6.1116211469886759</v>
      </c>
      <c r="AI72" s="153">
        <f t="shared" si="36"/>
        <v>5.2331140759973058</v>
      </c>
      <c r="AJ72" s="153">
        <f t="shared" si="36"/>
        <v>2.2555264423490935</v>
      </c>
      <c r="AK72" s="153">
        <f t="shared" si="36"/>
        <v>7.1736550034718967</v>
      </c>
      <c r="AL72" s="153">
        <f t="shared" si="36"/>
        <v>4.6136065643418496</v>
      </c>
      <c r="AM72" s="153">
        <f t="shared" si="36"/>
        <v>4.0520820639418424</v>
      </c>
      <c r="AN72" s="153">
        <f t="shared" si="36"/>
        <v>1.7235506022240572</v>
      </c>
      <c r="AO72" s="153">
        <f t="shared" si="36"/>
        <v>8.6042123390695728</v>
      </c>
      <c r="AP72" s="153">
        <f t="shared" si="36"/>
        <v>6.1490507989166128</v>
      </c>
      <c r="AQ72" s="153">
        <f t="shared" si="36"/>
        <v>4.6387829786597026</v>
      </c>
      <c r="AR72" s="153">
        <f t="shared" si="36"/>
        <v>2.1228095548697481</v>
      </c>
      <c r="AS72" s="153">
        <f t="shared" si="36"/>
        <v>7.1232126860256058</v>
      </c>
      <c r="AT72" s="153">
        <f t="shared" si="36"/>
        <v>6.8481318566716212</v>
      </c>
      <c r="AU72" s="153">
        <f t="shared" si="36"/>
        <v>4.2714193334761497</v>
      </c>
      <c r="AV72" s="153">
        <f t="shared" si="36"/>
        <v>2.0486566405632836</v>
      </c>
      <c r="AW72" s="153">
        <f t="shared" si="36"/>
        <v>5.9957317734320679</v>
      </c>
      <c r="AX72" s="153">
        <f t="shared" si="36"/>
        <v>5.5265854699770083</v>
      </c>
      <c r="AY72" s="153">
        <f t="shared" si="36"/>
        <v>4.0222312513138929</v>
      </c>
      <c r="AZ72" s="153">
        <f t="shared" si="36"/>
        <v>2.0041141978195594</v>
      </c>
      <c r="BA72" s="153">
        <f t="shared" si="36"/>
        <v>5.592329927892207</v>
      </c>
      <c r="BB72" s="153">
        <f t="shared" si="36"/>
        <v>4.1589042412413413</v>
      </c>
      <c r="BC72" s="153">
        <f t="shared" si="36"/>
        <v>4.0520350316813962</v>
      </c>
      <c r="BD72" s="153">
        <f t="shared" si="36"/>
        <v>2.1025609207099945</v>
      </c>
      <c r="BE72" s="153">
        <f t="shared" si="36"/>
        <v>6.6499609693377675</v>
      </c>
      <c r="BF72" s="153">
        <f t="shared" si="36"/>
        <v>4.9355770885496817</v>
      </c>
      <c r="BG72" s="153">
        <f t="shared" si="36"/>
        <v>8.8551206312437127</v>
      </c>
      <c r="BH72" s="153">
        <f t="shared" si="36"/>
        <v>4.6792114959287705</v>
      </c>
      <c r="BI72" s="153">
        <f t="shared" si="36"/>
        <v>19.152863945097568</v>
      </c>
      <c r="BJ72" s="153">
        <f t="shared" si="36"/>
        <v>13.749696901248205</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482</v>
      </c>
      <c r="E73" s="82">
        <f>E62/E72</f>
        <v>70.947400562392062</v>
      </c>
      <c r="F73" s="82">
        <f t="shared" ref="F73:BQ73" si="38">F62/F72</f>
        <v>87.233988499672222</v>
      </c>
      <c r="G73" s="82">
        <f t="shared" si="38"/>
        <v>119.96344850583574</v>
      </c>
      <c r="H73" s="82">
        <f t="shared" si="38"/>
        <v>201.04485910620636</v>
      </c>
      <c r="I73" s="82">
        <f t="shared" si="38"/>
        <v>75.541909521188103</v>
      </c>
      <c r="J73" s="82">
        <f t="shared" si="38"/>
        <v>91.56017611465775</v>
      </c>
      <c r="K73" s="82">
        <f t="shared" si="38"/>
        <v>125.03830086619226</v>
      </c>
      <c r="L73" s="82">
        <f t="shared" si="38"/>
        <v>196.45596849723725</v>
      </c>
      <c r="M73" s="82">
        <f t="shared" si="38"/>
        <v>69.543798556969705</v>
      </c>
      <c r="N73" s="82">
        <f t="shared" si="38"/>
        <v>85.858138828042669</v>
      </c>
      <c r="O73" s="82">
        <f t="shared" si="38"/>
        <v>108.80266418129521</v>
      </c>
      <c r="P73" s="82">
        <f t="shared" si="38"/>
        <v>172.20423306302933</v>
      </c>
      <c r="Q73" s="82">
        <f t="shared" si="38"/>
        <v>66.903528875251482</v>
      </c>
      <c r="R73" s="82">
        <f t="shared" si="38"/>
        <v>79.159613102927963</v>
      </c>
      <c r="S73" s="82">
        <f t="shared" si="38"/>
        <v>98.795966503029746</v>
      </c>
      <c r="T73" s="82">
        <f t="shared" si="38"/>
        <v>162.35572548447348</v>
      </c>
      <c r="U73" s="82">
        <f t="shared" si="38"/>
        <v>59.568080852013509</v>
      </c>
      <c r="V73" s="82">
        <f t="shared" si="38"/>
        <v>69.089075375738204</v>
      </c>
      <c r="W73" s="82">
        <f t="shared" si="38"/>
        <v>80.854386095199487</v>
      </c>
      <c r="X73" s="82">
        <f t="shared" si="38"/>
        <v>153.79446979091009</v>
      </c>
      <c r="Y73" s="82">
        <f t="shared" si="38"/>
        <v>63.154121254027316</v>
      </c>
      <c r="Z73" s="82">
        <f t="shared" si="38"/>
        <v>74.250613016645957</v>
      </c>
      <c r="AA73" s="82">
        <f t="shared" si="38"/>
        <v>89.720052632744341</v>
      </c>
      <c r="AB73" s="82">
        <f t="shared" si="38"/>
        <v>157.77478303384859</v>
      </c>
      <c r="AC73" s="82">
        <f t="shared" si="38"/>
        <v>53.671899136293909</v>
      </c>
      <c r="AD73" s="82">
        <f t="shared" si="38"/>
        <v>58.935498007475815</v>
      </c>
      <c r="AE73" s="82">
        <f t="shared" si="38"/>
        <v>76.80982431840097</v>
      </c>
      <c r="AF73" s="82">
        <f t="shared" si="38"/>
        <v>140.0503094105336</v>
      </c>
      <c r="AG73" s="82">
        <f t="shared" si="38"/>
        <v>56.215794649166206</v>
      </c>
      <c r="AH73" s="82">
        <f t="shared" si="38"/>
        <v>59.722288280228753</v>
      </c>
      <c r="AI73" s="82">
        <f t="shared" si="38"/>
        <v>69.748145119584422</v>
      </c>
      <c r="AJ73" s="82">
        <f t="shared" si="38"/>
        <v>161.82474882442901</v>
      </c>
      <c r="AK73" s="82">
        <f t="shared" si="38"/>
        <v>50.880618014575241</v>
      </c>
      <c r="AL73" s="82">
        <f t="shared" si="38"/>
        <v>79.113811485585316</v>
      </c>
      <c r="AM73" s="82">
        <f t="shared" si="38"/>
        <v>90.077149040987109</v>
      </c>
      <c r="AN73" s="82">
        <f t="shared" si="38"/>
        <v>211.77214032997153</v>
      </c>
      <c r="AO73" s="82">
        <f t="shared" si="38"/>
        <v>42.421082327620674</v>
      </c>
      <c r="AP73" s="82">
        <f t="shared" si="38"/>
        <v>59.358755023508429</v>
      </c>
      <c r="AQ73" s="82">
        <f t="shared" si="38"/>
        <v>78.684431170664624</v>
      </c>
      <c r="AR73" s="82">
        <f t="shared" si="38"/>
        <v>171.94194324341817</v>
      </c>
      <c r="AS73" s="82">
        <f t="shared" si="38"/>
        <v>51.2409240167798</v>
      </c>
      <c r="AT73" s="82">
        <f t="shared" si="38"/>
        <v>53.299207380828669</v>
      </c>
      <c r="AU73" s="82">
        <f t="shared" si="38"/>
        <v>85.451689825769719</v>
      </c>
      <c r="AV73" s="82">
        <f t="shared" si="38"/>
        <v>178.16553187733905</v>
      </c>
      <c r="AW73" s="82">
        <f t="shared" si="38"/>
        <v>60.87663921481051</v>
      </c>
      <c r="AX73" s="82">
        <f t="shared" si="38"/>
        <v>66.044396125392495</v>
      </c>
      <c r="AY73" s="82">
        <f t="shared" si="38"/>
        <v>90.745652647587065</v>
      </c>
      <c r="AZ73" s="82">
        <f t="shared" si="38"/>
        <v>182.12535014078216</v>
      </c>
      <c r="BA73" s="82">
        <f t="shared" si="38"/>
        <v>65.267966072518789</v>
      </c>
      <c r="BB73" s="82">
        <f t="shared" si="38"/>
        <v>87.763501833130817</v>
      </c>
      <c r="BC73" s="82">
        <f t="shared" si="38"/>
        <v>90.078194572899051</v>
      </c>
      <c r="BD73" s="82">
        <f t="shared" si="38"/>
        <v>173.59782368481694</v>
      </c>
      <c r="BE73" s="82">
        <f t="shared" si="38"/>
        <v>54.887540195043925</v>
      </c>
      <c r="BF73" s="82">
        <f t="shared" si="38"/>
        <v>73.952851602051496</v>
      </c>
      <c r="BG73" s="82">
        <f t="shared" si="38"/>
        <v>41.219088389622002</v>
      </c>
      <c r="BH73" s="82">
        <f t="shared" si="38"/>
        <v>78.004595500240711</v>
      </c>
      <c r="BI73" s="82">
        <f t="shared" si="38"/>
        <v>19.057202152445019</v>
      </c>
      <c r="BJ73" s="82">
        <f t="shared" si="38"/>
        <v>26.546039714291091</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483</v>
      </c>
      <c r="E74" s="254">
        <f>E66+E70</f>
        <v>97.806378811636336</v>
      </c>
      <c r="F74" s="254">
        <f t="shared" ref="F74:BQ74" si="40">F66+F70</f>
        <v>126.75988212899946</v>
      </c>
      <c r="G74" s="254">
        <f t="shared" si="40"/>
        <v>179.65654487966844</v>
      </c>
      <c r="H74" s="254">
        <f t="shared" si="40"/>
        <v>290.96336652330666</v>
      </c>
      <c r="I74" s="254">
        <f t="shared" si="40"/>
        <v>107.22246963743419</v>
      </c>
      <c r="J74" s="254">
        <f t="shared" si="40"/>
        <v>148.91225276459454</v>
      </c>
      <c r="K74" s="254">
        <f t="shared" si="40"/>
        <v>218.64512973203614</v>
      </c>
      <c r="L74" s="254">
        <f t="shared" si="40"/>
        <v>364.62249379355603</v>
      </c>
      <c r="M74" s="254">
        <f t="shared" si="40"/>
        <v>111.25452408384159</v>
      </c>
      <c r="N74" s="254">
        <f t="shared" si="40"/>
        <v>146.91303218477674</v>
      </c>
      <c r="O74" s="254">
        <f t="shared" si="40"/>
        <v>209.34771107221854</v>
      </c>
      <c r="P74" s="254">
        <f t="shared" si="40"/>
        <v>352.4934385250952</v>
      </c>
      <c r="Q74" s="254">
        <f t="shared" si="40"/>
        <v>118.93295584854138</v>
      </c>
      <c r="R74" s="254">
        <f t="shared" si="40"/>
        <v>142.06769147019764</v>
      </c>
      <c r="S74" s="254">
        <f t="shared" si="40"/>
        <v>202.54496970567607</v>
      </c>
      <c r="T74" s="254">
        <f t="shared" si="40"/>
        <v>340.31696550105676</v>
      </c>
      <c r="U74" s="254">
        <f t="shared" si="40"/>
        <v>117.41423994920842</v>
      </c>
      <c r="V74" s="254">
        <f t="shared" si="40"/>
        <v>137.82090340721589</v>
      </c>
      <c r="W74" s="254">
        <f t="shared" si="40"/>
        <v>200.04658501357289</v>
      </c>
      <c r="X74" s="254">
        <f t="shared" si="40"/>
        <v>378.18788570577175</v>
      </c>
      <c r="Y74" s="254">
        <f t="shared" si="40"/>
        <v>138.69142055355184</v>
      </c>
      <c r="Z74" s="254">
        <f t="shared" si="40"/>
        <v>171.36892433992847</v>
      </c>
      <c r="AA74" s="254">
        <f t="shared" si="40"/>
        <v>247.44618057788989</v>
      </c>
      <c r="AB74" s="254">
        <f t="shared" si="40"/>
        <v>437.048822734152</v>
      </c>
      <c r="AC74" s="254">
        <f t="shared" si="40"/>
        <v>123.27632158167503</v>
      </c>
      <c r="AD74" s="254">
        <f t="shared" si="40"/>
        <v>149.52436943847152</v>
      </c>
      <c r="AE74" s="254">
        <f t="shared" si="40"/>
        <v>210.31033536881426</v>
      </c>
      <c r="AF74" s="254">
        <f t="shared" si="40"/>
        <v>353.83886302927715</v>
      </c>
      <c r="AG74" s="254">
        <f t="shared" si="40"/>
        <v>116.43806209416294</v>
      </c>
      <c r="AH74" s="254">
        <f t="shared" si="40"/>
        <v>135.05527697233612</v>
      </c>
      <c r="AI74" s="254">
        <f t="shared" si="40"/>
        <v>187.74207915544167</v>
      </c>
      <c r="AJ74" s="254">
        <f t="shared" si="40"/>
        <v>350.97346468246553</v>
      </c>
      <c r="AK74" s="254">
        <f t="shared" si="40"/>
        <v>109.96837076737596</v>
      </c>
      <c r="AL74" s="254">
        <f t="shared" si="40"/>
        <v>155.65528702726627</v>
      </c>
      <c r="AM74" s="254">
        <f t="shared" si="40"/>
        <v>221.36161431298666</v>
      </c>
      <c r="AN74" s="254">
        <f t="shared" si="40"/>
        <v>412.72278955747151</v>
      </c>
      <c r="AO74" s="254">
        <f t="shared" si="40"/>
        <v>94.071011292266377</v>
      </c>
      <c r="AP74" s="254">
        <f t="shared" si="40"/>
        <v>138.95294708525236</v>
      </c>
      <c r="AQ74" s="254">
        <f t="shared" si="40"/>
        <v>196.30708086783409</v>
      </c>
      <c r="AR74" s="254">
        <f t="shared" si="40"/>
        <v>362.93016875640296</v>
      </c>
      <c r="AS74" s="254">
        <f t="shared" si="40"/>
        <v>91.901395864359415</v>
      </c>
      <c r="AT74" s="254">
        <f t="shared" si="40"/>
        <v>144.35717235600876</v>
      </c>
      <c r="AU74" s="254">
        <f t="shared" si="40"/>
        <v>203.816809183261</v>
      </c>
      <c r="AV74" s="254">
        <f t="shared" si="40"/>
        <v>409.27180118187499</v>
      </c>
      <c r="AW74" s="254">
        <f t="shared" si="40"/>
        <v>105.62571029965929</v>
      </c>
      <c r="AX74" s="254">
        <f t="shared" si="40"/>
        <v>177.87440075817602</v>
      </c>
      <c r="AY74" s="254">
        <f t="shared" si="40"/>
        <v>246.71776243820173</v>
      </c>
      <c r="AZ74" s="254">
        <f t="shared" si="40"/>
        <v>467.08873495563432</v>
      </c>
      <c r="BA74" s="254">
        <f t="shared" si="40"/>
        <v>122.69557409392682</v>
      </c>
      <c r="BB74" s="254">
        <f t="shared" si="40"/>
        <v>219.37607762548768</v>
      </c>
      <c r="BC74" s="254">
        <f t="shared" si="40"/>
        <v>318.08516903857452</v>
      </c>
      <c r="BD74" s="254">
        <f t="shared" si="40"/>
        <v>531.5192559406081</v>
      </c>
      <c r="BE74" s="254">
        <f t="shared" si="40"/>
        <v>125.81768554860744</v>
      </c>
      <c r="BF74" s="254">
        <f t="shared" si="40"/>
        <v>162.99288465138559</v>
      </c>
      <c r="BG74" s="254">
        <f t="shared" si="40"/>
        <v>181.35799098332603</v>
      </c>
      <c r="BH74" s="254">
        <f t="shared" si="40"/>
        <v>288.65536877755449</v>
      </c>
      <c r="BI74" s="254">
        <f t="shared" si="40"/>
        <v>57.228014591296223</v>
      </c>
      <c r="BJ74" s="254">
        <f t="shared" si="40"/>
        <v>55.035517039742963</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484</v>
      </c>
      <c r="E75" s="254">
        <f>E74-E73</f>
        <v>26.858978249244274</v>
      </c>
      <c r="F75" s="254">
        <f t="shared" ref="F75:BQ75" si="42">F74-F73</f>
        <v>39.525893629327243</v>
      </c>
      <c r="G75" s="254">
        <f t="shared" si="42"/>
        <v>59.693096373832702</v>
      </c>
      <c r="H75" s="254">
        <f t="shared" si="42"/>
        <v>89.918507417100301</v>
      </c>
      <c r="I75" s="254">
        <f t="shared" si="42"/>
        <v>31.680560116246085</v>
      </c>
      <c r="J75" s="254">
        <f t="shared" si="42"/>
        <v>57.352076649936791</v>
      </c>
      <c r="K75" s="254">
        <f t="shared" si="42"/>
        <v>93.60682886584388</v>
      </c>
      <c r="L75" s="254">
        <f t="shared" si="42"/>
        <v>168.16652529631878</v>
      </c>
      <c r="M75" s="254">
        <f t="shared" si="42"/>
        <v>41.710725526871883</v>
      </c>
      <c r="N75" s="254">
        <f t="shared" si="42"/>
        <v>61.05489335673407</v>
      </c>
      <c r="O75" s="254">
        <f t="shared" si="42"/>
        <v>100.54504689092333</v>
      </c>
      <c r="P75" s="254">
        <f t="shared" si="42"/>
        <v>180.28920546206587</v>
      </c>
      <c r="Q75" s="254">
        <f t="shared" si="42"/>
        <v>52.029426973289901</v>
      </c>
      <c r="R75" s="254">
        <f t="shared" si="42"/>
        <v>62.908078367269681</v>
      </c>
      <c r="S75" s="254">
        <f t="shared" si="42"/>
        <v>103.74900320264632</v>
      </c>
      <c r="T75" s="254">
        <f t="shared" si="42"/>
        <v>177.96124001658328</v>
      </c>
      <c r="U75" s="254">
        <f t="shared" si="42"/>
        <v>57.846159097194914</v>
      </c>
      <c r="V75" s="254">
        <f t="shared" si="42"/>
        <v>68.73182803147769</v>
      </c>
      <c r="W75" s="254">
        <f t="shared" si="42"/>
        <v>119.19219891837341</v>
      </c>
      <c r="X75" s="254">
        <f t="shared" si="42"/>
        <v>224.39341591486166</v>
      </c>
      <c r="Y75" s="254">
        <f t="shared" si="42"/>
        <v>75.53729929952452</v>
      </c>
      <c r="Z75" s="254">
        <f t="shared" si="42"/>
        <v>97.118311323282512</v>
      </c>
      <c r="AA75" s="254">
        <f t="shared" si="42"/>
        <v>157.72612794514555</v>
      </c>
      <c r="AB75" s="254">
        <f t="shared" si="42"/>
        <v>279.27403970030343</v>
      </c>
      <c r="AC75" s="254">
        <f t="shared" si="42"/>
        <v>69.604422445381118</v>
      </c>
      <c r="AD75" s="254">
        <f t="shared" si="42"/>
        <v>90.588871430995709</v>
      </c>
      <c r="AE75" s="254">
        <f t="shared" si="42"/>
        <v>133.50051105041331</v>
      </c>
      <c r="AF75" s="254">
        <f t="shared" si="42"/>
        <v>213.78855361874355</v>
      </c>
      <c r="AG75" s="254">
        <f t="shared" si="42"/>
        <v>60.222267444996739</v>
      </c>
      <c r="AH75" s="254">
        <f t="shared" si="42"/>
        <v>75.332988692107364</v>
      </c>
      <c r="AI75" s="254">
        <f t="shared" si="42"/>
        <v>117.99393403585725</v>
      </c>
      <c r="AJ75" s="254">
        <f t="shared" si="42"/>
        <v>189.14871585803652</v>
      </c>
      <c r="AK75" s="254">
        <f t="shared" si="42"/>
        <v>59.087752752800718</v>
      </c>
      <c r="AL75" s="254">
        <f t="shared" si="42"/>
        <v>76.541475541680953</v>
      </c>
      <c r="AM75" s="254">
        <f t="shared" si="42"/>
        <v>131.28446527199955</v>
      </c>
      <c r="AN75" s="254">
        <f t="shared" si="42"/>
        <v>200.95064922749998</v>
      </c>
      <c r="AO75" s="254">
        <f t="shared" si="42"/>
        <v>51.649928964645703</v>
      </c>
      <c r="AP75" s="254">
        <f t="shared" si="42"/>
        <v>79.594192061743939</v>
      </c>
      <c r="AQ75" s="254">
        <f t="shared" si="42"/>
        <v>117.62264969716946</v>
      </c>
      <c r="AR75" s="254">
        <f t="shared" si="42"/>
        <v>190.9882255129848</v>
      </c>
      <c r="AS75" s="254">
        <f t="shared" si="42"/>
        <v>40.660471847579615</v>
      </c>
      <c r="AT75" s="254">
        <f t="shared" si="42"/>
        <v>91.057964975180084</v>
      </c>
      <c r="AU75" s="254">
        <f t="shared" si="42"/>
        <v>118.36511935749128</v>
      </c>
      <c r="AV75" s="254">
        <f t="shared" si="42"/>
        <v>231.10626930453594</v>
      </c>
      <c r="AW75" s="254">
        <f t="shared" si="42"/>
        <v>44.749071084848779</v>
      </c>
      <c r="AX75" s="254">
        <f t="shared" si="42"/>
        <v>111.83000463278353</v>
      </c>
      <c r="AY75" s="254">
        <f t="shared" si="42"/>
        <v>155.97210979061467</v>
      </c>
      <c r="AZ75" s="254">
        <f t="shared" si="42"/>
        <v>284.96338481485213</v>
      </c>
      <c r="BA75" s="254">
        <f t="shared" si="42"/>
        <v>57.427608021408034</v>
      </c>
      <c r="BB75" s="254">
        <f t="shared" si="42"/>
        <v>131.61257579235686</v>
      </c>
      <c r="BC75" s="254">
        <f t="shared" si="42"/>
        <v>228.00697446567546</v>
      </c>
      <c r="BD75" s="254">
        <f t="shared" si="42"/>
        <v>357.92143225579116</v>
      </c>
      <c r="BE75" s="254">
        <f t="shared" si="42"/>
        <v>70.930145353563518</v>
      </c>
      <c r="BF75" s="254">
        <f t="shared" si="42"/>
        <v>89.040033049334099</v>
      </c>
      <c r="BG75" s="254">
        <f t="shared" si="42"/>
        <v>140.13890259370402</v>
      </c>
      <c r="BH75" s="254">
        <f t="shared" si="42"/>
        <v>210.65077327731376</v>
      </c>
      <c r="BI75" s="254">
        <f t="shared" si="42"/>
        <v>38.1708124388512</v>
      </c>
      <c r="BJ75" s="254">
        <f t="shared" si="42"/>
        <v>28.489477325451873</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485</v>
      </c>
      <c r="E76" s="119">
        <f>E71-E64-E68</f>
        <v>-1072816544.6399996</v>
      </c>
      <c r="F76" s="119">
        <f t="shared" ref="F76:BQ76" si="44">F71-F64-F68</f>
        <v>-1164423996.1800005</v>
      </c>
      <c r="G76" s="119">
        <f t="shared" si="44"/>
        <v>-1060369586.8899999</v>
      </c>
      <c r="H76" s="119">
        <f t="shared" si="44"/>
        <v>-985918217.11999989</v>
      </c>
      <c r="I76" s="119">
        <f t="shared" si="44"/>
        <v>-1016169065.1900001</v>
      </c>
      <c r="J76" s="119">
        <f t="shared" si="44"/>
        <v>-1570094474.4200001</v>
      </c>
      <c r="K76" s="119">
        <f t="shared" si="44"/>
        <v>-1554218288.6999998</v>
      </c>
      <c r="L76" s="119">
        <f t="shared" si="44"/>
        <v>-1389999647.9199996</v>
      </c>
      <c r="M76" s="119">
        <f t="shared" si="44"/>
        <v>-1194821819.9200001</v>
      </c>
      <c r="N76" s="119">
        <f t="shared" si="44"/>
        <v>-1688082147.0700002</v>
      </c>
      <c r="O76" s="119">
        <f t="shared" si="44"/>
        <v>-1652931303.1999998</v>
      </c>
      <c r="P76" s="119">
        <f t="shared" si="44"/>
        <v>-1617464406.5699999</v>
      </c>
      <c r="Q76" s="119">
        <f t="shared" si="44"/>
        <v>-1281358880.1800001</v>
      </c>
      <c r="R76" s="119">
        <f t="shared" si="44"/>
        <v>-1398554496.7199998</v>
      </c>
      <c r="S76" s="119">
        <f t="shared" si="44"/>
        <v>-1408515143.73</v>
      </c>
      <c r="T76" s="119">
        <f t="shared" si="44"/>
        <v>-1355914994.0800002</v>
      </c>
      <c r="U76" s="119">
        <f t="shared" si="44"/>
        <v>-1267890575.5199997</v>
      </c>
      <c r="V76" s="119">
        <f t="shared" si="44"/>
        <v>-1215830743.9200001</v>
      </c>
      <c r="W76" s="119">
        <f t="shared" si="44"/>
        <v>-1213419191.2099998</v>
      </c>
      <c r="X76" s="119">
        <f t="shared" si="44"/>
        <v>-1159586556.8599999</v>
      </c>
      <c r="Y76" s="119">
        <f t="shared" si="44"/>
        <v>-1212195946.9699998</v>
      </c>
      <c r="Z76" s="119">
        <f t="shared" si="44"/>
        <v>-1208491780.6300001</v>
      </c>
      <c r="AA76" s="119">
        <f t="shared" si="44"/>
        <v>-1372513105.9400001</v>
      </c>
      <c r="AB76" s="119">
        <f t="shared" si="44"/>
        <v>-1554748748.1399999</v>
      </c>
      <c r="AC76" s="119">
        <f t="shared" si="44"/>
        <v>-1469510583.3899999</v>
      </c>
      <c r="AD76" s="119">
        <f t="shared" si="44"/>
        <v>-1436796074.77</v>
      </c>
      <c r="AE76" s="119">
        <f t="shared" si="44"/>
        <v>-1289970102.4599998</v>
      </c>
      <c r="AF76" s="119">
        <f t="shared" si="44"/>
        <v>-1187568142.95</v>
      </c>
      <c r="AG76" s="119">
        <f t="shared" si="44"/>
        <v>-1032386270.8999999</v>
      </c>
      <c r="AH76" s="119">
        <f t="shared" si="44"/>
        <v>-1032787830.2300001</v>
      </c>
      <c r="AI76" s="119">
        <f t="shared" si="44"/>
        <v>-992725407.94999993</v>
      </c>
      <c r="AJ76" s="119">
        <f t="shared" si="44"/>
        <v>-861583494.94000006</v>
      </c>
      <c r="AK76" s="119">
        <f t="shared" si="44"/>
        <v>-656935419.23000002</v>
      </c>
      <c r="AL76" s="119">
        <f t="shared" si="44"/>
        <v>-570851165.25999999</v>
      </c>
      <c r="AM76" s="119">
        <f t="shared" si="44"/>
        <v>-550796955.99000001</v>
      </c>
      <c r="AN76" s="119">
        <f t="shared" si="44"/>
        <v>-545731989.75</v>
      </c>
      <c r="AO76" s="119">
        <f t="shared" si="44"/>
        <v>-577128614.30999994</v>
      </c>
      <c r="AP76" s="119">
        <f t="shared" si="44"/>
        <v>-609513680.28999996</v>
      </c>
      <c r="AQ76" s="119">
        <f t="shared" si="44"/>
        <v>-629793425.96000004</v>
      </c>
      <c r="AR76" s="119">
        <f t="shared" si="44"/>
        <v>-519964260.26999998</v>
      </c>
      <c r="AS76" s="119">
        <f t="shared" si="44"/>
        <v>-365547748.63</v>
      </c>
      <c r="AT76" s="119">
        <f t="shared" si="44"/>
        <v>-514762957.62</v>
      </c>
      <c r="AU76" s="119">
        <f t="shared" si="44"/>
        <v>-407883065.70000005</v>
      </c>
      <c r="AV76" s="119">
        <f t="shared" si="44"/>
        <v>-406001009.85000002</v>
      </c>
      <c r="AW76" s="119">
        <f t="shared" si="44"/>
        <v>-217395086.34999999</v>
      </c>
      <c r="AX76" s="119">
        <f t="shared" si="44"/>
        <v>-405420601.00999999</v>
      </c>
      <c r="AY76" s="119">
        <f t="shared" si="44"/>
        <v>-380839873.25999999</v>
      </c>
      <c r="AZ76" s="119">
        <f t="shared" si="44"/>
        <v>-370420228</v>
      </c>
      <c r="BA76" s="119">
        <f t="shared" si="44"/>
        <v>-223753514.73999995</v>
      </c>
      <c r="BB76" s="119">
        <f t="shared" si="44"/>
        <v>-358112888.54000002</v>
      </c>
      <c r="BC76" s="119">
        <f t="shared" si="44"/>
        <v>-335717297.07000005</v>
      </c>
      <c r="BD76" s="119">
        <f t="shared" si="44"/>
        <v>-309078390.49000001</v>
      </c>
      <c r="BE76" s="119">
        <f t="shared" si="44"/>
        <v>-183088934.84</v>
      </c>
      <c r="BF76" s="119">
        <f t="shared" si="44"/>
        <v>-224007828.49999997</v>
      </c>
      <c r="BG76" s="119">
        <f t="shared" si="44"/>
        <v>-262140164.84000003</v>
      </c>
      <c r="BH76" s="119">
        <f t="shared" si="44"/>
        <v>-202213847.56</v>
      </c>
      <c r="BI76" s="119">
        <f t="shared" si="44"/>
        <v>-148230713.73000002</v>
      </c>
      <c r="BJ76" s="119">
        <f t="shared" si="44"/>
        <v>-77570741.340000004</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5" t="s">
        <v>691</v>
      </c>
      <c r="B77" s="274"/>
      <c r="C77" s="274"/>
      <c r="D77" s="274"/>
      <c r="E77" s="274"/>
      <c r="F77" s="274"/>
      <c r="G77" s="274"/>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37621</v>
      </c>
      <c r="BM80" s="1">
        <v>37256</v>
      </c>
      <c r="BN80" s="1">
        <v>25569</v>
      </c>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580</v>
      </c>
      <c r="E81" s="75">
        <f>股权价值增加表!E4</f>
        <v>14187347425.77</v>
      </c>
      <c r="F81" s="75">
        <f>股权价值增加表!F4</f>
        <v>10496638285.280001</v>
      </c>
      <c r="G81" s="75">
        <f>股权价值增加表!G4</f>
        <v>6909466633.0699997</v>
      </c>
      <c r="H81" s="75">
        <f>股权价值增加表!H4</f>
        <v>3946557740.5500002</v>
      </c>
      <c r="I81" s="75">
        <f>股权价值增加表!I4</f>
        <v>11947123201.120001</v>
      </c>
      <c r="J81" s="75">
        <f>股权价值增加表!J4</f>
        <v>8831589881.3400002</v>
      </c>
      <c r="K81" s="75">
        <f>股权价值增加表!K4</f>
        <v>5751920817.7799997</v>
      </c>
      <c r="L81" s="75">
        <f>股权价值增加表!L4</f>
        <v>3133161846.48</v>
      </c>
      <c r="M81" s="75">
        <f>股权价值增加表!M4</f>
        <v>10909686625.9</v>
      </c>
      <c r="N81" s="75">
        <f>股权价值增加表!N4</f>
        <v>8278621743.6099997</v>
      </c>
      <c r="O81" s="75">
        <f>股权价值增加表!O4</f>
        <v>5379574852.0900002</v>
      </c>
      <c r="P81" s="75">
        <f>股权价值增加表!P4</f>
        <v>3006733799.9699998</v>
      </c>
      <c r="Q81" s="75">
        <f>股权价值增加表!Q4</f>
        <v>9534643945.8400002</v>
      </c>
      <c r="R81" s="75">
        <f>股权价值增加表!R4</f>
        <v>7165393933.3800001</v>
      </c>
      <c r="S81" s="75">
        <f>股权价值增加表!S4</f>
        <v>4642903746.8100004</v>
      </c>
      <c r="T81" s="75">
        <f>股权价值增加表!T4</f>
        <v>2597184476.3400002</v>
      </c>
      <c r="U81" s="75">
        <f>股权价值增加表!U4</f>
        <v>8383249626.6099997</v>
      </c>
      <c r="V81" s="75">
        <f>股权价值增加表!V4</f>
        <v>6309123886.5600004</v>
      </c>
      <c r="W81" s="75">
        <f>股权价值增加表!W4</f>
        <v>4137281725.73</v>
      </c>
      <c r="X81" s="75">
        <f>股权价值增加表!X4</f>
        <v>2271122489.46</v>
      </c>
      <c r="Y81" s="75">
        <f>股权价值增加表!Y4</f>
        <v>6889460447.5</v>
      </c>
      <c r="Z81" s="75">
        <f>股权价值增加表!Z4</f>
        <v>5094265010.2200003</v>
      </c>
      <c r="AA81" s="75">
        <f>股权价值增加表!AA4</f>
        <v>3337991428.0799999</v>
      </c>
      <c r="AB81" s="75">
        <f>股权价值增加表!AB4</f>
        <v>1921580092.78</v>
      </c>
      <c r="AC81" s="75">
        <f>股权价值增加表!AC4</f>
        <v>7125653010.6000004</v>
      </c>
      <c r="AD81" s="75">
        <f>股权价值增加表!AD4</f>
        <v>5320905422.1599998</v>
      </c>
      <c r="AE81" s="75">
        <f>股权价值增加表!AE4</f>
        <v>3478460807.9000001</v>
      </c>
      <c r="AF81" s="75">
        <f>股权价值增加表!AF4</f>
        <v>1916611704.77</v>
      </c>
      <c r="AG81" s="75">
        <f>股权价值增加表!AG4</f>
        <v>5622064477.6899996</v>
      </c>
      <c r="AH81" s="75">
        <f>股权价值增加表!AH4</f>
        <v>4131698878.2600002</v>
      </c>
      <c r="AI81" s="75">
        <f>股权价值增加表!AI4</f>
        <v>2637387856.5799999</v>
      </c>
      <c r="AJ81" s="75">
        <f>股权价值增加表!AJ4</f>
        <v>1409824143.3399999</v>
      </c>
      <c r="AK81" s="75">
        <f>股权价值增加表!AK4</f>
        <v>4115694413.0500002</v>
      </c>
      <c r="AL81" s="75">
        <f>股权价值增加表!AL4</f>
        <v>2869852234.98</v>
      </c>
      <c r="AM81" s="75">
        <f>股权价值增加表!AM4</f>
        <v>1789643522.5799999</v>
      </c>
      <c r="AN81" s="75">
        <f>股权价值增加表!AN4</f>
        <v>974769793.25999999</v>
      </c>
      <c r="AO81" s="75">
        <f>股权价值增加表!AO4</f>
        <v>3622472692.9499998</v>
      </c>
      <c r="AP81" s="75">
        <f>股权价值增加表!AP4</f>
        <v>2737510628.8299999</v>
      </c>
      <c r="AQ81" s="75">
        <f>股权价值增加表!AQ4</f>
        <v>1770090740.1099999</v>
      </c>
      <c r="AR81" s="75">
        <f>股权价值增加表!AR4</f>
        <v>948870059</v>
      </c>
      <c r="AS81" s="75">
        <f>股权价值增加表!AS4</f>
        <v>2933702853.6199999</v>
      </c>
      <c r="AT81" s="75">
        <f>股权价值增加表!AT4</f>
        <v>2036986258.02</v>
      </c>
      <c r="AU81" s="75">
        <f>股权价值增加表!AU4</f>
        <v>1343067096.1199999</v>
      </c>
      <c r="AV81" s="75">
        <f>股权价值增加表!AV4</f>
        <v>690513878.61000001</v>
      </c>
      <c r="AW81" s="75">
        <f>股权价值增加表!AW4</f>
        <v>2078933841.01</v>
      </c>
      <c r="AX81" s="75">
        <f>股权价值增加表!AX4</f>
        <v>1395329575.05</v>
      </c>
      <c r="AY81" s="75">
        <f>股权价值增加表!AY4</f>
        <v>950623937.99000001</v>
      </c>
      <c r="AZ81" s="75">
        <f>股权价值增加表!AZ4</f>
        <v>497601268.74000001</v>
      </c>
      <c r="BA81" s="75">
        <f>股权价值增加表!BA4</f>
        <v>1469657238.76</v>
      </c>
      <c r="BB81" s="75">
        <f>股权价值增加表!BB4</f>
        <v>892949953.26999998</v>
      </c>
      <c r="BC81" s="75">
        <f>股权价值增加表!BC4</f>
        <v>571334000.86000001</v>
      </c>
      <c r="BD81" s="75">
        <f>股权价值增加表!BD4</f>
        <v>307441328.06</v>
      </c>
      <c r="BE81" s="75">
        <f>股权价值增加表!BE4</f>
        <v>1005100421.21</v>
      </c>
      <c r="BF81" s="75">
        <f>股权价值增加表!BF4</f>
        <v>690760992.04999995</v>
      </c>
      <c r="BG81" s="75">
        <f>股权价值增加表!BG4</f>
        <v>421255138.5</v>
      </c>
      <c r="BH81" s="75">
        <f>股权价值增加表!BH4</f>
        <v>215333282.66999999</v>
      </c>
      <c r="BI81" s="75">
        <f>股权价值增加表!BI4</f>
        <v>836522190.09000003</v>
      </c>
      <c r="BJ81" s="75">
        <f>股权价值增加表!BJ4</f>
        <v>565041355.69000006</v>
      </c>
      <c r="BK81" s="75">
        <f>股权价值增加表!BK4</f>
        <v>359187902.31</v>
      </c>
      <c r="BL81" s="75">
        <f>股权价值增加表!BL4</f>
        <v>615144162.49000001</v>
      </c>
      <c r="BM81" s="75">
        <f>股权价值增加表!BM4</f>
        <v>469451683.89999998</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581</v>
      </c>
      <c r="E82" s="75">
        <f>投资和筹资活动现金流表!E34</f>
        <v>1454393352.27</v>
      </c>
      <c r="F82" s="75">
        <f>投资和筹资活动现金流表!F34</f>
        <v>1483338383.6400001</v>
      </c>
      <c r="G82" s="75">
        <f>投资和筹资活动现金流表!G34</f>
        <v>1451587148.3699999</v>
      </c>
      <c r="H82" s="75">
        <f>投资和筹资活动现金流表!H34</f>
        <v>1437261211.6500001</v>
      </c>
      <c r="I82" s="75">
        <f>投资和筹资活动现金流表!I34</f>
        <v>1351107032.6400001</v>
      </c>
      <c r="J82" s="75">
        <f>投资和筹资活动现金流表!J34</f>
        <v>1385773227.3699999</v>
      </c>
      <c r="K82" s="75">
        <f>投资和筹资活动现金流表!K34</f>
        <v>1390657825.1400001</v>
      </c>
      <c r="L82" s="75">
        <f>投资和筹资活动现金流表!L34</f>
        <v>1395882247.4300001</v>
      </c>
      <c r="M82" s="75">
        <f>投资和筹资活动现金流表!M34</f>
        <v>1344054483.5599999</v>
      </c>
      <c r="N82" s="75">
        <f>投资和筹资活动现金流表!N34</f>
        <v>1412927164.8199999</v>
      </c>
      <c r="O82" s="75">
        <f>投资和筹资活动现金流表!O34</f>
        <v>1417669937.52</v>
      </c>
      <c r="P82" s="75">
        <f>投资和筹资活动现金流表!P34</f>
        <v>1434151605.3800001</v>
      </c>
      <c r="Q82" s="75">
        <f>投资和筹资活动现金流表!Q34</f>
        <v>1370138447.8</v>
      </c>
      <c r="R82" s="75">
        <f>投资和筹资活动现金流表!R34</f>
        <v>1351930374.6800001</v>
      </c>
      <c r="S82" s="75">
        <f>投资和筹资活动现金流表!S34</f>
        <v>1319760689.6700001</v>
      </c>
      <c r="T82" s="75">
        <f>投资和筹资活动现金流表!T34</f>
        <v>1310712465.8900001</v>
      </c>
      <c r="U82" s="75">
        <f>投资和筹资活动现金流表!U34</f>
        <v>1302204461.46</v>
      </c>
      <c r="V82" s="75">
        <f>投资和筹资活动现金流表!V34</f>
        <v>1290344189.8299999</v>
      </c>
      <c r="W82" s="75">
        <f>投资和筹资活动现金流表!W34</f>
        <v>1265595384.27</v>
      </c>
      <c r="X82" s="75">
        <f>投资和筹资活动现金流表!X34</f>
        <v>1271917326.78</v>
      </c>
      <c r="Y82" s="75">
        <f>投资和筹资活动现金流表!AZ34</f>
        <v>530502482.69</v>
      </c>
      <c r="Z82" s="75">
        <f>投资和筹资活动现金流表!BA34</f>
        <v>532933734.81</v>
      </c>
      <c r="AA82" s="75">
        <f>投资和筹资活动现金流表!BB34</f>
        <v>505870239.93000001</v>
      </c>
      <c r="AB82" s="75">
        <f>投资和筹资活动现金流表!BC34</f>
        <v>496127050.10000002</v>
      </c>
      <c r="AC82" s="75">
        <f>投资和筹资活动现金流表!BD34</f>
        <v>492287524.10000002</v>
      </c>
      <c r="AD82" s="75">
        <f>投资和筹资活动现金流表!BE34</f>
        <v>480334526.26999998</v>
      </c>
      <c r="AE82" s="75">
        <f>投资和筹资活动现金流表!BF34</f>
        <v>392350485.44</v>
      </c>
      <c r="AF82" s="75">
        <f>投资和筹资活动现金流表!BG34</f>
        <v>288701982.5</v>
      </c>
      <c r="AG82" s="75">
        <f>投资和筹资活动现金流表!BH34</f>
        <v>226150203.28999999</v>
      </c>
      <c r="AH82" s="75">
        <f>投资和筹资活动现金流表!BI34</f>
        <v>173225259.87</v>
      </c>
      <c r="AI82" s="75">
        <f>投资和筹资活动现金流表!BJ34</f>
        <v>825865641.13</v>
      </c>
      <c r="AJ82" s="75">
        <f>投资和筹资活动现金流表!BK34</f>
        <v>816270896.63999999</v>
      </c>
      <c r="AK82" s="75">
        <f>投资和筹资活动现金流表!BL34</f>
        <v>0</v>
      </c>
      <c r="AL82" s="75">
        <f>投资和筹资活动现金流表!BM34</f>
        <v>1013148133.48</v>
      </c>
      <c r="AM82" s="75">
        <f>投资和筹资活动现金流表!BN34</f>
        <v>1057000381.14</v>
      </c>
      <c r="AN82" s="75">
        <f>投资和筹资活动现金流表!BO34</f>
        <v>1030127290.25</v>
      </c>
      <c r="AO82" s="75">
        <f>投资和筹资活动现金流表!BP34</f>
        <v>1048339198.6</v>
      </c>
      <c r="AP82" s="75">
        <f>投资和筹资活动现金流表!BQ34</f>
        <v>789185382.17000008</v>
      </c>
      <c r="AQ82" s="75">
        <f>投资和筹资活动现金流表!BR34</f>
        <v>746563006.58000004</v>
      </c>
      <c r="AR82" s="75">
        <f>投资和筹资活动现金流表!BS34</f>
        <v>739450908.69000006</v>
      </c>
      <c r="AS82" s="75">
        <f>投资和筹资活动现金流表!AS34</f>
        <v>738001001.90999997</v>
      </c>
      <c r="AT82" s="75">
        <f>投资和筹资活动现金流表!AT34</f>
        <v>710269024.5</v>
      </c>
      <c r="AU82" s="75">
        <f>投资和筹资活动现金流表!AU34</f>
        <v>698171784.44000006</v>
      </c>
      <c r="AV82" s="75">
        <f>投资和筹资活动现金流表!AV34</f>
        <v>609691775.38999999</v>
      </c>
      <c r="AW82" s="75">
        <f>投资和筹资活动现金流表!AW34</f>
        <v>603651415.44000006</v>
      </c>
      <c r="AX82" s="75">
        <f>投资和筹资活动现金流表!AX34</f>
        <v>583798480.17999995</v>
      </c>
      <c r="AY82" s="75">
        <f>投资和筹资活动现金流表!AY34</f>
        <v>589016910.71000004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582</v>
      </c>
      <c r="E83" s="153">
        <f>E81/E82</f>
        <v>9.7548214199594323</v>
      </c>
      <c r="F83" s="153">
        <f t="shared" ref="F83:BQ83" si="46">F81/F82</f>
        <v>7.0763612679677612</v>
      </c>
      <c r="G83" s="153">
        <f t="shared" si="46"/>
        <v>4.7599392436263308</v>
      </c>
      <c r="H83" s="153">
        <f t="shared" si="46"/>
        <v>2.7458876010570727</v>
      </c>
      <c r="I83" s="153">
        <f t="shared" si="46"/>
        <v>8.8424698506497155</v>
      </c>
      <c r="J83" s="153">
        <f t="shared" si="46"/>
        <v>6.3730412068222009</v>
      </c>
      <c r="K83" s="153">
        <f t="shared" si="46"/>
        <v>4.1361150915761344</v>
      </c>
      <c r="L83" s="153">
        <f t="shared" si="46"/>
        <v>2.2445746066679741</v>
      </c>
      <c r="M83" s="153">
        <f t="shared" si="46"/>
        <v>8.116997308772401</v>
      </c>
      <c r="N83" s="153">
        <f t="shared" si="46"/>
        <v>5.8591992211181356</v>
      </c>
      <c r="O83" s="153">
        <f t="shared" si="46"/>
        <v>3.7946596099094521</v>
      </c>
      <c r="P83" s="153">
        <f t="shared" si="46"/>
        <v>2.0965243762867876</v>
      </c>
      <c r="Q83" s="153">
        <f t="shared" si="46"/>
        <v>6.958890877888698</v>
      </c>
      <c r="R83" s="153">
        <f t="shared" si="46"/>
        <v>5.3001205295620633</v>
      </c>
      <c r="S83" s="153">
        <f t="shared" si="46"/>
        <v>3.5179891196569408</v>
      </c>
      <c r="T83" s="153">
        <f t="shared" si="46"/>
        <v>1.9815058938776933</v>
      </c>
      <c r="U83" s="153">
        <f t="shared" si="46"/>
        <v>6.437736833746448</v>
      </c>
      <c r="V83" s="153">
        <f t="shared" si="46"/>
        <v>4.8894891272314052</v>
      </c>
      <c r="W83" s="153">
        <f t="shared" si="46"/>
        <v>3.2690398346517351</v>
      </c>
      <c r="X83" s="153">
        <f t="shared" si="46"/>
        <v>1.7855897090494073</v>
      </c>
      <c r="Y83" s="153">
        <f t="shared" si="46"/>
        <v>12.986669567625507</v>
      </c>
      <c r="Z83" s="153">
        <f t="shared" si="46"/>
        <v>9.5589088801747426</v>
      </c>
      <c r="AA83" s="153">
        <f t="shared" si="46"/>
        <v>6.5985131454696679</v>
      </c>
      <c r="AB83" s="153">
        <f t="shared" si="46"/>
        <v>3.8731613049372813</v>
      </c>
      <c r="AC83" s="153">
        <f t="shared" si="46"/>
        <v>14.474575652972556</v>
      </c>
      <c r="AD83" s="153">
        <f t="shared" si="46"/>
        <v>11.077499390849692</v>
      </c>
      <c r="AE83" s="153">
        <f t="shared" si="46"/>
        <v>8.8656977294142845</v>
      </c>
      <c r="AF83" s="153">
        <f t="shared" si="46"/>
        <v>6.6387202753967927</v>
      </c>
      <c r="AG83" s="153">
        <f t="shared" si="46"/>
        <v>24.859869219222578</v>
      </c>
      <c r="AH83" s="153">
        <f t="shared" si="46"/>
        <v>23.851595785514814</v>
      </c>
      <c r="AI83" s="153">
        <f t="shared" si="46"/>
        <v>3.1934829653057903</v>
      </c>
      <c r="AJ83" s="153">
        <f t="shared" si="46"/>
        <v>1.7271522838107196</v>
      </c>
      <c r="AK83" s="153" t="e">
        <f t="shared" si="46"/>
        <v>#DIV/0!</v>
      </c>
      <c r="AL83" s="153">
        <f t="shared" si="46"/>
        <v>2.8326087174661434</v>
      </c>
      <c r="AM83" s="153">
        <f t="shared" si="46"/>
        <v>1.6931342263565003</v>
      </c>
      <c r="AN83" s="153">
        <f t="shared" si="46"/>
        <v>0.94626149844397833</v>
      </c>
      <c r="AO83" s="153">
        <f t="shared" si="46"/>
        <v>3.4554395159387488</v>
      </c>
      <c r="AP83" s="153">
        <f t="shared" si="46"/>
        <v>3.4687802013042193</v>
      </c>
      <c r="AQ83" s="153">
        <f t="shared" si="46"/>
        <v>2.3709864063835324</v>
      </c>
      <c r="AR83" s="153">
        <f t="shared" si="46"/>
        <v>1.283208997174679</v>
      </c>
      <c r="AS83" s="153">
        <f t="shared" si="46"/>
        <v>3.9752017219859659</v>
      </c>
      <c r="AT83" s="153">
        <f t="shared" si="46"/>
        <v>2.8679080570266371</v>
      </c>
      <c r="AU83" s="153">
        <f t="shared" si="46"/>
        <v>1.9236914553876836</v>
      </c>
      <c r="AV83" s="153">
        <f t="shared" si="46"/>
        <v>1.1325622330534157</v>
      </c>
      <c r="AW83" s="153">
        <f t="shared" si="46"/>
        <v>3.4439310301205377</v>
      </c>
      <c r="AX83" s="153">
        <f t="shared" si="46"/>
        <v>2.3900877142053956</v>
      </c>
      <c r="AY83" s="153">
        <f t="shared" si="46"/>
        <v>1.6139162063176071</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583</v>
      </c>
      <c r="E84" s="75">
        <f>资产资本表!E52</f>
        <v>829197651.77999997</v>
      </c>
      <c r="F84" s="75">
        <f>资产资本表!F52</f>
        <v>835208170.70000005</v>
      </c>
      <c r="G84" s="75">
        <f>资产资本表!G52</f>
        <v>845616583.50999999</v>
      </c>
      <c r="H84" s="75">
        <f>资产资本表!H52</f>
        <v>863474298.83000004</v>
      </c>
      <c r="I84" s="75">
        <f>资产资本表!I52</f>
        <v>885129598.11000001</v>
      </c>
      <c r="J84" s="75">
        <f>资产资本表!J52</f>
        <v>865765975.59000003</v>
      </c>
      <c r="K84" s="75">
        <f>资产资本表!K52</f>
        <v>882037067.98000002</v>
      </c>
      <c r="L84" s="75">
        <f>资产资本表!L52</f>
        <v>899483311.72000003</v>
      </c>
      <c r="M84" s="75">
        <f>资产资本表!M52</f>
        <v>920306368.97000003</v>
      </c>
      <c r="N84" s="75">
        <f>资产资本表!N52</f>
        <v>938498262.37</v>
      </c>
      <c r="O84" s="75">
        <f>资产资本表!O52</f>
        <v>929203611.47000003</v>
      </c>
      <c r="P84" s="75">
        <f>资产资本表!P52</f>
        <v>943345350.96000004</v>
      </c>
      <c r="Q84" s="75">
        <f>资产资本表!Q52</f>
        <v>956192336.23000002</v>
      </c>
      <c r="R84" s="75">
        <f>资产资本表!R52</f>
        <v>913385359.46000004</v>
      </c>
      <c r="S84" s="75">
        <f>资产资本表!S52</f>
        <v>904565132.10000002</v>
      </c>
      <c r="T84" s="75">
        <f>资产资本表!T52</f>
        <v>883686468.32000005</v>
      </c>
      <c r="U84" s="75">
        <f>资产资本表!U52</f>
        <v>893776421.03999996</v>
      </c>
      <c r="V84" s="75">
        <f>资产资本表!V52</f>
        <v>850469552.28999996</v>
      </c>
      <c r="W84" s="75">
        <f>资产资本表!W52</f>
        <v>853882332.91999996</v>
      </c>
      <c r="X84" s="75">
        <f>资产资本表!X52</f>
        <v>863361856.91999996</v>
      </c>
      <c r="Y84" s="75">
        <f>资产资本表!Y52</f>
        <v>883280538.14999998</v>
      </c>
      <c r="Z84" s="75">
        <f>资产资本表!Z52</f>
        <v>887067679.28999996</v>
      </c>
      <c r="AA84" s="75">
        <f>资产资本表!AA52</f>
        <v>909275979.10000002</v>
      </c>
      <c r="AB84" s="75">
        <f>资产资本表!AB52</f>
        <v>858689729.16999996</v>
      </c>
      <c r="AC84" s="75">
        <f>资产资本表!AC52</f>
        <v>868914923.52999997</v>
      </c>
      <c r="AD84" s="75">
        <f>资产资本表!AD52</f>
        <v>845497082.80999994</v>
      </c>
      <c r="AE84" s="75">
        <f>资产资本表!AE52</f>
        <v>813184210.67999995</v>
      </c>
      <c r="AF84" s="75">
        <f>资产资本表!AF52</f>
        <v>712425897.19000006</v>
      </c>
      <c r="AG84" s="75">
        <f>资产资本表!AG52</f>
        <v>702337389.64999998</v>
      </c>
      <c r="AH84" s="75">
        <f>资产资本表!AH52</f>
        <v>658971781.52999997</v>
      </c>
      <c r="AI84" s="75">
        <f>资产资本表!AI52</f>
        <v>646304383.38</v>
      </c>
      <c r="AJ84" s="75">
        <f>资产资本表!AJ52</f>
        <v>640162996.74000001</v>
      </c>
      <c r="AK84" s="75">
        <f>资产资本表!AK52</f>
        <v>645105775.27999997</v>
      </c>
      <c r="AL84" s="75">
        <f>资产资本表!AL52</f>
        <v>595998283.67999995</v>
      </c>
      <c r="AM84" s="75">
        <f>资产资本表!AM52</f>
        <v>503931312.95999998</v>
      </c>
      <c r="AN84" s="75">
        <f>资产资本表!AN52</f>
        <v>505664355.61000001</v>
      </c>
      <c r="AO84" s="75">
        <f>资产资本表!AO52</f>
        <v>518596606.29000002</v>
      </c>
      <c r="AP84" s="75">
        <f>资产资本表!AP52</f>
        <v>509528475.69999999</v>
      </c>
      <c r="AQ84" s="75">
        <f>资产资本表!AQ52</f>
        <v>498716549.76999998</v>
      </c>
      <c r="AR84" s="75">
        <f>资产资本表!AR52</f>
        <v>503945044.57999998</v>
      </c>
      <c r="AS84" s="75">
        <f>资产资本表!AS52</f>
        <v>506396091.01999998</v>
      </c>
      <c r="AT84" s="75">
        <f>资产资本表!AT52</f>
        <v>481583234.95999998</v>
      </c>
      <c r="AU84" s="75">
        <f>资产资本表!AU52</f>
        <v>479596911.10000002</v>
      </c>
      <c r="AV84" s="75">
        <f>资产资本表!AV52</f>
        <v>481222834.00999999</v>
      </c>
      <c r="AW84" s="75">
        <f>资产资本表!AW52</f>
        <v>587648347.01999998</v>
      </c>
      <c r="AX84" s="75">
        <f>资产资本表!AX52</f>
        <v>562643881.24000001</v>
      </c>
      <c r="AY84" s="75">
        <f>资产资本表!AY52</f>
        <v>560711229.44000006</v>
      </c>
      <c r="AZ84" s="75">
        <f>资产资本表!AZ52</f>
        <v>490048653.76999998</v>
      </c>
      <c r="BA84" s="75">
        <f>资产资本表!BA52</f>
        <v>491515794.08999997</v>
      </c>
      <c r="BB84" s="75">
        <f>资产资本表!BB52</f>
        <v>382738767.69</v>
      </c>
      <c r="BC84" s="75">
        <f>资产资本表!BC52</f>
        <v>347154103.98000002</v>
      </c>
      <c r="BD84" s="75">
        <f>资产资本表!BD52</f>
        <v>357416223.13</v>
      </c>
      <c r="BE84" s="75">
        <f>资产资本表!BE52</f>
        <v>355137177.74000001</v>
      </c>
      <c r="BF84" s="75">
        <f>资产资本表!BF52</f>
        <v>183416259.78999999</v>
      </c>
      <c r="BG84" s="75">
        <f>资产资本表!BG52</f>
        <v>182050145.25999999</v>
      </c>
      <c r="BH84" s="75">
        <f>资产资本表!BH52</f>
        <v>167178661.13999999</v>
      </c>
      <c r="BI84" s="75">
        <f>资产资本表!BI52</f>
        <v>157308587.44</v>
      </c>
      <c r="BJ84" s="75">
        <f>资产资本表!BJ52</f>
        <v>97208103.209999993</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584</v>
      </c>
      <c r="E85" s="153">
        <f>E81/E84</f>
        <v>17.109729381546948</v>
      </c>
      <c r="F85" s="153">
        <f t="shared" ref="F85:BQ85" si="48">F81/F84</f>
        <v>12.567691090093883</v>
      </c>
      <c r="G85" s="153">
        <f t="shared" si="48"/>
        <v>8.1709213937007554</v>
      </c>
      <c r="H85" s="153">
        <f t="shared" si="48"/>
        <v>4.5705561195018207</v>
      </c>
      <c r="I85" s="153">
        <f t="shared" si="48"/>
        <v>13.497597670025339</v>
      </c>
      <c r="J85" s="153">
        <f t="shared" si="48"/>
        <v>10.200897390685133</v>
      </c>
      <c r="K85" s="153">
        <f t="shared" si="48"/>
        <v>6.5211781075740722</v>
      </c>
      <c r="L85" s="153">
        <f t="shared" si="48"/>
        <v>3.4832906910621166</v>
      </c>
      <c r="M85" s="153">
        <f t="shared" si="48"/>
        <v>11.854407394909197</v>
      </c>
      <c r="N85" s="153">
        <f t="shared" si="48"/>
        <v>8.8211369967845279</v>
      </c>
      <c r="O85" s="153">
        <f t="shared" si="48"/>
        <v>5.789446775373067</v>
      </c>
      <c r="P85" s="153">
        <f t="shared" si="48"/>
        <v>3.1873097131503139</v>
      </c>
      <c r="Q85" s="153">
        <f t="shared" si="48"/>
        <v>9.9714707852945619</v>
      </c>
      <c r="R85" s="153">
        <f t="shared" si="48"/>
        <v>7.8448749579435262</v>
      </c>
      <c r="S85" s="153">
        <f t="shared" si="48"/>
        <v>5.1327467553731951</v>
      </c>
      <c r="T85" s="153">
        <f t="shared" si="48"/>
        <v>2.9390338875252633</v>
      </c>
      <c r="U85" s="153">
        <f t="shared" si="48"/>
        <v>9.3795824428387071</v>
      </c>
      <c r="V85" s="153">
        <f t="shared" si="48"/>
        <v>7.4184006582856057</v>
      </c>
      <c r="W85" s="153">
        <f t="shared" si="48"/>
        <v>4.8452597813821043</v>
      </c>
      <c r="X85" s="153">
        <f t="shared" si="48"/>
        <v>2.6305568994698416</v>
      </c>
      <c r="Y85" s="153">
        <f t="shared" si="48"/>
        <v>7.7998553686348986</v>
      </c>
      <c r="Z85" s="153">
        <f t="shared" si="48"/>
        <v>5.7428143637218287</v>
      </c>
      <c r="AA85" s="153">
        <f t="shared" si="48"/>
        <v>3.6710432308834759</v>
      </c>
      <c r="AB85" s="153">
        <f t="shared" si="48"/>
        <v>2.2378049107881819</v>
      </c>
      <c r="AC85" s="153">
        <f t="shared" si="48"/>
        <v>8.2006337072123969</v>
      </c>
      <c r="AD85" s="153">
        <f t="shared" si="48"/>
        <v>6.293227416558353</v>
      </c>
      <c r="AE85" s="153">
        <f t="shared" si="48"/>
        <v>4.2775803590569543</v>
      </c>
      <c r="AF85" s="153">
        <f t="shared" si="48"/>
        <v>2.690261137796413</v>
      </c>
      <c r="AG85" s="153">
        <f t="shared" si="48"/>
        <v>8.0047916578835085</v>
      </c>
      <c r="AH85" s="153">
        <f t="shared" si="48"/>
        <v>6.2699177628927085</v>
      </c>
      <c r="AI85" s="153">
        <f t="shared" si="48"/>
        <v>4.080720979776066</v>
      </c>
      <c r="AJ85" s="153">
        <f t="shared" si="48"/>
        <v>2.2022893396204766</v>
      </c>
      <c r="AK85" s="153">
        <f t="shared" si="48"/>
        <v>6.379875317754883</v>
      </c>
      <c r="AL85" s="153">
        <f t="shared" si="48"/>
        <v>4.81520218021444</v>
      </c>
      <c r="AM85" s="153">
        <f t="shared" si="48"/>
        <v>3.5513639985337737</v>
      </c>
      <c r="AN85" s="153">
        <f t="shared" si="48"/>
        <v>1.9277012161240874</v>
      </c>
      <c r="AO85" s="153">
        <f t="shared" si="48"/>
        <v>6.9851453885610422</v>
      </c>
      <c r="AP85" s="153">
        <f t="shared" si="48"/>
        <v>5.3726352095810848</v>
      </c>
      <c r="AQ85" s="153">
        <f t="shared" si="48"/>
        <v>3.5492921598979161</v>
      </c>
      <c r="AR85" s="153">
        <f t="shared" si="48"/>
        <v>1.8828839953983698</v>
      </c>
      <c r="AS85" s="153">
        <f t="shared" si="48"/>
        <v>5.7932967999631222</v>
      </c>
      <c r="AT85" s="153">
        <f t="shared" si="48"/>
        <v>4.2297698718461216</v>
      </c>
      <c r="AU85" s="153">
        <f t="shared" si="48"/>
        <v>2.8004081449139253</v>
      </c>
      <c r="AV85" s="153">
        <f t="shared" si="48"/>
        <v>1.434915032721932</v>
      </c>
      <c r="AW85" s="153">
        <f t="shared" si="48"/>
        <v>3.537717499849014</v>
      </c>
      <c r="AX85" s="153">
        <f t="shared" si="48"/>
        <v>2.4799515671882184</v>
      </c>
      <c r="AY85" s="153">
        <f t="shared" si="48"/>
        <v>1.6953895126006626</v>
      </c>
      <c r="AZ85" s="153">
        <f t="shared" si="48"/>
        <v>1.0154119696317843</v>
      </c>
      <c r="BA85" s="153">
        <f t="shared" si="48"/>
        <v>2.9900508924254332</v>
      </c>
      <c r="BB85" s="153">
        <f t="shared" si="48"/>
        <v>2.3330533216150355</v>
      </c>
      <c r="BC85" s="153">
        <f t="shared" si="48"/>
        <v>1.6457647894979668</v>
      </c>
      <c r="BD85" s="153">
        <f t="shared" si="48"/>
        <v>0.86017731754771787</v>
      </c>
      <c r="BE85" s="153">
        <f t="shared" si="48"/>
        <v>2.8301751666952919</v>
      </c>
      <c r="BF85" s="153">
        <f t="shared" si="48"/>
        <v>3.7660837312944748</v>
      </c>
      <c r="BG85" s="153">
        <f t="shared" si="48"/>
        <v>2.3139511253801679</v>
      </c>
      <c r="BH85" s="153">
        <f t="shared" si="48"/>
        <v>1.2880428710316922</v>
      </c>
      <c r="BI85" s="153">
        <f t="shared" si="48"/>
        <v>5.3177147141383045</v>
      </c>
      <c r="BJ85" s="153">
        <f t="shared" si="48"/>
        <v>5.812698088237906</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585</v>
      </c>
      <c r="E86" s="75">
        <f>资产资本表!E53</f>
        <v>23464233.859999999</v>
      </c>
      <c r="F86" s="75">
        <f>资产资本表!F53</f>
        <v>25102772.57</v>
      </c>
      <c r="G86" s="75">
        <f>资产资本表!G53</f>
        <v>13922816.199999999</v>
      </c>
      <c r="H86" s="75">
        <f>资产资本表!H53</f>
        <v>8266946.3300000001</v>
      </c>
      <c r="I86" s="75">
        <f>资产资本表!I53</f>
        <v>5986693.8899999997</v>
      </c>
      <c r="J86" s="75">
        <f>资产资本表!J53</f>
        <v>32161706.23</v>
      </c>
      <c r="K86" s="75">
        <f>资产资本表!K53</f>
        <v>31504596.77</v>
      </c>
      <c r="L86" s="75">
        <f>资产资本表!L53</f>
        <v>26478013.510000002</v>
      </c>
      <c r="M86" s="75">
        <f>资产资本表!M53</f>
        <v>22568331.629999999</v>
      </c>
      <c r="N86" s="75">
        <f>资产资本表!N53</f>
        <v>11643770.859999999</v>
      </c>
      <c r="O86" s="75">
        <f>资产资本表!O53</f>
        <v>34359450.270000003</v>
      </c>
      <c r="P86" s="75">
        <f>资产资本表!P53</f>
        <v>29478753.859999999</v>
      </c>
      <c r="Q86" s="75">
        <f>资产资本表!Q53</f>
        <v>24928527.129999999</v>
      </c>
      <c r="R86" s="75">
        <f>资产资本表!R53</f>
        <v>58005014.100000001</v>
      </c>
      <c r="S86" s="75">
        <f>资产资本表!S53</f>
        <v>44536370.399999999</v>
      </c>
      <c r="T86" s="75">
        <f>资产资本表!T53</f>
        <v>57203718.490000002</v>
      </c>
      <c r="U86" s="75">
        <f>资产资本表!U53</f>
        <v>61803487.530000001</v>
      </c>
      <c r="V86" s="75">
        <f>资产资本表!V53</f>
        <v>88521335.519999996</v>
      </c>
      <c r="W86" s="75">
        <f>资产资本表!W53</f>
        <v>77937961.269999996</v>
      </c>
      <c r="X86" s="75">
        <f>资产资本表!X53</f>
        <v>73913292.200000003</v>
      </c>
      <c r="Y86" s="75">
        <f>资产资本表!Y53</f>
        <v>70351646.969999999</v>
      </c>
      <c r="Z86" s="75">
        <f>资产资本表!Z53</f>
        <v>57455020.57</v>
      </c>
      <c r="AA86" s="75">
        <f>资产资本表!AA53</f>
        <v>49130371.619999997</v>
      </c>
      <c r="AB86" s="75">
        <f>资产资本表!AB53</f>
        <v>94903222.590000004</v>
      </c>
      <c r="AC86" s="75">
        <f>资产资本表!AC53</f>
        <v>82267363.129999995</v>
      </c>
      <c r="AD86" s="75">
        <f>资产资本表!AD53</f>
        <v>75629967.489999995</v>
      </c>
      <c r="AE86" s="75">
        <f>资产资本表!AE53</f>
        <v>76361606.340000004</v>
      </c>
      <c r="AF86" s="75">
        <f>资产资本表!AF53</f>
        <v>137683728.44999999</v>
      </c>
      <c r="AG86" s="75">
        <f>资产资本表!AG53</f>
        <v>135110309.16999999</v>
      </c>
      <c r="AH86" s="75">
        <f>资产资本表!AH53</f>
        <v>127028608.65000001</v>
      </c>
      <c r="AI86" s="75">
        <f>资产资本表!AI53</f>
        <v>95222000.310000002</v>
      </c>
      <c r="AJ86" s="75">
        <f>资产资本表!AJ53</f>
        <v>67128855.920000002</v>
      </c>
      <c r="AK86" s="75">
        <f>资产资本表!AK53</f>
        <v>41020320.869999997</v>
      </c>
      <c r="AL86" s="75">
        <f>资产资本表!AL53</f>
        <v>29658580.949999999</v>
      </c>
      <c r="AM86" s="75">
        <f>资产资本表!AM53</f>
        <v>106446742.56</v>
      </c>
      <c r="AN86" s="75">
        <f>资产资本表!AN53</f>
        <v>85625358.75</v>
      </c>
      <c r="AO86" s="75">
        <f>资产资本表!AO53</f>
        <v>58320879.020000003</v>
      </c>
      <c r="AP86" s="75">
        <f>资产资本表!AP53</f>
        <v>60518202.850000001</v>
      </c>
      <c r="AQ86" s="75">
        <f>资产资本表!AQ53</f>
        <v>30284616.199999999</v>
      </c>
      <c r="AR86" s="75">
        <f>资产资本表!AR53</f>
        <v>17945942.289999999</v>
      </c>
      <c r="AS86" s="75">
        <f>资产资本表!AS53</f>
        <v>13922115.26</v>
      </c>
      <c r="AT86" s="75">
        <f>资产资本表!AT53</f>
        <v>7636009.7599999998</v>
      </c>
      <c r="AU86" s="75">
        <f>资产资本表!AU53</f>
        <v>8624005.0500000007</v>
      </c>
      <c r="AV86" s="75">
        <f>资产资本表!AV53</f>
        <v>7931477.0300000003</v>
      </c>
      <c r="AW86" s="75">
        <f>资产资本表!AW53</f>
        <v>2256444.58</v>
      </c>
      <c r="AX86" s="75">
        <f>资产资本表!AX53</f>
        <v>9834750.9000000004</v>
      </c>
      <c r="AY86" s="75">
        <f>资产资本表!AY53</f>
        <v>15071658.35</v>
      </c>
      <c r="AZ86" s="75">
        <f>资产资本表!AZ53</f>
        <v>25638013.98</v>
      </c>
      <c r="BA86" s="75">
        <f>资产资本表!BA53</f>
        <v>23755902.77</v>
      </c>
      <c r="BB86" s="75">
        <f>资产资本表!BB53</f>
        <v>106190153.54000001</v>
      </c>
      <c r="BC86" s="75">
        <f>资产资本表!BC53</f>
        <v>132730659.20999999</v>
      </c>
      <c r="BD86" s="75">
        <f>资产资本表!BD53</f>
        <v>119395366.63</v>
      </c>
      <c r="BE86" s="75">
        <f>资产资本表!BE53</f>
        <v>109310437.37</v>
      </c>
      <c r="BF86" s="75">
        <f>资产资本表!BF53</f>
        <v>176128911.28</v>
      </c>
      <c r="BG86" s="75">
        <f>资产资本表!BG53</f>
        <v>87979072.959999993</v>
      </c>
      <c r="BH86" s="75">
        <f>资产资本表!BH53</f>
        <v>40178867.450000003</v>
      </c>
      <c r="BI86" s="75">
        <f>资产资本表!BI53</f>
        <v>2812603.37</v>
      </c>
      <c r="BJ86" s="75">
        <f>资产资本表!BJ53</f>
        <v>4327605.87</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586</v>
      </c>
      <c r="E87" s="54">
        <f>E81/E86</f>
        <v>604.63714734600762</v>
      </c>
      <c r="F87" s="54">
        <f t="shared" ref="F87:BQ87" si="50">F81/F86</f>
        <v>418.14657149961187</v>
      </c>
      <c r="G87" s="54">
        <f t="shared" si="50"/>
        <v>496.2693275423689</v>
      </c>
      <c r="H87" s="54">
        <f t="shared" si="50"/>
        <v>477.39002807219146</v>
      </c>
      <c r="I87" s="54">
        <f t="shared" si="50"/>
        <v>1995.6128408496265</v>
      </c>
      <c r="J87" s="54">
        <f t="shared" si="50"/>
        <v>274.59954450743703</v>
      </c>
      <c r="K87" s="54">
        <f t="shared" si="50"/>
        <v>182.57401800035797</v>
      </c>
      <c r="L87" s="54">
        <f t="shared" si="50"/>
        <v>118.3306989890572</v>
      </c>
      <c r="M87" s="54">
        <f t="shared" si="50"/>
        <v>483.40687316902921</v>
      </c>
      <c r="N87" s="54">
        <f t="shared" si="50"/>
        <v>710.991468584259</v>
      </c>
      <c r="O87" s="54">
        <f t="shared" si="50"/>
        <v>156.56754720511421</v>
      </c>
      <c r="P87" s="54">
        <f t="shared" si="50"/>
        <v>101.99663846882841</v>
      </c>
      <c r="Q87" s="54">
        <f t="shared" si="50"/>
        <v>382.4792333745873</v>
      </c>
      <c r="R87" s="54">
        <f t="shared" si="50"/>
        <v>123.53059549346787</v>
      </c>
      <c r="S87" s="54">
        <f t="shared" si="50"/>
        <v>104.24971108130538</v>
      </c>
      <c r="T87" s="54">
        <f t="shared" si="50"/>
        <v>45.402371469855126</v>
      </c>
      <c r="U87" s="54">
        <f t="shared" si="50"/>
        <v>135.64363374381892</v>
      </c>
      <c r="V87" s="54">
        <f t="shared" si="50"/>
        <v>71.272353150778585</v>
      </c>
      <c r="W87" s="54">
        <f t="shared" si="50"/>
        <v>53.084294974014533</v>
      </c>
      <c r="X87" s="54">
        <f t="shared" si="50"/>
        <v>30.726847930337488</v>
      </c>
      <c r="Y87" s="54">
        <f t="shared" si="50"/>
        <v>97.928914875836057</v>
      </c>
      <c r="Z87" s="54">
        <f t="shared" si="50"/>
        <v>88.665271714826574</v>
      </c>
      <c r="AA87" s="54">
        <f t="shared" si="50"/>
        <v>67.941505793967366</v>
      </c>
      <c r="AB87" s="54">
        <f t="shared" si="50"/>
        <v>20.247785484393845</v>
      </c>
      <c r="AC87" s="54">
        <f t="shared" si="50"/>
        <v>86.615794398806088</v>
      </c>
      <c r="AD87" s="54">
        <f t="shared" si="50"/>
        <v>70.35445867226565</v>
      </c>
      <c r="AE87" s="54">
        <f t="shared" si="50"/>
        <v>45.552483435355661</v>
      </c>
      <c r="AF87" s="54">
        <f t="shared" si="50"/>
        <v>13.92039369028287</v>
      </c>
      <c r="AG87" s="54">
        <f t="shared" si="50"/>
        <v>41.610921566437568</v>
      </c>
      <c r="AH87" s="54">
        <f t="shared" si="50"/>
        <v>32.525735125100894</v>
      </c>
      <c r="AI87" s="54">
        <f t="shared" si="50"/>
        <v>27.697253239732955</v>
      </c>
      <c r="AJ87" s="54">
        <f t="shared" si="50"/>
        <v>21.001760331207503</v>
      </c>
      <c r="AK87" s="54">
        <f t="shared" si="50"/>
        <v>100.33306238859755</v>
      </c>
      <c r="AL87" s="54">
        <f t="shared" si="50"/>
        <v>96.762965153934658</v>
      </c>
      <c r="AM87" s="54">
        <f t="shared" si="50"/>
        <v>16.812571991775563</v>
      </c>
      <c r="AN87" s="54">
        <f t="shared" si="50"/>
        <v>11.384125071008826</v>
      </c>
      <c r="AO87" s="54">
        <f t="shared" si="50"/>
        <v>62.112793116642564</v>
      </c>
      <c r="AP87" s="54">
        <f t="shared" si="50"/>
        <v>45.234499702761745</v>
      </c>
      <c r="AQ87" s="54">
        <f t="shared" si="50"/>
        <v>58.448511561787598</v>
      </c>
      <c r="AR87" s="54">
        <f t="shared" si="50"/>
        <v>52.873794179575512</v>
      </c>
      <c r="AS87" s="54">
        <f t="shared" si="50"/>
        <v>210.7224943072336</v>
      </c>
      <c r="AT87" s="54">
        <f t="shared" si="50"/>
        <v>266.76056239351902</v>
      </c>
      <c r="AU87" s="54">
        <f t="shared" si="50"/>
        <v>155.73588933833008</v>
      </c>
      <c r="AV87" s="54">
        <f t="shared" si="50"/>
        <v>87.059935494763707</v>
      </c>
      <c r="AW87" s="54">
        <f t="shared" si="50"/>
        <v>921.33166461814892</v>
      </c>
      <c r="AX87" s="54">
        <f t="shared" si="50"/>
        <v>141.87746992656417</v>
      </c>
      <c r="AY87" s="54">
        <f t="shared" si="50"/>
        <v>63.073612466142457</v>
      </c>
      <c r="AZ87" s="54">
        <f t="shared" si="50"/>
        <v>19.408729128869911</v>
      </c>
      <c r="BA87" s="54">
        <f t="shared" si="50"/>
        <v>61.864929023701336</v>
      </c>
      <c r="BB87" s="54">
        <f t="shared" si="50"/>
        <v>8.4089712982064864</v>
      </c>
      <c r="BC87" s="54">
        <f t="shared" si="50"/>
        <v>4.3044614127626923</v>
      </c>
      <c r="BD87" s="54">
        <f t="shared" si="50"/>
        <v>2.5749854180920155</v>
      </c>
      <c r="BE87" s="54">
        <f t="shared" si="50"/>
        <v>9.1949172045472718</v>
      </c>
      <c r="BF87" s="54">
        <f t="shared" si="50"/>
        <v>3.9219057622622007</v>
      </c>
      <c r="BG87" s="54">
        <f t="shared" si="50"/>
        <v>4.7881288620934344</v>
      </c>
      <c r="BH87" s="54">
        <f t="shared" si="50"/>
        <v>5.3593666605453301</v>
      </c>
      <c r="BI87" s="54">
        <f t="shared" si="50"/>
        <v>297.41918075352373</v>
      </c>
      <c r="BJ87" s="54">
        <f t="shared" si="50"/>
        <v>130.56673196766877</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587</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144000</v>
      </c>
      <c r="AW88" s="75">
        <f>资产资本表!AW54</f>
        <v>0</v>
      </c>
      <c r="AX88" s="75">
        <f>资产资本表!AX54</f>
        <v>0</v>
      </c>
      <c r="AY88" s="75">
        <f>资产资本表!AY54</f>
        <v>0</v>
      </c>
      <c r="AZ88" s="75">
        <f>资产资本表!AZ54</f>
        <v>641200</v>
      </c>
      <c r="BA88" s="75">
        <f>资产资本表!BA54</f>
        <v>641200</v>
      </c>
      <c r="BB88" s="75">
        <f>资产资本表!BB54</f>
        <v>82813.5</v>
      </c>
      <c r="BC88" s="75">
        <f>资产资本表!BC54</f>
        <v>82813.5</v>
      </c>
      <c r="BD88" s="75">
        <f>资产资本表!BD54</f>
        <v>187707.72</v>
      </c>
      <c r="BE88" s="75">
        <f>资产资本表!BE54</f>
        <v>134431.32999999999</v>
      </c>
      <c r="BF88" s="75">
        <f>资产资本表!BF54</f>
        <v>16417103.300000001</v>
      </c>
      <c r="BG88" s="75">
        <f>资产资本表!BG54</f>
        <v>1953916</v>
      </c>
      <c r="BH88" s="75">
        <f>资产资本表!BH54</f>
        <v>1150000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588</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237028.52</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589</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590</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591</v>
      </c>
      <c r="E92" s="75">
        <f>资产资本表!E58</f>
        <v>334602690.62</v>
      </c>
      <c r="F92" s="75">
        <f>资产资本表!F58</f>
        <v>334747324.38</v>
      </c>
      <c r="G92" s="75">
        <f>资产资本表!G58</f>
        <v>318935629.38</v>
      </c>
      <c r="H92" s="75">
        <f>资产资本表!H58</f>
        <v>321099496.13</v>
      </c>
      <c r="I92" s="75">
        <f>资产资本表!I58</f>
        <v>255692979.28999999</v>
      </c>
      <c r="J92" s="75">
        <f>资产资本表!J58</f>
        <v>258652333.74000001</v>
      </c>
      <c r="K92" s="75">
        <f>资产资本表!K58</f>
        <v>261465307.84</v>
      </c>
      <c r="L92" s="75">
        <f>资产资本表!L58</f>
        <v>263874086.05000001</v>
      </c>
      <c r="M92" s="75">
        <f>资产资本表!M58</f>
        <v>220715082.65000001</v>
      </c>
      <c r="N92" s="75">
        <f>资产资本表!N58</f>
        <v>219661041.47999999</v>
      </c>
      <c r="O92" s="75">
        <f>资产资本表!O58</f>
        <v>221494462.36000001</v>
      </c>
      <c r="P92" s="75">
        <f>资产资本表!P58</f>
        <v>223519034.91</v>
      </c>
      <c r="Q92" s="75">
        <f>资产资本表!Q58</f>
        <v>225590281.93000001</v>
      </c>
      <c r="R92" s="75">
        <f>资产资本表!R58</f>
        <v>226066293.47</v>
      </c>
      <c r="S92" s="75">
        <f>资产资本表!S58</f>
        <v>228035280.34</v>
      </c>
      <c r="T92" s="75">
        <f>资产资本表!T58</f>
        <v>228542750.34</v>
      </c>
      <c r="U92" s="75">
        <f>资产资本表!U58</f>
        <v>231184961.19</v>
      </c>
      <c r="V92" s="75">
        <f>资产资本表!V58</f>
        <v>231976535.27000001</v>
      </c>
      <c r="W92" s="75">
        <f>资产资本表!W58</f>
        <v>232369456.69</v>
      </c>
      <c r="X92" s="75">
        <f>资产资本表!X58</f>
        <v>233765392.00999999</v>
      </c>
      <c r="Y92" s="75">
        <f>资产资本表!Y58</f>
        <v>234716293.40000001</v>
      </c>
      <c r="Z92" s="75">
        <f>资产资本表!Z58</f>
        <v>235704929.77000001</v>
      </c>
      <c r="AA92" s="75">
        <f>资产资本表!AA58</f>
        <v>236917241.13</v>
      </c>
      <c r="AB92" s="75">
        <f>资产资本表!AB58</f>
        <v>232775268.59</v>
      </c>
      <c r="AC92" s="75">
        <f>资产资本表!AC58</f>
        <v>234767108.08000001</v>
      </c>
      <c r="AD92" s="75">
        <f>资产资本表!AD58</f>
        <v>232580092.13999999</v>
      </c>
      <c r="AE92" s="75">
        <f>资产资本表!AE58</f>
        <v>235567171.81999999</v>
      </c>
      <c r="AF92" s="75">
        <f>资产资本表!AF58</f>
        <v>236061343.33000001</v>
      </c>
      <c r="AG92" s="75">
        <f>资产资本表!AG58</f>
        <v>237436820.05000001</v>
      </c>
      <c r="AH92" s="75">
        <f>资产资本表!AH58</f>
        <v>186372543.53999999</v>
      </c>
      <c r="AI92" s="75">
        <f>资产资本表!AI58</f>
        <v>187735450.88999999</v>
      </c>
      <c r="AJ92" s="75">
        <f>资产资本表!AJ58</f>
        <v>188952039.68000001</v>
      </c>
      <c r="AK92" s="75">
        <f>资产资本表!AK58</f>
        <v>190411186.41999999</v>
      </c>
      <c r="AL92" s="75">
        <f>资产资本表!AL58</f>
        <v>211285983.81</v>
      </c>
      <c r="AM92" s="75">
        <f>资产资本表!AM58</f>
        <v>189416820.86000001</v>
      </c>
      <c r="AN92" s="75">
        <f>资产资本表!AN58</f>
        <v>190339072.63</v>
      </c>
      <c r="AO92" s="75">
        <f>资产资本表!AO58</f>
        <v>191678594.69999999</v>
      </c>
      <c r="AP92" s="75">
        <f>资产资本表!AP58</f>
        <v>193113203.55000001</v>
      </c>
      <c r="AQ92" s="75">
        <f>资产资本表!AQ58</f>
        <v>193935522.08000001</v>
      </c>
      <c r="AR92" s="75">
        <f>资产资本表!AR58</f>
        <v>194391495.15000001</v>
      </c>
      <c r="AS92" s="75">
        <f>资产资本表!AS58</f>
        <v>195181555.06</v>
      </c>
      <c r="AT92" s="75">
        <f>资产资本表!AT58</f>
        <v>206384313.74000001</v>
      </c>
      <c r="AU92" s="75">
        <f>资产资本表!AU58</f>
        <v>193925009.99000001</v>
      </c>
      <c r="AV92" s="75">
        <f>资产资本表!AV58</f>
        <v>102237026.77</v>
      </c>
      <c r="AW92" s="75">
        <f>资产资本表!AW58</f>
        <v>3125764.44</v>
      </c>
      <c r="AX92" s="75">
        <f>资产资本表!AX58</f>
        <v>201548.34</v>
      </c>
      <c r="AY92" s="75">
        <f>资产资本表!AY58</f>
        <v>219855.84</v>
      </c>
      <c r="AZ92" s="75">
        <f>资产资本表!AZ58</f>
        <v>238163.34</v>
      </c>
      <c r="BA92" s="75">
        <f>资产资本表!BA58</f>
        <v>256470.84</v>
      </c>
      <c r="BB92" s="75">
        <f>资产资本表!BB58</f>
        <v>192650.84</v>
      </c>
      <c r="BC92" s="75">
        <f>资产资本表!BC58</f>
        <v>218415.84</v>
      </c>
      <c r="BD92" s="75">
        <f>资产资本表!BD58</f>
        <v>147128.34</v>
      </c>
      <c r="BE92" s="75">
        <f>资产资本表!BE58</f>
        <v>161340.84</v>
      </c>
      <c r="BF92" s="75">
        <f>资产资本表!BF58</f>
        <v>262369.34000000003</v>
      </c>
      <c r="BG92" s="75">
        <f>资产资本表!BG58</f>
        <v>142965.84</v>
      </c>
      <c r="BH92" s="75">
        <f>资产资本表!BH58</f>
        <v>166710.84</v>
      </c>
      <c r="BI92" s="75">
        <f>资产资本表!BI58</f>
        <v>62880</v>
      </c>
      <c r="BJ92" s="75">
        <f>资产资本表!BJ58</f>
        <v>82500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690</v>
      </c>
      <c r="E93" s="153">
        <f>E81/E92</f>
        <v>42.400577830027736</v>
      </c>
      <c r="F93" s="153">
        <f t="shared" ref="F93:BQ93" si="52">F81/F92</f>
        <v>31.356899729434069</v>
      </c>
      <c r="G93" s="153">
        <f t="shared" si="52"/>
        <v>21.664141590269384</v>
      </c>
      <c r="H93" s="153">
        <f t="shared" si="52"/>
        <v>12.29076279506898</v>
      </c>
      <c r="I93" s="153">
        <f t="shared" si="52"/>
        <v>46.724486664805532</v>
      </c>
      <c r="J93" s="153">
        <f t="shared" si="52"/>
        <v>34.144636368205383</v>
      </c>
      <c r="K93" s="153">
        <f t="shared" si="52"/>
        <v>21.998791599915833</v>
      </c>
      <c r="L93" s="153">
        <f t="shared" si="52"/>
        <v>11.873700420458547</v>
      </c>
      <c r="M93" s="153">
        <f t="shared" si="52"/>
        <v>49.428822420804323</v>
      </c>
      <c r="N93" s="153">
        <f t="shared" si="52"/>
        <v>37.688165765906938</v>
      </c>
      <c r="O93" s="153">
        <f t="shared" si="52"/>
        <v>24.287626854284301</v>
      </c>
      <c r="P93" s="153">
        <f t="shared" si="52"/>
        <v>13.451801996105889</v>
      </c>
      <c r="Q93" s="153">
        <f t="shared" si="52"/>
        <v>42.265313311672585</v>
      </c>
      <c r="R93" s="153">
        <f t="shared" si="52"/>
        <v>31.695985382849123</v>
      </c>
      <c r="S93" s="153">
        <f t="shared" si="52"/>
        <v>20.360462380590597</v>
      </c>
      <c r="T93" s="153">
        <f t="shared" si="52"/>
        <v>11.364107907497409</v>
      </c>
      <c r="U93" s="153">
        <f t="shared" si="52"/>
        <v>36.26208895015538</v>
      </c>
      <c r="V93" s="153">
        <f t="shared" si="52"/>
        <v>27.197250270234196</v>
      </c>
      <c r="W93" s="153">
        <f t="shared" si="52"/>
        <v>17.804757065165731</v>
      </c>
      <c r="X93" s="153">
        <f t="shared" si="52"/>
        <v>9.7153922996559139</v>
      </c>
      <c r="Y93" s="153">
        <f t="shared" si="52"/>
        <v>29.352288874803779</v>
      </c>
      <c r="Z93" s="153">
        <f t="shared" si="52"/>
        <v>21.612891233080976</v>
      </c>
      <c r="AA93" s="153">
        <f t="shared" si="52"/>
        <v>14.089271900006613</v>
      </c>
      <c r="AB93" s="153">
        <f t="shared" si="52"/>
        <v>8.2550869962246107</v>
      </c>
      <c r="AC93" s="153">
        <f t="shared" si="52"/>
        <v>30.352007437821484</v>
      </c>
      <c r="AD93" s="153">
        <f t="shared" si="52"/>
        <v>22.877733744112188</v>
      </c>
      <c r="AE93" s="153">
        <f t="shared" si="52"/>
        <v>14.766322408276558</v>
      </c>
      <c r="AF93" s="153">
        <f t="shared" si="52"/>
        <v>8.1191256379943937</v>
      </c>
      <c r="AG93" s="153">
        <f t="shared" si="52"/>
        <v>23.678149313598841</v>
      </c>
      <c r="AH93" s="153">
        <f t="shared" si="52"/>
        <v>22.169031981758831</v>
      </c>
      <c r="AI93" s="153">
        <f t="shared" si="52"/>
        <v>14.048427423147306</v>
      </c>
      <c r="AJ93" s="153">
        <f t="shared" si="52"/>
        <v>7.4612803636711709</v>
      </c>
      <c r="AK93" s="153">
        <f t="shared" si="52"/>
        <v>21.61477216980202</v>
      </c>
      <c r="AL93" s="153">
        <f t="shared" si="52"/>
        <v>13.582785678584004</v>
      </c>
      <c r="AM93" s="153">
        <f t="shared" si="52"/>
        <v>9.4481763259174567</v>
      </c>
      <c r="AN93" s="153">
        <f t="shared" si="52"/>
        <v>5.121228026338315</v>
      </c>
      <c r="AO93" s="153">
        <f t="shared" si="52"/>
        <v>18.898681402686641</v>
      </c>
      <c r="AP93" s="153">
        <f t="shared" si="52"/>
        <v>14.175678195516113</v>
      </c>
      <c r="AQ93" s="153">
        <f t="shared" si="52"/>
        <v>9.127212596874454</v>
      </c>
      <c r="AR93" s="153">
        <f t="shared" si="52"/>
        <v>4.8812323721663597</v>
      </c>
      <c r="AS93" s="153">
        <f t="shared" si="52"/>
        <v>15.030635721280946</v>
      </c>
      <c r="AT93" s="153">
        <f t="shared" si="52"/>
        <v>9.8698695705438446</v>
      </c>
      <c r="AU93" s="153">
        <f t="shared" si="52"/>
        <v>6.9257033746666137</v>
      </c>
      <c r="AV93" s="153">
        <f t="shared" si="52"/>
        <v>6.7540489040573464</v>
      </c>
      <c r="AW93" s="153">
        <f t="shared" si="52"/>
        <v>665.09613277512369</v>
      </c>
      <c r="AX93" s="153">
        <f t="shared" si="52"/>
        <v>6923.051686012398</v>
      </c>
      <c r="AY93" s="153">
        <f t="shared" si="52"/>
        <v>4323.8512017238209</v>
      </c>
      <c r="AZ93" s="153">
        <f t="shared" si="52"/>
        <v>2089.327722478195</v>
      </c>
      <c r="BA93" s="153">
        <f t="shared" si="52"/>
        <v>5730.3092966046352</v>
      </c>
      <c r="BB93" s="153">
        <f t="shared" si="52"/>
        <v>4635.0690880455022</v>
      </c>
      <c r="BC93" s="153">
        <f t="shared" si="52"/>
        <v>2615.8084544600797</v>
      </c>
      <c r="BD93" s="153">
        <f t="shared" si="52"/>
        <v>2089.6132455514689</v>
      </c>
      <c r="BE93" s="153">
        <f t="shared" si="52"/>
        <v>6229.6714285731996</v>
      </c>
      <c r="BF93" s="153">
        <f t="shared" si="52"/>
        <v>2632.7809188756578</v>
      </c>
      <c r="BG93" s="153">
        <f t="shared" si="52"/>
        <v>2946.5440030989221</v>
      </c>
      <c r="BH93" s="153">
        <f t="shared" si="52"/>
        <v>1291.6573551545898</v>
      </c>
      <c r="BI93" s="153">
        <f t="shared" si="52"/>
        <v>13303.469944179389</v>
      </c>
      <c r="BJ93" s="153">
        <f t="shared" si="52"/>
        <v>6848.9861295757582</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592</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593</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122071.4</v>
      </c>
      <c r="AQ95" s="75">
        <f>资产资本表!AQ60</f>
        <v>122071.4</v>
      </c>
      <c r="AR95" s="75">
        <f>资产资本表!AR60</f>
        <v>122071.4</v>
      </c>
      <c r="AS95" s="75">
        <f>资产资本表!AS60</f>
        <v>122071.4</v>
      </c>
      <c r="AT95" s="75">
        <f>资产资本表!AT60</f>
        <v>122071.4</v>
      </c>
      <c r="AU95" s="75">
        <f>资产资本表!AU60</f>
        <v>122071.4</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594</v>
      </c>
      <c r="E96" s="75">
        <f>资产资本表!E61</f>
        <v>0</v>
      </c>
      <c r="F96" s="75">
        <f>资产资本表!F61</f>
        <v>0</v>
      </c>
      <c r="G96" s="75">
        <f>资产资本表!G61</f>
        <v>0</v>
      </c>
      <c r="H96" s="75">
        <f>资产资本表!H61</f>
        <v>0</v>
      </c>
      <c r="I96" s="75">
        <f>资产资本表!I61</f>
        <v>0</v>
      </c>
      <c r="J96" s="75">
        <f>资产资本表!J61</f>
        <v>0</v>
      </c>
      <c r="K96" s="75">
        <f>资产资本表!K61</f>
        <v>0</v>
      </c>
      <c r="L96" s="75">
        <f>资产资本表!L61</f>
        <v>0</v>
      </c>
      <c r="M96" s="75">
        <f>资产资本表!M61</f>
        <v>0</v>
      </c>
      <c r="N96" s="75">
        <f>资产资本表!N61</f>
        <v>0</v>
      </c>
      <c r="O96" s="75">
        <f>资产资本表!O61</f>
        <v>0</v>
      </c>
      <c r="P96" s="75">
        <f>资产资本表!P61</f>
        <v>0</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331076.47999999998</v>
      </c>
      <c r="BJ96" s="75">
        <f>资产资本表!BJ61</f>
        <v>683596.76</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595</v>
      </c>
      <c r="E97" s="75">
        <f>资产资本表!E62</f>
        <v>209300649.86000001</v>
      </c>
      <c r="F97" s="75">
        <f>资产资本表!F62</f>
        <v>231870268.36000001</v>
      </c>
      <c r="G97" s="75">
        <f>资产资本表!G62</f>
        <v>217768506.87</v>
      </c>
      <c r="H97" s="75">
        <f>资产资本表!H62</f>
        <v>189708050.09</v>
      </c>
      <c r="I97" s="75">
        <f>资产资本表!I62</f>
        <v>150419830.47</v>
      </c>
      <c r="J97" s="75">
        <f>资产资本表!J62</f>
        <v>175259194.88999999</v>
      </c>
      <c r="K97" s="75">
        <f>资产资本表!K62</f>
        <v>162529077.77000001</v>
      </c>
      <c r="L97" s="75">
        <f>资产资本表!L62</f>
        <v>153711138.16999999</v>
      </c>
      <c r="M97" s="75">
        <f>资产资本表!M62</f>
        <v>129135893.03</v>
      </c>
      <c r="N97" s="75">
        <f>资产资本表!N62</f>
        <v>192689995.22999999</v>
      </c>
      <c r="O97" s="75">
        <f>资产资本表!O62</f>
        <v>182972667.09999999</v>
      </c>
      <c r="P97" s="75">
        <f>资产资本表!P62</f>
        <v>188855111.34</v>
      </c>
      <c r="Q97" s="75">
        <f>资产资本表!Q62</f>
        <v>114946524.38</v>
      </c>
      <c r="R97" s="75">
        <f>资产资本表!R62</f>
        <v>107986780.91</v>
      </c>
      <c r="S97" s="75">
        <f>资产资本表!S62</f>
        <v>96899194.269999996</v>
      </c>
      <c r="T97" s="75">
        <f>资产资本表!T62</f>
        <v>96418351.75</v>
      </c>
      <c r="U97" s="75">
        <f>资产资本表!U62</f>
        <v>70944367.049999997</v>
      </c>
      <c r="V97" s="75">
        <f>资产资本表!V62</f>
        <v>75580519.019999996</v>
      </c>
      <c r="W97" s="75">
        <f>资产资本表!W62</f>
        <v>58370122.390000001</v>
      </c>
      <c r="X97" s="75">
        <f>资产资本表!X62</f>
        <v>58011354.520000003</v>
      </c>
      <c r="Y97" s="75">
        <f>资产资本表!Y62</f>
        <v>43153451.390000001</v>
      </c>
      <c r="Z97" s="75">
        <f>资产资本表!Z62</f>
        <v>53403541.060000002</v>
      </c>
      <c r="AA97" s="75">
        <f>资产资本表!AA62</f>
        <v>47424314.700000003</v>
      </c>
      <c r="AB97" s="75">
        <f>资产资本表!AB62</f>
        <v>55314763.07</v>
      </c>
      <c r="AC97" s="75">
        <f>资产资本表!AC62</f>
        <v>34856090.460000001</v>
      </c>
      <c r="AD97" s="75">
        <f>资产资本表!AD62</f>
        <v>51989755.060000002</v>
      </c>
      <c r="AE97" s="75">
        <f>资产资本表!AE62</f>
        <v>49167840.859999999</v>
      </c>
      <c r="AF97" s="75">
        <f>资产资本表!AF62</f>
        <v>45304403.640000001</v>
      </c>
      <c r="AG97" s="75">
        <f>资产资本表!AG62</f>
        <v>29966500.23</v>
      </c>
      <c r="AH97" s="75">
        <f>资产资本表!AH62</f>
        <v>50142221.729999997</v>
      </c>
      <c r="AI97" s="75">
        <f>资产资本表!AI62</f>
        <v>46443198.710000001</v>
      </c>
      <c r="AJ97" s="75">
        <f>资产资本表!AJ62</f>
        <v>35458129.859999999</v>
      </c>
      <c r="AK97" s="75">
        <f>资产资本表!AK62</f>
        <v>33919156.689999998</v>
      </c>
      <c r="AL97" s="75">
        <f>资产资本表!AL62</f>
        <v>14203747.050000001</v>
      </c>
      <c r="AM97" s="75">
        <f>资产资本表!AM62</f>
        <v>16509691.779999999</v>
      </c>
      <c r="AN97" s="75">
        <f>资产资本表!AN62</f>
        <v>15964953.84</v>
      </c>
      <c r="AO97" s="75">
        <f>资产资本表!AO62</f>
        <v>14692309.26</v>
      </c>
      <c r="AP97" s="75">
        <f>资产资本表!AP62</f>
        <v>24100756.059999999</v>
      </c>
      <c r="AQ97" s="75">
        <f>资产资本表!AQ62</f>
        <v>21648453.850000001</v>
      </c>
      <c r="AR97" s="75">
        <f>资产资本表!AR62</f>
        <v>21137441.329999998</v>
      </c>
      <c r="AS97" s="75">
        <f>资产资本表!AS62</f>
        <v>20417134.559999999</v>
      </c>
      <c r="AT97" s="75">
        <f>资产资本表!AT62</f>
        <v>14195711.85</v>
      </c>
      <c r="AU97" s="75">
        <f>资产资本表!AU62</f>
        <v>14556104.119999999</v>
      </c>
      <c r="AV97" s="75">
        <f>资产资本表!AV62</f>
        <v>17661053.52</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596</v>
      </c>
      <c r="E98" s="75">
        <f>资产资本表!E63</f>
        <v>4484750</v>
      </c>
      <c r="F98" s="75">
        <f>资产资本表!F63</f>
        <v>7317692.4500000002</v>
      </c>
      <c r="G98" s="75">
        <f>资产资本表!G63</f>
        <v>7496878.0700000003</v>
      </c>
      <c r="H98" s="75">
        <f>资产资本表!H63</f>
        <v>6659665.9800000004</v>
      </c>
      <c r="I98" s="75">
        <f>资产资本表!I63</f>
        <v>6833704.75</v>
      </c>
      <c r="J98" s="75">
        <f>资产资本表!J63</f>
        <v>129255</v>
      </c>
      <c r="K98" s="75">
        <f>资产资本表!K63</f>
        <v>4595275.0999999996</v>
      </c>
      <c r="L98" s="75">
        <f>资产资本表!L63</f>
        <v>7151962.3300000001</v>
      </c>
      <c r="M98" s="75">
        <f>资产资本表!M63</f>
        <v>1660392.12</v>
      </c>
      <c r="N98" s="75">
        <f>资产资本表!N63</f>
        <v>3450818.18</v>
      </c>
      <c r="O98" s="75">
        <f>资产资本表!O63</f>
        <v>4766904.09</v>
      </c>
      <c r="P98" s="75">
        <f>资产资本表!P63</f>
        <v>4609105.49</v>
      </c>
      <c r="Q98" s="75">
        <f>资产资本表!Q63</f>
        <v>1161698.56</v>
      </c>
      <c r="R98" s="75">
        <f>资产资本表!R63</f>
        <v>316790.14</v>
      </c>
      <c r="S98" s="75">
        <f>资产资本表!S63</f>
        <v>820819.7</v>
      </c>
      <c r="T98" s="75">
        <f>资产资本表!T63</f>
        <v>259486.71</v>
      </c>
      <c r="U98" s="75">
        <f>资产资本表!U63</f>
        <v>821062</v>
      </c>
      <c r="V98" s="75">
        <f>资产资本表!V63</f>
        <v>1436919.48</v>
      </c>
      <c r="W98" s="75">
        <f>资产资本表!W63</f>
        <v>942075.46</v>
      </c>
      <c r="X98" s="75">
        <f>资产资本表!X63</f>
        <v>1179673.3799999999</v>
      </c>
      <c r="Y98" s="75">
        <f>资产资本表!Y63</f>
        <v>556195.81000000006</v>
      </c>
      <c r="Z98" s="75">
        <f>资产资本表!Z63</f>
        <v>721641.81</v>
      </c>
      <c r="AA98" s="75">
        <f>资产资本表!AA63</f>
        <v>263655.56</v>
      </c>
      <c r="AB98" s="75">
        <f>资产资本表!AB63</f>
        <v>117437.04</v>
      </c>
      <c r="AC98" s="75">
        <f>资产资本表!AC63</f>
        <v>132136.13</v>
      </c>
      <c r="AD98" s="75">
        <f>资产资本表!AD63</f>
        <v>992886.72</v>
      </c>
      <c r="AE98" s="75">
        <f>资产资本表!AE63</f>
        <v>1403035.03</v>
      </c>
      <c r="AF98" s="75">
        <f>资产资本表!AF63</f>
        <v>598650.15</v>
      </c>
      <c r="AG98" s="75">
        <f>资产资本表!AG63</f>
        <v>548681.98</v>
      </c>
      <c r="AH98" s="75">
        <f>资产资本表!AH63</f>
        <v>372018.54</v>
      </c>
      <c r="AI98" s="75">
        <f>资产资本表!AI63</f>
        <v>418033.29</v>
      </c>
      <c r="AJ98" s="75">
        <f>资产资本表!AJ63</f>
        <v>157124.79</v>
      </c>
      <c r="AK98" s="75">
        <f>资产资本表!AK63</f>
        <v>1952895</v>
      </c>
      <c r="AL98" s="75">
        <f>资产资本表!AL63</f>
        <v>180532.5</v>
      </c>
      <c r="AM98" s="75">
        <f>资产资本表!AM63</f>
        <v>1128900.3</v>
      </c>
      <c r="AN98" s="75">
        <f>资产资本表!AN63</f>
        <v>1123290.7</v>
      </c>
      <c r="AO98" s="75">
        <f>资产资本表!AO63</f>
        <v>1236501</v>
      </c>
      <c r="AP98" s="75">
        <f>资产资本表!AP63</f>
        <v>0</v>
      </c>
      <c r="AQ98" s="75">
        <f>资产资本表!AQ63</f>
        <v>0</v>
      </c>
      <c r="AR98" s="75">
        <f>资产资本表!AR63</f>
        <v>0</v>
      </c>
      <c r="AS98" s="75">
        <f>资产资本表!AS63</f>
        <v>0</v>
      </c>
      <c r="AT98" s="75">
        <f>资产资本表!AT63</f>
        <v>25390186.440000001</v>
      </c>
      <c r="AU98" s="75">
        <f>资产资本表!AU63</f>
        <v>23187365.030000001</v>
      </c>
      <c r="AV98" s="75">
        <f>资产资本表!AV63</f>
        <v>20546548.620000001</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597</v>
      </c>
      <c r="E99" s="92">
        <f>资产资本表!E64</f>
        <v>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687</v>
      </c>
      <c r="E100" s="195">
        <f>(E84+I84)/2</f>
        <v>857163624.94499993</v>
      </c>
      <c r="F100" s="195">
        <f t="shared" ref="F100:BQ100" si="54">(F84+J84)/2</f>
        <v>850487073.14499998</v>
      </c>
      <c r="G100" s="195">
        <f t="shared" si="54"/>
        <v>863826825.745</v>
      </c>
      <c r="H100" s="195">
        <f t="shared" si="54"/>
        <v>881478805.2750001</v>
      </c>
      <c r="I100" s="195">
        <f t="shared" si="54"/>
        <v>902717983.53999996</v>
      </c>
      <c r="J100" s="195">
        <f t="shared" si="54"/>
        <v>902132118.98000002</v>
      </c>
      <c r="K100" s="195">
        <f t="shared" si="54"/>
        <v>905620339.72500002</v>
      </c>
      <c r="L100" s="195">
        <f t="shared" si="54"/>
        <v>921414331.34000003</v>
      </c>
      <c r="M100" s="195">
        <f t="shared" si="54"/>
        <v>938249352.60000002</v>
      </c>
      <c r="N100" s="195">
        <f t="shared" si="54"/>
        <v>925941810.91499996</v>
      </c>
      <c r="O100" s="195">
        <f t="shared" si="54"/>
        <v>916884371.78500009</v>
      </c>
      <c r="P100" s="195">
        <f t="shared" si="54"/>
        <v>913515909.6400001</v>
      </c>
      <c r="Q100" s="195">
        <f t="shared" si="54"/>
        <v>924984378.63499999</v>
      </c>
      <c r="R100" s="195">
        <f t="shared" si="54"/>
        <v>881927455.875</v>
      </c>
      <c r="S100" s="195">
        <f t="shared" si="54"/>
        <v>879223732.50999999</v>
      </c>
      <c r="T100" s="195">
        <f t="shared" si="54"/>
        <v>873524162.62</v>
      </c>
      <c r="U100" s="195">
        <f t="shared" si="54"/>
        <v>888528479.59500003</v>
      </c>
      <c r="V100" s="195">
        <f t="shared" si="54"/>
        <v>868768615.78999996</v>
      </c>
      <c r="W100" s="195">
        <f t="shared" si="54"/>
        <v>881579156.00999999</v>
      </c>
      <c r="X100" s="195">
        <f t="shared" si="54"/>
        <v>861025793.04499996</v>
      </c>
      <c r="Y100" s="195">
        <f t="shared" si="54"/>
        <v>876097730.83999991</v>
      </c>
      <c r="Z100" s="195">
        <f t="shared" si="54"/>
        <v>866282381.04999995</v>
      </c>
      <c r="AA100" s="195">
        <f t="shared" si="54"/>
        <v>861230094.88999999</v>
      </c>
      <c r="AB100" s="195">
        <f t="shared" si="54"/>
        <v>785557813.18000007</v>
      </c>
      <c r="AC100" s="195">
        <f t="shared" si="54"/>
        <v>785626156.58999991</v>
      </c>
      <c r="AD100" s="195">
        <f t="shared" si="54"/>
        <v>752234432.16999996</v>
      </c>
      <c r="AE100" s="195">
        <f t="shared" si="54"/>
        <v>729744297.02999997</v>
      </c>
      <c r="AF100" s="195">
        <f t="shared" si="54"/>
        <v>676294446.96500003</v>
      </c>
      <c r="AG100" s="195">
        <f t="shared" si="54"/>
        <v>673721582.46499991</v>
      </c>
      <c r="AH100" s="195">
        <f t="shared" si="54"/>
        <v>627485032.60500002</v>
      </c>
      <c r="AI100" s="195">
        <f t="shared" si="54"/>
        <v>575117848.16999996</v>
      </c>
      <c r="AJ100" s="195">
        <f t="shared" si="54"/>
        <v>572913676.17499995</v>
      </c>
      <c r="AK100" s="195">
        <f t="shared" si="54"/>
        <v>581851190.78499997</v>
      </c>
      <c r="AL100" s="195">
        <f t="shared" si="54"/>
        <v>552763379.68999994</v>
      </c>
      <c r="AM100" s="195">
        <f t="shared" si="54"/>
        <v>501323931.36500001</v>
      </c>
      <c r="AN100" s="195">
        <f t="shared" si="54"/>
        <v>504804700.09500003</v>
      </c>
      <c r="AO100" s="195">
        <f t="shared" si="54"/>
        <v>512496348.65499997</v>
      </c>
      <c r="AP100" s="195">
        <f t="shared" si="54"/>
        <v>495555855.32999998</v>
      </c>
      <c r="AQ100" s="195">
        <f t="shared" si="54"/>
        <v>489156730.435</v>
      </c>
      <c r="AR100" s="195">
        <f t="shared" si="54"/>
        <v>492583939.29499996</v>
      </c>
      <c r="AS100" s="195">
        <f t="shared" si="54"/>
        <v>547022219.01999998</v>
      </c>
      <c r="AT100" s="195">
        <f t="shared" si="54"/>
        <v>522113558.10000002</v>
      </c>
      <c r="AU100" s="195">
        <f t="shared" si="54"/>
        <v>520154070.27000004</v>
      </c>
      <c r="AV100" s="195">
        <f t="shared" si="54"/>
        <v>485635743.88999999</v>
      </c>
      <c r="AW100" s="195">
        <f t="shared" si="54"/>
        <v>539582070.55499995</v>
      </c>
      <c r="AX100" s="195">
        <f t="shared" si="54"/>
        <v>472691324.46500003</v>
      </c>
      <c r="AY100" s="195">
        <f t="shared" si="54"/>
        <v>453932666.71000004</v>
      </c>
      <c r="AZ100" s="195">
        <f t="shared" si="54"/>
        <v>423732438.44999999</v>
      </c>
      <c r="BA100" s="195">
        <f t="shared" si="54"/>
        <v>423326485.91499996</v>
      </c>
      <c r="BB100" s="195">
        <f t="shared" si="54"/>
        <v>283077513.74000001</v>
      </c>
      <c r="BC100" s="195">
        <f t="shared" si="54"/>
        <v>264602124.62</v>
      </c>
      <c r="BD100" s="195">
        <f t="shared" si="54"/>
        <v>262297442.13499999</v>
      </c>
      <c r="BE100" s="195">
        <f t="shared" si="54"/>
        <v>256222882.59</v>
      </c>
      <c r="BF100" s="195">
        <f t="shared" si="54"/>
        <v>140312181.5</v>
      </c>
      <c r="BG100" s="195">
        <f t="shared" si="54"/>
        <v>91025072.629999995</v>
      </c>
      <c r="BH100" s="195">
        <f t="shared" si="54"/>
        <v>83589330.569999993</v>
      </c>
      <c r="BI100" s="195">
        <f t="shared" si="54"/>
        <v>78654293.719999999</v>
      </c>
      <c r="BJ100" s="195">
        <f t="shared" si="54"/>
        <v>48604051.604999997</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688</v>
      </c>
      <c r="E101" s="250">
        <f>E100/E84</f>
        <v>1.0337265465054883</v>
      </c>
      <c r="F101" s="250">
        <f t="shared" ref="F101:BQ101" si="56">F100/F84</f>
        <v>1.0182935260705059</v>
      </c>
      <c r="G101" s="250">
        <f t="shared" si="56"/>
        <v>1.0215348688638681</v>
      </c>
      <c r="H101" s="250">
        <f t="shared" si="56"/>
        <v>1.0208512360696733</v>
      </c>
      <c r="I101" s="250">
        <f t="shared" si="56"/>
        <v>1.0198709719656376</v>
      </c>
      <c r="J101" s="250">
        <f t="shared" si="56"/>
        <v>1.0420045883244802</v>
      </c>
      <c r="K101" s="250">
        <f t="shared" si="56"/>
        <v>1.0267372796463183</v>
      </c>
      <c r="L101" s="250">
        <f t="shared" si="56"/>
        <v>1.0243817971209086</v>
      </c>
      <c r="M101" s="250">
        <f t="shared" si="56"/>
        <v>1.0194967504680879</v>
      </c>
      <c r="N101" s="250">
        <f t="shared" si="56"/>
        <v>0.9866206982383845</v>
      </c>
      <c r="O101" s="250">
        <f t="shared" si="56"/>
        <v>0.98674215259935238</v>
      </c>
      <c r="P101" s="250">
        <f t="shared" si="56"/>
        <v>0.96837908694875763</v>
      </c>
      <c r="Q101" s="250">
        <f t="shared" si="56"/>
        <v>0.96736225923118746</v>
      </c>
      <c r="R101" s="250">
        <f t="shared" si="56"/>
        <v>0.96555900173000564</v>
      </c>
      <c r="S101" s="250">
        <f t="shared" si="56"/>
        <v>0.9719849918035548</v>
      </c>
      <c r="T101" s="250">
        <f t="shared" si="56"/>
        <v>0.98850010035876201</v>
      </c>
      <c r="U101" s="250">
        <f t="shared" si="56"/>
        <v>0.99412835098190055</v>
      </c>
      <c r="V101" s="250">
        <f t="shared" si="56"/>
        <v>1.0215164240162713</v>
      </c>
      <c r="W101" s="250">
        <f t="shared" si="56"/>
        <v>1.0324363463467923</v>
      </c>
      <c r="X101" s="250">
        <f t="shared" si="56"/>
        <v>0.99729422390359723</v>
      </c>
      <c r="Y101" s="250">
        <f t="shared" si="56"/>
        <v>0.9918680339939967</v>
      </c>
      <c r="Z101" s="250">
        <f t="shared" si="56"/>
        <v>0.97656853166306734</v>
      </c>
      <c r="AA101" s="250">
        <f t="shared" si="56"/>
        <v>0.94716028432032728</v>
      </c>
      <c r="AB101" s="250">
        <f t="shared" si="56"/>
        <v>0.91483313063417171</v>
      </c>
      <c r="AC101" s="250">
        <f t="shared" si="56"/>
        <v>0.90414623493674584</v>
      </c>
      <c r="AD101" s="250">
        <f t="shared" si="56"/>
        <v>0.88969488773392025</v>
      </c>
      <c r="AE101" s="250">
        <f t="shared" si="56"/>
        <v>0.8973911291511355</v>
      </c>
      <c r="AF101" s="250">
        <f t="shared" si="56"/>
        <v>0.94928391799412093</v>
      </c>
      <c r="AG101" s="250">
        <f t="shared" si="56"/>
        <v>0.95925632380292281</v>
      </c>
      <c r="AH101" s="250">
        <f t="shared" si="56"/>
        <v>0.95221836532682169</v>
      </c>
      <c r="AI101" s="250">
        <f t="shared" si="56"/>
        <v>0.88985602288860643</v>
      </c>
      <c r="AJ101" s="250">
        <f t="shared" si="56"/>
        <v>0.89494969108263978</v>
      </c>
      <c r="AK101" s="250">
        <f t="shared" si="56"/>
        <v>0.90194695673349823</v>
      </c>
      <c r="AL101" s="250">
        <f t="shared" si="56"/>
        <v>0.9274580058804105</v>
      </c>
      <c r="AM101" s="250">
        <f t="shared" si="56"/>
        <v>0.99482591867593084</v>
      </c>
      <c r="AN101" s="250">
        <f t="shared" si="56"/>
        <v>0.9982999483640429</v>
      </c>
      <c r="AO101" s="250">
        <f t="shared" si="56"/>
        <v>0.98823698890233624</v>
      </c>
      <c r="AP101" s="250">
        <f t="shared" si="56"/>
        <v>0.97257735134272105</v>
      </c>
      <c r="AQ101" s="250">
        <f t="shared" si="56"/>
        <v>0.98083115681761757</v>
      </c>
      <c r="AR101" s="250">
        <f t="shared" si="56"/>
        <v>0.97745566623347069</v>
      </c>
      <c r="AS101" s="250">
        <f t="shared" si="56"/>
        <v>1.0802259905248666</v>
      </c>
      <c r="AT101" s="250">
        <f t="shared" si="56"/>
        <v>1.0841605774407128</v>
      </c>
      <c r="AU101" s="250">
        <f t="shared" si="56"/>
        <v>1.0845650967121085</v>
      </c>
      <c r="AV101" s="250">
        <f t="shared" si="56"/>
        <v>1.0091702005144425</v>
      </c>
      <c r="AW101" s="250">
        <f t="shared" si="56"/>
        <v>0.91820571484843438</v>
      </c>
      <c r="AX101" s="250">
        <f t="shared" si="56"/>
        <v>0.84012523769608005</v>
      </c>
      <c r="AY101" s="250">
        <f t="shared" si="56"/>
        <v>0.80956585649864166</v>
      </c>
      <c r="AZ101" s="250">
        <f t="shared" si="56"/>
        <v>0.86467422201893263</v>
      </c>
      <c r="BA101" s="250">
        <f t="shared" si="56"/>
        <v>0.86126731023720859</v>
      </c>
      <c r="BB101" s="250">
        <f t="shared" si="56"/>
        <v>0.73961024499425465</v>
      </c>
      <c r="BC101" s="250">
        <f t="shared" si="56"/>
        <v>0.76220364842710908</v>
      </c>
      <c r="BD101" s="250">
        <f t="shared" si="56"/>
        <v>0.73387111485310708</v>
      </c>
      <c r="BE101" s="250">
        <f t="shared" si="56"/>
        <v>0.72147580892694851</v>
      </c>
      <c r="BF101" s="250">
        <f t="shared" si="56"/>
        <v>0.76499314543131869</v>
      </c>
      <c r="BG101" s="250">
        <f t="shared" si="56"/>
        <v>0.5</v>
      </c>
      <c r="BH101" s="250">
        <f t="shared" si="56"/>
        <v>0.5</v>
      </c>
      <c r="BI101" s="250">
        <f t="shared" si="56"/>
        <v>0.5</v>
      </c>
      <c r="BJ101" s="250">
        <f t="shared" si="56"/>
        <v>0.5</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4" t="s">
        <v>689</v>
      </c>
      <c r="B102" s="285"/>
      <c r="C102" s="285"/>
      <c r="D102" s="285"/>
      <c r="E102" s="285"/>
      <c r="F102" s="285"/>
      <c r="G102" s="285"/>
      <c r="H102" s="285"/>
      <c r="I102" s="285"/>
      <c r="J102" s="285"/>
      <c r="K102" s="285"/>
      <c r="L102" s="285"/>
      <c r="M102" s="285"/>
      <c r="N102" s="285"/>
      <c r="O102" s="285"/>
      <c r="P102" s="285"/>
      <c r="Q102" s="285"/>
      <c r="R102" s="285"/>
      <c r="S102" s="285"/>
      <c r="T102" s="285"/>
      <c r="U102" s="285"/>
      <c r="V102" s="285"/>
      <c r="W102" s="285"/>
      <c r="X102" s="285"/>
      <c r="Y102" s="285"/>
      <c r="Z102" s="285"/>
      <c r="AA102" s="285"/>
      <c r="AB102" s="285"/>
      <c r="AC102" s="285"/>
      <c r="AD102" s="285"/>
      <c r="AE102" s="285"/>
      <c r="AF102" s="285"/>
      <c r="AG102" s="285"/>
      <c r="AH102" s="285"/>
      <c r="AI102" s="285"/>
      <c r="AJ102" s="285"/>
      <c r="AK102" s="285"/>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1" workbookViewId="0">
      <selection activeCell="M31" sqref="M31"/>
    </sheetView>
  </sheetViews>
  <sheetFormatPr defaultRowHeight="14.4" x14ac:dyDescent="0.25"/>
  <cols>
    <col min="1" max="1" width="63.21875" style="17" bestFit="1" customWidth="1"/>
    <col min="2" max="4" width="9.5546875" hidden="1" customWidth="1"/>
    <col min="5" max="5" width="20.44140625" bestFit="1" customWidth="1"/>
    <col min="6" max="6" width="20.44140625" hidden="1" customWidth="1"/>
    <col min="7" max="8" width="19.33203125" hidden="1" customWidth="1"/>
    <col min="9" max="9" width="21.44140625" bestFit="1" customWidth="1"/>
    <col min="10"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5" width="20.21875" hidden="1" customWidth="1"/>
    <col min="36" max="36" width="19.33203125" hidden="1" customWidth="1"/>
    <col min="37" max="37" width="19.33203125" bestFit="1" customWidth="1"/>
    <col min="38" max="39" width="19.33203125" hidden="1" customWidth="1"/>
    <col min="40" max="40" width="19" hidden="1" customWidth="1"/>
    <col min="41" max="41" width="19.33203125" bestFit="1" customWidth="1"/>
    <col min="42" max="42" width="19.33203125" hidden="1" customWidth="1"/>
    <col min="43" max="43" width="20.21875" hidden="1" customWidth="1"/>
    <col min="44" max="44" width="19" hidden="1" customWidth="1"/>
    <col min="45" max="45" width="19.33203125" bestFit="1" customWidth="1"/>
    <col min="46" max="48" width="20.21875" hidden="1" customWidth="1"/>
    <col min="49" max="49" width="19.33203125" bestFit="1" customWidth="1"/>
    <col min="50" max="50" width="19.33203125" hidden="1" customWidth="1"/>
    <col min="51" max="52" width="20.21875" hidden="1" customWidth="1"/>
    <col min="53" max="53" width="19.33203125" bestFit="1" customWidth="1"/>
    <col min="54" max="55" width="20.21875" hidden="1" customWidth="1"/>
    <col min="56" max="56" width="19" hidden="1" customWidth="1"/>
    <col min="57" max="57" width="19.33203125" bestFit="1" customWidth="1"/>
    <col min="58" max="59" width="17.77734375" hidden="1" customWidth="1"/>
    <col min="60" max="60" width="19.33203125" bestFit="1" customWidth="1"/>
    <col min="61" max="64" width="17.21875" hidden="1" customWidth="1"/>
    <col min="65" max="65" width="17.21875" bestFit="1" customWidth="1"/>
    <col min="66" max="66" width="10.5546875" hidden="1" customWidth="1"/>
    <col min="67" max="67" width="17.21875" bestFit="1" customWidth="1"/>
    <col min="68" max="68" width="17.21875" hidden="1" customWidth="1"/>
    <col min="69" max="69" width="17.21875" bestFit="1" customWidth="1"/>
    <col min="70" max="70" width="16.109375" hidden="1" customWidth="1"/>
    <col min="71" max="72" width="17.21875" bestFit="1" customWidth="1"/>
    <col min="73" max="73" width="18.33203125" hidden="1" customWidth="1"/>
    <col min="74" max="74" width="17.21875" hidden="1" customWidth="1"/>
    <col min="75" max="81" width="17.21875" bestFit="1" customWidth="1"/>
    <col min="82"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16145419101.27</v>
      </c>
      <c r="F2" s="26">
        <f>现金流量表!F4</f>
        <v>7425785070.1899996</v>
      </c>
      <c r="G2" s="26">
        <f>现金流量表!G4</f>
        <v>4876404641.2299995</v>
      </c>
      <c r="H2" s="26">
        <f>现金流量表!H4</f>
        <v>2931134152.02</v>
      </c>
      <c r="I2" s="26">
        <f>现金流量表!I4</f>
        <v>13208930546.450001</v>
      </c>
      <c r="J2" s="26">
        <f>现金流量表!J4</f>
        <v>5638079004.5799999</v>
      </c>
      <c r="K2" s="26">
        <f>现金流量表!K4</f>
        <v>3511182907.6999998</v>
      </c>
      <c r="L2" s="26">
        <f>现金流量表!L4</f>
        <v>1987047898.01</v>
      </c>
      <c r="M2" s="26">
        <f>现金流量表!M4</f>
        <v>12004769332.530001</v>
      </c>
      <c r="N2" s="26">
        <f>现金流量表!N4</f>
        <v>5060179787.6400003</v>
      </c>
      <c r="O2" s="26">
        <f>现金流量表!O4</f>
        <v>3115784479.6999998</v>
      </c>
      <c r="P2" s="26">
        <f>现金流量表!P4</f>
        <v>1714627781.75</v>
      </c>
      <c r="Q2" s="26">
        <f>现金流量表!Q4</f>
        <v>10490880096.66</v>
      </c>
      <c r="R2" s="26">
        <f>现金流量表!R4</f>
        <v>4747029327.0500002</v>
      </c>
      <c r="S2" s="26">
        <f>现金流量表!S4</f>
        <v>2996446267.1300001</v>
      </c>
      <c r="T2" s="26">
        <f>现金流量表!T4</f>
        <v>1600511749</v>
      </c>
      <c r="U2" s="26">
        <f>现金流量表!U4</f>
        <v>9333237746.0499992</v>
      </c>
      <c r="V2" s="26">
        <f>现金流量表!V4</f>
        <v>4351071085.4099998</v>
      </c>
      <c r="W2" s="26">
        <f>现金流量表!W4</f>
        <v>2872647834.2399998</v>
      </c>
      <c r="X2" s="26">
        <f>现金流量表!X4</f>
        <v>1548658126.3699999</v>
      </c>
      <c r="Y2" s="26">
        <f>现金流量表!Y4</f>
        <v>7889937964.5600004</v>
      </c>
      <c r="Z2" s="26">
        <f>现金流量表!Z4</f>
        <v>3823817763.6900001</v>
      </c>
      <c r="AA2" s="26">
        <f>现金流量表!AA4</f>
        <v>2490009947.8600001</v>
      </c>
      <c r="AB2" s="26">
        <f>现金流量表!AB4</f>
        <v>1287487679.1199999</v>
      </c>
      <c r="AC2" s="26">
        <f>现金流量表!AC4</f>
        <v>7306758721.8500004</v>
      </c>
      <c r="AD2" s="26">
        <f>现金流量表!AD4</f>
        <v>3921997324.7399998</v>
      </c>
      <c r="AE2" s="26">
        <f>现金流量表!AE4</f>
        <v>2716377953.48</v>
      </c>
      <c r="AF2" s="26">
        <f>现金流量表!AF4</f>
        <v>1405427992.79</v>
      </c>
      <c r="AG2" s="26">
        <f>现金流量表!AG4</f>
        <v>6125853483.3500004</v>
      </c>
      <c r="AH2" s="26">
        <f>现金流量表!AH4</f>
        <v>3551384470.5700002</v>
      </c>
      <c r="AI2" s="26">
        <f>现金流量表!AI4</f>
        <v>2207145621.75</v>
      </c>
      <c r="AJ2" s="26">
        <f>现金流量表!AJ4</f>
        <v>1240150996.8099999</v>
      </c>
      <c r="AK2" s="26">
        <f>现金流量表!AK4</f>
        <v>4439029538.6300001</v>
      </c>
      <c r="AL2" s="26">
        <f>现金流量表!AL4</f>
        <v>3047275439.9099998</v>
      </c>
      <c r="AM2" s="26">
        <f>现金流量表!AM4</f>
        <v>1908766976.8499999</v>
      </c>
      <c r="AN2" s="26">
        <f>现金流量表!AN4</f>
        <v>901268467.88</v>
      </c>
      <c r="AO2" s="26">
        <f>现金流量表!AO4</f>
        <v>3971286482.2600002</v>
      </c>
      <c r="AP2" s="26">
        <f>现金流量表!AP4</f>
        <v>2908248337.79</v>
      </c>
      <c r="AQ2" s="26">
        <f>现金流量表!AQ4</f>
        <v>1863345979.1199999</v>
      </c>
      <c r="AR2" s="26">
        <f>现金流量表!AR4</f>
        <v>856909178.10000002</v>
      </c>
      <c r="AS2" s="26">
        <f>现金流量表!AS4</f>
        <v>3204403575.2199998</v>
      </c>
      <c r="AT2" s="26">
        <f>现金流量表!AT4</f>
        <v>2033452014.72</v>
      </c>
      <c r="AU2" s="26">
        <f>现金流量表!AU4</f>
        <v>1352935924.6600001</v>
      </c>
      <c r="AV2" s="26">
        <f>现金流量表!AV4</f>
        <v>615219706.13</v>
      </c>
      <c r="AW2" s="26">
        <f>现金流量表!AW4</f>
        <v>2487517374.4699998</v>
      </c>
      <c r="AX2" s="26">
        <f>现金流量表!AX4</f>
        <v>1513815837.9000001</v>
      </c>
      <c r="AY2" s="26">
        <f>现金流量表!AY4</f>
        <v>968845865.5</v>
      </c>
      <c r="AZ2" s="26">
        <f>现金流量表!AZ4</f>
        <v>482141823.43000001</v>
      </c>
      <c r="BA2" s="26">
        <f>现金流量表!BA4</f>
        <v>1718803360.4100001</v>
      </c>
      <c r="BB2" s="26">
        <f>现金流量表!BB4</f>
        <v>994487263.40999997</v>
      </c>
      <c r="BC2" s="26">
        <f>现金流量表!BC4</f>
        <v>658931913.41999996</v>
      </c>
      <c r="BD2" s="26">
        <f>现金流量表!BD4</f>
        <v>377821958.61000001</v>
      </c>
      <c r="BE2" s="26">
        <f>现金流量表!BE4</f>
        <v>1262868850.24</v>
      </c>
      <c r="BF2" s="26">
        <f>现金流量表!BF4</f>
        <v>767116303.61000001</v>
      </c>
      <c r="BG2" s="26">
        <f>现金流量表!BG4</f>
        <v>476600395.91000003</v>
      </c>
      <c r="BH2" s="26">
        <f>现金流量表!BH4</f>
        <v>1001990396.3200001</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14187347425.77</v>
      </c>
      <c r="F3" s="26">
        <f>利润表!F3</f>
        <v>10496638285.280001</v>
      </c>
      <c r="G3" s="26">
        <f>利润表!G3</f>
        <v>6909466633.0699997</v>
      </c>
      <c r="H3" s="26">
        <f>利润表!H3</f>
        <v>3946557740.5500002</v>
      </c>
      <c r="I3" s="26">
        <f>利润表!I3</f>
        <v>11947123201.120001</v>
      </c>
      <c r="J3" s="26">
        <f>利润表!J3</f>
        <v>8831589881.3400002</v>
      </c>
      <c r="K3" s="26">
        <f>利润表!K3</f>
        <v>5751920817.7799997</v>
      </c>
      <c r="L3" s="26">
        <f>利润表!L3</f>
        <v>3133161846.48</v>
      </c>
      <c r="M3" s="26">
        <f>利润表!M3</f>
        <v>10909686625.9</v>
      </c>
      <c r="N3" s="26">
        <f>利润表!N3</f>
        <v>8278621743.6099997</v>
      </c>
      <c r="O3" s="26">
        <f>利润表!O3</f>
        <v>5379574852.0900002</v>
      </c>
      <c r="P3" s="26">
        <f>利润表!P3</f>
        <v>3006733799.9699998</v>
      </c>
      <c r="Q3" s="26">
        <f>利润表!Q3</f>
        <v>9534643945.8400002</v>
      </c>
      <c r="R3" s="26">
        <f>利润表!R3</f>
        <v>7165393933.3800001</v>
      </c>
      <c r="S3" s="26">
        <f>利润表!S3</f>
        <v>4642903746.8100004</v>
      </c>
      <c r="T3" s="26">
        <f>利润表!T3</f>
        <v>2597184476.3400002</v>
      </c>
      <c r="U3" s="26">
        <f>利润表!U3</f>
        <v>8383249626.6099997</v>
      </c>
      <c r="V3" s="26">
        <f>利润表!V3</f>
        <v>6309123886.5600004</v>
      </c>
      <c r="W3" s="26">
        <f>利润表!W3</f>
        <v>4137281725.73</v>
      </c>
      <c r="X3" s="26">
        <f>利润表!X3</f>
        <v>2271122489.46</v>
      </c>
      <c r="Y3" s="26">
        <f>利润表!Y3</f>
        <v>6889460447.5</v>
      </c>
      <c r="Z3" s="26">
        <f>利润表!Z3</f>
        <v>5094265010.2200003</v>
      </c>
      <c r="AA3" s="26">
        <f>利润表!AA3</f>
        <v>3337991428.0799999</v>
      </c>
      <c r="AB3" s="26">
        <f>利润表!AB3</f>
        <v>1921580092.78</v>
      </c>
      <c r="AC3" s="26">
        <f>利润表!AC3</f>
        <v>7125653010.6000004</v>
      </c>
      <c r="AD3" s="26">
        <f>利润表!AD3</f>
        <v>5320905422.1599998</v>
      </c>
      <c r="AE3" s="26">
        <f>利润表!AE3</f>
        <v>3478460807.9000001</v>
      </c>
      <c r="AF3" s="26">
        <f>利润表!AF3</f>
        <v>1916611704.77</v>
      </c>
      <c r="AG3" s="26">
        <f>利润表!AG3</f>
        <v>5622064477.6899996</v>
      </c>
      <c r="AH3" s="26">
        <f>利润表!AH3</f>
        <v>4131698878.2600002</v>
      </c>
      <c r="AI3" s="26">
        <f>利润表!AI3</f>
        <v>2637387856.5799999</v>
      </c>
      <c r="AJ3" s="26">
        <f>利润表!AJ3</f>
        <v>1409824143.3399999</v>
      </c>
      <c r="AK3" s="26">
        <f>利润表!AK3</f>
        <v>4115694413.0500002</v>
      </c>
      <c r="AL3" s="26">
        <f>利润表!AL3</f>
        <v>2869852234.98</v>
      </c>
      <c r="AM3" s="26">
        <f>利润表!AM3</f>
        <v>1789643522.5799999</v>
      </c>
      <c r="AN3" s="26">
        <f>利润表!AN3</f>
        <v>974769793.25999999</v>
      </c>
      <c r="AO3" s="26">
        <f>利润表!AO3</f>
        <v>3622472692.9499998</v>
      </c>
      <c r="AP3" s="26">
        <f>利润表!AP3</f>
        <v>2737510628.8299999</v>
      </c>
      <c r="AQ3" s="26">
        <f>利润表!AQ3</f>
        <v>1770090740.1099999</v>
      </c>
      <c r="AR3" s="26">
        <f>利润表!AR3</f>
        <v>948870059</v>
      </c>
      <c r="AS3" s="26">
        <f>利润表!AS3</f>
        <v>2933702853.6199999</v>
      </c>
      <c r="AT3" s="26">
        <f>利润表!AT3</f>
        <v>2036986258.02</v>
      </c>
      <c r="AU3" s="26">
        <f>利润表!AU3</f>
        <v>1343067096.1199999</v>
      </c>
      <c r="AV3" s="26">
        <f>利润表!AV3</f>
        <v>690513878.61000001</v>
      </c>
      <c r="AW3" s="26">
        <f>利润表!AW3</f>
        <v>2080585722.0799999</v>
      </c>
      <c r="AX3" s="26">
        <f>利润表!AX3</f>
        <v>1397118801.5799999</v>
      </c>
      <c r="AY3" s="26">
        <f>利润表!AY3</f>
        <v>951886067.29999995</v>
      </c>
      <c r="AZ3" s="26">
        <f>利润表!AZ3</f>
        <v>498223895.42000002</v>
      </c>
      <c r="BA3" s="26">
        <f>利润表!BA3</f>
        <v>1472403894.6600001</v>
      </c>
      <c r="BB3" s="26">
        <f>利润表!BB3</f>
        <v>902360852.02999997</v>
      </c>
      <c r="BC3" s="26">
        <f>利润表!BC3</f>
        <v>579830782.63</v>
      </c>
      <c r="BD3" s="26">
        <f>利润表!BD3</f>
        <v>312396121.63</v>
      </c>
      <c r="BE3" s="26">
        <f>利润表!BE3</f>
        <v>1009948833.66</v>
      </c>
      <c r="BF3" s="26">
        <f>利润表!BF3</f>
        <v>691723229.74000001</v>
      </c>
      <c r="BG3" s="26">
        <f>利润表!BG3</f>
        <v>421845520.31999999</v>
      </c>
      <c r="BH3" s="26">
        <f>利润表!BH3</f>
        <v>215554462.96000001</v>
      </c>
      <c r="BI3" s="26">
        <f>利润表!BI3</f>
        <v>838843200.02999997</v>
      </c>
      <c r="BJ3" s="26">
        <f>利润表!BJ3</f>
        <v>565638707.80999994</v>
      </c>
      <c r="BK3" s="26">
        <f>利润表!BK3</f>
        <v>359611989.17000002</v>
      </c>
      <c r="BL3" s="26">
        <f>利润表!BL3</f>
        <v>617031567.38999999</v>
      </c>
      <c r="BM3" s="26">
        <f>利润表!BM3</f>
        <v>470281959.82999998</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0.97266268959435354</v>
      </c>
      <c r="F5" s="28">
        <f t="shared" ref="F5:BQ5" si="2">(F2/(1+F4))/F3</f>
        <v>0.60465309690786739</v>
      </c>
      <c r="G5" s="28">
        <f t="shared" si="2"/>
        <v>0.60321113568713158</v>
      </c>
      <c r="H5" s="28">
        <f t="shared" si="2"/>
        <v>0.63479189452457452</v>
      </c>
      <c r="I5" s="28">
        <f t="shared" si="2"/>
        <v>0.94497093883460381</v>
      </c>
      <c r="J5" s="28">
        <f t="shared" si="2"/>
        <v>0.54564025377436487</v>
      </c>
      <c r="K5" s="28">
        <f t="shared" si="2"/>
        <v>0.52174067190662177</v>
      </c>
      <c r="L5" s="28">
        <f t="shared" si="2"/>
        <v>0.54205036955518304</v>
      </c>
      <c r="M5" s="28">
        <f t="shared" si="2"/>
        <v>0.94049324795830769</v>
      </c>
      <c r="N5" s="28">
        <f t="shared" si="2"/>
        <v>0.5224227079554854</v>
      </c>
      <c r="O5" s="28">
        <f t="shared" si="2"/>
        <v>0.49503236428221276</v>
      </c>
      <c r="P5" s="28">
        <f t="shared" si="2"/>
        <v>0.48740391669198579</v>
      </c>
      <c r="Q5" s="28">
        <f t="shared" si="2"/>
        <v>0.94041940486845677</v>
      </c>
      <c r="R5" s="28">
        <f t="shared" si="2"/>
        <v>0.56623404949430145</v>
      </c>
      <c r="S5" s="28">
        <f t="shared" si="2"/>
        <v>0.55160850304958997</v>
      </c>
      <c r="T5" s="28">
        <f t="shared" si="2"/>
        <v>0.52670835371571767</v>
      </c>
      <c r="U5" s="28">
        <f t="shared" si="2"/>
        <v>0.9515553793548418</v>
      </c>
      <c r="V5" s="28">
        <f t="shared" si="2"/>
        <v>0.58944224942011458</v>
      </c>
      <c r="W5" s="28">
        <f t="shared" si="2"/>
        <v>0.59344630652297947</v>
      </c>
      <c r="X5" s="28">
        <f t="shared" si="2"/>
        <v>0.5828128735419208</v>
      </c>
      <c r="Y5" s="28">
        <f t="shared" si="2"/>
        <v>0.97881928102123039</v>
      </c>
      <c r="Z5" s="28">
        <f t="shared" si="2"/>
        <v>0.6415489387162866</v>
      </c>
      <c r="AA5" s="28">
        <f t="shared" si="2"/>
        <v>0.63757312638568198</v>
      </c>
      <c r="AB5" s="28">
        <f t="shared" si="2"/>
        <v>0.57266247912085833</v>
      </c>
      <c r="AC5" s="28">
        <f t="shared" si="2"/>
        <v>0.87642394533778534</v>
      </c>
      <c r="AD5" s="28">
        <f t="shared" si="2"/>
        <v>0.62999324356134834</v>
      </c>
      <c r="AE5" s="28">
        <f t="shared" si="2"/>
        <v>0.66744766916938614</v>
      </c>
      <c r="AF5" s="28">
        <f t="shared" si="2"/>
        <v>0.62674171490686492</v>
      </c>
      <c r="AG5" s="28">
        <f t="shared" si="2"/>
        <v>0.93128996096870331</v>
      </c>
      <c r="AH5" s="28">
        <f t="shared" si="2"/>
        <v>0.73465454085700954</v>
      </c>
      <c r="AI5" s="28">
        <f t="shared" si="2"/>
        <v>0.71527183408101536</v>
      </c>
      <c r="AJ5" s="28">
        <f t="shared" si="2"/>
        <v>0.75183711524508867</v>
      </c>
      <c r="AK5" s="28">
        <f t="shared" si="2"/>
        <v>0.92184743567921201</v>
      </c>
      <c r="AL5" s="28">
        <f t="shared" si="2"/>
        <v>0.90754112398339237</v>
      </c>
      <c r="AM5" s="28">
        <f t="shared" si="2"/>
        <v>0.91159202710188569</v>
      </c>
      <c r="AN5" s="28">
        <f t="shared" si="2"/>
        <v>0.79025318094412877</v>
      </c>
      <c r="AO5" s="28">
        <f t="shared" si="2"/>
        <v>0.93700139058478837</v>
      </c>
      <c r="AP5" s="28">
        <f t="shared" si="2"/>
        <v>0.9080082881920436</v>
      </c>
      <c r="AQ5" s="28">
        <f t="shared" si="2"/>
        <v>0.89972980755681187</v>
      </c>
      <c r="AR5" s="28">
        <f t="shared" si="2"/>
        <v>0.77186649528697693</v>
      </c>
      <c r="AS5" s="28">
        <f t="shared" si="2"/>
        <v>0.93356642141432222</v>
      </c>
      <c r="AT5" s="28">
        <f t="shared" si="2"/>
        <v>0.85321791844768291</v>
      </c>
      <c r="AU5" s="28">
        <f t="shared" si="2"/>
        <v>0.86098117845564115</v>
      </c>
      <c r="AV5" s="28">
        <f t="shared" si="2"/>
        <v>0.76150360614997292</v>
      </c>
      <c r="AW5" s="28">
        <f t="shared" si="2"/>
        <v>1.0218676421163029</v>
      </c>
      <c r="AX5" s="28">
        <f t="shared" si="2"/>
        <v>0.92609138825531256</v>
      </c>
      <c r="AY5" s="28">
        <f t="shared" si="2"/>
        <v>0.86992909946150165</v>
      </c>
      <c r="AZ5" s="28">
        <f t="shared" si="2"/>
        <v>0.82711213243849435</v>
      </c>
      <c r="BA5" s="28">
        <f t="shared" si="2"/>
        <v>0.99773079012695554</v>
      </c>
      <c r="BB5" s="28">
        <f t="shared" si="2"/>
        <v>0.94196142498143554</v>
      </c>
      <c r="BC5" s="28">
        <f t="shared" si="2"/>
        <v>0.9713000524656944</v>
      </c>
      <c r="BD5" s="28">
        <f t="shared" si="2"/>
        <v>1.0337028169997193</v>
      </c>
      <c r="BE5" s="28">
        <f t="shared" si="2"/>
        <v>1.0687423458509446</v>
      </c>
      <c r="BF5" s="28">
        <f t="shared" si="2"/>
        <v>0.94785736861384617</v>
      </c>
      <c r="BG5" s="28">
        <f t="shared" si="2"/>
        <v>0.9656396621825879</v>
      </c>
      <c r="BH5" s="28">
        <f t="shared" si="2"/>
        <v>3.9730193305980075</v>
      </c>
      <c r="BI5" s="28">
        <f t="shared" si="2"/>
        <v>0</v>
      </c>
      <c r="BJ5" s="28">
        <f t="shared" si="2"/>
        <v>0</v>
      </c>
      <c r="BK5" s="28">
        <f t="shared" si="2"/>
        <v>0</v>
      </c>
      <c r="BL5" s="28">
        <f t="shared" si="2"/>
        <v>0</v>
      </c>
      <c r="BM5" s="28">
        <f t="shared" si="2"/>
        <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11944848997.82</v>
      </c>
      <c r="F6" s="26">
        <f>现金流量表!F8</f>
        <v>4695459254</v>
      </c>
      <c r="G6" s="26">
        <f>现金流量表!G8</f>
        <v>3035326084.3099999</v>
      </c>
      <c r="H6" s="26">
        <f>现金流量表!H8</f>
        <v>1802397865.1199999</v>
      </c>
      <c r="I6" s="26">
        <f>现金流量表!I8</f>
        <v>8982777683.7399998</v>
      </c>
      <c r="J6" s="26">
        <f>现金流量表!J8</f>
        <v>3365685073.0100002</v>
      </c>
      <c r="K6" s="26">
        <f>现金流量表!K8</f>
        <v>2161394169.2800002</v>
      </c>
      <c r="L6" s="26">
        <f>现金流量表!L8</f>
        <v>1213823162.9300001</v>
      </c>
      <c r="M6" s="26">
        <f>现金流量表!M8</f>
        <v>8039688106.6400003</v>
      </c>
      <c r="N6" s="26">
        <f>现金流量表!N8</f>
        <v>3128708022.9699998</v>
      </c>
      <c r="O6" s="26">
        <f>现金流量表!O8</f>
        <v>1953209952.21</v>
      </c>
      <c r="P6" s="26">
        <f>现金流量表!P8</f>
        <v>1197260906.0799999</v>
      </c>
      <c r="Q6" s="26">
        <f>现金流量表!Q8</f>
        <v>7353541507.3999996</v>
      </c>
      <c r="R6" s="26">
        <f>现金流量表!R8</f>
        <v>2825868473.2600002</v>
      </c>
      <c r="S6" s="26">
        <f>现金流量表!S8</f>
        <v>1735475466.0799999</v>
      </c>
      <c r="T6" s="26">
        <f>现金流量表!T8</f>
        <v>910143131.36000001</v>
      </c>
      <c r="U6" s="26">
        <f>现金流量表!U8</f>
        <v>6673849359.71</v>
      </c>
      <c r="V6" s="26">
        <f>现金流量表!V8</f>
        <v>2423220475.0500002</v>
      </c>
      <c r="W6" s="26">
        <f>现金流量表!W8</f>
        <v>1580374543.8699999</v>
      </c>
      <c r="X6" s="26">
        <f>现金流量表!X8</f>
        <v>779920002.75999999</v>
      </c>
      <c r="Y6" s="26">
        <f>现金流量表!Y8</f>
        <v>5204664775.8599997</v>
      </c>
      <c r="Z6" s="26">
        <f>现金流量表!Z8</f>
        <v>1888752172.53</v>
      </c>
      <c r="AA6" s="26">
        <f>现金流量表!AA8</f>
        <v>1268262103.0599999</v>
      </c>
      <c r="AB6" s="26">
        <f>现金流量表!AB8</f>
        <v>730375956.72000003</v>
      </c>
      <c r="AC6" s="26">
        <f>现金流量表!AC8</f>
        <v>5423863937.04</v>
      </c>
      <c r="AD6" s="26">
        <f>现金流量表!AD8</f>
        <v>2744583432.7800002</v>
      </c>
      <c r="AE6" s="26">
        <f>现金流量表!AE8</f>
        <v>1908336846.6600001</v>
      </c>
      <c r="AF6" s="26">
        <f>现金流量表!AF8</f>
        <v>926973213.50999999</v>
      </c>
      <c r="AG6" s="26">
        <f>现金流量表!AG8</f>
        <v>4710346861.6899996</v>
      </c>
      <c r="AH6" s="26">
        <f>现金流量表!AH8</f>
        <v>2616451839.3499999</v>
      </c>
      <c r="AI6" s="26">
        <f>现金流量表!AI8</f>
        <v>1737971136.97</v>
      </c>
      <c r="AJ6" s="26">
        <f>现金流量表!AJ8</f>
        <v>960193435.94000006</v>
      </c>
      <c r="AK6" s="26">
        <f>现金流量表!AK8</f>
        <v>3131616265.4400001</v>
      </c>
      <c r="AL6" s="26">
        <f>现金流量表!AL8</f>
        <v>2095909511.49</v>
      </c>
      <c r="AM6" s="26">
        <f>现金流量表!AM8</f>
        <v>1259958293.6400001</v>
      </c>
      <c r="AN6" s="26">
        <f>现金流量表!AN8</f>
        <v>500031608.68000001</v>
      </c>
      <c r="AO6" s="26">
        <f>现金流量表!AO8</f>
        <v>3000260840.3200002</v>
      </c>
      <c r="AP6" s="26">
        <f>现金流量表!AP8</f>
        <v>2308680296.7800002</v>
      </c>
      <c r="AQ6" s="26">
        <f>现金流量表!AQ8</f>
        <v>1561338640.6800001</v>
      </c>
      <c r="AR6" s="26">
        <f>现金流量表!AR8</f>
        <v>692416964.22000003</v>
      </c>
      <c r="AS6" s="26">
        <f>现金流量表!AS8</f>
        <v>2482071411.9499998</v>
      </c>
      <c r="AT6" s="26">
        <f>现金流量表!AT8</f>
        <v>1758485307.3900001</v>
      </c>
      <c r="AU6" s="26">
        <f>现金流量表!AU8</f>
        <v>1185965787.52</v>
      </c>
      <c r="AV6" s="26">
        <f>现金流量表!AV8</f>
        <v>587824127.52999997</v>
      </c>
      <c r="AW6" s="26">
        <f>现金流量表!AW8</f>
        <v>1778927498.8699999</v>
      </c>
      <c r="AX6" s="26">
        <f>现金流量表!AX8</f>
        <v>1241831489.4400001</v>
      </c>
      <c r="AY6" s="26">
        <f>现金流量表!AY8</f>
        <v>824511638.12</v>
      </c>
      <c r="AZ6" s="26">
        <f>现金流量表!AZ8</f>
        <v>467180667.29000002</v>
      </c>
      <c r="BA6" s="26">
        <f>现金流量表!BA8</f>
        <v>1301750299.8399999</v>
      </c>
      <c r="BB6" s="26">
        <f>现金流量表!BB8</f>
        <v>848259741.12</v>
      </c>
      <c r="BC6" s="26">
        <f>现金流量表!BC8</f>
        <v>595989584.23000002</v>
      </c>
      <c r="BD6" s="26">
        <f>现金流量表!BD8</f>
        <v>340617180.95999998</v>
      </c>
      <c r="BE6" s="26">
        <f>现金流量表!BE8</f>
        <v>917460741.96000004</v>
      </c>
      <c r="BF6" s="26">
        <f>现金流量表!BF8</f>
        <v>580756891.24000001</v>
      </c>
      <c r="BG6" s="26">
        <f>现金流量表!BG8</f>
        <v>357662188.74000001</v>
      </c>
      <c r="BH6" s="26">
        <f>现金流量表!BH8</f>
        <v>758320555.62</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1505087586.5999999</v>
      </c>
      <c r="F7" s="26">
        <f>现金流量表!F9</f>
        <v>912863082.76999998</v>
      </c>
      <c r="G7" s="26">
        <f>现金流量表!G9</f>
        <v>635516836.30999994</v>
      </c>
      <c r="H7" s="26">
        <f>现金流量表!H9</f>
        <v>356147646.22000003</v>
      </c>
      <c r="I7" s="26">
        <f>现金流量表!I9</f>
        <v>1205285459.97</v>
      </c>
      <c r="J7" s="26">
        <f>现金流量表!J9</f>
        <v>827419003.12</v>
      </c>
      <c r="K7" s="26">
        <f>现金流量表!K9</f>
        <v>561340860.62</v>
      </c>
      <c r="L7" s="26">
        <f>现金流量表!L9</f>
        <v>317190317.50999999</v>
      </c>
      <c r="M7" s="26">
        <f>现金流量表!M9</f>
        <v>1097841214.4200001</v>
      </c>
      <c r="N7" s="26">
        <f>现金流量表!N9</f>
        <v>780795724.42999995</v>
      </c>
      <c r="O7" s="26">
        <f>现金流量表!O9</f>
        <v>538089807.91999996</v>
      </c>
      <c r="P7" s="26">
        <f>现金流量表!P9</f>
        <v>303291639.27999997</v>
      </c>
      <c r="Q7" s="26">
        <f>现金流量表!Q9</f>
        <v>1013183081.75</v>
      </c>
      <c r="R7" s="26">
        <f>现金流量表!R9</f>
        <v>701787768.62</v>
      </c>
      <c r="S7" s="26">
        <f>现金流量表!S9</f>
        <v>478245305.29000002</v>
      </c>
      <c r="T7" s="26">
        <f>现金流量表!T9</f>
        <v>268327173.78999999</v>
      </c>
      <c r="U7" s="26">
        <f>现金流量表!U9</f>
        <v>981032765.95000005</v>
      </c>
      <c r="V7" s="26">
        <f>现金流量表!V9</f>
        <v>596506199.62</v>
      </c>
      <c r="W7" s="26">
        <f>现金流量表!W9</f>
        <v>409315991.44999999</v>
      </c>
      <c r="X7" s="26">
        <f>现金流量表!X9</f>
        <v>240498892.44999999</v>
      </c>
      <c r="Y7" s="26">
        <f>现金流量表!Y9</f>
        <v>774705615.98000002</v>
      </c>
      <c r="Z7" s="26">
        <f>现金流量表!Z9</f>
        <v>543789077.42999995</v>
      </c>
      <c r="AA7" s="26">
        <f>现金流量表!AA9</f>
        <v>360031739.38999999</v>
      </c>
      <c r="AB7" s="26">
        <f>现金流量表!AB9</f>
        <v>209272053.09</v>
      </c>
      <c r="AC7" s="26">
        <f>现金流量表!AC9</f>
        <v>679184342.61000001</v>
      </c>
      <c r="AD7" s="26">
        <f>现金流量表!AD9</f>
        <v>468904757.43000001</v>
      </c>
      <c r="AE7" s="26">
        <f>现金流量表!AE9</f>
        <v>300775638.54000002</v>
      </c>
      <c r="AF7" s="26">
        <f>现金流量表!AF9</f>
        <v>165772180.24000001</v>
      </c>
      <c r="AG7" s="26">
        <f>现金流量表!AG9</f>
        <v>535890412.02999997</v>
      </c>
      <c r="AH7" s="26">
        <f>现金流量表!AH9</f>
        <v>355855434.76999998</v>
      </c>
      <c r="AI7" s="26">
        <f>现金流量表!AI9</f>
        <v>249691281.80000001</v>
      </c>
      <c r="AJ7" s="26">
        <f>现金流量表!AJ9</f>
        <v>138868348.99000001</v>
      </c>
      <c r="AK7" s="26">
        <f>现金流量表!AK9</f>
        <v>357273904.24000001</v>
      </c>
      <c r="AL7" s="26">
        <f>现金流量表!AL9</f>
        <v>192941995.88</v>
      </c>
      <c r="AM7" s="26">
        <f>现金流量表!AM9</f>
        <v>145982521.22999999</v>
      </c>
      <c r="AN7" s="26">
        <f>现金流量表!AN9</f>
        <v>68621117.260000005</v>
      </c>
      <c r="AO7" s="26">
        <f>现金流量表!AO9</f>
        <v>309170510.19</v>
      </c>
      <c r="AP7" s="26">
        <f>现金流量表!AP9</f>
        <v>214538152.74000001</v>
      </c>
      <c r="AQ7" s="26">
        <f>现金流量表!AQ9</f>
        <v>160376339.63</v>
      </c>
      <c r="AR7" s="26">
        <f>现金流量表!AR9</f>
        <v>76460028.239999995</v>
      </c>
      <c r="AS7" s="26">
        <f>现金流量表!AS9</f>
        <v>198591059.5</v>
      </c>
      <c r="AT7" s="26">
        <f>现金流量表!AT9</f>
        <v>146010611.06999999</v>
      </c>
      <c r="AU7" s="26">
        <f>现金流量表!AU9</f>
        <v>93529147.769999996</v>
      </c>
      <c r="AV7" s="26">
        <f>现金流量表!AV9</f>
        <v>35538592.810000002</v>
      </c>
      <c r="AW7" s="26">
        <f>现金流量表!AW9</f>
        <v>155154718.25</v>
      </c>
      <c r="AX7" s="26">
        <f>现金流量表!AX9</f>
        <v>90361881.430000007</v>
      </c>
      <c r="AY7" s="26">
        <f>现金流量表!AY9</f>
        <v>65379966.490000002</v>
      </c>
      <c r="AZ7" s="26">
        <f>现金流量表!AZ9</f>
        <v>37509319.689999998</v>
      </c>
      <c r="BA7" s="26">
        <f>现金流量表!BA9</f>
        <v>115689735.76000001</v>
      </c>
      <c r="BB7" s="26">
        <f>现金流量表!BB9</f>
        <v>81585510.129999995</v>
      </c>
      <c r="BC7" s="26">
        <f>现金流量表!BC9</f>
        <v>55099325.020000003</v>
      </c>
      <c r="BD7" s="26">
        <f>现金流量表!BD9</f>
        <v>35051354.299999997</v>
      </c>
      <c r="BE7" s="26">
        <f>现金流量表!BE9</f>
        <v>79611752.709999993</v>
      </c>
      <c r="BF7" s="26">
        <f>现金流量表!BF9</f>
        <v>58722888.719999999</v>
      </c>
      <c r="BG7" s="26">
        <f>现金流量表!BG9</f>
        <v>37136240.439999998</v>
      </c>
      <c r="BH7" s="26">
        <f>现金流量表!BH9</f>
        <v>60050060.149999999</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491</v>
      </c>
      <c r="E8" s="58">
        <f>利润表!E6</f>
        <v>9994038739.0300007</v>
      </c>
      <c r="F8" s="58">
        <f>利润表!F6</f>
        <v>7393683346.5900002</v>
      </c>
      <c r="G8" s="58">
        <f>利润表!G6</f>
        <v>4834039606.04</v>
      </c>
      <c r="H8" s="58">
        <f>利润表!H6</f>
        <v>2717483854.0999999</v>
      </c>
      <c r="I8" s="58">
        <f>利润表!I6</f>
        <v>8299999071.7799997</v>
      </c>
      <c r="J8" s="58">
        <f>利润表!J6</f>
        <v>6175639591.1999998</v>
      </c>
      <c r="K8" s="58">
        <f>利润表!K6</f>
        <v>4012799751.8000002</v>
      </c>
      <c r="L8" s="58">
        <f>利润表!L6</f>
        <v>2157873063.1100001</v>
      </c>
      <c r="M8" s="58">
        <f>利润表!M6</f>
        <v>7749205984.6800003</v>
      </c>
      <c r="N8" s="58">
        <f>利润表!N6</f>
        <v>5917522087.8100004</v>
      </c>
      <c r="O8" s="58">
        <f>利润表!O6</f>
        <v>3826621021.75</v>
      </c>
      <c r="P8" s="58">
        <f>利润表!P6</f>
        <v>2119536321.05</v>
      </c>
      <c r="Q8" s="58">
        <f>利润表!Q6</f>
        <v>6766783798.5900002</v>
      </c>
      <c r="R8" s="58">
        <f>利润表!R6</f>
        <v>5105893650.71</v>
      </c>
      <c r="S8" s="58">
        <f>利润表!S6</f>
        <v>3272332302.5599999</v>
      </c>
      <c r="T8" s="58">
        <f>利润表!T6</f>
        <v>1809225118.5</v>
      </c>
      <c r="U8" s="58">
        <f>利润表!U6</f>
        <v>5990546429.8400002</v>
      </c>
      <c r="V8" s="58">
        <f>利润表!V6</f>
        <v>4543607402.7299995</v>
      </c>
      <c r="W8" s="58">
        <f>利润表!W6</f>
        <v>2972551661.21</v>
      </c>
      <c r="X8" s="58">
        <f>利润表!X6</f>
        <v>1617435886.8800001</v>
      </c>
      <c r="Y8" s="58">
        <f>利润表!Y6</f>
        <v>4883816910.9799995</v>
      </c>
      <c r="Z8" s="58">
        <f>利润表!Z6</f>
        <v>3637694852.5300002</v>
      </c>
      <c r="AA8" s="58">
        <f>利润表!AA6</f>
        <v>2373210048.5100002</v>
      </c>
      <c r="AB8" s="58">
        <f>利润表!AB6</f>
        <v>1344332758.29</v>
      </c>
      <c r="AC8" s="58">
        <f>利润表!AC6</f>
        <v>5177587426.1999998</v>
      </c>
      <c r="AD8" s="58">
        <f>利润表!AD6</f>
        <v>3860633717.8899999</v>
      </c>
      <c r="AE8" s="58">
        <f>利润表!AE6</f>
        <v>2496676794.8600001</v>
      </c>
      <c r="AF8" s="58">
        <f>利润表!AF6</f>
        <v>1358295682.6600001</v>
      </c>
      <c r="AG8" s="58">
        <f>利润表!AG6</f>
        <v>4050296293.5</v>
      </c>
      <c r="AH8" s="58">
        <f>利润表!AH6</f>
        <v>2960460127.6900001</v>
      </c>
      <c r="AI8" s="58">
        <f>利润表!AI6</f>
        <v>1875365183</v>
      </c>
      <c r="AJ8" s="58">
        <f>利润表!AJ6</f>
        <v>993455551.94000006</v>
      </c>
      <c r="AK8" s="58">
        <f>利润表!AK6</f>
        <v>2838977342.4699998</v>
      </c>
      <c r="AL8" s="58">
        <f>利润表!AL6</f>
        <v>1967777388.4000001</v>
      </c>
      <c r="AM8" s="58">
        <f>利润表!AM6</f>
        <v>1207313239.52</v>
      </c>
      <c r="AN8" s="58">
        <f>利润表!AN6</f>
        <v>641973107.02999997</v>
      </c>
      <c r="AO8" s="58">
        <f>利润表!AO6</f>
        <v>2620554181.21</v>
      </c>
      <c r="AP8" s="58">
        <f>利润表!AP6</f>
        <v>1998835580.3</v>
      </c>
      <c r="AQ8" s="58">
        <f>利润表!AQ6</f>
        <v>1278392611.24</v>
      </c>
      <c r="AR8" s="58">
        <f>利润表!AR6</f>
        <v>659435870.07000005</v>
      </c>
      <c r="AS8" s="58">
        <f>利润表!AS6</f>
        <v>2148775148.0300002</v>
      </c>
      <c r="AT8" s="58">
        <f>利润表!AT6</f>
        <v>1498759961.8800001</v>
      </c>
      <c r="AU8" s="58">
        <f>利润表!AU6</f>
        <v>973161667.58000004</v>
      </c>
      <c r="AV8" s="58">
        <f>利润表!AV6</f>
        <v>483136840.17000002</v>
      </c>
      <c r="AW8" s="58">
        <f>利润表!AW6</f>
        <v>1517457672.6099999</v>
      </c>
      <c r="AX8" s="58">
        <f>利润表!AX6</f>
        <v>1005686269.8099999</v>
      </c>
      <c r="AY8" s="58">
        <f>利润表!AY6</f>
        <v>686077206.70000005</v>
      </c>
      <c r="AZ8" s="58">
        <f>利润表!AZ6</f>
        <v>359053640.45999998</v>
      </c>
      <c r="BA8" s="58">
        <f>利润表!BA6</f>
        <v>1104147473.76</v>
      </c>
      <c r="BB8" s="58">
        <f>利润表!BB6</f>
        <v>657317342.32000005</v>
      </c>
      <c r="BC8" s="58">
        <f>利润表!BC6</f>
        <v>412465271.30000001</v>
      </c>
      <c r="BD8" s="58">
        <f>利润表!BD6</f>
        <v>221081799.97999999</v>
      </c>
      <c r="BE8" s="58">
        <f>利润表!BE6</f>
        <v>726513585.96000004</v>
      </c>
      <c r="BF8" s="58">
        <f>利润表!BF6</f>
        <v>498366992.25</v>
      </c>
      <c r="BG8" s="58">
        <f>利润表!BG6</f>
        <v>297904515.07999998</v>
      </c>
      <c r="BH8" s="58">
        <f>利润表!BH6</f>
        <v>149935201.59</v>
      </c>
      <c r="BI8" s="58">
        <f>利润表!BI6</f>
        <v>596658019.77999997</v>
      </c>
      <c r="BJ8" s="58">
        <f>利润表!BJ6</f>
        <v>406494610.31999999</v>
      </c>
      <c r="BK8" s="58">
        <f>利润表!BK6</f>
        <v>258437151.44999999</v>
      </c>
      <c r="BL8" s="58">
        <f>利润表!BL6</f>
        <v>429677830.88999999</v>
      </c>
      <c r="BM8" s="58">
        <f>利润表!BM6</f>
        <v>312345786.75</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492</v>
      </c>
      <c r="E9" s="58">
        <f>利润表!E7</f>
        <v>94669364.010000005</v>
      </c>
      <c r="F9" s="58">
        <f>利润表!F7</f>
        <v>75516050.370000005</v>
      </c>
      <c r="G9" s="58">
        <f>利润表!G7</f>
        <v>54176909.359999999</v>
      </c>
      <c r="H9" s="58">
        <f>利润表!H7</f>
        <v>35272498.380000003</v>
      </c>
      <c r="I9" s="58">
        <f>利润表!I7</f>
        <v>90080740.530000001</v>
      </c>
      <c r="J9" s="58">
        <f>利润表!J7</f>
        <v>58670601.93</v>
      </c>
      <c r="K9" s="58">
        <f>利润表!K7</f>
        <v>42812300.270000003</v>
      </c>
      <c r="L9" s="58">
        <f>利润表!L7</f>
        <v>27721130.620000001</v>
      </c>
      <c r="M9" s="58">
        <f>利润表!M7</f>
        <v>69393906.780000001</v>
      </c>
      <c r="N9" s="58">
        <f>利润表!N7</f>
        <v>51272865.100000001</v>
      </c>
      <c r="O9" s="58">
        <f>利润表!O7</f>
        <v>33897319.039999999</v>
      </c>
      <c r="P9" s="58">
        <f>利润表!P7</f>
        <v>19175132.039999999</v>
      </c>
      <c r="Q9" s="58">
        <f>利润表!Q7</f>
        <v>55817139.789999999</v>
      </c>
      <c r="R9" s="58">
        <f>利润表!R7</f>
        <v>44771399.710000001</v>
      </c>
      <c r="S9" s="58">
        <f>利润表!S7</f>
        <v>31104137.969999999</v>
      </c>
      <c r="T9" s="58">
        <f>利润表!T7</f>
        <v>16757113.970000001</v>
      </c>
      <c r="U9" s="58">
        <f>利润表!U7</f>
        <v>53068388.009999998</v>
      </c>
      <c r="V9" s="58">
        <f>利润表!V7</f>
        <v>39989896.649999999</v>
      </c>
      <c r="W9" s="58">
        <f>利润表!W7</f>
        <v>25593022.23</v>
      </c>
      <c r="X9" s="58">
        <f>利润表!X7</f>
        <v>16333377.91</v>
      </c>
      <c r="Y9" s="58">
        <f>利润表!Y7</f>
        <v>48244928.579999998</v>
      </c>
      <c r="Z9" s="58">
        <f>利润表!Z7</f>
        <v>41485117.619999997</v>
      </c>
      <c r="AA9" s="58">
        <f>利润表!AA7</f>
        <v>29020536.370000001</v>
      </c>
      <c r="AB9" s="58">
        <f>利润表!AB7</f>
        <v>19520447.210000001</v>
      </c>
      <c r="AC9" s="58">
        <f>利润表!AC7</f>
        <v>43677795.950000003</v>
      </c>
      <c r="AD9" s="58">
        <f>利润表!AD7</f>
        <v>34822886.759999998</v>
      </c>
      <c r="AE9" s="58">
        <f>利润表!AE7</f>
        <v>24407095.870000001</v>
      </c>
      <c r="AF9" s="58">
        <f>利润表!AF7</f>
        <v>16459457.880000001</v>
      </c>
      <c r="AG9" s="58">
        <f>利润表!AG7</f>
        <v>10972986.42</v>
      </c>
      <c r="AH9" s="58">
        <f>利润表!AH7</f>
        <v>8684846</v>
      </c>
      <c r="AI9" s="58">
        <f>利润表!AI7</f>
        <v>5830719.3300000001</v>
      </c>
      <c r="AJ9" s="58">
        <f>利润表!AJ7</f>
        <v>4097861.54</v>
      </c>
      <c r="AK9" s="58">
        <f>利润表!AK7</f>
        <v>6621860.0499999998</v>
      </c>
      <c r="AL9" s="58">
        <f>利润表!AL7</f>
        <v>5804095.9900000002</v>
      </c>
      <c r="AM9" s="58">
        <f>利润表!AM7</f>
        <v>3704731.77</v>
      </c>
      <c r="AN9" s="58">
        <f>利润表!AN7</f>
        <v>2040258.54</v>
      </c>
      <c r="AO9" s="58">
        <f>利润表!AO7</f>
        <v>7305027.3399999999</v>
      </c>
      <c r="AP9" s="58">
        <f>利润表!AP7</f>
        <v>6301645.7699999996</v>
      </c>
      <c r="AQ9" s="58">
        <f>利润表!AQ7</f>
        <v>4757380.09</v>
      </c>
      <c r="AR9" s="58">
        <f>利润表!AR7</f>
        <v>2433264.62</v>
      </c>
      <c r="AS9" s="58">
        <f>利润表!AS7</f>
        <v>7217348.5499999998</v>
      </c>
      <c r="AT9" s="58">
        <f>利润表!AT7</f>
        <v>5121444.57</v>
      </c>
      <c r="AU9" s="58">
        <f>利润表!AU7</f>
        <v>3776975.54</v>
      </c>
      <c r="AV9" s="58">
        <f>利润表!AV7</f>
        <v>1810158.74</v>
      </c>
      <c r="AW9" s="58">
        <f>利润表!AW7</f>
        <v>4813968.04</v>
      </c>
      <c r="AX9" s="58">
        <f>利润表!AX7</f>
        <v>2865566.44</v>
      </c>
      <c r="AY9" s="58">
        <f>利润表!AY7</f>
        <v>942207.71</v>
      </c>
      <c r="AZ9" s="58">
        <f>利润表!AZ7</f>
        <v>548266.6</v>
      </c>
      <c r="BA9" s="58">
        <f>利润表!BA7</f>
        <v>3626606.18</v>
      </c>
      <c r="BB9" s="58">
        <f>利润表!BB7</f>
        <v>3067472.06</v>
      </c>
      <c r="BC9" s="58">
        <f>利润表!BC7</f>
        <v>1864554.05</v>
      </c>
      <c r="BD9" s="58">
        <f>利润表!BD7</f>
        <v>994235.43</v>
      </c>
      <c r="BE9" s="58">
        <f>利润表!BE7</f>
        <v>1982960.54</v>
      </c>
      <c r="BF9" s="58">
        <f>利润表!BF7</f>
        <v>1443954.84</v>
      </c>
      <c r="BG9" s="58">
        <f>利润表!BG7</f>
        <v>1053578.31</v>
      </c>
      <c r="BH9" s="58">
        <f>利润表!BH7</f>
        <v>1079851.21</v>
      </c>
      <c r="BI9" s="58">
        <f>利润表!BI7</f>
        <v>2164865.52</v>
      </c>
      <c r="BJ9" s="58">
        <f>利润表!BJ7</f>
        <v>1706479.41</v>
      </c>
      <c r="BK9" s="58">
        <f>利润表!BK7</f>
        <v>1118198.53</v>
      </c>
      <c r="BL9" s="58">
        <f>利润表!BL7</f>
        <v>2113014</v>
      </c>
      <c r="BM9" s="58">
        <f>利润表!BM7</f>
        <v>3173699.56</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493</v>
      </c>
      <c r="E10" s="58">
        <f>利润表!E8</f>
        <v>2213078313.5500002</v>
      </c>
      <c r="F10" s="58">
        <f>利润表!F8</f>
        <v>1673160982.28</v>
      </c>
      <c r="G10" s="58">
        <f>利润表!G8</f>
        <v>1134645241.04</v>
      </c>
      <c r="H10" s="58">
        <f>利润表!H8</f>
        <v>664223550.48000002</v>
      </c>
      <c r="I10" s="58">
        <f>利润表!I8</f>
        <v>1891733488.76</v>
      </c>
      <c r="J10" s="58">
        <f>利润表!J8</f>
        <v>1369613715.3099999</v>
      </c>
      <c r="K10" s="58">
        <f>利润表!K8</f>
        <v>907452327.58000004</v>
      </c>
      <c r="L10" s="58">
        <f>利润表!L8</f>
        <v>524687333.88</v>
      </c>
      <c r="M10" s="58">
        <f>利润表!M8</f>
        <v>1580066582.1400001</v>
      </c>
      <c r="N10" s="58">
        <f>利润表!N8</f>
        <v>1201856740.8</v>
      </c>
      <c r="O10" s="58">
        <f>利润表!O8</f>
        <v>836869586.53999996</v>
      </c>
      <c r="P10" s="58">
        <f>利润表!P8</f>
        <v>487094622.23000002</v>
      </c>
      <c r="Q10" s="58">
        <f>利润表!Q8</f>
        <v>1481090948.9000001</v>
      </c>
      <c r="R10" s="58">
        <f>利润表!R8</f>
        <v>1140301118.1099999</v>
      </c>
      <c r="S10" s="58">
        <f>利润表!S8</f>
        <v>774811596.87</v>
      </c>
      <c r="T10" s="58">
        <f>利润表!T8</f>
        <v>445558620.87</v>
      </c>
      <c r="U10" s="58">
        <f>利润表!U8</f>
        <v>1261860049.78</v>
      </c>
      <c r="V10" s="58">
        <f>利润表!V8</f>
        <v>932531283.02999997</v>
      </c>
      <c r="W10" s="58">
        <f>利润表!W8</f>
        <v>608247903.53999996</v>
      </c>
      <c r="X10" s="58">
        <f>利润表!X8</f>
        <v>338315240.57999998</v>
      </c>
      <c r="Y10" s="58">
        <f>利润表!Y8</f>
        <v>1106551587.3699999</v>
      </c>
      <c r="Z10" s="58">
        <f>利润表!Z8</f>
        <v>813262610.95000005</v>
      </c>
      <c r="AA10" s="58">
        <f>利润表!AA8</f>
        <v>548386013.52999997</v>
      </c>
      <c r="AB10" s="58">
        <f>利润表!AB8</f>
        <v>317800476.48000002</v>
      </c>
      <c r="AC10" s="58">
        <f>利润表!AC8</f>
        <v>1061192999.8099999</v>
      </c>
      <c r="AD10" s="58">
        <f>利润表!AD8</f>
        <v>796400481.16999996</v>
      </c>
      <c r="AE10" s="58">
        <f>利润表!AE8</f>
        <v>524425749.36000001</v>
      </c>
      <c r="AF10" s="58">
        <f>利润表!AF8</f>
        <v>291216610.64999998</v>
      </c>
      <c r="AG10" s="58">
        <f>利润表!AG8</f>
        <v>827871035.55999994</v>
      </c>
      <c r="AH10" s="58">
        <f>利润表!AH8</f>
        <v>603220413.88999999</v>
      </c>
      <c r="AI10" s="58">
        <f>利润表!AI8</f>
        <v>407145518.23000002</v>
      </c>
      <c r="AJ10" s="58">
        <f>利润表!AJ8</f>
        <v>217259193.58000001</v>
      </c>
      <c r="AK10" s="58">
        <f>利润表!AK8</f>
        <v>687519974.51999998</v>
      </c>
      <c r="AL10" s="58">
        <f>利润表!AL8</f>
        <v>483065903.81</v>
      </c>
      <c r="AM10" s="58">
        <f>利润表!AM8</f>
        <v>309947876.49000001</v>
      </c>
      <c r="AN10" s="58">
        <f>利润表!AN8</f>
        <v>181704858.06999999</v>
      </c>
      <c r="AO10" s="58">
        <f>利润表!AO8</f>
        <v>477767391.52999997</v>
      </c>
      <c r="AP10" s="58">
        <f>利润表!AP8</f>
        <v>385578417.63999999</v>
      </c>
      <c r="AQ10" s="58">
        <f>利润表!AQ8</f>
        <v>251513552.56</v>
      </c>
      <c r="AR10" s="58">
        <f>利润表!AR8</f>
        <v>162661336.31</v>
      </c>
      <c r="AS10" s="58">
        <f>利润表!AS8</f>
        <v>379371992.24000001</v>
      </c>
      <c r="AT10" s="58">
        <f>利润表!AT8</f>
        <v>249988993.84</v>
      </c>
      <c r="AU10" s="58">
        <f>利润表!AU8</f>
        <v>165486439.28999999</v>
      </c>
      <c r="AV10" s="58">
        <f>利润表!AV8</f>
        <v>106272099.56</v>
      </c>
      <c r="AW10" s="58">
        <f>利润表!AW8</f>
        <v>255516718.46000001</v>
      </c>
      <c r="AX10" s="58">
        <f>利润表!AX8</f>
        <v>200495379.09999999</v>
      </c>
      <c r="AY10" s="58">
        <f>利润表!AY8</f>
        <v>134394727.46000001</v>
      </c>
      <c r="AZ10" s="58">
        <f>利润表!AZ8</f>
        <v>71658688.400000006</v>
      </c>
      <c r="BA10" s="58">
        <f>利润表!BA8</f>
        <v>171051130.61000001</v>
      </c>
      <c r="BB10" s="58">
        <f>利润表!BB8</f>
        <v>110135629.19</v>
      </c>
      <c r="BC10" s="58">
        <f>利润表!BC8</f>
        <v>74104494.620000005</v>
      </c>
      <c r="BD10" s="58">
        <f>利润表!BD8</f>
        <v>44656969.390000001</v>
      </c>
      <c r="BE10" s="58">
        <f>利润表!BE8</f>
        <v>134957526.19999999</v>
      </c>
      <c r="BF10" s="58">
        <f>利润表!BF8</f>
        <v>89951376.379999995</v>
      </c>
      <c r="BG10" s="58">
        <f>利润表!BG8</f>
        <v>61473698.689999998</v>
      </c>
      <c r="BH10" s="58">
        <f>利润表!BH8</f>
        <v>35602845.32</v>
      </c>
      <c r="BI10" s="58">
        <f>利润表!BI8</f>
        <v>104517598.7</v>
      </c>
      <c r="BJ10" s="58">
        <f>利润表!BJ8</f>
        <v>66747469.539999999</v>
      </c>
      <c r="BK10" s="58">
        <f>利润表!BK8</f>
        <v>43447414.619999997</v>
      </c>
      <c r="BL10" s="58">
        <f>利润表!BL8</f>
        <v>82245193.959999993</v>
      </c>
      <c r="BM10" s="58">
        <f>利润表!BM8</f>
        <v>90187798.849999994</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494</v>
      </c>
      <c r="E11" s="58">
        <f>利润表!E9</f>
        <v>415194235.98000002</v>
      </c>
      <c r="F11" s="58">
        <f>利润表!F9</f>
        <v>298600011.56999999</v>
      </c>
      <c r="G11" s="58">
        <f>利润表!G9</f>
        <v>193325749.99000001</v>
      </c>
      <c r="H11" s="58">
        <f>利润表!H9</f>
        <v>80396259.319999993</v>
      </c>
      <c r="I11" s="58">
        <f>利润表!I9</f>
        <v>388306153.91000003</v>
      </c>
      <c r="J11" s="58">
        <f>利润表!J9</f>
        <v>279135592.45999998</v>
      </c>
      <c r="K11" s="58">
        <f>利润表!K9</f>
        <v>179836717.36000001</v>
      </c>
      <c r="L11" s="58">
        <f>利润表!L9</f>
        <v>80391177.230000004</v>
      </c>
      <c r="M11" s="58">
        <f>利润表!M9</f>
        <v>367200921.75999999</v>
      </c>
      <c r="N11" s="58">
        <f>利润表!N9</f>
        <v>248331379.33000001</v>
      </c>
      <c r="O11" s="58">
        <f>利润表!O9</f>
        <v>161745534.05000001</v>
      </c>
      <c r="P11" s="58">
        <f>利润表!P9</f>
        <v>79904826.980000004</v>
      </c>
      <c r="Q11" s="58">
        <f>利润表!Q9</f>
        <v>324558437.29000002</v>
      </c>
      <c r="R11" s="58">
        <f>利润表!R9</f>
        <v>232568064.91999999</v>
      </c>
      <c r="S11" s="58">
        <f>利润表!S9</f>
        <v>157525244.25</v>
      </c>
      <c r="T11" s="58">
        <f>利润表!T9</f>
        <v>75980856.230000004</v>
      </c>
      <c r="U11" s="58">
        <f>利润表!U9</f>
        <v>280696194.50999999</v>
      </c>
      <c r="V11" s="58">
        <f>利润表!V9</f>
        <v>211361935</v>
      </c>
      <c r="W11" s="58">
        <f>利润表!W9</f>
        <v>145988493.90000001</v>
      </c>
      <c r="X11" s="58">
        <f>利润表!X9</f>
        <v>67891314.530000001</v>
      </c>
      <c r="Y11" s="58">
        <f>利润表!Y9</f>
        <v>251720840.91999999</v>
      </c>
      <c r="Z11" s="58">
        <f>利润表!Z9</f>
        <v>176397203.68000001</v>
      </c>
      <c r="AA11" s="58">
        <f>利润表!AA9</f>
        <v>110992321.62</v>
      </c>
      <c r="AB11" s="58">
        <f>利润表!AB9</f>
        <v>55369203.649999999</v>
      </c>
      <c r="AC11" s="58">
        <f>利润表!AC9</f>
        <v>212566272.22999999</v>
      </c>
      <c r="AD11" s="58">
        <f>利润表!AD9</f>
        <v>156485513.28999999</v>
      </c>
      <c r="AE11" s="58">
        <f>利润表!AE9</f>
        <v>108622455.31</v>
      </c>
      <c r="AF11" s="58">
        <f>利润表!AF9</f>
        <v>51136235.210000001</v>
      </c>
      <c r="AG11" s="58">
        <f>利润表!AG9</f>
        <v>216252564.03</v>
      </c>
      <c r="AH11" s="58">
        <f>利润表!AH9</f>
        <v>155745047.87</v>
      </c>
      <c r="AI11" s="58">
        <f>利润表!AI9</f>
        <v>98140658.659999996</v>
      </c>
      <c r="AJ11" s="58">
        <f>利润表!AJ9</f>
        <v>43772504.399999999</v>
      </c>
      <c r="AK11" s="58">
        <f>利润表!AK9</f>
        <v>187356884.34999999</v>
      </c>
      <c r="AL11" s="58">
        <f>利润表!AL9</f>
        <v>133366139.19</v>
      </c>
      <c r="AM11" s="58">
        <f>利润表!AM9</f>
        <v>84763348.359999999</v>
      </c>
      <c r="AN11" s="58">
        <f>利润表!AN9</f>
        <v>40166571.460000001</v>
      </c>
      <c r="AO11" s="58">
        <f>利润表!AO9</f>
        <v>206713755.66</v>
      </c>
      <c r="AP11" s="58">
        <f>利润表!AP9</f>
        <v>136604138.33000001</v>
      </c>
      <c r="AQ11" s="58">
        <f>利润表!AQ9</f>
        <v>88724436.450000003</v>
      </c>
      <c r="AR11" s="58">
        <f>利润表!AR9</f>
        <v>42570323.770000003</v>
      </c>
      <c r="AS11" s="58">
        <f>利润表!AS9</f>
        <v>122649947.5</v>
      </c>
      <c r="AT11" s="58">
        <f>利润表!AT9</f>
        <v>86368594.909999996</v>
      </c>
      <c r="AU11" s="58">
        <f>利润表!AU9</f>
        <v>58575355.189999998</v>
      </c>
      <c r="AV11" s="58">
        <f>利润表!AV9</f>
        <v>25540101.48</v>
      </c>
      <c r="AW11" s="58">
        <f>利润表!AW9</f>
        <v>121883647.76000001</v>
      </c>
      <c r="AX11" s="58">
        <f>利润表!AX9</f>
        <v>75797570.909999996</v>
      </c>
      <c r="AY11" s="58">
        <f>利润表!AY9</f>
        <v>54569158.25</v>
      </c>
      <c r="AZ11" s="58">
        <f>利润表!AZ9</f>
        <v>26659418.57</v>
      </c>
      <c r="BA11" s="58">
        <f>利润表!BA9</f>
        <v>79418100.099999994</v>
      </c>
      <c r="BB11" s="58">
        <f>利润表!BB9</f>
        <v>60338328.299999997</v>
      </c>
      <c r="BC11" s="58">
        <f>利润表!BC9</f>
        <v>38424302.530000001</v>
      </c>
      <c r="BD11" s="58">
        <f>利润表!BD9</f>
        <v>20772278.649999999</v>
      </c>
      <c r="BE11" s="58">
        <f>利润表!BE9</f>
        <v>62140923.880000003</v>
      </c>
      <c r="BF11" s="58">
        <f>利润表!BF9</f>
        <v>42798796.950000003</v>
      </c>
      <c r="BG11" s="58">
        <f>利润表!BG9</f>
        <v>25949718.640000001</v>
      </c>
      <c r="BH11" s="58">
        <f>利润表!BH9</f>
        <v>15635214.68</v>
      </c>
      <c r="BI11" s="58">
        <f>利润表!BI9</f>
        <v>45169507.310000002</v>
      </c>
      <c r="BJ11" s="58">
        <f>利润表!BJ9</f>
        <v>31953956.25</v>
      </c>
      <c r="BK11" s="58">
        <f>利润表!BK9</f>
        <v>19483467.449999999</v>
      </c>
      <c r="BL11" s="58">
        <f>利润表!BL9</f>
        <v>30986823.75</v>
      </c>
      <c r="BM11" s="58">
        <f>利润表!BM9</f>
        <v>21330339.460000001</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495</v>
      </c>
      <c r="E12" s="58">
        <f>SUM(E8:E11)</f>
        <v>12716980652.57</v>
      </c>
      <c r="F12" s="58">
        <f t="shared" ref="F12:BQ12" si="4">SUM(F8:F11)</f>
        <v>9440960390.8099995</v>
      </c>
      <c r="G12" s="58">
        <f t="shared" si="4"/>
        <v>6216187506.4299994</v>
      </c>
      <c r="H12" s="58">
        <f t="shared" si="4"/>
        <v>3497376162.2800002</v>
      </c>
      <c r="I12" s="58">
        <f t="shared" si="4"/>
        <v>10670119454.98</v>
      </c>
      <c r="J12" s="58">
        <f t="shared" si="4"/>
        <v>7883059500.9000006</v>
      </c>
      <c r="K12" s="58">
        <f t="shared" si="4"/>
        <v>5142901097.0100002</v>
      </c>
      <c r="L12" s="58">
        <f t="shared" si="4"/>
        <v>2790672704.8400002</v>
      </c>
      <c r="M12" s="58">
        <f t="shared" si="4"/>
        <v>9765867395.3600006</v>
      </c>
      <c r="N12" s="58">
        <f t="shared" si="4"/>
        <v>7418983073.0400009</v>
      </c>
      <c r="O12" s="58">
        <f t="shared" si="4"/>
        <v>4859133461.3800001</v>
      </c>
      <c r="P12" s="58">
        <f t="shared" si="4"/>
        <v>2705710902.2999997</v>
      </c>
      <c r="Q12" s="58">
        <f t="shared" si="4"/>
        <v>8628250324.5700016</v>
      </c>
      <c r="R12" s="58">
        <f t="shared" si="4"/>
        <v>6523534233.4499998</v>
      </c>
      <c r="S12" s="58">
        <f t="shared" si="4"/>
        <v>4235773281.6499996</v>
      </c>
      <c r="T12" s="58">
        <f t="shared" si="4"/>
        <v>2347521709.5700002</v>
      </c>
      <c r="U12" s="58">
        <f t="shared" si="4"/>
        <v>7586171062.1400003</v>
      </c>
      <c r="V12" s="58">
        <f t="shared" si="4"/>
        <v>5727490517.4099989</v>
      </c>
      <c r="W12" s="58">
        <f t="shared" si="4"/>
        <v>3752381080.8800001</v>
      </c>
      <c r="X12" s="58">
        <f t="shared" si="4"/>
        <v>2039975819.9000001</v>
      </c>
      <c r="Y12" s="58">
        <f t="shared" si="4"/>
        <v>6290334267.8499994</v>
      </c>
      <c r="Z12" s="58">
        <f t="shared" si="4"/>
        <v>4668839784.7800007</v>
      </c>
      <c r="AA12" s="58">
        <f t="shared" si="4"/>
        <v>3061608920.0299997</v>
      </c>
      <c r="AB12" s="58">
        <f t="shared" si="4"/>
        <v>1737022885.6300001</v>
      </c>
      <c r="AC12" s="58">
        <f t="shared" si="4"/>
        <v>6495024494.1899986</v>
      </c>
      <c r="AD12" s="58">
        <f t="shared" si="4"/>
        <v>4848342599.1099997</v>
      </c>
      <c r="AE12" s="58">
        <f t="shared" si="4"/>
        <v>3154132095.4000001</v>
      </c>
      <c r="AF12" s="58">
        <f t="shared" si="4"/>
        <v>1717107986.4000001</v>
      </c>
      <c r="AG12" s="58">
        <f t="shared" si="4"/>
        <v>5105392879.5099993</v>
      </c>
      <c r="AH12" s="58">
        <f t="shared" si="4"/>
        <v>3728110435.4499998</v>
      </c>
      <c r="AI12" s="58">
        <f t="shared" si="4"/>
        <v>2386482079.2199998</v>
      </c>
      <c r="AJ12" s="58">
        <f t="shared" si="4"/>
        <v>1258585111.46</v>
      </c>
      <c r="AK12" s="58">
        <f t="shared" si="4"/>
        <v>3720476061.3899999</v>
      </c>
      <c r="AL12" s="58">
        <f t="shared" si="4"/>
        <v>2590013527.3900003</v>
      </c>
      <c r="AM12" s="58">
        <f t="shared" si="4"/>
        <v>1605729196.1399999</v>
      </c>
      <c r="AN12" s="58">
        <f t="shared" si="4"/>
        <v>865884795.0999999</v>
      </c>
      <c r="AO12" s="58">
        <f t="shared" si="4"/>
        <v>3312340355.7399998</v>
      </c>
      <c r="AP12" s="58">
        <f t="shared" si="4"/>
        <v>2527319782.04</v>
      </c>
      <c r="AQ12" s="58">
        <f t="shared" si="4"/>
        <v>1623387980.3399999</v>
      </c>
      <c r="AR12" s="58">
        <f t="shared" si="4"/>
        <v>867100794.76999998</v>
      </c>
      <c r="AS12" s="58">
        <f t="shared" si="4"/>
        <v>2658014436.3200006</v>
      </c>
      <c r="AT12" s="58">
        <f t="shared" si="4"/>
        <v>1840238995.2</v>
      </c>
      <c r="AU12" s="58">
        <f t="shared" si="4"/>
        <v>1201000437.6000001</v>
      </c>
      <c r="AV12" s="58">
        <f t="shared" si="4"/>
        <v>616759199.95000005</v>
      </c>
      <c r="AW12" s="58">
        <f t="shared" si="4"/>
        <v>1899672006.8699999</v>
      </c>
      <c r="AX12" s="58">
        <f t="shared" si="4"/>
        <v>1284844786.26</v>
      </c>
      <c r="AY12" s="58">
        <f t="shared" si="4"/>
        <v>875983300.12000012</v>
      </c>
      <c r="AZ12" s="58">
        <f t="shared" si="4"/>
        <v>457920014.03000003</v>
      </c>
      <c r="BA12" s="58">
        <f t="shared" si="4"/>
        <v>1358243310.6500001</v>
      </c>
      <c r="BB12" s="58">
        <f t="shared" si="4"/>
        <v>830858771.86999989</v>
      </c>
      <c r="BC12" s="58">
        <f t="shared" si="4"/>
        <v>526858622.5</v>
      </c>
      <c r="BD12" s="58">
        <f t="shared" si="4"/>
        <v>287505283.44999999</v>
      </c>
      <c r="BE12" s="58">
        <f t="shared" si="4"/>
        <v>925594996.58000004</v>
      </c>
      <c r="BF12" s="58">
        <f t="shared" si="4"/>
        <v>632561120.42000008</v>
      </c>
      <c r="BG12" s="58">
        <f t="shared" si="4"/>
        <v>386381510.71999997</v>
      </c>
      <c r="BH12" s="58">
        <f t="shared" si="4"/>
        <v>202253112.80000001</v>
      </c>
      <c r="BI12" s="58">
        <f t="shared" si="4"/>
        <v>748509991.30999994</v>
      </c>
      <c r="BJ12" s="58">
        <f t="shared" si="4"/>
        <v>506902515.52000004</v>
      </c>
      <c r="BK12" s="58">
        <f t="shared" si="4"/>
        <v>322486232.04999995</v>
      </c>
      <c r="BL12" s="58">
        <f t="shared" si="4"/>
        <v>545022862.5999999</v>
      </c>
      <c r="BM12" s="58">
        <f t="shared" si="4"/>
        <v>427037624.61999995</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0.92115892556162882</v>
      </c>
      <c r="F13" s="28">
        <f t="shared" ref="F13:BQ13" si="6">(F6/(1+F4)+F7)/F12</f>
        <v>0.52177701382710695</v>
      </c>
      <c r="G13" s="28">
        <f t="shared" si="6"/>
        <v>0.51958095400511173</v>
      </c>
      <c r="H13" s="28">
        <f t="shared" si="6"/>
        <v>0.54230902083251897</v>
      </c>
      <c r="I13" s="28">
        <f t="shared" si="6"/>
        <v>0.83249988543516196</v>
      </c>
      <c r="J13" s="28">
        <f t="shared" si="6"/>
        <v>0.46987757878177444</v>
      </c>
      <c r="K13" s="28">
        <f t="shared" si="6"/>
        <v>0.46835166747605378</v>
      </c>
      <c r="L13" s="28">
        <f t="shared" si="6"/>
        <v>0.48541916433716398</v>
      </c>
      <c r="M13" s="28">
        <f t="shared" si="6"/>
        <v>0.81604318265471687</v>
      </c>
      <c r="N13" s="28">
        <f t="shared" si="6"/>
        <v>0.46568446264916452</v>
      </c>
      <c r="O13" s="28">
        <f t="shared" si="6"/>
        <v>0.45429911341788293</v>
      </c>
      <c r="P13" s="28">
        <f t="shared" si="6"/>
        <v>0.49029316394401989</v>
      </c>
      <c r="Q13" s="28">
        <f t="shared" si="6"/>
        <v>0.84585646204773368</v>
      </c>
      <c r="R13" s="28">
        <f t="shared" si="6"/>
        <v>0.47781767619222726</v>
      </c>
      <c r="S13" s="28">
        <f t="shared" si="6"/>
        <v>0.46309316836165426</v>
      </c>
      <c r="T13" s="28">
        <f t="shared" si="6"/>
        <v>0.44567310359619366</v>
      </c>
      <c r="U13" s="28">
        <f t="shared" si="6"/>
        <v>0.88123210814508735</v>
      </c>
      <c r="V13" s="28">
        <f t="shared" si="6"/>
        <v>0.46575979526547778</v>
      </c>
      <c r="W13" s="28">
        <f t="shared" si="6"/>
        <v>0.46905243015200265</v>
      </c>
      <c r="X13" s="28">
        <f t="shared" si="6"/>
        <v>0.44466075360232993</v>
      </c>
      <c r="Y13" s="28">
        <f t="shared" si="6"/>
        <v>0.83034332134533961</v>
      </c>
      <c r="Z13" s="28">
        <f t="shared" si="6"/>
        <v>0.46223628847679099</v>
      </c>
      <c r="AA13" s="28">
        <f t="shared" si="6"/>
        <v>0.47165280758521438</v>
      </c>
      <c r="AB13" s="28">
        <f t="shared" si="6"/>
        <v>0.47985839130106089</v>
      </c>
      <c r="AC13" s="28">
        <f t="shared" si="6"/>
        <v>0.81831338590541614</v>
      </c>
      <c r="AD13" s="28">
        <f t="shared" si="6"/>
        <v>0.58054943636647327</v>
      </c>
      <c r="AE13" s="28">
        <f t="shared" si="6"/>
        <v>0.61247681264041842</v>
      </c>
      <c r="AF13" s="28">
        <f t="shared" si="6"/>
        <v>0.55794800659008503</v>
      </c>
      <c r="AG13" s="28">
        <f t="shared" si="6"/>
        <v>0.89353121460297147</v>
      </c>
      <c r="AH13" s="28">
        <f t="shared" si="6"/>
        <v>0.69529567404920123</v>
      </c>
      <c r="AI13" s="28">
        <f t="shared" si="6"/>
        <v>0.72706881527507172</v>
      </c>
      <c r="AJ13" s="28">
        <f t="shared" si="6"/>
        <v>0.7624009617060884</v>
      </c>
      <c r="AK13" s="28">
        <f t="shared" si="6"/>
        <v>0.81545182735920863</v>
      </c>
      <c r="AL13" s="28">
        <f t="shared" si="6"/>
        <v>0.76614180804135945</v>
      </c>
      <c r="AM13" s="28">
        <f t="shared" si="6"/>
        <v>0.76156674153474091</v>
      </c>
      <c r="AN13" s="28">
        <f t="shared" si="6"/>
        <v>0.57282280897305415</v>
      </c>
      <c r="AO13" s="28">
        <f t="shared" si="6"/>
        <v>0.86751230433113213</v>
      </c>
      <c r="AP13" s="28">
        <f t="shared" si="6"/>
        <v>0.8656479449794704</v>
      </c>
      <c r="AQ13" s="28">
        <f t="shared" si="6"/>
        <v>0.9208235051633108</v>
      </c>
      <c r="AR13" s="28">
        <f t="shared" si="6"/>
        <v>0.7706940224238461</v>
      </c>
      <c r="AS13" s="28">
        <f t="shared" si="6"/>
        <v>0.87283935896686493</v>
      </c>
      <c r="AT13" s="28">
        <f t="shared" si="6"/>
        <v>0.89607355923675203</v>
      </c>
      <c r="AU13" s="28">
        <f t="shared" si="6"/>
        <v>0.92187736602479664</v>
      </c>
      <c r="AV13" s="28">
        <f t="shared" si="6"/>
        <v>0.87222432525900928</v>
      </c>
      <c r="AW13" s="28">
        <f t="shared" si="6"/>
        <v>0.88204993594965864</v>
      </c>
      <c r="AX13" s="28">
        <f t="shared" si="6"/>
        <v>0.89641669497013876</v>
      </c>
      <c r="AY13" s="28">
        <f t="shared" si="6"/>
        <v>0.87911580985216475</v>
      </c>
      <c r="AZ13" s="28">
        <f t="shared" si="6"/>
        <v>0.95389810870739034</v>
      </c>
      <c r="BA13" s="28">
        <f t="shared" si="6"/>
        <v>0.9043275383793562</v>
      </c>
      <c r="BB13" s="28">
        <f t="shared" si="6"/>
        <v>0.97079535437557285</v>
      </c>
      <c r="BC13" s="28">
        <f t="shared" si="6"/>
        <v>1.0714299964867484</v>
      </c>
      <c r="BD13" s="28">
        <f t="shared" si="6"/>
        <v>1.1345083682576329</v>
      </c>
      <c r="BE13" s="28">
        <f t="shared" si="6"/>
        <v>0.93320106116523971</v>
      </c>
      <c r="BF13" s="28">
        <f t="shared" si="6"/>
        <v>0.87753780957589278</v>
      </c>
      <c r="BG13" s="28">
        <f t="shared" si="6"/>
        <v>0.88728474147588343</v>
      </c>
      <c r="BH13" s="28">
        <f t="shared" si="6"/>
        <v>3.501490174225101</v>
      </c>
      <c r="BI13" s="28">
        <f t="shared" si="6"/>
        <v>0</v>
      </c>
      <c r="BJ13" s="28">
        <f t="shared" si="6"/>
        <v>0</v>
      </c>
      <c r="BK13" s="28">
        <f t="shared" si="6"/>
        <v>0</v>
      </c>
      <c r="BL13" s="28">
        <f t="shared" si="6"/>
        <v>0</v>
      </c>
      <c r="BM13" s="28">
        <f t="shared" si="6"/>
        <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1081469057.3900001</v>
      </c>
      <c r="F14" s="26">
        <f>现金流量表!F13</f>
        <v>822447296.21000004</v>
      </c>
      <c r="G14" s="26">
        <f>现金流量表!G13</f>
        <v>558857207.70000005</v>
      </c>
      <c r="H14" s="26">
        <f>现金流量表!H13</f>
        <v>415714993.74000001</v>
      </c>
      <c r="I14" s="26">
        <f>现金流量表!I13</f>
        <v>1388990550.6199999</v>
      </c>
      <c r="J14" s="26">
        <f>现金流量表!J13</f>
        <v>608892240.20000005</v>
      </c>
      <c r="K14" s="26">
        <f>现金流量表!K13</f>
        <v>206636530.62</v>
      </c>
      <c r="L14" s="26">
        <f>现金流量表!L13</f>
        <v>166782789.94999999</v>
      </c>
      <c r="M14" s="26">
        <f>现金流量表!M13</f>
        <v>1133089710.6700001</v>
      </c>
      <c r="N14" s="26">
        <f>现金流量表!N13</f>
        <v>428149213.16000003</v>
      </c>
      <c r="O14" s="26">
        <f>现金流量表!O13</f>
        <v>111878359.38</v>
      </c>
      <c r="P14" s="26">
        <f>现金流量表!P13</f>
        <v>18749711.93</v>
      </c>
      <c r="Q14" s="26">
        <f>现金流量表!Q13</f>
        <v>833189311.71000004</v>
      </c>
      <c r="R14" s="26">
        <f>现金流量表!R13</f>
        <v>589218175.98000002</v>
      </c>
      <c r="S14" s="26">
        <f>现金流量表!S13</f>
        <v>329143759.11000001</v>
      </c>
      <c r="T14" s="26">
        <f>现金流量表!T13</f>
        <v>209107738.5</v>
      </c>
      <c r="U14" s="26">
        <f>现金流量表!U13</f>
        <v>587991877.5</v>
      </c>
      <c r="V14" s="26">
        <f>现金流量表!V13</f>
        <v>614513946.80999994</v>
      </c>
      <c r="W14" s="26">
        <f>现金流量表!W13</f>
        <v>353324461.77999997</v>
      </c>
      <c r="X14" s="26">
        <f>现金流量表!X13</f>
        <v>275317698.57999998</v>
      </c>
      <c r="Y14" s="26">
        <f>现金流量表!Y13</f>
        <v>857330477.76999998</v>
      </c>
      <c r="Z14" s="26">
        <f>现金流量表!Z13</f>
        <v>706341025.13999999</v>
      </c>
      <c r="AA14" s="26">
        <f>现金流量表!AA13</f>
        <v>352027676.93000001</v>
      </c>
      <c r="AB14" s="26">
        <f>现金流量表!AB13</f>
        <v>103266458.12</v>
      </c>
      <c r="AC14" s="26">
        <f>现金流量表!AC13</f>
        <v>219233865.46000001</v>
      </c>
      <c r="AD14" s="26">
        <f>现金流量表!AD13</f>
        <v>126409064.48999999</v>
      </c>
      <c r="AE14" s="26">
        <f>现金流量表!AE13</f>
        <v>70083925.299999997</v>
      </c>
      <c r="AF14" s="26">
        <f>现金流量表!AF13</f>
        <v>74229360.859999999</v>
      </c>
      <c r="AG14" s="26">
        <f>现金流量表!AG13</f>
        <v>124250348.59999999</v>
      </c>
      <c r="AH14" s="26">
        <f>现金流量表!AH13</f>
        <v>81735701.819999993</v>
      </c>
      <c r="AI14" s="26">
        <f>现金流量表!AI13</f>
        <v>-136040605.96000001</v>
      </c>
      <c r="AJ14" s="26">
        <f>现金流量表!AJ13</f>
        <v>-43256404.710000001</v>
      </c>
      <c r="AK14" s="26">
        <f>现金流量表!AK13</f>
        <v>294584239.20999998</v>
      </c>
      <c r="AL14" s="26">
        <f>现金流量表!AL13</f>
        <v>327327389.25999999</v>
      </c>
      <c r="AM14" s="26">
        <f>现金流量表!AM13</f>
        <v>220488022.80000001</v>
      </c>
      <c r="AN14" s="26">
        <f>现金流量表!AN13</f>
        <v>144004315.24000001</v>
      </c>
      <c r="AO14" s="26">
        <f>现金流量表!AO13</f>
        <v>142166074.19999999</v>
      </c>
      <c r="AP14" s="26">
        <f>现金流量表!AP13</f>
        <v>-58249795.399999999</v>
      </c>
      <c r="AQ14" s="26">
        <f>现金流量表!AQ13</f>
        <v>-125212592.67</v>
      </c>
      <c r="AR14" s="26">
        <f>现金流量表!AR13</f>
        <v>-88807431.120000005</v>
      </c>
      <c r="AS14" s="26">
        <f>现金流量表!AS13</f>
        <v>166892972.24000001</v>
      </c>
      <c r="AT14" s="26">
        <f>现金流量表!AT13</f>
        <v>-121190154.14</v>
      </c>
      <c r="AU14" s="26">
        <f>现金流量表!AU13</f>
        <v>-87524942.269999996</v>
      </c>
      <c r="AV14" s="26">
        <f>现金流量表!AV13</f>
        <v>-120040532.86</v>
      </c>
      <c r="AW14" s="26">
        <f>现金流量表!AW13</f>
        <v>273662170.22000003</v>
      </c>
      <c r="AX14" s="26">
        <f>现金流量表!AX13</f>
        <v>-12654065.140000001</v>
      </c>
      <c r="AY14" s="26">
        <f>现金流量表!AY13</f>
        <v>-65916569.539999999</v>
      </c>
      <c r="AZ14" s="26">
        <f>现金流量表!AZ13</f>
        <v>-103948150.09</v>
      </c>
      <c r="BA14" s="26">
        <f>现金流量表!BA13</f>
        <v>117032633.45</v>
      </c>
      <c r="BB14" s="26">
        <f>现金流量表!BB13</f>
        <v>-82189770.620000005</v>
      </c>
      <c r="BC14" s="26">
        <f>现金流量表!BC13</f>
        <v>-87964482.689999998</v>
      </c>
      <c r="BD14" s="26">
        <f>现金流量表!BD13</f>
        <v>-49873004.299999997</v>
      </c>
      <c r="BE14" s="26">
        <f>现金流量表!BE13</f>
        <v>113270859.19</v>
      </c>
      <c r="BF14" s="26">
        <f>现金流量表!BF13</f>
        <v>11142045.699999999</v>
      </c>
      <c r="BG14" s="26">
        <f>现金流量表!BG13</f>
        <v>1693313.56</v>
      </c>
      <c r="BH14" s="26">
        <f>现金流量表!BH13</f>
        <v>46561357.909999996</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1161932616.7801411</v>
      </c>
      <c r="F15" s="26">
        <f>股权价值增加表!F17</f>
        <v>855254866.24176621</v>
      </c>
      <c r="G15" s="26">
        <f>股权价值增加表!G17</f>
        <v>573440233.07545972</v>
      </c>
      <c r="H15" s="26">
        <f>股权价值增加表!H17</f>
        <v>353987606.52188241</v>
      </c>
      <c r="I15" s="26">
        <f>股权价值增加表!I17</f>
        <v>1062734068.8356625</v>
      </c>
      <c r="J15" s="26">
        <f>股权价值增加表!J17</f>
        <v>744116325.27319133</v>
      </c>
      <c r="K15" s="26">
        <f>股权价值增加表!K17</f>
        <v>477133090.19337124</v>
      </c>
      <c r="L15" s="26">
        <f>股权价值增加表!L17</f>
        <v>279040076.44460034</v>
      </c>
      <c r="M15" s="26">
        <f>股权价值增加表!M17</f>
        <v>937639565.90755606</v>
      </c>
      <c r="N15" s="26">
        <f>股权价值增加表!N17</f>
        <v>664665857.21834385</v>
      </c>
      <c r="O15" s="26">
        <f>股权价值增加表!O17</f>
        <v>413268151.32706547</v>
      </c>
      <c r="P15" s="26">
        <f>股权价值增加表!P17</f>
        <v>238679438.13549852</v>
      </c>
      <c r="Q15" s="26">
        <f>股权价值增加表!Q17</f>
        <v>722470144.48341775</v>
      </c>
      <c r="R15" s="26">
        <f>股权价值增加表!R17</f>
        <v>535961897.4493863</v>
      </c>
      <c r="S15" s="26">
        <f>股权价值增加表!S17</f>
        <v>344332399.80662036</v>
      </c>
      <c r="T15" s="26">
        <f>股权价值增加表!T17</f>
        <v>198392328.28936571</v>
      </c>
      <c r="U15" s="26">
        <f>股权价值增加表!U17</f>
        <v>620285743.92216349</v>
      </c>
      <c r="V15" s="26">
        <f>股权价值增加表!V17</f>
        <v>463647712.68482774</v>
      </c>
      <c r="W15" s="26">
        <f>股权价值增加表!W17</f>
        <v>298205288.30303383</v>
      </c>
      <c r="X15" s="26">
        <f>股权价值增加表!X17</f>
        <v>170890499.2280935</v>
      </c>
      <c r="Y15" s="26">
        <f>股权价值增加表!Y17</f>
        <v>508203284.2477634</v>
      </c>
      <c r="Z15" s="26">
        <f>股权价值增加表!Z17</f>
        <v>356694472.58314705</v>
      </c>
      <c r="AA15" s="26">
        <f>股权价值增加表!AA17</f>
        <v>235559866.98412877</v>
      </c>
      <c r="AB15" s="26">
        <f>股权价值增加表!AB17</f>
        <v>138973351.33733532</v>
      </c>
      <c r="AC15" s="26">
        <f>股权价值增加表!AC17</f>
        <v>522802633.00968504</v>
      </c>
      <c r="AD15" s="26">
        <f>股权价值增加表!AD17</f>
        <v>393733824.48917294</v>
      </c>
      <c r="AE15" s="26">
        <f>股权价值增加表!AE17</f>
        <v>254943703.48684549</v>
      </c>
      <c r="AF15" s="26">
        <f>股权价值增加表!AF17</f>
        <v>158620528.99036881</v>
      </c>
      <c r="AG15" s="26">
        <f>股权价值增加表!AG17</f>
        <v>443885504.77592677</v>
      </c>
      <c r="AH15" s="26">
        <f>股权价值增加表!AH17</f>
        <v>316152122.70137119</v>
      </c>
      <c r="AI15" s="26">
        <f>股权价值增加表!AI17</f>
        <v>193805962.51638496</v>
      </c>
      <c r="AJ15" s="26">
        <f>股权价值增加表!AJ17</f>
        <v>114975872.63402748</v>
      </c>
      <c r="AK15" s="26">
        <f>股权价值增加表!AK17</f>
        <v>327554299.5211038</v>
      </c>
      <c r="AL15" s="26">
        <f>股权价值增加表!AL17</f>
        <v>222751330.52249795</v>
      </c>
      <c r="AM15" s="26">
        <f>股权价值增加表!AM17</f>
        <v>141137499.84096211</v>
      </c>
      <c r="AN15" s="26">
        <f>股权价值增加表!AN17</f>
        <v>76311197.807967246</v>
      </c>
      <c r="AO15" s="26">
        <f>股权价值增加表!AO17</f>
        <v>270150912.5287928</v>
      </c>
      <c r="AP15" s="26">
        <f>股权价值增加表!AP17</f>
        <v>173810558.5032286</v>
      </c>
      <c r="AQ15" s="26">
        <f>股权价值增加表!AQ17</f>
        <v>123119096.62575935</v>
      </c>
      <c r="AR15" s="26">
        <f>股权价值增加表!AR17</f>
        <v>67237989.234127343</v>
      </c>
      <c r="AS15" s="26">
        <f>股权价值增加表!AS17</f>
        <v>234523585.57062864</v>
      </c>
      <c r="AT15" s="26">
        <f>股权价值增加表!AT17</f>
        <v>133567721.07222509</v>
      </c>
      <c r="AU15" s="26">
        <f>股权价值增加表!AU17</f>
        <v>93342139.580037534</v>
      </c>
      <c r="AV15" s="26">
        <f>股权价值增加表!AV17</f>
        <v>51457501.869767986</v>
      </c>
      <c r="AW15" s="26">
        <f>股权价值增加表!AW17</f>
        <v>153519401.91622001</v>
      </c>
      <c r="AX15" s="26">
        <f>股权价值增加表!AX17</f>
        <v>87085914.432679072</v>
      </c>
      <c r="AY15" s="26">
        <f>股权价值增加表!AY17</f>
        <v>59621132.726697914</v>
      </c>
      <c r="AZ15" s="26">
        <f>股权价值增加表!AZ17</f>
        <v>31305455.804700963</v>
      </c>
      <c r="BA15" s="26">
        <f>股权价值增加表!BA17</f>
        <v>102982624.45753603</v>
      </c>
      <c r="BB15" s="26">
        <f>股权价值增加表!BB17</f>
        <v>56376998.433561333</v>
      </c>
      <c r="BC15" s="26">
        <f>股权价值增加表!BC17</f>
        <v>40193258.964899294</v>
      </c>
      <c r="BD15" s="26">
        <f>股权价值增加表!BD17</f>
        <v>18252958.138916139</v>
      </c>
      <c r="BE15" s="26">
        <f>股权价值增加表!BE17</f>
        <v>72591431.213324353</v>
      </c>
      <c r="BF15" s="26">
        <f>股权价值增加表!BF17</f>
        <v>45536274.652831957</v>
      </c>
      <c r="BG15" s="26">
        <f>股权价值增加表!BG17</f>
        <v>26260724.432035241</v>
      </c>
      <c r="BH15" s="26">
        <f>股权价值增加表!BH17</f>
        <v>9135491.3241262455</v>
      </c>
      <c r="BI15" s="26">
        <f>股权价值增加表!BI17</f>
        <v>52418336.317863688</v>
      </c>
      <c r="BJ15" s="26">
        <f>股权价值增加表!BJ17</f>
        <v>31732664.415362958</v>
      </c>
      <c r="BK15" s="26">
        <f>股权价值增加表!BK17</f>
        <v>17481319.657173757</v>
      </c>
      <c r="BL15" s="26">
        <f>股权价值增加表!BL17</f>
        <v>39702134.104384609</v>
      </c>
      <c r="BM15" s="26">
        <f>股权价值增加表!BM17</f>
        <v>24097566.667722285</v>
      </c>
      <c r="BN15" s="26" t="e">
        <f>股权价值增加表!BN17</f>
        <v>#DIV/0!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t="e">
        <f>股权价值增加表!CE17</f>
        <v>#DIV/0!</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0.93075023609104335</v>
      </c>
      <c r="F16" s="28">
        <f t="shared" ref="F16:BQ16" si="8">F14/F15</f>
        <v>0.96164000776057312</v>
      </c>
      <c r="G16" s="28">
        <f t="shared" si="8"/>
        <v>0.97456923226811565</v>
      </c>
      <c r="H16" s="28">
        <f t="shared" si="8"/>
        <v>1.1743772552508891</v>
      </c>
      <c r="I16" s="28">
        <f t="shared" si="8"/>
        <v>1.3069972925040276</v>
      </c>
      <c r="J16" s="28">
        <f t="shared" si="8"/>
        <v>0.81827561030387852</v>
      </c>
      <c r="K16" s="28">
        <f t="shared" si="8"/>
        <v>0.43307943814220662</v>
      </c>
      <c r="L16" s="28">
        <f t="shared" si="8"/>
        <v>0.59770192179943893</v>
      </c>
      <c r="M16" s="28">
        <f t="shared" si="8"/>
        <v>1.2084491225295775</v>
      </c>
      <c r="N16" s="28">
        <f t="shared" si="8"/>
        <v>0.64415707307702474</v>
      </c>
      <c r="O16" s="28">
        <f t="shared" si="8"/>
        <v>0.27071614161590229</v>
      </c>
      <c r="P16" s="28">
        <f t="shared" si="8"/>
        <v>7.8556041846201144E-2</v>
      </c>
      <c r="Q16" s="28">
        <f t="shared" si="8"/>
        <v>1.1532508548235567</v>
      </c>
      <c r="R16" s="28">
        <f t="shared" si="8"/>
        <v>1.0993657922028739</v>
      </c>
      <c r="S16" s="28">
        <f t="shared" si="8"/>
        <v>0.95588959765287729</v>
      </c>
      <c r="T16" s="28">
        <f t="shared" si="8"/>
        <v>1.0540112125455037</v>
      </c>
      <c r="U16" s="28">
        <f t="shared" si="8"/>
        <v>0.94793711327627117</v>
      </c>
      <c r="V16" s="28">
        <f t="shared" si="8"/>
        <v>1.325389794875848</v>
      </c>
      <c r="W16" s="28">
        <f t="shared" si="8"/>
        <v>1.1848363380496274</v>
      </c>
      <c r="X16" s="28">
        <f t="shared" si="8"/>
        <v>1.6110766825751024</v>
      </c>
      <c r="Y16" s="28">
        <f t="shared" si="8"/>
        <v>1.6869833476952252</v>
      </c>
      <c r="Z16" s="28">
        <f t="shared" si="8"/>
        <v>1.9802410169822544</v>
      </c>
      <c r="AA16" s="28">
        <f t="shared" si="8"/>
        <v>1.494429766143986</v>
      </c>
      <c r="AB16" s="28">
        <f t="shared" si="8"/>
        <v>0.74306661763763182</v>
      </c>
      <c r="AC16" s="28">
        <f t="shared" si="8"/>
        <v>0.41934346083513058</v>
      </c>
      <c r="AD16" s="28">
        <f t="shared" si="8"/>
        <v>0.32105208297509641</v>
      </c>
      <c r="AE16" s="28">
        <f t="shared" si="8"/>
        <v>0.27489961250843825</v>
      </c>
      <c r="AF16" s="28">
        <f t="shared" si="8"/>
        <v>0.46796818376836385</v>
      </c>
      <c r="AG16" s="28">
        <f t="shared" si="8"/>
        <v>0.27991530983360569</v>
      </c>
      <c r="AH16" s="28">
        <f t="shared" si="8"/>
        <v>0.25853282629136526</v>
      </c>
      <c r="AI16" s="28">
        <f t="shared" si="8"/>
        <v>-0.7019423148475048</v>
      </c>
      <c r="AJ16" s="28">
        <f t="shared" si="8"/>
        <v>-0.37622158213738249</v>
      </c>
      <c r="AK16" s="28">
        <f t="shared" si="8"/>
        <v>0.89934474876590775</v>
      </c>
      <c r="AL16" s="28">
        <f t="shared" si="8"/>
        <v>1.469474451587798</v>
      </c>
      <c r="AM16" s="28">
        <f t="shared" si="8"/>
        <v>1.5622214014592324</v>
      </c>
      <c r="AN16" s="28">
        <f t="shared" si="8"/>
        <v>1.8870666347339824</v>
      </c>
      <c r="AO16" s="28">
        <f t="shared" si="8"/>
        <v>0.52624687760345012</v>
      </c>
      <c r="AP16" s="28">
        <f t="shared" si="8"/>
        <v>-0.33513381408827347</v>
      </c>
      <c r="AQ16" s="28">
        <f t="shared" si="8"/>
        <v>-1.0170038288260363</v>
      </c>
      <c r="AR16" s="28">
        <f t="shared" si="8"/>
        <v>-1.3207924884661015</v>
      </c>
      <c r="AS16" s="28">
        <f t="shared" si="8"/>
        <v>0.71162553580240595</v>
      </c>
      <c r="AT16" s="28">
        <f t="shared" si="8"/>
        <v>-0.90733115132261577</v>
      </c>
      <c r="AU16" s="28">
        <f t="shared" si="8"/>
        <v>-0.93767876613702972</v>
      </c>
      <c r="AV16" s="28">
        <f t="shared" si="8"/>
        <v>-2.3328091822997243</v>
      </c>
      <c r="AW16" s="28">
        <f t="shared" si="8"/>
        <v>1.7825901273986555</v>
      </c>
      <c r="AX16" s="28">
        <f t="shared" si="8"/>
        <v>-0.14530553215677725</v>
      </c>
      <c r="AY16" s="28">
        <f t="shared" si="8"/>
        <v>-1.105590694530415</v>
      </c>
      <c r="AZ16" s="28">
        <f t="shared" si="8"/>
        <v>-3.3204483824953828</v>
      </c>
      <c r="BA16" s="28">
        <f t="shared" si="8"/>
        <v>1.1364308694449459</v>
      </c>
      <c r="BB16" s="28">
        <f t="shared" si="8"/>
        <v>-1.4578599943886386</v>
      </c>
      <c r="BC16" s="28">
        <f t="shared" si="8"/>
        <v>-2.1885382015630839</v>
      </c>
      <c r="BD16" s="28">
        <f t="shared" si="8"/>
        <v>-2.732324476966201</v>
      </c>
      <c r="BE16" s="28">
        <f t="shared" si="8"/>
        <v>1.5603888406212996</v>
      </c>
      <c r="BF16" s="28">
        <f t="shared" si="8"/>
        <v>0.24468505131231813</v>
      </c>
      <c r="BG16" s="28">
        <f t="shared" si="8"/>
        <v>6.4480839604498533E-2</v>
      </c>
      <c r="BH16" s="28">
        <f t="shared" si="8"/>
        <v>5.0967546525970029</v>
      </c>
      <c r="BI16" s="28">
        <f t="shared" si="8"/>
        <v>0</v>
      </c>
      <c r="BJ16" s="28">
        <f t="shared" si="8"/>
        <v>0</v>
      </c>
      <c r="BK16" s="28">
        <f t="shared" si="8"/>
        <v>0</v>
      </c>
      <c r="BL16" s="28">
        <f t="shared" si="8"/>
        <v>0</v>
      </c>
      <c r="BM16" s="28">
        <f t="shared" si="8"/>
        <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1208068899.7799993</v>
      </c>
      <c r="F17" s="26">
        <f>股权价值增加表!F42</f>
        <v>890664690.57000053</v>
      </c>
      <c r="G17" s="26">
        <f>股权价值增加表!G42</f>
        <v>593976514.82999992</v>
      </c>
      <c r="H17" s="26">
        <f>股权价值增加表!H42</f>
        <v>366032374.82000029</v>
      </c>
      <c r="I17" s="26">
        <f>股权价值增加表!I42</f>
        <v>1144379679.3800015</v>
      </c>
      <c r="J17" s="26">
        <f>股权价值增加表!J42</f>
        <v>794744844.84000027</v>
      </c>
      <c r="K17" s="26">
        <f>股权价值增加表!K42</f>
        <v>521713239.28999949</v>
      </c>
      <c r="L17" s="26">
        <f>股权价值增加表!L42</f>
        <v>297175861.99999988</v>
      </c>
      <c r="M17" s="26">
        <f>股权价值增加表!M42</f>
        <v>1000933530.0999992</v>
      </c>
      <c r="N17" s="26">
        <f>股权价值增加表!N42</f>
        <v>706946961.89999962</v>
      </c>
      <c r="O17" s="26">
        <f>股权价值增加表!O42</f>
        <v>436954358.2300002</v>
      </c>
      <c r="P17" s="26">
        <f>股权价值增加表!P42</f>
        <v>248153187.83999985</v>
      </c>
      <c r="Q17" s="26">
        <f>股权价值增加表!Q42</f>
        <v>762636861.32999992</v>
      </c>
      <c r="R17" s="26">
        <f>股权价值增加表!R42</f>
        <v>563332725.18000007</v>
      </c>
      <c r="S17" s="26">
        <f>股权价值增加表!S42</f>
        <v>364801872.14000046</v>
      </c>
      <c r="T17" s="26">
        <f>股权价值增加表!T42</f>
        <v>204032442.48000011</v>
      </c>
      <c r="U17" s="26">
        <f>股权价值增加表!U42</f>
        <v>621261685.13999963</v>
      </c>
      <c r="V17" s="26">
        <f>股权价值增加表!V42</f>
        <v>467436062.52000111</v>
      </c>
      <c r="W17" s="26">
        <f>股权价值增加表!W42</f>
        <v>296426999.43000007</v>
      </c>
      <c r="X17" s="26">
        <f>股权价值增加表!X42</f>
        <v>168287234.30999994</v>
      </c>
      <c r="Y17" s="26">
        <f>股权价值增加表!Y42</f>
        <v>506196215.49000049</v>
      </c>
      <c r="Z17" s="26">
        <f>股权价值增加表!Z42</f>
        <v>364311004.57000005</v>
      </c>
      <c r="AA17" s="26">
        <f>股权价值增加表!AA42</f>
        <v>237904976.11999965</v>
      </c>
      <c r="AB17" s="26">
        <f>股权价值增加表!AB42</f>
        <v>139180331.53000006</v>
      </c>
      <c r="AC17" s="26">
        <f>股权价值增加表!AC42</f>
        <v>487726574.06000054</v>
      </c>
      <c r="AD17" s="26">
        <f>股权价值增加表!AD42</f>
        <v>382695867.81999993</v>
      </c>
      <c r="AE17" s="26">
        <f>股权价值增加表!AE42</f>
        <v>246797533.73999998</v>
      </c>
      <c r="AF17" s="26">
        <f>股权价值增加表!AF42</f>
        <v>148692646.80999997</v>
      </c>
      <c r="AG17" s="26">
        <f>股权价值增加表!AG42</f>
        <v>419815390.3999998</v>
      </c>
      <c r="AH17" s="26">
        <f>股权价值增加表!AH42</f>
        <v>306841798.72000027</v>
      </c>
      <c r="AI17" s="26">
        <f>股权价值增加表!AI42</f>
        <v>190296199.2899999</v>
      </c>
      <c r="AJ17" s="26">
        <f>股权价值增加表!AJ42</f>
        <v>112828617.44999982</v>
      </c>
      <c r="AK17" s="26">
        <f>股权价值增加表!AK42</f>
        <v>352676678.55000055</v>
      </c>
      <c r="AL17" s="26">
        <f>股权价值增加表!AL42</f>
        <v>234210063.29999977</v>
      </c>
      <c r="AM17" s="26">
        <f>股权价值增加表!AM42</f>
        <v>148629107.38999993</v>
      </c>
      <c r="AN17" s="26">
        <f>股权价值增加表!AN42</f>
        <v>78271799.980000019</v>
      </c>
      <c r="AO17" s="26">
        <f>股权价值增加表!AO42</f>
        <v>299407953.86999977</v>
      </c>
      <c r="AP17" s="26">
        <f>股权价值增加表!AP42</f>
        <v>196327741.64999995</v>
      </c>
      <c r="AQ17" s="26">
        <f>股权价值增加表!AQ42</f>
        <v>133483374.41999984</v>
      </c>
      <c r="AR17" s="26">
        <f>股权价值增加表!AR42</f>
        <v>68086983.529999927</v>
      </c>
      <c r="AS17" s="26">
        <f>股权价值增加表!AS42</f>
        <v>215311956.15999961</v>
      </c>
      <c r="AT17" s="26">
        <f>股权价值增加表!AT42</f>
        <v>121937857.07999986</v>
      </c>
      <c r="AU17" s="26">
        <f>股权价值增加表!AU42</f>
        <v>84830537.459999874</v>
      </c>
      <c r="AV17" s="26">
        <f>股权价值增加表!AV42</f>
        <v>48014940.009999998</v>
      </c>
      <c r="AW17" s="26">
        <f>股权价值增加表!AW42</f>
        <v>129687847.9600001</v>
      </c>
      <c r="AX17" s="26">
        <f>股权价值增加表!AX42</f>
        <v>74553012.240000024</v>
      </c>
      <c r="AY17" s="26">
        <f>股权价值增加表!AY42</f>
        <v>53942246.079999946</v>
      </c>
      <c r="AZ17" s="26">
        <f>股权价值增加表!AZ42</f>
        <v>29121432.510000039</v>
      </c>
      <c r="BA17" s="26">
        <f>股权价值增加表!BA42</f>
        <v>87440039.049999967</v>
      </c>
      <c r="BB17" s="26">
        <f>股权价值增加表!BB42</f>
        <v>43285920.699999921</v>
      </c>
      <c r="BC17" s="26">
        <f>股权价值增加表!BC42</f>
        <v>31400207.770000003</v>
      </c>
      <c r="BD17" s="26">
        <f>股权价值增加表!BD42</f>
        <v>13067375.810000014</v>
      </c>
      <c r="BE17" s="26">
        <f>股权价值增加表!BE42</f>
        <v>62937699.010000035</v>
      </c>
      <c r="BF17" s="26">
        <f>股权价值增加表!BF42</f>
        <v>40974539.209999949</v>
      </c>
      <c r="BG17" s="26">
        <f>股权价值增加表!BG42</f>
        <v>25069020.490000013</v>
      </c>
      <c r="BH17" s="26">
        <f>股权价值增加表!BH42</f>
        <v>10786212.439999986</v>
      </c>
      <c r="BI17" s="26">
        <f>股权价值增加表!BI42</f>
        <v>49658396.830000073</v>
      </c>
      <c r="BJ17" s="26">
        <f>股权价值增加表!BJ42</f>
        <v>29424642.880000066</v>
      </c>
      <c r="BK17" s="26">
        <f>股权价值增加表!BK42</f>
        <v>17128842.430000011</v>
      </c>
      <c r="BL17" s="26">
        <f>股权价值增加表!BL42</f>
        <v>33436080.210000034</v>
      </c>
      <c r="BM17" s="26">
        <f>股权价值增加表!BM42</f>
        <v>18701209.809999973</v>
      </c>
      <c r="BN17" s="26">
        <f>股权价值增加表!BN42</f>
        <v>0</v>
      </c>
      <c r="BO17" s="26">
        <f>股权价值增加表!BO42</f>
        <v>-31994201.770000003</v>
      </c>
      <c r="BP17" s="26">
        <f>股权价值增加表!BP42</f>
        <v>-13728975.969999999</v>
      </c>
      <c r="BQ17" s="26">
        <f>股权价值增加表!BQ42</f>
        <v>-29742046.629999995</v>
      </c>
      <c r="BR17" s="26">
        <f>股权价值增加表!BR42</f>
        <v>-8761872.6600000001</v>
      </c>
      <c r="BS17" s="26">
        <f>股权价值增加表!BS42</f>
        <v>-46317330.93</v>
      </c>
      <c r="BT17" s="26">
        <f>股权价值增加表!BT42</f>
        <v>-30346543.920000002</v>
      </c>
      <c r="BU17" s="26">
        <f>股权价值增加表!BU42</f>
        <v>-114756518.49000001</v>
      </c>
      <c r="BV17" s="26">
        <f>股权价值增加表!BV42</f>
        <v>-51180142.579999998</v>
      </c>
      <c r="BW17" s="26">
        <f>股权价值增加表!BW42</f>
        <v>-94705800.890000015</v>
      </c>
      <c r="BX17" s="26">
        <f>股权价值增加表!BX42</f>
        <v>-41114529.640000001</v>
      </c>
      <c r="BY17" s="26">
        <f>股权价值增加表!BY42</f>
        <v>-74344697.039999992</v>
      </c>
      <c r="BZ17" s="26">
        <f>股权价值增加表!BZ42</f>
        <v>-23306390</v>
      </c>
      <c r="CA17" s="26">
        <f>股权价值增加表!CA42</f>
        <v>-53527704.5</v>
      </c>
      <c r="CB17" s="26">
        <f>股权价值增加表!CB42</f>
        <v>-18178000</v>
      </c>
      <c r="CC17" s="26">
        <f>股权价值增加表!CC42</f>
        <v>-34265328.020000003</v>
      </c>
      <c r="CD17" s="26">
        <f>股权价值增加表!CD42</f>
        <v>0</v>
      </c>
      <c r="CE17" s="26">
        <f>股权价值增加表!CE42</f>
        <v>0</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0.89520478309386642</v>
      </c>
      <c r="F18" s="28">
        <f t="shared" ref="F18:BQ18" si="10">F14/F17</f>
        <v>0.92340844418527102</v>
      </c>
      <c r="G18" s="28">
        <f t="shared" si="10"/>
        <v>0.94087424964932953</v>
      </c>
      <c r="H18" s="28">
        <f t="shared" si="10"/>
        <v>1.135732854080002</v>
      </c>
      <c r="I18" s="28">
        <f t="shared" si="10"/>
        <v>1.2137497507580026</v>
      </c>
      <c r="J18" s="28">
        <f t="shared" si="10"/>
        <v>0.76614808407166646</v>
      </c>
      <c r="K18" s="28">
        <f t="shared" si="10"/>
        <v>0.39607300535675888</v>
      </c>
      <c r="L18" s="28">
        <f t="shared" si="10"/>
        <v>0.56122589778169818</v>
      </c>
      <c r="M18" s="28">
        <f t="shared" si="10"/>
        <v>1.1320329238613853</v>
      </c>
      <c r="N18" s="28">
        <f t="shared" si="10"/>
        <v>0.60563130791212505</v>
      </c>
      <c r="O18" s="28">
        <f t="shared" si="10"/>
        <v>0.25604129418274496</v>
      </c>
      <c r="P18" s="28">
        <f t="shared" si="10"/>
        <v>7.555700611063329E-2</v>
      </c>
      <c r="Q18" s="28">
        <f t="shared" si="10"/>
        <v>1.0925111989170839</v>
      </c>
      <c r="R18" s="28">
        <f t="shared" si="10"/>
        <v>1.0459505539851761</v>
      </c>
      <c r="S18" s="28">
        <f t="shared" si="10"/>
        <v>0.90225348126416438</v>
      </c>
      <c r="T18" s="28">
        <f t="shared" si="10"/>
        <v>1.0248749461522395</v>
      </c>
      <c r="U18" s="28">
        <f t="shared" si="10"/>
        <v>0.94644799697811344</v>
      </c>
      <c r="V18" s="28">
        <f t="shared" si="10"/>
        <v>1.3146481328314406</v>
      </c>
      <c r="W18" s="28">
        <f t="shared" si="10"/>
        <v>1.1919442643868747</v>
      </c>
      <c r="X18" s="28">
        <f t="shared" si="10"/>
        <v>1.6359987120166255</v>
      </c>
      <c r="Y18" s="28">
        <f t="shared" si="10"/>
        <v>1.6936722392128114</v>
      </c>
      <c r="Z18" s="28">
        <f t="shared" si="10"/>
        <v>1.9388407604477977</v>
      </c>
      <c r="AA18" s="28">
        <f t="shared" si="10"/>
        <v>1.4796986707517907</v>
      </c>
      <c r="AB18" s="28">
        <f t="shared" si="10"/>
        <v>0.7419615759267042</v>
      </c>
      <c r="AC18" s="28">
        <f t="shared" si="10"/>
        <v>0.44950157961462578</v>
      </c>
      <c r="AD18" s="28">
        <f t="shared" si="10"/>
        <v>0.33031207054855422</v>
      </c>
      <c r="AE18" s="28">
        <f t="shared" si="10"/>
        <v>0.2839733616375319</v>
      </c>
      <c r="AF18" s="28">
        <f t="shared" si="10"/>
        <v>0.49921339388658914</v>
      </c>
      <c r="AG18" s="28">
        <f t="shared" si="10"/>
        <v>0.29596425343438304</v>
      </c>
      <c r="AH18" s="28">
        <f t="shared" si="10"/>
        <v>0.26637733894457311</v>
      </c>
      <c r="AI18" s="28">
        <f t="shared" si="10"/>
        <v>-0.71488871804886833</v>
      </c>
      <c r="AJ18" s="28">
        <f t="shared" si="10"/>
        <v>-0.38338150096689028</v>
      </c>
      <c r="AK18" s="28">
        <f t="shared" si="10"/>
        <v>0.83528131324463362</v>
      </c>
      <c r="AL18" s="28">
        <f t="shared" si="10"/>
        <v>1.3975803799716591</v>
      </c>
      <c r="AM18" s="28">
        <f t="shared" si="10"/>
        <v>1.4834780795759184</v>
      </c>
      <c r="AN18" s="28">
        <f t="shared" si="10"/>
        <v>1.8397981811686448</v>
      </c>
      <c r="AO18" s="28">
        <f t="shared" si="10"/>
        <v>0.47482397298545787</v>
      </c>
      <c r="AP18" s="28">
        <f t="shared" si="10"/>
        <v>-0.29669671188824587</v>
      </c>
      <c r="AQ18" s="28">
        <f t="shared" si="10"/>
        <v>-0.93803886224829647</v>
      </c>
      <c r="AR18" s="28">
        <f t="shared" si="10"/>
        <v>-1.3043231836063116</v>
      </c>
      <c r="AS18" s="28">
        <f t="shared" si="10"/>
        <v>0.77512171277651132</v>
      </c>
      <c r="AT18" s="28">
        <f t="shared" si="10"/>
        <v>-0.99386816401481193</v>
      </c>
      <c r="AU18" s="28">
        <f t="shared" si="10"/>
        <v>-1.0317622036907477</v>
      </c>
      <c r="AV18" s="28">
        <f t="shared" si="10"/>
        <v>-2.5000662884302125</v>
      </c>
      <c r="AW18" s="28">
        <f t="shared" si="10"/>
        <v>2.1101604701190371</v>
      </c>
      <c r="AX18" s="28">
        <f t="shared" si="10"/>
        <v>-0.16973244621242412</v>
      </c>
      <c r="AY18" s="28">
        <f t="shared" si="10"/>
        <v>-1.2219841465674479</v>
      </c>
      <c r="AZ18" s="28">
        <f t="shared" si="10"/>
        <v>-3.5694724170696324</v>
      </c>
      <c r="BA18" s="28">
        <f t="shared" si="10"/>
        <v>1.3384329961595556</v>
      </c>
      <c r="BB18" s="28">
        <f t="shared" si="10"/>
        <v>-1.8987645241423767</v>
      </c>
      <c r="BC18" s="28">
        <f t="shared" si="10"/>
        <v>-2.8013981096660747</v>
      </c>
      <c r="BD18" s="28">
        <f t="shared" si="10"/>
        <v>-3.8166044219707755</v>
      </c>
      <c r="BE18" s="28">
        <f t="shared" si="10"/>
        <v>1.7997299070625801</v>
      </c>
      <c r="BF18" s="28">
        <f t="shared" si="10"/>
        <v>0.27192607689608261</v>
      </c>
      <c r="BG18" s="28">
        <f t="shared" si="10"/>
        <v>6.754605991388693E-2</v>
      </c>
      <c r="BH18" s="28">
        <f t="shared" si="10"/>
        <v>4.3167477155678995</v>
      </c>
      <c r="BI18" s="28">
        <f t="shared" si="10"/>
        <v>0</v>
      </c>
      <c r="BJ18" s="28">
        <f t="shared" si="10"/>
        <v>0</v>
      </c>
      <c r="BK18" s="28">
        <f t="shared" si="10"/>
        <v>0</v>
      </c>
      <c r="BL18" s="28">
        <f t="shared" si="10"/>
        <v>0</v>
      </c>
      <c r="BM18" s="28">
        <f t="shared" si="10"/>
        <v>0</v>
      </c>
      <c r="BN18" s="28" t="e">
        <f t="shared" si="10"/>
        <v>#DIV/0!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t="e">
        <f t="shared" si="11"/>
        <v>#DIV/0!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50991305.039999999</v>
      </c>
      <c r="F19" s="26">
        <f>现金流量表!F48</f>
        <v>0</v>
      </c>
      <c r="G19" s="26">
        <f>现金流量表!G48</f>
        <v>2963149.44</v>
      </c>
      <c r="H19" s="26">
        <f>现金流量表!H48</f>
        <v>0</v>
      </c>
      <c r="I19" s="26">
        <f>现金流量表!I48</f>
        <v>48469502.909999996</v>
      </c>
      <c r="J19" s="26">
        <f>现金流量表!J48</f>
        <v>0</v>
      </c>
      <c r="K19" s="26">
        <f>现金流量表!K48</f>
        <v>13220524.99</v>
      </c>
      <c r="L19" s="26">
        <f>现金流量表!L48</f>
        <v>0</v>
      </c>
      <c r="M19" s="26">
        <f>现金流量表!M48</f>
        <v>59476815.25</v>
      </c>
      <c r="N19" s="26">
        <f>现金流量表!N48</f>
        <v>0</v>
      </c>
      <c r="O19" s="26">
        <f>现金流量表!O48</f>
        <v>22632782.989999998</v>
      </c>
      <c r="P19" s="26">
        <f>现金流量表!P48</f>
        <v>0</v>
      </c>
      <c r="Q19" s="26">
        <f>现金流量表!Q48</f>
        <v>50310489.329999998</v>
      </c>
      <c r="R19" s="26">
        <f>现金流量表!R48</f>
        <v>0</v>
      </c>
      <c r="S19" s="26">
        <f>现金流量表!S48</f>
        <v>-5909530.3399999999</v>
      </c>
      <c r="T19" s="26">
        <f>现金流量表!T48</f>
        <v>0</v>
      </c>
      <c r="U19" s="26">
        <f>现金流量表!U48</f>
        <v>59033219.689999998</v>
      </c>
      <c r="V19" s="26">
        <f>现金流量表!V48</f>
        <v>0</v>
      </c>
      <c r="W19" s="26">
        <f>现金流量表!W48</f>
        <v>13438270.73</v>
      </c>
      <c r="X19" s="26">
        <f>现金流量表!X48</f>
        <v>0</v>
      </c>
      <c r="Y19" s="26">
        <f>现金流量表!Y48</f>
        <v>29791361.18</v>
      </c>
      <c r="Z19" s="26">
        <f>现金流量表!Z48</f>
        <v>0</v>
      </c>
      <c r="AA19" s="26">
        <f>现金流量表!AA48</f>
        <v>-9775380.6600000001</v>
      </c>
      <c r="AB19" s="26">
        <f>现金流量表!AB48</f>
        <v>0</v>
      </c>
      <c r="AC19" s="26">
        <f>现金流量表!AC48</f>
        <v>31761403.440000001</v>
      </c>
      <c r="AD19" s="26">
        <f>现金流量表!AD48</f>
        <v>0</v>
      </c>
      <c r="AE19" s="26">
        <f>现金流量表!AE48</f>
        <v>17509156.190000001</v>
      </c>
      <c r="AF19" s="26">
        <f>现金流量表!AF48</f>
        <v>0</v>
      </c>
      <c r="AG19" s="26">
        <f>现金流量表!AG48</f>
        <v>11463854.41</v>
      </c>
      <c r="AH19" s="26">
        <f>现金流量表!AH48</f>
        <v>0</v>
      </c>
      <c r="AI19" s="26">
        <f>现金流量表!AI48</f>
        <v>11733559.68</v>
      </c>
      <c r="AJ19" s="26">
        <f>现金流量表!AJ48</f>
        <v>0</v>
      </c>
      <c r="AK19" s="26">
        <f>现金流量表!AK48</f>
        <v>2978268.56</v>
      </c>
      <c r="AL19" s="26">
        <f>现金流量表!AL48</f>
        <v>0</v>
      </c>
      <c r="AM19" s="26">
        <f>现金流量表!AM48</f>
        <v>233064.24</v>
      </c>
      <c r="AN19" s="26">
        <f>现金流量表!AN48</f>
        <v>0</v>
      </c>
      <c r="AO19" s="26">
        <f>现金流量表!AO48</f>
        <v>345406.09</v>
      </c>
      <c r="AP19" s="26">
        <f>现金流量表!AP48</f>
        <v>0</v>
      </c>
      <c r="AQ19" s="26">
        <f>现金流量表!AQ48</f>
        <v>4906747.49</v>
      </c>
      <c r="AR19" s="26">
        <f>现金流量表!AR48</f>
        <v>0</v>
      </c>
      <c r="AS19" s="26">
        <f>现金流量表!AS48</f>
        <v>-19181304.469999999</v>
      </c>
      <c r="AT19" s="26">
        <f>现金流量表!AT48</f>
        <v>0</v>
      </c>
      <c r="AU19" s="26">
        <f>现金流量表!AU48</f>
        <v>9453917.7899999991</v>
      </c>
      <c r="AV19" s="26">
        <f>现金流量表!AV48</f>
        <v>0</v>
      </c>
      <c r="AW19" s="26">
        <f>现金流量表!AW48</f>
        <v>30776635.050000001</v>
      </c>
      <c r="AX19" s="26">
        <f>现金流量表!AX48</f>
        <v>16761038.699999999</v>
      </c>
      <c r="AY19" s="26">
        <f>现金流量表!AY48</f>
        <v>15458193.49</v>
      </c>
      <c r="AZ19" s="26">
        <f>现金流量表!AZ48</f>
        <v>6279367.6600000001</v>
      </c>
      <c r="BA19" s="26">
        <f>现金流量表!BA48</f>
        <v>2055805.69</v>
      </c>
      <c r="BB19" s="26">
        <f>现金流量表!BB48</f>
        <v>9319341.6600000001</v>
      </c>
      <c r="BC19" s="26">
        <f>现金流量表!BC48</f>
        <v>5085996.1100000003</v>
      </c>
      <c r="BD19" s="26">
        <f>现金流量表!BD48</f>
        <v>3843735.39</v>
      </c>
      <c r="BE19" s="26">
        <f>现金流量表!BE48</f>
        <v>2288480.5299999998</v>
      </c>
      <c r="BF19" s="26">
        <f>现金流量表!BF48</f>
        <v>3843125.63</v>
      </c>
      <c r="BG19" s="26">
        <f>现金流量表!BG48</f>
        <v>700672.96</v>
      </c>
      <c r="BH19" s="26">
        <f>现金流量表!BH48</f>
        <v>372160.76</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91099215.629999995</v>
      </c>
      <c r="F20" s="26">
        <f>现金流量表!F49</f>
        <v>0</v>
      </c>
      <c r="G20" s="26">
        <f>现金流量表!G49</f>
        <v>42461320.840000004</v>
      </c>
      <c r="H20" s="26">
        <f>现金流量表!H49</f>
        <v>0</v>
      </c>
      <c r="I20" s="26">
        <f>现金流量表!I49</f>
        <v>110322860.01000001</v>
      </c>
      <c r="J20" s="26">
        <f>现金流量表!J49</f>
        <v>0</v>
      </c>
      <c r="K20" s="26">
        <f>现金流量表!K49</f>
        <v>48709243.920000002</v>
      </c>
      <c r="L20" s="26">
        <f>现金流量表!L49</f>
        <v>0</v>
      </c>
      <c r="M20" s="26">
        <f>现金流量表!M49</f>
        <v>102009147.34</v>
      </c>
      <c r="N20" s="26">
        <f>现金流量表!N49</f>
        <v>0</v>
      </c>
      <c r="O20" s="26">
        <f>现金流量表!O49</f>
        <v>48482029.890000001</v>
      </c>
      <c r="P20" s="26">
        <f>现金流量表!P49</f>
        <v>0</v>
      </c>
      <c r="Q20" s="26">
        <f>现金流量表!Q49</f>
        <v>91093414.659999996</v>
      </c>
      <c r="R20" s="26">
        <f>现金流量表!R49</f>
        <v>0</v>
      </c>
      <c r="S20" s="26">
        <f>现金流量表!S49</f>
        <v>48073033.039999999</v>
      </c>
      <c r="T20" s="26">
        <f>现金流量表!T49</f>
        <v>0</v>
      </c>
      <c r="U20" s="26">
        <f>现金流量表!U49</f>
        <v>85358968.430000007</v>
      </c>
      <c r="V20" s="26">
        <f>现金流量表!V49</f>
        <v>0</v>
      </c>
      <c r="W20" s="26">
        <f>现金流量表!W49</f>
        <v>55844737.210000001</v>
      </c>
      <c r="X20" s="26">
        <f>现金流量表!X49</f>
        <v>0</v>
      </c>
      <c r="Y20" s="26">
        <f>现金流量表!Y49</f>
        <v>85182715.760000005</v>
      </c>
      <c r="Z20" s="26">
        <f>现金流量表!Z49</f>
        <v>0</v>
      </c>
      <c r="AA20" s="26">
        <f>现金流量表!AA49</f>
        <v>42405530</v>
      </c>
      <c r="AB20" s="26">
        <f>现金流量表!AB49</f>
        <v>0</v>
      </c>
      <c r="AC20" s="26">
        <f>现金流量表!AC49</f>
        <v>76585420.650000006</v>
      </c>
      <c r="AD20" s="26">
        <f>现金流量表!AD49</f>
        <v>0</v>
      </c>
      <c r="AE20" s="26">
        <f>现金流量表!AE49</f>
        <v>35608139.979999997</v>
      </c>
      <c r="AF20" s="26">
        <f>现金流量表!AF49</f>
        <v>0</v>
      </c>
      <c r="AG20" s="26">
        <f>现金流量表!AG49</f>
        <v>64490350.609999999</v>
      </c>
      <c r="AH20" s="26">
        <f>现金流量表!AH49</f>
        <v>0</v>
      </c>
      <c r="AI20" s="26">
        <f>现金流量表!AI49</f>
        <v>33237019.579999998</v>
      </c>
      <c r="AJ20" s="26">
        <f>现金流量表!AJ49</f>
        <v>0</v>
      </c>
      <c r="AK20" s="26">
        <f>现金流量表!AK49</f>
        <v>55681284.850000001</v>
      </c>
      <c r="AL20" s="26">
        <f>现金流量表!AL49</f>
        <v>0</v>
      </c>
      <c r="AM20" s="26">
        <f>现金流量表!AM49</f>
        <v>25651523.43</v>
      </c>
      <c r="AN20" s="26">
        <f>现金流量表!AN49</f>
        <v>0</v>
      </c>
      <c r="AO20" s="26">
        <f>现金流量表!AO49</f>
        <v>48875996.549999997</v>
      </c>
      <c r="AP20" s="26">
        <f>现金流量表!AP49</f>
        <v>0</v>
      </c>
      <c r="AQ20" s="26">
        <f>现金流量表!AQ49</f>
        <v>23140213.149999999</v>
      </c>
      <c r="AR20" s="26">
        <f>现金流量表!AR49</f>
        <v>0</v>
      </c>
      <c r="AS20" s="26">
        <f>现金流量表!AS49</f>
        <v>42675176.18</v>
      </c>
      <c r="AT20" s="26">
        <f>现金流量表!AT49</f>
        <v>0</v>
      </c>
      <c r="AU20" s="26">
        <f>现金流量表!AU49</f>
        <v>21016657.510000002</v>
      </c>
      <c r="AV20" s="26">
        <f>现金流量表!AV49</f>
        <v>0</v>
      </c>
      <c r="AW20" s="26">
        <f>现金流量表!AW49</f>
        <v>40816534.909999996</v>
      </c>
      <c r="AX20" s="26">
        <f>现金流量表!AX49</f>
        <v>31311562.27</v>
      </c>
      <c r="AY20" s="26">
        <f>现金流量表!AY49</f>
        <v>21467604.149999999</v>
      </c>
      <c r="AZ20" s="26">
        <f>现金流量表!AZ49</f>
        <v>9361609.4900000002</v>
      </c>
      <c r="BA20" s="26">
        <f>现金流量表!BA49</f>
        <v>32080180.489999998</v>
      </c>
      <c r="BB20" s="26">
        <f>现金流量表!BB49</f>
        <v>23685836.75</v>
      </c>
      <c r="BC20" s="26">
        <f>现金流量表!BC49</f>
        <v>15843285.9</v>
      </c>
      <c r="BD20" s="26">
        <f>现金流量表!BD49</f>
        <v>8673287.6400000006</v>
      </c>
      <c r="BE20" s="26">
        <f>现金流量表!BE49</f>
        <v>22262356.780000001</v>
      </c>
      <c r="BF20" s="26">
        <f>现金流量表!BF49</f>
        <v>15572305.85</v>
      </c>
      <c r="BG20" s="26">
        <f>现金流量表!BG49</f>
        <v>10304147.08</v>
      </c>
      <c r="BH20" s="26">
        <f>现金流量表!BH49</f>
        <v>18333606.190000001</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14066375.52</v>
      </c>
      <c r="F21" s="26">
        <f>现金流量表!F50</f>
        <v>0</v>
      </c>
      <c r="G21" s="26">
        <f>现金流量表!G50</f>
        <v>6944732.2000000002</v>
      </c>
      <c r="H21" s="26">
        <f>现金流量表!H50</f>
        <v>0</v>
      </c>
      <c r="I21" s="26">
        <f>现金流量表!I50</f>
        <v>13043757.880000001</v>
      </c>
      <c r="J21" s="26">
        <f>现金流量表!J50</f>
        <v>0</v>
      </c>
      <c r="K21" s="26">
        <f>现金流量表!K50</f>
        <v>6406874.0700000003</v>
      </c>
      <c r="L21" s="26">
        <f>现金流量表!L50</f>
        <v>0</v>
      </c>
      <c r="M21" s="26">
        <f>现金流量表!M50</f>
        <v>7908665.1799999997</v>
      </c>
      <c r="N21" s="26">
        <f>现金流量表!N50</f>
        <v>0</v>
      </c>
      <c r="O21" s="26">
        <f>现金流量表!O50</f>
        <v>3916119.51</v>
      </c>
      <c r="P21" s="26">
        <f>现金流量表!P50</f>
        <v>0</v>
      </c>
      <c r="Q21" s="26">
        <f>现金流量表!Q50</f>
        <v>7641327.3399999999</v>
      </c>
      <c r="R21" s="26">
        <f>现金流量表!R50</f>
        <v>0</v>
      </c>
      <c r="S21" s="26">
        <f>现金流量表!S50</f>
        <v>3790454.87</v>
      </c>
      <c r="T21" s="26">
        <f>现金流量表!T50</f>
        <v>0</v>
      </c>
      <c r="U21" s="26">
        <f>现金流量表!U50</f>
        <v>7394392.9900000002</v>
      </c>
      <c r="V21" s="26">
        <f>现金流量表!V50</f>
        <v>0</v>
      </c>
      <c r="W21" s="26">
        <f>现金流量表!W50</f>
        <v>3701086.68</v>
      </c>
      <c r="X21" s="26">
        <f>现金流量表!X50</f>
        <v>0</v>
      </c>
      <c r="Y21" s="26">
        <f>现金流量表!Y50</f>
        <v>7040764.9699999997</v>
      </c>
      <c r="Z21" s="26">
        <f>现金流量表!Z50</f>
        <v>0</v>
      </c>
      <c r="AA21" s="26">
        <f>现金流量表!AA50</f>
        <v>3469661.21</v>
      </c>
      <c r="AB21" s="26">
        <f>现金流量表!AB50</f>
        <v>0</v>
      </c>
      <c r="AC21" s="26">
        <f>现金流量表!AC50</f>
        <v>6166330.7999999998</v>
      </c>
      <c r="AD21" s="26">
        <f>现金流量表!AD50</f>
        <v>0</v>
      </c>
      <c r="AE21" s="26">
        <f>现金流量表!AE50</f>
        <v>2560545.2200000002</v>
      </c>
      <c r="AF21" s="26">
        <f>现金流量表!AF50</f>
        <v>0</v>
      </c>
      <c r="AG21" s="26">
        <f>现金流量表!AG50</f>
        <v>5589180.1299999999</v>
      </c>
      <c r="AH21" s="26">
        <f>现金流量表!AH50</f>
        <v>0</v>
      </c>
      <c r="AI21" s="26">
        <f>现金流量表!AI50</f>
        <v>2706139.33</v>
      </c>
      <c r="AJ21" s="26">
        <f>现金流量表!AJ50</f>
        <v>0</v>
      </c>
      <c r="AK21" s="26">
        <f>现金流量表!AK50</f>
        <v>4865157.49</v>
      </c>
      <c r="AL21" s="26">
        <f>现金流量表!AL50</f>
        <v>0</v>
      </c>
      <c r="AM21" s="26">
        <f>现金流量表!AM50</f>
        <v>2363165.7999999998</v>
      </c>
      <c r="AN21" s="26">
        <f>现金流量表!AN50</f>
        <v>0</v>
      </c>
      <c r="AO21" s="26">
        <f>现金流量表!AO50</f>
        <v>4824052.38</v>
      </c>
      <c r="AP21" s="26">
        <f>现金流量表!AP50</f>
        <v>0</v>
      </c>
      <c r="AQ21" s="26">
        <f>现金流量表!AQ50</f>
        <v>2074799.54</v>
      </c>
      <c r="AR21" s="26">
        <f>现金流量表!AR50</f>
        <v>0</v>
      </c>
      <c r="AS21" s="26">
        <f>现金流量表!AS50</f>
        <v>3536425.31</v>
      </c>
      <c r="AT21" s="26">
        <f>现金流量表!AT50</f>
        <v>0</v>
      </c>
      <c r="AU21" s="26">
        <f>现金流量表!AU50</f>
        <v>1178480.97</v>
      </c>
      <c r="AV21" s="26">
        <f>现金流量表!AV50</f>
        <v>0</v>
      </c>
      <c r="AW21" s="26">
        <f>现金流量表!AW50</f>
        <v>234230.39999999999</v>
      </c>
      <c r="AX21" s="26">
        <f>现金流量表!AX50</f>
        <v>54922.5</v>
      </c>
      <c r="AY21" s="26">
        <f>现金流量表!AY50</f>
        <v>36615</v>
      </c>
      <c r="AZ21" s="26">
        <f>现金流量表!AZ50</f>
        <v>18307.5</v>
      </c>
      <c r="BA21" s="26">
        <f>现金流量表!BA50</f>
        <v>66135</v>
      </c>
      <c r="BB21" s="26">
        <f>现金流量表!BB50</f>
        <v>85690</v>
      </c>
      <c r="BC21" s="26">
        <f>现金流量表!BC50</f>
        <v>42255</v>
      </c>
      <c r="BD21" s="26">
        <f>现金流量表!BD50</f>
        <v>14212.5</v>
      </c>
      <c r="BE21" s="26">
        <f>现金流量表!BE50</f>
        <v>52170</v>
      </c>
      <c r="BF21" s="26">
        <f>现金流量表!BF50</f>
        <v>37957.5</v>
      </c>
      <c r="BG21" s="26">
        <f>现金流量表!BG50</f>
        <v>44285</v>
      </c>
      <c r="BH21" s="26">
        <f>现金流量表!BH50</f>
        <v>35519.160000000003</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585275.56999999995</v>
      </c>
      <c r="BG22" s="26">
        <f>现金流量表!BG51</f>
        <v>28710</v>
      </c>
      <c r="BH22" s="26">
        <f>现金流量表!BH51</f>
        <v>331076.47999999998</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-887518.81</v>
      </c>
      <c r="F23" s="26">
        <f>现金流量表!F54</f>
        <v>0</v>
      </c>
      <c r="G23" s="26">
        <f>现金流量表!G54</f>
        <v>-1284698.32</v>
      </c>
      <c r="H23" s="26">
        <f>现金流量表!H54</f>
        <v>0</v>
      </c>
      <c r="I23" s="26">
        <f>现金流量表!I54</f>
        <v>3697885.35</v>
      </c>
      <c r="J23" s="26">
        <f>现金流量表!J54</f>
        <v>0</v>
      </c>
      <c r="K23" s="26">
        <f>现金流量表!K54</f>
        <v>-259987.64</v>
      </c>
      <c r="L23" s="26">
        <f>现金流量表!L54</f>
        <v>0</v>
      </c>
      <c r="M23" s="26">
        <f>现金流量表!M54</f>
        <v>2078639.96</v>
      </c>
      <c r="N23" s="26">
        <f>现金流量表!N54</f>
        <v>0</v>
      </c>
      <c r="O23" s="26">
        <f>现金流量表!O54</f>
        <v>70957.149999999994</v>
      </c>
      <c r="P23" s="26">
        <f>现金流量表!P54</f>
        <v>0</v>
      </c>
      <c r="Q23" s="26">
        <f>现金流量表!Q54</f>
        <v>1384988.05</v>
      </c>
      <c r="R23" s="26">
        <f>现金流量表!R54</f>
        <v>0</v>
      </c>
      <c r="S23" s="26">
        <f>现金流量表!S54</f>
        <v>-943283.92</v>
      </c>
      <c r="T23" s="26">
        <f>现金流量表!T54</f>
        <v>0</v>
      </c>
      <c r="U23" s="26">
        <f>现金流量表!U54</f>
        <v>781569.82</v>
      </c>
      <c r="V23" s="26">
        <f>现金流量表!V54</f>
        <v>0</v>
      </c>
      <c r="W23" s="26">
        <f>现金流量表!W54</f>
        <v>-270427.65999999997</v>
      </c>
      <c r="X23" s="26">
        <f>现金流量表!X54</f>
        <v>0</v>
      </c>
      <c r="Y23" s="26">
        <f>现金流量表!Y54</f>
        <v>1437076.5</v>
      </c>
      <c r="Z23" s="26">
        <f>现金流量表!Z54</f>
        <v>0</v>
      </c>
      <c r="AA23" s="26">
        <f>现金流量表!AA54</f>
        <v>789291.97</v>
      </c>
      <c r="AB23" s="26">
        <f>现金流量表!AB54</f>
        <v>0</v>
      </c>
      <c r="AC23" s="26">
        <f>现金流量表!AC54</f>
        <v>-3560.58</v>
      </c>
      <c r="AD23" s="26">
        <f>现金流量表!AD54</f>
        <v>0</v>
      </c>
      <c r="AE23" s="26">
        <f>现金流量表!AE54</f>
        <v>-346456.32000000001</v>
      </c>
      <c r="AF23" s="26">
        <f>现金流量表!AF54</f>
        <v>0</v>
      </c>
      <c r="AG23" s="26">
        <f>现金流量表!AG54</f>
        <v>1387177.16</v>
      </c>
      <c r="AH23" s="26">
        <f>现金流量表!AH54</f>
        <v>0</v>
      </c>
      <c r="AI23" s="26">
        <f>现金流量表!AI54</f>
        <v>107501.91</v>
      </c>
      <c r="AJ23" s="26">
        <f>现金流量表!AJ54</f>
        <v>0</v>
      </c>
      <c r="AK23" s="26">
        <f>现金流量表!AK54</f>
        <v>2621340.67</v>
      </c>
      <c r="AL23" s="26">
        <f>现金流量表!AL54</f>
        <v>0</v>
      </c>
      <c r="AM23" s="26">
        <f>现金流量表!AM54</f>
        <v>643537.25</v>
      </c>
      <c r="AN23" s="26">
        <f>现金流量表!AN54</f>
        <v>0</v>
      </c>
      <c r="AO23" s="26">
        <f>现金流量表!AO54</f>
        <v>475566.19</v>
      </c>
      <c r="AP23" s="26">
        <f>现金流量表!AP54</f>
        <v>0</v>
      </c>
      <c r="AQ23" s="26">
        <f>现金流量表!AQ54</f>
        <v>-173332.02</v>
      </c>
      <c r="AR23" s="26">
        <f>现金流量表!AR54</f>
        <v>0</v>
      </c>
      <c r="AS23" s="26">
        <f>现金流量表!AS54</f>
        <v>217717.66</v>
      </c>
      <c r="AT23" s="26">
        <f>现金流量表!AT54</f>
        <v>0</v>
      </c>
      <c r="AU23" s="26">
        <f>现金流量表!AU54</f>
        <v>-43692.21</v>
      </c>
      <c r="AV23" s="26">
        <f>现金流量表!AV54</f>
        <v>0</v>
      </c>
      <c r="AW23" s="26">
        <f>现金流量表!AW54</f>
        <v>780097.35</v>
      </c>
      <c r="AX23" s="26">
        <f>现金流量表!AX54</f>
        <v>718143.02</v>
      </c>
      <c r="AY23" s="26">
        <f>现金流量表!AY54</f>
        <v>436640.6</v>
      </c>
      <c r="AZ23" s="26">
        <f>现金流量表!AZ54</f>
        <v>30870.57</v>
      </c>
      <c r="BA23" s="26">
        <f>现金流量表!BA54</f>
        <v>-4000.36</v>
      </c>
      <c r="BB23" s="26">
        <f>现金流量表!BB54</f>
        <v>108124.63</v>
      </c>
      <c r="BC23" s="26">
        <f>现金流量表!BC54</f>
        <v>10185.49</v>
      </c>
      <c r="BD23" s="26">
        <f>现金流量表!BD54</f>
        <v>102276.78</v>
      </c>
      <c r="BE23" s="26">
        <f>现金流量表!BE54</f>
        <v>178164.32</v>
      </c>
      <c r="BF23" s="26">
        <f>现金流量表!BF54</f>
        <v>90795.33</v>
      </c>
      <c r="BG23" s="26">
        <f>现金流量表!BG54</f>
        <v>-1469.63</v>
      </c>
      <c r="BH23" s="26">
        <f>现金流量表!BH54</f>
        <v>68266.11</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1362826.1</v>
      </c>
      <c r="F24" s="26">
        <f>现金流量表!F55</f>
        <v>0</v>
      </c>
      <c r="G24" s="26">
        <f>现金流量表!G55</f>
        <v>1828330.86</v>
      </c>
      <c r="H24" s="26">
        <f>现金流量表!H55</f>
        <v>0</v>
      </c>
      <c r="I24" s="26">
        <f>现金流量表!I55</f>
        <v>0</v>
      </c>
      <c r="J24" s="26">
        <f>现金流量表!J55</f>
        <v>0</v>
      </c>
      <c r="K24" s="26">
        <f>现金流量表!K55</f>
        <v>917796.1</v>
      </c>
      <c r="L24" s="26">
        <f>现金流量表!L55</f>
        <v>0</v>
      </c>
      <c r="M24" s="26">
        <f>现金流量表!M55</f>
        <v>0</v>
      </c>
      <c r="N24" s="26">
        <f>现金流量表!N55</f>
        <v>0</v>
      </c>
      <c r="O24" s="26">
        <f>现金流量表!O55</f>
        <v>276851.62</v>
      </c>
      <c r="P24" s="26">
        <f>现金流量表!P55</f>
        <v>0</v>
      </c>
      <c r="Q24" s="26">
        <f>现金流量表!Q55</f>
        <v>0</v>
      </c>
      <c r="R24" s="26">
        <f>现金流量表!R55</f>
        <v>0</v>
      </c>
      <c r="S24" s="26">
        <f>现金流量表!S55</f>
        <v>109377.71</v>
      </c>
      <c r="T24" s="26">
        <f>现金流量表!T55</f>
        <v>0</v>
      </c>
      <c r="U24" s="26">
        <f>现金流量表!U55</f>
        <v>0</v>
      </c>
      <c r="V24" s="26">
        <f>现金流量表!V55</f>
        <v>0</v>
      </c>
      <c r="W24" s="26">
        <f>现金流量表!W55</f>
        <v>396952.01</v>
      </c>
      <c r="X24" s="26">
        <f>现金流量表!X55</f>
        <v>0</v>
      </c>
      <c r="Y24" s="26">
        <f>现金流量表!Y55</f>
        <v>0</v>
      </c>
      <c r="Z24" s="26">
        <f>现金流量表!Z55</f>
        <v>0</v>
      </c>
      <c r="AA24" s="26">
        <f>现金流量表!AA55</f>
        <v>-12874.5</v>
      </c>
      <c r="AB24" s="26">
        <f>现金流量表!AB55</f>
        <v>0</v>
      </c>
      <c r="AC24" s="26">
        <f>现金流量表!AC55</f>
        <v>191701.19</v>
      </c>
      <c r="AD24" s="26">
        <f>现金流量表!AD55</f>
        <v>0</v>
      </c>
      <c r="AE24" s="26">
        <f>现金流量表!AE55</f>
        <v>267500.51</v>
      </c>
      <c r="AF24" s="26">
        <f>现金流量表!AF55</f>
        <v>0</v>
      </c>
      <c r="AG24" s="26">
        <f>现金流量表!AG55</f>
        <v>687425.16</v>
      </c>
      <c r="AH24" s="26">
        <f>现金流量表!AH55</f>
        <v>0</v>
      </c>
      <c r="AI24" s="26">
        <f>现金流量表!AI55</f>
        <v>0</v>
      </c>
      <c r="AJ24" s="26">
        <f>现金流量表!AJ55</f>
        <v>0</v>
      </c>
      <c r="AK24" s="26">
        <f>现金流量表!AK55</f>
        <v>730360.41</v>
      </c>
      <c r="AL24" s="26">
        <f>现金流量表!AL55</f>
        <v>0</v>
      </c>
      <c r="AM24" s="26">
        <f>现金流量表!AM55</f>
        <v>499101.14</v>
      </c>
      <c r="AN24" s="26">
        <f>现金流量表!AN55</f>
        <v>0</v>
      </c>
      <c r="AO24" s="26">
        <f>现金流量表!AO55</f>
        <v>51577.65</v>
      </c>
      <c r="AP24" s="26">
        <f>现金流量表!AP55</f>
        <v>0</v>
      </c>
      <c r="AQ24" s="26">
        <f>现金流量表!AQ55</f>
        <v>0</v>
      </c>
      <c r="AR24" s="26">
        <f>现金流量表!AR55</f>
        <v>0</v>
      </c>
      <c r="AS24" s="26">
        <f>现金流量表!AS55</f>
        <v>1066110.01</v>
      </c>
      <c r="AT24" s="26">
        <f>现金流量表!AT55</f>
        <v>0</v>
      </c>
      <c r="AU24" s="26">
        <f>现金流量表!AU55</f>
        <v>11023.41</v>
      </c>
      <c r="AV24" s="26">
        <f>现金流量表!AV55</f>
        <v>0</v>
      </c>
      <c r="AW24" s="26">
        <f>现金流量表!AW55</f>
        <v>2977388.75</v>
      </c>
      <c r="AX24" s="26">
        <f>现金流量表!AX55</f>
        <v>-2000</v>
      </c>
      <c r="AY24" s="26">
        <f>现金流量表!AY55</f>
        <v>0</v>
      </c>
      <c r="AZ24" s="26">
        <f>现金流量表!AZ55</f>
        <v>0</v>
      </c>
      <c r="BA24" s="26">
        <f>现金流量表!BA55</f>
        <v>120652.24</v>
      </c>
      <c r="BB24" s="26">
        <f>现金流量表!BB55</f>
        <v>0</v>
      </c>
      <c r="BC24" s="26">
        <f>现金流量表!BC55</f>
        <v>40267.75</v>
      </c>
      <c r="BD24" s="26">
        <f>现金流量表!BD55</f>
        <v>0</v>
      </c>
      <c r="BE24" s="26">
        <f>现金流量表!BE55</f>
        <v>0</v>
      </c>
      <c r="BF24" s="26">
        <f>现金流量表!BF55</f>
        <v>1113.3699999999999</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156632203.47999999</v>
      </c>
      <c r="F25" s="28">
        <f t="shared" ref="F25:BQ25" si="12">SUM(F19:F24)</f>
        <v>0</v>
      </c>
      <c r="G25" s="28">
        <f t="shared" si="12"/>
        <v>52912835.020000003</v>
      </c>
      <c r="H25" s="28">
        <f t="shared" si="12"/>
        <v>0</v>
      </c>
      <c r="I25" s="28">
        <f t="shared" si="12"/>
        <v>175534006.15000001</v>
      </c>
      <c r="J25" s="28">
        <f t="shared" si="12"/>
        <v>0</v>
      </c>
      <c r="K25" s="28">
        <f t="shared" si="12"/>
        <v>68994451.439999998</v>
      </c>
      <c r="L25" s="28">
        <f t="shared" si="12"/>
        <v>0</v>
      </c>
      <c r="M25" s="28">
        <f t="shared" si="12"/>
        <v>171473267.73000002</v>
      </c>
      <c r="N25" s="28">
        <f t="shared" si="12"/>
        <v>0</v>
      </c>
      <c r="O25" s="28">
        <f t="shared" si="12"/>
        <v>75378741.160000011</v>
      </c>
      <c r="P25" s="28">
        <f t="shared" si="12"/>
        <v>0</v>
      </c>
      <c r="Q25" s="28">
        <f t="shared" si="12"/>
        <v>150430219.38000003</v>
      </c>
      <c r="R25" s="28">
        <f t="shared" si="12"/>
        <v>0</v>
      </c>
      <c r="S25" s="28">
        <f t="shared" si="12"/>
        <v>45120051.359999999</v>
      </c>
      <c r="T25" s="28">
        <f t="shared" si="12"/>
        <v>0</v>
      </c>
      <c r="U25" s="28">
        <f t="shared" si="12"/>
        <v>152568150.93000001</v>
      </c>
      <c r="V25" s="28">
        <f t="shared" si="12"/>
        <v>0</v>
      </c>
      <c r="W25" s="28">
        <f t="shared" si="12"/>
        <v>73110618.970000014</v>
      </c>
      <c r="X25" s="28">
        <f t="shared" si="12"/>
        <v>0</v>
      </c>
      <c r="Y25" s="28">
        <f t="shared" si="12"/>
        <v>123451918.41</v>
      </c>
      <c r="Z25" s="28">
        <f t="shared" si="12"/>
        <v>0</v>
      </c>
      <c r="AA25" s="28">
        <f t="shared" si="12"/>
        <v>36876228.019999996</v>
      </c>
      <c r="AB25" s="28">
        <f t="shared" si="12"/>
        <v>0</v>
      </c>
      <c r="AC25" s="28">
        <f t="shared" si="12"/>
        <v>114701295.5</v>
      </c>
      <c r="AD25" s="28">
        <f t="shared" si="12"/>
        <v>0</v>
      </c>
      <c r="AE25" s="28">
        <f t="shared" si="12"/>
        <v>55598885.579999998</v>
      </c>
      <c r="AF25" s="28">
        <f t="shared" si="12"/>
        <v>0</v>
      </c>
      <c r="AG25" s="28">
        <f t="shared" si="12"/>
        <v>83617987.469999984</v>
      </c>
      <c r="AH25" s="28">
        <f t="shared" si="12"/>
        <v>0</v>
      </c>
      <c r="AI25" s="28">
        <f t="shared" si="12"/>
        <v>47784220.499999993</v>
      </c>
      <c r="AJ25" s="28">
        <f t="shared" si="12"/>
        <v>0</v>
      </c>
      <c r="AK25" s="28">
        <f t="shared" si="12"/>
        <v>66876411.980000004</v>
      </c>
      <c r="AL25" s="28">
        <f t="shared" si="12"/>
        <v>0</v>
      </c>
      <c r="AM25" s="28">
        <f t="shared" si="12"/>
        <v>29390391.859999999</v>
      </c>
      <c r="AN25" s="28">
        <f t="shared" si="12"/>
        <v>0</v>
      </c>
      <c r="AO25" s="28">
        <f t="shared" si="12"/>
        <v>54572598.859999999</v>
      </c>
      <c r="AP25" s="28">
        <f t="shared" si="12"/>
        <v>0</v>
      </c>
      <c r="AQ25" s="28">
        <f t="shared" si="12"/>
        <v>29948428.16</v>
      </c>
      <c r="AR25" s="28">
        <f t="shared" si="12"/>
        <v>0</v>
      </c>
      <c r="AS25" s="28">
        <f t="shared" si="12"/>
        <v>28314124.690000001</v>
      </c>
      <c r="AT25" s="28">
        <f t="shared" si="12"/>
        <v>0</v>
      </c>
      <c r="AU25" s="28">
        <f t="shared" si="12"/>
        <v>31616387.469999999</v>
      </c>
      <c r="AV25" s="28">
        <f t="shared" si="12"/>
        <v>0</v>
      </c>
      <c r="AW25" s="28">
        <f t="shared" si="12"/>
        <v>75584886.459999993</v>
      </c>
      <c r="AX25" s="28">
        <f t="shared" si="12"/>
        <v>48843666.490000002</v>
      </c>
      <c r="AY25" s="28">
        <f t="shared" si="12"/>
        <v>37399053.240000002</v>
      </c>
      <c r="AZ25" s="28">
        <f t="shared" si="12"/>
        <v>15690155.220000001</v>
      </c>
      <c r="BA25" s="28">
        <f t="shared" si="12"/>
        <v>34318773.060000002</v>
      </c>
      <c r="BB25" s="28">
        <f t="shared" si="12"/>
        <v>33198993.039999999</v>
      </c>
      <c r="BC25" s="28">
        <f t="shared" si="12"/>
        <v>21021990.25</v>
      </c>
      <c r="BD25" s="28">
        <f t="shared" si="12"/>
        <v>12633512.310000001</v>
      </c>
      <c r="BE25" s="28">
        <f t="shared" si="12"/>
        <v>24781171.630000003</v>
      </c>
      <c r="BF25" s="28">
        <f t="shared" si="12"/>
        <v>20130573.25</v>
      </c>
      <c r="BG25" s="28">
        <f t="shared" si="12"/>
        <v>11076345.409999998</v>
      </c>
      <c r="BH25" s="28">
        <f t="shared" si="12"/>
        <v>19140628.700000003</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924836853.91000009</v>
      </c>
      <c r="F26" s="28">
        <f t="shared" ref="F26:BQ26" si="14">F14-F25</f>
        <v>822447296.21000004</v>
      </c>
      <c r="G26" s="28">
        <f t="shared" si="14"/>
        <v>505944372.68000007</v>
      </c>
      <c r="H26" s="28">
        <f t="shared" si="14"/>
        <v>415714993.74000001</v>
      </c>
      <c r="I26" s="28">
        <f t="shared" si="14"/>
        <v>1213456544.4699998</v>
      </c>
      <c r="J26" s="28">
        <f t="shared" si="14"/>
        <v>608892240.20000005</v>
      </c>
      <c r="K26" s="28">
        <f t="shared" si="14"/>
        <v>137642079.18000001</v>
      </c>
      <c r="L26" s="28">
        <f t="shared" si="14"/>
        <v>166782789.94999999</v>
      </c>
      <c r="M26" s="28">
        <f t="shared" si="14"/>
        <v>961616442.94000006</v>
      </c>
      <c r="N26" s="28">
        <f t="shared" si="14"/>
        <v>428149213.16000003</v>
      </c>
      <c r="O26" s="28">
        <f t="shared" si="14"/>
        <v>36499618.219999984</v>
      </c>
      <c r="P26" s="28">
        <f t="shared" si="14"/>
        <v>18749711.93</v>
      </c>
      <c r="Q26" s="28">
        <f t="shared" si="14"/>
        <v>682759092.33000004</v>
      </c>
      <c r="R26" s="28">
        <f t="shared" si="14"/>
        <v>589218175.98000002</v>
      </c>
      <c r="S26" s="28">
        <f t="shared" si="14"/>
        <v>284023707.75</v>
      </c>
      <c r="T26" s="28">
        <f t="shared" si="14"/>
        <v>209107738.5</v>
      </c>
      <c r="U26" s="28">
        <f t="shared" si="14"/>
        <v>435423726.56999999</v>
      </c>
      <c r="V26" s="28">
        <f t="shared" si="14"/>
        <v>614513946.80999994</v>
      </c>
      <c r="W26" s="28">
        <f t="shared" si="14"/>
        <v>280213842.80999994</v>
      </c>
      <c r="X26" s="28">
        <f t="shared" si="14"/>
        <v>275317698.57999998</v>
      </c>
      <c r="Y26" s="28">
        <f t="shared" si="14"/>
        <v>733878559.36000001</v>
      </c>
      <c r="Z26" s="28">
        <f t="shared" si="14"/>
        <v>706341025.13999999</v>
      </c>
      <c r="AA26" s="28">
        <f t="shared" si="14"/>
        <v>315151448.91000003</v>
      </c>
      <c r="AB26" s="28">
        <f t="shared" si="14"/>
        <v>103266458.12</v>
      </c>
      <c r="AC26" s="28">
        <f t="shared" si="14"/>
        <v>104532569.96000001</v>
      </c>
      <c r="AD26" s="28">
        <f t="shared" si="14"/>
        <v>126409064.48999999</v>
      </c>
      <c r="AE26" s="28">
        <f t="shared" si="14"/>
        <v>14485039.719999999</v>
      </c>
      <c r="AF26" s="28">
        <f t="shared" si="14"/>
        <v>74229360.859999999</v>
      </c>
      <c r="AG26" s="28">
        <f t="shared" si="14"/>
        <v>40632361.13000001</v>
      </c>
      <c r="AH26" s="28">
        <f t="shared" si="14"/>
        <v>81735701.819999993</v>
      </c>
      <c r="AI26" s="28">
        <f t="shared" si="14"/>
        <v>-183824826.46000001</v>
      </c>
      <c r="AJ26" s="28">
        <f t="shared" si="14"/>
        <v>-43256404.710000001</v>
      </c>
      <c r="AK26" s="28">
        <f t="shared" si="14"/>
        <v>227707827.22999996</v>
      </c>
      <c r="AL26" s="28">
        <f t="shared" si="14"/>
        <v>327327389.25999999</v>
      </c>
      <c r="AM26" s="28">
        <f t="shared" si="14"/>
        <v>191097630.94</v>
      </c>
      <c r="AN26" s="28">
        <f t="shared" si="14"/>
        <v>144004315.24000001</v>
      </c>
      <c r="AO26" s="28">
        <f t="shared" si="14"/>
        <v>87593475.339999989</v>
      </c>
      <c r="AP26" s="28">
        <f t="shared" si="14"/>
        <v>-58249795.399999999</v>
      </c>
      <c r="AQ26" s="28">
        <f t="shared" si="14"/>
        <v>-155161020.83000001</v>
      </c>
      <c r="AR26" s="28">
        <f t="shared" si="14"/>
        <v>-88807431.120000005</v>
      </c>
      <c r="AS26" s="28">
        <f t="shared" si="14"/>
        <v>138578847.55000001</v>
      </c>
      <c r="AT26" s="28">
        <f t="shared" si="14"/>
        <v>-121190154.14</v>
      </c>
      <c r="AU26" s="28">
        <f t="shared" si="14"/>
        <v>-119141329.73999999</v>
      </c>
      <c r="AV26" s="28">
        <f t="shared" si="14"/>
        <v>-120040532.86</v>
      </c>
      <c r="AW26" s="28">
        <f t="shared" si="14"/>
        <v>198077283.76000005</v>
      </c>
      <c r="AX26" s="28">
        <f t="shared" si="14"/>
        <v>-61497731.630000003</v>
      </c>
      <c r="AY26" s="28">
        <f t="shared" si="14"/>
        <v>-103315622.78</v>
      </c>
      <c r="AZ26" s="28">
        <f t="shared" si="14"/>
        <v>-119638305.31</v>
      </c>
      <c r="BA26" s="28">
        <f t="shared" si="14"/>
        <v>82713860.390000001</v>
      </c>
      <c r="BB26" s="28">
        <f t="shared" si="14"/>
        <v>-115388763.66</v>
      </c>
      <c r="BC26" s="28">
        <f t="shared" si="14"/>
        <v>-108986472.94</v>
      </c>
      <c r="BD26" s="28">
        <f t="shared" si="14"/>
        <v>-62506516.609999999</v>
      </c>
      <c r="BE26" s="28">
        <f t="shared" si="14"/>
        <v>88489687.560000002</v>
      </c>
      <c r="BF26" s="28">
        <f t="shared" si="14"/>
        <v>-8988527.5500000007</v>
      </c>
      <c r="BG26" s="28">
        <f t="shared" si="14"/>
        <v>-9383031.8499999978</v>
      </c>
      <c r="BH26" s="28">
        <f t="shared" si="14"/>
        <v>27420729.209999993</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923474027.81000006</v>
      </c>
      <c r="F27" s="26">
        <f t="shared" ref="F27:BQ27" si="16">F26-F24</f>
        <v>822447296.21000004</v>
      </c>
      <c r="G27" s="26">
        <f t="shared" si="16"/>
        <v>504116041.82000005</v>
      </c>
      <c r="H27" s="26">
        <f t="shared" si="16"/>
        <v>415714993.74000001</v>
      </c>
      <c r="I27" s="26">
        <f t="shared" si="16"/>
        <v>1213456544.4699998</v>
      </c>
      <c r="J27" s="26">
        <f t="shared" si="16"/>
        <v>608892240.20000005</v>
      </c>
      <c r="K27" s="26">
        <f t="shared" si="16"/>
        <v>136724283.08000001</v>
      </c>
      <c r="L27" s="26">
        <f t="shared" si="16"/>
        <v>166782789.94999999</v>
      </c>
      <c r="M27" s="26">
        <f t="shared" si="16"/>
        <v>961616442.94000006</v>
      </c>
      <c r="N27" s="26">
        <f t="shared" si="16"/>
        <v>428149213.16000003</v>
      </c>
      <c r="O27" s="26">
        <f t="shared" si="16"/>
        <v>36222766.599999987</v>
      </c>
      <c r="P27" s="26">
        <f t="shared" si="16"/>
        <v>18749711.93</v>
      </c>
      <c r="Q27" s="26">
        <f t="shared" si="16"/>
        <v>682759092.33000004</v>
      </c>
      <c r="R27" s="26">
        <f t="shared" si="16"/>
        <v>589218175.98000002</v>
      </c>
      <c r="S27" s="26">
        <f t="shared" si="16"/>
        <v>283914330.04000002</v>
      </c>
      <c r="T27" s="26">
        <f t="shared" si="16"/>
        <v>209107738.5</v>
      </c>
      <c r="U27" s="26">
        <f t="shared" si="16"/>
        <v>435423726.56999999</v>
      </c>
      <c r="V27" s="26">
        <f t="shared" si="16"/>
        <v>614513946.80999994</v>
      </c>
      <c r="W27" s="26">
        <f t="shared" si="16"/>
        <v>279816890.79999995</v>
      </c>
      <c r="X27" s="26">
        <f t="shared" si="16"/>
        <v>275317698.57999998</v>
      </c>
      <c r="Y27" s="26">
        <f t="shared" si="16"/>
        <v>733878559.36000001</v>
      </c>
      <c r="Z27" s="26">
        <f t="shared" si="16"/>
        <v>706341025.13999999</v>
      </c>
      <c r="AA27" s="26">
        <f t="shared" si="16"/>
        <v>315164323.41000003</v>
      </c>
      <c r="AB27" s="26">
        <f t="shared" si="16"/>
        <v>103266458.12</v>
      </c>
      <c r="AC27" s="26">
        <f t="shared" si="16"/>
        <v>104340868.77000001</v>
      </c>
      <c r="AD27" s="26">
        <f t="shared" si="16"/>
        <v>126409064.48999999</v>
      </c>
      <c r="AE27" s="26">
        <f t="shared" si="16"/>
        <v>14217539.209999999</v>
      </c>
      <c r="AF27" s="26">
        <f t="shared" si="16"/>
        <v>74229360.859999999</v>
      </c>
      <c r="AG27" s="26">
        <f t="shared" si="16"/>
        <v>39944935.970000014</v>
      </c>
      <c r="AH27" s="26">
        <f t="shared" si="16"/>
        <v>81735701.819999993</v>
      </c>
      <c r="AI27" s="26">
        <f t="shared" si="16"/>
        <v>-183824826.46000001</v>
      </c>
      <c r="AJ27" s="26">
        <f t="shared" si="16"/>
        <v>-43256404.710000001</v>
      </c>
      <c r="AK27" s="26">
        <f t="shared" si="16"/>
        <v>226977466.81999996</v>
      </c>
      <c r="AL27" s="26">
        <f t="shared" si="16"/>
        <v>327327389.25999999</v>
      </c>
      <c r="AM27" s="26">
        <f t="shared" si="16"/>
        <v>190598529.80000001</v>
      </c>
      <c r="AN27" s="26">
        <f t="shared" si="16"/>
        <v>144004315.24000001</v>
      </c>
      <c r="AO27" s="26">
        <f t="shared" si="16"/>
        <v>87541897.689999983</v>
      </c>
      <c r="AP27" s="26">
        <f t="shared" si="16"/>
        <v>-58249795.399999999</v>
      </c>
      <c r="AQ27" s="26">
        <f t="shared" si="16"/>
        <v>-155161020.83000001</v>
      </c>
      <c r="AR27" s="26">
        <f t="shared" si="16"/>
        <v>-88807431.120000005</v>
      </c>
      <c r="AS27" s="26">
        <f t="shared" si="16"/>
        <v>137512737.54000002</v>
      </c>
      <c r="AT27" s="26">
        <f t="shared" si="16"/>
        <v>-121190154.14</v>
      </c>
      <c r="AU27" s="26">
        <f t="shared" si="16"/>
        <v>-119152353.14999999</v>
      </c>
      <c r="AV27" s="26">
        <f t="shared" si="16"/>
        <v>-120040532.86</v>
      </c>
      <c r="AW27" s="26">
        <f t="shared" si="16"/>
        <v>195099895.01000005</v>
      </c>
      <c r="AX27" s="26">
        <f t="shared" si="16"/>
        <v>-61495731.630000003</v>
      </c>
      <c r="AY27" s="26">
        <f t="shared" si="16"/>
        <v>-103315622.78</v>
      </c>
      <c r="AZ27" s="26">
        <f t="shared" si="16"/>
        <v>-119638305.31</v>
      </c>
      <c r="BA27" s="26">
        <f t="shared" si="16"/>
        <v>82593208.150000006</v>
      </c>
      <c r="BB27" s="26">
        <f t="shared" si="16"/>
        <v>-115388763.66</v>
      </c>
      <c r="BC27" s="26">
        <f t="shared" si="16"/>
        <v>-109026740.69</v>
      </c>
      <c r="BD27" s="26">
        <f t="shared" si="16"/>
        <v>-62506516.609999999</v>
      </c>
      <c r="BE27" s="26">
        <f t="shared" si="16"/>
        <v>88489687.560000002</v>
      </c>
      <c r="BF27" s="26">
        <f t="shared" si="16"/>
        <v>-8989640.9199999999</v>
      </c>
      <c r="BG27" s="26">
        <f t="shared" si="16"/>
        <v>-9383031.8499999978</v>
      </c>
      <c r="BH27" s="26">
        <f t="shared" si="16"/>
        <v>27420729.209999993</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-0.23897231259043983</v>
      </c>
      <c r="F28" s="63">
        <f t="shared" ref="F28:BQ28" si="18">(F27-J27)/J27</f>
        <v>0.3507271761910688</v>
      </c>
      <c r="G28" s="63">
        <f t="shared" si="18"/>
        <v>2.6870995441609447</v>
      </c>
      <c r="H28" s="63">
        <f t="shared" si="18"/>
        <v>1.4925533016004091</v>
      </c>
      <c r="I28" s="63">
        <f t="shared" si="18"/>
        <v>0.26189246593999149</v>
      </c>
      <c r="J28" s="63">
        <f t="shared" si="18"/>
        <v>0.42214961860143851</v>
      </c>
      <c r="K28" s="63">
        <f t="shared" si="18"/>
        <v>2.7745400452101321</v>
      </c>
      <c r="L28" s="63">
        <f t="shared" si="18"/>
        <v>7.8952187944361656</v>
      </c>
      <c r="M28" s="63">
        <f t="shared" si="18"/>
        <v>0.40842715057571</v>
      </c>
      <c r="N28" s="63">
        <f t="shared" si="18"/>
        <v>-0.2733604789976255</v>
      </c>
      <c r="O28" s="63">
        <f t="shared" si="18"/>
        <v>-0.87241656102776965</v>
      </c>
      <c r="P28" s="63">
        <f t="shared" si="18"/>
        <v>-0.91033468170763077</v>
      </c>
      <c r="Q28" s="63">
        <f t="shared" si="18"/>
        <v>0.5680337351121304</v>
      </c>
      <c r="R28" s="63">
        <f t="shared" si="18"/>
        <v>-4.1163867738580488E-2</v>
      </c>
      <c r="S28" s="63">
        <f t="shared" si="18"/>
        <v>1.464328771678307E-2</v>
      </c>
      <c r="T28" s="63">
        <f t="shared" si="18"/>
        <v>-0.24048566591065387</v>
      </c>
      <c r="U28" s="63">
        <f t="shared" si="18"/>
        <v>-0.40668149925278668</v>
      </c>
      <c r="V28" s="63">
        <f t="shared" si="18"/>
        <v>-0.13000388631228024</v>
      </c>
      <c r="W28" s="63">
        <f t="shared" si="18"/>
        <v>-0.11215556452440301</v>
      </c>
      <c r="X28" s="63">
        <f t="shared" si="18"/>
        <v>1.6660902638886785</v>
      </c>
      <c r="Y28" s="63">
        <f t="shared" si="18"/>
        <v>6.0334718122550663</v>
      </c>
      <c r="Z28" s="63">
        <f t="shared" si="18"/>
        <v>4.5877403095240643</v>
      </c>
      <c r="AA28" s="63">
        <f t="shared" si="18"/>
        <v>21.167290608794463</v>
      </c>
      <c r="AB28" s="63">
        <f t="shared" si="18"/>
        <v>0.39118075278548214</v>
      </c>
      <c r="AC28" s="63">
        <f t="shared" si="18"/>
        <v>1.6121175622452744</v>
      </c>
      <c r="AD28" s="63">
        <f t="shared" si="18"/>
        <v>0.54655874575323993</v>
      </c>
      <c r="AE28" s="63">
        <f t="shared" si="18"/>
        <v>-1.0773428675755814</v>
      </c>
      <c r="AF28" s="63">
        <f t="shared" si="18"/>
        <v>-2.7160316803407305</v>
      </c>
      <c r="AG28" s="63">
        <f t="shared" si="18"/>
        <v>-0.82401364977045255</v>
      </c>
      <c r="AH28" s="63">
        <f t="shared" si="18"/>
        <v>-0.75029372884199319</v>
      </c>
      <c r="AI28" s="63">
        <f t="shared" si="18"/>
        <v>-1.9644608835802257</v>
      </c>
      <c r="AJ28" s="63">
        <f t="shared" si="18"/>
        <v>-1.3003826978233823</v>
      </c>
      <c r="AK28" s="63">
        <f t="shared" si="18"/>
        <v>1.5927866862535227</v>
      </c>
      <c r="AL28" s="63">
        <f t="shared" si="18"/>
        <v>-6.6193740598100019</v>
      </c>
      <c r="AM28" s="63">
        <f t="shared" si="18"/>
        <v>-2.2283918266355478</v>
      </c>
      <c r="AN28" s="63">
        <f t="shared" si="18"/>
        <v>-2.6215345205224532</v>
      </c>
      <c r="AO28" s="63">
        <f t="shared" si="18"/>
        <v>-0.36339062652624748</v>
      </c>
      <c r="AP28" s="63">
        <f t="shared" si="18"/>
        <v>-0.51935208092309804</v>
      </c>
      <c r="AQ28" s="63">
        <f t="shared" si="18"/>
        <v>0.30220693698486162</v>
      </c>
      <c r="AR28" s="63">
        <f t="shared" si="18"/>
        <v>-0.26018796314763371</v>
      </c>
      <c r="AS28" s="63">
        <f t="shared" si="18"/>
        <v>-0.2951675472047196</v>
      </c>
      <c r="AT28" s="63">
        <f t="shared" si="18"/>
        <v>0.97070838784652724</v>
      </c>
      <c r="AU28" s="63">
        <f t="shared" si="18"/>
        <v>0.15328495288387003</v>
      </c>
      <c r="AV28" s="63">
        <f t="shared" si="18"/>
        <v>3.3620298194442636E-3</v>
      </c>
      <c r="AW28" s="63">
        <f t="shared" si="18"/>
        <v>1.3621784330701052</v>
      </c>
      <c r="AX28" s="63">
        <f t="shared" si="18"/>
        <v>-0.46705615278797064</v>
      </c>
      <c r="AY28" s="63">
        <f t="shared" si="18"/>
        <v>-5.2382726236296855E-2</v>
      </c>
      <c r="AZ28" s="63">
        <f t="shared" si="18"/>
        <v>0.91401331890665416</v>
      </c>
      <c r="BA28" s="63">
        <f t="shared" si="18"/>
        <v>-6.6634650574417698E-2</v>
      </c>
      <c r="BB28" s="63">
        <f t="shared" si="18"/>
        <v>11.83574779981312</v>
      </c>
      <c r="BC28" s="63">
        <f t="shared" si="18"/>
        <v>10.619564169975616</v>
      </c>
      <c r="BD28" s="63">
        <f t="shared" si="18"/>
        <v>-3.2795351695900439</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5" t="s">
        <v>737</v>
      </c>
      <c r="B29" s="274"/>
      <c r="C29" s="274"/>
      <c r="D29" s="274"/>
      <c r="E29" s="274"/>
      <c r="F29" s="274"/>
      <c r="G29" s="274"/>
      <c r="H29" s="274"/>
      <c r="I29" s="274"/>
      <c r="J29" s="274"/>
      <c r="K29" s="274"/>
      <c r="L29" s="274"/>
      <c r="M29" s="274"/>
      <c r="N29" s="274"/>
      <c r="O29" s="274"/>
      <c r="P29" s="274"/>
      <c r="Q29" s="274"/>
      <c r="R29" s="274"/>
      <c r="S29" s="274"/>
      <c r="T29" s="274"/>
      <c r="U29" s="274"/>
      <c r="V29" s="274"/>
      <c r="W29" s="274"/>
      <c r="X29" s="274"/>
      <c r="Y29" s="274"/>
      <c r="Z29" s="274"/>
      <c r="AA29" s="274"/>
      <c r="AB29" s="274"/>
      <c r="AC29" s="274"/>
    </row>
    <row r="30" spans="1:90" x14ac:dyDescent="0.25">
      <c r="A30" s="110" t="s">
        <v>568</v>
      </c>
      <c r="B30" s="95"/>
      <c r="C30" s="95"/>
      <c r="D30" s="95"/>
      <c r="E30" s="95" t="s">
        <v>567</v>
      </c>
      <c r="F30" s="95"/>
      <c r="G30" s="95"/>
      <c r="H30" s="95"/>
      <c r="I30" s="95" t="s">
        <v>601</v>
      </c>
      <c r="M30" s="95" t="s">
        <v>748</v>
      </c>
      <c r="Q30" s="113" t="s">
        <v>607</v>
      </c>
      <c r="R30" s="113"/>
      <c r="S30" s="113"/>
      <c r="T30" s="113"/>
      <c r="U30" s="113" t="s">
        <v>604</v>
      </c>
      <c r="V30" s="113"/>
      <c r="W30" s="113"/>
      <c r="X30" s="113"/>
      <c r="Y30" s="113" t="s">
        <v>605</v>
      </c>
      <c r="Z30" s="113"/>
      <c r="AA30" s="113"/>
      <c r="AB30" s="113"/>
      <c r="AC30" s="113" t="s">
        <v>606</v>
      </c>
    </row>
    <row r="31" spans="1:90" s="63" customFormat="1" x14ac:dyDescent="0.25">
      <c r="A31" s="110" t="s">
        <v>570</v>
      </c>
      <c r="B31" s="111"/>
      <c r="C31" s="111"/>
      <c r="D31" s="111"/>
      <c r="E31" s="111">
        <f>POWER(E27/U27,1/5)-1</f>
        <v>0.16225793275669464</v>
      </c>
      <c r="F31" s="111"/>
      <c r="G31" s="111"/>
      <c r="H31" s="111"/>
      <c r="I31" s="111">
        <f>POWER(E27/Y27,1/6)-1</f>
        <v>3.9042745067253248E-2</v>
      </c>
      <c r="M31" s="111">
        <f>POWER(E27/AO27,1/10)-1</f>
        <v>0.2656711269187324</v>
      </c>
      <c r="Q31" s="114" t="s">
        <v>603</v>
      </c>
      <c r="R31" s="114"/>
      <c r="S31" s="114"/>
      <c r="T31" s="114"/>
      <c r="U31" s="114">
        <f>POWER(E14/U14,1/5)-1</f>
        <v>0.12961006734377767</v>
      </c>
      <c r="V31" s="114"/>
      <c r="W31" s="114"/>
      <c r="X31" s="114"/>
      <c r="Y31" s="114">
        <f>POWER(E14/Y14,1/6)-1</f>
        <v>3.946763711397927E-2</v>
      </c>
      <c r="Z31" s="114"/>
      <c r="AA31" s="114"/>
      <c r="AB31" s="114"/>
      <c r="AC31" s="114">
        <f>POWER(E14/AC14,1/7)-1</f>
        <v>0.25607394809697626</v>
      </c>
    </row>
    <row r="32" spans="1:90" s="66" customFormat="1" x14ac:dyDescent="0.25">
      <c r="A32" s="46" t="s">
        <v>513</v>
      </c>
      <c r="E32" s="66">
        <v>0.17</v>
      </c>
    </row>
    <row r="39" spans="1:13" ht="43.2" x14ac:dyDescent="0.25">
      <c r="A39" s="67" t="s">
        <v>514</v>
      </c>
    </row>
    <row r="41" spans="1:13" ht="111" customHeight="1" x14ac:dyDescent="0.25">
      <c r="A41" s="275" t="s">
        <v>736</v>
      </c>
      <c r="B41" s="274"/>
      <c r="C41" s="274"/>
      <c r="D41" s="274"/>
      <c r="E41" s="274"/>
      <c r="F41" s="274"/>
      <c r="G41" s="274"/>
      <c r="H41" s="274"/>
      <c r="I41" s="274"/>
      <c r="J41" s="274"/>
      <c r="K41" s="274"/>
      <c r="L41" s="274"/>
      <c r="M41" s="274"/>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270">
        <f>自由现金流分析表!E1</f>
        <v>43100</v>
      </c>
      <c r="C1" s="189" t="s">
        <v>749</v>
      </c>
      <c r="D1" s="313">
        <v>0.08</v>
      </c>
      <c r="E1" s="260" t="s">
        <v>750</v>
      </c>
      <c r="F1" s="63">
        <f>平均资本成本表!E13</f>
        <v>0.23171315035572734</v>
      </c>
    </row>
    <row r="2" spans="1:10" x14ac:dyDescent="0.25">
      <c r="A2" s="69" t="s">
        <v>516</v>
      </c>
      <c r="B2" s="70">
        <f>(自由现金流分析表!E27+自由现金流分析表!I27+自由现金流分析表!M27)/3</f>
        <v>1032849005.0733333</v>
      </c>
      <c r="C2" t="s">
        <v>548</v>
      </c>
      <c r="D2" s="63"/>
      <c r="E2" s="63"/>
      <c r="F2" s="56"/>
    </row>
    <row r="3" spans="1:10" s="63" customFormat="1" x14ac:dyDescent="0.25">
      <c r="A3" s="71" t="s">
        <v>517</v>
      </c>
      <c r="B3" s="97">
        <v>0.05</v>
      </c>
      <c r="D3" s="188"/>
      <c r="E3" s="188"/>
      <c r="F3" s="258"/>
    </row>
    <row r="4" spans="1:10" s="63" customFormat="1" x14ac:dyDescent="0.25">
      <c r="A4" s="71" t="s">
        <v>518</v>
      </c>
      <c r="B4" s="97">
        <f>MIN(平均资本成本表!E13,D1)</f>
        <v>0.08</v>
      </c>
      <c r="D4" s="188"/>
      <c r="E4" s="188"/>
      <c r="F4" s="259"/>
    </row>
    <row r="5" spans="1:10" x14ac:dyDescent="0.25">
      <c r="A5" s="69" t="s">
        <v>519</v>
      </c>
      <c r="B5" s="70">
        <f>B2*(1+B3)/(B4-B3)</f>
        <v>36149715177.566666</v>
      </c>
      <c r="D5" s="63"/>
      <c r="E5" s="63"/>
    </row>
    <row r="6" spans="1:10" x14ac:dyDescent="0.25">
      <c r="A6" s="69" t="s">
        <v>520</v>
      </c>
      <c r="B6" s="70">
        <f>资产资本表!E17</f>
        <v>2087155717.8099997</v>
      </c>
      <c r="D6" s="188"/>
      <c r="E6" s="188"/>
      <c r="F6" s="188"/>
      <c r="G6" s="188"/>
    </row>
    <row r="7" spans="1:10" x14ac:dyDescent="0.25">
      <c r="A7" s="69" t="s">
        <v>521</v>
      </c>
      <c r="B7" s="70">
        <f>资产资本表!E19</f>
        <v>57828126.149999999</v>
      </c>
      <c r="D7" s="188"/>
      <c r="E7" s="188"/>
      <c r="F7" s="188"/>
      <c r="G7" s="188"/>
    </row>
    <row r="8" spans="1:10" x14ac:dyDescent="0.25">
      <c r="A8" s="69" t="s">
        <v>522</v>
      </c>
      <c r="B8" s="70">
        <f>资产资本表!E89</f>
        <v>0</v>
      </c>
      <c r="D8" s="63"/>
      <c r="E8" s="63"/>
      <c r="F8" s="188"/>
      <c r="G8" s="188"/>
    </row>
    <row r="9" spans="1:10" x14ac:dyDescent="0.25">
      <c r="A9" s="69" t="s">
        <v>523</v>
      </c>
      <c r="B9" s="70">
        <f>B5+B6+B7-B8</f>
        <v>38294699021.526665</v>
      </c>
      <c r="D9" s="188"/>
      <c r="E9" s="188"/>
      <c r="F9" s="188"/>
      <c r="G9" s="188"/>
    </row>
    <row r="10" spans="1:10" x14ac:dyDescent="0.25">
      <c r="A10" s="69" t="s">
        <v>524</v>
      </c>
      <c r="B10" s="72">
        <f>资产资本表!E103/资产资本表!E107</f>
        <v>1.5836770365835405E-4</v>
      </c>
      <c r="D10" s="188"/>
      <c r="E10" s="188"/>
      <c r="F10" s="188"/>
      <c r="G10" s="188"/>
    </row>
    <row r="11" spans="1:10" x14ac:dyDescent="0.25">
      <c r="A11" s="69" t="s">
        <v>549</v>
      </c>
      <c r="B11" s="195">
        <f>B9*(1-B10)</f>
        <v>38288634377.980339</v>
      </c>
      <c r="C11" s="267" t="s">
        <v>745</v>
      </c>
      <c r="D11" s="268">
        <f>资产资本结构分析表!E2</f>
        <v>2087155717.8099997</v>
      </c>
      <c r="E11" s="63"/>
      <c r="F11" s="188"/>
      <c r="G11" s="188"/>
    </row>
    <row r="12" spans="1:10" x14ac:dyDescent="0.25">
      <c r="A12" s="69" t="s">
        <v>525</v>
      </c>
      <c r="B12" s="266">
        <f>B55</f>
        <v>820817960</v>
      </c>
      <c r="C12" s="267" t="s">
        <v>746</v>
      </c>
      <c r="D12" s="269">
        <f>D11/B55</f>
        <v>2.5427754015153368</v>
      </c>
      <c r="E12" s="188"/>
      <c r="F12" s="188"/>
      <c r="G12" s="188"/>
    </row>
    <row r="13" spans="1:10" ht="15" thickBot="1" x14ac:dyDescent="0.3">
      <c r="A13" s="73" t="s">
        <v>526</v>
      </c>
      <c r="B13" s="74">
        <f>B11/B12</f>
        <v>46.646925681280585</v>
      </c>
      <c r="D13" s="188"/>
      <c r="E13" s="188"/>
    </row>
    <row r="14" spans="1:10" s="16" customFormat="1" ht="53.25" customHeight="1" x14ac:dyDescent="0.25">
      <c r="A14" s="275" t="s">
        <v>738</v>
      </c>
      <c r="B14" s="274"/>
      <c r="C14" s="274"/>
      <c r="D14" s="274"/>
      <c r="E14" s="274"/>
      <c r="F14" s="274"/>
      <c r="G14" s="274"/>
      <c r="H14" s="274"/>
      <c r="I14" s="274"/>
    </row>
    <row r="16" spans="1:10" x14ac:dyDescent="0.25">
      <c r="A16" s="87"/>
      <c r="B16" s="75"/>
      <c r="C16" s="76"/>
      <c r="D16" s="76"/>
      <c r="E16" s="76"/>
      <c r="F16" s="76"/>
      <c r="G16" s="76"/>
      <c r="H16" s="76"/>
      <c r="I16" s="77"/>
      <c r="J16" s="76"/>
    </row>
    <row r="17" spans="1:10" s="63" customFormat="1" x14ac:dyDescent="0.25">
      <c r="A17" s="89"/>
      <c r="B17" s="89"/>
      <c r="C17" s="89" t="s">
        <v>541</v>
      </c>
      <c r="D17" s="89">
        <v>0.15</v>
      </c>
      <c r="E17" s="89"/>
      <c r="F17" s="89"/>
      <c r="G17" s="89"/>
      <c r="H17" s="89" t="s">
        <v>542</v>
      </c>
      <c r="I17" s="89">
        <v>0.04</v>
      </c>
      <c r="J17" s="77"/>
    </row>
    <row r="18" spans="1:10" s="2" customFormat="1" x14ac:dyDescent="0.25">
      <c r="A18" s="296" t="s">
        <v>527</v>
      </c>
      <c r="B18" s="296"/>
      <c r="C18" s="65" t="s">
        <v>540</v>
      </c>
      <c r="D18" s="96">
        <v>1</v>
      </c>
      <c r="E18" s="96">
        <v>2</v>
      </c>
      <c r="F18" s="96">
        <v>3</v>
      </c>
      <c r="G18" s="96">
        <v>4</v>
      </c>
      <c r="H18" s="96">
        <v>5</v>
      </c>
      <c r="I18" s="95">
        <v>6</v>
      </c>
      <c r="J18" s="79"/>
    </row>
    <row r="19" spans="1:10" s="26" customFormat="1" x14ac:dyDescent="0.25">
      <c r="A19" s="98" t="s">
        <v>528</v>
      </c>
      <c r="B19" s="93"/>
      <c r="C19" s="88">
        <f>B2</f>
        <v>1032849005.0733333</v>
      </c>
      <c r="D19" s="88">
        <f>C19*(1+$D$17)</f>
        <v>1187776355.8343332</v>
      </c>
      <c r="E19" s="88">
        <f>D19*(1+$D$17)</f>
        <v>1365942809.2094831</v>
      </c>
      <c r="F19" s="88">
        <f>E19*(1+$D$17)</f>
        <v>1570834230.5909054</v>
      </c>
      <c r="G19" s="88">
        <f>F19*(1+$D$17)</f>
        <v>1806459365.1795411</v>
      </c>
      <c r="H19" s="88">
        <f>G19*(1+$D$17)</f>
        <v>2077428269.9564722</v>
      </c>
      <c r="I19" s="88">
        <f>H19*(1+I17)</f>
        <v>2160525400.7547312</v>
      </c>
      <c r="J19" s="75"/>
    </row>
    <row r="20" spans="1:10" s="26" customFormat="1" x14ac:dyDescent="0.25">
      <c r="A20" s="98" t="s">
        <v>529</v>
      </c>
      <c r="B20" s="94">
        <f>B4</f>
        <v>0.08</v>
      </c>
      <c r="C20" s="88"/>
      <c r="D20" s="88">
        <f t="shared" ref="D20:I20" si="0">(1+$B$20)^D18</f>
        <v>1.08</v>
      </c>
      <c r="E20" s="88">
        <f t="shared" si="0"/>
        <v>1.1664000000000001</v>
      </c>
      <c r="F20" s="88">
        <f t="shared" si="0"/>
        <v>1.2597120000000002</v>
      </c>
      <c r="G20" s="88">
        <f t="shared" si="0"/>
        <v>1.3604889600000003</v>
      </c>
      <c r="H20" s="88">
        <f t="shared" si="0"/>
        <v>1.4693280768000003</v>
      </c>
      <c r="I20" s="88">
        <f t="shared" si="0"/>
        <v>1.5868743229440005</v>
      </c>
      <c r="J20" s="75"/>
    </row>
    <row r="21" spans="1:10" s="26" customFormat="1" x14ac:dyDescent="0.25">
      <c r="A21" s="297" t="s">
        <v>530</v>
      </c>
      <c r="B21" s="297"/>
      <c r="C21" s="88"/>
      <c r="D21" s="88">
        <f>D19/D20</f>
        <v>1099792922.0688269</v>
      </c>
      <c r="E21" s="88">
        <f>E19/E20</f>
        <v>1171075796.647362</v>
      </c>
      <c r="F21" s="88">
        <f>F19/F20</f>
        <v>1246978857.5411723</v>
      </c>
      <c r="G21" s="88">
        <f>G19/G20</f>
        <v>1327801561.2706926</v>
      </c>
      <c r="H21" s="88">
        <f>H19/H20</f>
        <v>1413862773.5752742</v>
      </c>
      <c r="I21" s="88">
        <f>I19/((B20-I17)*I20)</f>
        <v>34037437141.626972</v>
      </c>
      <c r="J21" s="75"/>
    </row>
    <row r="22" spans="1:10" s="26" customFormat="1" x14ac:dyDescent="0.25">
      <c r="A22" s="297" t="s">
        <v>547</v>
      </c>
      <c r="B22" s="297"/>
      <c r="C22" s="88"/>
      <c r="D22" s="293">
        <f>SUM(D21:H21)</f>
        <v>6259511911.1033287</v>
      </c>
      <c r="E22" s="294"/>
      <c r="F22" s="294"/>
      <c r="G22" s="294"/>
      <c r="H22" s="295"/>
      <c r="I22" s="88">
        <f>I21</f>
        <v>34037437141.626972</v>
      </c>
      <c r="J22" s="75"/>
    </row>
    <row r="23" spans="1:10" x14ac:dyDescent="0.25">
      <c r="A23" s="91" t="s">
        <v>531</v>
      </c>
      <c r="B23" s="75">
        <f>D22+I22</f>
        <v>40296949052.730301</v>
      </c>
      <c r="C23" s="76"/>
      <c r="D23" s="76"/>
      <c r="E23" s="76"/>
      <c r="F23" s="76"/>
      <c r="G23" s="76"/>
      <c r="H23" s="76"/>
      <c r="I23" s="78"/>
      <c r="J23" s="76"/>
    </row>
    <row r="24" spans="1:10" x14ac:dyDescent="0.25">
      <c r="A24" s="91" t="s">
        <v>532</v>
      </c>
      <c r="B24" s="75">
        <f>B23</f>
        <v>40296949052.730301</v>
      </c>
      <c r="C24" s="76"/>
      <c r="D24" s="76"/>
      <c r="E24" s="76"/>
      <c r="F24" s="76"/>
      <c r="G24" s="76"/>
      <c r="H24" s="76"/>
      <c r="I24" s="78"/>
      <c r="J24" s="76"/>
    </row>
    <row r="25" spans="1:10" x14ac:dyDescent="0.25">
      <c r="A25" s="69" t="s">
        <v>533</v>
      </c>
      <c r="B25" s="70">
        <f>资产资本表!E17</f>
        <v>2087155717.8099997</v>
      </c>
      <c r="C25" s="76"/>
      <c r="D25" s="76"/>
      <c r="E25" s="76"/>
      <c r="F25" s="76"/>
      <c r="G25" s="76"/>
      <c r="H25" s="76"/>
      <c r="I25" s="78"/>
      <c r="J25" s="76"/>
    </row>
    <row r="26" spans="1:10" x14ac:dyDescent="0.25">
      <c r="A26" s="69" t="s">
        <v>534</v>
      </c>
      <c r="B26" s="70">
        <f>资产资本表!E19</f>
        <v>57828126.149999999</v>
      </c>
      <c r="C26" s="76"/>
      <c r="D26" s="76"/>
      <c r="E26" s="76"/>
      <c r="F26" s="76"/>
      <c r="G26" s="76"/>
      <c r="H26" s="76"/>
      <c r="I26" s="78"/>
      <c r="J26" s="76"/>
    </row>
    <row r="27" spans="1:10" x14ac:dyDescent="0.25">
      <c r="A27" s="69" t="s">
        <v>535</v>
      </c>
      <c r="B27" s="70">
        <f>资产资本表!E89</f>
        <v>0</v>
      </c>
      <c r="C27" s="76"/>
      <c r="D27" s="76"/>
      <c r="E27" s="76"/>
      <c r="F27" s="76"/>
      <c r="G27" s="76"/>
      <c r="H27" s="76"/>
      <c r="I27" s="78"/>
      <c r="J27" s="76"/>
    </row>
    <row r="28" spans="1:10" s="2" customFormat="1" x14ac:dyDescent="0.25">
      <c r="A28" s="81" t="s">
        <v>536</v>
      </c>
      <c r="B28" s="82">
        <f>B24+B25+B26-B27</f>
        <v>42441932896.6903</v>
      </c>
      <c r="C28" s="79"/>
      <c r="D28" s="79"/>
      <c r="E28" s="79"/>
      <c r="F28" s="79"/>
      <c r="G28" s="79"/>
      <c r="H28" s="79"/>
      <c r="I28" s="80"/>
      <c r="J28" s="79"/>
    </row>
    <row r="29" spans="1:10" x14ac:dyDescent="0.25">
      <c r="A29" s="69" t="s">
        <v>537</v>
      </c>
      <c r="B29" s="77">
        <f>资产资本表!E103/资产资本表!E107</f>
        <v>1.5836770365835405E-4</v>
      </c>
      <c r="C29" s="298" t="s">
        <v>543</v>
      </c>
      <c r="D29" s="298"/>
      <c r="E29" s="298"/>
      <c r="F29" s="76"/>
      <c r="G29" s="76"/>
      <c r="H29" s="76"/>
      <c r="I29" s="78"/>
      <c r="J29" s="76"/>
    </row>
    <row r="30" spans="1:10" s="2" customFormat="1" x14ac:dyDescent="0.25">
      <c r="A30" s="81" t="s">
        <v>538</v>
      </c>
      <c r="B30" s="82">
        <f>B28*(1-B29)</f>
        <v>42435211465.238625</v>
      </c>
      <c r="C30" s="90">
        <v>0.4</v>
      </c>
      <c r="D30" s="90">
        <v>0.3</v>
      </c>
      <c r="E30" s="90">
        <v>0.2</v>
      </c>
      <c r="F30" s="79"/>
      <c r="G30" s="79"/>
      <c r="H30" s="79"/>
      <c r="I30" s="80"/>
      <c r="J30" s="79"/>
    </row>
    <row r="31" spans="1:10" x14ac:dyDescent="0.25">
      <c r="A31" s="69" t="s">
        <v>747</v>
      </c>
      <c r="B31" s="100">
        <f>B55</f>
        <v>820817960</v>
      </c>
      <c r="C31" s="213">
        <f>$B$32*(1-C30)</f>
        <v>31.019212687723318</v>
      </c>
      <c r="D31" s="213">
        <f>$B$32*(1-D30)</f>
        <v>36.189081469010539</v>
      </c>
      <c r="E31" s="213">
        <f>$B$32*(1-E30)</f>
        <v>41.358950250297767</v>
      </c>
      <c r="F31" s="76"/>
      <c r="G31" s="76"/>
      <c r="H31" s="76"/>
      <c r="I31" s="78"/>
      <c r="J31" s="76"/>
    </row>
    <row r="32" spans="1:10" s="2" customFormat="1" ht="15" thickBot="1" x14ac:dyDescent="0.3">
      <c r="A32" s="83" t="s">
        <v>539</v>
      </c>
      <c r="B32" s="84">
        <f>B30/B31</f>
        <v>51.698687812872201</v>
      </c>
      <c r="C32" s="85"/>
      <c r="D32" s="85"/>
      <c r="E32" s="85"/>
      <c r="F32" s="85"/>
      <c r="G32" s="85"/>
      <c r="H32" s="85"/>
      <c r="I32" s="86"/>
      <c r="J32" s="79"/>
    </row>
    <row r="33" spans="1:19" ht="63" customHeight="1" x14ac:dyDescent="0.25">
      <c r="A33" s="299" t="s">
        <v>739</v>
      </c>
      <c r="B33" s="300"/>
      <c r="C33" s="300"/>
      <c r="D33" s="300"/>
      <c r="E33" s="300"/>
      <c r="F33" s="300"/>
      <c r="G33" s="300"/>
      <c r="H33" s="300"/>
      <c r="I33" s="300"/>
    </row>
    <row r="37" spans="1:19" s="63" customFormat="1" x14ac:dyDescent="0.25">
      <c r="A37" s="202"/>
      <c r="B37" s="202"/>
      <c r="C37" s="212" t="s">
        <v>541</v>
      </c>
      <c r="D37" s="212">
        <v>0.15</v>
      </c>
      <c r="E37" s="212"/>
      <c r="F37" s="212"/>
      <c r="G37" s="212"/>
      <c r="H37" s="212" t="s">
        <v>636</v>
      </c>
      <c r="I37" s="212">
        <v>0.09</v>
      </c>
      <c r="J37" s="212"/>
      <c r="K37" s="212"/>
      <c r="L37" s="212"/>
      <c r="M37" s="212"/>
      <c r="N37" s="212"/>
      <c r="O37" s="212"/>
      <c r="P37" s="212"/>
      <c r="Q37" s="212"/>
      <c r="R37" s="212" t="s">
        <v>546</v>
      </c>
      <c r="S37" s="212">
        <v>0.02</v>
      </c>
    </row>
    <row r="38" spans="1:19" s="24" customFormat="1" x14ac:dyDescent="0.25">
      <c r="A38" s="307" t="s">
        <v>544</v>
      </c>
      <c r="B38" s="308"/>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528</v>
      </c>
      <c r="B39" s="93"/>
      <c r="C39" s="88">
        <f>B2</f>
        <v>1032849005.0733333</v>
      </c>
      <c r="D39" s="88">
        <f>$C$39*(1+$D$37)^D38</f>
        <v>1187776355.8343332</v>
      </c>
      <c r="E39" s="88">
        <f>$C$39*(1+$D$37)^E38</f>
        <v>1365942809.2094829</v>
      </c>
      <c r="F39" s="88">
        <f>$C$39*(1+$D$37)^F38</f>
        <v>1570834230.5909052</v>
      </c>
      <c r="G39" s="88">
        <f>$C$39*(1+$D$37)^G38</f>
        <v>1806459365.1795411</v>
      </c>
      <c r="H39" s="88">
        <f>$C$39*(1+$D$37)^H38</f>
        <v>2077428269.9564722</v>
      </c>
      <c r="I39" s="88">
        <f>H39*(1+$I$37)</f>
        <v>2264396814.2525549</v>
      </c>
      <c r="J39" s="88">
        <f t="shared" ref="J39:N39" si="1">I39*(1+$I$37)</f>
        <v>2468192527.535285</v>
      </c>
      <c r="K39" s="88">
        <f t="shared" si="1"/>
        <v>2690329855.0134606</v>
      </c>
      <c r="L39" s="88">
        <f t="shared" si="1"/>
        <v>2932459541.9646721</v>
      </c>
      <c r="M39" s="88">
        <f t="shared" si="1"/>
        <v>3196380900.7414927</v>
      </c>
      <c r="N39" s="88">
        <f t="shared" si="1"/>
        <v>3484055181.8082275</v>
      </c>
      <c r="O39" s="88">
        <f t="shared" ref="O39" si="2">N39*(1+$I$37)</f>
        <v>3797620148.1709685</v>
      </c>
      <c r="P39" s="88">
        <f t="shared" ref="P39" si="3">O39*(1+$I$37)</f>
        <v>4139405961.5063562</v>
      </c>
      <c r="Q39" s="88">
        <f t="shared" ref="Q39" si="4">P39*(1+$I$37)</f>
        <v>4511952498.0419283</v>
      </c>
      <c r="R39" s="88">
        <f t="shared" ref="R39" si="5">Q39*(1+$I$37)</f>
        <v>4918028222.8657026</v>
      </c>
      <c r="S39" s="88">
        <f>R39*(1+S37)</f>
        <v>5016388787.3230171</v>
      </c>
    </row>
    <row r="40" spans="1:19" s="23" customFormat="1" x14ac:dyDescent="0.25">
      <c r="A40" s="208" t="s">
        <v>529</v>
      </c>
      <c r="B40" s="207">
        <f>B4</f>
        <v>0.08</v>
      </c>
      <c r="C40" s="213"/>
      <c r="D40" s="213">
        <f>(1+$B$40)^D38</f>
        <v>1.08</v>
      </c>
      <c r="E40" s="213">
        <f t="shared" ref="E40:R40" si="6">(1+$B$40)^E38</f>
        <v>1.1664000000000001</v>
      </c>
      <c r="F40" s="213">
        <f t="shared" si="6"/>
        <v>1.2597120000000002</v>
      </c>
      <c r="G40" s="213">
        <f t="shared" si="6"/>
        <v>1.3604889600000003</v>
      </c>
      <c r="H40" s="213">
        <f t="shared" si="6"/>
        <v>1.4693280768000003</v>
      </c>
      <c r="I40" s="213">
        <f t="shared" si="6"/>
        <v>1.5868743229440005</v>
      </c>
      <c r="J40" s="213">
        <f t="shared" si="6"/>
        <v>1.7138242687795207</v>
      </c>
      <c r="K40" s="213">
        <f t="shared" si="6"/>
        <v>1.8509302102818823</v>
      </c>
      <c r="L40" s="213">
        <f t="shared" si="6"/>
        <v>1.9990046271044331</v>
      </c>
      <c r="M40" s="213">
        <f t="shared" si="6"/>
        <v>2.1589249972727877</v>
      </c>
      <c r="N40" s="213">
        <f t="shared" si="6"/>
        <v>2.3316389970546108</v>
      </c>
      <c r="O40" s="213">
        <f t="shared" si="6"/>
        <v>2.5181701168189798</v>
      </c>
      <c r="P40" s="213">
        <f t="shared" si="6"/>
        <v>2.7196237261644982</v>
      </c>
      <c r="Q40" s="213">
        <f t="shared" si="6"/>
        <v>2.9371936242576586</v>
      </c>
      <c r="R40" s="213">
        <f t="shared" si="6"/>
        <v>3.1721691141982715</v>
      </c>
      <c r="S40" s="181">
        <f>(1+$B$40)^S38</f>
        <v>3.4259426433341331</v>
      </c>
    </row>
    <row r="41" spans="1:19" s="191" customFormat="1" x14ac:dyDescent="0.25">
      <c r="A41" s="309" t="s">
        <v>530</v>
      </c>
      <c r="B41" s="310"/>
      <c r="C41" s="88"/>
      <c r="D41" s="88">
        <f t="shared" ref="D41:R41" si="7">D39/D40</f>
        <v>1099792922.0688269</v>
      </c>
      <c r="E41" s="88">
        <f t="shared" si="7"/>
        <v>1171075796.6473618</v>
      </c>
      <c r="F41" s="88">
        <f t="shared" si="7"/>
        <v>1246978857.541172</v>
      </c>
      <c r="G41" s="88">
        <f t="shared" si="7"/>
        <v>1327801561.2706926</v>
      </c>
      <c r="H41" s="88">
        <f t="shared" si="7"/>
        <v>1413862773.5752742</v>
      </c>
      <c r="I41" s="88">
        <f t="shared" si="7"/>
        <v>1426954095.5528231</v>
      </c>
      <c r="J41" s="88">
        <f t="shared" si="7"/>
        <v>1440166633.4746087</v>
      </c>
      <c r="K41" s="88">
        <f t="shared" si="7"/>
        <v>1453501509.7104845</v>
      </c>
      <c r="L41" s="88">
        <f t="shared" si="7"/>
        <v>1466959857.0226185</v>
      </c>
      <c r="M41" s="88">
        <f t="shared" si="7"/>
        <v>1480542818.6617169</v>
      </c>
      <c r="N41" s="88">
        <f t="shared" si="7"/>
        <v>1494251548.4641404</v>
      </c>
      <c r="O41" s="88">
        <f t="shared" si="7"/>
        <v>1508087210.9499197</v>
      </c>
      <c r="P41" s="88">
        <f t="shared" si="7"/>
        <v>1522050981.4216783</v>
      </c>
      <c r="Q41" s="88">
        <f t="shared" si="7"/>
        <v>1536144046.0644712</v>
      </c>
      <c r="R41" s="88">
        <f t="shared" si="7"/>
        <v>1550367602.04655</v>
      </c>
      <c r="S41" s="88">
        <f>S39/((B40-S37)*S40)</f>
        <v>24403934476.658661</v>
      </c>
    </row>
    <row r="42" spans="1:19" s="23" customFormat="1" x14ac:dyDescent="0.25">
      <c r="A42" s="311" t="s">
        <v>547</v>
      </c>
      <c r="B42" s="312"/>
      <c r="C42" s="213"/>
      <c r="D42" s="304">
        <f>SUM(D41:H41)</f>
        <v>6259511911.1033278</v>
      </c>
      <c r="E42" s="305"/>
      <c r="F42" s="305"/>
      <c r="G42" s="305"/>
      <c r="H42" s="306"/>
      <c r="I42" s="304">
        <f>SUM(I41:R41)</f>
        <v>14879026303.369011</v>
      </c>
      <c r="J42" s="305"/>
      <c r="K42" s="305"/>
      <c r="L42" s="305"/>
      <c r="M42" s="305"/>
      <c r="N42" s="305"/>
      <c r="O42" s="305"/>
      <c r="P42" s="305"/>
      <c r="Q42" s="305"/>
      <c r="R42" s="306"/>
      <c r="S42" s="213">
        <f>S41</f>
        <v>24403934476.658661</v>
      </c>
    </row>
    <row r="43" spans="1:19" x14ac:dyDescent="0.25">
      <c r="A43" s="204" t="s">
        <v>545</v>
      </c>
      <c r="B43" s="195">
        <f>D42+I42+S42</f>
        <v>45542472691.130997</v>
      </c>
      <c r="C43" s="196"/>
      <c r="D43" s="196"/>
      <c r="E43" s="196"/>
      <c r="F43" s="196"/>
      <c r="G43" s="196"/>
      <c r="H43" s="196"/>
      <c r="I43" s="196"/>
      <c r="J43" s="196"/>
      <c r="K43" s="196"/>
      <c r="L43" s="196"/>
      <c r="M43" s="196"/>
      <c r="N43" s="196"/>
      <c r="O43" s="196"/>
      <c r="P43" s="196"/>
      <c r="Q43" s="196"/>
      <c r="R43" s="196"/>
      <c r="S43" s="198"/>
    </row>
    <row r="44" spans="1:19" x14ac:dyDescent="0.25">
      <c r="A44" s="204" t="s">
        <v>532</v>
      </c>
      <c r="B44" s="195">
        <f>B43</f>
        <v>45542472691.130997</v>
      </c>
      <c r="C44" s="196"/>
      <c r="D44" s="196"/>
      <c r="E44" s="196"/>
      <c r="F44" s="196"/>
      <c r="G44" s="196"/>
      <c r="H44" s="196"/>
      <c r="I44" s="196"/>
      <c r="J44" s="196"/>
      <c r="K44" s="196"/>
      <c r="L44" s="196"/>
      <c r="M44" s="196"/>
      <c r="N44" s="196"/>
      <c r="O44" s="196"/>
      <c r="P44" s="196"/>
      <c r="Q44" s="196"/>
      <c r="R44" s="196"/>
      <c r="S44" s="198"/>
    </row>
    <row r="45" spans="1:19" x14ac:dyDescent="0.25">
      <c r="A45" s="194" t="s">
        <v>533</v>
      </c>
      <c r="B45" s="195">
        <f>资产资本表!E17</f>
        <v>2087155717.8099997</v>
      </c>
      <c r="C45" s="196"/>
      <c r="D45" s="196"/>
      <c r="E45" s="196"/>
      <c r="F45" s="196"/>
      <c r="G45" s="196"/>
      <c r="H45" s="196"/>
      <c r="I45" s="196"/>
      <c r="J45" s="196"/>
      <c r="K45" s="196"/>
      <c r="L45" s="196"/>
      <c r="M45" s="196"/>
      <c r="N45" s="196"/>
      <c r="O45" s="196"/>
      <c r="P45" s="196"/>
      <c r="Q45" s="196"/>
      <c r="R45" s="196"/>
      <c r="S45" s="198"/>
    </row>
    <row r="46" spans="1:19" x14ac:dyDescent="0.25">
      <c r="A46" s="194" t="s">
        <v>534</v>
      </c>
      <c r="B46" s="195">
        <f>资产资本表!E19</f>
        <v>57828126.149999999</v>
      </c>
      <c r="C46" s="196"/>
      <c r="D46" s="196"/>
      <c r="E46" s="196"/>
      <c r="F46" s="196"/>
      <c r="G46" s="196"/>
      <c r="H46" s="196"/>
      <c r="I46" s="196"/>
      <c r="J46" s="196"/>
      <c r="K46" s="196"/>
      <c r="L46" s="196"/>
      <c r="M46" s="196"/>
      <c r="N46" s="196"/>
      <c r="O46" s="196"/>
      <c r="P46" s="196"/>
      <c r="Q46" s="196"/>
      <c r="R46" s="196"/>
      <c r="S46" s="198"/>
    </row>
    <row r="47" spans="1:19" x14ac:dyDescent="0.25">
      <c r="A47" s="194" t="s">
        <v>535</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536</v>
      </c>
      <c r="B48" s="195">
        <f>B44+B45+B46-B47</f>
        <v>47687456535.090996</v>
      </c>
      <c r="C48" s="196"/>
      <c r="D48" s="196"/>
      <c r="E48" s="196"/>
      <c r="F48" s="196"/>
      <c r="G48" s="196"/>
      <c r="H48" s="196"/>
      <c r="I48" s="196"/>
      <c r="J48" s="196"/>
      <c r="K48" s="196"/>
      <c r="L48" s="196"/>
      <c r="M48" s="196"/>
      <c r="N48" s="196"/>
      <c r="O48" s="196"/>
      <c r="P48" s="196"/>
      <c r="Q48" s="196"/>
      <c r="R48" s="196"/>
      <c r="S48" s="198"/>
    </row>
    <row r="49" spans="1:74" x14ac:dyDescent="0.25">
      <c r="A49" s="194" t="s">
        <v>537</v>
      </c>
      <c r="B49" s="197">
        <f>资产资本表!E103/资产资本表!E107</f>
        <v>1.5836770365835405E-4</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538</v>
      </c>
      <c r="B50" s="195">
        <f>B48*(1-B49)</f>
        <v>47679904382.106224</v>
      </c>
      <c r="C50" s="301" t="s">
        <v>543</v>
      </c>
      <c r="D50" s="302"/>
      <c r="E50" s="303"/>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747</v>
      </c>
      <c r="B51" s="209">
        <f>B55</f>
        <v>820817960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539</v>
      </c>
      <c r="B52" s="205">
        <f>B50/B51</f>
        <v>58.088281087448699</v>
      </c>
      <c r="C52" s="206">
        <f>$B$52*(1-C51)</f>
        <v>34.852968652469215</v>
      </c>
      <c r="D52" s="206">
        <f>$B$52*(1-D51)</f>
        <v>40.661796761214084</v>
      </c>
      <c r="E52" s="206">
        <f>$B$52*(1-E51)</f>
        <v>46.470624869958961</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2032</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550</v>
      </c>
      <c r="B55" s="99">
        <v>820817960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1" t="s">
        <v>740</v>
      </c>
      <c r="B57" s="292"/>
      <c r="C57" s="292"/>
      <c r="D57" s="292"/>
      <c r="E57" s="292"/>
      <c r="F57" s="292"/>
      <c r="G57" s="292"/>
      <c r="H57" s="292"/>
      <c r="I57" s="292"/>
    </row>
    <row r="60" spans="1:74" s="154" customFormat="1" ht="51" customHeight="1" x14ac:dyDescent="0.25">
      <c r="A60" s="289" t="s">
        <v>608</v>
      </c>
      <c r="B60" s="290"/>
      <c r="C60" s="290"/>
      <c r="D60" s="290"/>
      <c r="E60" s="290"/>
      <c r="F60" s="290"/>
      <c r="G60" s="290"/>
      <c r="H60" s="290"/>
      <c r="I60" s="290"/>
    </row>
    <row r="63" spans="1:74" s="4" customFormat="1" x14ac:dyDescent="0.25">
      <c r="A63" s="176" t="s">
        <v>610</v>
      </c>
      <c r="B63" s="175" t="s">
        <v>611</v>
      </c>
      <c r="C63" s="95" t="s">
        <v>612</v>
      </c>
      <c r="D63" s="95" t="s">
        <v>613</v>
      </c>
      <c r="E63" s="95" t="s">
        <v>628</v>
      </c>
      <c r="F63" s="95" t="s">
        <v>614</v>
      </c>
      <c r="G63" s="95" t="s">
        <v>615</v>
      </c>
      <c r="H63" s="95" t="s">
        <v>624</v>
      </c>
      <c r="I63" s="95" t="s">
        <v>617</v>
      </c>
      <c r="J63" s="95" t="s">
        <v>623</v>
      </c>
      <c r="K63" s="95" t="s">
        <v>619</v>
      </c>
      <c r="L63" s="95" t="s">
        <v>625</v>
      </c>
    </row>
    <row r="64" spans="1:74" s="26" customFormat="1" x14ac:dyDescent="0.25">
      <c r="A64" s="177">
        <f>股权价值增加表!M1</f>
        <v>42369</v>
      </c>
      <c r="B64" s="165">
        <v>42366</v>
      </c>
      <c r="C64" s="164">
        <v>17.39</v>
      </c>
      <c r="D64" s="164">
        <v>3.4</v>
      </c>
      <c r="E64" s="166">
        <f>股权价值增加表!M42/100000000</f>
        <v>10.009335300999991</v>
      </c>
      <c r="F64" s="166">
        <v>0</v>
      </c>
      <c r="G64" s="164">
        <v>16.47</v>
      </c>
      <c r="H64" s="166">
        <f>G64*D64</f>
        <v>55.997999999999998</v>
      </c>
      <c r="I64" s="166">
        <f>C64*D64</f>
        <v>59.125999999999998</v>
      </c>
      <c r="J64" s="166">
        <f>H64/E64</f>
        <v>5.5945772936995599</v>
      </c>
      <c r="K64" s="166">
        <f>I64/E64</f>
        <v>5.9070855578284966</v>
      </c>
      <c r="L64" s="261">
        <v>0</v>
      </c>
    </row>
    <row r="65" spans="1:12" s="26" customFormat="1" x14ac:dyDescent="0.25">
      <c r="A65" s="177">
        <f>股权价值增加表!I1</f>
        <v>42735</v>
      </c>
      <c r="B65" s="165">
        <v>42543</v>
      </c>
      <c r="C65" s="164">
        <v>23.13</v>
      </c>
      <c r="D65" s="164">
        <v>3.64</v>
      </c>
      <c r="E65" s="166">
        <f>股权价值增加表!I42/100000000</f>
        <v>11.443796793800015</v>
      </c>
      <c r="F65" s="166">
        <f>(E65-E64)/E64*100</f>
        <v>14.331236287555605</v>
      </c>
      <c r="G65" s="164">
        <v>23.11</v>
      </c>
      <c r="H65" s="166">
        <f t="shared" ref="H65:H66" si="8">G65*D65</f>
        <v>84.120400000000004</v>
      </c>
      <c r="I65" s="166">
        <f t="shared" ref="I65:I66" si="9">C65*D65</f>
        <v>84.193200000000004</v>
      </c>
      <c r="J65" s="166">
        <f t="shared" ref="J65:J66" si="10">H65/E65</f>
        <v>7.3507421982164605</v>
      </c>
      <c r="K65" s="166">
        <f t="shared" ref="K65:K66" si="11">I65/E65</f>
        <v>7.357103723269006</v>
      </c>
      <c r="L65" s="261">
        <f>K65/F65</f>
        <v>0.51336141388286771</v>
      </c>
    </row>
    <row r="66" spans="1:12" s="26" customFormat="1" x14ac:dyDescent="0.25">
      <c r="A66" s="177">
        <f>股权价值增加表!E1</f>
        <v>43100</v>
      </c>
      <c r="B66" s="165">
        <v>42872</v>
      </c>
      <c r="C66" s="164">
        <v>16.399999999999999</v>
      </c>
      <c r="D66" s="164">
        <v>9.09</v>
      </c>
      <c r="E66" s="166">
        <f>股权价值增加表!E42/100000000</f>
        <v>12.080688997799992</v>
      </c>
      <c r="F66" s="166">
        <f t="shared" ref="F66" si="12">(E66-E65)/E65*100</f>
        <v>5.5653924608747936</v>
      </c>
      <c r="G66" s="164">
        <v>15.76</v>
      </c>
      <c r="H66" s="166">
        <f t="shared" si="8"/>
        <v>143.25839999999999</v>
      </c>
      <c r="I66" s="166">
        <f t="shared" si="9"/>
        <v>149.07599999999999</v>
      </c>
      <c r="J66" s="166">
        <f t="shared" si="10"/>
        <v>11.858462710702073</v>
      </c>
      <c r="K66" s="166">
        <f t="shared" si="11"/>
        <v>12.340024648192511</v>
      </c>
      <c r="L66" s="261">
        <f t="shared" ref="L66" si="13">K66/F66</f>
        <v>2.2172784282409528</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3" t="s">
        <v>620</v>
      </c>
    </row>
    <row r="69" spans="1:12" s="26" customFormat="1" ht="15" thickBot="1" x14ac:dyDescent="0.3">
      <c r="A69" s="167" t="s">
        <v>627</v>
      </c>
      <c r="B69" s="168">
        <v>43305</v>
      </c>
      <c r="C69" s="169">
        <v>11.65</v>
      </c>
      <c r="D69" s="169">
        <v>9.09</v>
      </c>
      <c r="E69" s="169">
        <v>4.33</v>
      </c>
      <c r="F69" s="170">
        <f>(E69-E66)/E66*100</f>
        <v>-64.157673450673769</v>
      </c>
      <c r="G69" s="169">
        <v>10.119999999999999</v>
      </c>
      <c r="H69" s="170">
        <f>G69*D69</f>
        <v>91.990799999999993</v>
      </c>
      <c r="I69" s="170">
        <f>C69*D69</f>
        <v>105.8985</v>
      </c>
      <c r="J69" s="170">
        <f>H69/E69</f>
        <v>21.244988452655885</v>
      </c>
      <c r="K69" s="170">
        <f>I69/E69</f>
        <v>24.456928406466513</v>
      </c>
      <c r="L69" s="264">
        <f>K69/F69</f>
        <v>-0.38120036296624271</v>
      </c>
    </row>
    <row r="70" spans="1:12" s="26" customFormat="1" ht="15" thickBot="1" x14ac:dyDescent="0.3">
      <c r="A70" s="171" t="s">
        <v>626</v>
      </c>
      <c r="B70" s="172">
        <v>43305</v>
      </c>
      <c r="C70" s="173">
        <v>11.65</v>
      </c>
      <c r="D70" s="173">
        <v>9.09</v>
      </c>
      <c r="E70" s="173">
        <v>3.86</v>
      </c>
      <c r="F70" s="174">
        <f>(E70-E66)/E66*100</f>
        <v>-68.048180027621413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-0.40316793995738642</v>
      </c>
    </row>
    <row r="71" spans="1:12" s="87" customFormat="1" ht="138" customHeight="1" x14ac:dyDescent="0.25">
      <c r="A71" s="287" t="s">
        <v>629</v>
      </c>
      <c r="B71" s="288"/>
      <c r="C71" s="288"/>
      <c r="D71" s="288"/>
      <c r="E71" s="288"/>
      <c r="F71" s="288"/>
      <c r="G71" s="288"/>
      <c r="H71" s="288"/>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2019-02-09T03:02:51Z</dcterms:modified>
</cp:coreProperties>
</file>