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8.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BB35E17A-5D35-43AB-91D5-01E301B9A406}" xr6:coauthVersionLast="40" xr6:coauthVersionMax="40" xr10:uidLastSave="{00000000-0000-0000-0000-000000000000}"/>
  <bookViews>
    <workbookView xWindow="480" yWindow="48" windowWidth="24792" windowHeight="11676" tabRatio="898" firstSheet="4" activeTab="11"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H60" i="10" l="1"/>
  <c r="F53" i="10"/>
  <c r="F60" i="10" s="1"/>
  <c r="G53" i="10"/>
  <c r="G60" i="10" s="1"/>
  <c r="H53" i="10"/>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Z17" i="7" l="1"/>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M28" i="7"/>
  <c r="BP28" i="7"/>
  <c r="BH28" i="7"/>
  <c r="AZ28" i="7"/>
  <c r="AR28" i="7"/>
  <c r="AJ28" i="7"/>
  <c r="AB28" i="7"/>
  <c r="T28" i="7"/>
  <c r="L28" i="7"/>
  <c r="BO28" i="7"/>
  <c r="BG28" i="7"/>
  <c r="AY28" i="7"/>
  <c r="AQ28" i="7"/>
  <c r="AI28" i="7"/>
  <c r="AA28" i="7"/>
  <c r="S28" i="7"/>
  <c r="K28" i="7"/>
  <c r="A64" i="13"/>
  <c r="A65" i="13"/>
  <c r="A66" i="13"/>
  <c r="E29" i="7" l="1"/>
  <c r="I70" i="13"/>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I100" i="11" s="1"/>
  <c r="I101" i="11" s="1"/>
  <c r="J84" i="11"/>
  <c r="K84" i="11"/>
  <c r="L84" i="11"/>
  <c r="M84" i="11"/>
  <c r="N84" i="11"/>
  <c r="O84" i="11"/>
  <c r="P84" i="11"/>
  <c r="Q84" i="11"/>
  <c r="Q100" i="11" s="1"/>
  <c r="Q101" i="11" s="1"/>
  <c r="R84" i="11"/>
  <c r="S84" i="11"/>
  <c r="T84" i="11"/>
  <c r="U84" i="11"/>
  <c r="V84" i="11"/>
  <c r="W84" i="11"/>
  <c r="X84" i="11"/>
  <c r="Y84" i="11"/>
  <c r="Y100" i="11" s="1"/>
  <c r="Y101" i="11" s="1"/>
  <c r="Z84" i="11"/>
  <c r="AA84" i="11"/>
  <c r="AB84" i="11"/>
  <c r="AC84" i="11"/>
  <c r="AD84" i="11"/>
  <c r="AE84" i="11"/>
  <c r="AF84" i="11"/>
  <c r="AG84" i="11"/>
  <c r="AG100" i="11" s="1"/>
  <c r="AG101" i="11" s="1"/>
  <c r="AH84" i="11"/>
  <c r="AI84" i="11"/>
  <c r="AJ84" i="11"/>
  <c r="AK84" i="11"/>
  <c r="AL84" i="11"/>
  <c r="AM84" i="11"/>
  <c r="AN84" i="11"/>
  <c r="AO84" i="11"/>
  <c r="AO100" i="11" s="1"/>
  <c r="AO101" i="11" s="1"/>
  <c r="AP84" i="11"/>
  <c r="AQ84" i="11"/>
  <c r="AR84" i="11"/>
  <c r="AS84" i="11"/>
  <c r="AT84" i="11"/>
  <c r="AU84" i="11"/>
  <c r="AV84" i="11"/>
  <c r="AW84" i="11"/>
  <c r="AW100" i="11" s="1"/>
  <c r="AW101" i="11" s="1"/>
  <c r="AX84" i="11"/>
  <c r="AY84" i="11"/>
  <c r="AZ84" i="11"/>
  <c r="BA84" i="11"/>
  <c r="BB84" i="11"/>
  <c r="BC84" i="11"/>
  <c r="BD84" i="11"/>
  <c r="BE84" i="11"/>
  <c r="BE100" i="11" s="1"/>
  <c r="BE101" i="11" s="1"/>
  <c r="BF84" i="11"/>
  <c r="BG84" i="11"/>
  <c r="BH84" i="11"/>
  <c r="BI84" i="11"/>
  <c r="BJ84" i="11"/>
  <c r="BK84" i="11"/>
  <c r="BL84" i="11"/>
  <c r="BM84" i="11"/>
  <c r="BM100" i="11" s="1"/>
  <c r="BM101" i="11" s="1"/>
  <c r="BN84" i="11"/>
  <c r="BO84" i="11"/>
  <c r="BP84" i="11"/>
  <c r="BQ84" i="11"/>
  <c r="BR84" i="11"/>
  <c r="BS84" i="11"/>
  <c r="BT84" i="11"/>
  <c r="BU84" i="11"/>
  <c r="BU100" i="11" s="1"/>
  <c r="BU101" i="11" s="1"/>
  <c r="BV84" i="11"/>
  <c r="BW84" i="11"/>
  <c r="BX84" i="11"/>
  <c r="BY84" i="11"/>
  <c r="BZ84" i="11"/>
  <c r="BZ100" i="11" s="1"/>
  <c r="BZ101" i="11" s="1"/>
  <c r="CA84" i="11"/>
  <c r="CB84" i="11"/>
  <c r="CB100" i="11" s="1"/>
  <c r="CB101" i="11" s="1"/>
  <c r="CC84" i="11"/>
  <c r="CC100" i="11" s="1"/>
  <c r="CC101" i="11" s="1"/>
  <c r="CD84" i="11"/>
  <c r="CE84" i="1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F81" i="11"/>
  <c r="BG81" i="11"/>
  <c r="BH81" i="11"/>
  <c r="BH93" i="11" s="1"/>
  <c r="BI81" i="11"/>
  <c r="BJ81" i="11"/>
  <c r="BK81" i="11"/>
  <c r="BL81" i="11"/>
  <c r="BL93" i="11" s="1"/>
  <c r="BM81" i="11"/>
  <c r="BN81" i="11"/>
  <c r="BO81" i="11"/>
  <c r="BP81" i="11"/>
  <c r="BQ81" i="11"/>
  <c r="BR81" i="11"/>
  <c r="BS81" i="11"/>
  <c r="BT81" i="11"/>
  <c r="BT93" i="11" s="1"/>
  <c r="BU81" i="11"/>
  <c r="BV81" i="11"/>
  <c r="BW81" i="11"/>
  <c r="BX81" i="11"/>
  <c r="BX93" i="11" s="1"/>
  <c r="BY81" i="11"/>
  <c r="BZ81" i="11"/>
  <c r="CA81" i="11"/>
  <c r="CB81" i="11"/>
  <c r="CB93" i="11" s="1"/>
  <c r="CC81" i="1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CC87" i="11" l="1"/>
  <c r="BU87" i="11"/>
  <c r="BM87" i="11"/>
  <c r="BE87" i="11"/>
  <c r="CE100" i="11"/>
  <c r="CE101" i="11" s="1"/>
  <c r="BW100" i="11"/>
  <c r="BW101" i="11" s="1"/>
  <c r="BO100" i="11"/>
  <c r="BO101" i="11" s="1"/>
  <c r="BG100" i="11"/>
  <c r="BG101" i="11" s="1"/>
  <c r="CA100" i="1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L27" i="12"/>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2" i="10"/>
  <c r="CI2" i="10"/>
  <c r="CH2" i="10"/>
  <c r="CH3" i="10" s="1"/>
  <c r="CG2" i="10"/>
  <c r="CG3" i="10" s="1"/>
  <c r="CF2" i="10"/>
  <c r="CE2" i="10"/>
  <c r="CD2" i="10"/>
  <c r="CC2" i="10"/>
  <c r="CB2" i="10"/>
  <c r="CA2" i="10"/>
  <c r="BZ2" i="10"/>
  <c r="BZ3" i="10" s="1"/>
  <c r="BY2" i="10"/>
  <c r="BX2" i="10"/>
  <c r="BW2" i="10"/>
  <c r="BV2" i="10"/>
  <c r="BU2" i="10"/>
  <c r="BT2" i="10"/>
  <c r="BS2" i="10"/>
  <c r="BR2" i="10"/>
  <c r="BR3" i="10" s="1"/>
  <c r="BQ2" i="10"/>
  <c r="BP2" i="10"/>
  <c r="BO2" i="10"/>
  <c r="BN2" i="10"/>
  <c r="BM2" i="10"/>
  <c r="BL2" i="10"/>
  <c r="BK2" i="10"/>
  <c r="BJ2" i="10"/>
  <c r="BJ3" i="10" s="1"/>
  <c r="BI2" i="10"/>
  <c r="BH2" i="10"/>
  <c r="BG2" i="10"/>
  <c r="BF2" i="10"/>
  <c r="BE2" i="10"/>
  <c r="BD2" i="10"/>
  <c r="BC2" i="10"/>
  <c r="BB2" i="10"/>
  <c r="BB3" i="10" s="1"/>
  <c r="BA2" i="10"/>
  <c r="AZ2" i="10"/>
  <c r="AY2" i="10"/>
  <c r="AX2" i="10"/>
  <c r="AW2" i="10"/>
  <c r="AV2" i="10"/>
  <c r="AU2" i="10"/>
  <c r="AT2" i="10"/>
  <c r="AT3" i="10" s="1"/>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G2" i="10"/>
  <c r="F2" i="10"/>
  <c r="F3" i="10" s="1"/>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E67" i="6"/>
  <c r="CE24" i="6" s="1"/>
  <c r="CD67" i="6"/>
  <c r="CD24" i="6" s="1"/>
  <c r="CC67" i="6"/>
  <c r="CC24" i="6" s="1"/>
  <c r="CB67" i="6"/>
  <c r="CA67" i="6"/>
  <c r="CA24" i="6" s="1"/>
  <c r="BZ67" i="6"/>
  <c r="BZ24" i="6" s="1"/>
  <c r="BY67" i="6"/>
  <c r="BY24" i="6" s="1"/>
  <c r="BX67" i="6"/>
  <c r="BX24" i="6" s="1"/>
  <c r="BW67" i="6"/>
  <c r="BW24" i="6" s="1"/>
  <c r="BV67" i="6"/>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C67" i="6"/>
  <c r="BC24" i="6" s="1"/>
  <c r="BB67" i="6"/>
  <c r="BB24" i="6" s="1"/>
  <c r="BA67" i="6"/>
  <c r="BA24" i="6" s="1"/>
  <c r="AZ67" i="6"/>
  <c r="AZ24" i="6" s="1"/>
  <c r="AY67" i="6"/>
  <c r="AY24" i="6" s="1"/>
  <c r="AX67" i="6"/>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F24" i="6" s="1"/>
  <c r="AE67" i="6"/>
  <c r="AE24" i="6" s="1"/>
  <c r="AD67" i="6"/>
  <c r="AD24" i="6" s="1"/>
  <c r="AC67" i="6"/>
  <c r="AC24" i="6" s="1"/>
  <c r="AB67" i="6"/>
  <c r="AB24" i="6" s="1"/>
  <c r="AA67" i="6"/>
  <c r="AA24" i="6" s="1"/>
  <c r="Z67" i="6"/>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H24" i="6" s="1"/>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F24" i="6"/>
  <c r="CB24" i="6"/>
  <c r="BV24" i="6"/>
  <c r="BT24" i="6"/>
  <c r="BL24" i="6"/>
  <c r="BD24" i="6"/>
  <c r="AX24" i="6"/>
  <c r="AV24" i="6"/>
  <c r="AN24" i="6"/>
  <c r="Z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B18" i="10" s="1"/>
  <c r="BA12" i="6"/>
  <c r="BA18" i="10" s="1"/>
  <c r="AZ12" i="6"/>
  <c r="AZ18" i="10" s="1"/>
  <c r="AY12" i="6"/>
  <c r="AY18" i="10" s="1"/>
  <c r="AX12" i="6"/>
  <c r="AX18" i="10" s="1"/>
  <c r="AW12" i="6"/>
  <c r="AW18" i="10" s="1"/>
  <c r="AV12" i="6"/>
  <c r="AV18" i="10" s="1"/>
  <c r="AU12" i="6"/>
  <c r="AU18" i="10" s="1"/>
  <c r="AT12" i="6"/>
  <c r="AT18" i="10" s="1"/>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BZ6" i="10" l="1"/>
  <c r="CH65" i="11"/>
  <c r="CH66" i="11" s="1"/>
  <c r="CE27" i="6"/>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J13" i="12" s="1"/>
  <c r="R12" i="12"/>
  <c r="Z12" i="12"/>
  <c r="AH12" i="12"/>
  <c r="AH13" i="12" s="1"/>
  <c r="AP12" i="12"/>
  <c r="AX12" i="12"/>
  <c r="AX13" i="12" s="1"/>
  <c r="BF12" i="12"/>
  <c r="BF13" i="12" s="1"/>
  <c r="BN12" i="12"/>
  <c r="BV12" i="12"/>
  <c r="BV13" i="12" s="1"/>
  <c r="CD12" i="12"/>
  <c r="AS27" i="6"/>
  <c r="AS32" i="10" s="1"/>
  <c r="L57" i="11"/>
  <c r="AJ57" i="11"/>
  <c r="AR65" i="11"/>
  <c r="AR66" i="11" s="1"/>
  <c r="AZ65" i="11"/>
  <c r="AZ66" i="11" s="1"/>
  <c r="BH57" i="11"/>
  <c r="BP65" i="11"/>
  <c r="BP66" i="11" s="1"/>
  <c r="BX65" i="11"/>
  <c r="BX66" i="11" s="1"/>
  <c r="CF65" i="11"/>
  <c r="CF66" i="11" s="1"/>
  <c r="K12" i="12"/>
  <c r="K13" i="12" s="1"/>
  <c r="S12" i="12"/>
  <c r="S13" i="12" s="1"/>
  <c r="AA12" i="12"/>
  <c r="AA13" i="12" s="1"/>
  <c r="AI12" i="12"/>
  <c r="AI13" i="12" s="1"/>
  <c r="AQ12" i="12"/>
  <c r="AY12" i="12"/>
  <c r="AY13" i="12" s="1"/>
  <c r="BG12" i="12"/>
  <c r="BG13" i="12" s="1"/>
  <c r="BO12" i="12"/>
  <c r="BW12" i="12"/>
  <c r="BW13" i="12" s="1"/>
  <c r="CE12" i="12"/>
  <c r="CE13" i="12" s="1"/>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8" i="10" s="1"/>
  <c r="BF7" i="6"/>
  <c r="BV7" i="10"/>
  <c r="BV8" i="10" s="1"/>
  <c r="BV7" i="6"/>
  <c r="AZ19" i="10"/>
  <c r="AY7" i="10"/>
  <c r="AY7" i="6"/>
  <c r="BG7" i="10"/>
  <c r="BG8" i="10" s="1"/>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8" i="10" s="1"/>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8" i="10" s="1"/>
  <c r="AU7" i="6"/>
  <c r="BC7" i="10"/>
  <c r="BC7" i="6"/>
  <c r="BK7" i="10"/>
  <c r="BK7" i="6"/>
  <c r="BS7" i="10"/>
  <c r="BS7" i="6"/>
  <c r="CA7" i="10"/>
  <c r="CA9" i="10" s="1"/>
  <c r="CA7" i="6"/>
  <c r="CI7" i="10"/>
  <c r="CI9" i="10" s="1"/>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8" i="10" s="1"/>
  <c r="AV7" i="6"/>
  <c r="BD7" i="10"/>
  <c r="BD8" i="10" s="1"/>
  <c r="BD7" i="6"/>
  <c r="BL7" i="10"/>
  <c r="BL8" i="10" s="1"/>
  <c r="BL7" i="6"/>
  <c r="BT7" i="10"/>
  <c r="BT7" i="6"/>
  <c r="CB7" i="10"/>
  <c r="CB8" i="10" s="1"/>
  <c r="CB7" i="6"/>
  <c r="CJ7" i="10"/>
  <c r="CJ7" i="6"/>
  <c r="AV27" i="6"/>
  <c r="AV32" i="10" s="1"/>
  <c r="BD27" i="6"/>
  <c r="BD32" i="10" s="1"/>
  <c r="BL27" i="6"/>
  <c r="BT27" i="6"/>
  <c r="BT32" i="10" s="1"/>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N7" i="6"/>
  <c r="BP7" i="10"/>
  <c r="BP8" i="10" s="1"/>
  <c r="BP7" i="6"/>
  <c r="BC30" i="9"/>
  <c r="CA30" i="9"/>
  <c r="AW7" i="10"/>
  <c r="AW8" i="10" s="1"/>
  <c r="AW7" i="6"/>
  <c r="BE7" i="10"/>
  <c r="BE8" i="10" s="1"/>
  <c r="BE7" i="6"/>
  <c r="BM7" i="10"/>
  <c r="BI9" i="10" s="1"/>
  <c r="BM7" i="6"/>
  <c r="BU7" i="10"/>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E27" i="12" s="1"/>
  <c r="M25" i="12"/>
  <c r="M26" i="12" s="1"/>
  <c r="M27" i="12" s="1"/>
  <c r="U25" i="12"/>
  <c r="U26" i="12" s="1"/>
  <c r="U27" i="12" s="1"/>
  <c r="AC25" i="12"/>
  <c r="AK25" i="12"/>
  <c r="AK26" i="12" s="1"/>
  <c r="AK27" i="12" s="1"/>
  <c r="AS25" i="12"/>
  <c r="AS26" i="12" s="1"/>
  <c r="AS27" i="12" s="1"/>
  <c r="BA25" i="12"/>
  <c r="BA26" i="12" s="1"/>
  <c r="BA27" i="12" s="1"/>
  <c r="BI25" i="12"/>
  <c r="BI26" i="12" s="1"/>
  <c r="BI27" i="12" s="1"/>
  <c r="BQ25" i="12"/>
  <c r="BQ26" i="12" s="1"/>
  <c r="BQ27" i="12" s="1"/>
  <c r="BY25" i="12"/>
  <c r="BY26" i="12" s="1"/>
  <c r="BY27" i="12" s="1"/>
  <c r="CG25" i="12"/>
  <c r="CG26" i="12" s="1"/>
  <c r="CG27" i="12" s="1"/>
  <c r="L27" i="6"/>
  <c r="L32" i="10" s="1"/>
  <c r="N27" i="6"/>
  <c r="N32" i="10" s="1"/>
  <c r="K19" i="10"/>
  <c r="P27" i="6"/>
  <c r="P32" i="10" s="1"/>
  <c r="L19" i="10"/>
  <c r="P19" i="10"/>
  <c r="O27" i="6"/>
  <c r="O32" i="10" s="1"/>
  <c r="J27" i="6"/>
  <c r="J32" i="10" s="1"/>
  <c r="F25" i="12"/>
  <c r="F26" i="12" s="1"/>
  <c r="F27" i="12" s="1"/>
  <c r="N25" i="12"/>
  <c r="N26" i="12" s="1"/>
  <c r="N27" i="12" s="1"/>
  <c r="V25" i="12"/>
  <c r="V26" i="12" s="1"/>
  <c r="V27" i="12" s="1"/>
  <c r="AD25" i="12"/>
  <c r="AD26" i="12" s="1"/>
  <c r="AD27" i="12" s="1"/>
  <c r="AL25" i="12"/>
  <c r="AL26" i="12" s="1"/>
  <c r="AL27" i="12" s="1"/>
  <c r="AT25" i="12"/>
  <c r="AT26" i="12" s="1"/>
  <c r="AT27" i="12" s="1"/>
  <c r="BB25" i="12"/>
  <c r="BB26" i="12" s="1"/>
  <c r="BB27" i="12" s="1"/>
  <c r="BJ25" i="12"/>
  <c r="BJ26" i="12" s="1"/>
  <c r="BJ27" i="12" s="1"/>
  <c r="BR25" i="12"/>
  <c r="BR26" i="12" s="1"/>
  <c r="BR27" i="12" s="1"/>
  <c r="BZ25" i="12"/>
  <c r="BZ26" i="12" s="1"/>
  <c r="BZ27" i="12" s="1"/>
  <c r="CH25" i="12"/>
  <c r="CH26" i="12" s="1"/>
  <c r="CH27" i="12" s="1"/>
  <c r="CH28" i="12" s="1"/>
  <c r="I25" i="12"/>
  <c r="I26" i="12" s="1"/>
  <c r="I27" i="12" s="1"/>
  <c r="Q25" i="12"/>
  <c r="Q26" i="12" s="1"/>
  <c r="Q27" i="12" s="1"/>
  <c r="Y25" i="12"/>
  <c r="AG25" i="12"/>
  <c r="AG26" i="12" s="1"/>
  <c r="AG27" i="12" s="1"/>
  <c r="AO25" i="12"/>
  <c r="AO26" i="12" s="1"/>
  <c r="AO27" i="12" s="1"/>
  <c r="AW25" i="12"/>
  <c r="AW26" i="12" s="1"/>
  <c r="AW27" i="12" s="1"/>
  <c r="BE25" i="12"/>
  <c r="BE26" i="12" s="1"/>
  <c r="BE27" i="12" s="1"/>
  <c r="BM25" i="12"/>
  <c r="BM26" i="12" s="1"/>
  <c r="BM27" i="12" s="1"/>
  <c r="BU25" i="12"/>
  <c r="BU26" i="12" s="1"/>
  <c r="BU27" i="12" s="1"/>
  <c r="L12" i="12"/>
  <c r="L13" i="12" s="1"/>
  <c r="T12" i="12"/>
  <c r="T13" i="12" s="1"/>
  <c r="AB12" i="12"/>
  <c r="AB13" i="12" s="1"/>
  <c r="AJ12" i="12"/>
  <c r="AJ13" i="12" s="1"/>
  <c r="AR12" i="12"/>
  <c r="AR13" i="12" s="1"/>
  <c r="AZ12" i="12"/>
  <c r="BH12" i="12"/>
  <c r="BH13" i="12" s="1"/>
  <c r="BP12" i="12"/>
  <c r="BP13" i="12" s="1"/>
  <c r="BX12" i="12"/>
  <c r="BX13" i="12" s="1"/>
  <c r="CF12" i="12"/>
  <c r="CF13" i="12" s="1"/>
  <c r="G12" i="12"/>
  <c r="G13" i="12" s="1"/>
  <c r="O12" i="12"/>
  <c r="O13" i="12" s="1"/>
  <c r="W12" i="12"/>
  <c r="W13" i="12" s="1"/>
  <c r="AE12" i="12"/>
  <c r="AM12" i="12"/>
  <c r="AM13" i="12" s="1"/>
  <c r="AU12" i="12"/>
  <c r="AU13" i="12" s="1"/>
  <c r="BC12" i="12"/>
  <c r="BC13" i="12" s="1"/>
  <c r="BK12" i="12"/>
  <c r="BK13" i="12" s="1"/>
  <c r="BS12" i="12"/>
  <c r="BS13" i="12" s="1"/>
  <c r="CA12" i="12"/>
  <c r="CA13" i="12" s="1"/>
  <c r="CI12" i="12"/>
  <c r="CI13" i="12" s="1"/>
  <c r="AN7" i="10"/>
  <c r="AN8" i="10" s="1"/>
  <c r="AN7" i="6"/>
  <c r="AO7" i="10"/>
  <c r="AO8" i="10" s="1"/>
  <c r="AO7" i="6"/>
  <c r="AP7" i="10"/>
  <c r="AP8" i="10" s="1"/>
  <c r="AP7" i="6"/>
  <c r="AQ7" i="10"/>
  <c r="AQ8" i="10" s="1"/>
  <c r="AQ7" i="6"/>
  <c r="AR7" i="10"/>
  <c r="AR8" i="10" s="1"/>
  <c r="AR7" i="6"/>
  <c r="AK7" i="10"/>
  <c r="AK7" i="6"/>
  <c r="AS7" i="10"/>
  <c r="AS8" i="10" s="1"/>
  <c r="AS7" i="6"/>
  <c r="AL7" i="10"/>
  <c r="AL8" i="10" s="1"/>
  <c r="AL7" i="6"/>
  <c r="AM7" i="10"/>
  <c r="AM8" i="10" s="1"/>
  <c r="AM7" i="6"/>
  <c r="H7" i="10"/>
  <c r="H8" i="10" s="1"/>
  <c r="H7" i="6"/>
  <c r="P7" i="10"/>
  <c r="P8" i="10" s="1"/>
  <c r="P7" i="6"/>
  <c r="X7" i="10"/>
  <c r="X8" i="10" s="1"/>
  <c r="X7" i="6"/>
  <c r="AF7" i="10"/>
  <c r="AF8" i="10" s="1"/>
  <c r="AF7" i="6"/>
  <c r="I7" i="10"/>
  <c r="I8" i="10" s="1"/>
  <c r="I7" i="6"/>
  <c r="Q7" i="10"/>
  <c r="Q7" i="6"/>
  <c r="Y7" i="10"/>
  <c r="Y8" i="10" s="1"/>
  <c r="Y7" i="6"/>
  <c r="AG7" i="10"/>
  <c r="AG8" i="10" s="1"/>
  <c r="AG7" i="6"/>
  <c r="J7" i="10"/>
  <c r="J7" i="6"/>
  <c r="R7" i="10"/>
  <c r="R7" i="6"/>
  <c r="Z7" i="10"/>
  <c r="Z8" i="10" s="1"/>
  <c r="Z7" i="6"/>
  <c r="AH7" i="10"/>
  <c r="AH7" i="6"/>
  <c r="K7" i="10"/>
  <c r="K7" i="6"/>
  <c r="S7" i="10"/>
  <c r="S8" i="10" s="1"/>
  <c r="S7" i="6"/>
  <c r="AA7" i="10"/>
  <c r="AA8" i="10" s="1"/>
  <c r="AA7" i="6"/>
  <c r="AI7" i="10"/>
  <c r="AI9" i="10" s="1"/>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K27" i="12" s="1"/>
  <c r="S25" i="12"/>
  <c r="S26" i="12" s="1"/>
  <c r="S27" i="12" s="1"/>
  <c r="E12" i="12"/>
  <c r="E13" i="12" s="1"/>
  <c r="M12" i="12"/>
  <c r="M13" i="12" s="1"/>
  <c r="U12" i="12"/>
  <c r="U13" i="12" s="1"/>
  <c r="AC12" i="12"/>
  <c r="AK12" i="12"/>
  <c r="AK13" i="12" s="1"/>
  <c r="AS12" i="12"/>
  <c r="AS13" i="12" s="1"/>
  <c r="BA12" i="12"/>
  <c r="BI12" i="12"/>
  <c r="BI13" i="12" s="1"/>
  <c r="BQ12" i="12"/>
  <c r="BQ13" i="12" s="1"/>
  <c r="BY12" i="12"/>
  <c r="BY13" i="12" s="1"/>
  <c r="CG12" i="12"/>
  <c r="CG13" i="12" s="1"/>
  <c r="CF28" i="11"/>
  <c r="H12" i="12"/>
  <c r="H13" i="12" s="1"/>
  <c r="P12" i="12"/>
  <c r="P13" i="12" s="1"/>
  <c r="X12" i="12"/>
  <c r="AF12" i="12"/>
  <c r="AF13" i="12" s="1"/>
  <c r="AN12" i="12"/>
  <c r="AN13" i="12" s="1"/>
  <c r="AV12" i="12"/>
  <c r="AV13" i="12" s="1"/>
  <c r="BD12" i="12"/>
  <c r="BD13" i="12" s="1"/>
  <c r="BL12" i="12"/>
  <c r="BT12" i="12"/>
  <c r="BT13" i="12" s="1"/>
  <c r="CB12" i="12"/>
  <c r="CB13" i="12" s="1"/>
  <c r="CJ12" i="12"/>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A27" i="12" s="1"/>
  <c r="AI25" i="12"/>
  <c r="AI26" i="12" s="1"/>
  <c r="AI27" i="12" s="1"/>
  <c r="AQ25" i="12"/>
  <c r="AQ26" i="12" s="1"/>
  <c r="AQ27" i="12" s="1"/>
  <c r="AY25" i="12"/>
  <c r="AY26" i="12" s="1"/>
  <c r="AY27" i="12" s="1"/>
  <c r="BG25" i="12"/>
  <c r="BG26" i="12" s="1"/>
  <c r="BG27" i="12" s="1"/>
  <c r="BO25" i="12"/>
  <c r="BO26" i="12" s="1"/>
  <c r="BO27" i="12" s="1"/>
  <c r="BW25" i="12"/>
  <c r="BW26" i="12" s="1"/>
  <c r="BW27" i="12" s="1"/>
  <c r="CE25" i="12"/>
  <c r="CE26" i="12" s="1"/>
  <c r="CE27"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R28" i="10"/>
  <c r="BR8" i="10"/>
  <c r="BR9"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BC8" i="10"/>
  <c r="BK8" i="10"/>
  <c r="BK9" i="10"/>
  <c r="BS8" i="10"/>
  <c r="CI8"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BT8" i="10"/>
  <c r="CB9"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L32" i="10"/>
  <c r="BX8" i="10"/>
  <c r="BB28" i="10"/>
  <c r="BU8" i="10"/>
  <c r="CC8"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8" i="10"/>
  <c r="BJ28" i="10"/>
  <c r="BO9" i="10"/>
  <c r="BO8" i="10"/>
  <c r="BW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R74"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53" i="11" s="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AA54" i="11"/>
  <c r="AA55" i="11" s="1"/>
  <c r="AA2" i="9"/>
  <c r="W22" i="7"/>
  <c r="AI54" i="11"/>
  <c r="AI55" i="11" s="1"/>
  <c r="AI2" i="9"/>
  <c r="AQ54" i="11"/>
  <c r="AQ55" i="11" s="1"/>
  <c r="AQ2" i="9"/>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53" i="11" s="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53" i="11" s="1"/>
  <c r="BP7" i="9"/>
  <c r="BX52" i="11"/>
  <c r="BX53" i="11" s="1"/>
  <c r="BX7" i="9"/>
  <c r="CF52" i="11"/>
  <c r="CF53" i="11" s="1"/>
  <c r="CF7" i="9"/>
  <c r="J10" i="9"/>
  <c r="J89" i="5"/>
  <c r="R10" i="9"/>
  <c r="R78" i="9" s="1"/>
  <c r="R79" i="9" s="1"/>
  <c r="R89" i="5"/>
  <c r="Z10" i="9"/>
  <c r="Z89" i="5"/>
  <c r="AH10" i="9"/>
  <c r="AH34" i="9" s="1"/>
  <c r="AH89" i="5"/>
  <c r="AP10" i="9"/>
  <c r="AL34" i="9" s="1"/>
  <c r="AP89" i="5"/>
  <c r="AX10" i="9"/>
  <c r="AT34" i="9" s="1"/>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I16" i="9" s="1"/>
  <c r="BQ54" i="11"/>
  <c r="BQ55" i="11" s="1"/>
  <c r="BQ2" i="9"/>
  <c r="BQ16" i="9" s="1"/>
  <c r="BY54" i="11"/>
  <c r="BY55" i="11" s="1"/>
  <c r="BY2" i="9"/>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55" i="11" s="1"/>
  <c r="BZ2" i="9"/>
  <c r="BZ16" i="9" s="1"/>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53" i="11" s="1"/>
  <c r="BZ7" i="9"/>
  <c r="CH52" i="11"/>
  <c r="CH7" i="9"/>
  <c r="CD32" i="9" s="1"/>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55" i="11" s="1"/>
  <c r="CA2" i="9"/>
  <c r="CA16" i="9" s="1"/>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55" i="11" s="1"/>
  <c r="BT2" i="9"/>
  <c r="BT16" i="9" s="1"/>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BQ32" i="9" s="1"/>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G27" i="12" s="1"/>
  <c r="O25" i="12"/>
  <c r="O26" i="12" s="1"/>
  <c r="O27" i="12" s="1"/>
  <c r="W25" i="12"/>
  <c r="W26" i="12" s="1"/>
  <c r="W27" i="12" s="1"/>
  <c r="AE25" i="12"/>
  <c r="AE26" i="12" s="1"/>
  <c r="AE27" i="12" s="1"/>
  <c r="AM25" i="12"/>
  <c r="AM26" i="12" s="1"/>
  <c r="AM27" i="12" s="1"/>
  <c r="AU25" i="12"/>
  <c r="AU26" i="12" s="1"/>
  <c r="AU27" i="12" s="1"/>
  <c r="BC25" i="12"/>
  <c r="BC26" i="12" s="1"/>
  <c r="BC27" i="12" s="1"/>
  <c r="BK25" i="12"/>
  <c r="BK26" i="12" s="1"/>
  <c r="BK27" i="12" s="1"/>
  <c r="BS25" i="12"/>
  <c r="BS26" i="12" s="1"/>
  <c r="BS27" i="12" s="1"/>
  <c r="CA25" i="12"/>
  <c r="CA26" i="12" s="1"/>
  <c r="CA27" i="12" s="1"/>
  <c r="CI25" i="12"/>
  <c r="CI26" i="12" s="1"/>
  <c r="CI27" i="12" s="1"/>
  <c r="CI28" i="12" s="1"/>
  <c r="H25" i="12"/>
  <c r="H26" i="12" s="1"/>
  <c r="H27" i="12" s="1"/>
  <c r="P25" i="12"/>
  <c r="P26" i="12" s="1"/>
  <c r="P27" i="12" s="1"/>
  <c r="X25" i="12"/>
  <c r="X26" i="12" s="1"/>
  <c r="X27" i="12" s="1"/>
  <c r="AF25" i="12"/>
  <c r="AF26" i="12" s="1"/>
  <c r="AF27" i="12" s="1"/>
  <c r="AN25" i="12"/>
  <c r="AN26" i="12" s="1"/>
  <c r="AN27" i="12" s="1"/>
  <c r="AV25" i="12"/>
  <c r="AV26" i="12" s="1"/>
  <c r="AV27" i="12" s="1"/>
  <c r="BD25" i="12"/>
  <c r="BD26" i="12" s="1"/>
  <c r="BD27" i="12" s="1"/>
  <c r="BL25" i="12"/>
  <c r="BL26" i="12" s="1"/>
  <c r="BL27" i="12" s="1"/>
  <c r="BT25" i="12"/>
  <c r="BT26" i="12" s="1"/>
  <c r="BT27" i="12" s="1"/>
  <c r="CB25" i="12"/>
  <c r="CB26" i="12" s="1"/>
  <c r="CB27" i="12" s="1"/>
  <c r="CJ25" i="12"/>
  <c r="CJ26" i="12" s="1"/>
  <c r="CJ27" i="12" s="1"/>
  <c r="CJ28" i="12" s="1"/>
  <c r="J5" i="12"/>
  <c r="R5" i="12"/>
  <c r="Z5" i="12"/>
  <c r="AH5" i="12"/>
  <c r="AP5" i="12"/>
  <c r="AX5" i="12"/>
  <c r="BF5" i="12"/>
  <c r="BN5" i="12"/>
  <c r="BV5" i="12"/>
  <c r="CD5" i="12"/>
  <c r="CC25" i="12"/>
  <c r="CK25" i="12"/>
  <c r="CK26" i="12" s="1"/>
  <c r="CK27" i="12" s="1"/>
  <c r="CK28" i="12" s="1"/>
  <c r="J25" i="12"/>
  <c r="J26" i="12" s="1"/>
  <c r="J27" i="12" s="1"/>
  <c r="R25" i="12"/>
  <c r="R26" i="12" s="1"/>
  <c r="R27" i="12" s="1"/>
  <c r="Z25" i="12"/>
  <c r="Z26" i="12" s="1"/>
  <c r="Z27" i="12" s="1"/>
  <c r="AH25" i="12"/>
  <c r="AH26" i="12" s="1"/>
  <c r="AH27" i="12" s="1"/>
  <c r="AP25" i="12"/>
  <c r="AP26" i="12" s="1"/>
  <c r="AP27" i="12" s="1"/>
  <c r="AX25" i="12"/>
  <c r="AX26" i="12" s="1"/>
  <c r="AX27" i="12" s="1"/>
  <c r="BF25" i="12"/>
  <c r="BF26" i="12" s="1"/>
  <c r="BF27" i="12" s="1"/>
  <c r="BN25" i="12"/>
  <c r="BN26" i="12" s="1"/>
  <c r="BN27" i="12" s="1"/>
  <c r="BV25" i="12"/>
  <c r="BV26" i="12" s="1"/>
  <c r="BV27" i="12" s="1"/>
  <c r="CD25" i="12"/>
  <c r="CD26" i="12" s="1"/>
  <c r="CD27" i="12" s="1"/>
  <c r="L25" i="12"/>
  <c r="L26" i="12" s="1"/>
  <c r="L27" i="12" s="1"/>
  <c r="T25" i="12"/>
  <c r="T26" i="12" s="1"/>
  <c r="T27" i="12" s="1"/>
  <c r="AB25" i="12"/>
  <c r="AB26" i="12" s="1"/>
  <c r="AB27" i="12" s="1"/>
  <c r="AJ25" i="12"/>
  <c r="AJ26" i="12" s="1"/>
  <c r="AJ27" i="12" s="1"/>
  <c r="AR25" i="12"/>
  <c r="AR26" i="12" s="1"/>
  <c r="AR27" i="12" s="1"/>
  <c r="AZ25" i="12"/>
  <c r="AZ26" i="12" s="1"/>
  <c r="AZ27" i="12" s="1"/>
  <c r="BH25" i="12"/>
  <c r="BH26" i="12" s="1"/>
  <c r="BH27" i="12" s="1"/>
  <c r="BP25" i="12"/>
  <c r="BP26" i="12" s="1"/>
  <c r="BP27" i="12" s="1"/>
  <c r="BX25" i="12"/>
  <c r="BX26" i="12" s="1"/>
  <c r="BX27" i="12" s="1"/>
  <c r="CF25" i="12"/>
  <c r="CF26" i="12" s="1"/>
  <c r="CF27"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AQ13" i="12"/>
  <c r="BO13" i="12"/>
  <c r="AZ13" i="12"/>
  <c r="AC26" i="12"/>
  <c r="AC27" i="12" s="1"/>
  <c r="AC13" i="12"/>
  <c r="BA13" i="12"/>
  <c r="CK18" i="12"/>
  <c r="AE13" i="12"/>
  <c r="X13" i="12"/>
  <c r="BL13" i="12"/>
  <c r="CJ13" i="12"/>
  <c r="Y26" i="12"/>
  <c r="Y27" i="12" s="1"/>
  <c r="CC26" i="12"/>
  <c r="CC27" i="12" s="1"/>
  <c r="R13" i="12"/>
  <c r="Z13" i="12"/>
  <c r="AP13" i="12"/>
  <c r="BN13" i="12"/>
  <c r="CD13" i="12"/>
  <c r="G57" i="11"/>
  <c r="BS57" i="11"/>
  <c r="O57" i="11"/>
  <c r="CA57"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57"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AJ74" i="11" s="1"/>
  <c r="BV63" i="11"/>
  <c r="BV65" i="11" s="1"/>
  <c r="BV66" i="11" s="1"/>
  <c r="BR53" i="11"/>
  <c r="CH53" i="11"/>
  <c r="CF55" i="11"/>
  <c r="S57" i="11"/>
  <c r="AA57" i="11"/>
  <c r="AQ57" i="11"/>
  <c r="AY57" i="11"/>
  <c r="BG57" i="11"/>
  <c r="BO57" i="11"/>
  <c r="BW57" i="11"/>
  <c r="CE57" i="11"/>
  <c r="F63" i="11"/>
  <c r="F65" i="11" s="1"/>
  <c r="F66"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AD63" i="11"/>
  <c r="AD65" i="11" s="1"/>
  <c r="AD66" i="11" s="1"/>
  <c r="AX63" i="11"/>
  <c r="AX65" i="11" s="1"/>
  <c r="AX66" i="11" s="1"/>
  <c r="BU53"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CI27" i="9"/>
  <c r="CJ34" i="9"/>
  <c r="AO27" i="9"/>
  <c r="CK27" i="9"/>
  <c r="CJ27" i="9"/>
  <c r="CK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U32"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BX32"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BZ32" i="9"/>
  <c r="U34" i="9"/>
  <c r="AC34" i="9"/>
  <c r="AK34" i="9"/>
  <c r="AS34" i="9"/>
  <c r="BA34" i="9"/>
  <c r="BI34" i="9"/>
  <c r="BQ34" i="9"/>
  <c r="BY34" i="9"/>
  <c r="CG34" i="9"/>
  <c r="H36" i="9"/>
  <c r="P36" i="9"/>
  <c r="X36" i="9"/>
  <c r="AF36" i="9"/>
  <c r="AN36" i="9"/>
  <c r="AV36" i="9"/>
  <c r="BD36" i="9"/>
  <c r="BL36" i="9"/>
  <c r="BT36" i="9"/>
  <c r="CB36" i="9"/>
  <c r="CJ36" i="9"/>
  <c r="AQ16" i="9"/>
  <c r="I36" i="9"/>
  <c r="Q36" i="9"/>
  <c r="Y36" i="9"/>
  <c r="AG36" i="9"/>
  <c r="AO36" i="9"/>
  <c r="AW36" i="9"/>
  <c r="BE36" i="9"/>
  <c r="BM36" i="9"/>
  <c r="BU36" i="9"/>
  <c r="CC36" i="9"/>
  <c r="CK36" i="9"/>
  <c r="J36" i="9"/>
  <c r="R36" i="9"/>
  <c r="Z36" i="9"/>
  <c r="AH36" i="9"/>
  <c r="AP36" i="9"/>
  <c r="AX36" i="9"/>
  <c r="BF36" i="9"/>
  <c r="BN36" i="9"/>
  <c r="BV36" i="9"/>
  <c r="CD3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L36" i="9"/>
  <c r="T36" i="9"/>
  <c r="AB36" i="9"/>
  <c r="AJ36" i="9"/>
  <c r="AR36" i="9"/>
  <c r="AZ36" i="9"/>
  <c r="BH36" i="9"/>
  <c r="BP36" i="9"/>
  <c r="BX36" i="9"/>
  <c r="CF36" i="9"/>
  <c r="I23" i="7" l="1"/>
  <c r="O23" i="7"/>
  <c r="CC9" i="10"/>
  <c r="D11" i="13"/>
  <c r="D12" i="13" s="1"/>
  <c r="AX34" i="9"/>
  <c r="CA8" i="10"/>
  <c r="BV9" i="10"/>
  <c r="BM8" i="10"/>
  <c r="BH9" i="10"/>
  <c r="CG8" i="10"/>
  <c r="BJ9" i="10"/>
  <c r="BN74" i="11"/>
  <c r="BN75" i="11" s="1"/>
  <c r="CG74" i="11"/>
  <c r="CG75" i="11" s="1"/>
  <c r="BA9" i="10"/>
  <c r="BL9" i="10"/>
  <c r="AC8" i="10"/>
  <c r="AN9" i="10"/>
  <c r="BP9" i="10"/>
  <c r="BY25" i="9"/>
  <c r="V23" i="7"/>
  <c r="CH28" i="10"/>
  <c r="BS9" i="10"/>
  <c r="BQ9" i="10"/>
  <c r="AY9" i="10"/>
  <c r="BK32" i="9"/>
  <c r="BV32" i="9"/>
  <c r="BR32" i="9"/>
  <c r="BP32" i="9"/>
  <c r="CA32" i="9"/>
  <c r="BV25" i="9"/>
  <c r="BR25" i="9"/>
  <c r="CK16" i="9"/>
  <c r="AB32" i="9"/>
  <c r="B2" i="13"/>
  <c r="BL74" i="11"/>
  <c r="BL75" i="11" s="1"/>
  <c r="CC74" i="11"/>
  <c r="CC75" i="11" s="1"/>
  <c r="CE74" i="11"/>
  <c r="CE75" i="11" s="1"/>
  <c r="AZ74" i="11"/>
  <c r="AZ75" i="11" s="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BX75" i="11" s="1"/>
  <c r="AS74" i="11"/>
  <c r="AS75" i="11" s="1"/>
  <c r="BQ74" i="11"/>
  <c r="BQ75" i="11" s="1"/>
  <c r="BH74" i="11"/>
  <c r="BH75" i="11" s="1"/>
  <c r="AV74" i="11"/>
  <c r="AV75" i="11" s="1"/>
  <c r="CI74" i="11"/>
  <c r="CI75" i="11" s="1"/>
  <c r="BF74" i="11"/>
  <c r="BF75" i="11" s="1"/>
  <c r="AH74" i="11"/>
  <c r="AH75" i="11" s="1"/>
  <c r="R74" i="11"/>
  <c r="R75" i="11" s="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BZ75" i="11" s="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BX28" i="12"/>
  <c r="L28" i="12"/>
  <c r="AI8" i="10"/>
  <c r="AF9" i="10"/>
  <c r="AD9" i="10"/>
  <c r="L74" i="11"/>
  <c r="L75" i="11" s="1"/>
  <c r="U74" i="11"/>
  <c r="U75" i="11" s="1"/>
  <c r="AJ8" i="10"/>
  <c r="Y9" i="10"/>
  <c r="AH8" i="10"/>
  <c r="S9" i="10"/>
  <c r="W9" i="10"/>
  <c r="AI74" i="11"/>
  <c r="AI75" i="11" s="1"/>
  <c r="O74" i="11"/>
  <c r="O75" i="11" s="1"/>
  <c r="AD32" i="9"/>
  <c r="X32" i="9"/>
  <c r="I28" i="12"/>
  <c r="BU28" i="12"/>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U23" i="7"/>
  <c r="H23" i="7"/>
  <c r="P23" i="7"/>
  <c r="E13" i="7"/>
  <c r="F13" i="7"/>
  <c r="N13" i="7"/>
  <c r="F31" i="6"/>
  <c r="F32" i="6" s="1"/>
  <c r="F28" i="10"/>
  <c r="AJ75" i="11"/>
  <c r="AL31" i="6"/>
  <c r="AL32" i="6" s="1"/>
  <c r="N28" i="10"/>
  <c r="AL28" i="10"/>
  <c r="V28" i="10"/>
  <c r="V20" i="11"/>
  <c r="V21" i="11" s="1"/>
  <c r="H74" i="11"/>
  <c r="H75" i="11" s="1"/>
  <c r="AH25" i="9"/>
  <c r="AO25" i="9"/>
  <c r="G25" i="9"/>
  <c r="I24" i="9"/>
  <c r="M24" i="9"/>
  <c r="AW28" i="12"/>
  <c r="AO28" i="12"/>
  <c r="BM28" i="12"/>
  <c r="AZ28" i="12"/>
  <c r="O28" i="12"/>
  <c r="G28" i="12"/>
  <c r="I31" i="12"/>
  <c r="M31"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5" i="8" s="1"/>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29" i="9" s="1"/>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5" i="8" s="1"/>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5" i="8" s="1"/>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C39"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BP5" i="8" l="1"/>
  <c r="CH34" i="10"/>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AD31" i="10"/>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BE29" i="10"/>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BJ31" i="10" l="1"/>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11" i="11" s="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11" i="11" s="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8" i="11"/>
  <c r="BU7" i="11"/>
  <c r="BU9" i="9"/>
  <c r="BU10" i="8"/>
  <c r="BT10" i="11"/>
  <c r="BT8" i="11"/>
  <c r="BT7" i="11"/>
  <c r="BT9" i="9"/>
  <c r="BT10" i="8"/>
  <c r="E19" i="13"/>
  <c r="BR17" i="12" l="1"/>
  <c r="BR18" i="12" s="1"/>
  <c r="BJ16" i="6"/>
  <c r="BJ17" i="6" s="1"/>
  <c r="BJ18" i="6" s="1"/>
  <c r="AT11" i="11"/>
  <c r="BJ36" i="6"/>
  <c r="BJ37" i="6" s="1"/>
  <c r="BU11" i="11"/>
  <c r="CH2" i="11"/>
  <c r="CH4" i="11" s="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48" i="10" s="1"/>
  <c r="AB63" i="10"/>
  <c r="AB64" i="10" s="1"/>
  <c r="AZ42" i="10"/>
  <c r="P43" i="6"/>
  <c r="P48" i="10" s="1"/>
  <c r="P63" i="10"/>
  <c r="P64" i="10" s="1"/>
  <c r="G43" i="6"/>
  <c r="G48" i="10" s="1"/>
  <c r="G63" i="10"/>
  <c r="G64" i="10" s="1"/>
  <c r="M64" i="10"/>
  <c r="U43" i="6"/>
  <c r="U48" i="10" s="1"/>
  <c r="U63" i="10"/>
  <c r="U64" i="10" s="1"/>
  <c r="Y43" i="6"/>
  <c r="Y48" i="10" s="1"/>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48" i="10" s="1"/>
  <c r="H63" i="10"/>
  <c r="H64" i="10" s="1"/>
  <c r="AA43" i="6"/>
  <c r="AA48" i="10" s="1"/>
  <c r="AA63" i="10"/>
  <c r="AA64" i="10" s="1"/>
  <c r="K43" i="6"/>
  <c r="K48" i="10" s="1"/>
  <c r="K63" i="10"/>
  <c r="K64" i="10" s="1"/>
  <c r="S43" i="6"/>
  <c r="S48" i="10" s="1"/>
  <c r="S63" i="10"/>
  <c r="S64" i="10" s="1"/>
  <c r="I64" i="10"/>
  <c r="L43" i="6"/>
  <c r="L48" i="10" s="1"/>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AT9" i="8" s="1"/>
  <c r="BB41" i="10"/>
  <c r="BR16" i="6"/>
  <c r="BR17" i="6" s="1"/>
  <c r="BR18" i="6" s="1"/>
  <c r="N47" i="6"/>
  <c r="N5" i="11" s="1"/>
  <c r="BR28" i="6"/>
  <c r="BR29" i="6" s="1"/>
  <c r="BR32" i="11" s="1"/>
  <c r="BR44" i="11" s="1"/>
  <c r="BN11" i="11"/>
  <c r="N47" i="10"/>
  <c r="BB47" i="6"/>
  <c r="BB5" i="11" s="1"/>
  <c r="N2" i="11"/>
  <c r="N12" i="11" s="1"/>
  <c r="N14" i="11" s="1"/>
  <c r="N9" i="8" s="1"/>
  <c r="BP11" i="11"/>
  <c r="AL11" i="11"/>
  <c r="N11" i="11"/>
  <c r="N17" i="12"/>
  <c r="N18" i="12" s="1"/>
  <c r="BB47" i="10"/>
  <c r="BL42" i="10"/>
  <c r="AL42" i="10"/>
  <c r="BO11" i="11"/>
  <c r="BR47" i="6"/>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9" i="8"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L17" i="12"/>
  <c r="L18" i="12" s="1"/>
  <c r="L2" i="11"/>
  <c r="L47"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AL13" i="11"/>
  <c r="AL12" i="11"/>
  <c r="AL14" i="11" s="1"/>
  <c r="AL9" i="8"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BJ15" i="12"/>
  <c r="BJ16" i="12" s="1"/>
  <c r="BJ23" i="10"/>
  <c r="BJ24" i="10" s="1"/>
  <c r="BJ33" i="6"/>
  <c r="BJ34" i="6"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BR5" i="11"/>
  <c r="BR50" i="10"/>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BJ50"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V33" i="6" l="1"/>
  <c r="V34" i="6" s="1"/>
  <c r="BZ49" i="10"/>
  <c r="BY49" i="10"/>
  <c r="AP49" i="10"/>
  <c r="J49" i="10"/>
  <c r="AT13" i="11"/>
  <c r="BB4" i="11"/>
  <c r="CH23" i="10"/>
  <c r="CH24" i="10" s="1"/>
  <c r="BB12" i="11"/>
  <c r="BB14" i="11" s="1"/>
  <c r="BB9" i="8" s="1"/>
  <c r="BB13" i="8" s="1"/>
  <c r="CH15" i="12"/>
  <c r="CH16" i="12" s="1"/>
  <c r="AL33" i="6"/>
  <c r="AL34" i="6" s="1"/>
  <c r="AT15" i="12"/>
  <c r="AT16" i="12" s="1"/>
  <c r="BJ4" i="11"/>
  <c r="AL23" i="10"/>
  <c r="AL24" i="10" s="1"/>
  <c r="BJ12" i="11"/>
  <c r="BJ14" i="11" s="1"/>
  <c r="BJ9" i="8" s="1"/>
  <c r="BJ13" i="8" s="1"/>
  <c r="BF49" i="10"/>
  <c r="AT33" i="6"/>
  <c r="AT34" i="6" s="1"/>
  <c r="AT23" i="10"/>
  <c r="AT24" i="10" s="1"/>
  <c r="BC49" i="10"/>
  <c r="AT50" i="10"/>
  <c r="BW49" i="10"/>
  <c r="N33" i="6"/>
  <c r="N34" i="6" s="1"/>
  <c r="BQ49" i="10"/>
  <c r="AX49" i="10"/>
  <c r="N23" i="10"/>
  <c r="N24" i="10" s="1"/>
  <c r="N15" i="12"/>
  <c r="N16" i="12" s="1"/>
  <c r="AL13" i="8"/>
  <c r="F59" i="9"/>
  <c r="V24" i="10"/>
  <c r="V56" i="10"/>
  <c r="V57" i="10" s="1"/>
  <c r="G62" i="9"/>
  <c r="S62" i="9"/>
  <c r="P84" i="9"/>
  <c r="N13" i="8"/>
  <c r="S84" i="9"/>
  <c r="N84" i="9"/>
  <c r="K74" i="9"/>
  <c r="K85" i="9"/>
  <c r="K80" i="9" s="1"/>
  <c r="I71" i="9"/>
  <c r="I82" i="9"/>
  <c r="I83" i="9" s="1"/>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9" i="8"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9" i="8" s="1"/>
  <c r="V13" i="8" s="1"/>
  <c r="F50" i="10"/>
  <c r="AD23" i="10"/>
  <c r="AD24" i="10" s="1"/>
  <c r="AU49" i="10"/>
  <c r="R49" i="10"/>
  <c r="V4" i="11"/>
  <c r="AY49" i="10"/>
  <c r="BA49" i="10"/>
  <c r="F23" i="10"/>
  <c r="F4" i="11"/>
  <c r="F15" i="12"/>
  <c r="F16" i="12" s="1"/>
  <c r="F12" i="11"/>
  <c r="F14" i="11" s="1"/>
  <c r="F9" i="8"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9" i="8" s="1"/>
  <c r="BV13" i="8" s="1"/>
  <c r="BV4" i="11"/>
  <c r="BV13" i="11"/>
  <c r="AE15" i="12"/>
  <c r="AE16" i="12" s="1"/>
  <c r="AE23" i="10"/>
  <c r="AE24" i="10" s="1"/>
  <c r="AE33" i="6"/>
  <c r="AE34" i="6" s="1"/>
  <c r="BN12" i="11"/>
  <c r="BN14" i="11" s="1"/>
  <c r="BN9" i="8" s="1"/>
  <c r="BN13" i="8" s="1"/>
  <c r="BN4" i="11"/>
  <c r="BN13" i="11"/>
  <c r="AQ49" i="10"/>
  <c r="BC15" i="12"/>
  <c r="BC16" i="12" s="1"/>
  <c r="BC23" i="10"/>
  <c r="BC24" i="10" s="1"/>
  <c r="BC33" i="6"/>
  <c r="BC34" i="6" s="1"/>
  <c r="AE12" i="11"/>
  <c r="AE14" i="11" s="1"/>
  <c r="AE9" i="8" s="1"/>
  <c r="AE13" i="8" s="1"/>
  <c r="AE13" i="11"/>
  <c r="AE4" i="11"/>
  <c r="BD50" i="10"/>
  <c r="BD5" i="11"/>
  <c r="CA15" i="12"/>
  <c r="CA16" i="12" s="1"/>
  <c r="CA23" i="10"/>
  <c r="CA24" i="10" s="1"/>
  <c r="CA33" i="6"/>
  <c r="CA34" i="6" s="1"/>
  <c r="W12" i="11"/>
  <c r="W14" i="11" s="1"/>
  <c r="W9" i="8" s="1"/>
  <c r="W13" i="8" s="1"/>
  <c r="W13" i="11"/>
  <c r="W4" i="11"/>
  <c r="AM5" i="11"/>
  <c r="AM50" i="10"/>
  <c r="BI13" i="11"/>
  <c r="BI12" i="11"/>
  <c r="BI14" i="11" s="1"/>
  <c r="BI9" i="8" s="1"/>
  <c r="BI13" i="8" s="1"/>
  <c r="BI4" i="11"/>
  <c r="T49" i="10"/>
  <c r="CJ15" i="12"/>
  <c r="CJ16" i="12" s="1"/>
  <c r="CJ23" i="10"/>
  <c r="CJ24" i="10" s="1"/>
  <c r="CJ33" i="6"/>
  <c r="CJ34" i="6" s="1"/>
  <c r="AR13" i="11"/>
  <c r="AR12" i="11"/>
  <c r="AR14" i="11" s="1"/>
  <c r="AR9" i="8"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9" i="8" s="1"/>
  <c r="BE13" i="8" s="1"/>
  <c r="BE4" i="11"/>
  <c r="BE13" i="11"/>
  <c r="AP12" i="11"/>
  <c r="AP14" i="11" s="1"/>
  <c r="AP9" i="8"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9" i="8" s="1"/>
  <c r="J13" i="8" s="1"/>
  <c r="J13" i="11"/>
  <c r="J4" i="11"/>
  <c r="BH13" i="11"/>
  <c r="BH12" i="11"/>
  <c r="BH14" i="11" s="1"/>
  <c r="BH9" i="8" s="1"/>
  <c r="BH13" i="8" s="1"/>
  <c r="BH4" i="11"/>
  <c r="BY5" i="11"/>
  <c r="BY50" i="10"/>
  <c r="AX12" i="11"/>
  <c r="AX14" i="11" s="1"/>
  <c r="AX9" i="8" s="1"/>
  <c r="AX13" i="8" s="1"/>
  <c r="AX4" i="11"/>
  <c r="AX13" i="11"/>
  <c r="AU15" i="12"/>
  <c r="AU16" i="12" s="1"/>
  <c r="AU23" i="10"/>
  <c r="AU24" i="10" s="1"/>
  <c r="AU33" i="6"/>
  <c r="AU34" i="6" s="1"/>
  <c r="L5" i="11"/>
  <c r="L50" i="10"/>
  <c r="P15" i="12"/>
  <c r="P16" i="12" s="1"/>
  <c r="P23" i="10"/>
  <c r="P33" i="6"/>
  <c r="P34" i="6" s="1"/>
  <c r="T13" i="11"/>
  <c r="T12" i="11"/>
  <c r="T14" i="11" s="1"/>
  <c r="T9" i="8" s="1"/>
  <c r="T13" i="8" s="1"/>
  <c r="T4" i="11"/>
  <c r="AH15" i="12"/>
  <c r="AH16" i="12" s="1"/>
  <c r="AH23" i="10"/>
  <c r="AH24" i="10" s="1"/>
  <c r="AH33" i="6"/>
  <c r="AH34" i="6" s="1"/>
  <c r="BT50" i="10"/>
  <c r="BT5" i="11"/>
  <c r="P12" i="11"/>
  <c r="P14" i="11" s="1"/>
  <c r="P9" i="8" s="1"/>
  <c r="P13" i="8" s="1"/>
  <c r="P13" i="11"/>
  <c r="P4" i="11"/>
  <c r="AH50" i="10"/>
  <c r="AH5" i="11"/>
  <c r="CE4" i="11"/>
  <c r="CE13" i="11"/>
  <c r="CE12" i="11"/>
  <c r="CE14" i="11" s="1"/>
  <c r="BS5" i="11"/>
  <c r="BS50" i="10"/>
  <c r="R12" i="11"/>
  <c r="R14" i="11" s="1"/>
  <c r="R9" i="8" s="1"/>
  <c r="R13" i="8" s="1"/>
  <c r="R13" i="11"/>
  <c r="R4" i="11"/>
  <c r="BU15" i="12"/>
  <c r="BU16" i="12" s="1"/>
  <c r="BU23" i="10"/>
  <c r="BU24" i="10" s="1"/>
  <c r="BU33" i="6"/>
  <c r="BU34" i="6" s="1"/>
  <c r="AC5" i="11"/>
  <c r="AC50" i="10"/>
  <c r="Z12" i="11"/>
  <c r="Z14" i="11" s="1"/>
  <c r="Z9" i="8" s="1"/>
  <c r="Z13" i="8" s="1"/>
  <c r="Z13" i="11"/>
  <c r="Z4" i="11"/>
  <c r="BL12" i="11"/>
  <c r="BL14" i="11" s="1"/>
  <c r="BL9" i="8" s="1"/>
  <c r="BL13" i="8" s="1"/>
  <c r="BL4" i="11"/>
  <c r="BL13" i="11"/>
  <c r="AG50" i="10"/>
  <c r="AG5" i="11"/>
  <c r="AO49" i="10"/>
  <c r="AQ13" i="11"/>
  <c r="AQ12" i="11"/>
  <c r="AQ14" i="11" s="1"/>
  <c r="AQ9" i="8" s="1"/>
  <c r="AQ13" i="8" s="1"/>
  <c r="AQ4" i="11"/>
  <c r="AF12" i="11"/>
  <c r="AF14" i="11" s="1"/>
  <c r="AF9" i="8" s="1"/>
  <c r="AF13" i="8" s="1"/>
  <c r="AF13" i="11"/>
  <c r="AF4" i="11"/>
  <c r="I50" i="10"/>
  <c r="I5" i="11"/>
  <c r="BD12" i="11"/>
  <c r="BD14" i="11" s="1"/>
  <c r="BD9" i="8"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9" i="8" s="1"/>
  <c r="U13" i="8" s="1"/>
  <c r="U4" i="11"/>
  <c r="BP5" i="11"/>
  <c r="BP50" i="10"/>
  <c r="AS13" i="11"/>
  <c r="AS12" i="11"/>
  <c r="AS14" i="11" s="1"/>
  <c r="AS9" i="8" s="1"/>
  <c r="AS13" i="8" s="1"/>
  <c r="AS4" i="11"/>
  <c r="AM49" i="10"/>
  <c r="AZ5" i="11"/>
  <c r="AZ50" i="10"/>
  <c r="CI12" i="11"/>
  <c r="CI14" i="11" s="1"/>
  <c r="CI4" i="11"/>
  <c r="CI13" i="11"/>
  <c r="AB15" i="12"/>
  <c r="AB16" i="12" s="1"/>
  <c r="AB23" i="10"/>
  <c r="AB33" i="6"/>
  <c r="AB34" i="6" s="1"/>
  <c r="Q50" i="10"/>
  <c r="Q5" i="11"/>
  <c r="E5" i="11"/>
  <c r="E50" i="10"/>
  <c r="BQ13" i="11"/>
  <c r="BQ12" i="11"/>
  <c r="BQ14" i="11" s="1"/>
  <c r="BQ9" i="8" s="1"/>
  <c r="BQ13" i="8" s="1"/>
  <c r="BQ4" i="11"/>
  <c r="AY4" i="11"/>
  <c r="AY13" i="11"/>
  <c r="AY12" i="11"/>
  <c r="AY14" i="11" s="1"/>
  <c r="AY9" i="8"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9" i="8"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9" i="8" s="1"/>
  <c r="AM13" i="8" s="1"/>
  <c r="AM13" i="11"/>
  <c r="AM4" i="11"/>
  <c r="Q15" i="12"/>
  <c r="Q16" i="12" s="1"/>
  <c r="Q23" i="10"/>
  <c r="Q33" i="6"/>
  <c r="Q34" i="6" s="1"/>
  <c r="E15" i="12"/>
  <c r="E16" i="12" s="1"/>
  <c r="E23" i="10"/>
  <c r="E33" i="6"/>
  <c r="E34" i="6" s="1"/>
  <c r="D18" i="6"/>
  <c r="D33" i="6"/>
  <c r="D34" i="6" s="1"/>
  <c r="BO4" i="11"/>
  <c r="BO13" i="11"/>
  <c r="BO12" i="11"/>
  <c r="BO14" i="11" s="1"/>
  <c r="BO9" i="8" s="1"/>
  <c r="BO13" i="8" s="1"/>
  <c r="Q49" i="10"/>
  <c r="AH12" i="11"/>
  <c r="AH14" i="11" s="1"/>
  <c r="AH9" i="8" s="1"/>
  <c r="AH13" i="8" s="1"/>
  <c r="AH13" i="11"/>
  <c r="AH4" i="11"/>
  <c r="AC15" i="12"/>
  <c r="AC16" i="12" s="1"/>
  <c r="AC23" i="10"/>
  <c r="AC33" i="6"/>
  <c r="AC34" i="6" s="1"/>
  <c r="K49" i="10"/>
  <c r="BI15" i="12"/>
  <c r="BI16" i="12" s="1"/>
  <c r="BI23" i="10"/>
  <c r="BI24" i="10" s="1"/>
  <c r="BI33" i="6"/>
  <c r="BI34" i="6" s="1"/>
  <c r="BS49" i="10"/>
  <c r="AA50" i="10"/>
  <c r="AA5" i="11"/>
  <c r="AB13" i="11"/>
  <c r="AB12" i="11"/>
  <c r="AB14" i="11" s="1"/>
  <c r="AB9" i="8" s="1"/>
  <c r="AB13" i="8" s="1"/>
  <c r="AB4" i="11"/>
  <c r="BX13" i="11"/>
  <c r="BX12" i="11"/>
  <c r="BX14" i="11" s="1"/>
  <c r="BX4" i="11"/>
  <c r="M5" i="11"/>
  <c r="M50" i="10"/>
  <c r="BT15" i="12"/>
  <c r="BT16" i="12" s="1"/>
  <c r="BT23" i="10"/>
  <c r="BT24" i="10" s="1"/>
  <c r="BT33" i="6"/>
  <c r="BT34" i="6" s="1"/>
  <c r="BA5" i="11"/>
  <c r="BA50" i="10"/>
  <c r="AV12" i="11"/>
  <c r="AV14" i="11" s="1"/>
  <c r="AV9" i="8" s="1"/>
  <c r="AV13" i="8" s="1"/>
  <c r="AV4" i="11"/>
  <c r="AV13" i="11"/>
  <c r="BC5" i="11"/>
  <c r="BC50" i="10"/>
  <c r="AN12" i="11"/>
  <c r="AN14" i="11" s="1"/>
  <c r="AN9" i="8" s="1"/>
  <c r="AN13" i="8" s="1"/>
  <c r="AN13" i="11"/>
  <c r="AN4" i="11"/>
  <c r="BU50" i="10"/>
  <c r="BU5" i="11"/>
  <c r="BG50" i="10"/>
  <c r="BG5" i="11"/>
  <c r="AG12" i="11"/>
  <c r="AG14" i="11" s="1"/>
  <c r="AG9" i="8"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9" i="8"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9" i="8" s="1"/>
  <c r="Y13" i="8" s="1"/>
  <c r="Y13" i="11"/>
  <c r="Y4" i="11"/>
  <c r="L13" i="11"/>
  <c r="L12" i="11"/>
  <c r="L14" i="11" s="1"/>
  <c r="L9" i="8" s="1"/>
  <c r="L13" i="8" s="1"/>
  <c r="L4" i="11"/>
  <c r="BW50" i="10"/>
  <c r="BW5" i="11"/>
  <c r="AZ49" i="10"/>
  <c r="G5" i="11"/>
  <c r="G50" i="10"/>
  <c r="BT12" i="11"/>
  <c r="BT14" i="11" s="1"/>
  <c r="BT9" i="8" s="1"/>
  <c r="BT13" i="8" s="1"/>
  <c r="BT4" i="11"/>
  <c r="BT13" i="11"/>
  <c r="Q12" i="11"/>
  <c r="Q14" i="11" s="1"/>
  <c r="Q9" i="8" s="1"/>
  <c r="Q13" i="8" s="1"/>
  <c r="Q13" i="11"/>
  <c r="Q4" i="11"/>
  <c r="E49" i="10"/>
  <c r="CF5" i="11"/>
  <c r="CF50" i="10"/>
  <c r="Z15" i="12"/>
  <c r="Z16" i="12" s="1"/>
  <c r="Z23" i="10"/>
  <c r="Z33" i="6"/>
  <c r="Z34" i="6" s="1"/>
  <c r="K13" i="11"/>
  <c r="K12" i="11"/>
  <c r="K14" i="11" s="1"/>
  <c r="K9" i="8" s="1"/>
  <c r="K13" i="8" s="1"/>
  <c r="K4" i="11"/>
  <c r="BS12" i="11"/>
  <c r="BS14" i="11" s="1"/>
  <c r="BS9" i="8" s="1"/>
  <c r="BS13" i="8" s="1"/>
  <c r="BS4" i="11"/>
  <c r="BS13" i="11"/>
  <c r="BR49" i="10"/>
  <c r="AC13" i="11"/>
  <c r="AC12" i="11"/>
  <c r="AC14" i="11" s="1"/>
  <c r="AC9" i="8" s="1"/>
  <c r="AC13" i="8" s="1"/>
  <c r="AC4" i="11"/>
  <c r="AJ49" i="10"/>
  <c r="H50" i="10"/>
  <c r="H5" i="11"/>
  <c r="BU49" i="10"/>
  <c r="S13" i="11"/>
  <c r="S12" i="11"/>
  <c r="S14" i="11" s="1"/>
  <c r="S9" i="8"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9" i="8" s="1"/>
  <c r="O13" i="8" s="1"/>
  <c r="O13" i="11"/>
  <c r="O4" i="11"/>
  <c r="BP13" i="11"/>
  <c r="BP12" i="11"/>
  <c r="BP14" i="11" s="1"/>
  <c r="BP9" i="8"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9" i="8"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9" i="8" s="1"/>
  <c r="AJ13" i="8" s="1"/>
  <c r="AJ4" i="11"/>
  <c r="BU12" i="11"/>
  <c r="BU14" i="11" s="1"/>
  <c r="BU9" i="8" s="1"/>
  <c r="BU13" i="8" s="1"/>
  <c r="BU4" i="11"/>
  <c r="BU13" i="11"/>
  <c r="BG49" i="10"/>
  <c r="CF15" i="12"/>
  <c r="CF16" i="12" s="1"/>
  <c r="CF23" i="10"/>
  <c r="CF24" i="10" s="1"/>
  <c r="CF33" i="6"/>
  <c r="CF34" i="6" s="1"/>
  <c r="CA12" i="11"/>
  <c r="CA14" i="11" s="1"/>
  <c r="CA4" i="11"/>
  <c r="CA13" i="11"/>
  <c r="CG13" i="11"/>
  <c r="CG12" i="11"/>
  <c r="CG14" i="11" s="1"/>
  <c r="CG4" i="11"/>
  <c r="AK49" i="10"/>
  <c r="AU12" i="11"/>
  <c r="AU14" i="11" s="1"/>
  <c r="AU9" i="8" s="1"/>
  <c r="AU13" i="8" s="1"/>
  <c r="AU4" i="11"/>
  <c r="AU13" i="11"/>
  <c r="BN50" i="10"/>
  <c r="BN5" i="11"/>
  <c r="AU5" i="11"/>
  <c r="AU50" i="10"/>
  <c r="CB12" i="11"/>
  <c r="CB14" i="11" s="1"/>
  <c r="CB4" i="11"/>
  <c r="CB13" i="11"/>
  <c r="X12" i="11"/>
  <c r="X14" i="11" s="1"/>
  <c r="X9" i="8" s="1"/>
  <c r="X13" i="8" s="1"/>
  <c r="X13" i="11"/>
  <c r="X4" i="11"/>
  <c r="BH5" i="11"/>
  <c r="BH50" i="10"/>
  <c r="AI15" i="12"/>
  <c r="AI16" i="12" s="1"/>
  <c r="AI23" i="10"/>
  <c r="AI24" i="10" s="1"/>
  <c r="AI33" i="6"/>
  <c r="AI34" i="6" s="1"/>
  <c r="BK12" i="11"/>
  <c r="BK14" i="11" s="1"/>
  <c r="BK9" i="8"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9" i="8" s="1"/>
  <c r="AA13" i="8" s="1"/>
  <c r="AA4" i="11"/>
  <c r="AJ15" i="12"/>
  <c r="AJ16" i="12" s="1"/>
  <c r="AJ23" i="10"/>
  <c r="AJ24" i="10" s="1"/>
  <c r="AJ33" i="6"/>
  <c r="AJ34" i="6" s="1"/>
  <c r="H15" i="12"/>
  <c r="H16" i="12" s="1"/>
  <c r="H23" i="10"/>
  <c r="H33" i="6"/>
  <c r="H34" i="6" s="1"/>
  <c r="M13" i="11"/>
  <c r="M12" i="11"/>
  <c r="M14" i="11" s="1"/>
  <c r="M9" i="8" s="1"/>
  <c r="M13" i="8" s="1"/>
  <c r="M4" i="11"/>
  <c r="CD50" i="10"/>
  <c r="CD5" i="11"/>
  <c r="AZ15" i="12"/>
  <c r="AZ16" i="12" s="1"/>
  <c r="AZ23" i="10"/>
  <c r="AZ24" i="10" s="1"/>
  <c r="AZ33" i="6"/>
  <c r="AZ34" i="6" s="1"/>
  <c r="CI15" i="12"/>
  <c r="CI16" i="12" s="1"/>
  <c r="CI23" i="10"/>
  <c r="CI24" i="10" s="1"/>
  <c r="CI33" i="6"/>
  <c r="CI34" i="6" s="1"/>
  <c r="BA13" i="11"/>
  <c r="BA12" i="11"/>
  <c r="BA14" i="11" s="1"/>
  <c r="BA9" i="8" s="1"/>
  <c r="BA13" i="8" s="1"/>
  <c r="BA4" i="11"/>
  <c r="AW49" i="10"/>
  <c r="H49" i="10"/>
  <c r="BC12" i="11"/>
  <c r="BC14" i="11" s="1"/>
  <c r="BC9" i="8" s="1"/>
  <c r="BC13" i="8" s="1"/>
  <c r="BC4" i="11"/>
  <c r="BC13" i="11"/>
  <c r="BE50" i="10"/>
  <c r="BE5" i="11"/>
  <c r="AP50" i="10"/>
  <c r="AP5" i="11"/>
  <c r="BG4" i="11"/>
  <c r="BG13" i="11"/>
  <c r="BG12" i="11"/>
  <c r="BG14" i="11" s="1"/>
  <c r="BG9" i="8" s="1"/>
  <c r="BG13" i="8" s="1"/>
  <c r="K15" i="12"/>
  <c r="K16" i="12" s="1"/>
  <c r="K23" i="10"/>
  <c r="K33" i="6"/>
  <c r="K34" i="6" s="1"/>
  <c r="AK13" i="11"/>
  <c r="AK12" i="11"/>
  <c r="AK14" i="11" s="1"/>
  <c r="AK9" i="8"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9" i="8" s="1"/>
  <c r="AI13" i="8" s="1"/>
  <c r="AI4" i="11"/>
  <c r="AE49" i="10"/>
  <c r="J50" i="10"/>
  <c r="J5" i="11"/>
  <c r="BM12" i="11"/>
  <c r="BM14" i="11" s="1"/>
  <c r="BM9" i="8"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9" i="8" s="1"/>
  <c r="BF13" i="8" s="1"/>
  <c r="BF4" i="11"/>
  <c r="BF13" i="11"/>
  <c r="BD15" i="12"/>
  <c r="BD16" i="12" s="1"/>
  <c r="BD23" i="10"/>
  <c r="BD24" i="10" s="1"/>
  <c r="BD33" i="6"/>
  <c r="BD34" i="6" s="1"/>
  <c r="BI49" i="10"/>
  <c r="BF15" i="12"/>
  <c r="BF16" i="12" s="1"/>
  <c r="BF23" i="10"/>
  <c r="BF24" i="10" s="1"/>
  <c r="BF33" i="6"/>
  <c r="BF34" i="6" s="1"/>
  <c r="CI5" i="11"/>
  <c r="CI50" i="10"/>
  <c r="G12" i="11"/>
  <c r="G14" i="11" s="1"/>
  <c r="G9" i="8" s="1"/>
  <c r="G13" i="8"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9" i="8" s="1"/>
  <c r="AW13" i="8" s="1"/>
  <c r="AW4" i="11"/>
  <c r="AW13" i="11"/>
  <c r="BL50" i="10"/>
  <c r="BL5" i="11"/>
  <c r="H12" i="11"/>
  <c r="H14" i="11" s="1"/>
  <c r="H9" i="8"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9" i="8"/>
  <c r="E13" i="8" s="1"/>
  <c r="E16" i="8"/>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B4" i="13" l="1"/>
  <c r="D8" i="13" s="1"/>
  <c r="D9" i="13" s="1"/>
  <c r="F1" i="13"/>
  <c r="M39" i="13"/>
  <c r="I19" i="13"/>
  <c r="B5" i="13" l="1"/>
  <c r="B9" i="13" s="1"/>
  <c r="B11" i="13" s="1"/>
  <c r="B13" i="13" s="1"/>
  <c r="B20" i="13"/>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<sst xmlns="http://schemas.openxmlformats.org/spreadsheetml/2006/main" count="919" uniqueCount="753">
  <si>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</si>
  <si>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</si>
  <si>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</si>
  <si>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</si>
  <si>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</si>
  <si>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</si>
  <si>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</si>
  <si>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</si>
  <si>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</si>
  <si>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</si>
  <si>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</si>
  <si>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</si>
  <si>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</si>
  <si>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</si>
  <si>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</si>
  <si>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</si>
  <si>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</si>
  <si>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</si>
  <si>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</si>
  <si>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</si>
  <si>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</si>
  <si>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</si>
  <si>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</si>
  <si>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</si>
  <si>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</si>
  <si>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</si>
  <si>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</si>
  <si>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</si>
  <si>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</si>
  <si>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</si>
  <si>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</si>
  <si>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</si>
  <si>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</si>
  <si>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</si>
  <si>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</si>
  <si>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</si>
  <si>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</si>
  <si>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</si>
  <si>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</si>
  <si>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</si>
  <si>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</si>
  <si>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</si>
  <si>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</si>
  <si>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</si>
  <si>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</si>
  <si>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</si>
  <si>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</si>
  <si>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</si>
  <si>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</si>
  <si>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</si>
  <si>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</si>
  <si>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</si>
  <si>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</si>
  <si>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</si>
  <si>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</si>
  <si>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</si>
  <si>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</si>
  <si>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</si>
  <si>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</si>
  <si>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</si>
  <si>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</si>
  <si>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</si>
  <si>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</si>
  <si>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</si>
  <si>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</si>
  <si>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</si>
  <si>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</si>
  <si>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</si>
  <si>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</si>
  <si>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</si>
  <si>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</si>
  <si>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</si>
  <si>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</si>
  <si>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</si>
  <si>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</si>
  <si>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</si>
  <si>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</si>
  <si>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</si>
  <si>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</si>
  <si>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</si>
  <si>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</si>
  <si>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</si>
  <si>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</si>
  <si>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</si>
  <si>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</si>
  <si>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</si>
  <si>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</si>
  <si>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</si>
  <si>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</si>
  <si>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</si>
  <si>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</si>
  <si>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</si>
  <si>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</si>
  <si>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</si>
  <si>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</si>
  <si>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</si>
  <si>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</si>
  <si>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</si>
  <si>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</si>
  <si>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</si>
  <si>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</si>
  <si>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</si>
  <si>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</si>
  <si>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</si>
  <si>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</si>
  <si>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</si>
  <si>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</si>
  <si>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</si>
  <si>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</si>
  <si>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</si>
  <si>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</si>
  <si>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</si>
  <si>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</si>
  <si>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</si>
  <si>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</si>
  <si>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</si>
  <si>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</si>
  <si>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</si>
  <si>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</si>
  <si>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</si>
  <si>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</si>
  <si>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</si>
  <si>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</si>
  <si>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</si>
  <si>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</si>
  <si>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</si>
  <si>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</si>
  <si>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</si>
  <si>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</si>
  <si>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</si>
  <si>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</si>
  <si>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</si>
  <si>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</si>
  <si>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</si>
  <si>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</si>
  <si>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</si>
  <si>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</si>
  <si>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</si>
  <si>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</si>
  <si>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</si>
  <si>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</si>
  <si>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</si>
  <si>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</si>
  <si>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</si>
  <si>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</si>
  <si>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</si>
  <si>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</si>
  <si>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</si>
  <si>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</si>
  <si>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</si>
  <si>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</si>
  <si>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</si>
  <si>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</si>
  <si>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</si>
  <si>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</si>
  <si>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</si>
  <si>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</si>
  <si>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</si>
  <si>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</si>
  <si>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</si>
  <si>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</si>
  <si>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</si>
  <si>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</si>
  <si>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</si>
  <si>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</si>
  <si>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</si>
  <si>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</si>
  <si>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</si>
  <si>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</si>
  <si>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</si>
  <si>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</si>
  <si>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</si>
  <si>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</si>
  <si>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</si>
  <si>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</si>
  <si>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</si>
  <si>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</si>
  <si>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</si>
  <si>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</si>
  <si>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</si>
  <si>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</si>
  <si>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</si>
  <si>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</si>
  <si>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</si>
  <si>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</si>
  <si>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</si>
  <si>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</si>
  <si>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</si>
  <si>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</si>
  <si>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</si>
  <si>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</si>
  <si>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</si>
  <si>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</si>
  <si>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</si>
  <si>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</si>
  <si>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</si>
  <si>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</si>
  <si>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</si>
  <si>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</si>
  <si>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</si>
  <si>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</si>
  <si>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</si>
  <si>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</si>
  <si>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</si>
  <si>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</si>
  <si>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</si>
  <si>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</si>
  <si>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</si>
  <si>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</si>
  <si>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</si>
  <si>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</si>
  <si>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</si>
  <si>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</si>
  <si>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</si>
  <si>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</si>
  <si>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</si>
  <si>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</si>
  <si>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</si>
  <si>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</si>
  <si>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</si>
  <si>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</si>
  <si>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</si>
  <si>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</si>
  <si>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</si>
  <si>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</si>
  <si>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</si>
  <si>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</si>
  <si>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</si>
  <si>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</si>
  <si>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</si>
  <si>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</si>
  <si>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</si>
  <si>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</si>
  <si>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</si>
  <si>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</si>
  <si>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</si>
  <si>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</si>
  <si>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</si>
  <si>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</si>
  <si>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</si>
  <si>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</si>
  <si>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</si>
  <si>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</si>
  <si>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</si>
  <si>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</si>
  <si>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</si>
  <si>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</si>
  <si>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</si>
  <si>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</si>
  <si>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</si>
  <si>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</si>
  <si>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</si>
  <si>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</si>
  <si>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</si>
  <si>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</si>
  <si>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</si>
  <si>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</si>
  <si>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</si>
  <si>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</si>
  <si>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</si>
  <si>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</si>
  <si>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</si>
  <si>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</si>
  <si>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</si>
  <si>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</si>
  <si>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</si>
  <si>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</si>
  <si>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</si>
  <si>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</si>
  <si>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</si>
  <si>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</si>
  <si>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</si>
  <si>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</si>
  <si>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</si>
  <si>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</si>
  <si>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</si>
  <si>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</si>
  <si>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</si>
  <si>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</si>
  <si>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</si>
  <si>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</si>
  <si>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</si>
  <si>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</si>
  <si>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</si>
  <si>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</si>
  <si>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</si>
  <si>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</si>
  <si>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</si>
  <si>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</si>
  <si>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</si>
  <si>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</si>
  <si>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</si>
  <si>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</si>
  <si>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</si>
  <si>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</si>
  <si>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</si>
  <si>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</si>
  <si>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</si>
  <si>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</si>
  <si>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</si>
  <si>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</si>
  <si>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</si>
  <si>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</si>
  <si>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</si>
  <si>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</si>
  <si>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</si>
  <si>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</si>
  <si>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</si>
  <si>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</si>
  <si>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</si>
  <si>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</si>
  <si>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</si>
  <si>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</si>
  <si>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</si>
  <si>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</si>
  <si>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</si>
  <si>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</si>
  <si>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</si>
  <si>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</si>
  <si>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</si>
  <si>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</si>
  <si>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</si>
  <si>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</si>
  <si>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</si>
  <si>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</si>
  <si>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</si>
  <si>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</si>
  <si>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</si>
  <si>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</si>
  <si>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</si>
  <si>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</si>
  <si>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</si>
  <si>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</si>
  <si>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</si>
  <si>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股权资金成本</t>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</si>
  <si>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</si>
  <si>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</si>
  <si>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</si>
  <si>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</si>
  <si>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</si>
  <si>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</si>
  <si>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</si>
  <si>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</si>
  <si>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</si>
  <si>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</si>
  <si>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</si>
  <si>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</si>
  <si>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</si>
  <si>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</si>
  <si>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</si>
  <si>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</si>
  <si>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</si>
  <si>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</si>
  <si>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</si>
  <si>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</si>
  <si>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</si>
  <si>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</si>
  <si>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</si>
  <si>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</si>
  <si>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</si>
  <si>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</si>
  <si>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</si>
  <si>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</si>
  <si>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</si>
  <si>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</si>
  <si>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</si>
  <si>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</si>
  <si>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</si>
  <si>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</si>
  <si>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</si>
  <si>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</si>
  <si>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</si>
  <si>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</si>
  <si>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</si>
  <si>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</si>
  <si>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</si>
  <si>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</si>
  <si>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</si>
  <si>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</si>
  <si>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</si>
  <si>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</si>
  <si>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</si>
  <si>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</si>
  <si>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</si>
  <si>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</si>
  <si>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</si>
  <si>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</si>
  <si>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</si>
  <si>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</si>
  <si>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</si>
  <si>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</si>
  <si>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</si>
  <si>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</si>
  <si>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</si>
  <si>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</si>
  <si>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</si>
  <si>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</si>
  <si>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</si>
  <si>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</si>
  <si>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</si>
  <si>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</si>
  <si>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</si>
  <si>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</si>
  <si>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</si>
  <si>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</si>
  <si>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</si>
  <si>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</si>
  <si>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</si>
  <si>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</si>
  <si>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</si>
  <si>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</si>
  <si>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</si>
  <si>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</si>
  <si>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</si>
  <si>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</si>
  <si>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</si>
  <si>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</si>
  <si>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</si>
  <si>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</si>
  <si>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</si>
  <si>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</si>
  <si>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</si>
  <si>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</si>
  <si>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</si>
  <si>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</si>
  <si>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</si>
  <si>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</si>
  <si>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</si>
  <si>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</si>
  <si>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</si>
  <si>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</si>
  <si>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</si>
  <si>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</si>
  <si>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</si>
  <si>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</si>
  <si>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</si>
  <si>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</si>
  <si>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</si>
  <si>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</si>
  <si>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</si>
  <si>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</si>
  <si>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</si>
  <si>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</si>
  <si>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</si>
  <si>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</si>
  <si>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</si>
  <si>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</si>
  <si>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</si>
  <si>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</si>
  <si>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</si>
  <si>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</si>
  <si>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</si>
  <si>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</si>
  <si>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</si>
  <si>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</si>
  <si>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</si>
  <si>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</si>
  <si>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</si>
  <si>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</si>
  <si>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</si>
  <si>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</si>
  <si>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</si>
  <si>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</si>
  <si>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</si>
  <si>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</si>
  <si>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</si>
  <si>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</si>
  <si>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</si>
  <si>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</si>
  <si>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</si>
  <si>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</si>
  <si>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</si>
  <si>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</si>
  <si>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</si>
  <si>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</si>
  <si>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</si>
  <si>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</si>
  <si>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</si>
  <si>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</si>
  <si>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</si>
  <si>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</si>
  <si>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</si>
  <si>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</si>
  <si>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</si>
  <si>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</si>
  <si>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</si>
  <si>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</si>
  <si>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</si>
  <si>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</si>
  <si>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</si>
  <si>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</si>
  <si>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</si>
  <si>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</si>
  <si>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</si>
  <si>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</si>
  <si>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</si>
  <si>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</si>
  <si>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</si>
  <si>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</si>
  <si>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</si>
  <si>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</si>
  <si>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</si>
  <si>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</si>
  <si>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</si>
  <si>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</si>
  <si>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</si>
  <si>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</si>
  <si>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</si>
  <si>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</si>
  <si>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</si>
  <si>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经营资产自由现金流=经营活动现金流量净额-保全性资本支出</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</si>
  <si>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</si>
  <si>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</si>
  <si>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</si>
  <si>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</si>
  <si>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</si>
  <si>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</si>
  <si>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</si>
  <si>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</si>
  <si>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</si>
  <si>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</si>
  <si>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</si>
  <si>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</si>
  <si>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</si>
  <si>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</si>
  <si>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</si>
  <si>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</si>
  <si>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</si>
  <si>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</si>
  <si>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</si>
  <si>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</si>
  <si>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</si>
  <si>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</si>
  <si>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</si>
  <si>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</si>
  <si>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</si>
  <si>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</si>
  <si>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</si>
  <si>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</si>
  <si>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</si>
  <si>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</si>
  <si>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</si>
  <si>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</si>
  <si>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</si>
  <si>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</si>
  <si>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</si>
  <si>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</si>
  <si>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</si>
  <si>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</si>
  <si>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</si>
  <si>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</si>
  <si>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</si>
  <si>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</si>
  <si>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</si>
  <si>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</si>
  <si>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</si>
  <si>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</si>
  <si>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</si>
  <si>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</si>
  <si>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</si>
  <si>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</si>
  <si>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</si>
  <si>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</si>
  <si>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</si>
  <si>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</si>
  <si>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</si>
  <si>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</si>
  <si>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</si>
  <si>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</si>
  <si>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</si>
  <si>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</si>
  <si>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</si>
  <si>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</si>
  <si>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</si>
  <si>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</si>
  <si>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</si>
  <si>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</si>
  <si>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</si>
  <si>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</si>
  <si>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</si>
  <si>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</si>
  <si>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</si>
  <si>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</si>
  <si>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</si>
  <si>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</si>
  <si>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</si>
  <si>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</si>
  <si>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</si>
  <si>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</si>
  <si>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</si>
  <si>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</si>
  <si>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</si>
  <si>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</si>
  <si>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</si>
  <si>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</si>
  <si>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</si>
  <si>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</si>
  <si>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</si>
  <si>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</si>
  <si>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</si>
  <si>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</si>
  <si>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</si>
  <si>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</si>
  <si>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</si>
  <si>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</si>
  <si>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</si>
  <si>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</si>
  <si>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</si>
  <si>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</si>
  <si>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</si>
  <si>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</si>
  <si>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</si>
  <si>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</si>
  <si>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</si>
  <si>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</si>
  <si>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</si>
  <si>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</si>
  <si>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</si>
  <si>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</si>
  <si>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</si>
  <si>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</si>
  <si>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</si>
  <si>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</si>
  <si>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</si>
  <si>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</si>
  <si>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</si>
  <si>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</si>
  <si>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</si>
  <si>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</si>
  <si>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</si>
  <si>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</si>
  <si>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</si>
  <si>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</si>
  <si>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</si>
  <si>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</si>
  <si>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</si>
  <si>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</si>
  <si>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</si>
  <si>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</si>
  <si>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</si>
  <si>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</si>
  <si>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</si>
  <si>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</si>
  <si>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</si>
  <si>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</si>
  <si>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</si>
  <si>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</si>
  <si>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</si>
  <si>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</si>
  <si>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</si>
  <si>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</si>
  <si>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</si>
  <si>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</si>
  <si>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</si>
  <si>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</si>
  <si>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</si>
  <si>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</si>
  <si>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</si>
  <si>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</si>
  <si>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</si>
  <si>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</si>
  <si>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</si>
  <si>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</si>
  <si>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</si>
  <si>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</si>
  <si>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</si>
  <si>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</si>
  <si>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</si>
  <si>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</si>
  <si>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</si>
  <si>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</si>
  <si>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</si>
  <si>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</si>
  <si>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</si>
  <si>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</si>
  <si>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</si>
  <si>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</si>
  <si>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</si>
  <si>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</si>
  <si>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</si>
  <si>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</si>
  <si>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</si>
  <si>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</si>
  <si>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</si>
  <si>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</si>
  <si>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</si>
  <si>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</si>
  <si>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</si>
  <si>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</si>
  <si>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</si>
  <si>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</si>
  <si>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</si>
  <si>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</si>
  <si>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</si>
  <si>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</si>
  <si>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</si>
  <si>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</si>
  <si>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</si>
  <si>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</si>
  <si>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</si>
  <si>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</si>
  <si>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</si>
  <si>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</si>
  <si>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</si>
  <si>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</si>
  <si>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</si>
  <si>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</si>
  <si>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</si>
  <si>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</si>
  <si>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</si>
  <si>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</si>
  <si>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</si>
  <si>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</si>
  <si>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</si>
  <si>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</si>
  <si>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</si>
  <si>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</si>
  <si>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</si>
  <si>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</si>
  <si>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</si>
  <si>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</si>
  <si>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</si>
  <si>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</si>
  <si>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</si>
  <si>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</si>
  <si>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</si>
  <si>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</si>
  <si>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</si>
  <si>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</si>
  <si>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</si>
  <si>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</si>
  <si>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</si>
  <si>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</si>
  <si>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</si>
  <si>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</si>
  <si>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</si>
  <si>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</si>
  <si>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</si>
  <si>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</si>
  <si>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</si>
  <si>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</si>
  <si>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</si>
  <si>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</si>
  <si>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</si>
  <si>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</si>
  <si>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</si>
  <si>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</si>
  <si>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</si>
  <si>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</si>
  <si>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永续年金</t>
    <phoneticPr fontId="1" type="noConversion"/>
  </si>
  <si>
    <t>每股价值</t>
    <phoneticPr fontId="1" type="noConversion"/>
  </si>
  <si>
    <t>资本成本</t>
    <phoneticPr fontId="1" type="noConversion"/>
  </si>
  <si>
    <t>WACC</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</si>
</sst>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_ "/>
    <numFmt numFmtId="179" formatCode="#,##0.00_ "/>
    <numFmt numFmtId="180" formatCode="0.00000000000000_ "/>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6">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
      <patternFill patternType="solid">
        <fgColor theme="8" tint="0.39997558519241921"/>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7">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0" fillId="41"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0" fontId="5" fillId="45" borderId="16" xfId="0" applyFont="1" applyFill="1" applyBorder="1">
      <alignment vertical="center"/>
    </xf>
    <xf numFmtId="179" fontId="5" fillId="45" borderId="16" xfId="0" applyNumberFormat="1" applyFont="1" applyFill="1" applyBorder="1">
      <alignment vertical="center"/>
    </xf>
    <xf numFmtId="10" fontId="5" fillId="0" borderId="36" xfId="0" applyNumberFormat="1" applyFont="1" applyBorder="1" applyAlignment="1">
      <alignment horizontal="center" vertical="center" wrapText="1"/>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0.43999418428280179</c:v>
                </c:pt>
                <c:pt idx="1">
                  <c:v>0.41580998991451368</c:v>
                </c:pt>
                <c:pt idx="2">
                  <c:v>0.40103043981080011</c:v>
                </c:pt>
                <c:pt idx="3">
                  <c:v>0.44419408580370257</c:v>
                </c:pt>
                <c:pt idx="4">
                  <c:v>0.4761876873906381</c:v>
                </c:pt>
                <c:pt idx="5">
                  <c:v>0.49195595237329337</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0.18488900409750239</c:v>
                </c:pt>
                <c:pt idx="1">
                  <c:v>0.22663787505635444</c:v>
                </c:pt>
                <c:pt idx="2">
                  <c:v>0.22256400863519774</c:v>
                </c:pt>
                <c:pt idx="3">
                  <c:v>0.25865135120560617</c:v>
                </c:pt>
                <c:pt idx="4">
                  <c:v>0.27510308604745609</c:v>
                </c:pt>
                <c:pt idx="5">
                  <c:v>0.28707287022126599</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0.206622275743571</c:v>
                </c:pt>
                <c:pt idx="1">
                  <c:v>0.25612275204715029</c:v>
                </c:pt>
                <c:pt idx="2">
                  <c:v>0.26939104991031748</c:v>
                </c:pt>
                <c:pt idx="3">
                  <c:v>0.30462450717436484</c:v>
                </c:pt>
                <c:pt idx="4">
                  <c:v>0.31521317722618675</c:v>
                </c:pt>
                <c:pt idx="5">
                  <c:v>0.32065503876561524</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0.17844191596423262</c:v>
                </c:pt>
                <c:pt idx="1">
                  <c:v>0.22953876386708857</c:v>
                </c:pt>
                <c:pt idx="2">
                  <c:v>0.23493419421627704</c:v>
                </c:pt>
                <c:pt idx="3">
                  <c:v>0.27362747357051909</c:v>
                </c:pt>
                <c:pt idx="4">
                  <c:v>0.28619960394706617</c:v>
                </c:pt>
                <c:pt idx="5">
                  <c:v>0.29658378660314133</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0.19384191289794345</c:v>
                </c:pt>
                <c:pt idx="1">
                  <c:v>0.26898470111649436</c:v>
                </c:pt>
                <c:pt idx="2">
                  <c:v>0.26913238970249836</c:v>
                </c:pt>
                <c:pt idx="3">
                  <c:v>0.30042347323709512</c:v>
                </c:pt>
                <c:pt idx="4">
                  <c:v>0.3124218729378111</c:v>
                </c:pt>
                <c:pt idx="5">
                  <c:v>0.319928223033348</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0.16736998289537761</c:v>
                </c:pt>
                <c:pt idx="1">
                  <c:v>0.24110897670114495</c:v>
                </c:pt>
                <c:pt idx="2">
                  <c:v>0.23479934042018116</c:v>
                </c:pt>
                <c:pt idx="3">
                  <c:v>0.26992166529639966</c:v>
                </c:pt>
                <c:pt idx="4">
                  <c:v>0.2836759148029131</c:v>
                </c:pt>
                <c:pt idx="5">
                  <c:v>0.29592151927802596</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10486820482.360001</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8310178348.5100002</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6750041732.3900003</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5206342370.7700005</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3385954342.4200001</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2313605647.6999998</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4565389182.0428028</c:v>
                </c:pt>
                <c:pt idx="1">
                  <c:v>5738234090.7280006</c:v>
                </c:pt>
                <c:pt idx="2">
                  <c:v>4389909697.3239965</c:v>
                </c:pt>
                <c:pt idx="3">
                  <c:v>3461258311.1991997</c:v>
                </c:pt>
                <c:pt idx="4">
                  <c:v>2152002754.9900002</c:v>
                </c:pt>
                <c:pt idx="5">
                  <c:v>1441002619.6804004</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30604121438.09</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24486673925.150002</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19297450879.700001</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14879156547.26</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11204403183</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8671411571.3700008</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4,283,326,284.30 </c:v>
                </c:pt>
                <c:pt idx="5">
                  <c:v>3,984,901,716.68 </c:v>
                </c:pt>
                <c:pt idx="6">
                  <c:v>3,817,213,200.10 </c:v>
                </c:pt>
                <c:pt idx="7">
                  <c:v>3,646,685,613.80 </c:v>
                </c:pt>
                <c:pt idx="8">
                  <c:v>3,460,191,697.16 </c:v>
                </c:pt>
                <c:pt idx="9">
                  <c:v>2,934,613,811.83 </c:v>
                </c:pt>
                <c:pt idx="10">
                  <c:v>2,567,522,296.18 </c:v>
                </c:pt>
                <c:pt idx="11">
                  <c:v>2,212,368,295.94 </c:v>
                </c:pt>
                <c:pt idx="12">
                  <c:v>2,064,168,801.61 </c:v>
                </c:pt>
                <c:pt idx="13">
                  <c:v>1,966,952,054.83 </c:v>
                </c:pt>
                <c:pt idx="14">
                  <c:v>1,882,986,044.04 </c:v>
                </c:pt>
                <c:pt idx="15">
                  <c:v>1,679,236,453.64 </c:v>
                </c:pt>
                <c:pt idx="16">
                  <c:v>1,563,733,048.05 </c:v>
                </c:pt>
                <c:pt idx="17">
                  <c:v>2,139,684,358.80 </c:v>
                </c:pt>
                <c:pt idx="18">
                  <c:v>2,370,579,718.79 </c:v>
                </c:pt>
                <c:pt idx="19">
                  <c:v>2,193,579,187.83 </c:v>
                </c:pt>
                <c:pt idx="20">
                  <c:v>1,646,799,978.13 </c:v>
                </c:pt>
              </c:strCache>
            </c:strRef>
          </c:tx>
          <c:invertIfNegative val="0"/>
          <c:cat>
            <c:numRef>
              <c:f>投资和筹资活动现金流表!$E$12</c:f>
              <c:numCache>
                <c:formatCode>#,##0.00_ </c:formatCode>
                <c:ptCount val="1"/>
                <c:pt idx="0">
                  <c:v>4283326284.3000002</c:v>
                </c:pt>
              </c:numCache>
            </c:numRef>
          </c:cat>
          <c:val>
            <c:numRef>
              <c:f>投资和筹资活动现金流表!$E$12:$U$12</c:f>
              <c:numCache>
                <c:formatCode>#,##0.00_ </c:formatCode>
                <c:ptCount val="5"/>
                <c:pt idx="0">
                  <c:v>4283326284.3000002</c:v>
                </c:pt>
                <c:pt idx="1">
                  <c:v>3460191697.1599998</c:v>
                </c:pt>
                <c:pt idx="2">
                  <c:v>2064168801.6099999</c:v>
                </c:pt>
                <c:pt idx="3">
                  <c:v>1563733048.0500002</c:v>
                </c:pt>
                <c:pt idx="4">
                  <c:v>1646799978.1299999</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0.31037065874314068</c:v>
                </c:pt>
                <c:pt idx="1">
                  <c:v>0.18801350751866103</c:v>
                </c:pt>
                <c:pt idx="2">
                  <c:v>0.56356327699685382</c:v>
                </c:pt>
                <c:pt idx="3">
                  <c:v>0.31661717604382883</c:v>
                </c:pt>
                <c:pt idx="4">
                  <c:v>0.19257612630048573</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4.4174283915439494</c:v>
                </c:pt>
                <c:pt idx="1">
                  <c:v>5.8374920699759816</c:v>
                </c:pt>
                <c:pt idx="2">
                  <c:v>2.4423632413998964</c:v>
                </c:pt>
                <c:pt idx="3">
                  <c:v>6.1268377941806031</c:v>
                </c:pt>
                <c:pt idx="4">
                  <c:v>4.5004238953232845</c:v>
                </c:pt>
                <c:pt idx="5">
                  <c:v>2.6563139248389906</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1669106909.53</c:v>
                </c:pt>
                <c:pt idx="1">
                  <c:v>891971710.72000003</c:v>
                </c:pt>
                <c:pt idx="2">
                  <c:v>1317053137.1600001</c:v>
                </c:pt>
                <c:pt idx="3">
                  <c:v>604948410.01999998</c:v>
                </c:pt>
                <c:pt idx="4">
                  <c:v>389623100.81999999</c:v>
                </c:pt>
                <c:pt idx="5">
                  <c:v>478722265.39999998</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0</c:v>
                </c:pt>
                <c:pt idx="1">
                  <c:v>172473788.49000001</c:v>
                </c:pt>
                <c:pt idx="2">
                  <c:v>0</c:v>
                </c:pt>
                <c:pt idx="3">
                  <c:v>0</c:v>
                </c:pt>
                <c:pt idx="4">
                  <c:v>24419188.300000001</c:v>
                </c:pt>
                <c:pt idx="5">
                  <c:v>62173841.789999999</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General</c:formatCode>
                <c:ptCount val="6"/>
                <c:pt idx="0">
                  <c:v>7373160250.6800003</c:v>
                </c:pt>
                <c:pt idx="1">
                  <c:v>6213692160.5600004</c:v>
                </c:pt>
                <c:pt idx="2">
                  <c:v>3216722169.1700001</c:v>
                </c:pt>
                <c:pt idx="3">
                  <c:v>3706420782.04</c:v>
                </c:pt>
                <c:pt idx="4">
                  <c:v>1863365811.6300001</c:v>
                </c:pt>
                <c:pt idx="5">
                  <c:v>1436789861.4200001</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General</c:formatCode>
                <c:ptCount val="6"/>
                <c:pt idx="0">
                  <c:v>-3401746652.8699999</c:v>
                </c:pt>
                <c:pt idx="1">
                  <c:v>442795551.20999998</c:v>
                </c:pt>
                <c:pt idx="2">
                  <c:v>-118790781.04000001</c:v>
                </c:pt>
                <c:pt idx="3">
                  <c:v>-119653023.31999999</c:v>
                </c:pt>
                <c:pt idx="4">
                  <c:v>-419196975.88</c:v>
                </c:pt>
                <c:pt idx="5">
                  <c:v>-308485842.85000002</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-3599456219.1300001</c:v>
                </c:pt>
                <c:pt idx="1">
                  <c:v>-2600871110.4400001</c:v>
                </c:pt>
                <c:pt idx="2">
                  <c:v>-1627651210.4000001</c:v>
                </c:pt>
                <c:pt idx="3">
                  <c:v>-514887547</c:v>
                </c:pt>
                <c:pt idx="4">
                  <c:v>-600133483.29999995</c:v>
                </c:pt>
                <c:pt idx="5">
                  <c:v>-308286342.85000002</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200526357.83999968</c:v>
                </c:pt>
                <c:pt idx="1">
                  <c:v>2323335914.0199995</c:v>
                </c:pt>
                <c:pt idx="2">
                  <c:v>1482679539.4399998</c:v>
                </c:pt>
                <c:pt idx="3">
                  <c:v>400037206.0999999</c:v>
                </c:pt>
                <c:pt idx="4">
                  <c:v>178697488.56000006</c:v>
                </c:pt>
                <c:pt idx="5">
                  <c:v>-199500</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General</c:formatCode>
                <c:ptCount val="6"/>
                <c:pt idx="0">
                  <c:v>3550599109.3899999</c:v>
                </c:pt>
                <c:pt idx="1">
                  <c:v>4668904940.1700001</c:v>
                </c:pt>
                <c:pt idx="2">
                  <c:v>2790211998.6900001</c:v>
                </c:pt>
                <c:pt idx="3">
                  <c:v>3375084617.54</c:v>
                </c:pt>
                <c:pt idx="4">
                  <c:v>594891409.22000003</c:v>
                </c:pt>
                <c:pt idx="5">
                  <c:v>0</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General</c:formatCode>
                <c:ptCount val="6"/>
                <c:pt idx="0">
                  <c:v>0</c:v>
                </c:pt>
                <c:pt idx="1">
                  <c:v>2903120000</c:v>
                </c:pt>
                <c:pt idx="2">
                  <c:v>0</c:v>
                </c:pt>
                <c:pt idx="3">
                  <c:v>0</c:v>
                </c:pt>
                <c:pt idx="4">
                  <c:v>0</c:v>
                </c:pt>
                <c:pt idx="5">
                  <c:v>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General"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-379254474.53000069</c:v>
                </c:pt>
                <c:pt idx="1">
                  <c:v>2345870659.8199997</c:v>
                </c:pt>
                <c:pt idx="2">
                  <c:v>-1057182605.76</c:v>
                </c:pt>
                <c:pt idx="3">
                  <c:v>608247925.27999973</c:v>
                </c:pt>
                <c:pt idx="4">
                  <c:v>1952949865</c:v>
                </c:pt>
                <c:pt idx="5">
                  <c:v>300000000</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144540387.41999999</c:v>
                </c:pt>
                <c:pt idx="1">
                  <c:v>143818481.09</c:v>
                </c:pt>
                <c:pt idx="2">
                  <c:v>44359075.380000003</c:v>
                </c:pt>
                <c:pt idx="3">
                  <c:v>26240984.809999999</c:v>
                </c:pt>
                <c:pt idx="4">
                  <c:v>2102309.64</c:v>
                </c:pt>
                <c:pt idx="5">
                  <c:v>199500</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5272825801.8800001</c:v>
                </c:pt>
                <c:pt idx="1">
                  <c:v>4801078753.9500008</c:v>
                </c:pt>
                <c:pt idx="2">
                  <c:v>2169735897.8000002</c:v>
                </c:pt>
                <c:pt idx="3">
                  <c:v>610077989.11000001</c:v>
                </c:pt>
                <c:pt idx="4">
                  <c:v>196569798.19999999</c:v>
                </c:pt>
                <c:pt idx="5">
                  <c:v>3000000</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30604121438.09</c:v>
                </c:pt>
                <c:pt idx="1">
                  <c:v>24486673925.150002</c:v>
                </c:pt>
                <c:pt idx="2">
                  <c:v>19297450879.699997</c:v>
                </c:pt>
                <c:pt idx="3">
                  <c:v>14879156547.259998</c:v>
                </c:pt>
                <c:pt idx="4">
                  <c:v>11204403183</c:v>
                </c:pt>
                <c:pt idx="5">
                  <c:v>8671411571.3700008</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36034873017.620003</c:v>
                </c:pt>
                <c:pt idx="1">
                  <c:v>29349791722.800003</c:v>
                </c:pt>
                <c:pt idx="2">
                  <c:v>21553149133.57</c:v>
                </c:pt>
                <c:pt idx="3">
                  <c:v>15530297980.139999</c:v>
                </c:pt>
                <c:pt idx="4">
                  <c:v>11434524202.260002</c:v>
                </c:pt>
                <c:pt idx="5">
                  <c:v>8694418850.7199993</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1"/>
                <c:pt idx="0">
                  <c:v>0.19826251262916306</c:v>
                </c:pt>
                <c:pt idx="1">
                  <c:v>0.26830666126305391</c:v>
                </c:pt>
                <c:pt idx="2">
                  <c:v>0.27810874903218608</c:v>
                </c:pt>
                <c:pt idx="3">
                  <c:v>0.30181350282199776</c:v>
                </c:pt>
                <c:pt idx="4">
                  <c:v>0.26692106447863179</c:v>
                </c:pt>
                <c:pt idx="5">
                  <c:v>0.24554833531812301</c:v>
                </c:pt>
                <c:pt idx="6">
                  <c:v>0.21435032091644265</c:v>
                </c:pt>
                <c:pt idx="7">
                  <c:v>0.18380269456580314</c:v>
                </c:pt>
                <c:pt idx="8">
                  <c:v>0.45135478074226504</c:v>
                </c:pt>
                <c:pt idx="9">
                  <c:v>0</c:v>
                </c:pt>
                <c:pt idx="10">
                  <c:v>0</c:v>
                </c:pt>
                <c:pt idx="11">
                  <c:v>0</c:v>
                </c:pt>
                <c:pt idx="12">
                  <c:v>0</c:v>
                </c:pt>
                <c:pt idx="13">
                  <c:v>0</c:v>
                </c:pt>
                <c:pt idx="14">
                  <c:v>0</c:v>
                </c:pt>
                <c:pt idx="15">
                  <c:v>0</c:v>
                </c:pt>
                <c:pt idx="16">
                  <c:v>0</c:v>
                </c:pt>
                <c:pt idx="17">
                  <c:v>0</c:v>
                </c:pt>
                <c:pt idx="18">
                  <c:v>0</c:v>
                </c:pt>
                <c:pt idx="19">
                  <c:v>0</c:v>
                </c:pt>
                <c:pt idx="20">
                  <c:v>0</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0.20278061434519934</c:v>
                </c:pt>
                <c:pt idx="1">
                  <c:v>0.3703211231280088</c:v>
                </c:pt>
                <c:pt idx="2">
                  <c:v>0.41167239410510403</c:v>
                </c:pt>
                <c:pt idx="3">
                  <c:v>0.5684549577890996</c:v>
                </c:pt>
                <c:pt idx="4">
                  <c:v>-0.21288848840418614</c:v>
                </c:pt>
                <c:pt idx="5">
                  <c:v>0.11255041554923877</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2.7278495308571427</c:v>
                </c:pt>
                <c:pt idx="1">
                  <c:v>0</c:v>
                </c:pt>
                <c:pt idx="2">
                  <c:v>0</c:v>
                </c:pt>
                <c:pt idx="3">
                  <c:v>-1</c:v>
                </c:pt>
                <c:pt idx="4">
                  <c:v>-0.3108390414960156</c:v>
                </c:pt>
                <c:pt idx="5">
                  <c:v>1.4204790232876008</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0.13764766259642561</c:v>
                </c:pt>
                <c:pt idx="1">
                  <c:v>0.40734105600977338</c:v>
                </c:pt>
                <c:pt idx="2">
                  <c:v>0.26956548098215277</c:v>
                </c:pt>
                <c:pt idx="3">
                  <c:v>0.18617470516815954</c:v>
                </c:pt>
                <c:pt idx="4">
                  <c:v>2.3819528862265709</c:v>
                </c:pt>
                <c:pt idx="5">
                  <c:v>1.0521724209388503</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0.21966389554717924</c:v>
                </c:pt>
                <c:pt idx="1">
                  <c:v>0.38672852210049385</c:v>
                </c:pt>
                <c:pt idx="2">
                  <c:v>0.39050038344779103</c:v>
                </c:pt>
                <c:pt idx="3">
                  <c:v>0.51974921867422874</c:v>
                </c:pt>
                <c:pt idx="4">
                  <c:v>1.2881814341730613</c:v>
                </c:pt>
                <c:pt idx="5">
                  <c:v>0.5225669487452701</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0.29583872120862292</c:v>
                </c:pt>
                <c:pt idx="1">
                  <c:v>0.36811763318168261</c:v>
                </c:pt>
                <c:pt idx="2">
                  <c:v>0.52134636456826666</c:v>
                </c:pt>
                <c:pt idx="3">
                  <c:v>1.1843814792389376</c:v>
                </c:pt>
                <c:pt idx="4">
                  <c:v>0.39150926624061877</c:v>
                </c:pt>
                <c:pt idx="5">
                  <c:v>0.25669343802398353</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0.52560229975040984</c:v>
                </c:pt>
                <c:pt idx="1">
                  <c:v>0.22261522088807428</c:v>
                </c:pt>
                <c:pt idx="2">
                  <c:v>0.6575818758467239</c:v>
                </c:pt>
                <c:pt idx="3">
                  <c:v>0.32008439762936275</c:v>
                </c:pt>
                <c:pt idx="4">
                  <c:v>0.2162881895258808</c:v>
                </c:pt>
                <c:pt idx="5">
                  <c:v>0.61755244909833429</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13.132563224694543</c:v>
                </c:pt>
                <c:pt idx="1">
                  <c:v>-0.92103358091251231</c:v>
                </c:pt>
                <c:pt idx="2">
                  <c:v>3.1040798621471462</c:v>
                </c:pt>
                <c:pt idx="3">
                  <c:v>0.97126434663299888</c:v>
                </c:pt>
                <c:pt idx="4">
                  <c:v>0</c:v>
                </c:pt>
                <c:pt idx="5">
                  <c:v>0</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-0.22851802525987958</c:v>
                </c:pt>
                <c:pt idx="1">
                  <c:v>5.8599489113160521</c:v>
                </c:pt>
                <c:pt idx="2">
                  <c:v>1.7557068735873427</c:v>
                </c:pt>
                <c:pt idx="3">
                  <c:v>18.401722787783868</c:v>
                </c:pt>
                <c:pt idx="4">
                  <c:v>3.2566666666666668</c:v>
                </c:pt>
                <c:pt idx="5">
                  <c:v>0</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0.46510495999208462</c:v>
                </c:pt>
                <c:pt idx="1">
                  <c:v>0.47476918528506157</c:v>
                </c:pt>
                <c:pt idx="2">
                  <c:v>0.47179622419406925</c:v>
                </c:pt>
                <c:pt idx="3">
                  <c:v>0.46382214952613965</c:v>
                </c:pt>
                <c:pt idx="4">
                  <c:v>0.40164385193152896</c:v>
                </c:pt>
                <c:pt idx="5">
                  <c:v>0.6710925214647111</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3.6207907133792771E-3</c:v>
                </c:pt>
                <c:pt idx="1">
                  <c:v>1.1925127214041081E-3</c:v>
                </c:pt>
                <c:pt idx="2">
                  <c:v>0</c:v>
                </c:pt>
                <c:pt idx="3">
                  <c:v>0</c:v>
                </c:pt>
                <c:pt idx="4">
                  <c:v>8.8158832162055415E-5</c:v>
                </c:pt>
                <c:pt idx="5">
                  <c:v>1.6823745958349695E-4</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0.17972415261913813</c:v>
                </c:pt>
                <c:pt idx="1">
                  <c:v>0.14463822458141154</c:v>
                </c:pt>
                <c:pt idx="2">
                  <c:v>0.16109704481893888</c:v>
                </c:pt>
                <c:pt idx="3">
                  <c:v>0.13487874912050571</c:v>
                </c:pt>
                <c:pt idx="4">
                  <c:v>0.13877253511662282</c:v>
                </c:pt>
                <c:pt idx="5">
                  <c:v>0.15005296182066982</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0.3147209533583159</c:v>
                </c:pt>
                <c:pt idx="1">
                  <c:v>2.4457345290033718E-2</c:v>
                </c:pt>
                <c:pt idx="2">
                  <c:v>0.68532855280116023</c:v>
                </c:pt>
                <c:pt idx="3">
                  <c:v>0.59388798740069337</c:v>
                </c:pt>
                <c:pt idx="4">
                  <c:v>0.93503579839357032</c:v>
                </c:pt>
                <c:pt idx="5">
                  <c:v>0</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0.68527904664168404</c:v>
                </c:pt>
                <c:pt idx="1">
                  <c:v>0.97554265470996615</c:v>
                </c:pt>
                <c:pt idx="2">
                  <c:v>0.31467144719883977</c:v>
                </c:pt>
                <c:pt idx="3">
                  <c:v>0.40611201259930668</c:v>
                </c:pt>
                <c:pt idx="4">
                  <c:v>6.4964201606429697E-2</c:v>
                </c:pt>
                <c:pt idx="5">
                  <c:v>1</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2.1920156458826239</c:v>
                </c:pt>
                <c:pt idx="1">
                  <c:v>2.2408232037486897</c:v>
                </c:pt>
                <c:pt idx="2">
                  <c:v>2.0972417251372071</c:v>
                </c:pt>
                <c:pt idx="3">
                  <c:v>2.0976660470087696</c:v>
                </c:pt>
                <c:pt idx="4">
                  <c:v>1.8391154659240516</c:v>
                </c:pt>
                <c:pt idx="5">
                  <c:v>4.7557025881482078</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16759998173.18</c:v>
                </c:pt>
                <c:pt idx="1">
                  <c:v>13934376704.52</c:v>
                </c:pt>
                <c:pt idx="2">
                  <c:v>10168694380.710001</c:v>
                </c:pt>
                <c:pt idx="3">
                  <c:v>7203296191.9299994</c:v>
                </c:pt>
                <c:pt idx="4">
                  <c:v>4592606345.6000004</c:v>
                </c:pt>
                <c:pt idx="5">
                  <c:v>5834759469.1999998</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130474733.58</c:v>
                </c:pt>
                <c:pt idx="1">
                  <c:v>35000000</c:v>
                </c:pt>
                <c:pt idx="2">
                  <c:v>0</c:v>
                </c:pt>
                <c:pt idx="3">
                  <c:v>0</c:v>
                </c:pt>
                <c:pt idx="4">
                  <c:v>1008054.3</c:v>
                </c:pt>
                <c:pt idx="5">
                  <c:v>1462726.94</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6476337017.8299999</c:v>
                </c:pt>
                <c:pt idx="1">
                  <c:v>4245101766.6200004</c:v>
                </c:pt>
                <c:pt idx="2">
                  <c:v>3472148631.96</c:v>
                </c:pt>
                <c:pt idx="3">
                  <c:v>2094707165.0299997</c:v>
                </c:pt>
                <c:pt idx="4">
                  <c:v>1586797911.3999999</c:v>
                </c:pt>
                <c:pt idx="5">
                  <c:v>1304623299.8600001</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36034873017.620003</c:v>
                </c:pt>
                <c:pt idx="1">
                  <c:v>29349791722.800003</c:v>
                </c:pt>
                <c:pt idx="2">
                  <c:v>21553149133.57</c:v>
                </c:pt>
                <c:pt idx="3">
                  <c:v>15530297980.139999</c:v>
                </c:pt>
                <c:pt idx="4">
                  <c:v>11434524202.260002</c:v>
                </c:pt>
                <c:pt idx="5">
                  <c:v>8694418850.7199993</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1659468763.2600002</c:v>
                </c:pt>
                <c:pt idx="1">
                  <c:v>117421640.84999999</c:v>
                </c:pt>
                <c:pt idx="2">
                  <c:v>1486981962.8000002</c:v>
                </c:pt>
                <c:pt idx="3">
                  <c:v>362317989.11000001</c:v>
                </c:pt>
                <c:pt idx="4">
                  <c:v>183799798.19999999</c:v>
                </c:pt>
                <c:pt idx="5">
                  <c:v>0</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3613357038.6199999</c:v>
                </c:pt>
                <c:pt idx="1">
                  <c:v>4683657113.1000004</c:v>
                </c:pt>
                <c:pt idx="2">
                  <c:v>682753935</c:v>
                </c:pt>
                <c:pt idx="3">
                  <c:v>247760000</c:v>
                </c:pt>
                <c:pt idx="4">
                  <c:v>12770000</c:v>
                </c:pt>
                <c:pt idx="5">
                  <c:v>3000000</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15100529409.919992</c:v>
                </c:pt>
                <c:pt idx="1">
                  <c:v>13816955063.67</c:v>
                </c:pt>
                <c:pt idx="2">
                  <c:v>8681712417.9099998</c:v>
                </c:pt>
                <c:pt idx="3">
                  <c:v>6840978202.8199987</c:v>
                </c:pt>
                <c:pt idx="4">
                  <c:v>4408806547.4000015</c:v>
                </c:pt>
                <c:pt idx="5">
                  <c:v>5834759469.1999989</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-15100529409.92</c:v>
                </c:pt>
                <c:pt idx="1">
                  <c:v>-13816955063.67</c:v>
                </c:pt>
                <c:pt idx="2">
                  <c:v>-8681712417.9099998</c:v>
                </c:pt>
                <c:pt idx="3">
                  <c:v>-6840978202.8199997</c:v>
                </c:pt>
                <c:pt idx="4">
                  <c:v>-4408806547.4000006</c:v>
                </c:pt>
                <c:pt idx="5">
                  <c:v>-5834759469.1999998</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0.56000581571719821</c:v>
                </c:pt>
                <c:pt idx="1">
                  <c:v>0.58419001008548632</c:v>
                </c:pt>
                <c:pt idx="2">
                  <c:v>0.59896956018919989</c:v>
                </c:pt>
                <c:pt idx="3">
                  <c:v>0.55580591419629743</c:v>
                </c:pt>
                <c:pt idx="4">
                  <c:v>0.5238123126093619</c:v>
                </c:pt>
                <c:pt idx="5">
                  <c:v>0.50804404762670663</c:v>
                </c:pt>
              </c:numCache>
            </c:numRef>
          </c:val>
          <c:smooth val="0"/>
          <c:extLs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0.43999418428280179</c:v>
                </c:pt>
                <c:pt idx="1">
                  <c:v>0.41580998991451368</c:v>
                </c:pt>
                <c:pt idx="2">
                  <c:v>0.40103043981080011</c:v>
                </c:pt>
                <c:pt idx="3">
                  <c:v>0.44419408580370257</c:v>
                </c:pt>
                <c:pt idx="4">
                  <c:v>0.4761876873906381</c:v>
                </c:pt>
                <c:pt idx="5">
                  <c:v>0.49195595237329337</c:v>
                </c:pt>
              </c:numCache>
            </c:numRef>
          </c:val>
          <c:smooth val="0"/>
          <c:extLs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8.853110733914607E-3</c:v>
                </c:pt>
                <c:pt idx="1">
                  <c:v>7.9901880943891255E-3</c:v>
                </c:pt>
                <c:pt idx="2">
                  <c:v>7.790494321836791E-3</c:v>
                </c:pt>
                <c:pt idx="3">
                  <c:v>8.8024793382662121E-3</c:v>
                </c:pt>
                <c:pt idx="4">
                  <c:v>1.071192561911701E-2</c:v>
                </c:pt>
                <c:pt idx="5">
                  <c:v>1.0822009204329311E-2</c:v>
                </c:pt>
              </c:numCache>
            </c:numRef>
          </c:val>
          <c:smooth val="0"/>
          <c:extLs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0.10571935764793908</c:v>
                </c:pt>
                <c:pt idx="1">
                  <c:v>9.3699782736089046E-2</c:v>
                </c:pt>
                <c:pt idx="2">
                  <c:v>8.6225779078006701E-2</c:v>
                </c:pt>
                <c:pt idx="3">
                  <c:v>8.8971158220697996E-2</c:v>
                </c:pt>
                <c:pt idx="4">
                  <c:v>8.6305087710875444E-2</c:v>
                </c:pt>
                <c:pt idx="5">
                  <c:v>0.10145466774401159</c:v>
                </c:pt>
              </c:numCache>
            </c:numRef>
          </c:val>
          <c:smooth val="0"/>
          <c:extLs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0.10035532129595023</c:v>
                </c:pt>
                <c:pt idx="1">
                  <c:v>9.7317360032866868E-2</c:v>
                </c:pt>
                <c:pt idx="2">
                  <c:v>8.7499019532602612E-2</c:v>
                </c:pt>
                <c:pt idx="3">
                  <c:v>9.5485831559981402E-2</c:v>
                </c:pt>
                <c:pt idx="4">
                  <c:v>0.10196429491709791</c:v>
                </c:pt>
                <c:pt idx="5">
                  <c:v>0.1068137733206278</c:v>
                </c:pt>
              </c:numCache>
            </c:numRef>
          </c:val>
          <c:smooth val="0"/>
          <c:extLs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1.1563378794335563E-2</c:v>
                </c:pt>
                <c:pt idx="1">
                  <c:v>9.9454063179771762E-3</c:v>
                </c:pt>
                <c:pt idx="2">
                  <c:v>1.340941854656973E-2</c:v>
                </c:pt>
                <c:pt idx="3">
                  <c:v>1.0613717914805318E-2</c:v>
                </c:pt>
                <c:pt idx="4">
                  <c:v>1.4620749368306473E-2</c:v>
                </c:pt>
                <c:pt idx="5">
                  <c:v>6.9762627292469731E-3</c:v>
                </c:pt>
              </c:numCache>
            </c:numRef>
          </c:val>
          <c:smooth val="0"/>
          <c:extLs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4.1423556274669841E-4</c:v>
                </c:pt>
                <c:pt idx="1">
                  <c:v>3.7923096743905485E-4</c:v>
                </c:pt>
                <c:pt idx="2">
                  <c:v>7.0013680405266979E-4</c:v>
                </c:pt>
                <c:pt idx="3">
                  <c:v>5.3350241334346171E-4</c:v>
                </c:pt>
                <c:pt idx="4">
                  <c:v>4.5820251023979779E-4</c:v>
                </c:pt>
                <c:pt idx="5">
                  <c:v>4.5640745754202118E-4</c:v>
                </c:pt>
              </c:numCache>
            </c:numRef>
          </c:val>
          <c:smooth val="0"/>
          <c:extLs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1.0430348366240027E-3</c:v>
                </c:pt>
                <c:pt idx="1">
                  <c:v>4.6362506686548087E-2</c:v>
                </c:pt>
                <c:pt idx="2">
                  <c:v>4.9702380234738781E-2</c:v>
                </c:pt>
                <c:pt idx="3">
                  <c:v>4.8092189749710912E-2</c:v>
                </c:pt>
                <c:pt idx="4">
                  <c:v>4.0852899611291384E-2</c:v>
                </c:pt>
                <c:pt idx="5">
                  <c:v>4.4928893296114429E-2</c:v>
                </c:pt>
              </c:numCache>
            </c:numRef>
          </c:val>
          <c:smooth val="0"/>
          <c:extLs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0.22794843887151015</c:v>
                </c:pt>
                <c:pt idx="1">
                  <c:v>0.25569447483530938</c:v>
                </c:pt>
                <c:pt idx="2">
                  <c:v>0.24532722851780731</c:v>
                </c:pt>
                <c:pt idx="3">
                  <c:v>0.25249887919680525</c:v>
                </c:pt>
                <c:pt idx="4">
                  <c:v>0.25491315973692802</c:v>
                </c:pt>
                <c:pt idx="5">
                  <c:v>0.27145201375187211</c:v>
                </c:pt>
              </c:numCache>
            </c:numRef>
          </c:val>
          <c:smooth val="0"/>
          <c:extLs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0.18488900409750239</c:v>
                </c:pt>
                <c:pt idx="1">
                  <c:v>0.22663787505635444</c:v>
                </c:pt>
                <c:pt idx="2">
                  <c:v>0.22256400863519774</c:v>
                </c:pt>
                <c:pt idx="3">
                  <c:v>0.25865135120560617</c:v>
                </c:pt>
                <c:pt idx="4">
                  <c:v>0.27510308604745609</c:v>
                </c:pt>
                <c:pt idx="5">
                  <c:v>0.28707287022126599</c:v>
                </c:pt>
              </c:numCache>
            </c:numRef>
          </c:val>
          <c:smooth val="0"/>
          <c:extLs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1.036344287245623</c:v>
                </c:pt>
                <c:pt idx="1">
                  <c:v>0.98718495889718705</c:v>
                </c:pt>
                <c:pt idx="2">
                  <c:v>0.94698013110457069</c:v>
                </c:pt>
                <c:pt idx="3">
                  <c:v>0.94503094572604052</c:v>
                </c:pt>
                <c:pt idx="4">
                  <c:v>0.96119181800221531</c:v>
                </c:pt>
                <c:pt idx="5">
                  <c:v>0.96789910555720571</c:v>
                </c:pt>
              </c:numCache>
            </c:numRef>
          </c:val>
          <c:smooth val="0"/>
          <c:extLs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-2.9164818568681747E-4</c:v>
                </c:pt>
                <c:pt idx="1">
                  <c:v>0</c:v>
                </c:pt>
                <c:pt idx="2">
                  <c:v>0</c:v>
                </c:pt>
                <c:pt idx="3">
                  <c:v>0</c:v>
                </c:pt>
                <c:pt idx="4">
                  <c:v>-1.3423055241536253E-4</c:v>
                </c:pt>
                <c:pt idx="5">
                  <c:v>-1.2757300541321975E-4</c:v>
                </c:pt>
              </c:numCache>
            </c:numRef>
          </c:val>
          <c:smooth val="0"/>
          <c:extLs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-3.605263905993613E-2</c:v>
                </c:pt>
                <c:pt idx="1">
                  <c:v>1.281504110281294E-2</c:v>
                </c:pt>
                <c:pt idx="2">
                  <c:v>5.3019868895429229E-2</c:v>
                </c:pt>
                <c:pt idx="3">
                  <c:v>5.4969054273959456E-2</c:v>
                </c:pt>
                <c:pt idx="4">
                  <c:v>3.8942412550199958E-2</c:v>
                </c:pt>
                <c:pt idx="5">
                  <c:v>3.2228467448207475E-2</c:v>
                </c:pt>
              </c:numCache>
            </c:numRef>
          </c:val>
          <c:smooth val="0"/>
          <c:extLs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229524992"/>
        <c:axId val="228870976"/>
      </c:lineChart>
      <c:catAx>
        <c:axId val="229524992"/>
        <c:scaling>
          <c:orientation val="minMax"/>
        </c:scaling>
        <c:delete val="0"/>
        <c:axPos val="b"/>
        <c:majorTickMark val="out"/>
        <c:minorTickMark val="none"/>
        <c:tickLblPos val="nextTo"/>
        <c:crossAx val="228870976"/>
        <c:crosses val="autoZero"/>
        <c:auto val="1"/>
        <c:lblAlgn val="ctr"/>
        <c:lblOffset val="100"/>
        <c:noMultiLvlLbl val="0"/>
      </c:catAx>
      <c:valAx>
        <c:axId val="228870976"/>
        <c:scaling>
          <c:orientation val="minMax"/>
        </c:scaling>
        <c:delete val="0"/>
        <c:axPos val="l"/>
        <c:majorGridlines/>
        <c:numFmt formatCode="0.00%" sourceLinked="1"/>
        <c:majorTickMark val="out"/>
        <c:minorTickMark val="none"/>
        <c:tickLblPos val="nextTo"/>
        <c:crossAx val="2295249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0.16736998289537761</c:v>
                </c:pt>
                <c:pt idx="1">
                  <c:v>0.24110897670114495</c:v>
                </c:pt>
                <c:pt idx="2">
                  <c:v>0.23479934042018116</c:v>
                </c:pt>
                <c:pt idx="3">
                  <c:v>0.26992166529639966</c:v>
                </c:pt>
                <c:pt idx="4">
                  <c:v>0.2836759148029131</c:v>
                </c:pt>
                <c:pt idx="5">
                  <c:v>0.29592151927802596</c:v>
                </c:pt>
                <c:pt idx="6">
                  <c:v>0.27892033929021054</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1.036344287245623</c:v>
                </c:pt>
                <c:pt idx="1">
                  <c:v>0.98718495889718705</c:v>
                </c:pt>
                <c:pt idx="2">
                  <c:v>0.94698013110457069</c:v>
                </c:pt>
                <c:pt idx="3">
                  <c:v>0.94503094572604052</c:v>
                </c:pt>
                <c:pt idx="4">
                  <c:v>0.96119181800221531</c:v>
                </c:pt>
                <c:pt idx="5">
                  <c:v>0.96789910555720571</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-2.9164818568681747E-4</c:v>
                </c:pt>
                <c:pt idx="1">
                  <c:v>0</c:v>
                </c:pt>
                <c:pt idx="2">
                  <c:v>0</c:v>
                </c:pt>
                <c:pt idx="3">
                  <c:v>0</c:v>
                </c:pt>
                <c:pt idx="4">
                  <c:v>-1.3423055241536253E-4</c:v>
                </c:pt>
                <c:pt idx="5">
                  <c:v>-1.2757300541321975E-4</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-3.605263905993613E-2</c:v>
                </c:pt>
                <c:pt idx="1">
                  <c:v>1.281504110281294E-2</c:v>
                </c:pt>
                <c:pt idx="2">
                  <c:v>5.3019868895429229E-2</c:v>
                </c:pt>
                <c:pt idx="3">
                  <c:v>5.4969054273959456E-2</c:v>
                </c:pt>
                <c:pt idx="4">
                  <c:v>3.8942412550199958E-2</c:v>
                </c:pt>
                <c:pt idx="5">
                  <c:v>3.2228467448207475E-2</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6.1853751245527167E-2</c:v>
                </c:pt>
                <c:pt idx="1">
                  <c:v>-5.0217909055483956E-2</c:v>
                </c:pt>
                <c:pt idx="2">
                  <c:v>9.6016630064443831E-4</c:v>
                </c:pt>
                <c:pt idx="3">
                  <c:v>1.3790860020546747E-2</c:v>
                </c:pt>
                <c:pt idx="4">
                  <c:v>8.85529060979795E-3</c:v>
                </c:pt>
                <c:pt idx="5">
                  <c:v>2.266659320449671E-3</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41905476572.07</c:v>
                </c:pt>
                <c:pt idx="1">
                  <c:v>31924020872.439999</c:v>
                </c:pt>
                <c:pt idx="2">
                  <c:v>25271390273.419998</c:v>
                </c:pt>
                <c:pt idx="3">
                  <c:v>17233114021.700001</c:v>
                </c:pt>
                <c:pt idx="4">
                  <c:v>10745907038.84</c:v>
                </c:pt>
                <c:pt idx="5">
                  <c:v>7213789489.1800003</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23467310590.759998</c:v>
                </c:pt>
                <c:pt idx="1">
                  <c:v>18649694075.439999</c:v>
                </c:pt>
                <c:pt idx="2">
                  <c:v>15136793517.440001</c:v>
                </c:pt>
                <c:pt idx="3">
                  <c:v>9578266693.2800007</c:v>
                </c:pt>
                <c:pt idx="4">
                  <c:v>5628838417.1000004</c:v>
                </c:pt>
                <c:pt idx="5">
                  <c:v>3664922810.8099999</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18438165981.310001</c:v>
                </c:pt>
                <c:pt idx="1">
                  <c:v>13274326797</c:v>
                </c:pt>
                <c:pt idx="2">
                  <c:v>10134596755.979998</c:v>
                </c:pt>
                <c:pt idx="3">
                  <c:v>7654847328.4200001</c:v>
                </c:pt>
                <c:pt idx="4">
                  <c:v>5117068621.7399998</c:v>
                </c:pt>
                <c:pt idx="5">
                  <c:v>3548866678.3700004</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-1.9354447797754224E-2</c:v>
                </c:pt>
                <c:pt idx="1">
                  <c:v>0</c:v>
                </c:pt>
                <c:pt idx="2">
                  <c:v>0</c:v>
                </c:pt>
                <c:pt idx="3">
                  <c:v>0</c:v>
                </c:pt>
                <c:pt idx="4">
                  <c:v>-0.45103982989805214</c:v>
                </c:pt>
                <c:pt idx="5">
                  <c:v>-0.20174234296935833</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-1.5933041538812594E-2</c:v>
                </c:pt>
                <c:pt idx="1">
                  <c:v>6.6726939801469267E-3</c:v>
                </c:pt>
                <c:pt idx="2">
                  <c:v>3.0810180997023526E-2</c:v>
                </c:pt>
                <c:pt idx="3">
                  <c:v>3.5828767475453056E-2</c:v>
                </c:pt>
                <c:pt idx="4">
                  <c:v>2.6062939741985647E-2</c:v>
                </c:pt>
                <c:pt idx="5">
                  <c:v>1.1809371569088829E-2</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3.3079624141694151</c:v>
                </c:pt>
                <c:pt idx="1">
                  <c:v>2.866917180590399</c:v>
                </c:pt>
                <c:pt idx="2">
                  <c:v>3.1939348512650132</c:v>
                </c:pt>
                <c:pt idx="3">
                  <c:v>2.7651314746264166</c:v>
                </c:pt>
                <c:pt idx="4">
                  <c:v>2.0452375704691304</c:v>
                </c:pt>
                <c:pt idx="5">
                  <c:v>4.643352994735249</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6.4705521742769188</c:v>
                </c:pt>
                <c:pt idx="1">
                  <c:v>7.5202015469839436</c:v>
                </c:pt>
                <c:pt idx="2">
                  <c:v>7.2783146553131575</c:v>
                </c:pt>
                <c:pt idx="3">
                  <c:v>8.2269800330077132</c:v>
                </c:pt>
                <c:pt idx="4">
                  <c:v>6.7720703195021867</c:v>
                </c:pt>
                <c:pt idx="5">
                  <c:v>5.5294041505729021</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2.5003270369759809</c:v>
                </c:pt>
                <c:pt idx="1">
                  <c:v>2.2910261111345269</c:v>
                </c:pt>
                <c:pt idx="2">
                  <c:v>2.4852148493477975</c:v>
                </c:pt>
                <c:pt idx="3">
                  <c:v>2.3923928105311862</c:v>
                </c:pt>
                <c:pt idx="4">
                  <c:v>2.3398275903039765</c:v>
                </c:pt>
                <c:pt idx="5">
                  <c:v>1.2363473639760987</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321.17694684830184</c:v>
                </c:pt>
                <c:pt idx="1">
                  <c:v>912.11488206971421</c:v>
                </c:pt>
                <c:pt idx="2">
                  <c:v>0</c:v>
                </c:pt>
                <c:pt idx="3">
                  <c:v>0</c:v>
                </c:pt>
                <c:pt idx="4">
                  <c:v>10660.047815717864</c:v>
                </c:pt>
                <c:pt idx="5">
                  <c:v>4931.7403624083117</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6.5669973312638543</c:v>
                </c:pt>
                <c:pt idx="1">
                  <c:v>7.4530910683721494</c:v>
                </c:pt>
                <c:pt idx="2">
                  <c:v>7.3034653814590218</c:v>
                </c:pt>
                <c:pt idx="3">
                  <c:v>8.3486941611842038</c:v>
                </c:pt>
                <c:pt idx="4">
                  <c:v>6.871957494433155</c:v>
                </c:pt>
                <c:pt idx="5">
                  <c:v>1.337228510259993</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13.857514304427733</c:v>
                </c:pt>
                <c:pt idx="1">
                  <c:v>11.186716539882665</c:v>
                </c:pt>
                <c:pt idx="2">
                  <c:v>13.39065514460636</c:v>
                </c:pt>
                <c:pt idx="3">
                  <c:v>11.485560200244166</c:v>
                </c:pt>
                <c:pt idx="4">
                  <c:v>14.606147888308888</c:v>
                </c:pt>
                <c:pt idx="5">
                  <c:v>11.110432615428261</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29.175603135930213</c:v>
                </c:pt>
                <c:pt idx="1">
                  <c:v>100.87135502581185</c:v>
                </c:pt>
                <c:pt idx="2">
                  <c:v>29.920034596427346</c:v>
                </c:pt>
                <c:pt idx="3">
                  <c:v>595.13968660369028</c:v>
                </c:pt>
                <c:pt idx="4">
                  <c:v>36.472144426662965</c:v>
                </c:pt>
                <c:pt idx="5">
                  <c:v>48.763147227705019</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97.645122152678766</c:v>
                </c:pt>
                <c:pt idx="1">
                  <c:v>77.814789717396678</c:v>
                </c:pt>
                <c:pt idx="2">
                  <c:v>73.634435921528876</c:v>
                </c:pt>
                <c:pt idx="3">
                  <c:v>178.48870314916448</c:v>
                </c:pt>
                <c:pt idx="4">
                  <c:v>202.30364297972577</c:v>
                </c:pt>
                <c:pt idx="5">
                  <c:v>127.14724786869348</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2.6701484988272077</c:v>
                </c:pt>
                <c:pt idx="1">
                  <c:v>2.6176782718103637</c:v>
                </c:pt>
                <c:pt idx="2">
                  <c:v>3.0764744565922801</c:v>
                </c:pt>
                <c:pt idx="3">
                  <c:v>3.8175735940807249</c:v>
                </c:pt>
                <c:pt idx="4">
                  <c:v>4.2807117004010262</c:v>
                </c:pt>
                <c:pt idx="5">
                  <c:v>5.3745297169259292</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5.3544768200833195</c:v>
                </c:pt>
                <c:pt idx="1">
                  <c:v>5.6141437251902042</c:v>
                </c:pt>
                <c:pt idx="2">
                  <c:v>5.9236854691508167</c:v>
                </c:pt>
                <c:pt idx="3">
                  <c:v>5.1487724883723756</c:v>
                </c:pt>
                <c:pt idx="4">
                  <c:v>4.6013460749282045</c:v>
                </c:pt>
                <c:pt idx="5">
                  <c:v>4.1016796411554308</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2.6127142361867617</c:v>
                </c:pt>
                <c:pt idx="1">
                  <c:v>2.7521156017064059</c:v>
                </c:pt>
                <c:pt idx="2">
                  <c:v>3.1954985621274878</c:v>
                </c:pt>
                <c:pt idx="3">
                  <c:v>3.8007375375690433</c:v>
                </c:pt>
                <c:pt idx="4">
                  <c:v>4.4934327099898459</c:v>
                </c:pt>
                <c:pt idx="5">
                  <c:v>4.5266009450295863</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0.46871647627494684</c:v>
                </c:pt>
                <c:pt idx="1">
                  <c:v>0.52480289368762811</c:v>
                </c:pt>
                <c:pt idx="2">
                  <c:v>0.56629265575063226</c:v>
                </c:pt>
                <c:pt idx="3">
                  <c:v>0.59578007283656964</c:v>
                </c:pt>
                <c:pt idx="4">
                  <c:v>0.47593061760393385</c:v>
                </c:pt>
                <c:pt idx="5">
                  <c:v>0.78332054150381569</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0.21413181508453968</c:v>
                </c:pt>
                <c:pt idx="1">
                  <c:v>0.25284052845230048</c:v>
                </c:pt>
                <c:pt idx="2">
                  <c:v>0.25510797176247041</c:v>
                </c:pt>
                <c:pt idx="3">
                  <c:v>0.28787958610631903</c:v>
                </c:pt>
                <c:pt idx="4">
                  <c:v>0.30298032687629289</c:v>
                </c:pt>
                <c:pt idx="5">
                  <c:v>0.31036172521365007</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7013718897.090003</c:v>
                </c:pt>
                <c:pt idx="1">
                  <c:v>7697168004.7400007</c:v>
                </c:pt>
                <c:pt idx="2">
                  <c:v>5933705767.6999969</c:v>
                </c:pt>
                <c:pt idx="3">
                  <c:v>4651590834.9799995</c:v>
                </c:pt>
                <c:pt idx="4">
                  <c:v>3048355009.6300001</c:v>
                </c:pt>
                <c:pt idx="5">
                  <c:v>2134715545.3900006</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30604121438.09</c:v>
                </c:pt>
                <c:pt idx="1">
                  <c:v>24486673925.150002</c:v>
                </c:pt>
                <c:pt idx="2">
                  <c:v>19297450879.699997</c:v>
                </c:pt>
                <c:pt idx="3">
                  <c:v>14879156547.259998</c:v>
                </c:pt>
                <c:pt idx="4">
                  <c:v>11204403183</c:v>
                </c:pt>
                <c:pt idx="5">
                  <c:v>8671411571.3700008</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41905476572.07</c:v>
                </c:pt>
                <c:pt idx="1">
                  <c:v>31924020872.439999</c:v>
                </c:pt>
                <c:pt idx="2">
                  <c:v>25271390273.419998</c:v>
                </c:pt>
                <c:pt idx="3">
                  <c:v>17233114021.700001</c:v>
                </c:pt>
                <c:pt idx="4">
                  <c:v>10745907038.84</c:v>
                </c:pt>
                <c:pt idx="5">
                  <c:v>7213789489.1800003</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8973295760.3600025</c:v>
                </c:pt>
                <c:pt idx="1">
                  <c:v>8071686307.71</c:v>
                </c:pt>
                <c:pt idx="2">
                  <c:v>6446933116.2699976</c:v>
                </c:pt>
                <c:pt idx="3">
                  <c:v>4961061731.8899994</c:v>
                </c:pt>
                <c:pt idx="4">
                  <c:v>3255798427.21</c:v>
                </c:pt>
                <c:pt idx="5">
                  <c:v>2238884151.1900005</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-2525266.42</c:v>
                </c:pt>
                <c:pt idx="1">
                  <c:v>0</c:v>
                </c:pt>
                <c:pt idx="2">
                  <c:v>0</c:v>
                </c:pt>
                <c:pt idx="3">
                  <c:v>0</c:v>
                </c:pt>
                <c:pt idx="4">
                  <c:v>-454672.64000000001</c:v>
                </c:pt>
                <c:pt idx="5">
                  <c:v>-295093.96000000002</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130474733.58</c:v>
                </c:pt>
                <c:pt idx="1">
                  <c:v>35000000</c:v>
                </c:pt>
                <c:pt idx="2">
                  <c:v>0</c:v>
                </c:pt>
                <c:pt idx="3">
                  <c:v>0</c:v>
                </c:pt>
                <c:pt idx="4">
                  <c:v>1008054.3</c:v>
                </c:pt>
                <c:pt idx="5">
                  <c:v>1462726.94</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0.85940555186938095</c:v>
                </c:pt>
                <c:pt idx="1">
                  <c:v>0.87441098781303439</c:v>
                </c:pt>
                <c:pt idx="2">
                  <c:v>0.77035563234460225</c:v>
                </c:pt>
                <c:pt idx="3">
                  <c:v>0.83527820361631366</c:v>
                </c:pt>
                <c:pt idx="4">
                  <c:v>0.83688129139151668</c:v>
                </c:pt>
                <c:pt idx="5">
                  <c:v>0.89101495376483097</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0.82979686901867622</c:v>
                </c:pt>
                <c:pt idx="1">
                  <c:v>0.85026711357372953</c:v>
                </c:pt>
                <c:pt idx="2">
                  <c:v>0.80690080334396763</c:v>
                </c:pt>
                <c:pt idx="3">
                  <c:v>0.81301713806617326</c:v>
                </c:pt>
                <c:pt idx="4">
                  <c:v>0.87728889238427554</c:v>
                </c:pt>
                <c:pt idx="5">
                  <c:v>0.86244917191608705</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0.95163806644980009</c:v>
                </c:pt>
                <c:pt idx="1">
                  <c:v>0.85881507257942014</c:v>
                </c:pt>
                <c:pt idx="2">
                  <c:v>0.57191236009626234</c:v>
                </c:pt>
                <c:pt idx="3">
                  <c:v>0.83152672005608785</c:v>
                </c:pt>
                <c:pt idx="4">
                  <c:v>0.63031781424756594</c:v>
                </c:pt>
                <c:pt idx="5">
                  <c:v>0.69380534067388833</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1.0512483261539225</c:v>
                </c:pt>
                <c:pt idx="1">
                  <c:v>0.80726991495229683</c:v>
                </c:pt>
                <c:pt idx="2">
                  <c:v>0.54211015764889448</c:v>
                </c:pt>
                <c:pt idx="3">
                  <c:v>0.79680713835956651</c:v>
                </c:pt>
                <c:pt idx="4">
                  <c:v>0.6112692930263951</c:v>
                </c:pt>
                <c:pt idx="5">
                  <c:v>0.67305916449749126</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0.15811692866924068</c:v>
                </c:pt>
                <c:pt idx="1">
                  <c:v>1.0758213849844582</c:v>
                </c:pt>
                <c:pt idx="2">
                  <c:v>-0.20199670491040442</c:v>
                </c:pt>
                <c:pt idx="3">
                  <c:v>1.0894511078689266</c:v>
                </c:pt>
                <c:pt idx="4">
                  <c:v>0.2325953212913712</c:v>
                </c:pt>
                <c:pt idx="5">
                  <c:v>0.19680881471803841</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7373160250.6800003</c:v>
                </c:pt>
                <c:pt idx="1">
                  <c:v>6213692160.5600004</c:v>
                </c:pt>
                <c:pt idx="2">
                  <c:v>3216722169.1700001</c:v>
                </c:pt>
                <c:pt idx="3">
                  <c:v>3706420782.04</c:v>
                </c:pt>
                <c:pt idx="4">
                  <c:v>1863365811.6300001</c:v>
                </c:pt>
                <c:pt idx="5">
                  <c:v>1436789861.4200001</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7747861829.6412401</c:v>
                </c:pt>
                <c:pt idx="1">
                  <c:v>7235192253.7845078</c:v>
                </c:pt>
                <c:pt idx="2">
                  <c:v>5624501923.0369005</c:v>
                </c:pt>
                <c:pt idx="3">
                  <c:v>4457368227.1929827</c:v>
                </c:pt>
                <c:pt idx="4">
                  <c:v>2956232188.7639647</c:v>
                </c:pt>
                <c:pt idx="5">
                  <c:v>2070883253.8309031</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7013718897.090003</c:v>
                </c:pt>
                <c:pt idx="1">
                  <c:v>7697168004.7400007</c:v>
                </c:pt>
                <c:pt idx="2">
                  <c:v>5933705767.6999969</c:v>
                </c:pt>
                <c:pt idx="3">
                  <c:v>4651590834.9799995</c:v>
                </c:pt>
                <c:pt idx="4">
                  <c:v>3048355009.6300001</c:v>
                </c:pt>
                <c:pt idx="5">
                  <c:v>2134715545.3900006</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8.xml"/><Relationship Id="rId2" Type="http://schemas.openxmlformats.org/officeDocument/2006/relationships/chart" Target="../charts/chart37.xml"/><Relationship Id="rId1" Type="http://schemas.openxmlformats.org/officeDocument/2006/relationships/image" Target="../media/image1.png"/><Relationship Id="rId4" Type="http://schemas.openxmlformats.org/officeDocument/2006/relationships/chart" Target="../charts/chart39.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274320</xdr:colOff>
      <xdr:row>56</xdr:row>
      <xdr:rowOff>8572</xdr:rowOff>
    </xdr:from>
    <xdr:to>
      <xdr:col>32</xdr:col>
      <xdr:colOff>274320</xdr:colOff>
      <xdr:row>62</xdr:row>
      <xdr:rowOff>13335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34</xdr:col>
      <xdr:colOff>721895</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730416</xdr:colOff>
      <xdr:row>10</xdr:row>
      <xdr:rowOff>107431</xdr:rowOff>
    </xdr:from>
    <xdr:to>
      <xdr:col>40</xdr:col>
      <xdr:colOff>1472967</xdr:colOff>
      <xdr:row>23</xdr:row>
      <xdr:rowOff>13435</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865572</xdr:colOff>
      <xdr:row>23</xdr:row>
      <xdr:rowOff>43062</xdr:rowOff>
    </xdr:from>
    <xdr:to>
      <xdr:col>44</xdr:col>
      <xdr:colOff>584835</xdr:colOff>
      <xdr:row>24</xdr:row>
      <xdr:rowOff>1631082</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136359</xdr:colOff>
      <xdr:row>28</xdr:row>
      <xdr:rowOff>42861</xdr:rowOff>
    </xdr:from>
    <xdr:to>
      <xdr:col>32</xdr:col>
      <xdr:colOff>742951</xdr:colOff>
      <xdr:row>37</xdr:row>
      <xdr:rowOff>24063</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29</xdr:col>
      <xdr:colOff>0</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250971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541020</xdr:colOff>
      <xdr:row>2</xdr:row>
      <xdr:rowOff>30480</xdr:rowOff>
    </xdr:from>
    <xdr:to>
      <xdr:col>2</xdr:col>
      <xdr:colOff>2064830</xdr:colOff>
      <xdr:row>5</xdr:row>
      <xdr:rowOff>127560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166360" y="419100"/>
          <a:ext cx="1523810" cy="645720"/>
        </a:xfrm>
        <a:prstGeom prst="rect">
          <a:avLst/>
        </a:prstGeom>
      </xdr:spPr>
    </xdr:pic>
    <xdr:clientData/>
  </xdr:twoCellAnchor>
  <xdr:twoCellAnchor editAs="oneCell">
    <xdr:from>
      <xdr:col>2</xdr:col>
      <xdr:colOff>847725</xdr:colOff>
      <xdr:row>43</xdr:row>
      <xdr:rowOff>47625</xdr:rowOff>
    </xdr:from>
    <xdr:to>
      <xdr:col>4</xdr:col>
      <xdr:colOff>898565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AN85"/>
  <sheetViews>
    <sheetView workbookViewId="0">
      <selection activeCell="Y25" sqref="Y25"/>
    </sheetView>
  </sheetViews>
  <sheetFormatPr defaultRowHeight="14.4" x14ac:dyDescent="0.25"/>
  <cols>
    <col min="1" max="1" width="35.88671875" style="190" bestFit="1" customWidth="1"/>
    <col min="2" max="3" width="13.88671875" style="190" hidden="1" customWidth="1"/>
    <col min="4" max="4" width="12.77734375" style="190" hidden="1" customWidth="1"/>
    <col min="5" max="5" width="13.88671875" style="190" bestFit="1" customWidth="1"/>
    <col min="6" max="8" width="13.88671875" style="190" hidden="1" customWidth="1"/>
    <col min="9" max="9" width="13.88671875" style="190" bestFit="1" customWidth="1"/>
    <col min="10" max="11" width="13.88671875" style="190" hidden="1" customWidth="1"/>
    <col min="12" max="12" width="12.77734375" style="190" hidden="1" customWidth="1"/>
    <col min="13" max="13" width="12.77734375" style="190" bestFit="1" customWidth="1"/>
    <col min="14" max="14" width="13.88671875" style="190" hidden="1" customWidth="1"/>
    <col min="15" max="15" width="12.77734375" style="190" hidden="1" customWidth="1"/>
    <col min="16" max="16" width="13.88671875" style="190" hidden="1" customWidth="1"/>
    <col min="17" max="17" width="12.77734375" style="190" bestFit="1" customWidth="1"/>
    <col min="18" max="20" width="12.77734375" style="190" hidden="1" customWidth="1"/>
    <col min="21" max="21" width="12.77734375" style="190" bestFit="1" customWidth="1"/>
    <col min="22" max="24" width="12.77734375" style="190" hidden="1" customWidth="1"/>
    <col min="25" max="25" width="12.77734375" style="190" bestFit="1" customWidth="1"/>
    <col min="26" max="28" width="12.77734375" style="190" hidden="1" customWidth="1"/>
    <col min="29" max="29" width="12.77734375" style="190" bestFit="1" customWidth="1"/>
    <col min="30" max="32" width="12.77734375" style="190" hidden="1" customWidth="1"/>
    <col min="33" max="33" width="12.77734375" style="190" bestFit="1" customWidth="1"/>
    <col min="34" max="34" width="12.77734375" style="190" hidden="1" customWidth="1"/>
    <col min="35" max="35" width="13.88671875" style="190" hidden="1" customWidth="1"/>
    <col min="36" max="36" width="12.77734375" style="190" hidden="1" customWidth="1"/>
    <col min="37" max="37" width="13.88671875" style="190" bestFit="1" customWidth="1"/>
    <col min="38" max="39" width="12.77734375" style="190" bestFit="1" customWidth="1"/>
    <col min="40" max="40" width="9.5546875" style="190" hidden="1" customWidth="1"/>
    <col min="41" max="16384" width="8.88671875" style="190"/>
  </cols>
  <sheetData>
    <row r="1" spans="1:40" x14ac:dyDescent="0.25">
      <c r="A1" s="190">
        <v>2415</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20081231</v>
      </c>
      <c r="AM1" s="190">
        <v>20071231</v>
      </c>
      <c r="AN1" s="190">
        <v>19700101</v>
      </c>
    </row>
    <row r="2" spans="1:40"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row>
    <row r="3" spans="1:40" x14ac:dyDescent="0.25">
      <c r="A3" s="190" t="s">
        <v>107</v>
      </c>
    </row>
    <row r="4" spans="1:40" x14ac:dyDescent="0.25">
      <c r="A4" s="190" t="s">
        <v>108</v>
      </c>
      <c r="B4" s="190">
        <v>18273311625.689999</v>
      </c>
      <c r="C4" s="190">
        <v>13751564452.200001</v>
      </c>
      <c r="D4" s="190">
        <v>11426551711.459999</v>
      </c>
      <c r="E4" s="190">
        <v>16468430702.639999</v>
      </c>
      <c r="F4" s="190">
        <v>13167615852.24</v>
      </c>
      <c r="G4" s="190">
        <v>13179646367.74</v>
      </c>
      <c r="H4" s="190">
        <v>16208936779.620001</v>
      </c>
      <c r="I4" s="190">
        <v>13634993154.18</v>
      </c>
      <c r="J4" s="190">
        <v>12377756631.74</v>
      </c>
      <c r="K4" s="190">
        <v>10217842795.09</v>
      </c>
      <c r="L4" s="190">
        <v>9368999201.3999996</v>
      </c>
      <c r="M4" s="190">
        <v>10106500588.530001</v>
      </c>
      <c r="N4" s="190">
        <v>6901448146.75</v>
      </c>
      <c r="O4" s="190">
        <v>6323749136.04</v>
      </c>
      <c r="P4" s="190">
        <v>6236444203.2700005</v>
      </c>
      <c r="Q4" s="190">
        <v>7199658946.1899996</v>
      </c>
      <c r="R4" s="190">
        <v>3502345714.3699999</v>
      </c>
      <c r="S4" s="190">
        <v>4093778211.8600001</v>
      </c>
      <c r="T4" s="190">
        <v>3763070125.4200001</v>
      </c>
      <c r="U4" s="190">
        <v>4592606345.6000004</v>
      </c>
      <c r="V4" s="190">
        <v>4619045859.7299995</v>
      </c>
      <c r="W4" s="190">
        <v>4631592322.7799997</v>
      </c>
      <c r="X4" s="190">
        <v>4361322598.3100004</v>
      </c>
      <c r="Y4" s="190">
        <v>5534759469.1999998</v>
      </c>
      <c r="Z4" s="190">
        <v>4643066329.4399996</v>
      </c>
      <c r="AA4" s="190">
        <v>4592336693.79</v>
      </c>
      <c r="AB4" s="190">
        <v>4700147603.8900003</v>
      </c>
      <c r="AC4" s="190">
        <v>5244489946.3900003</v>
      </c>
      <c r="AD4" s="190">
        <v>4128046202.0700002</v>
      </c>
      <c r="AE4" s="190">
        <v>4191087673.9699998</v>
      </c>
      <c r="AF4" s="190">
        <v>4380487688.2799997</v>
      </c>
      <c r="AG4" s="190">
        <v>4649956978.1499996</v>
      </c>
      <c r="AH4" s="190">
        <v>3813886974.6799998</v>
      </c>
      <c r="AI4" s="190">
        <v>4143895458.0500002</v>
      </c>
      <c r="AJ4" s="190">
        <v>762411039.29999995</v>
      </c>
      <c r="AK4" s="190">
        <v>1148562390.8499999</v>
      </c>
      <c r="AL4" s="190">
        <v>844381117.83000004</v>
      </c>
      <c r="AM4" s="190">
        <v>448714996.70999998</v>
      </c>
      <c r="AN4" s="190">
        <v>0</v>
      </c>
    </row>
    <row r="5" spans="1:40" x14ac:dyDescent="0.25">
      <c r="A5" s="190" t="s">
        <v>109</v>
      </c>
      <c r="B5" s="190">
        <v>17214568.510000002</v>
      </c>
      <c r="C5" s="190">
        <v>20549980.77</v>
      </c>
      <c r="D5" s="190">
        <v>959500</v>
      </c>
      <c r="E5" s="190">
        <v>4100657.54</v>
      </c>
      <c r="F5" s="190">
        <v>12820377.42</v>
      </c>
      <c r="G5" s="190">
        <v>3004171.92</v>
      </c>
      <c r="H5" s="190">
        <v>12003537.1</v>
      </c>
      <c r="I5" s="190">
        <v>15547537.34</v>
      </c>
      <c r="J5" s="190">
        <v>0</v>
      </c>
      <c r="K5" s="190">
        <v>0</v>
      </c>
      <c r="L5" s="190">
        <v>0</v>
      </c>
      <c r="M5" s="190">
        <v>6160279.1799999997</v>
      </c>
      <c r="N5" s="190">
        <v>0</v>
      </c>
      <c r="O5" s="190">
        <v>5830570.7000000002</v>
      </c>
      <c r="P5" s="190">
        <v>67800</v>
      </c>
      <c r="Q5" s="190">
        <v>3032932.74</v>
      </c>
      <c r="R5" s="190">
        <v>237300</v>
      </c>
      <c r="S5" s="190">
        <v>0</v>
      </c>
      <c r="T5" s="190">
        <v>0</v>
      </c>
      <c r="U5" s="190">
        <v>0</v>
      </c>
      <c r="V5" s="190">
        <v>0</v>
      </c>
      <c r="W5" s="190">
        <v>0</v>
      </c>
      <c r="X5" s="190">
        <v>0</v>
      </c>
      <c r="Y5" s="190">
        <v>0</v>
      </c>
      <c r="Z5" s="190">
        <v>0</v>
      </c>
      <c r="AA5" s="190">
        <v>0</v>
      </c>
      <c r="AB5" s="190">
        <v>0</v>
      </c>
      <c r="AC5" s="190">
        <v>0</v>
      </c>
      <c r="AD5" s="190">
        <v>0</v>
      </c>
      <c r="AE5" s="190">
        <v>0</v>
      </c>
      <c r="AF5" s="190">
        <v>0</v>
      </c>
      <c r="AG5" s="190">
        <v>0</v>
      </c>
      <c r="AH5" s="190">
        <v>0</v>
      </c>
      <c r="AI5" s="190">
        <v>0</v>
      </c>
      <c r="AJ5" s="190">
        <v>0</v>
      </c>
      <c r="AK5" s="190">
        <v>0</v>
      </c>
      <c r="AL5" s="190">
        <v>0</v>
      </c>
      <c r="AM5" s="190">
        <v>0</v>
      </c>
      <c r="AN5" s="190">
        <v>0</v>
      </c>
    </row>
    <row r="6" spans="1:40" x14ac:dyDescent="0.25">
      <c r="A6" s="190" t="s">
        <v>110</v>
      </c>
      <c r="B6" s="190">
        <v>0</v>
      </c>
      <c r="C6" s="190">
        <v>0</v>
      </c>
      <c r="D6" s="190">
        <v>0</v>
      </c>
      <c r="E6" s="190">
        <v>0</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v>0</v>
      </c>
      <c r="AK6" s="190">
        <v>0</v>
      </c>
      <c r="AL6" s="190">
        <v>0</v>
      </c>
      <c r="AM6" s="190">
        <v>0</v>
      </c>
      <c r="AN6" s="190">
        <v>0</v>
      </c>
    </row>
    <row r="7" spans="1:40" x14ac:dyDescent="0.25">
      <c r="A7" s="190" t="s">
        <v>111</v>
      </c>
      <c r="B7" s="190">
        <v>1993898058.1900001</v>
      </c>
      <c r="C7" s="190">
        <v>3101869002.4000001</v>
      </c>
      <c r="D7" s="190">
        <v>3961977210.2600002</v>
      </c>
      <c r="E7" s="190">
        <v>3636961616.0300002</v>
      </c>
      <c r="F7" s="190">
        <v>3260687198.1500001</v>
      </c>
      <c r="G7" s="190">
        <v>3281639420.27</v>
      </c>
      <c r="H7" s="190">
        <v>3360649361.4200001</v>
      </c>
      <c r="I7" s="190">
        <v>2843404415.52</v>
      </c>
      <c r="J7" s="190">
        <v>1727602069.6700001</v>
      </c>
      <c r="K7" s="190">
        <v>1815898912.6600001</v>
      </c>
      <c r="L7" s="190">
        <v>2242689742.8099999</v>
      </c>
      <c r="M7" s="190">
        <v>3044148064.8099999</v>
      </c>
      <c r="N7" s="190">
        <v>2224833665.3299999</v>
      </c>
      <c r="O7" s="190">
        <v>2346406980.3699999</v>
      </c>
      <c r="P7" s="190">
        <v>2071707004.8399999</v>
      </c>
      <c r="Q7" s="190">
        <v>1875769464.99</v>
      </c>
      <c r="R7" s="190">
        <v>852522525.01999998</v>
      </c>
      <c r="S7" s="190">
        <v>766359307.48000002</v>
      </c>
      <c r="T7" s="190">
        <v>831639959.27999997</v>
      </c>
      <c r="U7" s="190">
        <v>784502488.21000004</v>
      </c>
      <c r="V7" s="190">
        <v>421571727.56999999</v>
      </c>
      <c r="W7" s="190">
        <v>273817914.26999998</v>
      </c>
      <c r="X7" s="190">
        <v>258220949.11000001</v>
      </c>
      <c r="Y7" s="190">
        <v>318218110.31999999</v>
      </c>
      <c r="Z7" s="190">
        <v>198609742.53</v>
      </c>
      <c r="AA7" s="190">
        <v>184765189.93000001</v>
      </c>
      <c r="AB7" s="190">
        <v>226281769.56</v>
      </c>
      <c r="AC7" s="190">
        <v>307926194.52999997</v>
      </c>
      <c r="AD7" s="190">
        <v>148734994.71000001</v>
      </c>
      <c r="AE7" s="190">
        <v>110968535.86</v>
      </c>
      <c r="AF7" s="190">
        <v>100807184.06</v>
      </c>
      <c r="AG7" s="190">
        <v>109035496.31999999</v>
      </c>
      <c r="AH7" s="190">
        <v>57932027</v>
      </c>
      <c r="AI7" s="190">
        <v>35105102.189999998</v>
      </c>
      <c r="AJ7" s="190">
        <v>36591753.560000002</v>
      </c>
      <c r="AK7" s="190">
        <v>49083098.729999997</v>
      </c>
      <c r="AL7" s="190">
        <v>53705955.130000003</v>
      </c>
      <c r="AM7" s="190">
        <v>32150332.050000001</v>
      </c>
      <c r="AN7" s="190">
        <v>0</v>
      </c>
    </row>
    <row r="8" spans="1:40" x14ac:dyDescent="0.25">
      <c r="A8" s="190" t="s">
        <v>112</v>
      </c>
      <c r="B8" s="190">
        <v>18180455833.73</v>
      </c>
      <c r="C8" s="190">
        <v>16949626312.709999</v>
      </c>
      <c r="D8" s="190">
        <v>15970671829.27</v>
      </c>
      <c r="E8" s="190">
        <v>14705210072.809999</v>
      </c>
      <c r="F8" s="190">
        <v>15171778607.65</v>
      </c>
      <c r="G8" s="190">
        <v>13304046010.120001</v>
      </c>
      <c r="H8" s="190">
        <v>12046663764.799999</v>
      </c>
      <c r="I8" s="190">
        <v>11242812902.860001</v>
      </c>
      <c r="J8" s="190">
        <v>12055572930.190001</v>
      </c>
      <c r="K8" s="190">
        <v>10416390596.860001</v>
      </c>
      <c r="L8" s="190">
        <v>8855016848.1200008</v>
      </c>
      <c r="M8" s="190">
        <v>8125932742.9799995</v>
      </c>
      <c r="N8" s="190">
        <v>8340770862.5500002</v>
      </c>
      <c r="O8" s="190">
        <v>6478542121.29</v>
      </c>
      <c r="P8" s="190">
        <v>5417911023.3699999</v>
      </c>
      <c r="Q8" s="190">
        <v>4281526957.0500002</v>
      </c>
      <c r="R8" s="190">
        <v>4776759562.6400003</v>
      </c>
      <c r="S8" s="190">
        <v>4168290504.6100001</v>
      </c>
      <c r="T8" s="190">
        <v>3537342358.9299998</v>
      </c>
      <c r="U8" s="190">
        <v>2878641141.4200001</v>
      </c>
      <c r="V8" s="190">
        <v>2973979663.21</v>
      </c>
      <c r="W8" s="190">
        <v>2391827838.73</v>
      </c>
      <c r="X8" s="190">
        <v>1892895993.2</v>
      </c>
      <c r="Y8" s="190">
        <v>1596724569.46</v>
      </c>
      <c r="Z8" s="190">
        <v>1737773835.6099999</v>
      </c>
      <c r="AA8" s="190">
        <v>1399522625.6900001</v>
      </c>
      <c r="AB8" s="190">
        <v>1246952133.6099999</v>
      </c>
      <c r="AC8" s="190">
        <v>948269339.34000003</v>
      </c>
      <c r="AD8" s="190">
        <v>1137299527.98</v>
      </c>
      <c r="AE8" s="190">
        <v>923181835.35000002</v>
      </c>
      <c r="AF8" s="190">
        <v>740670822.88</v>
      </c>
      <c r="AG8" s="190">
        <v>532296129.29000002</v>
      </c>
      <c r="AH8" s="190">
        <v>537931169.03999996</v>
      </c>
      <c r="AI8" s="190">
        <v>441431430.61000001</v>
      </c>
      <c r="AJ8" s="190">
        <v>488375202.61000001</v>
      </c>
      <c r="AK8" s="190">
        <v>250668220.88999999</v>
      </c>
      <c r="AL8" s="190">
        <v>132558517.63</v>
      </c>
      <c r="AM8" s="190">
        <v>95139325.540000007</v>
      </c>
      <c r="AN8" s="190">
        <v>0</v>
      </c>
    </row>
    <row r="9" spans="1:40" x14ac:dyDescent="0.25">
      <c r="A9" s="190" t="s">
        <v>113</v>
      </c>
      <c r="B9" s="190">
        <v>454115714.47000003</v>
      </c>
      <c r="C9" s="190">
        <v>403145778.12</v>
      </c>
      <c r="D9" s="190">
        <v>527897944.12</v>
      </c>
      <c r="E9" s="190">
        <v>527576857.11000001</v>
      </c>
      <c r="F9" s="190">
        <v>370891604.83999997</v>
      </c>
      <c r="G9" s="190">
        <v>263755789.84999999</v>
      </c>
      <c r="H9" s="190">
        <v>325551312.25999999</v>
      </c>
      <c r="I9" s="190">
        <v>278971025.67000002</v>
      </c>
      <c r="J9" s="190">
        <v>249789694.33000001</v>
      </c>
      <c r="K9" s="190">
        <v>279564165.88999999</v>
      </c>
      <c r="L9" s="190">
        <v>133247566.92</v>
      </c>
      <c r="M9" s="190">
        <v>132662264.81</v>
      </c>
      <c r="N9" s="190">
        <v>74703082.049999997</v>
      </c>
      <c r="O9" s="190">
        <v>134322389.83000001</v>
      </c>
      <c r="P9" s="190">
        <v>39938347.32</v>
      </c>
      <c r="Q9" s="190">
        <v>65305741</v>
      </c>
      <c r="R9" s="190">
        <v>77288993.409999996</v>
      </c>
      <c r="S9" s="190">
        <v>84548274.409999996</v>
      </c>
      <c r="T9" s="190">
        <v>85403919.439999998</v>
      </c>
      <c r="U9" s="190">
        <v>95476147.269999996</v>
      </c>
      <c r="V9" s="190">
        <v>67164072.079999998</v>
      </c>
      <c r="W9" s="190">
        <v>80774323.829999998</v>
      </c>
      <c r="X9" s="190">
        <v>78499421.629999995</v>
      </c>
      <c r="Y9" s="190">
        <v>82871049.709999993</v>
      </c>
      <c r="Z9" s="190">
        <v>326582998.31999999</v>
      </c>
      <c r="AA9" s="190">
        <v>125272101.08</v>
      </c>
      <c r="AB9" s="190">
        <v>75959250.25</v>
      </c>
      <c r="AC9" s="190">
        <v>71225633.069999993</v>
      </c>
      <c r="AD9" s="190">
        <v>159059174.09</v>
      </c>
      <c r="AE9" s="190">
        <v>93050948.209999993</v>
      </c>
      <c r="AF9" s="190">
        <v>71559391.159999996</v>
      </c>
      <c r="AG9" s="190">
        <v>32784953.420000002</v>
      </c>
      <c r="AH9" s="190">
        <v>58828208.630000003</v>
      </c>
      <c r="AI9" s="190">
        <v>59513501.030000001</v>
      </c>
      <c r="AJ9" s="190">
        <v>51703350.530000001</v>
      </c>
      <c r="AK9" s="190">
        <v>14204408.310000001</v>
      </c>
      <c r="AL9" s="190">
        <v>189855</v>
      </c>
      <c r="AM9" s="190">
        <v>10370</v>
      </c>
      <c r="AN9" s="190">
        <v>0</v>
      </c>
    </row>
    <row r="10" spans="1:40" x14ac:dyDescent="0.25">
      <c r="A10" s="190" t="s">
        <v>114</v>
      </c>
      <c r="B10" s="190">
        <v>0</v>
      </c>
      <c r="C10" s="190">
        <v>0</v>
      </c>
      <c r="D10" s="190">
        <v>0</v>
      </c>
      <c r="E10" s="190">
        <v>0</v>
      </c>
      <c r="F10" s="190">
        <v>0</v>
      </c>
      <c r="G10" s="190">
        <v>0</v>
      </c>
      <c r="H10" s="190">
        <v>0</v>
      </c>
      <c r="I10" s="190">
        <v>0</v>
      </c>
      <c r="J10" s="190">
        <v>0</v>
      </c>
      <c r="K10" s="190">
        <v>0</v>
      </c>
      <c r="L10" s="190">
        <v>0</v>
      </c>
      <c r="M10" s="190">
        <v>0</v>
      </c>
      <c r="N10" s="190">
        <v>0</v>
      </c>
      <c r="O10" s="190">
        <v>0</v>
      </c>
      <c r="P10" s="190">
        <v>0</v>
      </c>
      <c r="Q10" s="190">
        <v>0</v>
      </c>
      <c r="R10" s="190">
        <v>0</v>
      </c>
      <c r="S10" s="190">
        <v>0</v>
      </c>
      <c r="T10" s="190">
        <v>0</v>
      </c>
      <c r="U10" s="190">
        <v>0</v>
      </c>
      <c r="V10" s="190">
        <v>0</v>
      </c>
      <c r="W10" s="190">
        <v>0</v>
      </c>
      <c r="X10" s="190">
        <v>0</v>
      </c>
      <c r="Y10" s="190">
        <v>0</v>
      </c>
      <c r="Z10" s="190">
        <v>0</v>
      </c>
      <c r="AA10" s="190">
        <v>0</v>
      </c>
      <c r="AB10" s="190">
        <v>0</v>
      </c>
      <c r="AC10" s="190">
        <v>0</v>
      </c>
      <c r="AD10" s="190">
        <v>0</v>
      </c>
      <c r="AE10" s="190">
        <v>0</v>
      </c>
      <c r="AF10" s="190">
        <v>0</v>
      </c>
      <c r="AG10" s="190">
        <v>0</v>
      </c>
      <c r="AH10" s="190">
        <v>0</v>
      </c>
      <c r="AI10" s="190">
        <v>0</v>
      </c>
      <c r="AJ10" s="190">
        <v>0</v>
      </c>
      <c r="AK10" s="190">
        <v>0</v>
      </c>
      <c r="AL10" s="190">
        <v>0</v>
      </c>
      <c r="AM10" s="190">
        <v>0</v>
      </c>
      <c r="AN10" s="190">
        <v>0</v>
      </c>
    </row>
    <row r="11" spans="1:40" x14ac:dyDescent="0.25">
      <c r="A11" s="190" t="s">
        <v>115</v>
      </c>
      <c r="B11" s="190">
        <v>0</v>
      </c>
      <c r="C11" s="190">
        <v>0</v>
      </c>
      <c r="D11" s="190">
        <v>0</v>
      </c>
      <c r="E11" s="190">
        <v>0</v>
      </c>
      <c r="F11" s="190">
        <v>0</v>
      </c>
      <c r="G11" s="190">
        <v>0</v>
      </c>
      <c r="H11" s="190">
        <v>0</v>
      </c>
      <c r="I11" s="190">
        <v>0</v>
      </c>
      <c r="J11" s="190">
        <v>0</v>
      </c>
      <c r="K11" s="190">
        <v>0</v>
      </c>
      <c r="L11" s="190">
        <v>0</v>
      </c>
      <c r="M11" s="190">
        <v>0</v>
      </c>
      <c r="N11" s="190">
        <v>0</v>
      </c>
      <c r="O11" s="190">
        <v>0</v>
      </c>
      <c r="P11" s="190">
        <v>0</v>
      </c>
      <c r="Q11" s="190">
        <v>0</v>
      </c>
      <c r="R11" s="190">
        <v>0</v>
      </c>
      <c r="S11" s="190">
        <v>0</v>
      </c>
      <c r="T11" s="190">
        <v>0</v>
      </c>
      <c r="U11" s="190">
        <v>0</v>
      </c>
      <c r="V11" s="190">
        <v>0</v>
      </c>
      <c r="W11" s="190">
        <v>0</v>
      </c>
      <c r="X11" s="190">
        <v>0</v>
      </c>
      <c r="Y11" s="190">
        <v>0</v>
      </c>
      <c r="Z11" s="190">
        <v>0</v>
      </c>
      <c r="AA11" s="190">
        <v>0</v>
      </c>
      <c r="AB11" s="190">
        <v>0</v>
      </c>
      <c r="AC11" s="190">
        <v>0</v>
      </c>
      <c r="AD11" s="190">
        <v>0</v>
      </c>
      <c r="AE11" s="190">
        <v>0</v>
      </c>
      <c r="AF11" s="190">
        <v>0</v>
      </c>
      <c r="AG11" s="190">
        <v>0</v>
      </c>
      <c r="AH11" s="190">
        <v>0</v>
      </c>
      <c r="AI11" s="190">
        <v>0</v>
      </c>
      <c r="AJ11" s="190">
        <v>0</v>
      </c>
      <c r="AK11" s="190">
        <v>0</v>
      </c>
      <c r="AL11" s="190">
        <v>0</v>
      </c>
      <c r="AM11" s="190">
        <v>0</v>
      </c>
      <c r="AN11" s="190">
        <v>0</v>
      </c>
    </row>
    <row r="12" spans="1:40" x14ac:dyDescent="0.25">
      <c r="A12" s="190" t="s">
        <v>116</v>
      </c>
      <c r="B12" s="190">
        <v>723430178.27999997</v>
      </c>
      <c r="C12" s="190">
        <v>497608220.94999999</v>
      </c>
      <c r="D12" s="190">
        <v>580057359.21000004</v>
      </c>
      <c r="E12" s="190">
        <v>583681240.80999994</v>
      </c>
      <c r="F12" s="190">
        <v>554550891.60000002</v>
      </c>
      <c r="G12" s="190">
        <v>709661672.51999998</v>
      </c>
      <c r="H12" s="190">
        <v>555148497.00999999</v>
      </c>
      <c r="I12" s="190">
        <v>528600591.43000001</v>
      </c>
      <c r="J12" s="190">
        <v>507084422.35000002</v>
      </c>
      <c r="K12" s="190">
        <v>424056220.81999999</v>
      </c>
      <c r="L12" s="190">
        <v>348014396.63999999</v>
      </c>
      <c r="M12" s="190">
        <v>335274098.54000002</v>
      </c>
      <c r="N12" s="190">
        <v>366442720.80000001</v>
      </c>
      <c r="O12" s="190">
        <v>343810650.77999997</v>
      </c>
      <c r="P12" s="190">
        <v>405530324.67000002</v>
      </c>
      <c r="Q12" s="190">
        <v>255289608.69999999</v>
      </c>
      <c r="R12" s="190">
        <v>293268530.19999999</v>
      </c>
      <c r="S12" s="190">
        <v>314244578.25999999</v>
      </c>
      <c r="T12" s="190">
        <v>219622522.36000001</v>
      </c>
      <c r="U12" s="190">
        <v>229767929.84999999</v>
      </c>
      <c r="V12" s="190">
        <v>215908063.37</v>
      </c>
      <c r="W12" s="190">
        <v>188416190.43000001</v>
      </c>
      <c r="X12" s="190">
        <v>157787075.34999999</v>
      </c>
      <c r="Y12" s="190">
        <v>129037030.54000001</v>
      </c>
      <c r="Z12" s="190">
        <v>127694320.44</v>
      </c>
      <c r="AA12" s="190">
        <v>83438739.700000003</v>
      </c>
      <c r="AB12" s="190">
        <v>72985459.629999995</v>
      </c>
      <c r="AC12" s="190">
        <v>60139588.299999997</v>
      </c>
      <c r="AD12" s="190">
        <v>80967083.650000006</v>
      </c>
      <c r="AE12" s="190">
        <v>51344981.969999999</v>
      </c>
      <c r="AF12" s="190">
        <v>54322350.920000002</v>
      </c>
      <c r="AG12" s="190">
        <v>36008032</v>
      </c>
      <c r="AH12" s="190">
        <v>41620668.840000004</v>
      </c>
      <c r="AI12" s="190">
        <v>30004693.489999998</v>
      </c>
      <c r="AJ12" s="190">
        <v>30059464.77</v>
      </c>
      <c r="AK12" s="190">
        <v>18116534.34</v>
      </c>
      <c r="AL12" s="190">
        <v>11872243.52</v>
      </c>
      <c r="AM12" s="190">
        <v>14845134.439999999</v>
      </c>
      <c r="AN12" s="190">
        <v>0</v>
      </c>
    </row>
    <row r="13" spans="1:40" x14ac:dyDescent="0.25">
      <c r="A13" s="190" t="s">
        <v>117</v>
      </c>
      <c r="B13" s="190">
        <v>0</v>
      </c>
      <c r="C13" s="190">
        <v>0</v>
      </c>
      <c r="D13" s="190">
        <v>0</v>
      </c>
      <c r="E13" s="190">
        <v>0</v>
      </c>
      <c r="F13" s="190">
        <v>0</v>
      </c>
      <c r="G13" s="190">
        <v>0</v>
      </c>
      <c r="H13" s="190">
        <v>0</v>
      </c>
      <c r="I13" s="190">
        <v>0</v>
      </c>
      <c r="J13" s="190">
        <v>0</v>
      </c>
      <c r="K13" s="190">
        <v>0</v>
      </c>
      <c r="L13" s="190">
        <v>0</v>
      </c>
      <c r="M13" s="190">
        <v>0</v>
      </c>
      <c r="N13" s="190">
        <v>0</v>
      </c>
      <c r="O13" s="190">
        <v>0</v>
      </c>
      <c r="P13" s="190">
        <v>0</v>
      </c>
      <c r="Q13" s="190">
        <v>0</v>
      </c>
      <c r="R13" s="190">
        <v>0</v>
      </c>
      <c r="S13" s="190">
        <v>0</v>
      </c>
      <c r="T13" s="190">
        <v>0</v>
      </c>
      <c r="U13" s="190">
        <v>0</v>
      </c>
      <c r="V13" s="190">
        <v>0</v>
      </c>
      <c r="W13" s="190">
        <v>0</v>
      </c>
      <c r="X13" s="190">
        <v>0</v>
      </c>
      <c r="Y13" s="190">
        <v>0</v>
      </c>
      <c r="Z13" s="190">
        <v>0</v>
      </c>
      <c r="AA13" s="190">
        <v>0</v>
      </c>
      <c r="AB13" s="190">
        <v>0</v>
      </c>
      <c r="AC13" s="190">
        <v>0</v>
      </c>
      <c r="AD13" s="190">
        <v>0</v>
      </c>
      <c r="AE13" s="190">
        <v>0</v>
      </c>
      <c r="AF13" s="190">
        <v>0</v>
      </c>
      <c r="AG13" s="190">
        <v>0</v>
      </c>
      <c r="AH13" s="190">
        <v>0</v>
      </c>
      <c r="AI13" s="190">
        <v>0</v>
      </c>
      <c r="AJ13" s="190">
        <v>0</v>
      </c>
      <c r="AK13" s="190">
        <v>0</v>
      </c>
      <c r="AL13" s="190">
        <v>0</v>
      </c>
      <c r="AM13" s="190">
        <v>0</v>
      </c>
      <c r="AN13" s="190">
        <v>0</v>
      </c>
    </row>
    <row r="14" spans="1:40" x14ac:dyDescent="0.25">
      <c r="A14" s="190" t="s">
        <v>118</v>
      </c>
      <c r="B14" s="190">
        <v>5797676969.3599997</v>
      </c>
      <c r="C14" s="190">
        <v>5507182528.9300003</v>
      </c>
      <c r="D14" s="190">
        <v>5309146630.8000002</v>
      </c>
      <c r="E14" s="190">
        <v>4940332311.6499996</v>
      </c>
      <c r="F14" s="190">
        <v>5440626715.7200003</v>
      </c>
      <c r="G14" s="190">
        <v>4935820439.5100002</v>
      </c>
      <c r="H14" s="190">
        <v>4422171233.1800003</v>
      </c>
      <c r="I14" s="190">
        <v>3825159212.2800002</v>
      </c>
      <c r="J14" s="190">
        <v>4378378995.5100002</v>
      </c>
      <c r="K14" s="190">
        <v>3614090858.8699999</v>
      </c>
      <c r="L14" s="190">
        <v>3197367212.8099999</v>
      </c>
      <c r="M14" s="190">
        <v>2818665737.1100001</v>
      </c>
      <c r="N14" s="190">
        <v>2610347737.21</v>
      </c>
      <c r="O14" s="190">
        <v>2801065155.1700001</v>
      </c>
      <c r="P14" s="190">
        <v>2960221199.0999999</v>
      </c>
      <c r="Q14" s="190">
        <v>2291934275.7600002</v>
      </c>
      <c r="R14" s="190">
        <v>2443890365.8299999</v>
      </c>
      <c r="S14" s="190">
        <v>2028352538.8199999</v>
      </c>
      <c r="T14" s="190">
        <v>1651245978.79</v>
      </c>
      <c r="U14" s="190">
        <v>1428667757.02</v>
      </c>
      <c r="V14" s="190">
        <v>1637253482.78</v>
      </c>
      <c r="W14" s="190">
        <v>1271437089.8</v>
      </c>
      <c r="X14" s="190">
        <v>1227068976.1500001</v>
      </c>
      <c r="Y14" s="190">
        <v>1017937356.11</v>
      </c>
      <c r="Z14" s="190">
        <v>950486204.63</v>
      </c>
      <c r="AA14" s="190">
        <v>901823206.12</v>
      </c>
      <c r="AB14" s="190">
        <v>819016975.83000004</v>
      </c>
      <c r="AC14" s="190">
        <v>769097776.53999996</v>
      </c>
      <c r="AD14" s="190">
        <v>794695575.01999998</v>
      </c>
      <c r="AE14" s="190">
        <v>720008872.72000003</v>
      </c>
      <c r="AF14" s="190">
        <v>630981285.64999998</v>
      </c>
      <c r="AG14" s="190">
        <v>625345392.03999996</v>
      </c>
      <c r="AH14" s="190">
        <v>780157123.53999996</v>
      </c>
      <c r="AI14" s="190">
        <v>704118174.12</v>
      </c>
      <c r="AJ14" s="190">
        <v>456220456.87</v>
      </c>
      <c r="AK14" s="190">
        <v>392950169.44999999</v>
      </c>
      <c r="AL14" s="190">
        <v>219387511.16</v>
      </c>
      <c r="AM14" s="190">
        <v>223233592.53</v>
      </c>
      <c r="AN14" s="190">
        <v>0</v>
      </c>
    </row>
    <row r="15" spans="1:40" x14ac:dyDescent="0.25">
      <c r="A15" s="190" t="s">
        <v>119</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row>
    <row r="16" spans="1:40" x14ac:dyDescent="0.25">
      <c r="A16" s="190" t="s">
        <v>120</v>
      </c>
      <c r="B16" s="190">
        <v>78666535.329999998</v>
      </c>
      <c r="C16" s="190">
        <v>76858384.200000003</v>
      </c>
      <c r="D16" s="190">
        <v>80707361.519999996</v>
      </c>
      <c r="E16" s="190">
        <v>66566230.119999997</v>
      </c>
      <c r="F16" s="190">
        <v>0</v>
      </c>
      <c r="G16" s="190">
        <v>0</v>
      </c>
      <c r="H16" s="190">
        <v>0</v>
      </c>
      <c r="I16" s="190">
        <v>0</v>
      </c>
      <c r="J16" s="190">
        <v>0</v>
      </c>
      <c r="K16" s="190">
        <v>0</v>
      </c>
      <c r="L16" s="190">
        <v>0</v>
      </c>
      <c r="M16" s="190">
        <v>0</v>
      </c>
      <c r="N16" s="190">
        <v>0</v>
      </c>
      <c r="O16" s="190">
        <v>0</v>
      </c>
      <c r="P16" s="190">
        <v>0</v>
      </c>
      <c r="Q16" s="190">
        <v>0</v>
      </c>
      <c r="R16" s="190">
        <v>0</v>
      </c>
      <c r="S16" s="190">
        <v>0</v>
      </c>
      <c r="T16" s="190">
        <v>0</v>
      </c>
      <c r="U16" s="190">
        <v>0</v>
      </c>
      <c r="V16" s="190">
        <v>0</v>
      </c>
      <c r="W16" s="190">
        <v>0</v>
      </c>
      <c r="X16" s="190">
        <v>0</v>
      </c>
      <c r="Y16" s="190">
        <v>0</v>
      </c>
      <c r="Z16" s="190">
        <v>0</v>
      </c>
      <c r="AA16" s="190">
        <v>0</v>
      </c>
      <c r="AB16" s="190">
        <v>0</v>
      </c>
      <c r="AC16" s="190">
        <v>0</v>
      </c>
      <c r="AD16" s="190">
        <v>0</v>
      </c>
      <c r="AE16" s="190">
        <v>0</v>
      </c>
      <c r="AF16" s="190">
        <v>0</v>
      </c>
      <c r="AG16" s="190">
        <v>0</v>
      </c>
      <c r="AH16" s="190">
        <v>0</v>
      </c>
      <c r="AI16" s="190">
        <v>0</v>
      </c>
      <c r="AJ16" s="190">
        <v>0</v>
      </c>
      <c r="AK16" s="190">
        <v>0</v>
      </c>
      <c r="AL16" s="190">
        <v>0</v>
      </c>
      <c r="AM16" s="190">
        <v>0</v>
      </c>
      <c r="AN16" s="190">
        <v>0</v>
      </c>
    </row>
    <row r="17" spans="1:40" x14ac:dyDescent="0.25">
      <c r="A17" s="190" t="s">
        <v>121</v>
      </c>
      <c r="B17" s="190">
        <v>0</v>
      </c>
      <c r="C17" s="190">
        <v>0</v>
      </c>
      <c r="D17" s="190">
        <v>0</v>
      </c>
      <c r="E17" s="190">
        <v>0</v>
      </c>
      <c r="F17" s="190">
        <v>0</v>
      </c>
      <c r="G17" s="190">
        <v>0</v>
      </c>
      <c r="H17" s="190">
        <v>0</v>
      </c>
      <c r="I17" s="190">
        <v>0</v>
      </c>
      <c r="J17" s="190">
        <v>0</v>
      </c>
      <c r="K17" s="190">
        <v>0</v>
      </c>
      <c r="L17" s="190">
        <v>0</v>
      </c>
      <c r="M17" s="190">
        <v>0</v>
      </c>
      <c r="N17" s="190">
        <v>0</v>
      </c>
      <c r="O17" s="190">
        <v>0</v>
      </c>
      <c r="P17" s="190">
        <v>0</v>
      </c>
      <c r="Q17" s="190">
        <v>0</v>
      </c>
      <c r="R17" s="190">
        <v>0</v>
      </c>
      <c r="S17" s="190">
        <v>0</v>
      </c>
      <c r="T17" s="190">
        <v>0</v>
      </c>
      <c r="U17" s="190">
        <v>0</v>
      </c>
      <c r="V17" s="190">
        <v>0</v>
      </c>
      <c r="W17" s="190">
        <v>0</v>
      </c>
      <c r="X17" s="190">
        <v>0</v>
      </c>
      <c r="Y17" s="190">
        <v>0</v>
      </c>
      <c r="Z17" s="190">
        <v>0</v>
      </c>
      <c r="AA17" s="190">
        <v>0</v>
      </c>
      <c r="AB17" s="190">
        <v>0</v>
      </c>
      <c r="AC17" s="190">
        <v>0</v>
      </c>
      <c r="AD17" s="190">
        <v>0</v>
      </c>
      <c r="AE17" s="190">
        <v>0</v>
      </c>
      <c r="AF17" s="190">
        <v>0</v>
      </c>
      <c r="AG17" s="190">
        <v>0</v>
      </c>
      <c r="AH17" s="190">
        <v>0</v>
      </c>
      <c r="AI17" s="190">
        <v>0</v>
      </c>
      <c r="AJ17" s="190">
        <v>0</v>
      </c>
      <c r="AK17" s="190">
        <v>0</v>
      </c>
      <c r="AL17" s="190">
        <v>0</v>
      </c>
      <c r="AM17" s="190">
        <v>0</v>
      </c>
      <c r="AN17" s="190">
        <v>0</v>
      </c>
    </row>
    <row r="18" spans="1:40" x14ac:dyDescent="0.25">
      <c r="A18" s="190" t="s">
        <v>122</v>
      </c>
      <c r="B18" s="190">
        <v>0</v>
      </c>
      <c r="C18" s="190">
        <v>0</v>
      </c>
      <c r="D18" s="190">
        <v>0</v>
      </c>
      <c r="E18" s="190">
        <v>0</v>
      </c>
      <c r="F18" s="190">
        <v>0</v>
      </c>
      <c r="G18" s="190">
        <v>0</v>
      </c>
      <c r="H18" s="190">
        <v>0</v>
      </c>
      <c r="I18" s="190">
        <v>0</v>
      </c>
      <c r="J18" s="190">
        <v>0</v>
      </c>
      <c r="K18" s="190">
        <v>0</v>
      </c>
      <c r="L18" s="190">
        <v>0</v>
      </c>
      <c r="M18" s="190">
        <v>0</v>
      </c>
      <c r="N18" s="190">
        <v>0</v>
      </c>
      <c r="O18" s="190">
        <v>0</v>
      </c>
      <c r="P18" s="190">
        <v>0</v>
      </c>
      <c r="Q18" s="190">
        <v>0</v>
      </c>
      <c r="R18" s="190">
        <v>0</v>
      </c>
      <c r="S18" s="190">
        <v>0</v>
      </c>
      <c r="T18" s="190">
        <v>0</v>
      </c>
      <c r="U18" s="190">
        <v>0</v>
      </c>
      <c r="V18" s="190">
        <v>0</v>
      </c>
      <c r="W18" s="190">
        <v>0</v>
      </c>
      <c r="X18" s="190">
        <v>0</v>
      </c>
      <c r="Y18" s="190">
        <v>0</v>
      </c>
      <c r="Z18" s="190">
        <v>0</v>
      </c>
      <c r="AA18" s="190">
        <v>0</v>
      </c>
      <c r="AB18" s="190">
        <v>0</v>
      </c>
      <c r="AC18" s="190">
        <v>0</v>
      </c>
      <c r="AD18" s="190">
        <v>0</v>
      </c>
      <c r="AE18" s="190">
        <v>0</v>
      </c>
      <c r="AF18" s="190">
        <v>0</v>
      </c>
      <c r="AG18" s="190">
        <v>0</v>
      </c>
      <c r="AH18" s="190">
        <v>0</v>
      </c>
      <c r="AI18" s="190">
        <v>0</v>
      </c>
      <c r="AJ18" s="190">
        <v>0</v>
      </c>
      <c r="AK18" s="190">
        <v>0</v>
      </c>
      <c r="AL18" s="190">
        <v>0</v>
      </c>
      <c r="AM18" s="190">
        <v>0</v>
      </c>
      <c r="AN18" s="190">
        <v>0</v>
      </c>
    </row>
    <row r="19" spans="1:40" x14ac:dyDescent="0.25">
      <c r="A19" s="190" t="s">
        <v>123</v>
      </c>
      <c r="B19" s="190">
        <v>711908681.58000004</v>
      </c>
      <c r="C19" s="190">
        <v>1423012974.05</v>
      </c>
      <c r="D19" s="190">
        <v>4696676281.4799995</v>
      </c>
      <c r="E19" s="190">
        <v>3720449532.8800001</v>
      </c>
      <c r="F19" s="190">
        <v>512032844.25999999</v>
      </c>
      <c r="G19" s="190">
        <v>428103172.17000002</v>
      </c>
      <c r="H19" s="190">
        <v>738727811.37</v>
      </c>
      <c r="I19" s="190">
        <v>4153992276.7800002</v>
      </c>
      <c r="J19" s="190">
        <v>908826826</v>
      </c>
      <c r="K19" s="190">
        <v>1068880452.6900001</v>
      </c>
      <c r="L19" s="190">
        <v>3190318035.0100002</v>
      </c>
      <c r="M19" s="190">
        <v>2113013249.46</v>
      </c>
      <c r="N19" s="190">
        <v>1882600242.55</v>
      </c>
      <c r="O19" s="190">
        <v>2082680286.4300001</v>
      </c>
      <c r="P19" s="190">
        <v>1955220859.27</v>
      </c>
      <c r="Q19" s="190">
        <v>3135369069.6599998</v>
      </c>
      <c r="R19" s="190">
        <v>3343120240.79</v>
      </c>
      <c r="S19" s="190">
        <v>3142730872.4000001</v>
      </c>
      <c r="T19" s="190">
        <v>2706019562.8800001</v>
      </c>
      <c r="U19" s="190">
        <v>2380272976.1799998</v>
      </c>
      <c r="V19" s="190">
        <v>42700704.630000003</v>
      </c>
      <c r="W19" s="190">
        <v>41970700.020000003</v>
      </c>
      <c r="X19" s="190">
        <v>87484057.569999993</v>
      </c>
      <c r="Y19" s="190">
        <v>132122410.54000001</v>
      </c>
      <c r="Z19" s="190">
        <v>0</v>
      </c>
      <c r="AA19" s="190">
        <v>0</v>
      </c>
      <c r="AB19" s="190">
        <v>0</v>
      </c>
      <c r="AC19" s="190">
        <v>0</v>
      </c>
      <c r="AD19" s="190">
        <v>0</v>
      </c>
      <c r="AE19" s="190">
        <v>0</v>
      </c>
      <c r="AF19" s="190">
        <v>0</v>
      </c>
      <c r="AG19" s="190">
        <v>0</v>
      </c>
      <c r="AH19" s="190">
        <v>3583747</v>
      </c>
      <c r="AI19" s="190">
        <v>4875620.5</v>
      </c>
      <c r="AJ19" s="190">
        <v>6247990</v>
      </c>
      <c r="AK19" s="190">
        <v>0</v>
      </c>
      <c r="AL19" s="190">
        <v>0</v>
      </c>
      <c r="AM19" s="190">
        <v>205599.74</v>
      </c>
      <c r="AN19" s="190">
        <v>0</v>
      </c>
    </row>
    <row r="20" spans="1:40" x14ac:dyDescent="0.25">
      <c r="A20" s="190" t="s">
        <v>124</v>
      </c>
      <c r="B20" s="190">
        <v>46230678165.139999</v>
      </c>
      <c r="C20" s="190">
        <v>41731417634.330002</v>
      </c>
      <c r="D20" s="190">
        <v>42554645828.120003</v>
      </c>
      <c r="E20" s="190">
        <v>44653309221.589996</v>
      </c>
      <c r="F20" s="190">
        <v>38491004091.879997</v>
      </c>
      <c r="G20" s="190">
        <v>36105677044.099998</v>
      </c>
      <c r="H20" s="190">
        <v>37669852296.760002</v>
      </c>
      <c r="I20" s="190">
        <v>36523481116.059998</v>
      </c>
      <c r="J20" s="190">
        <v>32205011569.790001</v>
      </c>
      <c r="K20" s="190">
        <v>27836724002.880001</v>
      </c>
      <c r="L20" s="190">
        <v>27335653003.709999</v>
      </c>
      <c r="M20" s="190">
        <v>26682357025.419998</v>
      </c>
      <c r="N20" s="190">
        <v>22401146457.240002</v>
      </c>
      <c r="O20" s="190">
        <v>20516407290.610001</v>
      </c>
      <c r="P20" s="190">
        <v>19087040761.84</v>
      </c>
      <c r="Q20" s="190">
        <v>19107886996.09</v>
      </c>
      <c r="R20" s="190">
        <v>15289433232.26</v>
      </c>
      <c r="S20" s="190">
        <v>14598304287.84</v>
      </c>
      <c r="T20" s="190">
        <v>12794344427.1</v>
      </c>
      <c r="U20" s="190">
        <v>12389934785.549999</v>
      </c>
      <c r="V20" s="190">
        <v>9977623573.3700008</v>
      </c>
      <c r="W20" s="190">
        <v>8879836379.8600006</v>
      </c>
      <c r="X20" s="190">
        <v>8063279071.3199997</v>
      </c>
      <c r="Y20" s="190">
        <v>8811669995.8799992</v>
      </c>
      <c r="Z20" s="190">
        <v>7984213430.9700003</v>
      </c>
      <c r="AA20" s="190">
        <v>7287158556.3100004</v>
      </c>
      <c r="AB20" s="190">
        <v>7141343192.7700005</v>
      </c>
      <c r="AC20" s="190">
        <v>7401148478.1700001</v>
      </c>
      <c r="AD20" s="190">
        <v>6448802557.5200005</v>
      </c>
      <c r="AE20" s="190">
        <v>6089642848.0799999</v>
      </c>
      <c r="AF20" s="190">
        <v>5978828722.9499998</v>
      </c>
      <c r="AG20" s="190">
        <v>5985426981.2200003</v>
      </c>
      <c r="AH20" s="190">
        <v>5293939918.7299995</v>
      </c>
      <c r="AI20" s="190">
        <v>5418943979.9899998</v>
      </c>
      <c r="AJ20" s="190">
        <v>1831609257.6400001</v>
      </c>
      <c r="AK20" s="190">
        <v>1873584822.5699999</v>
      </c>
      <c r="AL20" s="190">
        <v>1262095200.27</v>
      </c>
      <c r="AM20" s="190">
        <v>814299351.00999999</v>
      </c>
      <c r="AN20" s="190">
        <v>0</v>
      </c>
    </row>
    <row r="21" spans="1:40" x14ac:dyDescent="0.25">
      <c r="A21" s="190" t="s">
        <v>125</v>
      </c>
    </row>
    <row r="22" spans="1:40" x14ac:dyDescent="0.25">
      <c r="A22" s="190" t="s">
        <v>126</v>
      </c>
      <c r="B22" s="190">
        <v>0</v>
      </c>
      <c r="C22" s="190">
        <v>0</v>
      </c>
      <c r="D22" s="190">
        <v>0</v>
      </c>
      <c r="E22" s="190">
        <v>0</v>
      </c>
      <c r="F22" s="190">
        <v>0</v>
      </c>
      <c r="G22" s="190">
        <v>0</v>
      </c>
      <c r="H22" s="190">
        <v>0</v>
      </c>
      <c r="I22" s="190">
        <v>0</v>
      </c>
      <c r="J22" s="190">
        <v>0</v>
      </c>
      <c r="K22" s="190">
        <v>0</v>
      </c>
      <c r="L22" s="190">
        <v>0</v>
      </c>
      <c r="M22" s="190">
        <v>0</v>
      </c>
      <c r="N22" s="190">
        <v>0</v>
      </c>
      <c r="O22" s="190">
        <v>0</v>
      </c>
      <c r="P22" s="190">
        <v>0</v>
      </c>
      <c r="Q22" s="190">
        <v>0</v>
      </c>
      <c r="R22" s="190">
        <v>0</v>
      </c>
      <c r="S22" s="190">
        <v>0</v>
      </c>
      <c r="T22" s="190">
        <v>0</v>
      </c>
      <c r="U22" s="190">
        <v>0</v>
      </c>
      <c r="V22" s="190">
        <v>0</v>
      </c>
      <c r="W22" s="190">
        <v>0</v>
      </c>
      <c r="X22" s="190">
        <v>0</v>
      </c>
      <c r="Y22" s="190">
        <v>0</v>
      </c>
      <c r="Z22" s="190">
        <v>0</v>
      </c>
      <c r="AA22" s="190">
        <v>0</v>
      </c>
      <c r="AB22" s="190">
        <v>0</v>
      </c>
      <c r="AC22" s="190">
        <v>0</v>
      </c>
      <c r="AD22" s="190">
        <v>0</v>
      </c>
      <c r="AE22" s="190">
        <v>0</v>
      </c>
      <c r="AF22" s="190">
        <v>0</v>
      </c>
      <c r="AG22" s="190">
        <v>0</v>
      </c>
      <c r="AH22" s="190">
        <v>0</v>
      </c>
      <c r="AI22" s="190">
        <v>0</v>
      </c>
      <c r="AJ22" s="190">
        <v>0</v>
      </c>
      <c r="AK22" s="190">
        <v>0</v>
      </c>
      <c r="AL22" s="190">
        <v>0</v>
      </c>
      <c r="AM22" s="190">
        <v>0</v>
      </c>
      <c r="AN22" s="190">
        <v>0</v>
      </c>
    </row>
    <row r="23" spans="1:40" x14ac:dyDescent="0.25">
      <c r="A23" s="190" t="s">
        <v>127</v>
      </c>
      <c r="B23" s="190">
        <v>287466813</v>
      </c>
      <c r="C23" s="190">
        <v>287466813</v>
      </c>
      <c r="D23" s="190">
        <v>287466813</v>
      </c>
      <c r="E23" s="190">
        <v>287466813</v>
      </c>
      <c r="F23" s="190">
        <v>287466813</v>
      </c>
      <c r="G23" s="190">
        <v>283836013</v>
      </c>
      <c r="H23" s="190">
        <v>283836013</v>
      </c>
      <c r="I23" s="190">
        <v>283836013</v>
      </c>
      <c r="J23" s="190">
        <v>56043513</v>
      </c>
      <c r="K23" s="190">
        <v>56033513</v>
      </c>
      <c r="L23" s="190">
        <v>56033513</v>
      </c>
      <c r="M23" s="190">
        <v>56033513</v>
      </c>
      <c r="N23" s="190">
        <v>604313</v>
      </c>
      <c r="O23" s="190">
        <v>604313</v>
      </c>
      <c r="P23" s="190">
        <v>604313</v>
      </c>
      <c r="Q23" s="190">
        <v>604313</v>
      </c>
      <c r="R23" s="190">
        <v>604313</v>
      </c>
      <c r="S23" s="190">
        <v>0</v>
      </c>
      <c r="T23" s="190">
        <v>0</v>
      </c>
      <c r="U23" s="190">
        <v>0</v>
      </c>
      <c r="V23" s="190">
        <v>0</v>
      </c>
      <c r="W23" s="190">
        <v>0</v>
      </c>
      <c r="X23" s="190">
        <v>0</v>
      </c>
      <c r="Y23" s="190">
        <v>0</v>
      </c>
      <c r="Z23" s="190">
        <v>0</v>
      </c>
      <c r="AA23" s="190">
        <v>0</v>
      </c>
      <c r="AB23" s="190">
        <v>0</v>
      </c>
      <c r="AC23" s="190">
        <v>0</v>
      </c>
      <c r="AD23" s="190">
        <v>0</v>
      </c>
      <c r="AE23" s="190">
        <v>0</v>
      </c>
      <c r="AF23" s="190">
        <v>0</v>
      </c>
      <c r="AG23" s="190">
        <v>0</v>
      </c>
      <c r="AH23" s="190">
        <v>0</v>
      </c>
      <c r="AI23" s="190">
        <v>0</v>
      </c>
      <c r="AJ23" s="190">
        <v>0</v>
      </c>
      <c r="AK23" s="190">
        <v>0</v>
      </c>
      <c r="AL23" s="190">
        <v>0</v>
      </c>
      <c r="AM23" s="190">
        <v>0</v>
      </c>
      <c r="AN23" s="190">
        <v>0</v>
      </c>
    </row>
    <row r="24" spans="1:40" x14ac:dyDescent="0.25">
      <c r="A24" s="190" t="s">
        <v>128</v>
      </c>
      <c r="B24" s="190">
        <v>0</v>
      </c>
      <c r="C24" s="190">
        <v>0</v>
      </c>
      <c r="D24" s="190">
        <v>0</v>
      </c>
      <c r="E24" s="190">
        <v>0</v>
      </c>
      <c r="F24" s="190">
        <v>0</v>
      </c>
      <c r="G24" s="190">
        <v>0</v>
      </c>
      <c r="H24" s="190">
        <v>0</v>
      </c>
      <c r="I24" s="190">
        <v>0</v>
      </c>
      <c r="J24" s="190">
        <v>0</v>
      </c>
      <c r="K24" s="190">
        <v>0</v>
      </c>
      <c r="L24" s="190">
        <v>0</v>
      </c>
      <c r="M24" s="190">
        <v>0</v>
      </c>
      <c r="N24" s="190">
        <v>0</v>
      </c>
      <c r="O24" s="190">
        <v>0</v>
      </c>
      <c r="P24" s="190">
        <v>0</v>
      </c>
      <c r="Q24" s="190">
        <v>0</v>
      </c>
      <c r="R24" s="190">
        <v>0</v>
      </c>
      <c r="S24" s="190">
        <v>0</v>
      </c>
      <c r="T24" s="190">
        <v>0</v>
      </c>
      <c r="U24" s="190">
        <v>0</v>
      </c>
      <c r="V24" s="190">
        <v>595000000</v>
      </c>
      <c r="W24" s="190">
        <v>895000000</v>
      </c>
      <c r="X24" s="190">
        <v>816500000</v>
      </c>
      <c r="Y24" s="190">
        <v>300000000</v>
      </c>
      <c r="Z24" s="190">
        <v>0</v>
      </c>
      <c r="AA24" s="190">
        <v>0</v>
      </c>
      <c r="AB24" s="190">
        <v>0</v>
      </c>
      <c r="AC24" s="190">
        <v>0</v>
      </c>
      <c r="AD24" s="190">
        <v>0</v>
      </c>
      <c r="AE24" s="190">
        <v>0</v>
      </c>
      <c r="AF24" s="190">
        <v>0</v>
      </c>
      <c r="AG24" s="190">
        <v>0</v>
      </c>
      <c r="AH24" s="190">
        <v>0</v>
      </c>
      <c r="AI24" s="190">
        <v>0</v>
      </c>
      <c r="AJ24" s="190">
        <v>0</v>
      </c>
      <c r="AK24" s="190">
        <v>0</v>
      </c>
      <c r="AL24" s="190">
        <v>0</v>
      </c>
      <c r="AM24" s="190">
        <v>0</v>
      </c>
      <c r="AN24" s="190">
        <v>0</v>
      </c>
    </row>
    <row r="25" spans="1:40" x14ac:dyDescent="0.25">
      <c r="A25" s="190" t="s">
        <v>129</v>
      </c>
      <c r="B25" s="190">
        <v>24113182.32</v>
      </c>
      <c r="C25" s="190">
        <v>35767446.979999997</v>
      </c>
      <c r="D25" s="190">
        <v>32655340.300000001</v>
      </c>
      <c r="E25" s="190">
        <v>23375680.609999999</v>
      </c>
      <c r="F25" s="190">
        <v>134283654.33000001</v>
      </c>
      <c r="G25" s="190">
        <v>171142345.99000001</v>
      </c>
      <c r="H25" s="190">
        <v>187671161.28999999</v>
      </c>
      <c r="I25" s="190">
        <v>251588919.15000001</v>
      </c>
      <c r="J25" s="190">
        <v>84835230.739999995</v>
      </c>
      <c r="K25" s="190">
        <v>108518120.86</v>
      </c>
      <c r="L25" s="190">
        <v>106359155.97</v>
      </c>
      <c r="M25" s="190">
        <v>105903265.79000001</v>
      </c>
      <c r="N25" s="190">
        <v>64409309.100000001</v>
      </c>
      <c r="O25" s="190">
        <v>67612196.599999994</v>
      </c>
      <c r="P25" s="190">
        <v>77627950.439999998</v>
      </c>
      <c r="Q25" s="190">
        <v>87321837.170000002</v>
      </c>
      <c r="R25" s="190">
        <v>92320751.239999995</v>
      </c>
      <c r="S25" s="190">
        <v>94880103.590000004</v>
      </c>
      <c r="T25" s="190">
        <v>75750570.510000005</v>
      </c>
      <c r="U25" s="190">
        <v>93787282.939999998</v>
      </c>
      <c r="V25" s="190">
        <v>174757723.59999999</v>
      </c>
      <c r="W25" s="190">
        <v>178206756.09</v>
      </c>
      <c r="X25" s="190">
        <v>175724911.06</v>
      </c>
      <c r="Y25" s="190">
        <v>171730217.03</v>
      </c>
      <c r="Z25" s="190">
        <v>162853171.81</v>
      </c>
      <c r="AA25" s="190">
        <v>154901113.5</v>
      </c>
      <c r="AB25" s="190">
        <v>143931496.96000001</v>
      </c>
      <c r="AC25" s="190">
        <v>108358941.87</v>
      </c>
      <c r="AD25" s="190">
        <v>4904743.91</v>
      </c>
      <c r="AE25" s="190">
        <v>580773</v>
      </c>
      <c r="AF25" s="190">
        <v>0</v>
      </c>
      <c r="AG25" s="190">
        <v>0</v>
      </c>
      <c r="AH25" s="190">
        <v>0</v>
      </c>
      <c r="AI25" s="190">
        <v>0</v>
      </c>
      <c r="AJ25" s="190">
        <v>0</v>
      </c>
      <c r="AK25" s="190">
        <v>0</v>
      </c>
      <c r="AL25" s="190">
        <v>0</v>
      </c>
      <c r="AM25" s="190">
        <v>0</v>
      </c>
      <c r="AN25" s="190">
        <v>0</v>
      </c>
    </row>
    <row r="26" spans="1:40" x14ac:dyDescent="0.25">
      <c r="A26" s="190" t="s">
        <v>130</v>
      </c>
      <c r="B26" s="190">
        <v>174256515.30000001</v>
      </c>
      <c r="C26" s="190">
        <v>160012824.27000001</v>
      </c>
      <c r="D26" s="190">
        <v>130817506.06</v>
      </c>
      <c r="E26" s="190">
        <v>130474733.58</v>
      </c>
      <c r="F26" s="190">
        <v>124385439.20999999</v>
      </c>
      <c r="G26" s="190">
        <v>129122297.95</v>
      </c>
      <c r="H26" s="190">
        <v>80000000</v>
      </c>
      <c r="I26" s="190">
        <v>35000000</v>
      </c>
      <c r="J26" s="190">
        <v>0</v>
      </c>
      <c r="K26" s="190">
        <v>0</v>
      </c>
      <c r="L26" s="190">
        <v>0</v>
      </c>
      <c r="M26" s="190">
        <v>0</v>
      </c>
      <c r="N26" s="190">
        <v>0</v>
      </c>
      <c r="O26" s="190">
        <v>0</v>
      </c>
      <c r="P26" s="190">
        <v>0</v>
      </c>
      <c r="Q26" s="190">
        <v>0</v>
      </c>
      <c r="R26" s="190">
        <v>51079.89</v>
      </c>
      <c r="S26" s="190">
        <v>655392.89</v>
      </c>
      <c r="T26" s="190">
        <v>1008054.3</v>
      </c>
      <c r="U26" s="190">
        <v>1008054.3</v>
      </c>
      <c r="V26" s="190">
        <v>1092280.75</v>
      </c>
      <c r="W26" s="190">
        <v>1248159.28</v>
      </c>
      <c r="X26" s="190">
        <v>1368501.12</v>
      </c>
      <c r="Y26" s="190">
        <v>1462726.94</v>
      </c>
      <c r="Z26" s="190">
        <v>1661600.83</v>
      </c>
      <c r="AA26" s="190">
        <v>1661600.83</v>
      </c>
      <c r="AB26" s="190">
        <v>604313</v>
      </c>
      <c r="AC26" s="190">
        <v>604313</v>
      </c>
      <c r="AD26" s="190">
        <v>604313</v>
      </c>
      <c r="AE26" s="190">
        <v>604313</v>
      </c>
      <c r="AF26" s="190">
        <v>604313</v>
      </c>
      <c r="AG26" s="190">
        <v>14009211.65</v>
      </c>
      <c r="AH26" s="190">
        <v>10164536.99</v>
      </c>
      <c r="AI26" s="190">
        <v>10164536.99</v>
      </c>
      <c r="AJ26" s="190">
        <v>10664509.92</v>
      </c>
      <c r="AK26" s="190">
        <v>10664509.92</v>
      </c>
      <c r="AL26" s="190">
        <v>16197844.17</v>
      </c>
      <c r="AM26" s="190">
        <v>0</v>
      </c>
      <c r="AN26" s="190">
        <v>0</v>
      </c>
    </row>
    <row r="27" spans="1:40" x14ac:dyDescent="0.25">
      <c r="A27" s="190" t="s">
        <v>131</v>
      </c>
      <c r="B27" s="190">
        <v>0</v>
      </c>
      <c r="C27" s="190">
        <v>0</v>
      </c>
      <c r="D27" s="190">
        <v>0</v>
      </c>
      <c r="E27" s="190">
        <v>0</v>
      </c>
      <c r="F27" s="190">
        <v>0</v>
      </c>
      <c r="G27" s="190">
        <v>0</v>
      </c>
      <c r="H27" s="190">
        <v>0</v>
      </c>
      <c r="I27" s="190">
        <v>0</v>
      </c>
      <c r="J27" s="190">
        <v>0</v>
      </c>
      <c r="K27" s="190">
        <v>0</v>
      </c>
      <c r="L27" s="190">
        <v>0</v>
      </c>
      <c r="M27" s="190">
        <v>0</v>
      </c>
      <c r="N27" s="190">
        <v>0</v>
      </c>
      <c r="O27" s="190">
        <v>0</v>
      </c>
      <c r="P27" s="190">
        <v>0</v>
      </c>
      <c r="Q27" s="190">
        <v>0</v>
      </c>
      <c r="R27" s="190">
        <v>0</v>
      </c>
      <c r="S27" s="190">
        <v>0</v>
      </c>
      <c r="T27" s="190">
        <v>0</v>
      </c>
      <c r="U27" s="190">
        <v>0</v>
      </c>
      <c r="V27" s="190">
        <v>0</v>
      </c>
      <c r="W27" s="190">
        <v>0</v>
      </c>
      <c r="X27" s="190">
        <v>0</v>
      </c>
      <c r="Y27" s="190">
        <v>0</v>
      </c>
      <c r="Z27" s="190">
        <v>0</v>
      </c>
      <c r="AA27" s="190">
        <v>0</v>
      </c>
      <c r="AB27" s="190">
        <v>0</v>
      </c>
      <c r="AC27" s="190">
        <v>0</v>
      </c>
      <c r="AD27" s="190">
        <v>0</v>
      </c>
      <c r="AE27" s="190">
        <v>0</v>
      </c>
      <c r="AF27" s="190">
        <v>0</v>
      </c>
      <c r="AG27" s="190">
        <v>0</v>
      </c>
      <c r="AH27" s="190">
        <v>0</v>
      </c>
      <c r="AI27" s="190">
        <v>0</v>
      </c>
      <c r="AJ27" s="190">
        <v>0</v>
      </c>
      <c r="AK27" s="190">
        <v>0</v>
      </c>
      <c r="AL27" s="190">
        <v>0</v>
      </c>
      <c r="AM27" s="190">
        <v>0</v>
      </c>
      <c r="AN27" s="190">
        <v>0</v>
      </c>
    </row>
    <row r="28" spans="1:40" x14ac:dyDescent="0.25">
      <c r="A28" s="190" t="s">
        <v>132</v>
      </c>
      <c r="B28" s="190">
        <v>4317008970.21</v>
      </c>
      <c r="C28" s="190">
        <v>4075143444.2800002</v>
      </c>
      <c r="D28" s="190">
        <v>4053256047.5799999</v>
      </c>
      <c r="E28" s="190">
        <v>3024025496.3099999</v>
      </c>
      <c r="F28" s="190">
        <v>2928515602.5300002</v>
      </c>
      <c r="G28" s="190">
        <v>2945144484.5100002</v>
      </c>
      <c r="H28" s="190">
        <v>2850265592.73</v>
      </c>
      <c r="I28" s="190">
        <v>2853743612.6700001</v>
      </c>
      <c r="J28" s="190">
        <v>2705660579.7199998</v>
      </c>
      <c r="K28" s="190">
        <v>2685927175.2399998</v>
      </c>
      <c r="L28" s="190">
        <v>1925449124.73</v>
      </c>
      <c r="M28" s="190">
        <v>1887240766.0799999</v>
      </c>
      <c r="N28" s="190">
        <v>1696801463.4000001</v>
      </c>
      <c r="O28" s="190">
        <v>1665303881.0999999</v>
      </c>
      <c r="P28" s="190">
        <v>1655924515.1900001</v>
      </c>
      <c r="Q28" s="190">
        <v>1500415628.0799999</v>
      </c>
      <c r="R28" s="190">
        <v>1435866972.5899999</v>
      </c>
      <c r="S28" s="190">
        <v>1372648274.23</v>
      </c>
      <c r="T28" s="190">
        <v>733675175.29999995</v>
      </c>
      <c r="U28" s="190">
        <v>735711230.71000004</v>
      </c>
      <c r="V28" s="190">
        <v>714578555.83000004</v>
      </c>
      <c r="W28" s="190">
        <v>673717872.13999999</v>
      </c>
      <c r="X28" s="190">
        <v>653767245.26999998</v>
      </c>
      <c r="Y28" s="190">
        <v>649280702.10000002</v>
      </c>
      <c r="Z28" s="190">
        <v>640181860.85000002</v>
      </c>
      <c r="AA28" s="190">
        <v>631173818.40999997</v>
      </c>
      <c r="AB28" s="190">
        <v>598035610.60000002</v>
      </c>
      <c r="AC28" s="190">
        <v>588574983.89999998</v>
      </c>
      <c r="AD28" s="190">
        <v>528454615.25999999</v>
      </c>
      <c r="AE28" s="190">
        <v>497006403.68000001</v>
      </c>
      <c r="AF28" s="190">
        <v>292021026.56999999</v>
      </c>
      <c r="AG28" s="190">
        <v>290756203.33999997</v>
      </c>
      <c r="AH28" s="190">
        <v>255070332.38999999</v>
      </c>
      <c r="AI28" s="190">
        <v>238848101.27000001</v>
      </c>
      <c r="AJ28" s="190">
        <v>209498584.12</v>
      </c>
      <c r="AK28" s="190">
        <v>197635028.02000001</v>
      </c>
      <c r="AL28" s="190">
        <v>51360938.350000001</v>
      </c>
      <c r="AM28" s="190">
        <v>40496003.590000004</v>
      </c>
      <c r="AN28" s="190">
        <v>0</v>
      </c>
    </row>
    <row r="29" spans="1:40" x14ac:dyDescent="0.25">
      <c r="A29" s="190" t="s">
        <v>133</v>
      </c>
      <c r="B29" s="190">
        <v>848421778.64999998</v>
      </c>
      <c r="C29" s="190">
        <v>705731687.15999997</v>
      </c>
      <c r="D29" s="190">
        <v>677459209.86000001</v>
      </c>
      <c r="E29" s="190">
        <v>1436319118.3</v>
      </c>
      <c r="F29" s="190">
        <v>1205329627.29</v>
      </c>
      <c r="G29" s="190">
        <v>764850814.58000004</v>
      </c>
      <c r="H29" s="190">
        <v>506796148.70999998</v>
      </c>
      <c r="I29" s="190">
        <v>316482522.36000001</v>
      </c>
      <c r="J29" s="190">
        <v>457513495.38</v>
      </c>
      <c r="K29" s="190">
        <v>333697399.00999999</v>
      </c>
      <c r="L29" s="190">
        <v>987900341.80999994</v>
      </c>
      <c r="M29" s="190">
        <v>844631051.21000004</v>
      </c>
      <c r="N29" s="190">
        <v>473205035.17000002</v>
      </c>
      <c r="O29" s="190">
        <v>223197078.65000001</v>
      </c>
      <c r="P29" s="190">
        <v>23745646.710000001</v>
      </c>
      <c r="Q29" s="190">
        <v>28956418.82</v>
      </c>
      <c r="R29" s="190">
        <v>31393462.449999999</v>
      </c>
      <c r="S29" s="190">
        <v>11537385.84</v>
      </c>
      <c r="T29" s="190">
        <v>337147970.10000002</v>
      </c>
      <c r="U29" s="190">
        <v>294633266.23000002</v>
      </c>
      <c r="V29" s="190">
        <v>226539062.72</v>
      </c>
      <c r="W29" s="190">
        <v>194549536.50999999</v>
      </c>
      <c r="X29" s="190">
        <v>171502954.44999999</v>
      </c>
      <c r="Y29" s="190">
        <v>147935272.83000001</v>
      </c>
      <c r="Z29" s="190">
        <v>95645474.019999996</v>
      </c>
      <c r="AA29" s="190">
        <v>95772517.430000007</v>
      </c>
      <c r="AB29" s="190">
        <v>62289896.240000002</v>
      </c>
      <c r="AC29" s="190">
        <v>46351735.479999997</v>
      </c>
      <c r="AD29" s="190">
        <v>20874502.640000001</v>
      </c>
      <c r="AE29" s="190">
        <v>17162532.5</v>
      </c>
      <c r="AF29" s="190">
        <v>196257615.88</v>
      </c>
      <c r="AG29" s="190">
        <v>167678668.21000001</v>
      </c>
      <c r="AH29" s="190">
        <v>141753467.65000001</v>
      </c>
      <c r="AI29" s="190">
        <v>93873467</v>
      </c>
      <c r="AJ29" s="190">
        <v>82440428.930000007</v>
      </c>
      <c r="AK29" s="190">
        <v>70255531.549999997</v>
      </c>
      <c r="AL29" s="190">
        <v>4663279.5599999996</v>
      </c>
      <c r="AM29" s="190">
        <v>0</v>
      </c>
      <c r="AN29" s="190">
        <v>0</v>
      </c>
    </row>
    <row r="30" spans="1:40" x14ac:dyDescent="0.25">
      <c r="A30" s="190" t="s">
        <v>134</v>
      </c>
      <c r="B30" s="190">
        <v>0</v>
      </c>
      <c r="C30" s="190">
        <v>0</v>
      </c>
      <c r="D30" s="190">
        <v>0</v>
      </c>
      <c r="E30" s="190">
        <v>0</v>
      </c>
      <c r="F30" s="190">
        <v>0</v>
      </c>
      <c r="G30" s="190">
        <v>0</v>
      </c>
      <c r="H30" s="190">
        <v>0</v>
      </c>
      <c r="I30" s="190">
        <v>0</v>
      </c>
      <c r="J30" s="190">
        <v>0</v>
      </c>
      <c r="K30" s="190">
        <v>0</v>
      </c>
      <c r="L30" s="190">
        <v>1299246</v>
      </c>
      <c r="M30" s="190">
        <v>0</v>
      </c>
      <c r="N30" s="190">
        <v>0</v>
      </c>
      <c r="O30" s="190">
        <v>0</v>
      </c>
      <c r="P30" s="190">
        <v>0</v>
      </c>
      <c r="Q30" s="190">
        <v>0</v>
      </c>
      <c r="R30" s="190">
        <v>0</v>
      </c>
      <c r="S30" s="190">
        <v>0</v>
      </c>
      <c r="T30" s="190">
        <v>0</v>
      </c>
      <c r="U30" s="190">
        <v>0</v>
      </c>
      <c r="V30" s="190">
        <v>214718</v>
      </c>
      <c r="W30" s="190">
        <v>214718</v>
      </c>
      <c r="X30" s="190">
        <v>214718</v>
      </c>
      <c r="Y30" s="190">
        <v>214718</v>
      </c>
      <c r="Z30" s="190">
        <v>660459</v>
      </c>
      <c r="AA30" s="190">
        <v>660459</v>
      </c>
      <c r="AB30" s="190">
        <v>660459</v>
      </c>
      <c r="AC30" s="190">
        <v>660459</v>
      </c>
      <c r="AD30" s="190">
        <v>0</v>
      </c>
      <c r="AE30" s="190">
        <v>0</v>
      </c>
      <c r="AF30" s="190">
        <v>0</v>
      </c>
      <c r="AG30" s="190">
        <v>0</v>
      </c>
      <c r="AH30" s="190">
        <v>0</v>
      </c>
      <c r="AI30" s="190">
        <v>0</v>
      </c>
      <c r="AJ30" s="190">
        <v>0</v>
      </c>
      <c r="AK30" s="190">
        <v>0</v>
      </c>
      <c r="AL30" s="190">
        <v>0</v>
      </c>
      <c r="AM30" s="190">
        <v>0</v>
      </c>
      <c r="AN30" s="190">
        <v>0</v>
      </c>
    </row>
    <row r="31" spans="1:40" x14ac:dyDescent="0.25">
      <c r="A31" s="190" t="s">
        <v>135</v>
      </c>
      <c r="B31" s="190">
        <v>0</v>
      </c>
      <c r="C31" s="190">
        <v>0</v>
      </c>
      <c r="D31" s="190">
        <v>0</v>
      </c>
      <c r="E31" s="190">
        <v>0</v>
      </c>
      <c r="F31" s="190">
        <v>0</v>
      </c>
      <c r="G31" s="190">
        <v>0</v>
      </c>
      <c r="H31" s="190">
        <v>0</v>
      </c>
      <c r="I31" s="190">
        <v>0</v>
      </c>
      <c r="J31" s="190">
        <v>0</v>
      </c>
      <c r="K31" s="190">
        <v>0</v>
      </c>
      <c r="L31" s="190">
        <v>0</v>
      </c>
      <c r="M31" s="190">
        <v>0</v>
      </c>
      <c r="N31" s="190">
        <v>0</v>
      </c>
      <c r="O31" s="190">
        <v>0</v>
      </c>
      <c r="P31" s="190">
        <v>0</v>
      </c>
      <c r="Q31" s="190">
        <v>0</v>
      </c>
      <c r="R31" s="190">
        <v>0</v>
      </c>
      <c r="S31" s="190">
        <v>0</v>
      </c>
      <c r="T31" s="190">
        <v>0</v>
      </c>
      <c r="U31" s="190">
        <v>0</v>
      </c>
      <c r="V31" s="190">
        <v>0</v>
      </c>
      <c r="W31" s="190">
        <v>0</v>
      </c>
      <c r="X31" s="190">
        <v>0</v>
      </c>
      <c r="Y31" s="190">
        <v>0</v>
      </c>
      <c r="Z31" s="190">
        <v>0</v>
      </c>
      <c r="AA31" s="190">
        <v>0</v>
      </c>
      <c r="AB31" s="190">
        <v>0</v>
      </c>
      <c r="AC31" s="190">
        <v>0</v>
      </c>
      <c r="AD31" s="190">
        <v>0</v>
      </c>
      <c r="AE31" s="190">
        <v>0</v>
      </c>
      <c r="AF31" s="190">
        <v>0</v>
      </c>
      <c r="AG31" s="190">
        <v>0</v>
      </c>
      <c r="AH31" s="190">
        <v>0</v>
      </c>
      <c r="AI31" s="190">
        <v>0</v>
      </c>
      <c r="AJ31" s="190">
        <v>11584</v>
      </c>
      <c r="AK31" s="190">
        <v>0</v>
      </c>
      <c r="AL31" s="190">
        <v>0</v>
      </c>
      <c r="AM31" s="190">
        <v>0</v>
      </c>
      <c r="AN31" s="190">
        <v>0</v>
      </c>
    </row>
    <row r="32" spans="1:40" x14ac:dyDescent="0.25">
      <c r="A32" s="190" t="s">
        <v>136</v>
      </c>
      <c r="B32" s="190">
        <v>0</v>
      </c>
      <c r="C32" s="190">
        <v>0</v>
      </c>
      <c r="D32" s="190">
        <v>0</v>
      </c>
      <c r="E32" s="190">
        <v>0</v>
      </c>
      <c r="F32" s="190">
        <v>0</v>
      </c>
      <c r="G32" s="190">
        <v>0</v>
      </c>
      <c r="H32" s="190">
        <v>0</v>
      </c>
      <c r="I32" s="190">
        <v>0</v>
      </c>
      <c r="J32" s="190">
        <v>0</v>
      </c>
      <c r="K32" s="190">
        <v>0</v>
      </c>
      <c r="L32" s="190">
        <v>0</v>
      </c>
      <c r="M32" s="190">
        <v>0</v>
      </c>
      <c r="N32" s="190">
        <v>0</v>
      </c>
      <c r="O32" s="190">
        <v>0</v>
      </c>
      <c r="P32" s="190">
        <v>0</v>
      </c>
      <c r="Q32" s="190">
        <v>0</v>
      </c>
      <c r="R32" s="190">
        <v>0</v>
      </c>
      <c r="S32" s="190">
        <v>0</v>
      </c>
      <c r="T32" s="190">
        <v>0</v>
      </c>
      <c r="U32" s="190">
        <v>0</v>
      </c>
      <c r="V32" s="190">
        <v>0</v>
      </c>
      <c r="W32" s="190">
        <v>0</v>
      </c>
      <c r="X32" s="190">
        <v>0</v>
      </c>
      <c r="Y32" s="190">
        <v>0</v>
      </c>
      <c r="Z32" s="190">
        <v>0</v>
      </c>
      <c r="AA32" s="190">
        <v>0</v>
      </c>
      <c r="AB32" s="190">
        <v>0</v>
      </c>
      <c r="AC32" s="190">
        <v>0</v>
      </c>
      <c r="AD32" s="190">
        <v>0</v>
      </c>
      <c r="AE32" s="190">
        <v>0</v>
      </c>
      <c r="AF32" s="190">
        <v>0</v>
      </c>
      <c r="AG32" s="190">
        <v>0</v>
      </c>
      <c r="AH32" s="190">
        <v>0</v>
      </c>
      <c r="AI32" s="190">
        <v>0</v>
      </c>
      <c r="AJ32" s="190">
        <v>0</v>
      </c>
      <c r="AK32" s="190">
        <v>0</v>
      </c>
      <c r="AL32" s="190">
        <v>0</v>
      </c>
      <c r="AM32" s="190">
        <v>0</v>
      </c>
      <c r="AN32" s="190">
        <v>0</v>
      </c>
    </row>
    <row r="33" spans="1:40" x14ac:dyDescent="0.25">
      <c r="A33" s="190" t="s">
        <v>137</v>
      </c>
      <c r="B33" s="190">
        <v>0</v>
      </c>
      <c r="C33" s="190">
        <v>0</v>
      </c>
      <c r="D33" s="190">
        <v>0</v>
      </c>
      <c r="E33" s="190">
        <v>0</v>
      </c>
      <c r="F33" s="190">
        <v>0</v>
      </c>
      <c r="G33" s="190">
        <v>0</v>
      </c>
      <c r="H33" s="190">
        <v>0</v>
      </c>
      <c r="I33" s="190">
        <v>0</v>
      </c>
      <c r="J33" s="190">
        <v>0</v>
      </c>
      <c r="K33" s="190">
        <v>0</v>
      </c>
      <c r="L33" s="190">
        <v>0</v>
      </c>
      <c r="M33" s="190">
        <v>0</v>
      </c>
      <c r="N33" s="190">
        <v>0</v>
      </c>
      <c r="O33" s="190">
        <v>0</v>
      </c>
      <c r="P33" s="190">
        <v>0</v>
      </c>
      <c r="Q33" s="190">
        <v>0</v>
      </c>
      <c r="R33" s="190">
        <v>0</v>
      </c>
      <c r="S33" s="190">
        <v>0</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c r="AJ33" s="190">
        <v>0</v>
      </c>
      <c r="AK33" s="190">
        <v>0</v>
      </c>
      <c r="AL33" s="190">
        <v>0</v>
      </c>
      <c r="AM33" s="190">
        <v>0</v>
      </c>
      <c r="AN33" s="190">
        <v>0</v>
      </c>
    </row>
    <row r="34" spans="1:40" x14ac:dyDescent="0.25">
      <c r="A34" s="190" t="s">
        <v>138</v>
      </c>
      <c r="B34" s="190">
        <v>0</v>
      </c>
      <c r="C34" s="190">
        <v>0</v>
      </c>
      <c r="D34" s="190">
        <v>0</v>
      </c>
      <c r="E34" s="190">
        <v>0</v>
      </c>
      <c r="F34" s="190">
        <v>0</v>
      </c>
      <c r="G34" s="190">
        <v>0</v>
      </c>
      <c r="H34" s="190">
        <v>0</v>
      </c>
      <c r="I34" s="190">
        <v>0</v>
      </c>
      <c r="J34" s="190">
        <v>0</v>
      </c>
      <c r="K34" s="190">
        <v>0</v>
      </c>
      <c r="L34" s="190">
        <v>0</v>
      </c>
      <c r="M34" s="190">
        <v>0</v>
      </c>
      <c r="N34" s="190">
        <v>0</v>
      </c>
      <c r="O34" s="190">
        <v>0</v>
      </c>
      <c r="P34" s="190">
        <v>0</v>
      </c>
      <c r="Q34" s="190">
        <v>0</v>
      </c>
      <c r="R34" s="190">
        <v>0</v>
      </c>
      <c r="S34" s="190">
        <v>0</v>
      </c>
      <c r="T34" s="190">
        <v>0</v>
      </c>
      <c r="U34" s="190">
        <v>0</v>
      </c>
      <c r="V34" s="190">
        <v>0</v>
      </c>
      <c r="W34" s="190">
        <v>0</v>
      </c>
      <c r="X34" s="190">
        <v>0</v>
      </c>
      <c r="Y34" s="190">
        <v>0</v>
      </c>
      <c r="Z34" s="190">
        <v>0</v>
      </c>
      <c r="AA34" s="190">
        <v>0</v>
      </c>
      <c r="AB34" s="190">
        <v>0</v>
      </c>
      <c r="AC34" s="190">
        <v>0</v>
      </c>
      <c r="AD34" s="190">
        <v>0</v>
      </c>
      <c r="AE34" s="190">
        <v>0</v>
      </c>
      <c r="AF34" s="190">
        <v>0</v>
      </c>
      <c r="AG34" s="190">
        <v>0</v>
      </c>
      <c r="AH34" s="190">
        <v>0</v>
      </c>
      <c r="AI34" s="190">
        <v>0</v>
      </c>
      <c r="AJ34" s="190">
        <v>0</v>
      </c>
      <c r="AK34" s="190">
        <v>0</v>
      </c>
      <c r="AL34" s="190">
        <v>0</v>
      </c>
      <c r="AM34" s="190">
        <v>0</v>
      </c>
      <c r="AN34" s="190">
        <v>0</v>
      </c>
    </row>
    <row r="35" spans="1:40" x14ac:dyDescent="0.25">
      <c r="A35" s="190" t="s">
        <v>139</v>
      </c>
      <c r="B35" s="190">
        <v>827671591.59000003</v>
      </c>
      <c r="C35" s="190">
        <v>799821748.10000002</v>
      </c>
      <c r="D35" s="190">
        <v>761104185.60000002</v>
      </c>
      <c r="E35" s="190">
        <v>429160982.63</v>
      </c>
      <c r="F35" s="190">
        <v>409074338.19999999</v>
      </c>
      <c r="G35" s="190">
        <v>412552471.29000002</v>
      </c>
      <c r="H35" s="190">
        <v>407172194.64999998</v>
      </c>
      <c r="I35" s="190">
        <v>410256469.08999997</v>
      </c>
      <c r="J35" s="190">
        <v>410555899.19</v>
      </c>
      <c r="K35" s="190">
        <v>344833385.04000002</v>
      </c>
      <c r="L35" s="190">
        <v>346461835.56999999</v>
      </c>
      <c r="M35" s="190">
        <v>343200704.36000001</v>
      </c>
      <c r="N35" s="190">
        <v>252637691.22999999</v>
      </c>
      <c r="O35" s="190">
        <v>244927896.75999999</v>
      </c>
      <c r="P35" s="190">
        <v>137533246.97</v>
      </c>
      <c r="Q35" s="190">
        <v>96550166.579999998</v>
      </c>
      <c r="R35" s="190">
        <v>94404007.969999999</v>
      </c>
      <c r="S35" s="190">
        <v>89187023.040000007</v>
      </c>
      <c r="T35" s="190">
        <v>90988886.030000001</v>
      </c>
      <c r="U35" s="190">
        <v>53117713.950000003</v>
      </c>
      <c r="V35" s="190">
        <v>54276012.119999997</v>
      </c>
      <c r="W35" s="190">
        <v>54728596.600000001</v>
      </c>
      <c r="X35" s="190">
        <v>55977040.280000001</v>
      </c>
      <c r="Y35" s="190">
        <v>56735710.840000004</v>
      </c>
      <c r="Z35" s="190">
        <v>58320785.289999999</v>
      </c>
      <c r="AA35" s="190">
        <v>50822274.659999996</v>
      </c>
      <c r="AB35" s="190">
        <v>49270435.130000003</v>
      </c>
      <c r="AC35" s="190">
        <v>49180344.649999999</v>
      </c>
      <c r="AD35" s="190">
        <v>49776499.780000001</v>
      </c>
      <c r="AE35" s="190">
        <v>49937539.140000001</v>
      </c>
      <c r="AF35" s="190">
        <v>49139918.530000001</v>
      </c>
      <c r="AG35" s="190">
        <v>45173717.780000001</v>
      </c>
      <c r="AH35" s="190">
        <v>42585812.140000001</v>
      </c>
      <c r="AI35" s="190">
        <v>32019268.390000001</v>
      </c>
      <c r="AJ35" s="190">
        <v>25698926.91</v>
      </c>
      <c r="AK35" s="190">
        <v>24866285.789999999</v>
      </c>
      <c r="AL35" s="190">
        <v>22351108.760000002</v>
      </c>
      <c r="AM35" s="190">
        <v>1221062.22</v>
      </c>
      <c r="AN35" s="190">
        <v>0</v>
      </c>
    </row>
    <row r="36" spans="1:40" x14ac:dyDescent="0.25">
      <c r="A36" s="190" t="s">
        <v>140</v>
      </c>
      <c r="B36" s="190">
        <v>0</v>
      </c>
      <c r="C36" s="190">
        <v>0</v>
      </c>
      <c r="D36" s="190">
        <v>0</v>
      </c>
      <c r="E36" s="190">
        <v>0</v>
      </c>
      <c r="F36" s="190">
        <v>0</v>
      </c>
      <c r="G36" s="190">
        <v>0</v>
      </c>
      <c r="H36" s="190">
        <v>0</v>
      </c>
      <c r="I36" s="190">
        <v>0</v>
      </c>
      <c r="J36" s="190">
        <v>0</v>
      </c>
      <c r="K36" s="190">
        <v>0</v>
      </c>
      <c r="L36" s="190">
        <v>0</v>
      </c>
      <c r="M36" s="190">
        <v>0</v>
      </c>
      <c r="N36" s="190">
        <v>0</v>
      </c>
      <c r="O36" s="190">
        <v>0</v>
      </c>
      <c r="P36" s="190">
        <v>0</v>
      </c>
      <c r="Q36" s="190">
        <v>0</v>
      </c>
      <c r="R36" s="190">
        <v>0</v>
      </c>
      <c r="S36" s="190">
        <v>0</v>
      </c>
      <c r="T36" s="190">
        <v>0</v>
      </c>
      <c r="U36" s="190">
        <v>0</v>
      </c>
      <c r="V36" s="190">
        <v>0</v>
      </c>
      <c r="W36" s="190">
        <v>0</v>
      </c>
      <c r="X36" s="190">
        <v>0</v>
      </c>
      <c r="Y36" s="190">
        <v>0</v>
      </c>
      <c r="Z36" s="190">
        <v>0</v>
      </c>
      <c r="AA36" s="190">
        <v>0</v>
      </c>
      <c r="AB36" s="190">
        <v>0</v>
      </c>
      <c r="AC36" s="190">
        <v>0</v>
      </c>
      <c r="AD36" s="190">
        <v>0</v>
      </c>
      <c r="AE36" s="190">
        <v>0</v>
      </c>
      <c r="AF36" s="190">
        <v>0</v>
      </c>
      <c r="AG36" s="190">
        <v>0</v>
      </c>
      <c r="AH36" s="190">
        <v>0</v>
      </c>
      <c r="AI36" s="190">
        <v>0</v>
      </c>
      <c r="AJ36" s="190">
        <v>0</v>
      </c>
      <c r="AK36" s="190">
        <v>0</v>
      </c>
      <c r="AL36" s="190">
        <v>0</v>
      </c>
      <c r="AM36" s="190">
        <v>0</v>
      </c>
      <c r="AN36" s="190">
        <v>0</v>
      </c>
    </row>
    <row r="37" spans="1:40" x14ac:dyDescent="0.25">
      <c r="A37" s="190" t="s">
        <v>141</v>
      </c>
      <c r="B37" s="190">
        <v>255885609.58000001</v>
      </c>
      <c r="C37" s="190">
        <v>246430417.72</v>
      </c>
      <c r="D37" s="190">
        <v>248964102.97</v>
      </c>
      <c r="E37" s="190">
        <v>248964102.97</v>
      </c>
      <c r="F37" s="190">
        <v>248364401.47</v>
      </c>
      <c r="G37" s="190">
        <v>248364401.47</v>
      </c>
      <c r="H37" s="190">
        <v>248364401.47</v>
      </c>
      <c r="I37" s="190">
        <v>248364401.47</v>
      </c>
      <c r="J37" s="190">
        <v>248364401.47</v>
      </c>
      <c r="K37" s="190">
        <v>248364401.47</v>
      </c>
      <c r="L37" s="190">
        <v>117872774.01000001</v>
      </c>
      <c r="M37" s="190">
        <v>117860200.59</v>
      </c>
      <c r="N37" s="190">
        <v>117860200.59</v>
      </c>
      <c r="O37" s="190">
        <v>117860200.59</v>
      </c>
      <c r="P37" s="190">
        <v>117860200.59</v>
      </c>
      <c r="Q37" s="190">
        <v>117860200.59</v>
      </c>
      <c r="R37" s="190">
        <v>117860200.59</v>
      </c>
      <c r="S37" s="190">
        <v>117860200.59</v>
      </c>
      <c r="T37" s="190">
        <v>117860200.59</v>
      </c>
      <c r="U37" s="190">
        <v>117860200.59</v>
      </c>
      <c r="V37" s="190">
        <v>123118922.78</v>
      </c>
      <c r="W37" s="190">
        <v>143420026.66999999</v>
      </c>
      <c r="X37" s="190">
        <v>143420026.66999999</v>
      </c>
      <c r="Y37" s="190">
        <v>131016265.7</v>
      </c>
      <c r="Z37" s="190">
        <v>131016265.7</v>
      </c>
      <c r="AA37" s="190">
        <v>131016265.7</v>
      </c>
      <c r="AB37" s="190">
        <v>69693394.069999993</v>
      </c>
      <c r="AC37" s="190">
        <v>69693394.069999993</v>
      </c>
      <c r="AD37" s="190">
        <v>69693394.069999993</v>
      </c>
      <c r="AE37" s="190">
        <v>69693394.069999993</v>
      </c>
      <c r="AF37" s="190">
        <v>70563394.069999993</v>
      </c>
      <c r="AG37" s="190">
        <v>67349.64</v>
      </c>
      <c r="AH37" s="190">
        <v>67349.64</v>
      </c>
      <c r="AI37" s="190">
        <v>67349.64</v>
      </c>
      <c r="AJ37" s="190">
        <v>67349.64</v>
      </c>
      <c r="AK37" s="190">
        <v>0</v>
      </c>
      <c r="AL37" s="190">
        <v>0</v>
      </c>
      <c r="AM37" s="190">
        <v>2250467.4300000002</v>
      </c>
      <c r="AN37" s="190">
        <v>0</v>
      </c>
    </row>
    <row r="38" spans="1:40" x14ac:dyDescent="0.25">
      <c r="A38" s="190" t="s">
        <v>142</v>
      </c>
      <c r="B38" s="190">
        <v>0</v>
      </c>
      <c r="C38" s="190">
        <v>0</v>
      </c>
      <c r="D38" s="190">
        <v>0</v>
      </c>
      <c r="E38" s="190">
        <v>0</v>
      </c>
      <c r="F38" s="190">
        <v>0</v>
      </c>
      <c r="G38" s="190">
        <v>0</v>
      </c>
      <c r="H38" s="190">
        <v>0</v>
      </c>
      <c r="I38" s="190">
        <v>0</v>
      </c>
      <c r="J38" s="190">
        <v>0</v>
      </c>
      <c r="K38" s="190">
        <v>0</v>
      </c>
      <c r="L38" s="190">
        <v>0</v>
      </c>
      <c r="M38" s="190">
        <v>0</v>
      </c>
      <c r="N38" s="190">
        <v>0</v>
      </c>
      <c r="O38" s="190">
        <v>0</v>
      </c>
      <c r="P38" s="190">
        <v>0</v>
      </c>
      <c r="Q38" s="190">
        <v>0</v>
      </c>
      <c r="R38" s="190">
        <v>0</v>
      </c>
      <c r="S38" s="190">
        <v>0</v>
      </c>
      <c r="T38" s="190">
        <v>311044.7</v>
      </c>
      <c r="U38" s="190">
        <v>0</v>
      </c>
      <c r="V38" s="190">
        <v>275575.23</v>
      </c>
      <c r="W38" s="190">
        <v>413362.23</v>
      </c>
      <c r="X38" s="190">
        <v>551149.23</v>
      </c>
      <c r="Y38" s="190">
        <v>745110.92</v>
      </c>
      <c r="Z38" s="190">
        <v>0</v>
      </c>
      <c r="AA38" s="190">
        <v>0</v>
      </c>
      <c r="AB38" s="190">
        <v>0</v>
      </c>
      <c r="AC38" s="190">
        <v>0</v>
      </c>
      <c r="AD38" s="190">
        <v>0</v>
      </c>
      <c r="AE38" s="190">
        <v>0</v>
      </c>
      <c r="AF38" s="190">
        <v>0</v>
      </c>
      <c r="AG38" s="190">
        <v>0</v>
      </c>
      <c r="AH38" s="190">
        <v>0</v>
      </c>
      <c r="AI38" s="190">
        <v>0</v>
      </c>
      <c r="AJ38" s="190">
        <v>0</v>
      </c>
      <c r="AK38" s="190">
        <v>0</v>
      </c>
      <c r="AL38" s="190">
        <v>0</v>
      </c>
      <c r="AM38" s="190">
        <v>0</v>
      </c>
      <c r="AN38" s="190">
        <v>0</v>
      </c>
    </row>
    <row r="39" spans="1:40" x14ac:dyDescent="0.25">
      <c r="A39" s="190" t="s">
        <v>143</v>
      </c>
      <c r="B39" s="190">
        <v>530945542.38999999</v>
      </c>
      <c r="C39" s="190">
        <v>530967055.23000002</v>
      </c>
      <c r="D39" s="190">
        <v>479160529.32999998</v>
      </c>
      <c r="E39" s="190">
        <v>479070649.49000001</v>
      </c>
      <c r="F39" s="190">
        <v>444377346.58999997</v>
      </c>
      <c r="G39" s="190">
        <v>434325165.57999998</v>
      </c>
      <c r="H39" s="190">
        <v>375255076.61000001</v>
      </c>
      <c r="I39" s="190">
        <v>375255076.61000001</v>
      </c>
      <c r="J39" s="190">
        <v>326336511.64999998</v>
      </c>
      <c r="K39" s="190">
        <v>326237119.94999999</v>
      </c>
      <c r="L39" s="190">
        <v>261215909.72</v>
      </c>
      <c r="M39" s="190">
        <v>261215909.72</v>
      </c>
      <c r="N39" s="190">
        <v>134739133.13</v>
      </c>
      <c r="O39" s="190">
        <v>134620084.93000001</v>
      </c>
      <c r="P39" s="190">
        <v>96083495.819999993</v>
      </c>
      <c r="Q39" s="190">
        <v>96083495.819999993</v>
      </c>
      <c r="R39" s="190">
        <v>81730330</v>
      </c>
      <c r="S39" s="190">
        <v>81692060.599999994</v>
      </c>
      <c r="T39" s="190">
        <v>63674762.850000001</v>
      </c>
      <c r="U39" s="190">
        <v>63674762.850000001</v>
      </c>
      <c r="V39" s="190">
        <v>74636234.549999997</v>
      </c>
      <c r="W39" s="190">
        <v>74663257.939999998</v>
      </c>
      <c r="X39" s="190">
        <v>36640332.420000002</v>
      </c>
      <c r="Y39" s="190">
        <v>37763183.469999999</v>
      </c>
      <c r="Z39" s="190">
        <v>68631644.450000003</v>
      </c>
      <c r="AA39" s="190">
        <v>68631644.450000003</v>
      </c>
      <c r="AB39" s="190">
        <v>52080657.850000001</v>
      </c>
      <c r="AC39" s="190">
        <v>52080657.850000001</v>
      </c>
      <c r="AD39" s="190">
        <v>60162605.93</v>
      </c>
      <c r="AE39" s="190">
        <v>60162605.93</v>
      </c>
      <c r="AF39" s="190">
        <v>46695410.369999997</v>
      </c>
      <c r="AG39" s="190">
        <v>46230589.229999997</v>
      </c>
      <c r="AH39" s="190">
        <v>30361708.129999999</v>
      </c>
      <c r="AI39" s="190">
        <v>30361708.129999999</v>
      </c>
      <c r="AJ39" s="190">
        <v>20070980.800000001</v>
      </c>
      <c r="AK39" s="190">
        <v>20070980.800000001</v>
      </c>
      <c r="AL39" s="190">
        <v>12850861.26</v>
      </c>
      <c r="AM39" s="190">
        <v>13600712.779999999</v>
      </c>
      <c r="AN39" s="190">
        <v>0</v>
      </c>
    </row>
    <row r="40" spans="1:40" x14ac:dyDescent="0.25">
      <c r="A40" s="190" t="s">
        <v>144</v>
      </c>
      <c r="B40" s="190">
        <v>1436455510.6700001</v>
      </c>
      <c r="C40" s="190">
        <v>1446952545.78</v>
      </c>
      <c r="D40" s="190">
        <v>982732565.82000005</v>
      </c>
      <c r="E40" s="190">
        <v>858796668.13</v>
      </c>
      <c r="F40" s="190">
        <v>31607418</v>
      </c>
      <c r="G40" s="190">
        <v>29919422.699999999</v>
      </c>
      <c r="H40" s="190">
        <v>48606165.229999997</v>
      </c>
      <c r="I40" s="190">
        <v>40999684.420000002</v>
      </c>
      <c r="J40" s="190">
        <v>0</v>
      </c>
      <c r="K40" s="190">
        <v>18000000</v>
      </c>
      <c r="L40" s="190">
        <v>18000000</v>
      </c>
      <c r="M40" s="190">
        <v>18000000</v>
      </c>
      <c r="N40" s="190">
        <v>312821179.80000001</v>
      </c>
      <c r="O40" s="190">
        <v>231861158.13999999</v>
      </c>
      <c r="P40" s="190">
        <v>221453440.81</v>
      </c>
      <c r="Q40" s="190">
        <v>254841255.13999999</v>
      </c>
      <c r="R40" s="190">
        <v>231185450.69</v>
      </c>
      <c r="S40" s="190">
        <v>232385803.84999999</v>
      </c>
      <c r="T40" s="190">
        <v>376679989.85000002</v>
      </c>
      <c r="U40" s="190">
        <v>321800737.06999999</v>
      </c>
      <c r="V40" s="190">
        <v>298314196</v>
      </c>
      <c r="W40" s="190">
        <v>297837460</v>
      </c>
      <c r="X40" s="190">
        <v>281332336</v>
      </c>
      <c r="Y40" s="190">
        <v>280932336</v>
      </c>
      <c r="Z40" s="190">
        <v>0</v>
      </c>
      <c r="AA40" s="190">
        <v>0</v>
      </c>
      <c r="AB40" s="190">
        <v>0</v>
      </c>
      <c r="AC40" s="190">
        <v>0</v>
      </c>
      <c r="AD40" s="190">
        <v>0</v>
      </c>
      <c r="AE40" s="190">
        <v>0</v>
      </c>
      <c r="AF40" s="190">
        <v>0</v>
      </c>
      <c r="AG40" s="190">
        <v>0</v>
      </c>
      <c r="AH40" s="190">
        <v>0</v>
      </c>
      <c r="AI40" s="190">
        <v>0</v>
      </c>
      <c r="AJ40" s="190">
        <v>0</v>
      </c>
      <c r="AK40" s="190">
        <v>0</v>
      </c>
      <c r="AL40" s="190">
        <v>0</v>
      </c>
      <c r="AM40" s="190">
        <v>0</v>
      </c>
      <c r="AN40" s="190">
        <v>0</v>
      </c>
    </row>
    <row r="41" spans="1:40" x14ac:dyDescent="0.25">
      <c r="A41" s="190" t="s">
        <v>145</v>
      </c>
      <c r="B41" s="190">
        <v>8702225513.7099991</v>
      </c>
      <c r="C41" s="190">
        <v>8288293982.5200005</v>
      </c>
      <c r="D41" s="190">
        <v>7653616300.5200005</v>
      </c>
      <c r="E41" s="190">
        <v>6917654245.0200005</v>
      </c>
      <c r="F41" s="190">
        <v>5813404640.6199999</v>
      </c>
      <c r="G41" s="190">
        <v>5419257417.0699997</v>
      </c>
      <c r="H41" s="190">
        <v>4987966753.6899996</v>
      </c>
      <c r="I41" s="190">
        <v>4815526698.7700005</v>
      </c>
      <c r="J41" s="190">
        <v>4289309631.1500001</v>
      </c>
      <c r="K41" s="190">
        <v>4121611114.5700002</v>
      </c>
      <c r="L41" s="190">
        <v>3820591900.8099999</v>
      </c>
      <c r="M41" s="190">
        <v>3634085410.75</v>
      </c>
      <c r="N41" s="190">
        <v>3053078325.4200001</v>
      </c>
      <c r="O41" s="190">
        <v>2685986809.77</v>
      </c>
      <c r="P41" s="190">
        <v>2330832809.5300002</v>
      </c>
      <c r="Q41" s="190">
        <v>2182633315.1999998</v>
      </c>
      <c r="R41" s="190">
        <v>2085416568.4200001</v>
      </c>
      <c r="S41" s="190">
        <v>2000846244.6300001</v>
      </c>
      <c r="T41" s="190">
        <v>1797096654.23</v>
      </c>
      <c r="U41" s="190">
        <v>1681593248.6400001</v>
      </c>
      <c r="V41" s="190">
        <v>2262803281.5799999</v>
      </c>
      <c r="W41" s="190">
        <v>2513999745.46</v>
      </c>
      <c r="X41" s="190">
        <v>2336999214.5</v>
      </c>
      <c r="Y41" s="190">
        <v>1777816243.8299999</v>
      </c>
      <c r="Z41" s="190">
        <v>1158971261.95</v>
      </c>
      <c r="AA41" s="190">
        <v>1134639693.98</v>
      </c>
      <c r="AB41" s="190">
        <v>976566262.85000002</v>
      </c>
      <c r="AC41" s="190">
        <v>915504829.82000005</v>
      </c>
      <c r="AD41" s="190">
        <v>734470674.59000003</v>
      </c>
      <c r="AE41" s="190">
        <v>695147561.32000005</v>
      </c>
      <c r="AF41" s="190">
        <v>655281678.41999996</v>
      </c>
      <c r="AG41" s="190">
        <v>563915739.85000002</v>
      </c>
      <c r="AH41" s="190">
        <v>480003206.94</v>
      </c>
      <c r="AI41" s="190">
        <v>405334431.42000002</v>
      </c>
      <c r="AJ41" s="190">
        <v>348452364.31999999</v>
      </c>
      <c r="AK41" s="190">
        <v>323492336.07999998</v>
      </c>
      <c r="AL41" s="190">
        <v>107424032.09999999</v>
      </c>
      <c r="AM41" s="190">
        <v>57568246.020000003</v>
      </c>
      <c r="AN41" s="190">
        <v>0</v>
      </c>
    </row>
    <row r="42" spans="1:40" x14ac:dyDescent="0.25">
      <c r="A42" s="190" t="s">
        <v>146</v>
      </c>
      <c r="B42" s="190">
        <v>54932903678.849998</v>
      </c>
      <c r="C42" s="190">
        <v>50019711616.849998</v>
      </c>
      <c r="D42" s="190">
        <v>50208262128.639999</v>
      </c>
      <c r="E42" s="190">
        <v>51570963466.610001</v>
      </c>
      <c r="F42" s="190">
        <v>44304408732.5</v>
      </c>
      <c r="G42" s="190">
        <v>41524934461.169998</v>
      </c>
      <c r="H42" s="190">
        <v>42657819050.449997</v>
      </c>
      <c r="I42" s="190">
        <v>41339007814.830002</v>
      </c>
      <c r="J42" s="190">
        <v>36494321200.940002</v>
      </c>
      <c r="K42" s="190">
        <v>31958335117.450001</v>
      </c>
      <c r="L42" s="190">
        <v>31156244904.52</v>
      </c>
      <c r="M42" s="190">
        <v>30316442436.169998</v>
      </c>
      <c r="N42" s="190">
        <v>25454224782.66</v>
      </c>
      <c r="O42" s="190">
        <v>23202394100.380001</v>
      </c>
      <c r="P42" s="190">
        <v>21417873571.369999</v>
      </c>
      <c r="Q42" s="190">
        <v>21290520311.290001</v>
      </c>
      <c r="R42" s="190">
        <v>17374849800.68</v>
      </c>
      <c r="S42" s="190">
        <v>16599150532.469999</v>
      </c>
      <c r="T42" s="190">
        <v>14591441081.33</v>
      </c>
      <c r="U42" s="190">
        <v>14071528034.190001</v>
      </c>
      <c r="V42" s="190">
        <v>12240426854.950001</v>
      </c>
      <c r="W42" s="190">
        <v>11393836125.32</v>
      </c>
      <c r="X42" s="190">
        <v>10400278285.82</v>
      </c>
      <c r="Y42" s="190">
        <v>10589486239.709999</v>
      </c>
      <c r="Z42" s="190">
        <v>9143184692.9200001</v>
      </c>
      <c r="AA42" s="190">
        <v>8421798250.29</v>
      </c>
      <c r="AB42" s="190">
        <v>8117909455.6199999</v>
      </c>
      <c r="AC42" s="190">
        <v>8316653307.9899998</v>
      </c>
      <c r="AD42" s="190">
        <v>7183273232.1099997</v>
      </c>
      <c r="AE42" s="190">
        <v>6784790409.3999996</v>
      </c>
      <c r="AF42" s="190">
        <v>6634110401.3699999</v>
      </c>
      <c r="AG42" s="190">
        <v>6549342721.0699997</v>
      </c>
      <c r="AH42" s="190">
        <v>5773943125.6700001</v>
      </c>
      <c r="AI42" s="190">
        <v>5824278411.4099998</v>
      </c>
      <c r="AJ42" s="190">
        <v>2180061621.96</v>
      </c>
      <c r="AK42" s="190">
        <v>2197077158.6500001</v>
      </c>
      <c r="AL42" s="190">
        <v>1369519232.3699999</v>
      </c>
      <c r="AM42" s="190">
        <v>871867597.02999997</v>
      </c>
      <c r="AN42" s="190">
        <v>0</v>
      </c>
    </row>
    <row r="43" spans="1:40" x14ac:dyDescent="0.25">
      <c r="A43" s="190" t="s">
        <v>147</v>
      </c>
    </row>
    <row r="44" spans="1:40" x14ac:dyDescent="0.25">
      <c r="A44" s="190" t="s">
        <v>148</v>
      </c>
      <c r="B44" s="190">
        <v>3186577915.25</v>
      </c>
      <c r="C44" s="190">
        <v>3396803881.0300002</v>
      </c>
      <c r="D44" s="190">
        <v>1516332857.77</v>
      </c>
      <c r="E44" s="190">
        <v>97114655.909999996</v>
      </c>
      <c r="F44" s="190">
        <v>650412864.82000005</v>
      </c>
      <c r="G44" s="190">
        <v>1965132452.76</v>
      </c>
      <c r="H44" s="190">
        <v>2587109789.3800001</v>
      </c>
      <c r="I44" s="190">
        <v>32291324.850000001</v>
      </c>
      <c r="J44" s="190">
        <v>439854272.31999999</v>
      </c>
      <c r="K44" s="190">
        <v>152782096.63999999</v>
      </c>
      <c r="L44" s="190">
        <v>828319244.57000005</v>
      </c>
      <c r="M44" s="190">
        <v>876600473.94000006</v>
      </c>
      <c r="N44" s="190">
        <v>934021416.17999995</v>
      </c>
      <c r="O44" s="190">
        <v>1569115108.97</v>
      </c>
      <c r="P44" s="190">
        <v>533118584.08999997</v>
      </c>
      <c r="Q44" s="190">
        <v>362317989.11000001</v>
      </c>
      <c r="R44" s="190">
        <v>860815209.61000001</v>
      </c>
      <c r="S44" s="190">
        <v>863916628.23000002</v>
      </c>
      <c r="T44" s="190">
        <v>623836298.55999994</v>
      </c>
      <c r="U44" s="190">
        <v>180799798.19999999</v>
      </c>
      <c r="V44" s="190">
        <v>113295063.58</v>
      </c>
      <c r="W44" s="190">
        <v>41751164.670000002</v>
      </c>
      <c r="X44" s="190">
        <v>86004909.25</v>
      </c>
      <c r="Y44" s="190">
        <v>0</v>
      </c>
      <c r="Z44" s="190">
        <v>0</v>
      </c>
      <c r="AA44" s="190">
        <v>0</v>
      </c>
      <c r="AB44" s="190">
        <v>0</v>
      </c>
      <c r="AC44" s="190">
        <v>0</v>
      </c>
      <c r="AD44" s="190">
        <v>0</v>
      </c>
      <c r="AE44" s="190">
        <v>0</v>
      </c>
      <c r="AF44" s="190">
        <v>0</v>
      </c>
      <c r="AG44" s="190">
        <v>0</v>
      </c>
      <c r="AH44" s="190">
        <v>0</v>
      </c>
      <c r="AI44" s="190">
        <v>0</v>
      </c>
      <c r="AJ44" s="190">
        <v>27374000</v>
      </c>
      <c r="AK44" s="190">
        <v>27374000</v>
      </c>
      <c r="AL44" s="190">
        <v>0</v>
      </c>
      <c r="AM44" s="190">
        <v>45000000</v>
      </c>
      <c r="AN44" s="190">
        <v>0</v>
      </c>
    </row>
    <row r="45" spans="1:40" x14ac:dyDescent="0.25">
      <c r="A45" s="190" t="s">
        <v>149</v>
      </c>
      <c r="B45" s="190">
        <v>24379634.940000001</v>
      </c>
      <c r="C45" s="190">
        <v>38501338</v>
      </c>
      <c r="D45" s="190">
        <v>55059240.219999999</v>
      </c>
      <c r="E45" s="190">
        <v>15946836.460000001</v>
      </c>
      <c r="F45" s="190">
        <v>28187297.02</v>
      </c>
      <c r="G45" s="190">
        <v>18562128.16</v>
      </c>
      <c r="H45" s="190">
        <v>61897855.659999996</v>
      </c>
      <c r="I45" s="190">
        <v>69789502.969999999</v>
      </c>
      <c r="J45" s="190">
        <v>21038313.789999999</v>
      </c>
      <c r="K45" s="190">
        <v>21823075</v>
      </c>
      <c r="L45" s="190">
        <v>22022680.699999999</v>
      </c>
      <c r="M45" s="190">
        <v>19281989.690000001</v>
      </c>
      <c r="N45" s="190">
        <v>12956910.890000001</v>
      </c>
      <c r="O45" s="190">
        <v>13745601.74</v>
      </c>
      <c r="P45" s="190">
        <v>5086484.68</v>
      </c>
      <c r="Q45" s="190">
        <v>0</v>
      </c>
      <c r="R45" s="190">
        <v>1315910</v>
      </c>
      <c r="S45" s="190">
        <v>3741370</v>
      </c>
      <c r="T45" s="190">
        <v>0</v>
      </c>
      <c r="U45" s="190">
        <v>0</v>
      </c>
      <c r="V45" s="190">
        <v>0</v>
      </c>
      <c r="W45" s="190">
        <v>0</v>
      </c>
      <c r="X45" s="190">
        <v>0</v>
      </c>
      <c r="Y45" s="190">
        <v>0</v>
      </c>
      <c r="Z45" s="190">
        <v>0</v>
      </c>
      <c r="AA45" s="190">
        <v>0</v>
      </c>
      <c r="AB45" s="190">
        <v>0</v>
      </c>
      <c r="AC45" s="190">
        <v>0</v>
      </c>
      <c r="AD45" s="190">
        <v>0</v>
      </c>
      <c r="AE45" s="190">
        <v>0</v>
      </c>
      <c r="AF45" s="190">
        <v>0</v>
      </c>
      <c r="AG45" s="190">
        <v>0</v>
      </c>
      <c r="AH45" s="190">
        <v>0</v>
      </c>
      <c r="AI45" s="190">
        <v>0</v>
      </c>
      <c r="AJ45" s="190">
        <v>0</v>
      </c>
      <c r="AK45" s="190">
        <v>0</v>
      </c>
      <c r="AL45" s="190">
        <v>0</v>
      </c>
      <c r="AM45" s="190">
        <v>0</v>
      </c>
      <c r="AN45" s="190">
        <v>0</v>
      </c>
    </row>
    <row r="46" spans="1:40" x14ac:dyDescent="0.25">
      <c r="A46" s="190" t="s">
        <v>150</v>
      </c>
      <c r="B46" s="190">
        <v>0</v>
      </c>
      <c r="C46" s="190">
        <v>705958442.29999995</v>
      </c>
      <c r="D46" s="190">
        <v>1128796061.8499999</v>
      </c>
      <c r="E46" s="190">
        <v>845397427.91999996</v>
      </c>
      <c r="F46" s="190">
        <v>733584221.11000001</v>
      </c>
      <c r="G46" s="190">
        <v>536694693.25</v>
      </c>
      <c r="H46" s="190">
        <v>615155449.05999994</v>
      </c>
      <c r="I46" s="190">
        <v>876804536.72000003</v>
      </c>
      <c r="J46" s="190">
        <v>2351226540.1599998</v>
      </c>
      <c r="K46" s="190">
        <v>1604622259.6600001</v>
      </c>
      <c r="L46" s="190">
        <v>784024759.53999996</v>
      </c>
      <c r="M46" s="190">
        <v>209741787.71000001</v>
      </c>
      <c r="N46" s="190">
        <v>372000000</v>
      </c>
      <c r="O46" s="190">
        <v>0</v>
      </c>
      <c r="P46" s="190">
        <v>52000000</v>
      </c>
      <c r="Q46" s="190">
        <v>274000000</v>
      </c>
      <c r="R46" s="190">
        <v>0</v>
      </c>
      <c r="S46" s="190">
        <v>0</v>
      </c>
      <c r="T46" s="190">
        <v>0</v>
      </c>
      <c r="U46" s="190">
        <v>0</v>
      </c>
      <c r="V46" s="190">
        <v>0</v>
      </c>
      <c r="W46" s="190">
        <v>0</v>
      </c>
      <c r="X46" s="190">
        <v>0</v>
      </c>
      <c r="Y46" s="190">
        <v>0</v>
      </c>
      <c r="Z46" s="190">
        <v>0</v>
      </c>
      <c r="AA46" s="190">
        <v>0</v>
      </c>
      <c r="AB46" s="190">
        <v>0</v>
      </c>
      <c r="AC46" s="190">
        <v>0</v>
      </c>
      <c r="AD46" s="190">
        <v>0</v>
      </c>
      <c r="AE46" s="190">
        <v>0</v>
      </c>
      <c r="AF46" s="190">
        <v>0</v>
      </c>
      <c r="AG46" s="190">
        <v>0</v>
      </c>
      <c r="AH46" s="190">
        <v>0</v>
      </c>
      <c r="AI46" s="190">
        <v>0</v>
      </c>
      <c r="AJ46" s="190">
        <v>285600</v>
      </c>
      <c r="AK46" s="190">
        <v>0</v>
      </c>
      <c r="AL46" s="190">
        <v>14946432.32</v>
      </c>
      <c r="AM46" s="190">
        <v>0</v>
      </c>
      <c r="AN46" s="190">
        <v>0</v>
      </c>
    </row>
    <row r="47" spans="1:40" x14ac:dyDescent="0.25">
      <c r="A47" s="190" t="s">
        <v>151</v>
      </c>
      <c r="B47" s="190">
        <v>0</v>
      </c>
      <c r="C47" s="190">
        <v>7187885155.1199999</v>
      </c>
      <c r="D47" s="190">
        <v>6742022841.3999996</v>
      </c>
      <c r="E47" s="190">
        <v>10039943012.26</v>
      </c>
      <c r="F47" s="190">
        <v>6711619644.2299995</v>
      </c>
      <c r="G47" s="190">
        <v>6155893782.9499998</v>
      </c>
      <c r="H47" s="190">
        <v>5068476484.1800003</v>
      </c>
      <c r="I47" s="190">
        <v>7008335023.4700003</v>
      </c>
      <c r="J47" s="190">
        <v>5546845220.3500004</v>
      </c>
      <c r="K47" s="190">
        <v>4815377752.3800001</v>
      </c>
      <c r="L47" s="190">
        <v>3453175778.6199999</v>
      </c>
      <c r="M47" s="190">
        <v>5869739370.7799997</v>
      </c>
      <c r="N47" s="190">
        <v>3374064111.3400002</v>
      </c>
      <c r="O47" s="190">
        <v>2723053840.0500002</v>
      </c>
      <c r="P47" s="190">
        <v>2488604715.6799998</v>
      </c>
      <c r="Q47" s="190">
        <v>3318309615.9099998</v>
      </c>
      <c r="R47" s="190">
        <v>2108574600.6500001</v>
      </c>
      <c r="S47" s="190">
        <v>1994760450.8599999</v>
      </c>
      <c r="T47" s="190">
        <v>1335357738.21</v>
      </c>
      <c r="U47" s="190">
        <v>1608687019.4200001</v>
      </c>
      <c r="V47" s="190">
        <v>1351654344.77</v>
      </c>
      <c r="W47" s="190">
        <v>926429008.79999995</v>
      </c>
      <c r="X47" s="190">
        <v>679921966.49000001</v>
      </c>
      <c r="Y47" s="190">
        <v>1075022460.8699999</v>
      </c>
      <c r="Z47" s="190">
        <v>686476038.19000006</v>
      </c>
      <c r="AA47" s="190">
        <v>583440129.16999996</v>
      </c>
      <c r="AB47" s="190">
        <v>411391993.37</v>
      </c>
      <c r="AC47" s="190">
        <v>698356705.75</v>
      </c>
      <c r="AD47" s="190">
        <v>526482300.38</v>
      </c>
      <c r="AE47" s="190">
        <v>461335176.58999997</v>
      </c>
      <c r="AF47" s="190">
        <v>366807817.41000003</v>
      </c>
      <c r="AG47" s="190">
        <v>409041016.97000003</v>
      </c>
      <c r="AH47" s="190">
        <v>301022691.54000002</v>
      </c>
      <c r="AI47" s="190">
        <v>440096423.01999998</v>
      </c>
      <c r="AJ47" s="190">
        <v>291431110.51999998</v>
      </c>
      <c r="AK47" s="190">
        <v>409036986.83999997</v>
      </c>
      <c r="AL47" s="190">
        <v>220312217.30000001</v>
      </c>
      <c r="AM47" s="190">
        <v>150623017.22999999</v>
      </c>
      <c r="AN47" s="190">
        <v>0</v>
      </c>
    </row>
    <row r="48" spans="1:40" x14ac:dyDescent="0.25">
      <c r="A48" s="190" t="s">
        <v>152</v>
      </c>
      <c r="B48" s="190">
        <v>584648648.48000002</v>
      </c>
      <c r="C48" s="190">
        <v>614236976.75</v>
      </c>
      <c r="D48" s="190">
        <v>454788920.44</v>
      </c>
      <c r="E48" s="190">
        <v>570573208.60000002</v>
      </c>
      <c r="F48" s="190">
        <v>402471608.01999998</v>
      </c>
      <c r="G48" s="190">
        <v>444375209.13999999</v>
      </c>
      <c r="H48" s="190">
        <v>574994112.96000004</v>
      </c>
      <c r="I48" s="190">
        <v>469691437.38999999</v>
      </c>
      <c r="J48" s="190">
        <v>138864140.63999999</v>
      </c>
      <c r="K48" s="190">
        <v>276212767.64999998</v>
      </c>
      <c r="L48" s="190">
        <v>309986284.49000001</v>
      </c>
      <c r="M48" s="190">
        <v>395510795.73000002</v>
      </c>
      <c r="N48" s="190">
        <v>406112031.33999997</v>
      </c>
      <c r="O48" s="190">
        <v>507163335.33999997</v>
      </c>
      <c r="P48" s="190">
        <v>458576005.73000002</v>
      </c>
      <c r="Q48" s="190">
        <v>503067411.06999999</v>
      </c>
      <c r="R48" s="190">
        <v>422241678.19999999</v>
      </c>
      <c r="S48" s="190">
        <v>397395316.19</v>
      </c>
      <c r="T48" s="190">
        <v>296809036.04000002</v>
      </c>
      <c r="U48" s="190">
        <v>289065210.75999999</v>
      </c>
      <c r="V48" s="190">
        <v>279509849.67000002</v>
      </c>
      <c r="W48" s="190">
        <v>277276474.85000002</v>
      </c>
      <c r="X48" s="190">
        <v>222853718.16999999</v>
      </c>
      <c r="Y48" s="190">
        <v>268404065.34999999</v>
      </c>
      <c r="Z48" s="190">
        <v>202006881.41</v>
      </c>
      <c r="AA48" s="190">
        <v>191873129.22999999</v>
      </c>
      <c r="AB48" s="190">
        <v>207398212.44999999</v>
      </c>
      <c r="AC48" s="190">
        <v>218298534.72</v>
      </c>
      <c r="AD48" s="190">
        <v>54867420.609999999</v>
      </c>
      <c r="AE48" s="190">
        <v>89267000.269999996</v>
      </c>
      <c r="AF48" s="190">
        <v>78834978.329999998</v>
      </c>
      <c r="AG48" s="190">
        <v>90480761.879999995</v>
      </c>
      <c r="AH48" s="190">
        <v>17465808.02</v>
      </c>
      <c r="AI48" s="190">
        <v>22277817.02</v>
      </c>
      <c r="AJ48" s="190">
        <v>12702555.83</v>
      </c>
      <c r="AK48" s="190">
        <v>56865605.689999998</v>
      </c>
      <c r="AL48" s="190">
        <v>29495908.870000001</v>
      </c>
      <c r="AM48" s="190">
        <v>17384345.77</v>
      </c>
      <c r="AN48" s="190">
        <v>0</v>
      </c>
    </row>
    <row r="49" spans="1:40" x14ac:dyDescent="0.25">
      <c r="A49" s="190" t="s">
        <v>153</v>
      </c>
      <c r="B49" s="190">
        <v>0</v>
      </c>
      <c r="C49" s="190">
        <v>0</v>
      </c>
      <c r="D49" s="190">
        <v>0</v>
      </c>
      <c r="E49" s="190">
        <v>0</v>
      </c>
      <c r="F49" s="190">
        <v>0</v>
      </c>
      <c r="G49" s="190">
        <v>0</v>
      </c>
      <c r="H49" s="190">
        <v>0</v>
      </c>
      <c r="I49" s="190">
        <v>0</v>
      </c>
      <c r="J49" s="190">
        <v>0</v>
      </c>
      <c r="K49" s="190">
        <v>0</v>
      </c>
      <c r="L49" s="190">
        <v>0</v>
      </c>
      <c r="M49" s="190">
        <v>0</v>
      </c>
      <c r="N49" s="190">
        <v>0</v>
      </c>
      <c r="O49" s="190">
        <v>0</v>
      </c>
      <c r="P49" s="190">
        <v>0</v>
      </c>
      <c r="Q49" s="190">
        <v>0</v>
      </c>
      <c r="R49" s="190">
        <v>0</v>
      </c>
      <c r="S49" s="190">
        <v>0</v>
      </c>
      <c r="T49" s="190">
        <v>0</v>
      </c>
      <c r="U49" s="190">
        <v>0</v>
      </c>
      <c r="V49" s="190">
        <v>0</v>
      </c>
      <c r="W49" s="190">
        <v>0</v>
      </c>
      <c r="X49" s="190">
        <v>0</v>
      </c>
      <c r="Y49" s="190">
        <v>0</v>
      </c>
      <c r="Z49" s="190">
        <v>0</v>
      </c>
      <c r="AA49" s="190">
        <v>0</v>
      </c>
      <c r="AB49" s="190">
        <v>0</v>
      </c>
      <c r="AC49" s="190">
        <v>0</v>
      </c>
      <c r="AD49" s="190">
        <v>0</v>
      </c>
      <c r="AE49" s="190">
        <v>0</v>
      </c>
      <c r="AF49" s="190">
        <v>0</v>
      </c>
      <c r="AG49" s="190">
        <v>0</v>
      </c>
      <c r="AH49" s="190">
        <v>0</v>
      </c>
      <c r="AI49" s="190">
        <v>0</v>
      </c>
      <c r="AJ49" s="190">
        <v>0</v>
      </c>
      <c r="AK49" s="190">
        <v>0</v>
      </c>
      <c r="AL49" s="190">
        <v>0</v>
      </c>
      <c r="AM49" s="190">
        <v>0</v>
      </c>
      <c r="AN49" s="190">
        <v>0</v>
      </c>
    </row>
    <row r="50" spans="1:40" x14ac:dyDescent="0.25">
      <c r="A50" s="190" t="s">
        <v>154</v>
      </c>
      <c r="B50" s="190">
        <v>1355915098.46</v>
      </c>
      <c r="C50" s="190">
        <v>1007572155.38</v>
      </c>
      <c r="D50" s="190">
        <v>431026744.52999997</v>
      </c>
      <c r="E50" s="190">
        <v>1391291256.9000001</v>
      </c>
      <c r="F50" s="190">
        <v>950428923.63999999</v>
      </c>
      <c r="G50" s="190">
        <v>595071569.87</v>
      </c>
      <c r="H50" s="190">
        <v>321750016.11000001</v>
      </c>
      <c r="I50" s="190">
        <v>1084529374.71</v>
      </c>
      <c r="J50" s="190">
        <v>684725845.24000001</v>
      </c>
      <c r="K50" s="190">
        <v>423898092.49000001</v>
      </c>
      <c r="L50" s="190">
        <v>213860315.44999999</v>
      </c>
      <c r="M50" s="190">
        <v>788069735.32000005</v>
      </c>
      <c r="N50" s="190">
        <v>649265144.46000004</v>
      </c>
      <c r="O50" s="190">
        <v>479018834.75999999</v>
      </c>
      <c r="P50" s="190">
        <v>268073577</v>
      </c>
      <c r="Q50" s="190">
        <v>656094975.85000002</v>
      </c>
      <c r="R50" s="190">
        <v>512188200.38999999</v>
      </c>
      <c r="S50" s="190">
        <v>326295515.95999998</v>
      </c>
      <c r="T50" s="190">
        <v>151336989.18000001</v>
      </c>
      <c r="U50" s="190">
        <v>505769529.55000001</v>
      </c>
      <c r="V50" s="190">
        <v>413068540.01999998</v>
      </c>
      <c r="W50" s="190">
        <v>245791858.25999999</v>
      </c>
      <c r="X50" s="190">
        <v>184109646.09999999</v>
      </c>
      <c r="Y50" s="190">
        <v>431980413.55000001</v>
      </c>
      <c r="Z50" s="190">
        <v>342902720.31</v>
      </c>
      <c r="AA50" s="190">
        <v>250717664.81999999</v>
      </c>
      <c r="AB50" s="190">
        <v>225657167.93000001</v>
      </c>
      <c r="AC50" s="190">
        <v>402727034.81999999</v>
      </c>
      <c r="AD50" s="190">
        <v>298339755.69</v>
      </c>
      <c r="AE50" s="190">
        <v>252723820.00999999</v>
      </c>
      <c r="AF50" s="190">
        <v>210371827.84</v>
      </c>
      <c r="AG50" s="190">
        <v>329518856</v>
      </c>
      <c r="AH50" s="190">
        <v>162899769.87</v>
      </c>
      <c r="AI50" s="190">
        <v>135921183.43000001</v>
      </c>
      <c r="AJ50" s="190">
        <v>108318659.29000001</v>
      </c>
      <c r="AK50" s="190">
        <v>175597681.09</v>
      </c>
      <c r="AL50" s="190">
        <v>120209536.7</v>
      </c>
      <c r="AM50" s="190">
        <v>65360822.649999999</v>
      </c>
      <c r="AN50" s="190">
        <v>0</v>
      </c>
    </row>
    <row r="51" spans="1:40" x14ac:dyDescent="0.25">
      <c r="A51" s="190" t="s">
        <v>155</v>
      </c>
      <c r="B51" s="190">
        <v>1289792684.6500001</v>
      </c>
      <c r="C51" s="190">
        <v>1210905739.9300001</v>
      </c>
      <c r="D51" s="190">
        <v>1144321376.05</v>
      </c>
      <c r="E51" s="190">
        <v>1453515065.77</v>
      </c>
      <c r="F51" s="190">
        <v>974927666.86000001</v>
      </c>
      <c r="G51" s="190">
        <v>941095379.60000002</v>
      </c>
      <c r="H51" s="190">
        <v>1217229924.3599999</v>
      </c>
      <c r="I51" s="190">
        <v>1205675099.74</v>
      </c>
      <c r="J51" s="190">
        <v>870172214.02999997</v>
      </c>
      <c r="K51" s="190">
        <v>805957170.60000002</v>
      </c>
      <c r="L51" s="190">
        <v>738653656.35000002</v>
      </c>
      <c r="M51" s="190">
        <v>822299350.08000004</v>
      </c>
      <c r="N51" s="190">
        <v>701115113.49000001</v>
      </c>
      <c r="O51" s="190">
        <v>499897008.64999998</v>
      </c>
      <c r="P51" s="190">
        <v>405524014.74000001</v>
      </c>
      <c r="Q51" s="190">
        <v>394514782.17000002</v>
      </c>
      <c r="R51" s="190">
        <v>432688132.00999999</v>
      </c>
      <c r="S51" s="190">
        <v>160894953.74000001</v>
      </c>
      <c r="T51" s="190">
        <v>183920179.41999999</v>
      </c>
      <c r="U51" s="190">
        <v>179299604.27000001</v>
      </c>
      <c r="V51" s="190">
        <v>119761936.48999999</v>
      </c>
      <c r="W51" s="190">
        <v>132579341.45</v>
      </c>
      <c r="X51" s="190">
        <v>37745636.310000002</v>
      </c>
      <c r="Y51" s="190">
        <v>81383854.930000007</v>
      </c>
      <c r="Z51" s="190">
        <v>122816770.97</v>
      </c>
      <c r="AA51" s="190">
        <v>112733979.31999999</v>
      </c>
      <c r="AB51" s="190">
        <v>63504117.359999999</v>
      </c>
      <c r="AC51" s="190">
        <v>179543952.28999999</v>
      </c>
      <c r="AD51" s="190">
        <v>51580632.460000001</v>
      </c>
      <c r="AE51" s="190">
        <v>53674146.07</v>
      </c>
      <c r="AF51" s="190">
        <v>-1786974.41</v>
      </c>
      <c r="AG51" s="190">
        <v>30985208.75</v>
      </c>
      <c r="AH51" s="190">
        <v>4976525.29</v>
      </c>
      <c r="AI51" s="190">
        <v>-31454591.489999998</v>
      </c>
      <c r="AJ51" s="190">
        <v>-6764601.0599999996</v>
      </c>
      <c r="AK51" s="190">
        <v>-12415108.51</v>
      </c>
      <c r="AL51" s="190">
        <v>4495912.4400000004</v>
      </c>
      <c r="AM51" s="190">
        <v>11359019.08</v>
      </c>
      <c r="AN51" s="190">
        <v>0</v>
      </c>
    </row>
    <row r="52" spans="1:40" x14ac:dyDescent="0.25">
      <c r="A52" s="190" t="s">
        <v>156</v>
      </c>
      <c r="B52" s="190">
        <v>0</v>
      </c>
      <c r="C52" s="190">
        <v>0</v>
      </c>
      <c r="D52" s="190">
        <v>0</v>
      </c>
      <c r="E52" s="190">
        <v>0</v>
      </c>
      <c r="F52" s="190">
        <v>0</v>
      </c>
      <c r="G52" s="190">
        <v>0</v>
      </c>
      <c r="H52" s="190">
        <v>0</v>
      </c>
      <c r="I52" s="190">
        <v>0</v>
      </c>
      <c r="J52" s="190">
        <v>0</v>
      </c>
      <c r="K52" s="190">
        <v>0</v>
      </c>
      <c r="L52" s="190">
        <v>0</v>
      </c>
      <c r="M52" s="190">
        <v>4668652.09</v>
      </c>
      <c r="N52" s="190">
        <v>0</v>
      </c>
      <c r="O52" s="190">
        <v>0</v>
      </c>
      <c r="P52" s="190">
        <v>0</v>
      </c>
      <c r="Q52" s="190">
        <v>0</v>
      </c>
      <c r="R52" s="190">
        <v>0</v>
      </c>
      <c r="S52" s="190">
        <v>0</v>
      </c>
      <c r="T52" s="190">
        <v>0</v>
      </c>
      <c r="U52" s="190">
        <v>0</v>
      </c>
      <c r="V52" s="190">
        <v>0</v>
      </c>
      <c r="W52" s="190">
        <v>0</v>
      </c>
      <c r="X52" s="190">
        <v>0</v>
      </c>
      <c r="Y52" s="190">
        <v>0</v>
      </c>
      <c r="Z52" s="190">
        <v>0</v>
      </c>
      <c r="AA52" s="190">
        <v>0</v>
      </c>
      <c r="AB52" s="190">
        <v>0</v>
      </c>
      <c r="AC52" s="190">
        <v>0</v>
      </c>
      <c r="AD52" s="190">
        <v>0</v>
      </c>
      <c r="AE52" s="190">
        <v>0</v>
      </c>
      <c r="AF52" s="190">
        <v>0</v>
      </c>
      <c r="AG52" s="190">
        <v>41325</v>
      </c>
      <c r="AH52" s="190">
        <v>0</v>
      </c>
      <c r="AI52" s="190">
        <v>0</v>
      </c>
      <c r="AJ52" s="190">
        <v>0</v>
      </c>
      <c r="AK52" s="190">
        <v>41325</v>
      </c>
      <c r="AL52" s="190">
        <v>0</v>
      </c>
      <c r="AM52" s="190">
        <v>38325</v>
      </c>
      <c r="AN52" s="190">
        <v>0</v>
      </c>
    </row>
    <row r="53" spans="1:40" x14ac:dyDescent="0.25">
      <c r="A53" s="190" t="s">
        <v>157</v>
      </c>
      <c r="B53" s="190">
        <v>0</v>
      </c>
      <c r="C53" s="190">
        <v>119917640.92</v>
      </c>
      <c r="D53" s="190">
        <v>63706416.920000002</v>
      </c>
      <c r="E53" s="190">
        <v>94857139.159999996</v>
      </c>
      <c r="F53" s="190">
        <v>92407139.159999996</v>
      </c>
      <c r="G53" s="190">
        <v>92407139.159999996</v>
      </c>
      <c r="H53" s="190">
        <v>11709186.49</v>
      </c>
      <c r="I53" s="190">
        <v>20105831.16</v>
      </c>
      <c r="J53" s="190">
        <v>24128481.48</v>
      </c>
      <c r="K53" s="190">
        <v>24128481.48</v>
      </c>
      <c r="L53" s="190">
        <v>24128481.48</v>
      </c>
      <c r="M53" s="190">
        <v>24128481.48</v>
      </c>
      <c r="N53" s="190">
        <v>28678121.079999998</v>
      </c>
      <c r="O53" s="190">
        <v>28678121.079999998</v>
      </c>
      <c r="P53" s="190">
        <v>4402278.9800000004</v>
      </c>
      <c r="Q53" s="190">
        <v>4402278.9800000004</v>
      </c>
      <c r="R53" s="190">
        <v>5321375.6399999997</v>
      </c>
      <c r="S53" s="190">
        <v>1006544824.36</v>
      </c>
      <c r="T53" s="190">
        <v>2239018.86</v>
      </c>
      <c r="U53" s="190">
        <v>2239018.86</v>
      </c>
      <c r="V53" s="190">
        <v>2239018.86</v>
      </c>
      <c r="W53" s="190">
        <v>602583483.29999995</v>
      </c>
      <c r="X53" s="190">
        <v>0</v>
      </c>
      <c r="Y53" s="190">
        <v>0</v>
      </c>
      <c r="Z53" s="190">
        <v>0</v>
      </c>
      <c r="AA53" s="190">
        <v>88400000</v>
      </c>
      <c r="AB53" s="190">
        <v>0</v>
      </c>
      <c r="AC53" s="190">
        <v>0</v>
      </c>
      <c r="AD53" s="190">
        <v>0</v>
      </c>
      <c r="AE53" s="190">
        <v>0</v>
      </c>
      <c r="AF53" s="190">
        <v>0</v>
      </c>
      <c r="AG53" s="190">
        <v>0</v>
      </c>
      <c r="AH53" s="190">
        <v>0</v>
      </c>
      <c r="AI53" s="190">
        <v>250000000</v>
      </c>
      <c r="AJ53" s="190">
        <v>0</v>
      </c>
      <c r="AK53" s="190">
        <v>0</v>
      </c>
      <c r="AL53" s="190">
        <v>0</v>
      </c>
      <c r="AM53" s="190">
        <v>33255927.140000001</v>
      </c>
      <c r="AN53" s="190">
        <v>0</v>
      </c>
    </row>
    <row r="54" spans="1:40" x14ac:dyDescent="0.25">
      <c r="A54" s="190" t="s">
        <v>158</v>
      </c>
      <c r="B54" s="190">
        <v>636962573.57000005</v>
      </c>
      <c r="C54" s="190">
        <v>510992530.57999998</v>
      </c>
      <c r="D54" s="190">
        <v>500015015.62</v>
      </c>
      <c r="E54" s="190">
        <v>401861078.67000002</v>
      </c>
      <c r="F54" s="190">
        <v>497695436</v>
      </c>
      <c r="G54" s="190">
        <v>481729216.24000001</v>
      </c>
      <c r="H54" s="190">
        <v>379088675.56</v>
      </c>
      <c r="I54" s="190">
        <v>1033169123.84</v>
      </c>
      <c r="J54" s="190">
        <v>244877264.69</v>
      </c>
      <c r="K54" s="190">
        <v>200951042.41999999</v>
      </c>
      <c r="L54" s="190">
        <v>201048261.43000001</v>
      </c>
      <c r="M54" s="190">
        <v>159857666.08000001</v>
      </c>
      <c r="N54" s="190">
        <v>55284492.149999999</v>
      </c>
      <c r="O54" s="190">
        <v>92216497.450000003</v>
      </c>
      <c r="P54" s="190">
        <v>45563356.909999996</v>
      </c>
      <c r="Q54" s="190">
        <v>51569365.920000002</v>
      </c>
      <c r="R54" s="190">
        <v>32817059.5</v>
      </c>
      <c r="S54" s="190">
        <v>48366326.030000001</v>
      </c>
      <c r="T54" s="190">
        <v>48403791.43</v>
      </c>
      <c r="U54" s="190">
        <v>54182467.93</v>
      </c>
      <c r="V54" s="190">
        <v>64085708.380000003</v>
      </c>
      <c r="W54" s="190">
        <v>47936743.789999999</v>
      </c>
      <c r="X54" s="190">
        <v>43947903.020000003</v>
      </c>
      <c r="Y54" s="190">
        <v>38276594.289999999</v>
      </c>
      <c r="Z54" s="190">
        <v>36593891.140000001</v>
      </c>
      <c r="AA54" s="190">
        <v>44942322.310000002</v>
      </c>
      <c r="AB54" s="190">
        <v>24959988.399999999</v>
      </c>
      <c r="AC54" s="190">
        <v>9052832.1099999994</v>
      </c>
      <c r="AD54" s="190">
        <v>5682068.0700000003</v>
      </c>
      <c r="AE54" s="190">
        <v>6458192.3799999999</v>
      </c>
      <c r="AF54" s="190">
        <v>29076320.789999999</v>
      </c>
      <c r="AG54" s="190">
        <v>6268889.2800000003</v>
      </c>
      <c r="AH54" s="190">
        <v>3182903.6</v>
      </c>
      <c r="AI54" s="190">
        <v>5738753.4900000002</v>
      </c>
      <c r="AJ54" s="190">
        <v>2721974.46</v>
      </c>
      <c r="AK54" s="190">
        <v>2602615.88</v>
      </c>
      <c r="AL54" s="190">
        <v>2160122.42</v>
      </c>
      <c r="AM54" s="190">
        <v>4134889.92</v>
      </c>
      <c r="AN54" s="190">
        <v>0</v>
      </c>
    </row>
    <row r="55" spans="1:40" x14ac:dyDescent="0.25">
      <c r="A55" s="190" t="s">
        <v>159</v>
      </c>
      <c r="B55" s="190">
        <v>0</v>
      </c>
      <c r="C55" s="190">
        <v>0</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row>
    <row r="56" spans="1:40" x14ac:dyDescent="0.25">
      <c r="A56" s="190" t="s">
        <v>160</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row>
    <row r="57" spans="1:40" x14ac:dyDescent="0.25">
      <c r="A57" s="190" t="s">
        <v>161</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row>
    <row r="58" spans="1:40" x14ac:dyDescent="0.25">
      <c r="A58" s="190" t="s">
        <v>162</v>
      </c>
      <c r="B58" s="190">
        <v>4033158623.1799998</v>
      </c>
      <c r="C58" s="190">
        <v>3878341679.6399999</v>
      </c>
      <c r="D58" s="190">
        <v>4653521621.6199999</v>
      </c>
      <c r="E58" s="190">
        <v>1546407270.8900001</v>
      </c>
      <c r="F58" s="190">
        <v>723925366.11000001</v>
      </c>
      <c r="G58" s="190">
        <v>714012975.36000001</v>
      </c>
      <c r="H58" s="190">
        <v>0</v>
      </c>
      <c r="I58" s="190">
        <v>15340813.029999999</v>
      </c>
      <c r="J58" s="190">
        <v>0</v>
      </c>
      <c r="K58" s="190">
        <v>273928572.36000001</v>
      </c>
      <c r="L58" s="190">
        <v>428436033.86000001</v>
      </c>
      <c r="M58" s="190">
        <v>586430847.08000004</v>
      </c>
      <c r="N58" s="190">
        <v>0</v>
      </c>
      <c r="O58" s="190">
        <v>0</v>
      </c>
      <c r="P58" s="190">
        <v>0</v>
      </c>
      <c r="Q58" s="190">
        <v>0</v>
      </c>
      <c r="R58" s="190">
        <v>3000000</v>
      </c>
      <c r="S58" s="190">
        <v>3000000</v>
      </c>
      <c r="T58" s="190">
        <v>3000000</v>
      </c>
      <c r="U58" s="190">
        <v>3000000</v>
      </c>
      <c r="V58" s="190">
        <v>0</v>
      </c>
      <c r="W58" s="190">
        <v>0</v>
      </c>
      <c r="X58" s="190">
        <v>0</v>
      </c>
      <c r="Y58" s="190">
        <v>0</v>
      </c>
      <c r="Z58" s="190">
        <v>0</v>
      </c>
      <c r="AA58" s="190">
        <v>0</v>
      </c>
      <c r="AB58" s="190">
        <v>0</v>
      </c>
      <c r="AC58" s="190">
        <v>0</v>
      </c>
      <c r="AD58" s="190">
        <v>29028697.93</v>
      </c>
      <c r="AE58" s="190">
        <v>29580168.390000001</v>
      </c>
      <c r="AF58" s="190">
        <v>29646364.120000001</v>
      </c>
      <c r="AG58" s="190">
        <v>29000000</v>
      </c>
      <c r="AH58" s="190">
        <v>0</v>
      </c>
      <c r="AI58" s="190">
        <v>0</v>
      </c>
      <c r="AJ58" s="190">
        <v>0</v>
      </c>
      <c r="AK58" s="190">
        <v>0</v>
      </c>
      <c r="AL58" s="190">
        <v>0</v>
      </c>
      <c r="AM58" s="190">
        <v>0</v>
      </c>
      <c r="AN58" s="190">
        <v>0</v>
      </c>
    </row>
    <row r="59" spans="1:40" x14ac:dyDescent="0.25">
      <c r="A59" s="190" t="s">
        <v>163</v>
      </c>
      <c r="B59" s="190">
        <v>681816656.88999999</v>
      </c>
      <c r="C59" s="190">
        <v>681816656.88999999</v>
      </c>
      <c r="D59" s="190">
        <v>738027880.88999999</v>
      </c>
      <c r="E59" s="190">
        <v>744583627.22000003</v>
      </c>
      <c r="F59" s="190">
        <v>853507327.54999995</v>
      </c>
      <c r="G59" s="190">
        <v>853507327.54999995</v>
      </c>
      <c r="H59" s="190">
        <v>964716036.71000004</v>
      </c>
      <c r="I59" s="190">
        <v>300177750.17000002</v>
      </c>
      <c r="J59" s="190">
        <v>518074596.89999998</v>
      </c>
      <c r="K59" s="190">
        <v>518074596.89999998</v>
      </c>
      <c r="L59" s="190">
        <v>518074596.89999998</v>
      </c>
      <c r="M59" s="190">
        <v>518074596.89999998</v>
      </c>
      <c r="N59" s="190">
        <v>547853280.23000002</v>
      </c>
      <c r="O59" s="190">
        <v>547853280.23000002</v>
      </c>
      <c r="P59" s="190">
        <v>547853280.23000002</v>
      </c>
      <c r="Q59" s="190">
        <v>547853280.23000002</v>
      </c>
      <c r="R59" s="190">
        <v>0</v>
      </c>
      <c r="S59" s="190">
        <v>0</v>
      </c>
      <c r="T59" s="190">
        <v>0</v>
      </c>
      <c r="U59" s="190">
        <v>0</v>
      </c>
      <c r="V59" s="190">
        <v>0</v>
      </c>
      <c r="W59" s="190">
        <v>0</v>
      </c>
      <c r="X59" s="190">
        <v>0</v>
      </c>
      <c r="Y59" s="190">
        <v>0</v>
      </c>
      <c r="Z59" s="190">
        <v>0</v>
      </c>
      <c r="AA59" s="190">
        <v>0</v>
      </c>
      <c r="AB59" s="190">
        <v>0</v>
      </c>
      <c r="AC59" s="190">
        <v>0</v>
      </c>
      <c r="AD59" s="190">
        <v>0</v>
      </c>
      <c r="AE59" s="190">
        <v>0</v>
      </c>
      <c r="AF59" s="190">
        <v>0</v>
      </c>
      <c r="AG59" s="190">
        <v>0</v>
      </c>
      <c r="AH59" s="190">
        <v>0</v>
      </c>
      <c r="AI59" s="190">
        <v>0</v>
      </c>
      <c r="AJ59" s="190">
        <v>0</v>
      </c>
      <c r="AK59" s="190">
        <v>0</v>
      </c>
      <c r="AL59" s="190">
        <v>0</v>
      </c>
      <c r="AM59" s="190">
        <v>0</v>
      </c>
      <c r="AN59" s="190">
        <v>0</v>
      </c>
    </row>
    <row r="60" spans="1:40" x14ac:dyDescent="0.25">
      <c r="A60" s="190" t="s">
        <v>164</v>
      </c>
      <c r="B60" s="190">
        <v>20911065905.5</v>
      </c>
      <c r="C60" s="190">
        <v>19352932196.540001</v>
      </c>
      <c r="D60" s="190">
        <v>17427618977.310001</v>
      </c>
      <c r="E60" s="190">
        <v>17201490579.759998</v>
      </c>
      <c r="F60" s="190">
        <v>12619167494.52</v>
      </c>
      <c r="G60" s="190">
        <v>12798481874.040001</v>
      </c>
      <c r="H60" s="190">
        <v>11802127530.469999</v>
      </c>
      <c r="I60" s="190">
        <v>12115909818.049999</v>
      </c>
      <c r="J60" s="190">
        <v>10839806889.6</v>
      </c>
      <c r="K60" s="190">
        <v>9117755907.5799999</v>
      </c>
      <c r="L60" s="190">
        <v>7521730093.3900003</v>
      </c>
      <c r="M60" s="190">
        <v>10274403746.879999</v>
      </c>
      <c r="N60" s="190">
        <v>7081350621.1599998</v>
      </c>
      <c r="O60" s="190">
        <v>6460741628.2700005</v>
      </c>
      <c r="P60" s="190">
        <v>4808802298.04</v>
      </c>
      <c r="Q60" s="190">
        <v>6112129699.2399998</v>
      </c>
      <c r="R60" s="190">
        <v>4378962166</v>
      </c>
      <c r="S60" s="190">
        <v>4804915385.3699999</v>
      </c>
      <c r="T60" s="190">
        <v>2644903051.6999998</v>
      </c>
      <c r="U60" s="190">
        <v>2823042648.9899998</v>
      </c>
      <c r="V60" s="190">
        <v>2343614461.77</v>
      </c>
      <c r="W60" s="190">
        <v>2274348075.1199999</v>
      </c>
      <c r="X60" s="190">
        <v>1254583779.3399999</v>
      </c>
      <c r="Y60" s="190">
        <v>1895067388.99</v>
      </c>
      <c r="Z60" s="190">
        <v>1390796302.02</v>
      </c>
      <c r="AA60" s="190">
        <v>1272107224.8499999</v>
      </c>
      <c r="AB60" s="190">
        <v>932911479.50999999</v>
      </c>
      <c r="AC60" s="190">
        <v>1507979059.6900001</v>
      </c>
      <c r="AD60" s="190">
        <v>965980875.13999999</v>
      </c>
      <c r="AE60" s="190">
        <v>893038503.71000004</v>
      </c>
      <c r="AF60" s="190">
        <v>712950334.08000004</v>
      </c>
      <c r="AG60" s="190">
        <v>895336057.88</v>
      </c>
      <c r="AH60" s="190">
        <v>489547698.31999999</v>
      </c>
      <c r="AI60" s="190">
        <v>822579585.47000003</v>
      </c>
      <c r="AJ60" s="190">
        <v>436069299.04000002</v>
      </c>
      <c r="AK60" s="190">
        <v>659103105.99000001</v>
      </c>
      <c r="AL60" s="190">
        <v>391620130.05000001</v>
      </c>
      <c r="AM60" s="190">
        <v>327156346.79000002</v>
      </c>
      <c r="AN60" s="190">
        <v>0</v>
      </c>
    </row>
    <row r="61" spans="1:40" x14ac:dyDescent="0.25">
      <c r="A61" s="190" t="s">
        <v>165</v>
      </c>
    </row>
    <row r="62" spans="1:40" x14ac:dyDescent="0.25">
      <c r="A62" s="190" t="s">
        <v>166</v>
      </c>
      <c r="B62" s="190">
        <v>190000000</v>
      </c>
      <c r="C62" s="190">
        <v>190000000</v>
      </c>
      <c r="D62" s="190">
        <v>190000000</v>
      </c>
      <c r="E62" s="190">
        <v>490000000</v>
      </c>
      <c r="F62" s="190">
        <v>1310990200.5799999</v>
      </c>
      <c r="G62" s="190">
        <v>1319408175.8</v>
      </c>
      <c r="H62" s="190">
        <v>1844041516.8599999</v>
      </c>
      <c r="I62" s="190">
        <v>1722207584.3299999</v>
      </c>
      <c r="J62" s="190">
        <v>759028249.48000002</v>
      </c>
      <c r="K62" s="190">
        <v>501722274.07999998</v>
      </c>
      <c r="L62" s="190">
        <v>52368335</v>
      </c>
      <c r="M62" s="190">
        <v>675753935</v>
      </c>
      <c r="N62" s="190">
        <v>1185167759.77</v>
      </c>
      <c r="O62" s="190">
        <v>1139019008.0799999</v>
      </c>
      <c r="P62" s="190">
        <v>598016344.17999995</v>
      </c>
      <c r="Q62" s="190">
        <v>244760000</v>
      </c>
      <c r="R62" s="190">
        <v>0</v>
      </c>
      <c r="S62" s="190">
        <v>0</v>
      </c>
      <c r="T62" s="190">
        <v>0</v>
      </c>
      <c r="U62" s="190">
        <v>0</v>
      </c>
      <c r="V62" s="190">
        <v>0</v>
      </c>
      <c r="W62" s="190">
        <v>0</v>
      </c>
      <c r="X62" s="190">
        <v>0</v>
      </c>
      <c r="Y62" s="190">
        <v>0</v>
      </c>
      <c r="Z62" s="190">
        <v>0</v>
      </c>
      <c r="AA62" s="190">
        <v>0</v>
      </c>
      <c r="AB62" s="190">
        <v>0</v>
      </c>
      <c r="AC62" s="190">
        <v>0</v>
      </c>
      <c r="AD62" s="190">
        <v>0</v>
      </c>
      <c r="AE62" s="190">
        <v>0</v>
      </c>
      <c r="AF62" s="190">
        <v>0</v>
      </c>
      <c r="AG62" s="190">
        <v>0</v>
      </c>
      <c r="AH62" s="190">
        <v>29000000</v>
      </c>
      <c r="AI62" s="190">
        <v>29000000</v>
      </c>
      <c r="AJ62" s="190">
        <v>29000000</v>
      </c>
      <c r="AK62" s="190">
        <v>29000000</v>
      </c>
      <c r="AL62" s="190">
        <v>0</v>
      </c>
      <c r="AM62" s="190">
        <v>0</v>
      </c>
      <c r="AN62" s="190">
        <v>0</v>
      </c>
    </row>
    <row r="63" spans="1:40" x14ac:dyDescent="0.25">
      <c r="A63" s="190" t="s">
        <v>167</v>
      </c>
      <c r="B63" s="190">
        <v>0</v>
      </c>
      <c r="C63" s="190">
        <v>0</v>
      </c>
      <c r="D63" s="190">
        <v>0</v>
      </c>
      <c r="E63" s="190">
        <v>3120920000</v>
      </c>
      <c r="F63" s="190">
        <v>3129320000</v>
      </c>
      <c r="G63" s="190">
        <v>3099840000</v>
      </c>
      <c r="H63" s="190">
        <v>2948840000</v>
      </c>
      <c r="I63" s="190">
        <v>2954449528.77</v>
      </c>
      <c r="J63" s="190">
        <v>2995200000</v>
      </c>
      <c r="K63" s="190">
        <v>2950000000</v>
      </c>
      <c r="L63" s="190">
        <v>2932480000</v>
      </c>
      <c r="M63" s="190">
        <v>0</v>
      </c>
      <c r="N63" s="190">
        <v>0</v>
      </c>
      <c r="O63" s="190">
        <v>0</v>
      </c>
      <c r="P63" s="190">
        <v>0</v>
      </c>
      <c r="Q63" s="190">
        <v>0</v>
      </c>
      <c r="R63" s="190">
        <v>0</v>
      </c>
      <c r="S63" s="190">
        <v>0</v>
      </c>
      <c r="T63" s="190">
        <v>0</v>
      </c>
      <c r="U63" s="190">
        <v>0</v>
      </c>
      <c r="V63" s="190">
        <v>0</v>
      </c>
      <c r="W63" s="190">
        <v>0</v>
      </c>
      <c r="X63" s="190">
        <v>0</v>
      </c>
      <c r="Y63" s="190">
        <v>0</v>
      </c>
      <c r="Z63" s="190">
        <v>0</v>
      </c>
      <c r="AA63" s="190">
        <v>0</v>
      </c>
      <c r="AB63" s="190">
        <v>0</v>
      </c>
      <c r="AC63" s="190">
        <v>0</v>
      </c>
      <c r="AD63" s="190">
        <v>0</v>
      </c>
      <c r="AE63" s="190">
        <v>0</v>
      </c>
      <c r="AF63" s="190">
        <v>0</v>
      </c>
      <c r="AG63" s="190">
        <v>0</v>
      </c>
      <c r="AH63" s="190">
        <v>0</v>
      </c>
      <c r="AI63" s="190">
        <v>0</v>
      </c>
      <c r="AJ63" s="190">
        <v>0</v>
      </c>
      <c r="AK63" s="190">
        <v>0</v>
      </c>
      <c r="AL63" s="190">
        <v>0</v>
      </c>
      <c r="AM63" s="190">
        <v>0</v>
      </c>
      <c r="AN63" s="190">
        <v>0</v>
      </c>
    </row>
    <row r="64" spans="1:40" x14ac:dyDescent="0.25">
      <c r="A64" s="190" t="s">
        <v>168</v>
      </c>
      <c r="B64" s="190">
        <v>0</v>
      </c>
      <c r="C64" s="190">
        <v>0</v>
      </c>
      <c r="D64" s="190">
        <v>0</v>
      </c>
      <c r="E64" s="190">
        <v>2437038.62</v>
      </c>
      <c r="F64" s="190">
        <v>5613544.5300000003</v>
      </c>
      <c r="G64" s="190">
        <v>7000000</v>
      </c>
      <c r="H64" s="190">
        <v>7000000</v>
      </c>
      <c r="I64" s="190">
        <v>7000000</v>
      </c>
      <c r="J64" s="190">
        <v>197000000</v>
      </c>
      <c r="K64" s="190">
        <v>167000000</v>
      </c>
      <c r="L64" s="190">
        <v>117000000</v>
      </c>
      <c r="M64" s="190">
        <v>7000000</v>
      </c>
      <c r="N64" s="190">
        <v>7000000</v>
      </c>
      <c r="O64" s="190">
        <v>3000000</v>
      </c>
      <c r="P64" s="190">
        <v>3000000</v>
      </c>
      <c r="Q64" s="190">
        <v>3000000</v>
      </c>
      <c r="R64" s="190">
        <v>0</v>
      </c>
      <c r="S64" s="190">
        <v>0</v>
      </c>
      <c r="T64" s="190">
        <v>0</v>
      </c>
      <c r="U64" s="190">
        <v>0</v>
      </c>
      <c r="V64" s="190">
        <v>3000000</v>
      </c>
      <c r="W64" s="190">
        <v>3000000</v>
      </c>
      <c r="X64" s="190">
        <v>3000000</v>
      </c>
      <c r="Y64" s="190">
        <v>3000000</v>
      </c>
      <c r="Z64" s="190">
        <v>3000000</v>
      </c>
      <c r="AA64" s="190">
        <v>3000000</v>
      </c>
      <c r="AB64" s="190">
        <v>3000000</v>
      </c>
      <c r="AC64" s="190">
        <v>3000000</v>
      </c>
      <c r="AD64" s="190">
        <v>0</v>
      </c>
      <c r="AE64" s="190">
        <v>0</v>
      </c>
      <c r="AF64" s="190">
        <v>0</v>
      </c>
      <c r="AG64" s="190">
        <v>0</v>
      </c>
      <c r="AH64" s="190">
        <v>0</v>
      </c>
      <c r="AI64" s="190">
        <v>0</v>
      </c>
      <c r="AJ64" s="190">
        <v>0</v>
      </c>
      <c r="AK64" s="190">
        <v>0</v>
      </c>
      <c r="AL64" s="190">
        <v>0</v>
      </c>
      <c r="AM64" s="190">
        <v>0</v>
      </c>
      <c r="AN64" s="190">
        <v>0</v>
      </c>
    </row>
    <row r="65" spans="1:40" x14ac:dyDescent="0.25">
      <c r="A65" s="190" t="s">
        <v>169</v>
      </c>
      <c r="B65" s="190">
        <v>0</v>
      </c>
      <c r="C65" s="190">
        <v>0</v>
      </c>
      <c r="D65" s="190">
        <v>0</v>
      </c>
      <c r="E65" s="190">
        <v>0</v>
      </c>
      <c r="F65" s="190">
        <v>0</v>
      </c>
      <c r="G65" s="190">
        <v>0</v>
      </c>
      <c r="H65" s="190">
        <v>0</v>
      </c>
      <c r="I65" s="190">
        <v>0</v>
      </c>
      <c r="J65" s="190">
        <v>0</v>
      </c>
      <c r="K65" s="190">
        <v>0</v>
      </c>
      <c r="L65" s="190">
        <v>0</v>
      </c>
      <c r="M65" s="190">
        <v>0</v>
      </c>
      <c r="N65" s="190">
        <v>0</v>
      </c>
      <c r="O65" s="190">
        <v>0</v>
      </c>
      <c r="P65" s="190">
        <v>0</v>
      </c>
      <c r="Q65" s="190">
        <v>0</v>
      </c>
      <c r="R65" s="190">
        <v>0</v>
      </c>
      <c r="S65" s="190">
        <v>0</v>
      </c>
      <c r="T65" s="190">
        <v>0</v>
      </c>
      <c r="U65" s="190">
        <v>0</v>
      </c>
      <c r="V65" s="190">
        <v>0</v>
      </c>
      <c r="W65" s="190">
        <v>0</v>
      </c>
      <c r="X65" s="190">
        <v>0</v>
      </c>
      <c r="Y65" s="190">
        <v>0</v>
      </c>
      <c r="Z65" s="190">
        <v>0</v>
      </c>
      <c r="AA65" s="190">
        <v>0</v>
      </c>
      <c r="AB65" s="190">
        <v>0</v>
      </c>
      <c r="AC65" s="190">
        <v>0</v>
      </c>
      <c r="AD65" s="190">
        <v>0</v>
      </c>
      <c r="AE65" s="190">
        <v>0</v>
      </c>
      <c r="AF65" s="190">
        <v>0</v>
      </c>
      <c r="AG65" s="190">
        <v>0</v>
      </c>
      <c r="AH65" s="190">
        <v>0</v>
      </c>
      <c r="AI65" s="190">
        <v>0</v>
      </c>
      <c r="AJ65" s="190">
        <v>0</v>
      </c>
      <c r="AK65" s="190">
        <v>0</v>
      </c>
      <c r="AL65" s="190">
        <v>0</v>
      </c>
      <c r="AM65" s="190">
        <v>0</v>
      </c>
      <c r="AN65" s="190">
        <v>0</v>
      </c>
    </row>
    <row r="66" spans="1:40" x14ac:dyDescent="0.25">
      <c r="A66" s="190" t="s">
        <v>170</v>
      </c>
      <c r="B66" s="190">
        <v>0</v>
      </c>
      <c r="C66" s="190">
        <v>0</v>
      </c>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0</v>
      </c>
      <c r="AG66" s="190">
        <v>0</v>
      </c>
      <c r="AH66" s="190">
        <v>0</v>
      </c>
      <c r="AI66" s="190">
        <v>0</v>
      </c>
      <c r="AJ66" s="190">
        <v>0</v>
      </c>
      <c r="AK66" s="190">
        <v>0</v>
      </c>
      <c r="AL66" s="190">
        <v>0</v>
      </c>
      <c r="AM66" s="190">
        <v>0</v>
      </c>
      <c r="AN66" s="190">
        <v>0</v>
      </c>
    </row>
    <row r="67" spans="1:40" x14ac:dyDescent="0.25">
      <c r="A67" s="190" t="s">
        <v>171</v>
      </c>
      <c r="B67" s="190">
        <v>75970616.450000003</v>
      </c>
      <c r="C67" s="190">
        <v>74480717.049999997</v>
      </c>
      <c r="D67" s="190">
        <v>64785927.340000004</v>
      </c>
      <c r="E67" s="190">
        <v>63068638.490000002</v>
      </c>
      <c r="F67" s="190">
        <v>47757207.789999999</v>
      </c>
      <c r="G67" s="190">
        <v>46550937.149999999</v>
      </c>
      <c r="H67" s="190">
        <v>42391073.57</v>
      </c>
      <c r="I67" s="190">
        <v>41933212.539999999</v>
      </c>
      <c r="J67" s="190">
        <v>63995014.810000002</v>
      </c>
      <c r="K67" s="190">
        <v>61203605.840000004</v>
      </c>
      <c r="L67" s="190">
        <v>62995593.659999996</v>
      </c>
      <c r="M67" s="190">
        <v>61833874.590000004</v>
      </c>
      <c r="N67" s="190">
        <v>44562972.020000003</v>
      </c>
      <c r="O67" s="190">
        <v>41154924.060000002</v>
      </c>
      <c r="P67" s="190">
        <v>36661164.789999999</v>
      </c>
      <c r="Q67" s="190">
        <v>36661164.789999999</v>
      </c>
      <c r="R67" s="190">
        <v>36505747.32</v>
      </c>
      <c r="S67" s="190">
        <v>36505747.32</v>
      </c>
      <c r="T67" s="190">
        <v>31312202.199999999</v>
      </c>
      <c r="U67" s="190">
        <v>31312202.199999999</v>
      </c>
      <c r="V67" s="190">
        <v>22751614.100000001</v>
      </c>
      <c r="W67" s="190">
        <v>22751614.100000001</v>
      </c>
      <c r="X67" s="190">
        <v>20007279.350000001</v>
      </c>
      <c r="Y67" s="190">
        <v>20007279.350000001</v>
      </c>
      <c r="Z67" s="190">
        <v>21527332.510000002</v>
      </c>
      <c r="AA67" s="190">
        <v>21527332.510000002</v>
      </c>
      <c r="AB67" s="190">
        <v>18376834.82</v>
      </c>
      <c r="AC67" s="190">
        <v>18376834.82</v>
      </c>
      <c r="AD67" s="190">
        <v>12067323.390000001</v>
      </c>
      <c r="AE67" s="190">
        <v>12067323.390000001</v>
      </c>
      <c r="AF67" s="190">
        <v>11552796.220000001</v>
      </c>
      <c r="AG67" s="190">
        <v>11552796.220000001</v>
      </c>
      <c r="AH67" s="190">
        <v>11552796.220000001</v>
      </c>
      <c r="AI67" s="190">
        <v>11552796.220000001</v>
      </c>
      <c r="AJ67" s="190">
        <v>10451585.74</v>
      </c>
      <c r="AK67" s="190">
        <v>10451585.74</v>
      </c>
      <c r="AL67" s="190">
        <v>6345725.7699999996</v>
      </c>
      <c r="AM67" s="190">
        <v>0</v>
      </c>
      <c r="AN67" s="190">
        <v>0</v>
      </c>
    </row>
    <row r="68" spans="1:40" x14ac:dyDescent="0.25">
      <c r="A68" s="190" t="s">
        <v>172</v>
      </c>
      <c r="B68" s="190">
        <v>0</v>
      </c>
      <c r="C68" s="190">
        <v>0</v>
      </c>
      <c r="D68" s="190">
        <v>0</v>
      </c>
      <c r="E68" s="190">
        <v>0</v>
      </c>
      <c r="F68" s="190">
        <v>0</v>
      </c>
      <c r="G68" s="190">
        <v>0</v>
      </c>
      <c r="H68" s="190">
        <v>0</v>
      </c>
      <c r="I68" s="190">
        <v>0</v>
      </c>
      <c r="J68" s="190">
        <v>0</v>
      </c>
      <c r="K68" s="190">
        <v>0</v>
      </c>
      <c r="L68" s="190">
        <v>0</v>
      </c>
      <c r="M68" s="190">
        <v>0</v>
      </c>
      <c r="N68" s="190">
        <v>0</v>
      </c>
      <c r="O68" s="190">
        <v>0</v>
      </c>
      <c r="P68" s="190">
        <v>0</v>
      </c>
      <c r="Q68" s="190">
        <v>0</v>
      </c>
      <c r="R68" s="190">
        <v>0</v>
      </c>
      <c r="S68" s="190">
        <v>0</v>
      </c>
      <c r="T68" s="190">
        <v>0</v>
      </c>
      <c r="U68" s="190">
        <v>0</v>
      </c>
      <c r="V68" s="190">
        <v>0</v>
      </c>
      <c r="W68" s="190">
        <v>0</v>
      </c>
      <c r="X68" s="190">
        <v>0</v>
      </c>
      <c r="Y68" s="190">
        <v>0</v>
      </c>
      <c r="Z68" s="190">
        <v>0</v>
      </c>
      <c r="AA68" s="190">
        <v>0</v>
      </c>
      <c r="AB68" s="190">
        <v>0</v>
      </c>
      <c r="AC68" s="190">
        <v>0</v>
      </c>
      <c r="AD68" s="190">
        <v>0</v>
      </c>
      <c r="AE68" s="190">
        <v>0</v>
      </c>
      <c r="AF68" s="190">
        <v>0</v>
      </c>
      <c r="AG68" s="190">
        <v>0</v>
      </c>
      <c r="AH68" s="190">
        <v>0</v>
      </c>
      <c r="AI68" s="190">
        <v>0</v>
      </c>
      <c r="AJ68" s="190">
        <v>0</v>
      </c>
      <c r="AK68" s="190">
        <v>0</v>
      </c>
      <c r="AL68" s="190">
        <v>0</v>
      </c>
      <c r="AM68" s="190">
        <v>0</v>
      </c>
      <c r="AN68" s="190">
        <v>0</v>
      </c>
    </row>
    <row r="69" spans="1:40" x14ac:dyDescent="0.25">
      <c r="A69" s="190" t="s">
        <v>173</v>
      </c>
      <c r="B69" s="190">
        <v>175001027.41999999</v>
      </c>
      <c r="C69" s="190">
        <v>169512193.09</v>
      </c>
      <c r="D69" s="190">
        <v>82798403.450000003</v>
      </c>
      <c r="E69" s="190">
        <v>88925771.650000006</v>
      </c>
      <c r="F69" s="190">
        <v>21106099.449999999</v>
      </c>
      <c r="G69" s="190">
        <v>16817902.059999999</v>
      </c>
      <c r="H69" s="190">
        <v>13571221.58</v>
      </c>
      <c r="I69" s="190">
        <v>10833745.99</v>
      </c>
      <c r="J69" s="190">
        <v>0</v>
      </c>
      <c r="K69" s="190">
        <v>0</v>
      </c>
      <c r="L69" s="190">
        <v>0</v>
      </c>
      <c r="M69" s="190">
        <v>0</v>
      </c>
      <c r="N69" s="190">
        <v>0</v>
      </c>
      <c r="O69" s="190">
        <v>19072900</v>
      </c>
      <c r="P69" s="190">
        <v>14812900</v>
      </c>
      <c r="Q69" s="190">
        <v>14812900</v>
      </c>
      <c r="R69" s="190">
        <v>0</v>
      </c>
      <c r="S69" s="190">
        <v>0</v>
      </c>
      <c r="T69" s="190">
        <v>0</v>
      </c>
      <c r="U69" s="190">
        <v>0</v>
      </c>
      <c r="V69" s="190">
        <v>0</v>
      </c>
      <c r="W69" s="190">
        <v>0</v>
      </c>
      <c r="X69" s="190">
        <v>0</v>
      </c>
      <c r="Y69" s="190">
        <v>0</v>
      </c>
      <c r="Z69" s="190">
        <v>0</v>
      </c>
      <c r="AA69" s="190">
        <v>0</v>
      </c>
      <c r="AB69" s="190">
        <v>0</v>
      </c>
      <c r="AC69" s="190">
        <v>0</v>
      </c>
      <c r="AD69" s="190">
        <v>0</v>
      </c>
      <c r="AE69" s="190">
        <v>0</v>
      </c>
      <c r="AF69" s="190">
        <v>0</v>
      </c>
      <c r="AG69" s="190">
        <v>0</v>
      </c>
      <c r="AH69" s="190">
        <v>0</v>
      </c>
      <c r="AI69" s="190">
        <v>0</v>
      </c>
      <c r="AJ69" s="190">
        <v>0</v>
      </c>
      <c r="AK69" s="190">
        <v>0</v>
      </c>
      <c r="AL69" s="190">
        <v>0</v>
      </c>
      <c r="AM69" s="190">
        <v>0</v>
      </c>
      <c r="AN69" s="190">
        <v>0</v>
      </c>
    </row>
    <row r="70" spans="1:40" x14ac:dyDescent="0.25">
      <c r="A70" s="190" t="s">
        <v>174</v>
      </c>
      <c r="B70" s="190">
        <v>0</v>
      </c>
      <c r="C70" s="190">
        <v>0</v>
      </c>
      <c r="D70" s="190">
        <v>0</v>
      </c>
      <c r="E70" s="190">
        <v>0</v>
      </c>
      <c r="F70" s="190">
        <v>0</v>
      </c>
      <c r="G70" s="190">
        <v>0</v>
      </c>
      <c r="H70" s="190">
        <v>0</v>
      </c>
      <c r="I70" s="190">
        <v>0</v>
      </c>
      <c r="J70" s="190">
        <v>0</v>
      </c>
      <c r="K70" s="190">
        <v>0</v>
      </c>
      <c r="L70" s="190">
        <v>0</v>
      </c>
      <c r="M70" s="190">
        <v>0</v>
      </c>
      <c r="N70" s="190">
        <v>0</v>
      </c>
      <c r="O70" s="190">
        <v>0</v>
      </c>
      <c r="P70" s="190">
        <v>0</v>
      </c>
      <c r="Q70" s="190">
        <v>0</v>
      </c>
      <c r="R70" s="190">
        <v>12770000</v>
      </c>
      <c r="S70" s="190">
        <v>12770000</v>
      </c>
      <c r="T70" s="190">
        <v>19366000</v>
      </c>
      <c r="U70" s="190">
        <v>12770000</v>
      </c>
      <c r="V70" s="190">
        <v>12770000</v>
      </c>
      <c r="W70" s="190">
        <v>6385000</v>
      </c>
      <c r="X70" s="190">
        <v>0</v>
      </c>
      <c r="Y70" s="190">
        <v>0</v>
      </c>
      <c r="Z70" s="190">
        <v>0</v>
      </c>
      <c r="AA70" s="190">
        <v>0</v>
      </c>
      <c r="AB70" s="190">
        <v>0</v>
      </c>
      <c r="AC70" s="190">
        <v>0</v>
      </c>
      <c r="AD70" s="190">
        <v>0</v>
      </c>
      <c r="AE70" s="190">
        <v>0</v>
      </c>
      <c r="AF70" s="190">
        <v>0</v>
      </c>
      <c r="AG70" s="190">
        <v>0</v>
      </c>
      <c r="AH70" s="190">
        <v>1200000</v>
      </c>
      <c r="AI70" s="190">
        <v>1200000</v>
      </c>
      <c r="AJ70" s="190">
        <v>1200000</v>
      </c>
      <c r="AK70" s="190">
        <v>1200000</v>
      </c>
      <c r="AL70" s="190">
        <v>2000000</v>
      </c>
      <c r="AM70" s="190">
        <v>0</v>
      </c>
      <c r="AN70" s="190">
        <v>0</v>
      </c>
    </row>
    <row r="71" spans="1:40" x14ac:dyDescent="0.25">
      <c r="A71" s="190" t="s">
        <v>175</v>
      </c>
      <c r="B71" s="190">
        <v>440971643.87</v>
      </c>
      <c r="C71" s="190">
        <v>433992910.13999999</v>
      </c>
      <c r="D71" s="190">
        <v>337584330.79000002</v>
      </c>
      <c r="E71" s="190">
        <v>3765351448.7600002</v>
      </c>
      <c r="F71" s="190">
        <v>4514787052.3500004</v>
      </c>
      <c r="G71" s="190">
        <v>4489617015.0100002</v>
      </c>
      <c r="H71" s="190">
        <v>4855843812.0100002</v>
      </c>
      <c r="I71" s="190">
        <v>4736424071.6300001</v>
      </c>
      <c r="J71" s="190">
        <v>4015223264.29</v>
      </c>
      <c r="K71" s="190">
        <v>3679925879.9200001</v>
      </c>
      <c r="L71" s="190">
        <v>3164843928.6599998</v>
      </c>
      <c r="M71" s="190">
        <v>744587809.59000003</v>
      </c>
      <c r="N71" s="190">
        <v>1236730731.79</v>
      </c>
      <c r="O71" s="190">
        <v>1202246832.1400001</v>
      </c>
      <c r="P71" s="190">
        <v>652490408.97000003</v>
      </c>
      <c r="Q71" s="190">
        <v>299234064.79000002</v>
      </c>
      <c r="R71" s="190">
        <v>49275747.32</v>
      </c>
      <c r="S71" s="190">
        <v>49275747.32</v>
      </c>
      <c r="T71" s="190">
        <v>50678202.200000003</v>
      </c>
      <c r="U71" s="190">
        <v>44082202.200000003</v>
      </c>
      <c r="V71" s="190">
        <v>38521614.100000001</v>
      </c>
      <c r="W71" s="190">
        <v>32136614.100000001</v>
      </c>
      <c r="X71" s="190">
        <v>23007279.350000001</v>
      </c>
      <c r="Y71" s="190">
        <v>23007279.350000001</v>
      </c>
      <c r="Z71" s="190">
        <v>24527332.510000002</v>
      </c>
      <c r="AA71" s="190">
        <v>24527332.510000002</v>
      </c>
      <c r="AB71" s="190">
        <v>21376834.82</v>
      </c>
      <c r="AC71" s="190">
        <v>21376834.82</v>
      </c>
      <c r="AD71" s="190">
        <v>12067323.390000001</v>
      </c>
      <c r="AE71" s="190">
        <v>12067323.390000001</v>
      </c>
      <c r="AF71" s="190">
        <v>11552796.220000001</v>
      </c>
      <c r="AG71" s="190">
        <v>11552796.220000001</v>
      </c>
      <c r="AH71" s="190">
        <v>41752796.219999999</v>
      </c>
      <c r="AI71" s="190">
        <v>41752796.219999999</v>
      </c>
      <c r="AJ71" s="190">
        <v>40651585.740000002</v>
      </c>
      <c r="AK71" s="190">
        <v>40651585.740000002</v>
      </c>
      <c r="AL71" s="190">
        <v>8345725.7699999996</v>
      </c>
      <c r="AM71" s="190">
        <v>0</v>
      </c>
      <c r="AN71" s="190">
        <v>0</v>
      </c>
    </row>
    <row r="72" spans="1:40" x14ac:dyDescent="0.25">
      <c r="A72" s="190" t="s">
        <v>176</v>
      </c>
      <c r="B72" s="190">
        <v>21352037549.369999</v>
      </c>
      <c r="C72" s="190">
        <v>19786925106.68</v>
      </c>
      <c r="D72" s="190">
        <v>17765203308.099998</v>
      </c>
      <c r="E72" s="190">
        <v>20966842028.52</v>
      </c>
      <c r="F72" s="190">
        <v>17133954546.870001</v>
      </c>
      <c r="G72" s="190">
        <v>17288098889.049999</v>
      </c>
      <c r="H72" s="190">
        <v>16657971342.48</v>
      </c>
      <c r="I72" s="190">
        <v>16852333889.68</v>
      </c>
      <c r="J72" s="190">
        <v>14855030153.889999</v>
      </c>
      <c r="K72" s="190">
        <v>12797681787.5</v>
      </c>
      <c r="L72" s="190">
        <v>10686574022.049999</v>
      </c>
      <c r="M72" s="190">
        <v>11018991556.469999</v>
      </c>
      <c r="N72" s="190">
        <v>8318081352.9499998</v>
      </c>
      <c r="O72" s="190">
        <v>7662988460.4099998</v>
      </c>
      <c r="P72" s="190">
        <v>5461292707.0100002</v>
      </c>
      <c r="Q72" s="190">
        <v>6411363764.0299997</v>
      </c>
      <c r="R72" s="190">
        <v>4428237913.3199997</v>
      </c>
      <c r="S72" s="190">
        <v>4854191132.6899996</v>
      </c>
      <c r="T72" s="190">
        <v>2695581253.9000001</v>
      </c>
      <c r="U72" s="190">
        <v>2867124851.1900001</v>
      </c>
      <c r="V72" s="190">
        <v>2382136075.8699999</v>
      </c>
      <c r="W72" s="190">
        <v>2306484689.2199998</v>
      </c>
      <c r="X72" s="190">
        <v>1277591058.6900001</v>
      </c>
      <c r="Y72" s="190">
        <v>1918074668.3399999</v>
      </c>
      <c r="Z72" s="190">
        <v>1415323634.53</v>
      </c>
      <c r="AA72" s="190">
        <v>1296634557.3599999</v>
      </c>
      <c r="AB72" s="190">
        <v>954288314.33000004</v>
      </c>
      <c r="AC72" s="190">
        <v>1529355894.51</v>
      </c>
      <c r="AD72" s="190">
        <v>978048198.52999997</v>
      </c>
      <c r="AE72" s="190">
        <v>905105827.10000002</v>
      </c>
      <c r="AF72" s="190">
        <v>724503130.29999995</v>
      </c>
      <c r="AG72" s="190">
        <v>906888854.10000002</v>
      </c>
      <c r="AH72" s="190">
        <v>531300494.54000002</v>
      </c>
      <c r="AI72" s="190">
        <v>864332381.69000006</v>
      </c>
      <c r="AJ72" s="190">
        <v>476720884.77999997</v>
      </c>
      <c r="AK72" s="190">
        <v>699754691.73000002</v>
      </c>
      <c r="AL72" s="190">
        <v>399965855.81999999</v>
      </c>
      <c r="AM72" s="190">
        <v>327156346.79000002</v>
      </c>
      <c r="AN72" s="190">
        <v>0</v>
      </c>
    </row>
    <row r="73" spans="1:40" x14ac:dyDescent="0.25">
      <c r="A73" s="190" t="s">
        <v>177</v>
      </c>
    </row>
    <row r="74" spans="1:40" x14ac:dyDescent="0.25">
      <c r="A74" s="190" t="s">
        <v>178</v>
      </c>
      <c r="B74" s="190">
        <v>9227270473</v>
      </c>
      <c r="C74" s="190">
        <v>9227270473</v>
      </c>
      <c r="D74" s="190">
        <v>9227270473</v>
      </c>
      <c r="E74" s="190">
        <v>9228865114</v>
      </c>
      <c r="F74" s="190">
        <v>9228865114</v>
      </c>
      <c r="G74" s="190">
        <v>9228865114</v>
      </c>
      <c r="H74" s="190">
        <v>6155033743</v>
      </c>
      <c r="I74" s="190">
        <v>6102706885</v>
      </c>
      <c r="J74" s="190">
        <v>6103158379</v>
      </c>
      <c r="K74" s="190">
        <v>6103158379</v>
      </c>
      <c r="L74" s="190">
        <v>4068772253</v>
      </c>
      <c r="M74" s="190">
        <v>4068772253</v>
      </c>
      <c r="N74" s="190">
        <v>4069128026</v>
      </c>
      <c r="O74" s="190">
        <v>4069128026</v>
      </c>
      <c r="P74" s="190">
        <v>4069128026</v>
      </c>
      <c r="Q74" s="190">
        <v>4069128026</v>
      </c>
      <c r="R74" s="190">
        <v>4017223222</v>
      </c>
      <c r="S74" s="190">
        <v>4017223222</v>
      </c>
      <c r="T74" s="190">
        <v>4017223222</v>
      </c>
      <c r="U74" s="190">
        <v>4017223222</v>
      </c>
      <c r="V74" s="190">
        <v>4017223222</v>
      </c>
      <c r="W74" s="190">
        <v>2008611611</v>
      </c>
      <c r="X74" s="190">
        <v>2008611611</v>
      </c>
      <c r="Y74" s="190">
        <v>2008611611</v>
      </c>
      <c r="Z74" s="190">
        <v>2008611611</v>
      </c>
      <c r="AA74" s="190">
        <v>2000000000</v>
      </c>
      <c r="AB74" s="190">
        <v>1000000000</v>
      </c>
      <c r="AC74" s="190">
        <v>1000000000</v>
      </c>
      <c r="AD74" s="190">
        <v>1000000000</v>
      </c>
      <c r="AE74" s="190">
        <v>1000000000</v>
      </c>
      <c r="AF74" s="190">
        <v>500000000</v>
      </c>
      <c r="AG74" s="190">
        <v>500000000</v>
      </c>
      <c r="AH74" s="190">
        <v>500000000</v>
      </c>
      <c r="AI74" s="190">
        <v>500000000</v>
      </c>
      <c r="AJ74" s="190">
        <v>450000000</v>
      </c>
      <c r="AK74" s="190">
        <v>450000000</v>
      </c>
      <c r="AL74" s="190">
        <v>450000000</v>
      </c>
      <c r="AM74" s="190">
        <v>140000000</v>
      </c>
      <c r="AN74" s="190">
        <v>0</v>
      </c>
    </row>
    <row r="75" spans="1:40" x14ac:dyDescent="0.25">
      <c r="A75" s="190" t="s">
        <v>179</v>
      </c>
      <c r="B75" s="190">
        <v>1931995805.3800001</v>
      </c>
      <c r="C75" s="190">
        <v>1892809407.02</v>
      </c>
      <c r="D75" s="190">
        <v>1853623008.6600001</v>
      </c>
      <c r="E75" s="190">
        <v>1819397715.6300001</v>
      </c>
      <c r="F75" s="190">
        <v>1770445386.6300001</v>
      </c>
      <c r="G75" s="190">
        <v>1722277484.29</v>
      </c>
      <c r="H75" s="190">
        <v>1701969180.1600001</v>
      </c>
      <c r="I75" s="190">
        <v>1045440853.66</v>
      </c>
      <c r="J75" s="190">
        <v>1029955856.86</v>
      </c>
      <c r="K75" s="190">
        <v>897471809.46000004</v>
      </c>
      <c r="L75" s="190">
        <v>1674323161.6600001</v>
      </c>
      <c r="M75" s="190">
        <v>1639607652.22</v>
      </c>
      <c r="N75" s="190">
        <v>1598822832.7</v>
      </c>
      <c r="O75" s="190">
        <v>1563278778.53</v>
      </c>
      <c r="P75" s="190">
        <v>1522825634.53</v>
      </c>
      <c r="Q75" s="190">
        <v>1480046325.4100001</v>
      </c>
      <c r="R75" s="190">
        <v>1006607251.12</v>
      </c>
      <c r="S75" s="190">
        <v>994575514.88999999</v>
      </c>
      <c r="T75" s="190">
        <v>970512042.42999995</v>
      </c>
      <c r="U75" s="190">
        <v>970512042.42999995</v>
      </c>
      <c r="V75" s="190">
        <v>942073393.15999997</v>
      </c>
      <c r="W75" s="190">
        <v>1946379198.6600001</v>
      </c>
      <c r="X75" s="190">
        <v>1917940549.3900001</v>
      </c>
      <c r="Y75" s="190">
        <v>1917940549.3900001</v>
      </c>
      <c r="Z75" s="190">
        <v>1898981449.8800001</v>
      </c>
      <c r="AA75" s="190">
        <v>1815879403.73</v>
      </c>
      <c r="AB75" s="190">
        <v>2815879403.73</v>
      </c>
      <c r="AC75" s="190">
        <v>2815879403.73</v>
      </c>
      <c r="AD75" s="190">
        <v>2815879403.73</v>
      </c>
      <c r="AE75" s="190">
        <v>2828547293.7800002</v>
      </c>
      <c r="AF75" s="190">
        <v>3328547293.7800002</v>
      </c>
      <c r="AG75" s="190">
        <v>3328547293.7800002</v>
      </c>
      <c r="AH75" s="190">
        <v>3324047293.7800002</v>
      </c>
      <c r="AI75" s="190">
        <v>3324047293.7800002</v>
      </c>
      <c r="AJ75" s="190">
        <v>36526243.780000001</v>
      </c>
      <c r="AK75" s="190">
        <v>36526243.780000001</v>
      </c>
      <c r="AL75" s="190">
        <v>36076243.780000001</v>
      </c>
      <c r="AM75" s="190">
        <v>799940.86</v>
      </c>
      <c r="AN75" s="190">
        <v>0</v>
      </c>
    </row>
    <row r="76" spans="1:40" x14ac:dyDescent="0.25">
      <c r="A76" s="190" t="s">
        <v>180</v>
      </c>
      <c r="B76" s="190">
        <v>681816656.88999999</v>
      </c>
      <c r="C76" s="190">
        <v>681816656.88999999</v>
      </c>
      <c r="D76" s="190">
        <v>738027880.88999999</v>
      </c>
      <c r="E76" s="190">
        <v>744583627.22000003</v>
      </c>
      <c r="F76" s="190">
        <v>853507327.54999995</v>
      </c>
      <c r="G76" s="190">
        <v>853507327.54999995</v>
      </c>
      <c r="H76" s="190">
        <v>964716036.71000004</v>
      </c>
      <c r="I76" s="190">
        <v>300177750.17000002</v>
      </c>
      <c r="J76" s="190">
        <v>518074596.89999998</v>
      </c>
      <c r="K76" s="190">
        <v>518074596.89999998</v>
      </c>
      <c r="L76" s="190">
        <v>518074596.89999998</v>
      </c>
      <c r="M76" s="190">
        <v>518074596.89999998</v>
      </c>
      <c r="N76" s="190">
        <v>547853280.23000002</v>
      </c>
      <c r="O76" s="190">
        <v>547853280.23000002</v>
      </c>
      <c r="P76" s="190">
        <v>547853280.23000002</v>
      </c>
      <c r="Q76" s="190">
        <v>547853280.23000002</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row>
    <row r="77" spans="1:40" x14ac:dyDescent="0.25">
      <c r="A77" s="190" t="s">
        <v>181</v>
      </c>
      <c r="B77" s="190">
        <v>-53399341.649999999</v>
      </c>
      <c r="C77" s="190">
        <v>-40576485.060000002</v>
      </c>
      <c r="D77" s="190">
        <v>-10525753.1</v>
      </c>
      <c r="E77" s="190">
        <v>-27677939.350000001</v>
      </c>
      <c r="F77" s="190">
        <v>-40837393.469999999</v>
      </c>
      <c r="G77" s="190">
        <v>-12639845.439999999</v>
      </c>
      <c r="H77" s="190">
        <v>-37431437.119999997</v>
      </c>
      <c r="I77" s="190">
        <v>-41230777.210000001</v>
      </c>
      <c r="J77" s="190">
        <v>-44047557.649999999</v>
      </c>
      <c r="K77" s="190">
        <v>-45201581.049999997</v>
      </c>
      <c r="L77" s="190">
        <v>-34458266</v>
      </c>
      <c r="M77" s="190">
        <v>-27660017.699999999</v>
      </c>
      <c r="N77" s="190">
        <v>-21509492.170000002</v>
      </c>
      <c r="O77" s="190">
        <v>-18156382.199999999</v>
      </c>
      <c r="P77" s="190">
        <v>-17369096.760000002</v>
      </c>
      <c r="Q77" s="190">
        <v>-8837417.4600000009</v>
      </c>
      <c r="R77" s="190">
        <v>0</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v>0</v>
      </c>
      <c r="AK77" s="190">
        <v>0</v>
      </c>
      <c r="AL77" s="190">
        <v>0</v>
      </c>
      <c r="AM77" s="190">
        <v>0</v>
      </c>
      <c r="AN77" s="190">
        <v>0</v>
      </c>
    </row>
    <row r="78" spans="1:40" x14ac:dyDescent="0.25">
      <c r="A78" s="190" t="s">
        <v>182</v>
      </c>
      <c r="B78" s="190">
        <v>0</v>
      </c>
      <c r="C78" s="190">
        <v>0</v>
      </c>
      <c r="D78" s="190">
        <v>0</v>
      </c>
      <c r="E78" s="190">
        <v>0</v>
      </c>
      <c r="F78" s="190">
        <v>0</v>
      </c>
      <c r="G78" s="190">
        <v>0</v>
      </c>
      <c r="H78" s="190">
        <v>0</v>
      </c>
      <c r="I78" s="190">
        <v>0</v>
      </c>
      <c r="J78" s="190">
        <v>0</v>
      </c>
      <c r="K78" s="190">
        <v>0</v>
      </c>
      <c r="L78" s="190">
        <v>0</v>
      </c>
      <c r="M78" s="190">
        <v>0</v>
      </c>
      <c r="N78" s="190">
        <v>0</v>
      </c>
      <c r="O78" s="190">
        <v>0</v>
      </c>
      <c r="P78" s="190">
        <v>0</v>
      </c>
      <c r="Q78" s="190">
        <v>0</v>
      </c>
      <c r="R78" s="190">
        <v>0</v>
      </c>
      <c r="S78" s="190">
        <v>0</v>
      </c>
      <c r="T78" s="190">
        <v>0</v>
      </c>
      <c r="U78" s="190">
        <v>0</v>
      </c>
      <c r="V78" s="190">
        <v>0</v>
      </c>
      <c r="W78" s="190">
        <v>0</v>
      </c>
      <c r="X78" s="190">
        <v>0</v>
      </c>
      <c r="Y78" s="190">
        <v>0</v>
      </c>
      <c r="Z78" s="190">
        <v>0</v>
      </c>
      <c r="AA78" s="190">
        <v>0</v>
      </c>
      <c r="AB78" s="190">
        <v>0</v>
      </c>
      <c r="AC78" s="190">
        <v>0</v>
      </c>
      <c r="AD78" s="190">
        <v>0</v>
      </c>
      <c r="AE78" s="190">
        <v>0</v>
      </c>
      <c r="AF78" s="190">
        <v>0</v>
      </c>
      <c r="AG78" s="190">
        <v>0</v>
      </c>
      <c r="AH78" s="190">
        <v>0</v>
      </c>
      <c r="AI78" s="190">
        <v>0</v>
      </c>
      <c r="AJ78" s="190">
        <v>0</v>
      </c>
      <c r="AK78" s="190">
        <v>0</v>
      </c>
      <c r="AL78" s="190">
        <v>0</v>
      </c>
      <c r="AM78" s="190">
        <v>0</v>
      </c>
      <c r="AN78" s="190">
        <v>0</v>
      </c>
    </row>
    <row r="79" spans="1:40" x14ac:dyDescent="0.25">
      <c r="A79" s="190" t="s">
        <v>183</v>
      </c>
      <c r="B79" s="190">
        <v>3483742918.5300002</v>
      </c>
      <c r="C79" s="190">
        <v>3483742918.5300002</v>
      </c>
      <c r="D79" s="190">
        <v>3483742918.5300002</v>
      </c>
      <c r="E79" s="190">
        <v>3483742918.5300002</v>
      </c>
      <c r="F79" s="190">
        <v>2615437822.1500001</v>
      </c>
      <c r="G79" s="190">
        <v>2615437822.1500001</v>
      </c>
      <c r="H79" s="190">
        <v>2615437822.1500001</v>
      </c>
      <c r="I79" s="190">
        <v>2615437822.1500001</v>
      </c>
      <c r="J79" s="190">
        <v>1895061004.0899999</v>
      </c>
      <c r="K79" s="190">
        <v>1895061004.0899999</v>
      </c>
      <c r="L79" s="190">
        <v>1895061004.0899999</v>
      </c>
      <c r="M79" s="190">
        <v>1895061004.0899999</v>
      </c>
      <c r="N79" s="190">
        <v>1339597584.02</v>
      </c>
      <c r="O79" s="190">
        <v>1339597584.02</v>
      </c>
      <c r="P79" s="190">
        <v>1339597584.02</v>
      </c>
      <c r="Q79" s="190">
        <v>1339597584.02</v>
      </c>
      <c r="R79" s="190">
        <v>891846359.5</v>
      </c>
      <c r="S79" s="190">
        <v>891846359.5</v>
      </c>
      <c r="T79" s="190">
        <v>891846359.5</v>
      </c>
      <c r="U79" s="190">
        <v>891846359.5</v>
      </c>
      <c r="V79" s="190">
        <v>596927870.97000003</v>
      </c>
      <c r="W79" s="190">
        <v>596927870.97000003</v>
      </c>
      <c r="X79" s="190">
        <v>596927870.97000003</v>
      </c>
      <c r="Y79" s="190">
        <v>596927870.97000003</v>
      </c>
      <c r="Z79" s="190">
        <v>383503419.01999998</v>
      </c>
      <c r="AA79" s="190">
        <v>383503419.01999998</v>
      </c>
      <c r="AB79" s="190">
        <v>386184508.94</v>
      </c>
      <c r="AC79" s="190">
        <v>383503419.01999998</v>
      </c>
      <c r="AD79" s="190">
        <v>230777710.65000001</v>
      </c>
      <c r="AE79" s="190">
        <v>230777710.65000001</v>
      </c>
      <c r="AF79" s="190">
        <v>230777710.65000001</v>
      </c>
      <c r="AG79" s="190">
        <v>230777710.65000001</v>
      </c>
      <c r="AH79" s="190">
        <v>121702084.61</v>
      </c>
      <c r="AI79" s="190">
        <v>121702084.61</v>
      </c>
      <c r="AJ79" s="190">
        <v>121702084.61</v>
      </c>
      <c r="AK79" s="190">
        <v>121702084.61</v>
      </c>
      <c r="AL79" s="190">
        <v>48597174.299999997</v>
      </c>
      <c r="AM79" s="190">
        <v>69323027.489999995</v>
      </c>
      <c r="AN79" s="190">
        <v>0</v>
      </c>
    </row>
    <row r="80" spans="1:40" x14ac:dyDescent="0.25">
      <c r="A80" s="190" t="s">
        <v>184</v>
      </c>
      <c r="B80" s="190">
        <v>0</v>
      </c>
      <c r="C80" s="190">
        <v>0</v>
      </c>
      <c r="D80" s="190">
        <v>0</v>
      </c>
      <c r="E80" s="190">
        <v>0</v>
      </c>
      <c r="F80" s="190">
        <v>0</v>
      </c>
      <c r="G80" s="190">
        <v>0</v>
      </c>
      <c r="H80" s="190">
        <v>0</v>
      </c>
      <c r="I80" s="190">
        <v>0</v>
      </c>
      <c r="J80" s="190">
        <v>0</v>
      </c>
      <c r="K80" s="190">
        <v>0</v>
      </c>
      <c r="L80" s="190">
        <v>0</v>
      </c>
      <c r="M80" s="190">
        <v>0</v>
      </c>
      <c r="N80" s="190">
        <v>0</v>
      </c>
      <c r="O80" s="190">
        <v>0</v>
      </c>
      <c r="P80" s="190">
        <v>0</v>
      </c>
      <c r="Q80" s="190">
        <v>0</v>
      </c>
      <c r="R80" s="190">
        <v>0</v>
      </c>
      <c r="S80" s="190">
        <v>0</v>
      </c>
      <c r="T80" s="190">
        <v>0</v>
      </c>
      <c r="U80" s="190">
        <v>0</v>
      </c>
      <c r="V80" s="190">
        <v>0</v>
      </c>
      <c r="W80" s="190">
        <v>0</v>
      </c>
      <c r="X80" s="190">
        <v>0</v>
      </c>
      <c r="Y80" s="190">
        <v>0</v>
      </c>
      <c r="Z80" s="190">
        <v>0</v>
      </c>
      <c r="AA80" s="190">
        <v>0</v>
      </c>
      <c r="AB80" s="190">
        <v>0</v>
      </c>
      <c r="AC80" s="190">
        <v>0</v>
      </c>
      <c r="AD80" s="190">
        <v>0</v>
      </c>
      <c r="AE80" s="190">
        <v>0</v>
      </c>
      <c r="AF80" s="190">
        <v>0</v>
      </c>
      <c r="AG80" s="190">
        <v>0</v>
      </c>
      <c r="AH80" s="190">
        <v>0</v>
      </c>
      <c r="AI80" s="190">
        <v>0</v>
      </c>
      <c r="AJ80" s="190">
        <v>0</v>
      </c>
      <c r="AK80" s="190">
        <v>0</v>
      </c>
      <c r="AL80" s="190">
        <v>0</v>
      </c>
      <c r="AM80" s="190">
        <v>0</v>
      </c>
      <c r="AN80" s="190">
        <v>0</v>
      </c>
    </row>
    <row r="81" spans="1:40" x14ac:dyDescent="0.25">
      <c r="A81" s="190" t="s">
        <v>185</v>
      </c>
      <c r="B81" s="190">
        <v>19380496607.16</v>
      </c>
      <c r="C81" s="190">
        <v>16132088991.99</v>
      </c>
      <c r="D81" s="190">
        <v>18414293262.099998</v>
      </c>
      <c r="E81" s="190">
        <v>16598328692.629999</v>
      </c>
      <c r="F81" s="190">
        <v>14204721105.209999</v>
      </c>
      <c r="G81" s="190">
        <v>11343452975.379999</v>
      </c>
      <c r="H81" s="190">
        <v>16332953838.639999</v>
      </c>
      <c r="I81" s="190">
        <v>14866457856.65</v>
      </c>
      <c r="J81" s="190">
        <v>13018086804.049999</v>
      </c>
      <c r="K81" s="190">
        <v>10774975734.15</v>
      </c>
      <c r="L81" s="190">
        <v>13339712843.9</v>
      </c>
      <c r="M81" s="190">
        <v>12196097444.07</v>
      </c>
      <c r="N81" s="190">
        <v>10652498019.360001</v>
      </c>
      <c r="O81" s="190">
        <v>9089032952.6399994</v>
      </c>
      <c r="P81" s="190">
        <v>9554804328.3600006</v>
      </c>
      <c r="Q81" s="190">
        <v>8510162428.3100004</v>
      </c>
      <c r="R81" s="190">
        <v>7001346382.5900002</v>
      </c>
      <c r="S81" s="190">
        <v>5812146360.71</v>
      </c>
      <c r="T81" s="190">
        <v>5983484016.4700003</v>
      </c>
      <c r="U81" s="190">
        <v>5296850768.3900003</v>
      </c>
      <c r="V81" s="190">
        <v>4285282659.6100001</v>
      </c>
      <c r="W81" s="190">
        <v>4515119505.0600004</v>
      </c>
      <c r="X81" s="190">
        <v>4582441955.8299999</v>
      </c>
      <c r="Y81" s="190">
        <v>4132010012.8200002</v>
      </c>
      <c r="Z81" s="190">
        <v>3419930258.73</v>
      </c>
      <c r="AA81" s="190">
        <v>2911639032.7199998</v>
      </c>
      <c r="AB81" s="190">
        <v>2953399543.4699998</v>
      </c>
      <c r="AC81" s="190">
        <v>2581750431.0100002</v>
      </c>
      <c r="AD81" s="190">
        <v>2149260623.29</v>
      </c>
      <c r="AE81" s="190">
        <v>1807471931.27</v>
      </c>
      <c r="AF81" s="190">
        <v>1841028945.6199999</v>
      </c>
      <c r="AG81" s="190">
        <v>1580274070.6099999</v>
      </c>
      <c r="AH81" s="190">
        <v>1292991284.8499999</v>
      </c>
      <c r="AI81" s="190">
        <v>1011360217.85</v>
      </c>
      <c r="AJ81" s="190">
        <v>1092521401.1800001</v>
      </c>
      <c r="AK81" s="190">
        <v>887545377.41999996</v>
      </c>
      <c r="AL81" s="190">
        <v>435073161.51999998</v>
      </c>
      <c r="AM81" s="190">
        <v>333748511.95999998</v>
      </c>
      <c r="AN81" s="190">
        <v>0</v>
      </c>
    </row>
    <row r="82" spans="1:40" x14ac:dyDescent="0.25">
      <c r="A82" s="190" t="s">
        <v>186</v>
      </c>
      <c r="B82" s="190">
        <v>33288289805.529999</v>
      </c>
      <c r="C82" s="190">
        <v>30013518648.59</v>
      </c>
      <c r="D82" s="190">
        <v>32230376028.299999</v>
      </c>
      <c r="E82" s="190">
        <v>30358072874.220001</v>
      </c>
      <c r="F82" s="190">
        <v>26925124706.970001</v>
      </c>
      <c r="G82" s="190">
        <v>24043886222.830002</v>
      </c>
      <c r="H82" s="190">
        <v>25803247110.119999</v>
      </c>
      <c r="I82" s="190">
        <v>24288634890.080002</v>
      </c>
      <c r="J82" s="190">
        <v>21484139889.450001</v>
      </c>
      <c r="K82" s="190">
        <v>19107390748.75</v>
      </c>
      <c r="L82" s="190">
        <v>20425336399.75</v>
      </c>
      <c r="M82" s="190">
        <v>19253803738.779999</v>
      </c>
      <c r="N82" s="190">
        <v>17090683689.68</v>
      </c>
      <c r="O82" s="190">
        <v>15495027678.76</v>
      </c>
      <c r="P82" s="190">
        <v>15921133195.92</v>
      </c>
      <c r="Q82" s="190">
        <v>14842243666.049999</v>
      </c>
      <c r="R82" s="190">
        <v>12909481226.559999</v>
      </c>
      <c r="S82" s="190">
        <v>11709144757.66</v>
      </c>
      <c r="T82" s="190">
        <v>11865460704.889999</v>
      </c>
      <c r="U82" s="190">
        <v>11178351846.42</v>
      </c>
      <c r="V82" s="190">
        <v>9840818342.3899994</v>
      </c>
      <c r="W82" s="190">
        <v>9067718255.7199993</v>
      </c>
      <c r="X82" s="190">
        <v>9106532274.9400005</v>
      </c>
      <c r="Y82" s="190">
        <v>8656704396.1900005</v>
      </c>
      <c r="Z82" s="190">
        <v>7712429171.5900002</v>
      </c>
      <c r="AA82" s="190">
        <v>7112270577</v>
      </c>
      <c r="AB82" s="190">
        <v>7157957390.6099997</v>
      </c>
      <c r="AC82" s="190">
        <v>6782843828.7399998</v>
      </c>
      <c r="AD82" s="190">
        <v>6198401664.1099997</v>
      </c>
      <c r="AE82" s="190">
        <v>5868939229.0200005</v>
      </c>
      <c r="AF82" s="190">
        <v>5901238297.3599997</v>
      </c>
      <c r="AG82" s="190">
        <v>5640224218.6999998</v>
      </c>
      <c r="AH82" s="190">
        <v>5239572345.9399996</v>
      </c>
      <c r="AI82" s="190">
        <v>4957678982.3800001</v>
      </c>
      <c r="AJ82" s="190">
        <v>1701214087.95</v>
      </c>
      <c r="AK82" s="190">
        <v>1495656973.4100001</v>
      </c>
      <c r="AL82" s="190">
        <v>969553376.54999995</v>
      </c>
      <c r="AM82" s="190">
        <v>543800444.66999996</v>
      </c>
      <c r="AN82" s="190">
        <v>0</v>
      </c>
    </row>
    <row r="83" spans="1:40" x14ac:dyDescent="0.25">
      <c r="A83" s="190" t="s">
        <v>187</v>
      </c>
      <c r="B83" s="190">
        <v>292576323.94999999</v>
      </c>
      <c r="C83" s="190">
        <v>219267861.58000001</v>
      </c>
      <c r="D83" s="190">
        <v>212682792.24000001</v>
      </c>
      <c r="E83" s="190">
        <v>246048563.87</v>
      </c>
      <c r="F83" s="190">
        <v>245329478.66</v>
      </c>
      <c r="G83" s="190">
        <v>192949349.28999999</v>
      </c>
      <c r="H83" s="190">
        <v>196600597.84999999</v>
      </c>
      <c r="I83" s="190">
        <v>198039035.06999999</v>
      </c>
      <c r="J83" s="190">
        <v>155151157.59999999</v>
      </c>
      <c r="K83" s="190">
        <v>53262581.200000003</v>
      </c>
      <c r="L83" s="190">
        <v>44334482.719999999</v>
      </c>
      <c r="M83" s="190">
        <v>43647140.920000002</v>
      </c>
      <c r="N83" s="190">
        <v>45459740.030000001</v>
      </c>
      <c r="O83" s="190">
        <v>44377961.210000001</v>
      </c>
      <c r="P83" s="190">
        <v>35447668.439999998</v>
      </c>
      <c r="Q83" s="190">
        <v>36912881.210000001</v>
      </c>
      <c r="R83" s="190">
        <v>37130660.799999997</v>
      </c>
      <c r="S83" s="190">
        <v>35814642.119999997</v>
      </c>
      <c r="T83" s="190">
        <v>30399122.539999999</v>
      </c>
      <c r="U83" s="190">
        <v>26051336.579999998</v>
      </c>
      <c r="V83" s="190">
        <v>17472436.690000001</v>
      </c>
      <c r="W83" s="190">
        <v>19633180.379999999</v>
      </c>
      <c r="X83" s="190">
        <v>16154952.189999999</v>
      </c>
      <c r="Y83" s="190">
        <v>14707175.18</v>
      </c>
      <c r="Z83" s="190">
        <v>15431886.800000001</v>
      </c>
      <c r="AA83" s="190">
        <v>12893115.93</v>
      </c>
      <c r="AB83" s="190">
        <v>5663750.6799999997</v>
      </c>
      <c r="AC83" s="190">
        <v>4453584.74</v>
      </c>
      <c r="AD83" s="190">
        <v>6823369.4699999997</v>
      </c>
      <c r="AE83" s="190">
        <v>10745353.279999999</v>
      </c>
      <c r="AF83" s="190">
        <v>8368973.71</v>
      </c>
      <c r="AG83" s="190">
        <v>2229648.27</v>
      </c>
      <c r="AH83" s="190">
        <v>3070285.19</v>
      </c>
      <c r="AI83" s="190">
        <v>2267047.34</v>
      </c>
      <c r="AJ83" s="190">
        <v>2126649.23</v>
      </c>
      <c r="AK83" s="190">
        <v>1665493.51</v>
      </c>
      <c r="AL83" s="190">
        <v>0</v>
      </c>
      <c r="AM83" s="190">
        <v>910805.57</v>
      </c>
      <c r="AN83" s="190">
        <v>0</v>
      </c>
    </row>
    <row r="84" spans="1:40" x14ac:dyDescent="0.25">
      <c r="A84" s="190" t="s">
        <v>188</v>
      </c>
      <c r="B84" s="190">
        <v>33580866129.48</v>
      </c>
      <c r="C84" s="190">
        <v>30232786510.169998</v>
      </c>
      <c r="D84" s="190">
        <v>32443058820.540001</v>
      </c>
      <c r="E84" s="190">
        <v>30604121438.09</v>
      </c>
      <c r="F84" s="190">
        <v>27170454185.630001</v>
      </c>
      <c r="G84" s="190">
        <v>24236835572.119999</v>
      </c>
      <c r="H84" s="190">
        <v>25999847707.970001</v>
      </c>
      <c r="I84" s="190">
        <v>24486673925.150002</v>
      </c>
      <c r="J84" s="190">
        <v>21639291047.049999</v>
      </c>
      <c r="K84" s="190">
        <v>19160653329.950001</v>
      </c>
      <c r="L84" s="190">
        <v>20469670882.470001</v>
      </c>
      <c r="M84" s="190">
        <v>19297450879.700001</v>
      </c>
      <c r="N84" s="190">
        <v>17136143429.709999</v>
      </c>
      <c r="O84" s="190">
        <v>15539405639.969999</v>
      </c>
      <c r="P84" s="190">
        <v>15956580864.360001</v>
      </c>
      <c r="Q84" s="190">
        <v>14879156547.26</v>
      </c>
      <c r="R84" s="190">
        <v>12946611887.360001</v>
      </c>
      <c r="S84" s="190">
        <v>11744959399.780001</v>
      </c>
      <c r="T84" s="190">
        <v>11895859827.43</v>
      </c>
      <c r="U84" s="190">
        <v>11204403183</v>
      </c>
      <c r="V84" s="190">
        <v>9858290779.0799999</v>
      </c>
      <c r="W84" s="190">
        <v>9087351436.1000004</v>
      </c>
      <c r="X84" s="190">
        <v>9122687227.1299992</v>
      </c>
      <c r="Y84" s="190">
        <v>8671411571.3700008</v>
      </c>
      <c r="Z84" s="190">
        <v>7727861058.3900003</v>
      </c>
      <c r="AA84" s="190">
        <v>7125163692.9300003</v>
      </c>
      <c r="AB84" s="190">
        <v>7163621141.29</v>
      </c>
      <c r="AC84" s="190">
        <v>6787297413.4799995</v>
      </c>
      <c r="AD84" s="190">
        <v>6205225033.5799999</v>
      </c>
      <c r="AE84" s="190">
        <v>5879684582.3000002</v>
      </c>
      <c r="AF84" s="190">
        <v>5909607271.0699997</v>
      </c>
      <c r="AG84" s="190">
        <v>5642453866.9700003</v>
      </c>
      <c r="AH84" s="190">
        <v>5242642631.1300001</v>
      </c>
      <c r="AI84" s="190">
        <v>4959946029.7200003</v>
      </c>
      <c r="AJ84" s="190">
        <v>1703340737.1800001</v>
      </c>
      <c r="AK84" s="190">
        <v>1497322466.9200001</v>
      </c>
      <c r="AL84" s="190">
        <v>969553376.54999995</v>
      </c>
      <c r="AM84" s="190">
        <v>544711250.24000001</v>
      </c>
      <c r="AN84" s="190">
        <v>0</v>
      </c>
    </row>
    <row r="85" spans="1:40" x14ac:dyDescent="0.25">
      <c r="A85" s="190" t="s">
        <v>189</v>
      </c>
      <c r="B85" s="190">
        <v>54932903678.849998</v>
      </c>
      <c r="C85" s="190">
        <v>50019711616.849998</v>
      </c>
      <c r="D85" s="190">
        <v>50208262128.639999</v>
      </c>
      <c r="E85" s="190">
        <v>51570963466.610001</v>
      </c>
      <c r="F85" s="190">
        <v>44304408732.5</v>
      </c>
      <c r="G85" s="190">
        <v>41524934461.169998</v>
      </c>
      <c r="H85" s="190">
        <v>42657819050.449997</v>
      </c>
      <c r="I85" s="190">
        <v>41339007814.830002</v>
      </c>
      <c r="J85" s="190">
        <v>36494321200.940002</v>
      </c>
      <c r="K85" s="190">
        <v>31958335117.450001</v>
      </c>
      <c r="L85" s="190">
        <v>31156244904.52</v>
      </c>
      <c r="M85" s="190">
        <v>30316442436.169998</v>
      </c>
      <c r="N85" s="190">
        <v>25454224782.66</v>
      </c>
      <c r="O85" s="190">
        <v>23202394100.380001</v>
      </c>
      <c r="P85" s="190">
        <v>21417873571.369999</v>
      </c>
      <c r="Q85" s="190">
        <v>21290520311.290001</v>
      </c>
      <c r="R85" s="190">
        <v>17374849800.68</v>
      </c>
      <c r="S85" s="190">
        <v>16599150532.469999</v>
      </c>
      <c r="T85" s="190">
        <v>14591441081.33</v>
      </c>
      <c r="U85" s="190">
        <v>14071528034.190001</v>
      </c>
      <c r="V85" s="190">
        <v>12240426854.950001</v>
      </c>
      <c r="W85" s="190">
        <v>11393836125.32</v>
      </c>
      <c r="X85" s="190">
        <v>10400278285.82</v>
      </c>
      <c r="Y85" s="190">
        <v>10589486239.709999</v>
      </c>
      <c r="Z85" s="190">
        <v>9143184692.9200001</v>
      </c>
      <c r="AA85" s="190">
        <v>8421798250.29</v>
      </c>
      <c r="AB85" s="190">
        <v>8117909455.6199999</v>
      </c>
      <c r="AC85" s="190">
        <v>8316653307.9899998</v>
      </c>
      <c r="AD85" s="190">
        <v>7183273232.1099997</v>
      </c>
      <c r="AE85" s="190">
        <v>6784790409.3999996</v>
      </c>
      <c r="AF85" s="190">
        <v>6634110401.3699999</v>
      </c>
      <c r="AG85" s="190">
        <v>6549342721.0699997</v>
      </c>
      <c r="AH85" s="190">
        <v>5773943125.6700001</v>
      </c>
      <c r="AI85" s="190">
        <v>5824278411.4099998</v>
      </c>
      <c r="AJ85" s="190">
        <v>2180061621.96</v>
      </c>
      <c r="AK85" s="190">
        <v>2197077158.6500001</v>
      </c>
      <c r="AL85" s="190">
        <v>1369519232.3699999</v>
      </c>
      <c r="AM85" s="190">
        <v>871867597.02999997</v>
      </c>
      <c r="AN85" s="190">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AQ31"/>
  <sheetViews>
    <sheetView workbookViewId="0">
      <selection activeCell="A2" sqref="A2"/>
    </sheetView>
  </sheetViews>
  <sheetFormatPr defaultRowHeight="14.4" x14ac:dyDescent="0.25"/>
  <cols>
    <col min="1" max="1" width="39.109375" style="190" bestFit="1" customWidth="1"/>
    <col min="2" max="4" width="13.88671875" style="190" hidden="1" customWidth="1"/>
    <col min="5" max="5" width="13.88671875" style="190" bestFit="1" customWidth="1"/>
    <col min="6" max="7" width="13.88671875" style="190" hidden="1" customWidth="1"/>
    <col min="8" max="8" width="12.77734375" style="190" hidden="1" customWidth="1"/>
    <col min="9" max="9" width="13.88671875" style="190" bestFit="1" customWidth="1"/>
    <col min="10" max="12" width="13.88671875" style="190" hidden="1" customWidth="1"/>
    <col min="13" max="13" width="13.88671875" style="190" bestFit="1" customWidth="1"/>
    <col min="14" max="16" width="13.88671875" style="190" hidden="1" customWidth="1"/>
    <col min="17" max="17" width="13.88671875" style="190" bestFit="1" customWidth="1"/>
    <col min="18" max="19" width="13.88671875" style="190" hidden="1" customWidth="1"/>
    <col min="20" max="20" width="12.77734375" style="190" hidden="1" customWidth="1"/>
    <col min="21" max="21" width="13.88671875" style="190" bestFit="1" customWidth="1"/>
    <col min="22" max="24" width="13.88671875" style="190" hidden="1" customWidth="1"/>
    <col min="25" max="25" width="13.88671875" style="190" bestFit="1" customWidth="1"/>
    <col min="26" max="26" width="13.88671875" style="190" hidden="1" customWidth="1"/>
    <col min="27" max="28" width="12.77734375" style="190" hidden="1" customWidth="1"/>
    <col min="29" max="29" width="13.88671875" style="190" bestFit="1" customWidth="1"/>
    <col min="30" max="32" width="13.88671875" style="190" hidden="1" customWidth="1"/>
    <col min="33" max="33" width="13.88671875" style="190" bestFit="1" customWidth="1"/>
    <col min="34" max="36" width="12.77734375" style="190" hidden="1" customWidth="1"/>
    <col min="37" max="37" width="12.77734375" style="190" bestFit="1" customWidth="1"/>
    <col min="38" max="40" width="12.77734375" style="190" hidden="1" customWidth="1"/>
    <col min="41" max="42" width="12.77734375" style="190" bestFit="1" customWidth="1"/>
    <col min="43" max="43" width="9.5546875" style="190" hidden="1" customWidth="1"/>
    <col min="44" max="16384" width="8.88671875" style="190"/>
  </cols>
  <sheetData>
    <row r="1" spans="1:43" x14ac:dyDescent="0.25">
      <c r="A1" s="190">
        <v>2415</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20071231</v>
      </c>
      <c r="AQ1" s="190">
        <v>19700101</v>
      </c>
    </row>
    <row r="2" spans="1:43"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row>
    <row r="3" spans="1:43" x14ac:dyDescent="0.25">
      <c r="A3" s="190" t="s">
        <v>190</v>
      </c>
      <c r="B3" s="190">
        <v>33802691201.110001</v>
      </c>
      <c r="C3" s="190">
        <v>20875758224.630001</v>
      </c>
      <c r="D3" s="190">
        <v>9364828201</v>
      </c>
      <c r="E3" s="190">
        <v>41905476572.07</v>
      </c>
      <c r="F3" s="190">
        <v>27729742158.18</v>
      </c>
      <c r="G3" s="190">
        <v>16447539736.52</v>
      </c>
      <c r="H3" s="190">
        <v>7043724101.7299995</v>
      </c>
      <c r="I3" s="190">
        <v>31924020872.439999</v>
      </c>
      <c r="J3" s="190">
        <v>21136468968.82</v>
      </c>
      <c r="K3" s="190">
        <v>12548198726.120001</v>
      </c>
      <c r="L3" s="190">
        <v>5199710391.8999996</v>
      </c>
      <c r="M3" s="190">
        <v>25271390273.419998</v>
      </c>
      <c r="N3" s="190">
        <v>16677638479.4</v>
      </c>
      <c r="O3" s="190">
        <v>9796381650.8199997</v>
      </c>
      <c r="P3" s="190">
        <v>4287946779.6999998</v>
      </c>
      <c r="Q3" s="190">
        <v>17233114021.700001</v>
      </c>
      <c r="R3" s="190">
        <v>10669807845.58</v>
      </c>
      <c r="S3" s="190">
        <v>6016055310.8500004</v>
      </c>
      <c r="T3" s="190">
        <v>2594659242.4200001</v>
      </c>
      <c r="U3" s="190">
        <v>10745907038.84</v>
      </c>
      <c r="V3" s="190">
        <v>6860396812.6999998</v>
      </c>
      <c r="W3" s="190">
        <v>3908594584.9000001</v>
      </c>
      <c r="X3" s="190">
        <v>1697327735.97</v>
      </c>
      <c r="Y3" s="190">
        <v>7213789489.1800003</v>
      </c>
      <c r="Z3" s="190">
        <v>4797847375.2799997</v>
      </c>
      <c r="AA3" s="190">
        <v>2818679482.4899998</v>
      </c>
      <c r="AB3" s="190">
        <v>1292678630.79</v>
      </c>
      <c r="AC3" s="190">
        <v>5231639749.7700005</v>
      </c>
      <c r="AD3" s="190">
        <v>3453156822.0599999</v>
      </c>
      <c r="AE3" s="190">
        <v>2081678941.6300001</v>
      </c>
      <c r="AF3" s="190">
        <v>929912689.30999994</v>
      </c>
      <c r="AG3" s="190">
        <v>3605477285.21</v>
      </c>
      <c r="AH3" s="190">
        <v>2393076338.48</v>
      </c>
      <c r="AI3" s="190">
        <v>1402304573.3699999</v>
      </c>
      <c r="AJ3" s="190">
        <v>687305082.01999998</v>
      </c>
      <c r="AK3" s="190">
        <v>2101513184.72</v>
      </c>
      <c r="AL3" s="190">
        <v>1436572728.3599999</v>
      </c>
      <c r="AM3" s="190">
        <v>836803532.27999997</v>
      </c>
      <c r="AN3" s="190">
        <v>403065660.05000001</v>
      </c>
      <c r="AO3" s="190">
        <v>1742471409.9100001</v>
      </c>
      <c r="AP3" s="190">
        <v>1184513897.96</v>
      </c>
      <c r="AQ3" s="190">
        <v>0</v>
      </c>
    </row>
    <row r="4" spans="1:43" x14ac:dyDescent="0.25">
      <c r="A4" s="190" t="s">
        <v>191</v>
      </c>
      <c r="B4" s="190">
        <v>33802691201.110001</v>
      </c>
      <c r="C4" s="190">
        <v>20875758224.630001</v>
      </c>
      <c r="D4" s="190">
        <v>9364828201</v>
      </c>
      <c r="E4" s="190">
        <v>41905476572.07</v>
      </c>
      <c r="F4" s="190">
        <v>27729742158.18</v>
      </c>
      <c r="G4" s="190">
        <v>16447539736.52</v>
      </c>
      <c r="H4" s="190">
        <v>7043724101.7299995</v>
      </c>
      <c r="I4" s="190">
        <v>31924020872.439999</v>
      </c>
      <c r="J4" s="190">
        <v>21136468968.82</v>
      </c>
      <c r="K4" s="190">
        <v>12548198726.120001</v>
      </c>
      <c r="L4" s="190">
        <v>5199710391.8999996</v>
      </c>
      <c r="M4" s="190">
        <v>25271390273.419998</v>
      </c>
      <c r="N4" s="190">
        <v>16677638479.4</v>
      </c>
      <c r="O4" s="190">
        <v>9796381650.8199997</v>
      </c>
      <c r="P4" s="190">
        <v>4287946779.6999998</v>
      </c>
      <c r="Q4" s="190">
        <v>17233114021.700001</v>
      </c>
      <c r="R4" s="190">
        <v>10669807845.58</v>
      </c>
      <c r="S4" s="190">
        <v>6016055310.8500004</v>
      </c>
      <c r="T4" s="190">
        <v>2594659242.4200001</v>
      </c>
      <c r="U4" s="190">
        <v>10745907038.84</v>
      </c>
      <c r="V4" s="190">
        <v>6860396812.6999998</v>
      </c>
      <c r="W4" s="190">
        <v>3908594584.9000001</v>
      </c>
      <c r="X4" s="190">
        <v>1697327735.97</v>
      </c>
      <c r="Y4" s="190">
        <v>7213789489.1800003</v>
      </c>
      <c r="Z4" s="190">
        <v>4797847375.2799997</v>
      </c>
      <c r="AA4" s="190">
        <v>2818679482.4899998</v>
      </c>
      <c r="AB4" s="190">
        <v>1292678630.79</v>
      </c>
      <c r="AC4" s="190">
        <v>5231639749.7700005</v>
      </c>
      <c r="AD4" s="190">
        <v>3453156822.0599999</v>
      </c>
      <c r="AE4" s="190">
        <v>2081678941.6300001</v>
      </c>
      <c r="AF4" s="190">
        <v>929912689.30999994</v>
      </c>
      <c r="AG4" s="190">
        <v>3605477285.21</v>
      </c>
      <c r="AH4" s="190">
        <v>2393076338.48</v>
      </c>
      <c r="AI4" s="190">
        <v>1402304573.3699999</v>
      </c>
      <c r="AJ4" s="190">
        <v>687305082.01999998</v>
      </c>
      <c r="AK4" s="190">
        <v>2101513184.72</v>
      </c>
      <c r="AL4" s="190">
        <v>1436572728.3599999</v>
      </c>
      <c r="AM4" s="190">
        <v>836803532.27999997</v>
      </c>
      <c r="AN4" s="190">
        <v>403065660.05000001</v>
      </c>
      <c r="AO4" s="190">
        <v>1742471409.9100001</v>
      </c>
      <c r="AP4" s="190">
        <v>1184513897.96</v>
      </c>
      <c r="AQ4" s="190">
        <v>0</v>
      </c>
    </row>
    <row r="5" spans="1:43" x14ac:dyDescent="0.25">
      <c r="A5" s="190" t="s">
        <v>192</v>
      </c>
      <c r="B5" s="190">
        <v>27215340568.93</v>
      </c>
      <c r="C5" s="190">
        <v>17084490140.559999</v>
      </c>
      <c r="D5" s="190">
        <v>7601579147.4399996</v>
      </c>
      <c r="E5" s="190">
        <v>33223942232.610001</v>
      </c>
      <c r="F5" s="190">
        <v>22170841572.330002</v>
      </c>
      <c r="G5" s="190">
        <v>13400801456.5</v>
      </c>
      <c r="H5" s="190">
        <v>5626271876.46</v>
      </c>
      <c r="I5" s="190">
        <v>25094241863.950001</v>
      </c>
      <c r="J5" s="190">
        <v>16755831889.83</v>
      </c>
      <c r="K5" s="190">
        <v>10157580263</v>
      </c>
      <c r="L5" s="190">
        <v>4140732655.6199999</v>
      </c>
      <c r="M5" s="190">
        <v>19909915583.459999</v>
      </c>
      <c r="N5" s="190">
        <v>12999008672.07</v>
      </c>
      <c r="O5" s="190">
        <v>7693035089.9099998</v>
      </c>
      <c r="P5" s="190">
        <v>3347430693.9099998</v>
      </c>
      <c r="Q5" s="190">
        <v>13009607137.92</v>
      </c>
      <c r="R5" s="190">
        <v>8094277976.9799995</v>
      </c>
      <c r="S5" s="190">
        <v>4621527058.3299999</v>
      </c>
      <c r="T5" s="190">
        <v>1930642371.1099999</v>
      </c>
      <c r="U5" s="190">
        <v>7837628409.6999998</v>
      </c>
      <c r="V5" s="190">
        <v>5099066201.6499996</v>
      </c>
      <c r="W5" s="190">
        <v>2946649192.77</v>
      </c>
      <c r="X5" s="190">
        <v>1227520443.1800001</v>
      </c>
      <c r="Y5" s="190">
        <v>5223996325.7399998</v>
      </c>
      <c r="Z5" s="190">
        <v>3530729927.6900001</v>
      </c>
      <c r="AA5" s="190">
        <v>2078346754.96</v>
      </c>
      <c r="AB5" s="190">
        <v>936229586.54999995</v>
      </c>
      <c r="AC5" s="190">
        <v>3761409921.9299998</v>
      </c>
      <c r="AD5" s="190">
        <v>2470651269.54</v>
      </c>
      <c r="AE5" s="190">
        <v>1505530476.26</v>
      </c>
      <c r="AF5" s="190">
        <v>650613919.28999996</v>
      </c>
      <c r="AG5" s="190">
        <v>2622749315.6999998</v>
      </c>
      <c r="AH5" s="190">
        <v>1700720333.8699999</v>
      </c>
      <c r="AI5" s="190">
        <v>1020393281.48</v>
      </c>
      <c r="AJ5" s="190">
        <v>472082376.36000001</v>
      </c>
      <c r="AK5" s="190">
        <v>1442106793.21</v>
      </c>
      <c r="AL5" s="190">
        <v>973519175.48000002</v>
      </c>
      <c r="AM5" s="190">
        <v>590558931.05999994</v>
      </c>
      <c r="AN5" s="190">
        <v>270813244.19999999</v>
      </c>
      <c r="AO5" s="190">
        <v>1204854096.3199999</v>
      </c>
      <c r="AP5" s="190">
        <v>841407142.87</v>
      </c>
      <c r="AQ5" s="190">
        <v>0</v>
      </c>
    </row>
    <row r="6" spans="1:43" x14ac:dyDescent="0.25">
      <c r="A6" s="190" t="s">
        <v>193</v>
      </c>
      <c r="B6" s="190">
        <v>18622304210.360001</v>
      </c>
      <c r="C6" s="190">
        <v>11586298826.07</v>
      </c>
      <c r="D6" s="190">
        <v>5144866014.5200005</v>
      </c>
      <c r="E6" s="190">
        <v>23467310590.759998</v>
      </c>
      <c r="F6" s="190">
        <v>15477663755.389999</v>
      </c>
      <c r="G6" s="190">
        <v>9420695024.8400002</v>
      </c>
      <c r="H6" s="190">
        <v>4030635978.6399999</v>
      </c>
      <c r="I6" s="190">
        <v>18649694075.439999</v>
      </c>
      <c r="J6" s="190">
        <v>12354272045.639999</v>
      </c>
      <c r="K6" s="190">
        <v>7516381723.1400003</v>
      </c>
      <c r="L6" s="190">
        <v>3023844618.0300002</v>
      </c>
      <c r="M6" s="190">
        <v>15136793517.440001</v>
      </c>
      <c r="N6" s="190">
        <v>9726052589.9899998</v>
      </c>
      <c r="O6" s="190">
        <v>5589497558.5900002</v>
      </c>
      <c r="P6" s="190">
        <v>2391396043.4099998</v>
      </c>
      <c r="Q6" s="190">
        <v>9578266693.2800007</v>
      </c>
      <c r="R6" s="190">
        <v>5677915233.6400003</v>
      </c>
      <c r="S6" s="190">
        <v>3147587830.75</v>
      </c>
      <c r="T6" s="190">
        <v>1375389877.0699999</v>
      </c>
      <c r="U6" s="190">
        <v>5628838417.1000004</v>
      </c>
      <c r="V6" s="190">
        <v>3551297173.46</v>
      </c>
      <c r="W6" s="190">
        <v>2033786330.8299999</v>
      </c>
      <c r="X6" s="190">
        <v>882546175.61000001</v>
      </c>
      <c r="Y6" s="190">
        <v>3664922810.8099999</v>
      </c>
      <c r="Z6" s="190">
        <v>2427344631.4699998</v>
      </c>
      <c r="AA6" s="190">
        <v>1420922224.6400001</v>
      </c>
      <c r="AB6" s="190">
        <v>661465729.58000004</v>
      </c>
      <c r="AC6" s="190">
        <v>2634180308.6399999</v>
      </c>
      <c r="AD6" s="190">
        <v>1699824066.8800001</v>
      </c>
      <c r="AE6" s="190">
        <v>1021856726.88</v>
      </c>
      <c r="AF6" s="190">
        <v>468282079.42000002</v>
      </c>
      <c r="AG6" s="190">
        <v>1743763633.1199999</v>
      </c>
      <c r="AH6" s="190">
        <v>1199655803.52</v>
      </c>
      <c r="AI6" s="190">
        <v>702050596.73000002</v>
      </c>
      <c r="AJ6" s="190">
        <v>339155124.04000002</v>
      </c>
      <c r="AK6" s="190">
        <v>1007090667.39</v>
      </c>
      <c r="AL6" s="190">
        <v>674382814.25</v>
      </c>
      <c r="AM6" s="190">
        <v>389447580.93000001</v>
      </c>
      <c r="AN6" s="190">
        <v>182379908.43000001</v>
      </c>
      <c r="AO6" s="190">
        <v>856519516.38</v>
      </c>
      <c r="AP6" s="190">
        <v>609529706.07000005</v>
      </c>
      <c r="AQ6" s="190">
        <v>0</v>
      </c>
    </row>
    <row r="7" spans="1:43" x14ac:dyDescent="0.25">
      <c r="A7" s="190" t="s">
        <v>194</v>
      </c>
      <c r="B7" s="190">
        <v>281941341.25</v>
      </c>
      <c r="C7" s="190">
        <v>177890618.59999999</v>
      </c>
      <c r="D7" s="190">
        <v>70291380.920000002</v>
      </c>
      <c r="E7" s="190">
        <v>370993824.44999999</v>
      </c>
      <c r="F7" s="190">
        <v>276908073.13999999</v>
      </c>
      <c r="G7" s="190">
        <v>174232595.69999999</v>
      </c>
      <c r="H7" s="190">
        <v>66178321.289999999</v>
      </c>
      <c r="I7" s="190">
        <v>255078931.5</v>
      </c>
      <c r="J7" s="190">
        <v>157552322.13</v>
      </c>
      <c r="K7" s="190">
        <v>97314853.769999996</v>
      </c>
      <c r="L7" s="190">
        <v>47522585.770000003</v>
      </c>
      <c r="M7" s="190">
        <v>196876622.43000001</v>
      </c>
      <c r="N7" s="190">
        <v>119875085.67</v>
      </c>
      <c r="O7" s="190">
        <v>70718619.5</v>
      </c>
      <c r="P7" s="190">
        <v>32784165.09</v>
      </c>
      <c r="Q7" s="190">
        <v>151694130.11000001</v>
      </c>
      <c r="R7" s="190">
        <v>100473866.06</v>
      </c>
      <c r="S7" s="190">
        <v>62188690.600000001</v>
      </c>
      <c r="T7" s="190">
        <v>27607191.579999998</v>
      </c>
      <c r="U7" s="190">
        <v>115109356.91</v>
      </c>
      <c r="V7" s="190">
        <v>63767866.359999999</v>
      </c>
      <c r="W7" s="190">
        <v>36615084.299999997</v>
      </c>
      <c r="X7" s="190">
        <v>13080153.029999999</v>
      </c>
      <c r="Y7" s="190">
        <v>78067696.25</v>
      </c>
      <c r="Z7" s="190">
        <v>50082603.920000002</v>
      </c>
      <c r="AA7" s="190">
        <v>29124088.649999999</v>
      </c>
      <c r="AB7" s="190">
        <v>11502675.789999999</v>
      </c>
      <c r="AC7" s="190">
        <v>51909257.399999999</v>
      </c>
      <c r="AD7" s="190">
        <v>33688420.700000003</v>
      </c>
      <c r="AE7" s="190">
        <v>20938376.780000001</v>
      </c>
      <c r="AF7" s="190">
        <v>10335864.6</v>
      </c>
      <c r="AG7" s="190">
        <v>10293468.73</v>
      </c>
      <c r="AH7" s="190">
        <v>3272077.62</v>
      </c>
      <c r="AI7" s="190">
        <v>2047965.07</v>
      </c>
      <c r="AJ7" s="190">
        <v>886914.7</v>
      </c>
      <c r="AK7" s="190">
        <v>3317474.88</v>
      </c>
      <c r="AL7" s="190">
        <v>2289914.11</v>
      </c>
      <c r="AM7" s="190">
        <v>1521752.92</v>
      </c>
      <c r="AN7" s="190">
        <v>843042.51</v>
      </c>
      <c r="AO7" s="190">
        <v>3163455.71</v>
      </c>
      <c r="AP7" s="190">
        <v>1272560.1000000001</v>
      </c>
      <c r="AQ7" s="190">
        <v>0</v>
      </c>
    </row>
    <row r="8" spans="1:43" x14ac:dyDescent="0.25">
      <c r="A8" s="190" t="s">
        <v>195</v>
      </c>
      <c r="B8" s="190">
        <v>4175942610.3499999</v>
      </c>
      <c r="C8" s="190">
        <v>2649393264.4200001</v>
      </c>
      <c r="D8" s="190">
        <v>1084628143.5899999</v>
      </c>
      <c r="E8" s="190">
        <v>4430220065.1300001</v>
      </c>
      <c r="F8" s="190">
        <v>2960426405.5999999</v>
      </c>
      <c r="G8" s="190">
        <v>1726924956.22</v>
      </c>
      <c r="H8" s="190">
        <v>700619566.14999998</v>
      </c>
      <c r="I8" s="190">
        <v>2991273819.8099999</v>
      </c>
      <c r="J8" s="190">
        <v>2007702021.3099999</v>
      </c>
      <c r="K8" s="190">
        <v>1211831544.28</v>
      </c>
      <c r="L8" s="190">
        <v>520294932.05000001</v>
      </c>
      <c r="M8" s="190">
        <v>2179045314.71</v>
      </c>
      <c r="N8" s="190">
        <v>1446377402.1199999</v>
      </c>
      <c r="O8" s="190">
        <v>913527801.58000004</v>
      </c>
      <c r="P8" s="190">
        <v>428031683.13999999</v>
      </c>
      <c r="Q8" s="190">
        <v>1533250114.26</v>
      </c>
      <c r="R8" s="190">
        <v>1046928112.37</v>
      </c>
      <c r="S8" s="190">
        <v>645126817.09000003</v>
      </c>
      <c r="T8" s="190">
        <v>261613832.13999999</v>
      </c>
      <c r="U8" s="190">
        <v>927426449.51999998</v>
      </c>
      <c r="V8" s="190">
        <v>683757988.33000004</v>
      </c>
      <c r="W8" s="190">
        <v>418855245.33999997</v>
      </c>
      <c r="X8" s="190">
        <v>175978641.00999999</v>
      </c>
      <c r="Y8" s="190">
        <v>731872615.79999995</v>
      </c>
      <c r="Z8" s="190">
        <v>575914393.08000004</v>
      </c>
      <c r="AA8" s="190">
        <v>335648461.39999998</v>
      </c>
      <c r="AB8" s="190">
        <v>150137800.27000001</v>
      </c>
      <c r="AC8" s="190">
        <v>625552479.17999995</v>
      </c>
      <c r="AD8" s="190">
        <v>431972473.22000003</v>
      </c>
      <c r="AE8" s="190">
        <v>267129765.16</v>
      </c>
      <c r="AF8" s="190">
        <v>103932820.8</v>
      </c>
      <c r="AG8" s="190">
        <v>464914629.86000001</v>
      </c>
      <c r="AH8" s="190">
        <v>274116683.08999997</v>
      </c>
      <c r="AI8" s="190">
        <v>167302097.61000001</v>
      </c>
      <c r="AJ8" s="190">
        <v>74114125.689999998</v>
      </c>
      <c r="AK8" s="190">
        <v>226804562.78999999</v>
      </c>
      <c r="AL8" s="190">
        <v>156827955.06999999</v>
      </c>
      <c r="AM8" s="190">
        <v>104909623.48999999</v>
      </c>
      <c r="AN8" s="190">
        <v>49107483.899999999</v>
      </c>
      <c r="AO8" s="190">
        <v>190881516.88999999</v>
      </c>
      <c r="AP8" s="190">
        <v>117771764.23</v>
      </c>
      <c r="AQ8" s="190">
        <v>0</v>
      </c>
    </row>
    <row r="9" spans="1:43" x14ac:dyDescent="0.25">
      <c r="A9" s="190" t="s">
        <v>196</v>
      </c>
      <c r="B9" s="190">
        <v>960293296.63</v>
      </c>
      <c r="C9" s="190">
        <v>2503531051.0900002</v>
      </c>
      <c r="D9" s="190">
        <v>995059473.35000002</v>
      </c>
      <c r="E9" s="190">
        <v>4205437565.4499998</v>
      </c>
      <c r="F9" s="190">
        <v>2862065389.8400002</v>
      </c>
      <c r="G9" s="190">
        <v>1761709877.1300001</v>
      </c>
      <c r="H9" s="190">
        <v>747817353.51999998</v>
      </c>
      <c r="I9" s="190">
        <v>3106761432.9400001</v>
      </c>
      <c r="J9" s="190">
        <v>2123824265.51</v>
      </c>
      <c r="K9" s="190">
        <v>1270629581.95</v>
      </c>
      <c r="L9" s="190">
        <v>520661382.88999999</v>
      </c>
      <c r="M9" s="190">
        <v>2211221871.1500001</v>
      </c>
      <c r="N9" s="190">
        <v>1599941807.8499999</v>
      </c>
      <c r="O9" s="190">
        <v>994900083.46000004</v>
      </c>
      <c r="P9" s="190">
        <v>422461730.31999999</v>
      </c>
      <c r="Q9" s="190">
        <v>1645518222.73</v>
      </c>
      <c r="R9" s="190">
        <v>1181965027.46</v>
      </c>
      <c r="S9" s="190">
        <v>688030171.40999997</v>
      </c>
      <c r="T9" s="190">
        <v>283729975.93000001</v>
      </c>
      <c r="U9" s="190">
        <v>1095698834.46</v>
      </c>
      <c r="V9" s="190">
        <v>743303671.50999999</v>
      </c>
      <c r="W9" s="190">
        <v>418586961.36000001</v>
      </c>
      <c r="X9" s="190">
        <v>185628502.99000001</v>
      </c>
      <c r="Y9" s="190">
        <v>770532075.27999997</v>
      </c>
      <c r="Z9" s="190">
        <v>475099388.19</v>
      </c>
      <c r="AA9" s="190">
        <v>274578299.18000001</v>
      </c>
      <c r="AB9" s="190">
        <v>122625833.27</v>
      </c>
      <c r="AC9" s="190">
        <v>502992679.58999997</v>
      </c>
      <c r="AD9" s="190">
        <v>328771758.27999997</v>
      </c>
      <c r="AE9" s="190">
        <v>203447348.58000001</v>
      </c>
      <c r="AF9" s="190">
        <v>83340672.030000001</v>
      </c>
      <c r="AG9" s="190">
        <v>373449292.55000001</v>
      </c>
      <c r="AH9" s="190">
        <v>209246100.88999999</v>
      </c>
      <c r="AI9" s="190">
        <v>133447973.09999999</v>
      </c>
      <c r="AJ9" s="190">
        <v>58617992.060000002</v>
      </c>
      <c r="AK9" s="190">
        <v>200796259.97999999</v>
      </c>
      <c r="AL9" s="190">
        <v>132847105.28</v>
      </c>
      <c r="AM9" s="190">
        <v>86942806.219999999</v>
      </c>
      <c r="AN9" s="190">
        <v>41422624.090000004</v>
      </c>
      <c r="AO9" s="190">
        <v>145495368.33000001</v>
      </c>
      <c r="AP9" s="190">
        <v>97040615.739999995</v>
      </c>
      <c r="AQ9" s="190">
        <v>0</v>
      </c>
    </row>
    <row r="10" spans="1:43" x14ac:dyDescent="0.25">
      <c r="A10" s="190" t="s">
        <v>197</v>
      </c>
      <c r="B10" s="190">
        <v>-367680813.02999997</v>
      </c>
      <c r="C10" s="190">
        <v>-158521317.81</v>
      </c>
      <c r="D10" s="190">
        <v>257430070.75</v>
      </c>
      <c r="E10" s="190">
        <v>265411287.66</v>
      </c>
      <c r="F10" s="190">
        <v>218299111.47</v>
      </c>
      <c r="G10" s="190">
        <v>65500627.649999999</v>
      </c>
      <c r="H10" s="190">
        <v>21619476.399999999</v>
      </c>
      <c r="I10" s="190">
        <v>-226063754.62</v>
      </c>
      <c r="J10" s="190">
        <v>-126303300.28</v>
      </c>
      <c r="K10" s="190">
        <v>-97563400.840000004</v>
      </c>
      <c r="L10" s="190">
        <v>-10047261.859999999</v>
      </c>
      <c r="M10" s="190">
        <v>-152896391.69999999</v>
      </c>
      <c r="N10" s="190">
        <v>-96964328.209999993</v>
      </c>
      <c r="O10" s="190">
        <v>-42185251.329999998</v>
      </c>
      <c r="P10" s="190">
        <v>-10127554.58</v>
      </c>
      <c r="Q10" s="190">
        <v>-82029433.480000004</v>
      </c>
      <c r="R10" s="190">
        <v>-57449365.170000002</v>
      </c>
      <c r="S10" s="190">
        <v>-31614289.52</v>
      </c>
      <c r="T10" s="190">
        <v>-18499396.5</v>
      </c>
      <c r="U10" s="190">
        <v>-86557861.840000004</v>
      </c>
      <c r="V10" s="190">
        <v>-55030844.810000002</v>
      </c>
      <c r="W10" s="190">
        <v>-42863671.969999999</v>
      </c>
      <c r="X10" s="190">
        <v>-29713029.460000001</v>
      </c>
      <c r="Y10" s="190">
        <v>-71724163.150000006</v>
      </c>
      <c r="Z10" s="190">
        <v>-52824240.060000002</v>
      </c>
      <c r="AA10" s="190">
        <v>-37039470</v>
      </c>
      <c r="AB10" s="190">
        <v>-9502452.3599999994</v>
      </c>
      <c r="AC10" s="190">
        <v>-79288134.049999997</v>
      </c>
      <c r="AD10" s="190">
        <v>-51545561.469999999</v>
      </c>
      <c r="AE10" s="190">
        <v>-35781853.07</v>
      </c>
      <c r="AF10" s="190">
        <v>-15277517.560000001</v>
      </c>
      <c r="AG10" s="190">
        <v>-19008798.25</v>
      </c>
      <c r="AH10" s="190">
        <v>-3967438.33</v>
      </c>
      <c r="AI10" s="190">
        <v>-2905952.06</v>
      </c>
      <c r="AJ10" s="190">
        <v>-1146716.1299999999</v>
      </c>
      <c r="AK10" s="190">
        <v>-9107075.1500000004</v>
      </c>
      <c r="AL10" s="190">
        <v>-6501831.8099999996</v>
      </c>
      <c r="AM10" s="190">
        <v>-5936051.0800000001</v>
      </c>
      <c r="AN10" s="190">
        <v>-2966845.65</v>
      </c>
      <c r="AO10" s="190">
        <v>-5500855.4900000002</v>
      </c>
      <c r="AP10" s="190">
        <v>-3207992.44</v>
      </c>
      <c r="AQ10" s="190">
        <v>0</v>
      </c>
    </row>
    <row r="11" spans="1:43" x14ac:dyDescent="0.25">
      <c r="A11" s="190" t="s">
        <v>198</v>
      </c>
      <c r="B11" s="190">
        <v>464816967.17000002</v>
      </c>
      <c r="C11" s="190">
        <v>325897698.19</v>
      </c>
      <c r="D11" s="190">
        <v>49304064.310000002</v>
      </c>
      <c r="E11" s="190">
        <v>484568899.16000003</v>
      </c>
      <c r="F11" s="190">
        <v>375478836.88999999</v>
      </c>
      <c r="G11" s="190">
        <v>251738374.96000001</v>
      </c>
      <c r="H11" s="190">
        <v>59401180.460000001</v>
      </c>
      <c r="I11" s="190">
        <v>317497358.88</v>
      </c>
      <c r="J11" s="190">
        <v>238784535.52000001</v>
      </c>
      <c r="K11" s="190">
        <v>158985960.69999999</v>
      </c>
      <c r="L11" s="190">
        <v>38456398.740000002</v>
      </c>
      <c r="M11" s="190">
        <v>338874649.43000001</v>
      </c>
      <c r="N11" s="190">
        <v>203726114.65000001</v>
      </c>
      <c r="O11" s="190">
        <v>166576278.11000001</v>
      </c>
      <c r="P11" s="190">
        <v>82884626.530000001</v>
      </c>
      <c r="Q11" s="190">
        <v>182907411.02000001</v>
      </c>
      <c r="R11" s="190">
        <v>144445102.62</v>
      </c>
      <c r="S11" s="190">
        <v>110207838</v>
      </c>
      <c r="T11" s="190">
        <v>800890.89</v>
      </c>
      <c r="U11" s="190">
        <v>157113213.55000001</v>
      </c>
      <c r="V11" s="190">
        <v>111970346.8</v>
      </c>
      <c r="W11" s="190">
        <v>81669242.909999996</v>
      </c>
      <c r="X11" s="190">
        <v>0</v>
      </c>
      <c r="Y11" s="190">
        <v>50325290.75</v>
      </c>
      <c r="Z11" s="190">
        <v>55113151.090000004</v>
      </c>
      <c r="AA11" s="190">
        <v>55113151.090000004</v>
      </c>
      <c r="AB11" s="190">
        <v>0</v>
      </c>
      <c r="AC11" s="190">
        <v>26063331.170000002</v>
      </c>
      <c r="AD11" s="190">
        <v>27940111.93</v>
      </c>
      <c r="AE11" s="190">
        <v>27940111.93</v>
      </c>
      <c r="AF11" s="190">
        <v>0</v>
      </c>
      <c r="AG11" s="190">
        <v>49337089.689999998</v>
      </c>
      <c r="AH11" s="190">
        <v>18397107.079999998</v>
      </c>
      <c r="AI11" s="190">
        <v>18450601.030000001</v>
      </c>
      <c r="AJ11" s="190">
        <v>454936</v>
      </c>
      <c r="AK11" s="190">
        <v>13204903.32</v>
      </c>
      <c r="AL11" s="190">
        <v>13673218.58</v>
      </c>
      <c r="AM11" s="190">
        <v>13673218.58</v>
      </c>
      <c r="AN11" s="190">
        <v>27030.92</v>
      </c>
      <c r="AO11" s="190">
        <v>14295094.5</v>
      </c>
      <c r="AP11" s="190">
        <v>19000489.170000002</v>
      </c>
      <c r="AQ11" s="190">
        <v>0</v>
      </c>
    </row>
    <row r="12" spans="1:43" x14ac:dyDescent="0.25">
      <c r="A12" s="190" t="s">
        <v>199</v>
      </c>
      <c r="B12" s="190">
        <v>5191145.93</v>
      </c>
      <c r="C12" s="190">
        <v>-6102548.0199999996</v>
      </c>
      <c r="D12" s="190">
        <v>-42253561.299999997</v>
      </c>
      <c r="E12" s="190">
        <v>42090091.109999999</v>
      </c>
      <c r="F12" s="190">
        <v>38626739.560000002</v>
      </c>
      <c r="G12" s="190">
        <v>38552490.409999996</v>
      </c>
      <c r="H12" s="190">
        <v>4304484.96</v>
      </c>
      <c r="I12" s="190">
        <v>-40171578.799999997</v>
      </c>
      <c r="J12" s="190">
        <v>-7414642.5</v>
      </c>
      <c r="K12" s="190">
        <v>-8281896.3200000003</v>
      </c>
      <c r="L12" s="190">
        <v>-8978982.0800000001</v>
      </c>
      <c r="M12" s="190">
        <v>-16154643.25</v>
      </c>
      <c r="N12" s="190">
        <v>-15659210.5</v>
      </c>
      <c r="O12" s="190">
        <v>-10606627.359999999</v>
      </c>
      <c r="P12" s="190">
        <v>-4552407.5</v>
      </c>
      <c r="Q12" s="190">
        <v>3032932.74</v>
      </c>
      <c r="R12" s="190">
        <v>-1078610</v>
      </c>
      <c r="S12" s="190">
        <v>-3741370</v>
      </c>
      <c r="T12" s="190">
        <v>0</v>
      </c>
      <c r="U12" s="190">
        <v>0</v>
      </c>
      <c r="V12" s="190">
        <v>0</v>
      </c>
      <c r="W12" s="190">
        <v>0</v>
      </c>
      <c r="X12" s="190">
        <v>0</v>
      </c>
      <c r="Y12" s="190">
        <v>0</v>
      </c>
      <c r="Z12" s="190">
        <v>0</v>
      </c>
      <c r="AA12" s="190">
        <v>0</v>
      </c>
      <c r="AB12" s="190">
        <v>0</v>
      </c>
      <c r="AC12" s="190">
        <v>0</v>
      </c>
      <c r="AD12" s="190">
        <v>0</v>
      </c>
      <c r="AE12" s="190">
        <v>0</v>
      </c>
      <c r="AF12" s="190">
        <v>0</v>
      </c>
      <c r="AG12" s="190">
        <v>0</v>
      </c>
      <c r="AH12" s="190">
        <v>0</v>
      </c>
      <c r="AI12" s="190">
        <v>0</v>
      </c>
      <c r="AJ12" s="190">
        <v>0</v>
      </c>
      <c r="AK12" s="190">
        <v>0</v>
      </c>
      <c r="AL12" s="190">
        <v>0</v>
      </c>
      <c r="AM12" s="190">
        <v>0</v>
      </c>
      <c r="AN12" s="190">
        <v>0</v>
      </c>
      <c r="AO12" s="190">
        <v>0</v>
      </c>
      <c r="AP12" s="190">
        <v>0</v>
      </c>
      <c r="AQ12" s="190">
        <v>0</v>
      </c>
    </row>
    <row r="13" spans="1:43" x14ac:dyDescent="0.25">
      <c r="A13" s="190" t="s">
        <v>200</v>
      </c>
      <c r="B13" s="190">
        <v>61182269.350000001</v>
      </c>
      <c r="C13" s="190">
        <v>78267116.159999996</v>
      </c>
      <c r="D13" s="190">
        <v>21904699.059999999</v>
      </c>
      <c r="E13" s="190">
        <v>44650105.119999997</v>
      </c>
      <c r="F13" s="190">
        <v>46547777.200000003</v>
      </c>
      <c r="G13" s="190">
        <v>49652189.100000001</v>
      </c>
      <c r="H13" s="190">
        <v>26616724.899999999</v>
      </c>
      <c r="I13" s="190">
        <v>40493287.659999996</v>
      </c>
      <c r="J13" s="190">
        <v>42207125.490000002</v>
      </c>
      <c r="K13" s="190">
        <v>26451500.899999999</v>
      </c>
      <c r="L13" s="190">
        <v>10185437.220000001</v>
      </c>
      <c r="M13" s="190">
        <v>148673437.25</v>
      </c>
      <c r="N13" s="190">
        <v>93188502.299999997</v>
      </c>
      <c r="O13" s="190">
        <v>79164642.849999994</v>
      </c>
      <c r="P13" s="190">
        <v>44740853.899999999</v>
      </c>
      <c r="Q13" s="190">
        <v>151024364.74000001</v>
      </c>
      <c r="R13" s="190">
        <v>97105528.049999997</v>
      </c>
      <c r="S13" s="190">
        <v>61780361.670000002</v>
      </c>
      <c r="T13" s="190">
        <v>2373479.4500000002</v>
      </c>
      <c r="U13" s="190">
        <v>38674251.789999999</v>
      </c>
      <c r="V13" s="190">
        <v>18778244.079999998</v>
      </c>
      <c r="W13" s="190">
        <v>13116304.060000001</v>
      </c>
      <c r="X13" s="190">
        <v>4806707.5199999996</v>
      </c>
      <c r="Y13" s="190">
        <v>-295093.96000000002</v>
      </c>
      <c r="Z13" s="190">
        <v>-96220.07</v>
      </c>
      <c r="AA13" s="190">
        <v>-96220.07</v>
      </c>
      <c r="AB13" s="190">
        <v>0</v>
      </c>
      <c r="AC13" s="190">
        <v>1521343.94</v>
      </c>
      <c r="AD13" s="190">
        <v>1521343.94</v>
      </c>
      <c r="AE13" s="190">
        <v>1521343.94</v>
      </c>
      <c r="AF13" s="190">
        <v>1521343.94</v>
      </c>
      <c r="AG13" s="190">
        <v>3344701.73</v>
      </c>
      <c r="AH13" s="190">
        <v>-499972.93</v>
      </c>
      <c r="AI13" s="190">
        <v>-499972.93</v>
      </c>
      <c r="AJ13" s="190">
        <v>0</v>
      </c>
      <c r="AK13" s="190">
        <v>-1033334.25</v>
      </c>
      <c r="AL13" s="190">
        <v>-1552451.92</v>
      </c>
      <c r="AM13" s="190">
        <v>-1552451.92</v>
      </c>
      <c r="AN13" s="190">
        <v>0</v>
      </c>
      <c r="AO13" s="190">
        <v>-2409204.52</v>
      </c>
      <c r="AP13" s="190">
        <v>0</v>
      </c>
      <c r="AQ13" s="190">
        <v>0</v>
      </c>
    </row>
    <row r="14" spans="1:43" x14ac:dyDescent="0.25">
      <c r="A14" s="190" t="s">
        <v>201</v>
      </c>
      <c r="B14" s="190">
        <v>-1618218.28</v>
      </c>
      <c r="C14" s="190">
        <v>2538090.69</v>
      </c>
      <c r="D14" s="190">
        <v>342772.47999999998</v>
      </c>
      <c r="E14" s="190">
        <v>-2525266.42</v>
      </c>
      <c r="F14" s="190">
        <v>3502450.8</v>
      </c>
      <c r="G14" s="190">
        <v>0</v>
      </c>
      <c r="H14" s="190">
        <v>0</v>
      </c>
      <c r="I14" s="190">
        <v>0</v>
      </c>
      <c r="J14" s="190">
        <v>0</v>
      </c>
      <c r="K14" s="190">
        <v>0</v>
      </c>
      <c r="L14" s="190">
        <v>0</v>
      </c>
      <c r="M14" s="190">
        <v>0</v>
      </c>
      <c r="N14" s="190">
        <v>0</v>
      </c>
      <c r="O14" s="190">
        <v>0</v>
      </c>
      <c r="P14" s="190">
        <v>0</v>
      </c>
      <c r="Q14" s="190">
        <v>0</v>
      </c>
      <c r="R14" s="190">
        <v>-352661.41</v>
      </c>
      <c r="S14" s="190">
        <v>-352661.41</v>
      </c>
      <c r="T14" s="190">
        <v>0</v>
      </c>
      <c r="U14" s="190">
        <v>-454672.64000000001</v>
      </c>
      <c r="V14" s="190">
        <v>-370446.19</v>
      </c>
      <c r="W14" s="190">
        <v>-214567.66</v>
      </c>
      <c r="X14" s="190">
        <v>-94225.82</v>
      </c>
      <c r="Y14" s="190">
        <v>-295093.96000000002</v>
      </c>
      <c r="Z14" s="190">
        <v>-96220.07</v>
      </c>
      <c r="AA14" s="190">
        <v>-96220.07</v>
      </c>
      <c r="AB14" s="190">
        <v>0</v>
      </c>
      <c r="AC14" s="190">
        <v>1521343.94</v>
      </c>
      <c r="AD14" s="190">
        <v>1521343.94</v>
      </c>
      <c r="AE14" s="190">
        <v>1521343.94</v>
      </c>
      <c r="AF14" s="190">
        <v>1521343.94</v>
      </c>
      <c r="AG14" s="190">
        <v>3344701.73</v>
      </c>
      <c r="AH14" s="190">
        <v>-499972.93</v>
      </c>
      <c r="AI14" s="190">
        <v>-499972.93</v>
      </c>
      <c r="AJ14" s="190">
        <v>0</v>
      </c>
      <c r="AK14" s="190">
        <v>-1033334.25</v>
      </c>
      <c r="AL14" s="190">
        <v>-1552451.92</v>
      </c>
      <c r="AM14" s="190">
        <v>-1552451.92</v>
      </c>
      <c r="AN14" s="190">
        <v>0</v>
      </c>
      <c r="AO14" s="190">
        <v>197844.17</v>
      </c>
      <c r="AP14" s="190">
        <v>0</v>
      </c>
      <c r="AQ14" s="190">
        <v>0</v>
      </c>
    </row>
    <row r="15" spans="1:43" x14ac:dyDescent="0.25">
      <c r="A15" s="190" t="s">
        <v>202</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row>
    <row r="16" spans="1:43" x14ac:dyDescent="0.25">
      <c r="A16" s="190" t="s">
        <v>203</v>
      </c>
      <c r="B16" s="190">
        <v>8075128076.8699999</v>
      </c>
      <c r="C16" s="190">
        <v>4704822624.6400003</v>
      </c>
      <c r="D16" s="190">
        <v>2144555767.8900001</v>
      </c>
      <c r="E16" s="190">
        <v>10443111610.450001</v>
      </c>
      <c r="F16" s="190">
        <v>6684153914.1499996</v>
      </c>
      <c r="G16" s="190">
        <v>3812354251.9400001</v>
      </c>
      <c r="H16" s="190">
        <v>1448373435.1300001</v>
      </c>
      <c r="I16" s="190">
        <v>6830100717.3500004</v>
      </c>
      <c r="J16" s="190">
        <v>4415429561.9799995</v>
      </c>
      <c r="K16" s="190">
        <v>2408788067.6999998</v>
      </c>
      <c r="L16" s="190">
        <v>1060184191.42</v>
      </c>
      <c r="M16" s="190">
        <v>5493993483.96</v>
      </c>
      <c r="N16" s="190">
        <v>3756159099.1300001</v>
      </c>
      <c r="O16" s="190">
        <v>2171904576.4000001</v>
      </c>
      <c r="P16" s="190">
        <v>980704532.19000006</v>
      </c>
      <c r="Q16" s="190">
        <v>4377564181.2600002</v>
      </c>
      <c r="R16" s="190">
        <v>2671556786.6500001</v>
      </c>
      <c r="S16" s="190">
        <v>1452567244.1900001</v>
      </c>
      <c r="T16" s="190">
        <v>666390350.75999999</v>
      </c>
      <c r="U16" s="190">
        <v>2946952880.9299998</v>
      </c>
      <c r="V16" s="190">
        <v>1780108855.1300001</v>
      </c>
      <c r="W16" s="190">
        <v>975061696.19000006</v>
      </c>
      <c r="X16" s="190">
        <v>474614000.31</v>
      </c>
      <c r="Y16" s="190">
        <v>1989498069.48</v>
      </c>
      <c r="Z16" s="190">
        <v>1267021227.52</v>
      </c>
      <c r="AA16" s="190">
        <v>740236507.46000004</v>
      </c>
      <c r="AB16" s="190">
        <v>356449044.24000001</v>
      </c>
      <c r="AC16" s="190">
        <v>1471751171.78</v>
      </c>
      <c r="AD16" s="190">
        <v>984026896.46000004</v>
      </c>
      <c r="AE16" s="190">
        <v>577669809.30999994</v>
      </c>
      <c r="AF16" s="190">
        <v>280820113.95999998</v>
      </c>
      <c r="AG16" s="190">
        <v>986072671.24000001</v>
      </c>
      <c r="AH16" s="190">
        <v>691856031.67999995</v>
      </c>
      <c r="AI16" s="190">
        <v>381411318.95999998</v>
      </c>
      <c r="AJ16" s="190">
        <v>215222705.66</v>
      </c>
      <c r="AK16" s="190">
        <v>658373057.25999999</v>
      </c>
      <c r="AL16" s="190">
        <v>461501100.95999998</v>
      </c>
      <c r="AM16" s="190">
        <v>244692149.30000001</v>
      </c>
      <c r="AN16" s="190">
        <v>132252415.84999999</v>
      </c>
      <c r="AO16" s="190">
        <v>535208109.06999999</v>
      </c>
      <c r="AP16" s="190">
        <v>343106755.08999997</v>
      </c>
      <c r="AQ16" s="190">
        <v>0</v>
      </c>
    </row>
    <row r="17" spans="1:43" x14ac:dyDescent="0.25">
      <c r="A17" s="190" t="s">
        <v>204</v>
      </c>
      <c r="B17" s="190">
        <v>115369165.7</v>
      </c>
      <c r="C17" s="190">
        <v>73150373.859999999</v>
      </c>
      <c r="D17" s="190">
        <v>13022792.289999999</v>
      </c>
      <c r="E17" s="190">
        <v>46729250.630000003</v>
      </c>
      <c r="F17" s="190">
        <v>102191004.92</v>
      </c>
      <c r="G17" s="190">
        <v>34516279.579999998</v>
      </c>
      <c r="H17" s="190">
        <v>351393720.60000002</v>
      </c>
      <c r="I17" s="190">
        <v>1510919327.24</v>
      </c>
      <c r="J17" s="190">
        <v>967389439.53999996</v>
      </c>
      <c r="K17" s="190">
        <v>651984662.75999999</v>
      </c>
      <c r="L17" s="190">
        <v>332421874.02999997</v>
      </c>
      <c r="M17" s="190">
        <v>1293978970.29</v>
      </c>
      <c r="N17" s="190">
        <v>705543766.23000002</v>
      </c>
      <c r="O17" s="190">
        <v>460821720.99000001</v>
      </c>
      <c r="P17" s="190">
        <v>258266131.34</v>
      </c>
      <c r="Q17" s="190">
        <v>856469990.44000006</v>
      </c>
      <c r="R17" s="190">
        <v>440096128.05000001</v>
      </c>
      <c r="S17" s="190">
        <v>266944999.5</v>
      </c>
      <c r="T17" s="190">
        <v>116285515.17</v>
      </c>
      <c r="U17" s="190">
        <v>453255287.23000002</v>
      </c>
      <c r="V17" s="190">
        <v>265238692.05000001</v>
      </c>
      <c r="W17" s="190">
        <v>153098963.53</v>
      </c>
      <c r="X17" s="190">
        <v>57370930.039999999</v>
      </c>
      <c r="Y17" s="190">
        <v>332065592.85000002</v>
      </c>
      <c r="Z17" s="190">
        <v>190231442.41999999</v>
      </c>
      <c r="AA17" s="190">
        <v>109451879.13</v>
      </c>
      <c r="AB17" s="190">
        <v>50513692.25</v>
      </c>
      <c r="AC17" s="190">
        <v>261444721.16999999</v>
      </c>
      <c r="AD17" s="190">
        <v>34311604.560000002</v>
      </c>
      <c r="AE17" s="190">
        <v>32048923.699999999</v>
      </c>
      <c r="AF17" s="190">
        <v>27566464.010000002</v>
      </c>
      <c r="AG17" s="190">
        <v>160911405.47</v>
      </c>
      <c r="AH17" s="190">
        <v>63104858.57</v>
      </c>
      <c r="AI17" s="190">
        <v>47316865.899999999</v>
      </c>
      <c r="AJ17" s="190">
        <v>25523871.690000001</v>
      </c>
      <c r="AK17" s="190">
        <v>111256524.76000001</v>
      </c>
      <c r="AL17" s="190">
        <v>74978493.599999994</v>
      </c>
      <c r="AM17" s="190">
        <v>50802323.969999999</v>
      </c>
      <c r="AN17" s="190">
        <v>16325087.5</v>
      </c>
      <c r="AO17" s="190">
        <v>72507739.900000006</v>
      </c>
      <c r="AP17" s="190">
        <v>48442114.560000002</v>
      </c>
      <c r="AQ17" s="190">
        <v>0</v>
      </c>
    </row>
    <row r="18" spans="1:43" x14ac:dyDescent="0.25">
      <c r="A18" s="190" t="s">
        <v>205</v>
      </c>
      <c r="B18" s="190">
        <v>6713135.0800000001</v>
      </c>
      <c r="C18" s="190">
        <v>4584127.2</v>
      </c>
      <c r="D18" s="190">
        <v>1536336.1</v>
      </c>
      <c r="E18" s="190">
        <v>3020378.72</v>
      </c>
      <c r="F18" s="190">
        <v>2787256.22</v>
      </c>
      <c r="G18" s="190">
        <v>2280488.42</v>
      </c>
      <c r="H18" s="190">
        <v>895393.46</v>
      </c>
      <c r="I18" s="190">
        <v>30841696.079999998</v>
      </c>
      <c r="J18" s="190">
        <v>27004266.079999998</v>
      </c>
      <c r="K18" s="190">
        <v>18038821.09</v>
      </c>
      <c r="L18" s="190">
        <v>8165893.2999999998</v>
      </c>
      <c r="M18" s="190">
        <v>37930721.859999999</v>
      </c>
      <c r="N18" s="190">
        <v>24630853.059999999</v>
      </c>
      <c r="O18" s="190">
        <v>14733335.26</v>
      </c>
      <c r="P18" s="190">
        <v>6664541.8200000003</v>
      </c>
      <c r="Q18" s="190">
        <v>27691800.93</v>
      </c>
      <c r="R18" s="190">
        <v>18513483.289999999</v>
      </c>
      <c r="S18" s="190">
        <v>11334065.02</v>
      </c>
      <c r="T18" s="190">
        <v>4626327.09</v>
      </c>
      <c r="U18" s="190">
        <v>14253825.74</v>
      </c>
      <c r="V18" s="190">
        <v>8480083.4800000004</v>
      </c>
      <c r="W18" s="190">
        <v>4978835.8600000003</v>
      </c>
      <c r="X18" s="190">
        <v>1893901.44</v>
      </c>
      <c r="Y18" s="190">
        <v>7958014.6299999999</v>
      </c>
      <c r="Z18" s="190">
        <v>5837300.6699999999</v>
      </c>
      <c r="AA18" s="190">
        <v>3084465.22</v>
      </c>
      <c r="AB18" s="190">
        <v>1304903.74</v>
      </c>
      <c r="AC18" s="190">
        <v>5826331.1699999999</v>
      </c>
      <c r="AD18" s="190">
        <v>3749975.4</v>
      </c>
      <c r="AE18" s="190">
        <v>2196811.94</v>
      </c>
      <c r="AF18" s="190">
        <v>939502.31</v>
      </c>
      <c r="AG18" s="190">
        <v>4081970.51</v>
      </c>
      <c r="AH18" s="190">
        <v>2672464.88</v>
      </c>
      <c r="AI18" s="190">
        <v>1671991.47</v>
      </c>
      <c r="AJ18" s="190">
        <v>669657.46</v>
      </c>
      <c r="AK18" s="190">
        <v>3417527.81</v>
      </c>
      <c r="AL18" s="190">
        <v>1816231.35</v>
      </c>
      <c r="AM18" s="190">
        <v>808431.46</v>
      </c>
      <c r="AN18" s="190">
        <v>429495.39</v>
      </c>
      <c r="AO18" s="190">
        <v>2921702.47</v>
      </c>
      <c r="AP18" s="190">
        <v>1165724.1000000001</v>
      </c>
      <c r="AQ18" s="190">
        <v>0</v>
      </c>
    </row>
    <row r="19" spans="1:43" x14ac:dyDescent="0.25">
      <c r="A19" s="190" t="s">
        <v>206</v>
      </c>
      <c r="B19" s="190">
        <v>0</v>
      </c>
      <c r="C19" s="190">
        <v>0</v>
      </c>
      <c r="D19" s="190">
        <v>0</v>
      </c>
      <c r="E19" s="190">
        <v>0</v>
      </c>
      <c r="F19" s="190">
        <v>653063.4</v>
      </c>
      <c r="G19" s="190">
        <v>571711.25</v>
      </c>
      <c r="H19" s="190">
        <v>127264.81</v>
      </c>
      <c r="I19" s="190">
        <v>940003.24</v>
      </c>
      <c r="J19" s="190">
        <v>2092190.43</v>
      </c>
      <c r="K19" s="190">
        <v>1619629.7</v>
      </c>
      <c r="L19" s="190">
        <v>22641.69</v>
      </c>
      <c r="M19" s="190">
        <v>1113694.67</v>
      </c>
      <c r="N19" s="190">
        <v>402346.08</v>
      </c>
      <c r="O19" s="190">
        <v>331644.67</v>
      </c>
      <c r="P19" s="190">
        <v>121193.57</v>
      </c>
      <c r="Q19" s="190">
        <v>842376.23</v>
      </c>
      <c r="R19" s="190">
        <v>471454.13</v>
      </c>
      <c r="S19" s="190">
        <v>154747.95000000001</v>
      </c>
      <c r="T19" s="190">
        <v>-25426.080000000002</v>
      </c>
      <c r="U19" s="190">
        <v>377499.14</v>
      </c>
      <c r="V19" s="190">
        <v>234842.99</v>
      </c>
      <c r="W19" s="190">
        <v>133628.4</v>
      </c>
      <c r="X19" s="190">
        <v>-27090.89</v>
      </c>
      <c r="Y19" s="190">
        <v>241008.45</v>
      </c>
      <c r="Z19" s="190">
        <v>162834.88</v>
      </c>
      <c r="AA19" s="190">
        <v>103189.23</v>
      </c>
      <c r="AB19" s="190">
        <v>31431.82</v>
      </c>
      <c r="AC19" s="190">
        <v>184845.73</v>
      </c>
      <c r="AD19" s="190">
        <v>162899.79</v>
      </c>
      <c r="AE19" s="190">
        <v>90882.54</v>
      </c>
      <c r="AF19" s="190">
        <v>12095.16</v>
      </c>
      <c r="AG19" s="190">
        <v>286242.73</v>
      </c>
      <c r="AH19" s="190">
        <v>293173.93</v>
      </c>
      <c r="AI19" s="190">
        <v>261599.21</v>
      </c>
      <c r="AJ19" s="190">
        <v>0</v>
      </c>
      <c r="AK19" s="190">
        <v>894764.74</v>
      </c>
      <c r="AL19" s="190">
        <v>14131.61</v>
      </c>
      <c r="AM19" s="190">
        <v>6766.91</v>
      </c>
      <c r="AN19" s="190">
        <v>0</v>
      </c>
      <c r="AO19" s="190">
        <v>14519.58</v>
      </c>
      <c r="AP19" s="190">
        <v>16757.95</v>
      </c>
      <c r="AQ19" s="190">
        <v>0</v>
      </c>
    </row>
    <row r="20" spans="1:43" x14ac:dyDescent="0.25">
      <c r="A20" s="190" t="s">
        <v>207</v>
      </c>
      <c r="B20" s="190">
        <v>8183784107.4899998</v>
      </c>
      <c r="C20" s="190">
        <v>4773388871.3000002</v>
      </c>
      <c r="D20" s="190">
        <v>2156042224.0799999</v>
      </c>
      <c r="E20" s="190">
        <v>10486820482.360001</v>
      </c>
      <c r="F20" s="190">
        <v>6783557662.8500004</v>
      </c>
      <c r="G20" s="190">
        <v>3844590043.0999999</v>
      </c>
      <c r="H20" s="190">
        <v>1798871762.27</v>
      </c>
      <c r="I20" s="190">
        <v>8310178348.5100002</v>
      </c>
      <c r="J20" s="190">
        <v>5355814735.4399996</v>
      </c>
      <c r="K20" s="190">
        <v>3042733909.3699999</v>
      </c>
      <c r="L20" s="190">
        <v>1384440172.1500001</v>
      </c>
      <c r="M20" s="190">
        <v>6750041732.3900003</v>
      </c>
      <c r="N20" s="190">
        <v>4437072012.3000002</v>
      </c>
      <c r="O20" s="190">
        <v>2617992962.1300001</v>
      </c>
      <c r="P20" s="190">
        <v>1232306121.71</v>
      </c>
      <c r="Q20" s="190">
        <v>5206342370.7700005</v>
      </c>
      <c r="R20" s="190">
        <v>3093139431.4099998</v>
      </c>
      <c r="S20" s="190">
        <v>1708178178.6700001</v>
      </c>
      <c r="T20" s="190">
        <v>778049538.84000003</v>
      </c>
      <c r="U20" s="190">
        <v>3385954342.4200001</v>
      </c>
      <c r="V20" s="190">
        <v>2036867463.7</v>
      </c>
      <c r="W20" s="190">
        <v>1123181823.8599999</v>
      </c>
      <c r="X20" s="190">
        <v>530091028.91000003</v>
      </c>
      <c r="Y20" s="190">
        <v>2313605647.6999998</v>
      </c>
      <c r="Z20" s="190">
        <v>1451415369.27</v>
      </c>
      <c r="AA20" s="190">
        <v>846603921.37</v>
      </c>
      <c r="AB20" s="190">
        <v>405657832.75</v>
      </c>
      <c r="AC20" s="190">
        <v>1727369561.78</v>
      </c>
      <c r="AD20" s="190">
        <v>1014588525.62</v>
      </c>
      <c r="AE20" s="190">
        <v>607521921.07000005</v>
      </c>
      <c r="AF20" s="190">
        <v>307447075.66000003</v>
      </c>
      <c r="AG20" s="190">
        <v>1142902106.2</v>
      </c>
      <c r="AH20" s="190">
        <v>752288425.37</v>
      </c>
      <c r="AI20" s="190">
        <v>427056193.38999999</v>
      </c>
      <c r="AJ20" s="190">
        <v>240076919.88999999</v>
      </c>
      <c r="AK20" s="190">
        <v>766212054.21000004</v>
      </c>
      <c r="AL20" s="190">
        <v>534663363.20999998</v>
      </c>
      <c r="AM20" s="190">
        <v>294686041.81</v>
      </c>
      <c r="AN20" s="190">
        <v>148148007.96000001</v>
      </c>
      <c r="AO20" s="190">
        <v>604794146.5</v>
      </c>
      <c r="AP20" s="190">
        <v>390383145.55000001</v>
      </c>
      <c r="AQ20" s="190">
        <v>0</v>
      </c>
    </row>
    <row r="21" spans="1:43" x14ac:dyDescent="0.25">
      <c r="A21" s="190" t="s">
        <v>208</v>
      </c>
      <c r="B21" s="190">
        <v>836093959.57000005</v>
      </c>
      <c r="C21" s="190">
        <v>665802758.48000002</v>
      </c>
      <c r="D21" s="190">
        <v>373754038.72000003</v>
      </c>
      <c r="E21" s="190">
        <v>1109318842.54</v>
      </c>
      <c r="F21" s="190">
        <v>662436664.13999999</v>
      </c>
      <c r="G21" s="190">
        <v>568658390.85000002</v>
      </c>
      <c r="H21" s="190">
        <v>318461864.25</v>
      </c>
      <c r="I21" s="190">
        <v>889905208.07000005</v>
      </c>
      <c r="J21" s="190">
        <v>507470567.58999997</v>
      </c>
      <c r="K21" s="190">
        <v>432531976.11000001</v>
      </c>
      <c r="L21" s="190">
        <v>243921948.30000001</v>
      </c>
      <c r="M21" s="190">
        <v>867643887.69000006</v>
      </c>
      <c r="N21" s="190">
        <v>654171637.72000003</v>
      </c>
      <c r="O21" s="190">
        <v>399902720.24000001</v>
      </c>
      <c r="P21" s="190">
        <v>185766813.56</v>
      </c>
      <c r="Q21" s="190">
        <v>525641134.11000001</v>
      </c>
      <c r="R21" s="190">
        <v>371922648.92000002</v>
      </c>
      <c r="S21" s="190">
        <v>178940192.94999999</v>
      </c>
      <c r="T21" s="190">
        <v>86794286.390000001</v>
      </c>
      <c r="U21" s="190">
        <v>308901393.86000001</v>
      </c>
      <c r="V21" s="190">
        <v>271661533.05000001</v>
      </c>
      <c r="W21" s="190">
        <v>131592155.44</v>
      </c>
      <c r="X21" s="190">
        <v>78501175.870000005</v>
      </c>
      <c r="Y21" s="190">
        <v>173179307.22</v>
      </c>
      <c r="Z21" s="190">
        <v>208618911.93000001</v>
      </c>
      <c r="AA21" s="190">
        <v>114194275.28</v>
      </c>
      <c r="AB21" s="190">
        <v>57281341.229999997</v>
      </c>
      <c r="AC21" s="190">
        <v>244886638</v>
      </c>
      <c r="AD21" s="190">
        <v>142472978.86000001</v>
      </c>
      <c r="AE21" s="190">
        <v>77813886.409999996</v>
      </c>
      <c r="AF21" s="190">
        <v>46600043.049999997</v>
      </c>
      <c r="AG21" s="190">
        <v>90526869.439999998</v>
      </c>
      <c r="AH21" s="190">
        <v>95598052.280000001</v>
      </c>
      <c r="AI21" s="190">
        <v>52745278.210000001</v>
      </c>
      <c r="AJ21" s="190">
        <v>34700901.289999999</v>
      </c>
      <c r="AK21" s="190">
        <v>60192545.530000001</v>
      </c>
      <c r="AL21" s="190">
        <v>59493832.07</v>
      </c>
      <c r="AM21" s="190">
        <v>47438522.100000001</v>
      </c>
      <c r="AN21" s="190">
        <v>12435929.550000001</v>
      </c>
      <c r="AO21" s="190">
        <v>56070981.439999998</v>
      </c>
      <c r="AP21" s="190">
        <v>25870760.129999999</v>
      </c>
      <c r="AQ21" s="190">
        <v>0</v>
      </c>
    </row>
    <row r="22" spans="1:43" x14ac:dyDescent="0.25">
      <c r="A22" s="190" t="s">
        <v>209</v>
      </c>
      <c r="B22" s="190">
        <v>7347690147.9200001</v>
      </c>
      <c r="C22" s="190">
        <v>4107586112.8200002</v>
      </c>
      <c r="D22" s="190">
        <v>1782288185.3599999</v>
      </c>
      <c r="E22" s="190">
        <v>9377501639.8199997</v>
      </c>
      <c r="F22" s="190">
        <v>6121120998.71</v>
      </c>
      <c r="G22" s="190">
        <v>3275931652.25</v>
      </c>
      <c r="H22" s="190">
        <v>1480409898.02</v>
      </c>
      <c r="I22" s="190">
        <v>7420273140.4399996</v>
      </c>
      <c r="J22" s="190">
        <v>4848344167.8500004</v>
      </c>
      <c r="K22" s="190">
        <v>2610201933.2600002</v>
      </c>
      <c r="L22" s="190">
        <v>1140518223.8499999</v>
      </c>
      <c r="M22" s="190">
        <v>5882397844.6999998</v>
      </c>
      <c r="N22" s="190">
        <v>3782900374.5799999</v>
      </c>
      <c r="O22" s="190">
        <v>2218090241.8899999</v>
      </c>
      <c r="P22" s="190">
        <v>1046539308.15</v>
      </c>
      <c r="Q22" s="190">
        <v>4680701236.6599998</v>
      </c>
      <c r="R22" s="190">
        <v>2721216782.4899998</v>
      </c>
      <c r="S22" s="190">
        <v>1529237985.72</v>
      </c>
      <c r="T22" s="190">
        <v>691255252.45000005</v>
      </c>
      <c r="U22" s="190">
        <v>3077052948.5599999</v>
      </c>
      <c r="V22" s="190">
        <v>1765205930.6500001</v>
      </c>
      <c r="W22" s="190">
        <v>991589668.41999996</v>
      </c>
      <c r="X22" s="190">
        <v>451589853.04000002</v>
      </c>
      <c r="Y22" s="190">
        <v>2140426340.48</v>
      </c>
      <c r="Z22" s="190">
        <v>1242796457.3399999</v>
      </c>
      <c r="AA22" s="190">
        <v>732409646.09000003</v>
      </c>
      <c r="AB22" s="190">
        <v>348376491.51999998</v>
      </c>
      <c r="AC22" s="190">
        <v>1482482923.78</v>
      </c>
      <c r="AD22" s="190">
        <v>872115546.75999999</v>
      </c>
      <c r="AE22" s="190">
        <v>529708034.66000003</v>
      </c>
      <c r="AF22" s="190">
        <v>260847032.61000001</v>
      </c>
      <c r="AG22" s="190">
        <v>1052375236.76</v>
      </c>
      <c r="AH22" s="190">
        <v>656690373.09000003</v>
      </c>
      <c r="AI22" s="190">
        <v>374310915.18000001</v>
      </c>
      <c r="AJ22" s="190">
        <v>205376018.59999999</v>
      </c>
      <c r="AK22" s="190">
        <v>706019508.67999995</v>
      </c>
      <c r="AL22" s="190">
        <v>475169531.13999999</v>
      </c>
      <c r="AM22" s="190">
        <v>247247519.71000001</v>
      </c>
      <c r="AN22" s="190">
        <v>135712078.41</v>
      </c>
      <c r="AO22" s="190">
        <v>548723165.05999994</v>
      </c>
      <c r="AP22" s="190">
        <v>364512385.42000002</v>
      </c>
      <c r="AQ22" s="190">
        <v>0</v>
      </c>
    </row>
    <row r="23" spans="1:43" x14ac:dyDescent="0.25">
      <c r="A23" s="190" t="s">
        <v>210</v>
      </c>
      <c r="B23" s="190">
        <v>7395803151</v>
      </c>
      <c r="C23" s="190">
        <v>4147395535.8600001</v>
      </c>
      <c r="D23" s="190">
        <v>1815964569.77</v>
      </c>
      <c r="E23" s="190">
        <v>9410855084.8199997</v>
      </c>
      <c r="F23" s="190">
        <v>6152814186.5200005</v>
      </c>
      <c r="G23" s="190">
        <v>3291546056.6999998</v>
      </c>
      <c r="H23" s="190">
        <v>1480816885.3199999</v>
      </c>
      <c r="I23" s="190">
        <v>7422261983.1599998</v>
      </c>
      <c r="J23" s="190">
        <v>4849957525.2799997</v>
      </c>
      <c r="K23" s="190">
        <v>2606846455.3800001</v>
      </c>
      <c r="L23" s="190">
        <v>1143615399.8299999</v>
      </c>
      <c r="M23" s="190">
        <v>5869049646.2299995</v>
      </c>
      <c r="N23" s="190">
        <v>3769986801.4499998</v>
      </c>
      <c r="O23" s="190">
        <v>2206521734.73</v>
      </c>
      <c r="P23" s="190">
        <v>1044641900.05</v>
      </c>
      <c r="Q23" s="190">
        <v>4665368689.9399996</v>
      </c>
      <c r="R23" s="190">
        <v>2709720516.3600001</v>
      </c>
      <c r="S23" s="190">
        <v>1519601397.8199999</v>
      </c>
      <c r="T23" s="190">
        <v>686633248.08000004</v>
      </c>
      <c r="U23" s="190">
        <v>3066648532.9000001</v>
      </c>
      <c r="V23" s="190">
        <v>1760161935.5899999</v>
      </c>
      <c r="W23" s="190">
        <v>985692975.53999996</v>
      </c>
      <c r="X23" s="190">
        <v>450431943.00999999</v>
      </c>
      <c r="Y23" s="190">
        <v>2136873134.55</v>
      </c>
      <c r="Z23" s="190">
        <v>1238179827.72</v>
      </c>
      <c r="AA23" s="190">
        <v>729888601.71000004</v>
      </c>
      <c r="AB23" s="190">
        <v>347519303.17000002</v>
      </c>
      <c r="AC23" s="190">
        <v>1481012967.98</v>
      </c>
      <c r="AD23" s="190">
        <v>868986552.67999995</v>
      </c>
      <c r="AE23" s="190">
        <v>527197860.66000003</v>
      </c>
      <c r="AF23" s="190">
        <v>260754875.00999999</v>
      </c>
      <c r="AG23" s="190">
        <v>1051804319.23</v>
      </c>
      <c r="AH23" s="190">
        <v>655445907.42999995</v>
      </c>
      <c r="AI23" s="190">
        <v>373814840.43000001</v>
      </c>
      <c r="AJ23" s="190">
        <v>204976023.75999999</v>
      </c>
      <c r="AK23" s="190">
        <v>705577126.21000004</v>
      </c>
      <c r="AL23" s="190">
        <v>474875754.39999998</v>
      </c>
      <c r="AM23" s="190">
        <v>247270095.31</v>
      </c>
      <c r="AN23" s="190">
        <v>135712078.41</v>
      </c>
      <c r="AO23" s="190">
        <v>548845783.69000006</v>
      </c>
      <c r="AP23" s="190">
        <v>364516727.69</v>
      </c>
      <c r="AQ23" s="190">
        <v>0</v>
      </c>
    </row>
    <row r="24" spans="1:43" x14ac:dyDescent="0.25">
      <c r="A24" s="190" t="s">
        <v>211</v>
      </c>
      <c r="B24" s="190">
        <v>-48113003.079999998</v>
      </c>
      <c r="C24" s="190">
        <v>-39809423.039999999</v>
      </c>
      <c r="D24" s="190">
        <v>-33676384.409999996</v>
      </c>
      <c r="E24" s="190">
        <v>-33353445</v>
      </c>
      <c r="F24" s="190">
        <v>-31693187.809999999</v>
      </c>
      <c r="G24" s="190">
        <v>-15614404.449999999</v>
      </c>
      <c r="H24" s="190">
        <v>-406987.3</v>
      </c>
      <c r="I24" s="190">
        <v>-1988842.72</v>
      </c>
      <c r="J24" s="190">
        <v>-1613357.43</v>
      </c>
      <c r="K24" s="190">
        <v>3355477.88</v>
      </c>
      <c r="L24" s="190">
        <v>-3097175.98</v>
      </c>
      <c r="M24" s="190">
        <v>13348198.470000001</v>
      </c>
      <c r="N24" s="190">
        <v>12913573.130000001</v>
      </c>
      <c r="O24" s="190">
        <v>11568507.16</v>
      </c>
      <c r="P24" s="190">
        <v>1897408.1</v>
      </c>
      <c r="Q24" s="190">
        <v>15332546.720000001</v>
      </c>
      <c r="R24" s="190">
        <v>11496266.130000001</v>
      </c>
      <c r="S24" s="190">
        <v>9636587.9000000004</v>
      </c>
      <c r="T24" s="190">
        <v>4622004.37</v>
      </c>
      <c r="U24" s="190">
        <v>10404415.66</v>
      </c>
      <c r="V24" s="190">
        <v>5043995.0599999996</v>
      </c>
      <c r="W24" s="190">
        <v>5896692.8799999999</v>
      </c>
      <c r="X24" s="190">
        <v>1157910.03</v>
      </c>
      <c r="Y24" s="190">
        <v>3553205.93</v>
      </c>
      <c r="Z24" s="190">
        <v>4616629.62</v>
      </c>
      <c r="AA24" s="190">
        <v>2521044.38</v>
      </c>
      <c r="AB24" s="190">
        <v>857188.35</v>
      </c>
      <c r="AC24" s="190">
        <v>1469955.8</v>
      </c>
      <c r="AD24" s="190">
        <v>3128994.08</v>
      </c>
      <c r="AE24" s="190">
        <v>2510174</v>
      </c>
      <c r="AF24" s="190">
        <v>92157.6</v>
      </c>
      <c r="AG24" s="190">
        <v>570917.53</v>
      </c>
      <c r="AH24" s="190">
        <v>1244465.6599999999</v>
      </c>
      <c r="AI24" s="190">
        <v>496074.75</v>
      </c>
      <c r="AJ24" s="190">
        <v>399994.84</v>
      </c>
      <c r="AK24" s="190">
        <v>442382.47</v>
      </c>
      <c r="AL24" s="190">
        <v>293776.74</v>
      </c>
      <c r="AM24" s="190">
        <v>-22575.599999999999</v>
      </c>
      <c r="AN24" s="190">
        <v>0</v>
      </c>
      <c r="AO24" s="190">
        <v>-122618.63</v>
      </c>
      <c r="AP24" s="190">
        <v>-4342.2700000000004</v>
      </c>
      <c r="AQ24" s="190">
        <v>0</v>
      </c>
    </row>
    <row r="25" spans="1:43" x14ac:dyDescent="0.25">
      <c r="A25" s="190" t="s">
        <v>212</v>
      </c>
    </row>
    <row r="26" spans="1:43" x14ac:dyDescent="0.25">
      <c r="A26" s="190" t="s">
        <v>213</v>
      </c>
      <c r="B26" s="190">
        <v>0.80600000000000005</v>
      </c>
      <c r="C26" s="190">
        <v>0.44900000000000001</v>
      </c>
      <c r="D26" s="190">
        <v>0.19900000000000001</v>
      </c>
      <c r="E26" s="190">
        <v>1.03</v>
      </c>
      <c r="F26" s="190">
        <v>0.67100000000000004</v>
      </c>
      <c r="G26" s="190">
        <v>0.35699999999999998</v>
      </c>
      <c r="H26" s="190">
        <v>0.245</v>
      </c>
      <c r="I26" s="190">
        <v>1.2270000000000001</v>
      </c>
      <c r="J26" s="190">
        <v>0.81</v>
      </c>
      <c r="K26" s="190">
        <v>0.43</v>
      </c>
      <c r="L26" s="190">
        <v>0.28499999999999998</v>
      </c>
      <c r="M26" s="190">
        <v>1.46</v>
      </c>
      <c r="N26" s="190">
        <v>0.94</v>
      </c>
      <c r="O26" s="190">
        <v>0.55000000000000004</v>
      </c>
      <c r="P26" s="190">
        <v>0.26</v>
      </c>
      <c r="Q26" s="190">
        <v>1.17</v>
      </c>
      <c r="R26" s="190">
        <v>0.67500000000000004</v>
      </c>
      <c r="S26" s="190">
        <v>0.378</v>
      </c>
      <c r="T26" s="190">
        <v>0.17100000000000001</v>
      </c>
      <c r="U26" s="190">
        <v>0.76</v>
      </c>
      <c r="V26" s="190">
        <v>0.438</v>
      </c>
      <c r="W26" s="190">
        <v>0.245</v>
      </c>
      <c r="X26" s="190">
        <v>0.22</v>
      </c>
      <c r="Y26" s="190">
        <v>1.07</v>
      </c>
      <c r="Z26" s="190">
        <v>0.62</v>
      </c>
      <c r="AA26" s="190">
        <v>0.36</v>
      </c>
      <c r="AB26" s="190">
        <v>0.35</v>
      </c>
      <c r="AC26" s="190">
        <v>1.48</v>
      </c>
      <c r="AD26" s="190">
        <v>0.87</v>
      </c>
      <c r="AE26" s="190">
        <v>0.53</v>
      </c>
      <c r="AF26" s="190">
        <v>0.52</v>
      </c>
      <c r="AG26" s="190">
        <v>2.2000000000000002</v>
      </c>
      <c r="AH26" s="190">
        <v>1.39</v>
      </c>
      <c r="AI26" s="190">
        <v>0.82</v>
      </c>
      <c r="AJ26" s="190">
        <v>0.46</v>
      </c>
      <c r="AK26" s="190">
        <v>1.57</v>
      </c>
      <c r="AL26" s="190">
        <v>1.06</v>
      </c>
      <c r="AM26" s="190">
        <v>0.55000000000000004</v>
      </c>
      <c r="AN26" s="190">
        <v>0.3</v>
      </c>
      <c r="AO26" s="190">
        <v>1.22</v>
      </c>
      <c r="AP26" s="190">
        <v>0</v>
      </c>
      <c r="AQ26" s="190">
        <v>0</v>
      </c>
    </row>
    <row r="27" spans="1:43" x14ac:dyDescent="0.25">
      <c r="A27" s="190" t="s">
        <v>214</v>
      </c>
      <c r="B27" s="190">
        <v>0.80400000000000005</v>
      </c>
      <c r="C27" s="190">
        <v>0.44900000000000001</v>
      </c>
      <c r="D27" s="190">
        <v>0.19700000000000001</v>
      </c>
      <c r="E27" s="190">
        <v>1.024</v>
      </c>
      <c r="F27" s="190">
        <v>0.67300000000000004</v>
      </c>
      <c r="G27" s="190">
        <v>0.35699999999999998</v>
      </c>
      <c r="H27" s="190">
        <v>0.24199999999999999</v>
      </c>
      <c r="I27" s="190">
        <v>1.2210000000000001</v>
      </c>
      <c r="J27" s="190">
        <v>0.8</v>
      </c>
      <c r="K27" s="190">
        <v>0.43</v>
      </c>
      <c r="L27" s="190">
        <v>0.28299999999999997</v>
      </c>
      <c r="M27" s="190">
        <v>1.45</v>
      </c>
      <c r="N27" s="190">
        <v>0.93</v>
      </c>
      <c r="O27" s="190">
        <v>0.55000000000000004</v>
      </c>
      <c r="P27" s="190">
        <v>0.26</v>
      </c>
      <c r="Q27" s="190">
        <v>1.1599999999999999</v>
      </c>
      <c r="R27" s="190">
        <v>0.67500000000000004</v>
      </c>
      <c r="S27" s="190">
        <v>0.378</v>
      </c>
      <c r="T27" s="190">
        <v>0.17100000000000001</v>
      </c>
      <c r="U27" s="190">
        <v>0.76</v>
      </c>
      <c r="V27" s="190">
        <v>0.438</v>
      </c>
      <c r="W27" s="190">
        <v>0.25</v>
      </c>
      <c r="X27" s="190">
        <v>0.22</v>
      </c>
      <c r="Y27" s="190">
        <v>1.07</v>
      </c>
      <c r="Z27" s="190">
        <v>0.62</v>
      </c>
      <c r="AA27" s="190">
        <v>0.36</v>
      </c>
      <c r="AB27" s="190">
        <v>0.35</v>
      </c>
      <c r="AC27" s="190">
        <v>1.48</v>
      </c>
      <c r="AD27" s="190">
        <v>0.87</v>
      </c>
      <c r="AE27" s="190">
        <v>0.53</v>
      </c>
      <c r="AF27" s="190">
        <v>0.52</v>
      </c>
      <c r="AG27" s="190">
        <v>2.2000000000000002</v>
      </c>
      <c r="AH27" s="190">
        <v>1.39</v>
      </c>
      <c r="AI27" s="190">
        <v>0.82</v>
      </c>
      <c r="AJ27" s="190">
        <v>0.46</v>
      </c>
      <c r="AK27" s="190">
        <v>1.57</v>
      </c>
      <c r="AL27" s="190">
        <v>1.06</v>
      </c>
      <c r="AM27" s="190">
        <v>0.55000000000000004</v>
      </c>
      <c r="AN27" s="190">
        <v>0.3</v>
      </c>
      <c r="AO27" s="190">
        <v>1.22</v>
      </c>
      <c r="AP27" s="190">
        <v>0</v>
      </c>
      <c r="AQ27" s="190">
        <v>0</v>
      </c>
    </row>
    <row r="28" spans="1:43" x14ac:dyDescent="0.25">
      <c r="A28" s="190" t="s">
        <v>215</v>
      </c>
      <c r="B28" s="190">
        <v>-27278644.780000001</v>
      </c>
      <c r="C28" s="190">
        <v>-14284828.74</v>
      </c>
      <c r="D28" s="190">
        <v>15159851.449999999</v>
      </c>
      <c r="E28" s="190">
        <v>13852652.33</v>
      </c>
      <c r="F28" s="190">
        <v>-5423522.8899999997</v>
      </c>
      <c r="G28" s="190">
        <v>29434317.100000001</v>
      </c>
      <c r="H28" s="190">
        <v>2767890.17</v>
      </c>
      <c r="I28" s="190">
        <v>-12687807.98</v>
      </c>
      <c r="J28" s="190">
        <v>96729834.159999996</v>
      </c>
      <c r="K28" s="190">
        <v>-11281600.949999999</v>
      </c>
      <c r="L28" s="190">
        <v>-3013730.52</v>
      </c>
      <c r="M28" s="190">
        <v>-17989248.27</v>
      </c>
      <c r="N28" s="190">
        <v>-14712623.9</v>
      </c>
      <c r="O28" s="190">
        <v>-11096226.779999999</v>
      </c>
      <c r="P28" s="190">
        <v>-11894300.17</v>
      </c>
      <c r="Q28" s="190">
        <v>-11660354.449999999</v>
      </c>
      <c r="R28" s="190">
        <v>-9878384.6600000001</v>
      </c>
      <c r="S28" s="190">
        <v>-8439435.9000000004</v>
      </c>
      <c r="T28" s="190">
        <v>201391.98</v>
      </c>
      <c r="U28" s="190">
        <v>-805152.17</v>
      </c>
      <c r="V28" s="190">
        <v>-4181888.91</v>
      </c>
      <c r="W28" s="190">
        <v>-1504969.66</v>
      </c>
      <c r="X28" s="190">
        <v>-314197.28000000003</v>
      </c>
      <c r="Y28" s="190">
        <v>-667199.4</v>
      </c>
      <c r="Z28" s="190">
        <v>46875.37</v>
      </c>
      <c r="AA28" s="190">
        <v>-550021.68999999994</v>
      </c>
      <c r="AB28" s="190">
        <v>690947.57</v>
      </c>
      <c r="AC28" s="190">
        <v>549954.28</v>
      </c>
      <c r="AD28" s="190">
        <v>1847947.34</v>
      </c>
      <c r="AE28" s="190">
        <v>1625447.9</v>
      </c>
      <c r="AF28" s="190">
        <v>409138.72</v>
      </c>
      <c r="AG28" s="190">
        <v>757215.76</v>
      </c>
      <c r="AH28" s="190">
        <v>1130843.5900000001</v>
      </c>
      <c r="AI28" s="190">
        <v>813700.09</v>
      </c>
      <c r="AJ28" s="190">
        <v>642251.66</v>
      </c>
      <c r="AK28" s="190">
        <v>526470.65</v>
      </c>
      <c r="AL28" s="190">
        <v>-853005.3</v>
      </c>
      <c r="AM28" s="190">
        <v>24536.14</v>
      </c>
      <c r="AN28" s="190">
        <v>0</v>
      </c>
      <c r="AO28" s="190">
        <v>377832.59</v>
      </c>
      <c r="AP28" s="190">
        <v>728964.36</v>
      </c>
      <c r="AQ28" s="190">
        <v>0</v>
      </c>
    </row>
    <row r="29" spans="1:43" x14ac:dyDescent="0.25">
      <c r="A29" s="190" t="s">
        <v>216</v>
      </c>
      <c r="B29" s="190">
        <v>7320411503.1400003</v>
      </c>
      <c r="C29" s="190">
        <v>4093301284.0799999</v>
      </c>
      <c r="D29" s="190">
        <v>1797448036.8099999</v>
      </c>
      <c r="E29" s="190">
        <v>9391354292.1499996</v>
      </c>
      <c r="F29" s="190">
        <v>6115697475.8199997</v>
      </c>
      <c r="G29" s="190">
        <v>3305365969.3499999</v>
      </c>
      <c r="H29" s="190">
        <v>1483177788.1900001</v>
      </c>
      <c r="I29" s="190">
        <v>7407585332.46</v>
      </c>
      <c r="J29" s="190">
        <v>4945074002.0100002</v>
      </c>
      <c r="K29" s="190">
        <v>2598920332.3099999</v>
      </c>
      <c r="L29" s="190">
        <v>1137504493.3299999</v>
      </c>
      <c r="M29" s="190">
        <v>5864408596.4300003</v>
      </c>
      <c r="N29" s="190">
        <v>3768187750.6799998</v>
      </c>
      <c r="O29" s="190">
        <v>2206994015.1100001</v>
      </c>
      <c r="P29" s="190">
        <v>1034645007.98</v>
      </c>
      <c r="Q29" s="190">
        <v>4669040882.21</v>
      </c>
      <c r="R29" s="190">
        <v>2711338397.8299999</v>
      </c>
      <c r="S29" s="190">
        <v>1520798549.8199999</v>
      </c>
      <c r="T29" s="190">
        <v>691456644.42999995</v>
      </c>
      <c r="U29" s="190">
        <v>3076247796.3899999</v>
      </c>
      <c r="V29" s="190">
        <v>1761024041.74</v>
      </c>
      <c r="W29" s="190">
        <v>990084698.75999999</v>
      </c>
      <c r="X29" s="190">
        <v>451275655.75999999</v>
      </c>
      <c r="Y29" s="190">
        <v>2139759141.0799999</v>
      </c>
      <c r="Z29" s="190">
        <v>1242843332.71</v>
      </c>
      <c r="AA29" s="190">
        <v>731859624.39999998</v>
      </c>
      <c r="AB29" s="190">
        <v>349067439.08999997</v>
      </c>
      <c r="AC29" s="190">
        <v>1483032878.0599999</v>
      </c>
      <c r="AD29" s="190">
        <v>873963494.10000002</v>
      </c>
      <c r="AE29" s="190">
        <v>531333482.56</v>
      </c>
      <c r="AF29" s="190">
        <v>261256171.33000001</v>
      </c>
      <c r="AG29" s="190">
        <v>1053132452.52</v>
      </c>
      <c r="AH29" s="190">
        <v>657821216.67999995</v>
      </c>
      <c r="AI29" s="190">
        <v>375124615.26999998</v>
      </c>
      <c r="AJ29" s="190">
        <v>206018270.25999999</v>
      </c>
      <c r="AK29" s="190">
        <v>706545979.33000004</v>
      </c>
      <c r="AL29" s="190">
        <v>474316525.83999997</v>
      </c>
      <c r="AM29" s="190">
        <v>247272055.84999999</v>
      </c>
      <c r="AN29" s="190">
        <v>135712078.41</v>
      </c>
      <c r="AO29" s="190">
        <v>549100997.64999998</v>
      </c>
      <c r="AP29" s="190">
        <v>365241349.77999997</v>
      </c>
      <c r="AQ29" s="190">
        <v>0</v>
      </c>
    </row>
    <row r="30" spans="1:43" x14ac:dyDescent="0.25">
      <c r="A30" s="190" t="s">
        <v>217</v>
      </c>
      <c r="B30" s="190">
        <v>7370081748.6999998</v>
      </c>
      <c r="C30" s="190">
        <v>4134496990.1500001</v>
      </c>
      <c r="D30" s="190">
        <v>1833116755.8</v>
      </c>
      <c r="E30" s="190">
        <v>9424407922.6800003</v>
      </c>
      <c r="F30" s="190">
        <v>6153207570.2600002</v>
      </c>
      <c r="G30" s="190">
        <v>3320136988.4699998</v>
      </c>
      <c r="H30" s="190">
        <v>1484616225.4100001</v>
      </c>
      <c r="I30" s="190">
        <v>7408691223.6499996</v>
      </c>
      <c r="J30" s="190">
        <v>4833569985.3299999</v>
      </c>
      <c r="K30" s="190">
        <v>2589304892.0300002</v>
      </c>
      <c r="L30" s="190">
        <v>1136817151.53</v>
      </c>
      <c r="M30" s="190">
        <v>5850227045.9899998</v>
      </c>
      <c r="N30" s="190">
        <v>3757314726.7399998</v>
      </c>
      <c r="O30" s="190">
        <v>2197202769.9899998</v>
      </c>
      <c r="P30" s="190">
        <v>1036110220.75</v>
      </c>
      <c r="Q30" s="190">
        <v>4654611818.3800001</v>
      </c>
      <c r="R30" s="190">
        <v>2700259073.6100001</v>
      </c>
      <c r="S30" s="190">
        <v>1511035244.28</v>
      </c>
      <c r="T30" s="190">
        <v>687108858.47000003</v>
      </c>
      <c r="U30" s="190">
        <v>3067353634.9899998</v>
      </c>
      <c r="V30" s="190">
        <v>1758258780.23</v>
      </c>
      <c r="W30" s="190">
        <v>985158693.55999994</v>
      </c>
      <c r="X30" s="190">
        <v>449827878.75</v>
      </c>
      <c r="Y30" s="190">
        <v>2136376911.5799999</v>
      </c>
      <c r="Z30" s="190">
        <v>1237871685.7</v>
      </c>
      <c r="AA30" s="190">
        <v>729426748.25999999</v>
      </c>
      <c r="AB30" s="190">
        <v>348302662.64999998</v>
      </c>
      <c r="AC30" s="190">
        <v>1482098399.3</v>
      </c>
      <c r="AD30" s="190">
        <v>870845335.46000004</v>
      </c>
      <c r="AE30" s="190">
        <v>528715010.31999999</v>
      </c>
      <c r="AF30" s="190">
        <v>261014078.66</v>
      </c>
      <c r="AG30" s="190">
        <v>1052546195.29</v>
      </c>
      <c r="AH30" s="190">
        <v>656394322.52999997</v>
      </c>
      <c r="AI30" s="190">
        <v>374500958.97000003</v>
      </c>
      <c r="AJ30" s="190">
        <v>205440382.13999999</v>
      </c>
      <c r="AK30" s="190">
        <v>706103596.86000001</v>
      </c>
      <c r="AL30" s="190">
        <v>474442456.04000002</v>
      </c>
      <c r="AM30" s="190">
        <v>247289411.19</v>
      </c>
      <c r="AN30" s="190">
        <v>135712078.41</v>
      </c>
      <c r="AO30" s="190">
        <v>549223616.27999997</v>
      </c>
      <c r="AP30" s="190">
        <v>365245692.05000001</v>
      </c>
      <c r="AQ30" s="190">
        <v>0</v>
      </c>
    </row>
    <row r="31" spans="1:43" x14ac:dyDescent="0.25">
      <c r="A31" s="190" t="s">
        <v>218</v>
      </c>
      <c r="B31" s="190">
        <v>-49670245.560000002</v>
      </c>
      <c r="C31" s="190">
        <v>-41195706.07</v>
      </c>
      <c r="D31" s="190">
        <v>-35668718.990000002</v>
      </c>
      <c r="E31" s="190">
        <v>-33053630.530000001</v>
      </c>
      <c r="F31" s="190">
        <v>-37510094.439999998</v>
      </c>
      <c r="G31" s="190">
        <v>-14771019.119999999</v>
      </c>
      <c r="H31" s="190">
        <v>-1438437.22</v>
      </c>
      <c r="I31" s="190">
        <v>-1105891.19</v>
      </c>
      <c r="J31" s="190">
        <v>111504016.68000001</v>
      </c>
      <c r="K31" s="190">
        <v>9615440.2799999993</v>
      </c>
      <c r="L31" s="190">
        <v>687341.8</v>
      </c>
      <c r="M31" s="190">
        <v>14181550.439999999</v>
      </c>
      <c r="N31" s="190">
        <v>10873023.939999999</v>
      </c>
      <c r="O31" s="190">
        <v>9791245.1199999992</v>
      </c>
      <c r="P31" s="190">
        <v>-1465212.77</v>
      </c>
      <c r="Q31" s="190">
        <v>14429063.83</v>
      </c>
      <c r="R31" s="190">
        <v>11079324.220000001</v>
      </c>
      <c r="S31" s="190">
        <v>9763305.5399999991</v>
      </c>
      <c r="T31" s="190">
        <v>4347785.96</v>
      </c>
      <c r="U31" s="190">
        <v>8894161.4000000004</v>
      </c>
      <c r="V31" s="190">
        <v>2765261.51</v>
      </c>
      <c r="W31" s="190">
        <v>4926005.2</v>
      </c>
      <c r="X31" s="190">
        <v>1447777.01</v>
      </c>
      <c r="Y31" s="190">
        <v>3382229.5</v>
      </c>
      <c r="Z31" s="190">
        <v>4971647.01</v>
      </c>
      <c r="AA31" s="190">
        <v>2432876.14</v>
      </c>
      <c r="AB31" s="190">
        <v>764776.44</v>
      </c>
      <c r="AC31" s="190">
        <v>934478.76</v>
      </c>
      <c r="AD31" s="190">
        <v>3118158.64</v>
      </c>
      <c r="AE31" s="190">
        <v>2618472.2400000002</v>
      </c>
      <c r="AF31" s="190">
        <v>242092.67</v>
      </c>
      <c r="AG31" s="190">
        <v>586257.23</v>
      </c>
      <c r="AH31" s="190">
        <v>1426894.15</v>
      </c>
      <c r="AI31" s="190">
        <v>623656.30000000005</v>
      </c>
      <c r="AJ31" s="190">
        <v>577888.12</v>
      </c>
      <c r="AK31" s="190">
        <v>442382.47</v>
      </c>
      <c r="AL31" s="190">
        <v>-125930.2</v>
      </c>
      <c r="AM31" s="190">
        <v>-17355.34</v>
      </c>
      <c r="AN31" s="190">
        <v>0</v>
      </c>
      <c r="AO31" s="190">
        <v>-122618.63</v>
      </c>
      <c r="AP31" s="190">
        <v>-4342.2700000000004</v>
      </c>
      <c r="AQ31" s="190">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AQ77"/>
  <sheetViews>
    <sheetView workbookViewId="0">
      <selection activeCell="A31" sqref="A31"/>
    </sheetView>
  </sheetViews>
  <sheetFormatPr defaultRowHeight="14.4" x14ac:dyDescent="0.25"/>
  <cols>
    <col min="1" max="1" width="57.77734375" style="190" bestFit="1" customWidth="1"/>
    <col min="2" max="2" width="12.77734375" style="190" hidden="1" customWidth="1"/>
    <col min="3" max="4" width="13.88671875" style="190" hidden="1" customWidth="1"/>
    <col min="5" max="5" width="13.88671875" style="190" bestFit="1" customWidth="1"/>
    <col min="6" max="8" width="13.88671875" style="190" hidden="1" customWidth="1"/>
    <col min="9" max="9" width="13.88671875" style="190" bestFit="1" customWidth="1"/>
    <col min="10" max="12" width="13.88671875" style="190" hidden="1" customWidth="1"/>
    <col min="13" max="13" width="13.88671875" style="190" bestFit="1" customWidth="1"/>
    <col min="14" max="15" width="13.88671875" style="190" hidden="1" customWidth="1"/>
    <col min="16" max="16" width="12.77734375" style="190" hidden="1" customWidth="1"/>
    <col min="17" max="17" width="13.88671875" style="190" bestFit="1" customWidth="1"/>
    <col min="18" max="20" width="13.88671875" style="190" hidden="1" customWidth="1"/>
    <col min="21" max="21" width="13.88671875" style="190" bestFit="1" customWidth="1"/>
    <col min="22" max="24" width="13.88671875" style="190" hidden="1" customWidth="1"/>
    <col min="25" max="25" width="13.88671875" style="190" bestFit="1" customWidth="1"/>
    <col min="26" max="28" width="13.88671875" style="190" hidden="1" customWidth="1"/>
    <col min="29" max="29" width="13.88671875" style="190" bestFit="1" customWidth="1"/>
    <col min="30" max="32" width="13.88671875" style="190" hidden="1" customWidth="1"/>
    <col min="33" max="33" width="13.88671875" style="190" bestFit="1" customWidth="1"/>
    <col min="34" max="36" width="13.88671875" style="190" hidden="1" customWidth="1"/>
    <col min="37" max="37" width="13.88671875" style="190" bestFit="1" customWidth="1"/>
    <col min="38" max="40" width="13.88671875" style="190" hidden="1" customWidth="1"/>
    <col min="41" max="42" width="13.88671875" style="190" bestFit="1" customWidth="1"/>
    <col min="43" max="43" width="9.5546875" style="190" hidden="1" customWidth="1"/>
    <col min="44" max="16384" width="8.88671875" style="190"/>
  </cols>
  <sheetData>
    <row r="1" spans="1:43" x14ac:dyDescent="0.25">
      <c r="A1" s="190">
        <v>2415</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20071231</v>
      </c>
      <c r="AQ1" s="190">
        <v>19700101</v>
      </c>
    </row>
    <row r="2" spans="1:43"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row>
    <row r="3" spans="1:43" x14ac:dyDescent="0.25">
      <c r="A3" s="190" t="s">
        <v>219</v>
      </c>
    </row>
    <row r="4" spans="1:43" x14ac:dyDescent="0.25">
      <c r="A4" s="190" t="s">
        <v>220</v>
      </c>
      <c r="B4" s="190">
        <v>36015579775.660004</v>
      </c>
      <c r="C4" s="190">
        <v>22109383677.919998</v>
      </c>
      <c r="D4" s="190">
        <v>8750853665.7099991</v>
      </c>
      <c r="E4" s="190">
        <v>42136145087.129997</v>
      </c>
      <c r="F4" s="190">
        <v>27024807952.59</v>
      </c>
      <c r="G4" s="190">
        <v>16056237726.299999</v>
      </c>
      <c r="H4" s="190">
        <v>6909207260.75</v>
      </c>
      <c r="I4" s="190">
        <v>32660216112.459999</v>
      </c>
      <c r="J4" s="190">
        <v>21024107807.75</v>
      </c>
      <c r="K4" s="190">
        <v>12831418421.85</v>
      </c>
      <c r="L4" s="190">
        <v>5485822978.8199997</v>
      </c>
      <c r="M4" s="190">
        <v>22777510666.139999</v>
      </c>
      <c r="N4" s="190">
        <v>14081333470.809999</v>
      </c>
      <c r="O4" s="190">
        <v>8283245094.3199997</v>
      </c>
      <c r="P4" s="190">
        <v>3418163900.4400001</v>
      </c>
      <c r="Q4" s="190">
        <v>16841500091.629999</v>
      </c>
      <c r="R4" s="190">
        <v>10042780829.65</v>
      </c>
      <c r="S4" s="190">
        <v>5639867408.75</v>
      </c>
      <c r="T4" s="190">
        <v>2237478983</v>
      </c>
      <c r="U4" s="190">
        <v>10521866815.01</v>
      </c>
      <c r="V4" s="190">
        <v>6391252346.5500002</v>
      </c>
      <c r="W4" s="190">
        <v>3674639900.3699999</v>
      </c>
      <c r="X4" s="190">
        <v>1682308704.4100001</v>
      </c>
      <c r="Y4" s="190">
        <v>7520285340.5600004</v>
      </c>
      <c r="Z4" s="190">
        <v>4779154387.6400003</v>
      </c>
      <c r="AA4" s="190">
        <v>2903731457.9499998</v>
      </c>
      <c r="AB4" s="190">
        <v>1249239988.95</v>
      </c>
      <c r="AC4" s="190">
        <v>5356299178.1599998</v>
      </c>
      <c r="AD4" s="190">
        <v>3303991612.3000002</v>
      </c>
      <c r="AE4" s="190">
        <v>1991915516.02</v>
      </c>
      <c r="AF4" s="190">
        <v>847782358.60000002</v>
      </c>
      <c r="AG4" s="190">
        <v>3748342158.4099998</v>
      </c>
      <c r="AH4" s="190">
        <v>2644213391.5900002</v>
      </c>
      <c r="AI4" s="190">
        <v>1535761764.4400001</v>
      </c>
      <c r="AJ4" s="190">
        <v>572607605.08000004</v>
      </c>
      <c r="AK4" s="190">
        <v>2309872642.8000002</v>
      </c>
      <c r="AL4" s="190">
        <v>1622245573.27</v>
      </c>
      <c r="AM4" s="190">
        <v>960790463.88</v>
      </c>
      <c r="AN4" s="190">
        <v>376684945.77999997</v>
      </c>
      <c r="AO4" s="190">
        <v>1925285385</v>
      </c>
      <c r="AP4" s="190">
        <v>1319358657.73</v>
      </c>
      <c r="AQ4" s="190">
        <v>0</v>
      </c>
    </row>
    <row r="5" spans="1:43" x14ac:dyDescent="0.25">
      <c r="A5" s="190" t="s">
        <v>221</v>
      </c>
      <c r="B5" s="190">
        <v>2665907552.3899999</v>
      </c>
      <c r="C5" s="190">
        <v>1773794015.21</v>
      </c>
      <c r="D5" s="190">
        <v>900802467.84000003</v>
      </c>
      <c r="E5" s="190">
        <v>2733759603</v>
      </c>
      <c r="F5" s="190">
        <v>2115509024.5899999</v>
      </c>
      <c r="G5" s="190">
        <v>1334775928.53</v>
      </c>
      <c r="H5" s="190">
        <v>780612675.67999995</v>
      </c>
      <c r="I5" s="190">
        <v>2592008277.3899999</v>
      </c>
      <c r="J5" s="190">
        <v>1775399086.25</v>
      </c>
      <c r="K5" s="190">
        <v>1354180574.3599999</v>
      </c>
      <c r="L5" s="190">
        <v>682616397.13</v>
      </c>
      <c r="M5" s="190">
        <v>2001179512.7</v>
      </c>
      <c r="N5" s="190">
        <v>1216688191.1700001</v>
      </c>
      <c r="O5" s="190">
        <v>428555205.98000002</v>
      </c>
      <c r="P5" s="190">
        <v>329108169.64999998</v>
      </c>
      <c r="Q5" s="190">
        <v>1352419910.5799999</v>
      </c>
      <c r="R5" s="190">
        <v>746608273.89999998</v>
      </c>
      <c r="S5" s="190">
        <v>411719086.05000001</v>
      </c>
      <c r="T5" s="190">
        <v>265896841.31999999</v>
      </c>
      <c r="U5" s="190">
        <v>479220203.63999999</v>
      </c>
      <c r="V5" s="190">
        <v>293398795</v>
      </c>
      <c r="W5" s="190">
        <v>195268891.75999999</v>
      </c>
      <c r="X5" s="190">
        <v>69606683.650000006</v>
      </c>
      <c r="Y5" s="190">
        <v>340588589.25999999</v>
      </c>
      <c r="Z5" s="190">
        <v>197874813.08000001</v>
      </c>
      <c r="AA5" s="190">
        <v>113280910.06</v>
      </c>
      <c r="AB5" s="190">
        <v>46552928.770000003</v>
      </c>
      <c r="AC5" s="190">
        <v>231669637.68000001</v>
      </c>
      <c r="AD5" s="190">
        <v>36602535.159999996</v>
      </c>
      <c r="AE5" s="190">
        <v>24758657.039999999</v>
      </c>
      <c r="AF5" s="190">
        <v>23429408.010000002</v>
      </c>
      <c r="AG5" s="190">
        <v>201460987.69</v>
      </c>
      <c r="AH5" s="190">
        <v>91176282.040000007</v>
      </c>
      <c r="AI5" s="190">
        <v>58099877.859999999</v>
      </c>
      <c r="AJ5" s="190">
        <v>26561790.170000002</v>
      </c>
      <c r="AK5" s="190">
        <v>128689749.56999999</v>
      </c>
      <c r="AL5" s="190">
        <v>103309565.84999999</v>
      </c>
      <c r="AM5" s="190">
        <v>53624660.240000002</v>
      </c>
      <c r="AN5" s="190">
        <v>33944135.530000001</v>
      </c>
      <c r="AO5" s="190">
        <v>84985450.189999998</v>
      </c>
      <c r="AP5" s="190">
        <v>45283145.719999999</v>
      </c>
      <c r="AQ5" s="190">
        <v>0</v>
      </c>
    </row>
    <row r="6" spans="1:43" x14ac:dyDescent="0.25">
      <c r="A6" s="190" t="s">
        <v>222</v>
      </c>
      <c r="B6" s="190">
        <v>765226775.70000005</v>
      </c>
      <c r="C6" s="190">
        <v>450666762.38999999</v>
      </c>
      <c r="D6" s="190">
        <v>1066892836.74</v>
      </c>
      <c r="E6" s="190">
        <v>533929235.32999998</v>
      </c>
      <c r="F6" s="190">
        <v>311501723.19999999</v>
      </c>
      <c r="G6" s="190">
        <v>191162610.47999999</v>
      </c>
      <c r="H6" s="190">
        <v>66237737.420000002</v>
      </c>
      <c r="I6" s="190">
        <v>488882790.82999998</v>
      </c>
      <c r="J6" s="190">
        <v>271676050.85000002</v>
      </c>
      <c r="K6" s="190">
        <v>138926208.46000001</v>
      </c>
      <c r="L6" s="190">
        <v>61980033.780000001</v>
      </c>
      <c r="M6" s="190">
        <v>525913263.75</v>
      </c>
      <c r="N6" s="190">
        <v>228167148.84</v>
      </c>
      <c r="O6" s="190">
        <v>105893565.54000001</v>
      </c>
      <c r="P6" s="190">
        <v>34548846.880000003</v>
      </c>
      <c r="Q6" s="190">
        <v>224914032.75</v>
      </c>
      <c r="R6" s="190">
        <v>119214350.87</v>
      </c>
      <c r="S6" s="190">
        <v>59229751.130000003</v>
      </c>
      <c r="T6" s="190">
        <v>21733615.760000002</v>
      </c>
      <c r="U6" s="190">
        <v>211410097.46000001</v>
      </c>
      <c r="V6" s="190">
        <v>108220066.77</v>
      </c>
      <c r="W6" s="190">
        <v>74812023.310000002</v>
      </c>
      <c r="X6" s="190">
        <v>37199228.909999996</v>
      </c>
      <c r="Y6" s="190">
        <v>134509234.30000001</v>
      </c>
      <c r="Z6" s="190">
        <v>27418943.100000001</v>
      </c>
      <c r="AA6" s="190">
        <v>22113375.539999999</v>
      </c>
      <c r="AB6" s="190">
        <v>21351127.859999999</v>
      </c>
      <c r="AC6" s="190">
        <v>55203781.579999998</v>
      </c>
      <c r="AD6" s="190">
        <v>11268856.93</v>
      </c>
      <c r="AE6" s="190">
        <v>9006948.5899999999</v>
      </c>
      <c r="AF6" s="190">
        <v>5234265.8600000003</v>
      </c>
      <c r="AG6" s="190">
        <v>26018722.16</v>
      </c>
      <c r="AH6" s="190">
        <v>11165361.68</v>
      </c>
      <c r="AI6" s="190">
        <v>5001909.8600000003</v>
      </c>
      <c r="AJ6" s="190">
        <v>2713747.51</v>
      </c>
      <c r="AK6" s="190">
        <v>13025727.869999999</v>
      </c>
      <c r="AL6" s="190">
        <v>9805743.8800000008</v>
      </c>
      <c r="AM6" s="190">
        <v>7583853.3399999999</v>
      </c>
      <c r="AN6" s="190">
        <v>2361220</v>
      </c>
      <c r="AO6" s="190">
        <v>10543132.67</v>
      </c>
      <c r="AP6" s="190">
        <v>6674637.2199999997</v>
      </c>
      <c r="AQ6" s="190">
        <v>0</v>
      </c>
    </row>
    <row r="7" spans="1:43" x14ac:dyDescent="0.25">
      <c r="A7" s="190" t="s">
        <v>223</v>
      </c>
      <c r="B7" s="190">
        <v>39446714103.75</v>
      </c>
      <c r="C7" s="190">
        <v>24333844455.52</v>
      </c>
      <c r="D7" s="190">
        <v>10718548970.290001</v>
      </c>
      <c r="E7" s="190">
        <v>45403833925.459999</v>
      </c>
      <c r="F7" s="190">
        <v>29451818700.380001</v>
      </c>
      <c r="G7" s="190">
        <v>17582176265.310001</v>
      </c>
      <c r="H7" s="190">
        <v>7756057673.8500004</v>
      </c>
      <c r="I7" s="190">
        <v>35741107180.68</v>
      </c>
      <c r="J7" s="190">
        <v>23071182944.849998</v>
      </c>
      <c r="K7" s="190">
        <v>14324525204.67</v>
      </c>
      <c r="L7" s="190">
        <v>6230419409.7299995</v>
      </c>
      <c r="M7" s="190">
        <v>25304603442.59</v>
      </c>
      <c r="N7" s="190">
        <v>15526188810.82</v>
      </c>
      <c r="O7" s="190">
        <v>8817693865.8400002</v>
      </c>
      <c r="P7" s="190">
        <v>3781820916.9699998</v>
      </c>
      <c r="Q7" s="190">
        <v>18418834034.959999</v>
      </c>
      <c r="R7" s="190">
        <v>10908603454.42</v>
      </c>
      <c r="S7" s="190">
        <v>6110816245.9300003</v>
      </c>
      <c r="T7" s="190">
        <v>2525109440.0799999</v>
      </c>
      <c r="U7" s="190">
        <v>11212497116.110001</v>
      </c>
      <c r="V7" s="190">
        <v>6792871208.3199997</v>
      </c>
      <c r="W7" s="190">
        <v>3944720815.4400001</v>
      </c>
      <c r="X7" s="190">
        <v>1789114616.97</v>
      </c>
      <c r="Y7" s="190">
        <v>7995383164.1199999</v>
      </c>
      <c r="Z7" s="190">
        <v>5004448143.8199997</v>
      </c>
      <c r="AA7" s="190">
        <v>3039125743.5500002</v>
      </c>
      <c r="AB7" s="190">
        <v>1317144045.5799999</v>
      </c>
      <c r="AC7" s="190">
        <v>5643172597.4200001</v>
      </c>
      <c r="AD7" s="190">
        <v>3351863004.3899999</v>
      </c>
      <c r="AE7" s="190">
        <v>2025681121.6500001</v>
      </c>
      <c r="AF7" s="190">
        <v>876446032.47000003</v>
      </c>
      <c r="AG7" s="190">
        <v>3975821868.2600002</v>
      </c>
      <c r="AH7" s="190">
        <v>2746555035.3099999</v>
      </c>
      <c r="AI7" s="190">
        <v>1598863552.1600001</v>
      </c>
      <c r="AJ7" s="190">
        <v>601883142.75999999</v>
      </c>
      <c r="AK7" s="190">
        <v>2451588120.2399998</v>
      </c>
      <c r="AL7" s="190">
        <v>1735360883</v>
      </c>
      <c r="AM7" s="190">
        <v>1021998977.46</v>
      </c>
      <c r="AN7" s="190">
        <v>412990301.31</v>
      </c>
      <c r="AO7" s="190">
        <v>2020813967.8599999</v>
      </c>
      <c r="AP7" s="190">
        <v>1371316440.6700001</v>
      </c>
      <c r="AQ7" s="190">
        <v>0</v>
      </c>
    </row>
    <row r="8" spans="1:43" x14ac:dyDescent="0.25">
      <c r="A8" s="190" t="s">
        <v>224</v>
      </c>
      <c r="B8" s="190">
        <v>24879653623.029999</v>
      </c>
      <c r="C8" s="190">
        <v>17665339796.23</v>
      </c>
      <c r="D8" s="190">
        <v>9646942783.6200008</v>
      </c>
      <c r="E8" s="190">
        <v>25634553120.830002</v>
      </c>
      <c r="F8" s="190">
        <v>21162642985.709999</v>
      </c>
      <c r="G8" s="190">
        <v>13831392836.700001</v>
      </c>
      <c r="H8" s="190">
        <v>7882506948.4499998</v>
      </c>
      <c r="I8" s="190">
        <v>20889389503.82</v>
      </c>
      <c r="J8" s="190">
        <v>14702541603.09</v>
      </c>
      <c r="K8" s="190">
        <v>9553087192.6399994</v>
      </c>
      <c r="L8" s="190">
        <v>5585834400.3400002</v>
      </c>
      <c r="M8" s="190">
        <v>15694627971.950001</v>
      </c>
      <c r="N8" s="190">
        <v>11469469061.58</v>
      </c>
      <c r="O8" s="190">
        <v>7992955241.1199999</v>
      </c>
      <c r="P8" s="190">
        <v>4564869493.6700001</v>
      </c>
      <c r="Q8" s="190">
        <v>10097337799.309999</v>
      </c>
      <c r="R8" s="190">
        <v>6980383083.8000002</v>
      </c>
      <c r="S8" s="190">
        <v>4084204750.1500001</v>
      </c>
      <c r="T8" s="190">
        <v>2073732977.8699999</v>
      </c>
      <c r="U8" s="190">
        <v>6474837194.1300001</v>
      </c>
      <c r="V8" s="190">
        <v>4510532554.46</v>
      </c>
      <c r="W8" s="190">
        <v>2776924984.6599998</v>
      </c>
      <c r="X8" s="190">
        <v>1645037798.8900001</v>
      </c>
      <c r="Y8" s="190">
        <v>4098398615.46</v>
      </c>
      <c r="Z8" s="190">
        <v>3058534531.1399999</v>
      </c>
      <c r="AA8" s="190">
        <v>2020712593.3199999</v>
      </c>
      <c r="AB8" s="190">
        <v>1174854594.51</v>
      </c>
      <c r="AC8" s="190">
        <v>2937818600.4000001</v>
      </c>
      <c r="AD8" s="190">
        <v>2206110840.4499998</v>
      </c>
      <c r="AE8" s="190">
        <v>1278529961.1300001</v>
      </c>
      <c r="AF8" s="190">
        <v>609200167.30999994</v>
      </c>
      <c r="AG8" s="190">
        <v>2343620088.0700002</v>
      </c>
      <c r="AH8" s="190">
        <v>2228102161.4499998</v>
      </c>
      <c r="AI8" s="190">
        <v>1299208438.6700001</v>
      </c>
      <c r="AJ8" s="190">
        <v>632348809.97000003</v>
      </c>
      <c r="AK8" s="190">
        <v>1259593529.22</v>
      </c>
      <c r="AL8" s="190">
        <v>1101190712.53</v>
      </c>
      <c r="AM8" s="190">
        <v>586595830.59000003</v>
      </c>
      <c r="AN8" s="190">
        <v>350286407.07999998</v>
      </c>
      <c r="AO8" s="190">
        <v>936217805.25999999</v>
      </c>
      <c r="AP8" s="190">
        <v>753993435.23000002</v>
      </c>
      <c r="AQ8" s="190">
        <v>0</v>
      </c>
    </row>
    <row r="9" spans="1:43" x14ac:dyDescent="0.25">
      <c r="A9" s="190" t="s">
        <v>225</v>
      </c>
      <c r="B9" s="190">
        <v>5182379464.21</v>
      </c>
      <c r="C9" s="190">
        <v>3584062421.1300001</v>
      </c>
      <c r="D9" s="190">
        <v>2157265649.4099998</v>
      </c>
      <c r="E9" s="190">
        <v>5036917567.9799995</v>
      </c>
      <c r="F9" s="190">
        <v>3498922254.1900001</v>
      </c>
      <c r="G9" s="190">
        <v>2562794533.8099999</v>
      </c>
      <c r="H9" s="190">
        <v>1532543739.3499999</v>
      </c>
      <c r="I9" s="190">
        <v>3404886547.1100001</v>
      </c>
      <c r="J9" s="190">
        <v>2370321389.0300002</v>
      </c>
      <c r="K9" s="190">
        <v>1711680529.24</v>
      </c>
      <c r="L9" s="190">
        <v>1063252704.05</v>
      </c>
      <c r="M9" s="190">
        <v>2501048931.4000001</v>
      </c>
      <c r="N9" s="190">
        <v>1790022855.48</v>
      </c>
      <c r="O9" s="190">
        <v>1339159770.8399999</v>
      </c>
      <c r="P9" s="190">
        <v>886761238</v>
      </c>
      <c r="Q9" s="190">
        <v>1864814790.77</v>
      </c>
      <c r="R9" s="190">
        <v>1324745225.55</v>
      </c>
      <c r="S9" s="190">
        <v>985715955.46000004</v>
      </c>
      <c r="T9" s="190">
        <v>575863156.89999998</v>
      </c>
      <c r="U9" s="190">
        <v>1279918036.24</v>
      </c>
      <c r="V9" s="190">
        <v>920159848.91999996</v>
      </c>
      <c r="W9" s="190">
        <v>676614258.64999998</v>
      </c>
      <c r="X9" s="190">
        <v>454228494.87</v>
      </c>
      <c r="Y9" s="190">
        <v>1020981945.47</v>
      </c>
      <c r="Z9" s="190">
        <v>715402149.45000005</v>
      </c>
      <c r="AA9" s="190">
        <v>586526954.70000005</v>
      </c>
      <c r="AB9" s="190">
        <v>339329936.63</v>
      </c>
      <c r="AC9" s="190">
        <v>621731941.96000004</v>
      </c>
      <c r="AD9" s="190">
        <v>434483372.70999998</v>
      </c>
      <c r="AE9" s="190">
        <v>333462456.27999997</v>
      </c>
      <c r="AF9" s="190">
        <v>223305912.83000001</v>
      </c>
      <c r="AG9" s="190">
        <v>370766592.55000001</v>
      </c>
      <c r="AH9" s="190">
        <v>262333913.56999999</v>
      </c>
      <c r="AI9" s="190">
        <v>205186591.12</v>
      </c>
      <c r="AJ9" s="190">
        <v>132318396.52</v>
      </c>
      <c r="AK9" s="190">
        <v>205173480.31</v>
      </c>
      <c r="AL9" s="190">
        <v>160988903.84999999</v>
      </c>
      <c r="AM9" s="190">
        <v>125601501.62</v>
      </c>
      <c r="AN9" s="190">
        <v>79175385.060000002</v>
      </c>
      <c r="AO9" s="190">
        <v>131007907.42</v>
      </c>
      <c r="AP9" s="190">
        <v>77771952.450000003</v>
      </c>
      <c r="AQ9" s="190">
        <v>0</v>
      </c>
    </row>
    <row r="10" spans="1:43" x14ac:dyDescent="0.25">
      <c r="A10" s="190" t="s">
        <v>226</v>
      </c>
      <c r="B10" s="190">
        <v>3379293442.8699999</v>
      </c>
      <c r="C10" s="190">
        <v>2477876007.1700001</v>
      </c>
      <c r="D10" s="190">
        <v>1270538915.8900001</v>
      </c>
      <c r="E10" s="190">
        <v>3557905236.73</v>
      </c>
      <c r="F10" s="190">
        <v>2506554948.1700001</v>
      </c>
      <c r="G10" s="190">
        <v>1899822855.27</v>
      </c>
      <c r="H10" s="190">
        <v>795821496.14999998</v>
      </c>
      <c r="I10" s="190">
        <v>2913713175.75</v>
      </c>
      <c r="J10" s="190">
        <v>2043797016.0999999</v>
      </c>
      <c r="K10" s="190">
        <v>1520924950.95</v>
      </c>
      <c r="L10" s="190">
        <v>477402532.5</v>
      </c>
      <c r="M10" s="190">
        <v>2455175034.6799998</v>
      </c>
      <c r="N10" s="190">
        <v>1573890555.0999999</v>
      </c>
      <c r="O10" s="190">
        <v>607416135.64999998</v>
      </c>
      <c r="P10" s="190">
        <v>488403012.26999998</v>
      </c>
      <c r="Q10" s="190">
        <v>1717478192.52</v>
      </c>
      <c r="R10" s="190">
        <v>1198830135.3099999</v>
      </c>
      <c r="S10" s="190">
        <v>669845018</v>
      </c>
      <c r="T10" s="190">
        <v>458383420.88</v>
      </c>
      <c r="U10" s="190">
        <v>953625235</v>
      </c>
      <c r="V10" s="190">
        <v>627729736.69000006</v>
      </c>
      <c r="W10" s="190">
        <v>292362334.73000002</v>
      </c>
      <c r="X10" s="190">
        <v>201460753.28</v>
      </c>
      <c r="Y10" s="190">
        <v>890857333.45000005</v>
      </c>
      <c r="Z10" s="190">
        <v>617752391.55999994</v>
      </c>
      <c r="AA10" s="190">
        <v>395462334.67000002</v>
      </c>
      <c r="AB10" s="190">
        <v>226082425.16</v>
      </c>
      <c r="AC10" s="190">
        <v>525703794.87</v>
      </c>
      <c r="AD10" s="190">
        <v>360996313.94</v>
      </c>
      <c r="AE10" s="190">
        <v>207486668.97999999</v>
      </c>
      <c r="AF10" s="190">
        <v>132815955.27</v>
      </c>
      <c r="AG10" s="190">
        <v>326395040.01999998</v>
      </c>
      <c r="AH10" s="190">
        <v>251034055.43000001</v>
      </c>
      <c r="AI10" s="190">
        <v>144334918.16999999</v>
      </c>
      <c r="AJ10" s="190">
        <v>76950018.909999996</v>
      </c>
      <c r="AK10" s="190">
        <v>204256013.80000001</v>
      </c>
      <c r="AL10" s="190">
        <v>143565850.69999999</v>
      </c>
      <c r="AM10" s="190">
        <v>80330397.299999997</v>
      </c>
      <c r="AN10" s="190">
        <v>60048763.189999998</v>
      </c>
      <c r="AO10" s="190">
        <v>175308426.41</v>
      </c>
      <c r="AP10" s="190">
        <v>99180949.670000002</v>
      </c>
      <c r="AQ10" s="190">
        <v>0</v>
      </c>
    </row>
    <row r="11" spans="1:43" x14ac:dyDescent="0.25">
      <c r="A11" s="190" t="s">
        <v>227</v>
      </c>
      <c r="B11" s="190">
        <v>3359116276.1399999</v>
      </c>
      <c r="C11" s="190">
        <v>2227759588.9899998</v>
      </c>
      <c r="D11" s="190">
        <v>1499866301.9000001</v>
      </c>
      <c r="E11" s="190">
        <v>3801297749.2399998</v>
      </c>
      <c r="F11" s="190">
        <v>2187848941.5500002</v>
      </c>
      <c r="G11" s="190">
        <v>1230966841.95</v>
      </c>
      <c r="H11" s="190">
        <v>579837980.25999999</v>
      </c>
      <c r="I11" s="190">
        <v>2319425793.4400001</v>
      </c>
      <c r="J11" s="190">
        <v>2000509612.72</v>
      </c>
      <c r="K11" s="190">
        <v>1141025275.3599999</v>
      </c>
      <c r="L11" s="190">
        <v>536041541.58999997</v>
      </c>
      <c r="M11" s="190">
        <v>1437029335.3900001</v>
      </c>
      <c r="N11" s="190">
        <v>1377991803.0799999</v>
      </c>
      <c r="O11" s="190">
        <v>797321844.42999995</v>
      </c>
      <c r="P11" s="190">
        <v>452267340.98000002</v>
      </c>
      <c r="Q11" s="190">
        <v>1032782470.3200001</v>
      </c>
      <c r="R11" s="190">
        <v>1072584558.9400001</v>
      </c>
      <c r="S11" s="190">
        <v>613572270.48000002</v>
      </c>
      <c r="T11" s="190">
        <v>388961452.73000002</v>
      </c>
      <c r="U11" s="190">
        <v>640750839.11000001</v>
      </c>
      <c r="V11" s="190">
        <v>633814573.57000005</v>
      </c>
      <c r="W11" s="190">
        <v>401088441.56</v>
      </c>
      <c r="X11" s="190">
        <v>157051235.30000001</v>
      </c>
      <c r="Y11" s="190">
        <v>548355408.32000005</v>
      </c>
      <c r="Z11" s="190">
        <v>495808403.44</v>
      </c>
      <c r="AA11" s="190">
        <v>202642444.97999999</v>
      </c>
      <c r="AB11" s="190">
        <v>97698527.290000007</v>
      </c>
      <c r="AC11" s="190">
        <v>387456826.94999999</v>
      </c>
      <c r="AD11" s="190">
        <v>375586136.49000001</v>
      </c>
      <c r="AE11" s="190">
        <v>229542290.83000001</v>
      </c>
      <c r="AF11" s="190">
        <v>101090004.67</v>
      </c>
      <c r="AG11" s="190">
        <v>271114114.88</v>
      </c>
      <c r="AH11" s="190">
        <v>224732694.12</v>
      </c>
      <c r="AI11" s="190">
        <v>155306612.13</v>
      </c>
      <c r="AJ11" s="190">
        <v>80189535.900000006</v>
      </c>
      <c r="AK11" s="190">
        <v>128564701.64</v>
      </c>
      <c r="AL11" s="190">
        <v>86749174.719999999</v>
      </c>
      <c r="AM11" s="190">
        <v>61245638.299999997</v>
      </c>
      <c r="AN11" s="190">
        <v>60372634.82</v>
      </c>
      <c r="AO11" s="190">
        <v>131237762.15000001</v>
      </c>
      <c r="AP11" s="190">
        <v>83719115.829999998</v>
      </c>
      <c r="AQ11" s="190">
        <v>0</v>
      </c>
    </row>
    <row r="12" spans="1:43" x14ac:dyDescent="0.25">
      <c r="A12" s="190" t="s">
        <v>228</v>
      </c>
      <c r="B12" s="190">
        <v>36800442806.25</v>
      </c>
      <c r="C12" s="190">
        <v>25955037813.52</v>
      </c>
      <c r="D12" s="190">
        <v>14574613650.82</v>
      </c>
      <c r="E12" s="190">
        <v>38030673674.779999</v>
      </c>
      <c r="F12" s="190">
        <v>29355969129.619999</v>
      </c>
      <c r="G12" s="190">
        <v>19524977067.73</v>
      </c>
      <c r="H12" s="190">
        <v>10790710164.209999</v>
      </c>
      <c r="I12" s="190">
        <v>29527415020.119999</v>
      </c>
      <c r="J12" s="190">
        <v>21117169620.939999</v>
      </c>
      <c r="K12" s="190">
        <v>13926717948.190001</v>
      </c>
      <c r="L12" s="190">
        <v>7662531178.4799995</v>
      </c>
      <c r="M12" s="190">
        <v>22087881273.419998</v>
      </c>
      <c r="N12" s="190">
        <v>16211374275.24</v>
      </c>
      <c r="O12" s="190">
        <v>10736852992.040001</v>
      </c>
      <c r="P12" s="190">
        <v>6392301084.9200001</v>
      </c>
      <c r="Q12" s="190">
        <v>14712413252.92</v>
      </c>
      <c r="R12" s="190">
        <v>10576543003.6</v>
      </c>
      <c r="S12" s="190">
        <v>6353337994.0900002</v>
      </c>
      <c r="T12" s="190">
        <v>3496941008.3800001</v>
      </c>
      <c r="U12" s="190">
        <v>9349131304.4799995</v>
      </c>
      <c r="V12" s="190">
        <v>6692236713.6400003</v>
      </c>
      <c r="W12" s="190">
        <v>4146990019.5999999</v>
      </c>
      <c r="X12" s="190">
        <v>2457778282.3400002</v>
      </c>
      <c r="Y12" s="190">
        <v>6558593302.6999998</v>
      </c>
      <c r="Z12" s="190">
        <v>4887497475.5900002</v>
      </c>
      <c r="AA12" s="190">
        <v>3205344327.6700001</v>
      </c>
      <c r="AB12" s="190">
        <v>1837965483.5899999</v>
      </c>
      <c r="AC12" s="190">
        <v>4472711164.1800003</v>
      </c>
      <c r="AD12" s="190">
        <v>3377176663.5900002</v>
      </c>
      <c r="AE12" s="190">
        <v>2049021377.22</v>
      </c>
      <c r="AF12" s="190">
        <v>1066412040.08</v>
      </c>
      <c r="AG12" s="190">
        <v>3311895835.52</v>
      </c>
      <c r="AH12" s="190">
        <v>2966202824.5700002</v>
      </c>
      <c r="AI12" s="190">
        <v>1804036560.0899999</v>
      </c>
      <c r="AJ12" s="190">
        <v>921806761.29999995</v>
      </c>
      <c r="AK12" s="190">
        <v>1797587724.97</v>
      </c>
      <c r="AL12" s="190">
        <v>1492494641.8</v>
      </c>
      <c r="AM12" s="190">
        <v>853773367.80999994</v>
      </c>
      <c r="AN12" s="190">
        <v>549883190.14999998</v>
      </c>
      <c r="AO12" s="190">
        <v>1373771901.24</v>
      </c>
      <c r="AP12" s="190">
        <v>1014665453.1799999</v>
      </c>
      <c r="AQ12" s="190">
        <v>0</v>
      </c>
    </row>
    <row r="13" spans="1:43" x14ac:dyDescent="0.25">
      <c r="A13" s="190" t="s">
        <v>229</v>
      </c>
      <c r="B13" s="190">
        <v>2646271297.5</v>
      </c>
      <c r="C13" s="190">
        <v>-1621193358</v>
      </c>
      <c r="D13" s="190">
        <v>-3856064680.5300002</v>
      </c>
      <c r="E13" s="190">
        <v>7373160250.6800003</v>
      </c>
      <c r="F13" s="190">
        <v>95849570.760000005</v>
      </c>
      <c r="G13" s="190">
        <v>-1942800802.4200001</v>
      </c>
      <c r="H13" s="190">
        <v>-3034652490.3600001</v>
      </c>
      <c r="I13" s="190">
        <v>6213692160.5600004</v>
      </c>
      <c r="J13" s="190">
        <v>1954013323.9100001</v>
      </c>
      <c r="K13" s="190">
        <v>397807256.48000002</v>
      </c>
      <c r="L13" s="190">
        <v>-1432111768.75</v>
      </c>
      <c r="M13" s="190">
        <v>3216722169.1700001</v>
      </c>
      <c r="N13" s="190">
        <v>-685185464.41999996</v>
      </c>
      <c r="O13" s="190">
        <v>-1919159126.2</v>
      </c>
      <c r="P13" s="190">
        <v>-2610480167.9499998</v>
      </c>
      <c r="Q13" s="190">
        <v>3706420782.04</v>
      </c>
      <c r="R13" s="190">
        <v>332060450.81999999</v>
      </c>
      <c r="S13" s="190">
        <v>-242521748.16</v>
      </c>
      <c r="T13" s="190">
        <v>-971831568.29999995</v>
      </c>
      <c r="U13" s="190">
        <v>1863365811.6300001</v>
      </c>
      <c r="V13" s="190">
        <v>100634494.68000001</v>
      </c>
      <c r="W13" s="190">
        <v>-202269204.16</v>
      </c>
      <c r="X13" s="190">
        <v>-668663665.37</v>
      </c>
      <c r="Y13" s="190">
        <v>1436789861.4200001</v>
      </c>
      <c r="Z13" s="190">
        <v>116950668.23</v>
      </c>
      <c r="AA13" s="190">
        <v>-166218584.12</v>
      </c>
      <c r="AB13" s="190">
        <v>-520821438.00999999</v>
      </c>
      <c r="AC13" s="190">
        <v>1170461433.24</v>
      </c>
      <c r="AD13" s="190">
        <v>-25313659.199999999</v>
      </c>
      <c r="AE13" s="190">
        <v>-23340255.57</v>
      </c>
      <c r="AF13" s="190">
        <v>-189966007.61000001</v>
      </c>
      <c r="AG13" s="190">
        <v>663926032.74000001</v>
      </c>
      <c r="AH13" s="190">
        <v>-219647789.25999999</v>
      </c>
      <c r="AI13" s="190">
        <v>-205173007.93000001</v>
      </c>
      <c r="AJ13" s="190">
        <v>-319923618.54000002</v>
      </c>
      <c r="AK13" s="190">
        <v>654000395.26999998</v>
      </c>
      <c r="AL13" s="190">
        <v>242866241.19999999</v>
      </c>
      <c r="AM13" s="190">
        <v>168225609.65000001</v>
      </c>
      <c r="AN13" s="190">
        <v>-136892888.84</v>
      </c>
      <c r="AO13" s="190">
        <v>647042066.62</v>
      </c>
      <c r="AP13" s="190">
        <v>356650987.49000001</v>
      </c>
      <c r="AQ13" s="190">
        <v>0</v>
      </c>
    </row>
    <row r="14" spans="1:43" x14ac:dyDescent="0.25">
      <c r="A14" s="190" t="s">
        <v>230</v>
      </c>
    </row>
    <row r="15" spans="1:43" x14ac:dyDescent="0.25">
      <c r="A15" s="190" t="s">
        <v>231</v>
      </c>
      <c r="B15" s="190">
        <v>4390000000</v>
      </c>
      <c r="C15" s="190">
        <v>3590000000</v>
      </c>
      <c r="D15" s="190">
        <v>150000000</v>
      </c>
      <c r="E15" s="190">
        <v>10300303620.25</v>
      </c>
      <c r="F15" s="190">
        <v>5173000000</v>
      </c>
      <c r="G15" s="190">
        <v>5173000000</v>
      </c>
      <c r="H15" s="190">
        <v>3370000000</v>
      </c>
      <c r="I15" s="190">
        <v>4989550266.4300003</v>
      </c>
      <c r="J15" s="190">
        <v>1447812000</v>
      </c>
      <c r="K15" s="190">
        <v>1200212000</v>
      </c>
      <c r="L15" s="190">
        <v>0</v>
      </c>
      <c r="M15" s="190">
        <v>2928000000</v>
      </c>
      <c r="N15" s="190">
        <v>3033000000</v>
      </c>
      <c r="O15" s="190">
        <v>2008000000</v>
      </c>
      <c r="P15" s="190">
        <v>1313000000</v>
      </c>
      <c r="Q15" s="190">
        <v>4992499865</v>
      </c>
      <c r="R15" s="190">
        <v>4230550000</v>
      </c>
      <c r="S15" s="190">
        <v>2844550000</v>
      </c>
      <c r="T15" s="190">
        <v>732000000</v>
      </c>
      <c r="U15" s="190">
        <v>300000000</v>
      </c>
      <c r="V15" s="190">
        <v>1144000000</v>
      </c>
      <c r="W15" s="190">
        <v>844000000</v>
      </c>
      <c r="X15" s="190">
        <v>0</v>
      </c>
      <c r="Y15" s="190">
        <v>0</v>
      </c>
      <c r="Z15" s="190">
        <v>0</v>
      </c>
      <c r="AA15" s="190">
        <v>0</v>
      </c>
      <c r="AB15" s="190">
        <v>0</v>
      </c>
      <c r="AC15" s="190">
        <v>0</v>
      </c>
      <c r="AD15" s="190">
        <v>0</v>
      </c>
      <c r="AE15" s="190">
        <v>0</v>
      </c>
      <c r="AF15" s="190">
        <v>0</v>
      </c>
      <c r="AG15" s="190">
        <v>0</v>
      </c>
      <c r="AH15" s="190">
        <v>0</v>
      </c>
      <c r="AI15" s="190">
        <v>0</v>
      </c>
      <c r="AJ15" s="190">
        <v>0</v>
      </c>
      <c r="AK15" s="190">
        <v>4500000</v>
      </c>
      <c r="AL15" s="190">
        <v>4500000</v>
      </c>
      <c r="AM15" s="190">
        <v>0</v>
      </c>
      <c r="AN15" s="190">
        <v>0</v>
      </c>
      <c r="AO15" s="190">
        <v>0</v>
      </c>
      <c r="AP15" s="190">
        <v>0</v>
      </c>
      <c r="AQ15" s="190">
        <v>0</v>
      </c>
    </row>
    <row r="16" spans="1:43" x14ac:dyDescent="0.25">
      <c r="A16" s="190" t="s">
        <v>232</v>
      </c>
      <c r="B16" s="190">
        <v>63310521.07</v>
      </c>
      <c r="C16" s="190">
        <v>75731655.760000005</v>
      </c>
      <c r="D16" s="190">
        <v>21561926.579999998</v>
      </c>
      <c r="E16" s="190">
        <v>31290097.010000002</v>
      </c>
      <c r="F16" s="190">
        <v>54914031.530000001</v>
      </c>
      <c r="G16" s="190">
        <v>53398372.170000002</v>
      </c>
      <c r="H16" s="190">
        <v>26573562.789999999</v>
      </c>
      <c r="I16" s="190">
        <v>48773447.479999997</v>
      </c>
      <c r="J16" s="190">
        <v>42709086.270000003</v>
      </c>
      <c r="K16" s="190">
        <v>26870969.07</v>
      </c>
      <c r="L16" s="190">
        <v>10107425.33</v>
      </c>
      <c r="M16" s="190">
        <v>148673437.25</v>
      </c>
      <c r="N16" s="190">
        <v>91192970.310000002</v>
      </c>
      <c r="O16" s="190">
        <v>77179814.150000006</v>
      </c>
      <c r="P16" s="190">
        <v>48240063.82</v>
      </c>
      <c r="Q16" s="190">
        <v>151428106.03999999</v>
      </c>
      <c r="R16" s="190">
        <v>97458189.459999993</v>
      </c>
      <c r="S16" s="190">
        <v>62133023.079999998</v>
      </c>
      <c r="T16" s="190">
        <v>2373479.4500000002</v>
      </c>
      <c r="U16" s="190">
        <v>39128924.43</v>
      </c>
      <c r="V16" s="190">
        <v>19148690.27</v>
      </c>
      <c r="W16" s="190">
        <v>13330871.720000001</v>
      </c>
      <c r="X16" s="190">
        <v>4900933.34</v>
      </c>
      <c r="Y16" s="190">
        <v>0</v>
      </c>
      <c r="Z16" s="190">
        <v>0</v>
      </c>
      <c r="AA16" s="190">
        <v>0</v>
      </c>
      <c r="AB16" s="190">
        <v>0</v>
      </c>
      <c r="AC16" s="190">
        <v>0</v>
      </c>
      <c r="AD16" s="190">
        <v>0</v>
      </c>
      <c r="AE16" s="190">
        <v>0</v>
      </c>
      <c r="AF16" s="190">
        <v>0</v>
      </c>
      <c r="AG16" s="190">
        <v>0</v>
      </c>
      <c r="AH16" s="190">
        <v>0</v>
      </c>
      <c r="AI16" s="190">
        <v>0</v>
      </c>
      <c r="AJ16" s="190">
        <v>0</v>
      </c>
      <c r="AK16" s="190">
        <v>0</v>
      </c>
      <c r="AL16" s="190">
        <v>0</v>
      </c>
      <c r="AM16" s="190">
        <v>0</v>
      </c>
      <c r="AN16" s="190">
        <v>0</v>
      </c>
      <c r="AO16" s="190">
        <v>0</v>
      </c>
      <c r="AP16" s="190">
        <v>0</v>
      </c>
      <c r="AQ16" s="190">
        <v>0</v>
      </c>
    </row>
    <row r="17" spans="1:43" x14ac:dyDescent="0.25">
      <c r="A17" s="190" t="s">
        <v>233</v>
      </c>
      <c r="B17" s="190">
        <v>7061204.25</v>
      </c>
      <c r="C17" s="190">
        <v>6667459.9699999997</v>
      </c>
      <c r="D17" s="190">
        <v>8085072.8399999999</v>
      </c>
      <c r="E17" s="190">
        <v>23086294.460000001</v>
      </c>
      <c r="F17" s="190">
        <v>16707465.48</v>
      </c>
      <c r="G17" s="190">
        <v>11061674.710000001</v>
      </c>
      <c r="H17" s="190">
        <v>2082829.96</v>
      </c>
      <c r="I17" s="190">
        <v>19404765.149999999</v>
      </c>
      <c r="J17" s="190">
        <v>335458.21999999997</v>
      </c>
      <c r="K17" s="190">
        <v>368676.75</v>
      </c>
      <c r="L17" s="190">
        <v>241199.88</v>
      </c>
      <c r="M17" s="190">
        <v>13030975.34</v>
      </c>
      <c r="N17" s="190">
        <v>3438516.44</v>
      </c>
      <c r="O17" s="190">
        <v>2223659.1</v>
      </c>
      <c r="P17" s="190">
        <v>1183018.6399999999</v>
      </c>
      <c r="Q17" s="190">
        <v>5877980.4400000004</v>
      </c>
      <c r="R17" s="190">
        <v>1377510.14</v>
      </c>
      <c r="S17" s="190">
        <v>928430.92</v>
      </c>
      <c r="T17" s="190">
        <v>1948912.06</v>
      </c>
      <c r="U17" s="190">
        <v>1284827.77</v>
      </c>
      <c r="V17" s="190">
        <v>1390847.76</v>
      </c>
      <c r="W17" s="190">
        <v>936635.86</v>
      </c>
      <c r="X17" s="190">
        <v>28791.78</v>
      </c>
      <c r="Y17" s="190">
        <v>316036.92</v>
      </c>
      <c r="Z17" s="190">
        <v>957764.69</v>
      </c>
      <c r="AA17" s="190">
        <v>118384</v>
      </c>
      <c r="AB17" s="190">
        <v>39374</v>
      </c>
      <c r="AC17" s="190">
        <v>1869644.39</v>
      </c>
      <c r="AD17" s="190">
        <v>496138.39</v>
      </c>
      <c r="AE17" s="190">
        <v>544865.18999999994</v>
      </c>
      <c r="AF17" s="190">
        <v>41855.800000000003</v>
      </c>
      <c r="AG17" s="190">
        <v>1093139.1000000001</v>
      </c>
      <c r="AH17" s="190">
        <v>150424.6</v>
      </c>
      <c r="AI17" s="190">
        <v>175846.96</v>
      </c>
      <c r="AJ17" s="190">
        <v>50578.32</v>
      </c>
      <c r="AK17" s="190">
        <v>137474</v>
      </c>
      <c r="AL17" s="190">
        <v>12941.5</v>
      </c>
      <c r="AM17" s="190">
        <v>7111.5</v>
      </c>
      <c r="AN17" s="190">
        <v>0</v>
      </c>
      <c r="AO17" s="190">
        <v>46367.71</v>
      </c>
      <c r="AP17" s="190">
        <v>119796.93</v>
      </c>
      <c r="AQ17" s="190">
        <v>0</v>
      </c>
    </row>
    <row r="18" spans="1:43" x14ac:dyDescent="0.25">
      <c r="A18" s="190" t="s">
        <v>234</v>
      </c>
      <c r="B18" s="190">
        <v>0</v>
      </c>
      <c r="C18" s="190">
        <v>0</v>
      </c>
      <c r="D18" s="190">
        <v>0</v>
      </c>
      <c r="E18" s="190">
        <v>0</v>
      </c>
      <c r="F18" s="190">
        <v>0</v>
      </c>
      <c r="G18" s="190">
        <v>0</v>
      </c>
      <c r="H18" s="190">
        <v>0</v>
      </c>
      <c r="I18" s="190">
        <v>0</v>
      </c>
      <c r="J18" s="190">
        <v>0</v>
      </c>
      <c r="K18" s="190">
        <v>0</v>
      </c>
      <c r="L18" s="190">
        <v>0</v>
      </c>
      <c r="M18" s="190">
        <v>0</v>
      </c>
      <c r="N18" s="190">
        <v>0</v>
      </c>
      <c r="O18" s="190">
        <v>0</v>
      </c>
      <c r="P18" s="190">
        <v>0</v>
      </c>
      <c r="Q18" s="190">
        <v>0</v>
      </c>
      <c r="R18" s="190">
        <v>0</v>
      </c>
      <c r="S18" s="190">
        <v>0</v>
      </c>
      <c r="T18" s="190">
        <v>0</v>
      </c>
      <c r="U18" s="190">
        <v>0</v>
      </c>
      <c r="V18" s="190">
        <v>0</v>
      </c>
      <c r="W18" s="190">
        <v>0</v>
      </c>
      <c r="X18" s="190">
        <v>0</v>
      </c>
      <c r="Y18" s="190">
        <v>0</v>
      </c>
      <c r="Z18" s="190">
        <v>0</v>
      </c>
      <c r="AA18" s="190">
        <v>0</v>
      </c>
      <c r="AB18" s="190">
        <v>0</v>
      </c>
      <c r="AC18" s="190">
        <v>0</v>
      </c>
      <c r="AD18" s="190">
        <v>0</v>
      </c>
      <c r="AE18" s="190">
        <v>0</v>
      </c>
      <c r="AF18" s="190">
        <v>0</v>
      </c>
      <c r="AG18" s="190">
        <v>0</v>
      </c>
      <c r="AH18" s="190">
        <v>0</v>
      </c>
      <c r="AI18" s="190">
        <v>0</v>
      </c>
      <c r="AJ18" s="190">
        <v>0</v>
      </c>
      <c r="AK18" s="190">
        <v>0</v>
      </c>
      <c r="AL18" s="190">
        <v>0</v>
      </c>
      <c r="AM18" s="190">
        <v>0</v>
      </c>
      <c r="AN18" s="190">
        <v>0</v>
      </c>
      <c r="AO18" s="190">
        <v>1057598.29</v>
      </c>
      <c r="AP18" s="190">
        <v>0</v>
      </c>
      <c r="AQ18" s="190">
        <v>0</v>
      </c>
    </row>
    <row r="19" spans="1:43" x14ac:dyDescent="0.25">
      <c r="A19" s="190" t="s">
        <v>235</v>
      </c>
      <c r="B19" s="190">
        <v>21501640.52</v>
      </c>
      <c r="C19" s="190">
        <v>1190562.94</v>
      </c>
      <c r="D19" s="190">
        <v>5502905.5700000003</v>
      </c>
      <c r="E19" s="190">
        <v>63364669.299999997</v>
      </c>
      <c r="F19" s="190">
        <v>3146041.25</v>
      </c>
      <c r="G19" s="190">
        <v>13100745.41</v>
      </c>
      <c r="H19" s="190">
        <v>0</v>
      </c>
      <c r="I19" s="190">
        <v>13398940.460000001</v>
      </c>
      <c r="J19" s="190">
        <v>21068035.050000001</v>
      </c>
      <c r="K19" s="190">
        <v>1595000</v>
      </c>
      <c r="L19" s="190">
        <v>0</v>
      </c>
      <c r="M19" s="190">
        <v>35996686.979999997</v>
      </c>
      <c r="N19" s="190">
        <v>9000000</v>
      </c>
      <c r="O19" s="190">
        <v>19709640.57</v>
      </c>
      <c r="P19" s="190">
        <v>0</v>
      </c>
      <c r="Q19" s="190">
        <v>21135387.800000001</v>
      </c>
      <c r="R19" s="190">
        <v>0</v>
      </c>
      <c r="S19" s="190">
        <v>0</v>
      </c>
      <c r="T19" s="190">
        <v>0</v>
      </c>
      <c r="U19" s="190">
        <v>2938613</v>
      </c>
      <c r="V19" s="190">
        <v>0</v>
      </c>
      <c r="W19" s="190">
        <v>0</v>
      </c>
      <c r="X19" s="190">
        <v>0</v>
      </c>
      <c r="Y19" s="190">
        <v>4531670</v>
      </c>
      <c r="Z19" s="190">
        <v>54998056.5</v>
      </c>
      <c r="AA19" s="190">
        <v>39448184.049999997</v>
      </c>
      <c r="AB19" s="190">
        <v>10632913.609999999</v>
      </c>
      <c r="AC19" s="190">
        <v>104549495.51000001</v>
      </c>
      <c r="AD19" s="190">
        <v>64780223.380000003</v>
      </c>
      <c r="AE19" s="190">
        <v>40843740.270000003</v>
      </c>
      <c r="AF19" s="190">
        <v>16951099.579999998</v>
      </c>
      <c r="AG19" s="190">
        <v>30888773.91</v>
      </c>
      <c r="AH19" s="190">
        <v>11047900.710000001</v>
      </c>
      <c r="AI19" s="190">
        <v>8345912.29</v>
      </c>
      <c r="AJ19" s="190">
        <v>2064922.4</v>
      </c>
      <c r="AK19" s="190">
        <v>11605392.699999999</v>
      </c>
      <c r="AL19" s="190">
        <v>6877824.8700000001</v>
      </c>
      <c r="AM19" s="190">
        <v>5301431.9800000004</v>
      </c>
      <c r="AN19" s="190">
        <v>2397210.88</v>
      </c>
      <c r="AO19" s="190">
        <v>7180239.4400000004</v>
      </c>
      <c r="AP19" s="190">
        <v>33338767.789999999</v>
      </c>
      <c r="AQ19" s="190">
        <v>0</v>
      </c>
    </row>
    <row r="20" spans="1:43" x14ac:dyDescent="0.25">
      <c r="A20" s="190" t="s">
        <v>236</v>
      </c>
      <c r="B20" s="190">
        <v>4481873365.8400002</v>
      </c>
      <c r="C20" s="190">
        <v>3673589678.6700001</v>
      </c>
      <c r="D20" s="190">
        <v>185149904.99000001</v>
      </c>
      <c r="E20" s="190">
        <v>10418044681.02</v>
      </c>
      <c r="F20" s="190">
        <v>5247767538.2600002</v>
      </c>
      <c r="G20" s="190">
        <v>5250560792.29</v>
      </c>
      <c r="H20" s="190">
        <v>3398656392.75</v>
      </c>
      <c r="I20" s="190">
        <v>5071127419.5200005</v>
      </c>
      <c r="J20" s="190">
        <v>1511924579.54</v>
      </c>
      <c r="K20" s="190">
        <v>1229046645.8199999</v>
      </c>
      <c r="L20" s="190">
        <v>10348625.210000001</v>
      </c>
      <c r="M20" s="190">
        <v>3125701099.5700002</v>
      </c>
      <c r="N20" s="190">
        <v>3136631486.75</v>
      </c>
      <c r="O20" s="190">
        <v>2107113113.8199999</v>
      </c>
      <c r="P20" s="190">
        <v>1362423082.46</v>
      </c>
      <c r="Q20" s="190">
        <v>5170941339.2799997</v>
      </c>
      <c r="R20" s="190">
        <v>4329385699.6000004</v>
      </c>
      <c r="S20" s="190">
        <v>2907611454</v>
      </c>
      <c r="T20" s="190">
        <v>736322391.50999999</v>
      </c>
      <c r="U20" s="190">
        <v>343352365.19999999</v>
      </c>
      <c r="V20" s="190">
        <v>1164539538.03</v>
      </c>
      <c r="W20" s="190">
        <v>858267507.58000004</v>
      </c>
      <c r="X20" s="190">
        <v>4929725.12</v>
      </c>
      <c r="Y20" s="190">
        <v>4847706.92</v>
      </c>
      <c r="Z20" s="190">
        <v>55955821.189999998</v>
      </c>
      <c r="AA20" s="190">
        <v>39566568.049999997</v>
      </c>
      <c r="AB20" s="190">
        <v>10672287.609999999</v>
      </c>
      <c r="AC20" s="190">
        <v>106419139.90000001</v>
      </c>
      <c r="AD20" s="190">
        <v>65276361.770000003</v>
      </c>
      <c r="AE20" s="190">
        <v>41388605.460000001</v>
      </c>
      <c r="AF20" s="190">
        <v>16992955.379999999</v>
      </c>
      <c r="AG20" s="190">
        <v>31981913.010000002</v>
      </c>
      <c r="AH20" s="190">
        <v>11198325.310000001</v>
      </c>
      <c r="AI20" s="190">
        <v>8521759.25</v>
      </c>
      <c r="AJ20" s="190">
        <v>2115500.7200000002</v>
      </c>
      <c r="AK20" s="190">
        <v>16242866.699999999</v>
      </c>
      <c r="AL20" s="190">
        <v>11390766.369999999</v>
      </c>
      <c r="AM20" s="190">
        <v>5308543.4800000004</v>
      </c>
      <c r="AN20" s="190">
        <v>2397210.88</v>
      </c>
      <c r="AO20" s="190">
        <v>8284205.4400000004</v>
      </c>
      <c r="AP20" s="190">
        <v>33458564.719999999</v>
      </c>
      <c r="AQ20" s="190">
        <v>0</v>
      </c>
    </row>
    <row r="21" spans="1:43" x14ac:dyDescent="0.25">
      <c r="A21" s="190" t="s">
        <v>237</v>
      </c>
      <c r="B21" s="190">
        <v>2045279305.0699999</v>
      </c>
      <c r="C21" s="190">
        <v>1573966251.5899999</v>
      </c>
      <c r="D21" s="190">
        <v>822308036.27999997</v>
      </c>
      <c r="E21" s="190">
        <v>1692193203.99</v>
      </c>
      <c r="F21" s="190">
        <v>985865888</v>
      </c>
      <c r="G21" s="190">
        <v>510640894.91000003</v>
      </c>
      <c r="H21" s="190">
        <v>299372863.43000001</v>
      </c>
      <c r="I21" s="190">
        <v>911376475.87</v>
      </c>
      <c r="J21" s="190">
        <v>601694744.67999995</v>
      </c>
      <c r="K21" s="190">
        <v>352490075.76999998</v>
      </c>
      <c r="L21" s="190">
        <v>224745614.88</v>
      </c>
      <c r="M21" s="190">
        <v>1330084112.5</v>
      </c>
      <c r="N21" s="190">
        <v>955163382.77999997</v>
      </c>
      <c r="O21" s="190">
        <v>557738624.16999996</v>
      </c>
      <c r="P21" s="190">
        <v>187261618.88999999</v>
      </c>
      <c r="Q21" s="190">
        <v>610826390.46000004</v>
      </c>
      <c r="R21" s="190">
        <v>455391362.50999999</v>
      </c>
      <c r="S21" s="190">
        <v>375222357.49000001</v>
      </c>
      <c r="T21" s="190">
        <v>153518294.28999999</v>
      </c>
      <c r="U21" s="190">
        <v>390907928.58999997</v>
      </c>
      <c r="V21" s="190">
        <v>209740058.03</v>
      </c>
      <c r="W21" s="190">
        <v>120579336.25</v>
      </c>
      <c r="X21" s="190">
        <v>45030251.969999999</v>
      </c>
      <c r="Y21" s="190">
        <v>479038302.31999999</v>
      </c>
      <c r="Z21" s="190">
        <v>402014562.05000001</v>
      </c>
      <c r="AA21" s="190">
        <v>174337968.31</v>
      </c>
      <c r="AB21" s="190">
        <v>33888040.259999998</v>
      </c>
      <c r="AC21" s="190">
        <v>228403056.66</v>
      </c>
      <c r="AD21" s="190">
        <v>149038646.09</v>
      </c>
      <c r="AE21" s="190">
        <v>86128129.530000001</v>
      </c>
      <c r="AF21" s="190">
        <v>32173837.960000001</v>
      </c>
      <c r="AG21" s="190">
        <v>250745057.12</v>
      </c>
      <c r="AH21" s="190">
        <v>181103774.33000001</v>
      </c>
      <c r="AI21" s="190">
        <v>114188046.38</v>
      </c>
      <c r="AJ21" s="190">
        <v>67490125.140000001</v>
      </c>
      <c r="AK21" s="190">
        <v>223375989.71000001</v>
      </c>
      <c r="AL21" s="190">
        <v>73587697.939999998</v>
      </c>
      <c r="AM21" s="190">
        <v>43334751.530000001</v>
      </c>
      <c r="AN21" s="190">
        <v>7129912.4000000004</v>
      </c>
      <c r="AO21" s="190">
        <v>45606438.979999997</v>
      </c>
      <c r="AP21" s="190">
        <v>25707501.98</v>
      </c>
      <c r="AQ21" s="190">
        <v>0</v>
      </c>
    </row>
    <row r="22" spans="1:43" x14ac:dyDescent="0.25">
      <c r="A22" s="190" t="s">
        <v>238</v>
      </c>
      <c r="B22" s="190">
        <v>1100000000</v>
      </c>
      <c r="C22" s="190">
        <v>1100000000</v>
      </c>
      <c r="D22" s="190">
        <v>1100000000</v>
      </c>
      <c r="E22" s="190">
        <v>9921049145.7199993</v>
      </c>
      <c r="F22" s="190">
        <v>1506630800</v>
      </c>
      <c r="G22" s="190">
        <v>1453000000</v>
      </c>
      <c r="H22" s="190">
        <v>0</v>
      </c>
      <c r="I22" s="190">
        <v>7335420926.25</v>
      </c>
      <c r="J22" s="190">
        <v>0</v>
      </c>
      <c r="K22" s="190">
        <v>0</v>
      </c>
      <c r="L22" s="190">
        <v>1257822000</v>
      </c>
      <c r="M22" s="190">
        <v>1870817394.24</v>
      </c>
      <c r="N22" s="190">
        <v>1719000000</v>
      </c>
      <c r="O22" s="190">
        <v>984000000</v>
      </c>
      <c r="P22" s="190">
        <v>130000000</v>
      </c>
      <c r="Q22" s="190">
        <v>5600747790.2799997</v>
      </c>
      <c r="R22" s="190">
        <v>4949411111.1099997</v>
      </c>
      <c r="S22" s="190">
        <v>3454411111.1100001</v>
      </c>
      <c r="T22" s="190">
        <v>887000000</v>
      </c>
      <c r="U22" s="190">
        <v>2252949865</v>
      </c>
      <c r="V22" s="190">
        <v>1439000000</v>
      </c>
      <c r="W22" s="190">
        <v>1439000000</v>
      </c>
      <c r="X22" s="190">
        <v>516500000</v>
      </c>
      <c r="Y22" s="190">
        <v>300000000</v>
      </c>
      <c r="Z22" s="190">
        <v>0</v>
      </c>
      <c r="AA22" s="190">
        <v>0</v>
      </c>
      <c r="AB22" s="190">
        <v>0</v>
      </c>
      <c r="AC22" s="190">
        <v>19539560.260000002</v>
      </c>
      <c r="AD22" s="190">
        <v>0</v>
      </c>
      <c r="AE22" s="190">
        <v>0</v>
      </c>
      <c r="AF22" s="190">
        <v>0</v>
      </c>
      <c r="AG22" s="190">
        <v>0</v>
      </c>
      <c r="AH22" s="190">
        <v>0</v>
      </c>
      <c r="AI22" s="190">
        <v>0</v>
      </c>
      <c r="AJ22" s="190">
        <v>0</v>
      </c>
      <c r="AK22" s="190">
        <v>0</v>
      </c>
      <c r="AL22" s="190">
        <v>0</v>
      </c>
      <c r="AM22" s="190">
        <v>0</v>
      </c>
      <c r="AN22" s="190">
        <v>0</v>
      </c>
      <c r="AO22" s="190">
        <v>11000000</v>
      </c>
      <c r="AP22" s="190">
        <v>0</v>
      </c>
      <c r="AQ22" s="190">
        <v>0</v>
      </c>
    </row>
    <row r="23" spans="1:43" x14ac:dyDescent="0.25">
      <c r="A23" s="190" t="s">
        <v>239</v>
      </c>
      <c r="B23" s="190">
        <v>31900000</v>
      </c>
      <c r="C23" s="190">
        <v>13500000</v>
      </c>
      <c r="D23" s="190">
        <v>0</v>
      </c>
      <c r="E23" s="190">
        <v>0</v>
      </c>
      <c r="F23" s="190">
        <v>98000000</v>
      </c>
      <c r="G23" s="190">
        <v>98000000</v>
      </c>
      <c r="H23" s="190">
        <v>45000000</v>
      </c>
      <c r="I23" s="190">
        <v>172473788.49000001</v>
      </c>
      <c r="J23" s="190">
        <v>172473788.49000001</v>
      </c>
      <c r="K23" s="190">
        <v>172473788.49000001</v>
      </c>
      <c r="L23" s="190">
        <v>0</v>
      </c>
      <c r="M23" s="190">
        <v>0</v>
      </c>
      <c r="N23" s="190">
        <v>0</v>
      </c>
      <c r="O23" s="190">
        <v>0</v>
      </c>
      <c r="P23" s="190">
        <v>0</v>
      </c>
      <c r="Q23" s="190">
        <v>0</v>
      </c>
      <c r="R23" s="190">
        <v>0</v>
      </c>
      <c r="S23" s="190">
        <v>0</v>
      </c>
      <c r="T23" s="190">
        <v>0</v>
      </c>
      <c r="U23" s="190">
        <v>24419188.300000001</v>
      </c>
      <c r="V23" s="190">
        <v>26919188.300000001</v>
      </c>
      <c r="W23" s="190">
        <v>26919188.300000001</v>
      </c>
      <c r="X23" s="190">
        <v>30369188.300000001</v>
      </c>
      <c r="Y23" s="190">
        <v>62173841.789999999</v>
      </c>
      <c r="Z23" s="190">
        <v>62173841.789999999</v>
      </c>
      <c r="AA23" s="190">
        <v>38698841.789999999</v>
      </c>
      <c r="AB23" s="190">
        <v>0</v>
      </c>
      <c r="AC23" s="190">
        <v>87565548.310000002</v>
      </c>
      <c r="AD23" s="190">
        <v>103619426.73999999</v>
      </c>
      <c r="AE23" s="190">
        <v>87565548.310000002</v>
      </c>
      <c r="AF23" s="190">
        <v>62582048.310000002</v>
      </c>
      <c r="AG23" s="190">
        <v>0</v>
      </c>
      <c r="AH23" s="190">
        <v>0</v>
      </c>
      <c r="AI23" s="190">
        <v>0</v>
      </c>
      <c r="AJ23" s="190">
        <v>0</v>
      </c>
      <c r="AK23" s="190">
        <v>20542480.57</v>
      </c>
      <c r="AL23" s="190">
        <v>0</v>
      </c>
      <c r="AM23" s="190">
        <v>0</v>
      </c>
      <c r="AN23" s="190">
        <v>0</v>
      </c>
      <c r="AO23" s="190">
        <v>0</v>
      </c>
      <c r="AP23" s="190">
        <v>0</v>
      </c>
      <c r="AQ23" s="190">
        <v>0</v>
      </c>
    </row>
    <row r="24" spans="1:43" x14ac:dyDescent="0.25">
      <c r="A24" s="190" t="s">
        <v>240</v>
      </c>
      <c r="B24" s="190">
        <v>8327789.1699999999</v>
      </c>
      <c r="C24" s="190">
        <v>0</v>
      </c>
      <c r="D24" s="190">
        <v>6877787.2800000003</v>
      </c>
      <c r="E24" s="190">
        <v>13500000</v>
      </c>
      <c r="F24" s="190">
        <v>0</v>
      </c>
      <c r="G24" s="190">
        <v>0</v>
      </c>
      <c r="H24" s="190">
        <v>0</v>
      </c>
      <c r="I24" s="190">
        <v>35000000</v>
      </c>
      <c r="J24" s="190">
        <v>0</v>
      </c>
      <c r="K24" s="190">
        <v>0</v>
      </c>
      <c r="L24" s="190">
        <v>0</v>
      </c>
      <c r="M24" s="190">
        <v>0</v>
      </c>
      <c r="N24" s="190">
        <v>0</v>
      </c>
      <c r="O24" s="190">
        <v>0</v>
      </c>
      <c r="P24" s="190">
        <v>0</v>
      </c>
      <c r="Q24" s="190">
        <v>0</v>
      </c>
      <c r="R24" s="190">
        <v>0</v>
      </c>
      <c r="S24" s="190">
        <v>0</v>
      </c>
      <c r="T24" s="190">
        <v>0</v>
      </c>
      <c r="U24" s="190">
        <v>45000000</v>
      </c>
      <c r="V24" s="190">
        <v>0</v>
      </c>
      <c r="W24" s="190">
        <v>0</v>
      </c>
      <c r="X24" s="190">
        <v>0</v>
      </c>
      <c r="Y24" s="190">
        <v>0</v>
      </c>
      <c r="Z24" s="190">
        <v>0</v>
      </c>
      <c r="AA24" s="190">
        <v>0</v>
      </c>
      <c r="AB24" s="190">
        <v>0</v>
      </c>
      <c r="AC24" s="190">
        <v>0</v>
      </c>
      <c r="AD24" s="190">
        <v>0</v>
      </c>
      <c r="AE24" s="190">
        <v>0</v>
      </c>
      <c r="AF24" s="190">
        <v>0</v>
      </c>
      <c r="AG24" s="190">
        <v>0</v>
      </c>
      <c r="AH24" s="190">
        <v>0</v>
      </c>
      <c r="AI24" s="190">
        <v>0</v>
      </c>
      <c r="AJ24" s="190">
        <v>0</v>
      </c>
      <c r="AK24" s="190">
        <v>0</v>
      </c>
      <c r="AL24" s="190">
        <v>0</v>
      </c>
      <c r="AM24" s="190">
        <v>0</v>
      </c>
      <c r="AN24" s="190">
        <v>0</v>
      </c>
      <c r="AO24" s="190">
        <v>0</v>
      </c>
      <c r="AP24" s="190">
        <v>15000000</v>
      </c>
      <c r="AQ24" s="190">
        <v>0</v>
      </c>
    </row>
    <row r="25" spans="1:43" x14ac:dyDescent="0.25">
      <c r="A25" s="190" t="s">
        <v>241</v>
      </c>
      <c r="B25" s="190">
        <v>3185507094.2399998</v>
      </c>
      <c r="C25" s="190">
        <v>2687466251.5900002</v>
      </c>
      <c r="D25" s="190">
        <v>1929185823.5599999</v>
      </c>
      <c r="E25" s="190">
        <v>11626742349.709999</v>
      </c>
      <c r="F25" s="190">
        <v>2590496688</v>
      </c>
      <c r="G25" s="190">
        <v>2061640894.9100001</v>
      </c>
      <c r="H25" s="190">
        <v>344372863.43000001</v>
      </c>
      <c r="I25" s="190">
        <v>8454271190.6099997</v>
      </c>
      <c r="J25" s="190">
        <v>774168533.16999996</v>
      </c>
      <c r="K25" s="190">
        <v>524963864.25999999</v>
      </c>
      <c r="L25" s="190">
        <v>1482567614.8800001</v>
      </c>
      <c r="M25" s="190">
        <v>3200901506.7399998</v>
      </c>
      <c r="N25" s="190">
        <v>2674163382.7800002</v>
      </c>
      <c r="O25" s="190">
        <v>1541738624.1700001</v>
      </c>
      <c r="P25" s="190">
        <v>317261618.88999999</v>
      </c>
      <c r="Q25" s="190">
        <v>6211574180.7399998</v>
      </c>
      <c r="R25" s="190">
        <v>5404802473.6199999</v>
      </c>
      <c r="S25" s="190">
        <v>3829633468.5999999</v>
      </c>
      <c r="T25" s="190">
        <v>1040518294.29</v>
      </c>
      <c r="U25" s="190">
        <v>2713276981.8899999</v>
      </c>
      <c r="V25" s="190">
        <v>1675659246.3299999</v>
      </c>
      <c r="W25" s="190">
        <v>1586498524.55</v>
      </c>
      <c r="X25" s="190">
        <v>591899440.26999998</v>
      </c>
      <c r="Y25" s="190">
        <v>841212144.11000001</v>
      </c>
      <c r="Z25" s="190">
        <v>464188403.83999997</v>
      </c>
      <c r="AA25" s="190">
        <v>213036810.09999999</v>
      </c>
      <c r="AB25" s="190">
        <v>33888040.259999998</v>
      </c>
      <c r="AC25" s="190">
        <v>335508165.23000002</v>
      </c>
      <c r="AD25" s="190">
        <v>252658072.83000001</v>
      </c>
      <c r="AE25" s="190">
        <v>173693677.84</v>
      </c>
      <c r="AF25" s="190">
        <v>94755886.269999996</v>
      </c>
      <c r="AG25" s="190">
        <v>250745057.12</v>
      </c>
      <c r="AH25" s="190">
        <v>181103774.33000001</v>
      </c>
      <c r="AI25" s="190">
        <v>114188046.38</v>
      </c>
      <c r="AJ25" s="190">
        <v>67490125.140000001</v>
      </c>
      <c r="AK25" s="190">
        <v>243918470.28</v>
      </c>
      <c r="AL25" s="190">
        <v>73587697.939999998</v>
      </c>
      <c r="AM25" s="190">
        <v>43334751.530000001</v>
      </c>
      <c r="AN25" s="190">
        <v>7129912.4000000004</v>
      </c>
      <c r="AO25" s="190">
        <v>56606438.979999997</v>
      </c>
      <c r="AP25" s="190">
        <v>40707501.979999997</v>
      </c>
      <c r="AQ25" s="190">
        <v>0</v>
      </c>
    </row>
    <row r="26" spans="1:43" x14ac:dyDescent="0.25">
      <c r="A26" s="190" t="s">
        <v>242</v>
      </c>
      <c r="B26" s="190">
        <v>1296366271.5999999</v>
      </c>
      <c r="C26" s="190">
        <v>986123427.08000004</v>
      </c>
      <c r="D26" s="190">
        <v>-1744035918.5699999</v>
      </c>
      <c r="E26" s="190">
        <v>-1208697668.6900001</v>
      </c>
      <c r="F26" s="190">
        <v>2657270850.2600002</v>
      </c>
      <c r="G26" s="190">
        <v>3188919897.3800001</v>
      </c>
      <c r="H26" s="190">
        <v>3054283529.3200002</v>
      </c>
      <c r="I26" s="190">
        <v>-3383143771.0900002</v>
      </c>
      <c r="J26" s="190">
        <v>737756046.37</v>
      </c>
      <c r="K26" s="190">
        <v>704082781.55999994</v>
      </c>
      <c r="L26" s="190">
        <v>-1472218989.6700001</v>
      </c>
      <c r="M26" s="190">
        <v>-75200407.170000002</v>
      </c>
      <c r="N26" s="190">
        <v>462468103.97000003</v>
      </c>
      <c r="O26" s="190">
        <v>565374489.64999998</v>
      </c>
      <c r="P26" s="190">
        <v>1045161463.5700001</v>
      </c>
      <c r="Q26" s="190">
        <v>-1040632841.46</v>
      </c>
      <c r="R26" s="190">
        <v>-1075416774.02</v>
      </c>
      <c r="S26" s="190">
        <v>-922022014.60000002</v>
      </c>
      <c r="T26" s="190">
        <v>-304195902.77999997</v>
      </c>
      <c r="U26" s="190">
        <v>-2369924616.6900001</v>
      </c>
      <c r="V26" s="190">
        <v>-511119708.30000001</v>
      </c>
      <c r="W26" s="190">
        <v>-728231016.97000003</v>
      </c>
      <c r="X26" s="190">
        <v>-586969715.14999998</v>
      </c>
      <c r="Y26" s="190">
        <v>-836364437.19000006</v>
      </c>
      <c r="Z26" s="190">
        <v>-408232582.64999998</v>
      </c>
      <c r="AA26" s="190">
        <v>-173470242.05000001</v>
      </c>
      <c r="AB26" s="190">
        <v>-23215752.649999999</v>
      </c>
      <c r="AC26" s="190">
        <v>-229089025.33000001</v>
      </c>
      <c r="AD26" s="190">
        <v>-187381711.06</v>
      </c>
      <c r="AE26" s="190">
        <v>-132305072.38</v>
      </c>
      <c r="AF26" s="190">
        <v>-77762930.890000001</v>
      </c>
      <c r="AG26" s="190">
        <v>-218763144.11000001</v>
      </c>
      <c r="AH26" s="190">
        <v>-169905449.02000001</v>
      </c>
      <c r="AI26" s="190">
        <v>-105666287.13</v>
      </c>
      <c r="AJ26" s="190">
        <v>-65374624.420000002</v>
      </c>
      <c r="AK26" s="190">
        <v>-227675603.58000001</v>
      </c>
      <c r="AL26" s="190">
        <v>-62196931.57</v>
      </c>
      <c r="AM26" s="190">
        <v>-38026208.049999997</v>
      </c>
      <c r="AN26" s="190">
        <v>-4732701.5199999996</v>
      </c>
      <c r="AO26" s="190">
        <v>-48322233.539999999</v>
      </c>
      <c r="AP26" s="190">
        <v>-7248937.2599999998</v>
      </c>
      <c r="AQ26" s="190">
        <v>0</v>
      </c>
    </row>
    <row r="27" spans="1:43" x14ac:dyDescent="0.25">
      <c r="A27" s="190" t="s">
        <v>243</v>
      </c>
    </row>
    <row r="28" spans="1:43" x14ac:dyDescent="0.25">
      <c r="A28" s="190" t="s">
        <v>244</v>
      </c>
      <c r="B28" s="190">
        <v>93009000</v>
      </c>
      <c r="C28" s="190">
        <v>12289000</v>
      </c>
      <c r="D28" s="190">
        <v>127400</v>
      </c>
      <c r="E28" s="190">
        <v>92089826.670000002</v>
      </c>
      <c r="F28" s="190">
        <v>62024653.200000003</v>
      </c>
      <c r="G28" s="190">
        <v>0</v>
      </c>
      <c r="H28" s="190">
        <v>0</v>
      </c>
      <c r="I28" s="190">
        <v>247269466.66</v>
      </c>
      <c r="J28" s="190">
        <v>97768537.959999993</v>
      </c>
      <c r="K28" s="190">
        <v>0</v>
      </c>
      <c r="L28" s="190">
        <v>5695283.1799999997</v>
      </c>
      <c r="M28" s="190">
        <v>0</v>
      </c>
      <c r="N28" s="190">
        <v>0</v>
      </c>
      <c r="O28" s="190">
        <v>0</v>
      </c>
      <c r="P28" s="190">
        <v>0</v>
      </c>
      <c r="Q28" s="190">
        <v>489418258.5</v>
      </c>
      <c r="R28" s="190">
        <v>0</v>
      </c>
      <c r="S28" s="190">
        <v>0</v>
      </c>
      <c r="T28" s="190">
        <v>0</v>
      </c>
      <c r="U28" s="190">
        <v>2450000</v>
      </c>
      <c r="V28" s="190">
        <v>0</v>
      </c>
      <c r="W28" s="190">
        <v>0</v>
      </c>
      <c r="X28" s="190">
        <v>0</v>
      </c>
      <c r="Y28" s="190">
        <v>91713657.150000006</v>
      </c>
      <c r="Z28" s="190">
        <v>91713657.150000006</v>
      </c>
      <c r="AA28" s="190">
        <v>0</v>
      </c>
      <c r="AB28" s="190">
        <v>0</v>
      </c>
      <c r="AC28" s="190">
        <v>2450000</v>
      </c>
      <c r="AD28" s="190">
        <v>2450000</v>
      </c>
      <c r="AE28" s="190">
        <v>0</v>
      </c>
      <c r="AF28" s="190">
        <v>0</v>
      </c>
      <c r="AG28" s="190">
        <v>3348000000</v>
      </c>
      <c r="AH28" s="190">
        <v>3337521050</v>
      </c>
      <c r="AI28" s="190">
        <v>3337521050</v>
      </c>
      <c r="AJ28" s="190">
        <v>0</v>
      </c>
      <c r="AK28" s="190">
        <v>1148263.2</v>
      </c>
      <c r="AL28" s="190">
        <v>1148229.6000000001</v>
      </c>
      <c r="AM28" s="190">
        <v>1148229.6000000001</v>
      </c>
      <c r="AN28" s="190">
        <v>0</v>
      </c>
      <c r="AO28" s="190">
        <v>26529315.600000001</v>
      </c>
      <c r="AP28" s="190">
        <v>0</v>
      </c>
      <c r="AQ28" s="190">
        <v>0</v>
      </c>
    </row>
    <row r="29" spans="1:43" x14ac:dyDescent="0.25">
      <c r="A29" s="190" t="s">
        <v>245</v>
      </c>
      <c r="B29" s="190">
        <v>93009000</v>
      </c>
      <c r="C29" s="190">
        <v>12289000</v>
      </c>
      <c r="D29" s="190">
        <v>0</v>
      </c>
      <c r="E29" s="190">
        <v>92089826.670000002</v>
      </c>
      <c r="F29" s="190">
        <v>0</v>
      </c>
      <c r="G29" s="190">
        <v>0</v>
      </c>
      <c r="H29" s="190">
        <v>0</v>
      </c>
      <c r="I29" s="190">
        <v>247269466.66</v>
      </c>
      <c r="J29" s="190">
        <v>0</v>
      </c>
      <c r="K29" s="190">
        <v>0</v>
      </c>
      <c r="L29" s="190">
        <v>5695283.1799999997</v>
      </c>
      <c r="M29" s="190">
        <v>0</v>
      </c>
      <c r="N29" s="190">
        <v>0</v>
      </c>
      <c r="O29" s="190">
        <v>0</v>
      </c>
      <c r="P29" s="190">
        <v>0</v>
      </c>
      <c r="Q29" s="190">
        <v>0</v>
      </c>
      <c r="R29" s="190">
        <v>0</v>
      </c>
      <c r="S29" s="190">
        <v>0</v>
      </c>
      <c r="T29" s="190">
        <v>0</v>
      </c>
      <c r="U29" s="190">
        <v>2450000</v>
      </c>
      <c r="V29" s="190">
        <v>0</v>
      </c>
      <c r="W29" s="190">
        <v>0</v>
      </c>
      <c r="X29" s="190">
        <v>0</v>
      </c>
      <c r="Y29" s="190">
        <v>0</v>
      </c>
      <c r="Z29" s="190">
        <v>0</v>
      </c>
      <c r="AA29" s="190">
        <v>0</v>
      </c>
      <c r="AB29" s="190">
        <v>0</v>
      </c>
      <c r="AC29" s="190">
        <v>2450000</v>
      </c>
      <c r="AD29" s="190">
        <v>2450000</v>
      </c>
      <c r="AE29" s="190">
        <v>0</v>
      </c>
      <c r="AF29" s="190">
        <v>0</v>
      </c>
      <c r="AG29" s="190">
        <v>0</v>
      </c>
      <c r="AH29" s="190">
        <v>0</v>
      </c>
      <c r="AI29" s="190">
        <v>0</v>
      </c>
      <c r="AJ29" s="190">
        <v>0</v>
      </c>
      <c r="AK29" s="190">
        <v>1148263.2</v>
      </c>
      <c r="AL29" s="190">
        <v>1148229.6000000001</v>
      </c>
      <c r="AM29" s="190">
        <v>1148229.6000000001</v>
      </c>
      <c r="AN29" s="190">
        <v>0</v>
      </c>
      <c r="AO29" s="190">
        <v>0</v>
      </c>
      <c r="AP29" s="190">
        <v>0</v>
      </c>
      <c r="AQ29" s="190">
        <v>0</v>
      </c>
    </row>
    <row r="30" spans="1:43" x14ac:dyDescent="0.25">
      <c r="A30" s="190" t="s">
        <v>246</v>
      </c>
      <c r="B30" s="190">
        <v>6848374132.1800003</v>
      </c>
      <c r="C30" s="190">
        <v>3982689336.9400001</v>
      </c>
      <c r="D30" s="190">
        <v>1419781375.02</v>
      </c>
      <c r="E30" s="190">
        <v>3550599109.3899999</v>
      </c>
      <c r="F30" s="190">
        <v>5437295986.4300003</v>
      </c>
      <c r="G30" s="190">
        <v>4938568095.0600004</v>
      </c>
      <c r="H30" s="190">
        <v>4362038129.8699999</v>
      </c>
      <c r="I30" s="190">
        <v>4668904940.1700001</v>
      </c>
      <c r="J30" s="190">
        <v>3878463176.04</v>
      </c>
      <c r="K30" s="190">
        <v>2645807093.4699998</v>
      </c>
      <c r="L30" s="190">
        <v>1862310638.4000001</v>
      </c>
      <c r="M30" s="190">
        <v>2790211998.6900001</v>
      </c>
      <c r="N30" s="190">
        <v>3413681126.0500002</v>
      </c>
      <c r="O30" s="190">
        <v>2846405329.23</v>
      </c>
      <c r="P30" s="190">
        <v>685951871.02999997</v>
      </c>
      <c r="Q30" s="190">
        <v>3375084617.54</v>
      </c>
      <c r="R30" s="190">
        <v>2606171006</v>
      </c>
      <c r="S30" s="190">
        <v>1739857722.3199999</v>
      </c>
      <c r="T30" s="190">
        <v>745249163.13</v>
      </c>
      <c r="U30" s="190">
        <v>594891409.22000003</v>
      </c>
      <c r="V30" s="190">
        <v>270624980.27999997</v>
      </c>
      <c r="W30" s="190">
        <v>128168250.59999999</v>
      </c>
      <c r="X30" s="190">
        <v>86004909.25</v>
      </c>
      <c r="Y30" s="190">
        <v>0</v>
      </c>
      <c r="Z30" s="190">
        <v>0</v>
      </c>
      <c r="AA30" s="190">
        <v>0</v>
      </c>
      <c r="AB30" s="190">
        <v>0</v>
      </c>
      <c r="AC30" s="190">
        <v>0</v>
      </c>
      <c r="AD30" s="190">
        <v>0</v>
      </c>
      <c r="AE30" s="190">
        <v>0</v>
      </c>
      <c r="AF30" s="190">
        <v>0</v>
      </c>
      <c r="AG30" s="190">
        <v>0</v>
      </c>
      <c r="AH30" s="190">
        <v>0</v>
      </c>
      <c r="AI30" s="190">
        <v>0</v>
      </c>
      <c r="AJ30" s="190">
        <v>0</v>
      </c>
      <c r="AK30" s="190">
        <v>56374000</v>
      </c>
      <c r="AL30" s="190">
        <v>27374000</v>
      </c>
      <c r="AM30" s="190">
        <v>27374000</v>
      </c>
      <c r="AN30" s="190">
        <v>0</v>
      </c>
      <c r="AO30" s="190">
        <v>0</v>
      </c>
      <c r="AP30" s="190">
        <v>45000000</v>
      </c>
      <c r="AQ30" s="190">
        <v>0</v>
      </c>
    </row>
    <row r="31" spans="1:43" x14ac:dyDescent="0.25">
      <c r="A31" s="190" t="s">
        <v>247</v>
      </c>
      <c r="B31" s="190">
        <v>0</v>
      </c>
      <c r="C31" s="190">
        <v>0</v>
      </c>
      <c r="D31" s="190">
        <v>0</v>
      </c>
      <c r="E31" s="190">
        <v>0</v>
      </c>
      <c r="F31" s="190">
        <v>0</v>
      </c>
      <c r="G31" s="190">
        <v>0</v>
      </c>
      <c r="H31" s="190">
        <v>0</v>
      </c>
      <c r="I31" s="190">
        <v>2903120000</v>
      </c>
      <c r="J31" s="190">
        <v>2995200000</v>
      </c>
      <c r="K31" s="190">
        <v>2950000000</v>
      </c>
      <c r="L31" s="190">
        <v>2932480000</v>
      </c>
      <c r="M31" s="190">
        <v>0</v>
      </c>
      <c r="N31" s="190">
        <v>0</v>
      </c>
      <c r="O31" s="190">
        <v>0</v>
      </c>
      <c r="P31" s="190">
        <v>0</v>
      </c>
      <c r="Q31" s="190">
        <v>0</v>
      </c>
      <c r="R31" s="190">
        <v>0</v>
      </c>
      <c r="S31" s="190">
        <v>0</v>
      </c>
      <c r="T31" s="190">
        <v>0</v>
      </c>
      <c r="U31" s="190">
        <v>0</v>
      </c>
      <c r="V31" s="190">
        <v>0</v>
      </c>
      <c r="W31" s="190">
        <v>0</v>
      </c>
      <c r="X31" s="190">
        <v>0</v>
      </c>
      <c r="Y31" s="190">
        <v>0</v>
      </c>
      <c r="Z31" s="190">
        <v>0</v>
      </c>
      <c r="AA31" s="190">
        <v>0</v>
      </c>
      <c r="AB31" s="190">
        <v>0</v>
      </c>
      <c r="AC31" s="190">
        <v>0</v>
      </c>
      <c r="AD31" s="190">
        <v>0</v>
      </c>
      <c r="AE31" s="190">
        <v>0</v>
      </c>
      <c r="AF31" s="190">
        <v>0</v>
      </c>
      <c r="AG31" s="190">
        <v>0</v>
      </c>
      <c r="AH31" s="190">
        <v>0</v>
      </c>
      <c r="AI31" s="190">
        <v>0</v>
      </c>
      <c r="AJ31" s="190">
        <v>0</v>
      </c>
      <c r="AK31" s="190">
        <v>0</v>
      </c>
      <c r="AL31" s="190">
        <v>0</v>
      </c>
      <c r="AM31" s="190">
        <v>0</v>
      </c>
      <c r="AN31" s="190">
        <v>0</v>
      </c>
      <c r="AO31" s="190">
        <v>0</v>
      </c>
      <c r="AP31" s="190">
        <v>0</v>
      </c>
      <c r="AQ31" s="190">
        <v>0</v>
      </c>
    </row>
    <row r="32" spans="1:43" x14ac:dyDescent="0.25">
      <c r="A32" s="190" t="s">
        <v>248</v>
      </c>
      <c r="B32" s="190">
        <v>0</v>
      </c>
      <c r="C32" s="190">
        <v>0</v>
      </c>
      <c r="D32" s="190">
        <v>0</v>
      </c>
      <c r="E32" s="190">
        <v>0</v>
      </c>
      <c r="F32" s="190">
        <v>1492209115.48</v>
      </c>
      <c r="G32" s="190">
        <v>1061515931.39</v>
      </c>
      <c r="H32" s="190">
        <v>437630760.68000001</v>
      </c>
      <c r="I32" s="190">
        <v>660888216.53999996</v>
      </c>
      <c r="J32" s="190">
        <v>1258376312.1400001</v>
      </c>
      <c r="K32" s="190">
        <v>1258376312.1400001</v>
      </c>
      <c r="L32" s="190">
        <v>685007227.46000004</v>
      </c>
      <c r="M32" s="190">
        <v>4000000</v>
      </c>
      <c r="N32" s="190">
        <v>175468647.56</v>
      </c>
      <c r="O32" s="190">
        <v>133477678.22</v>
      </c>
      <c r="P32" s="190">
        <v>0</v>
      </c>
      <c r="Q32" s="190">
        <v>0</v>
      </c>
      <c r="R32" s="190">
        <v>120612853.33</v>
      </c>
      <c r="S32" s="190">
        <v>1929847.63</v>
      </c>
      <c r="T32" s="190">
        <v>111583.11</v>
      </c>
      <c r="U32" s="190">
        <v>0</v>
      </c>
      <c r="V32" s="190">
        <v>0</v>
      </c>
      <c r="W32" s="190">
        <v>0</v>
      </c>
      <c r="X32" s="190">
        <v>0</v>
      </c>
      <c r="Y32" s="190">
        <v>0</v>
      </c>
      <c r="Z32" s="190">
        <v>0</v>
      </c>
      <c r="AA32" s="190">
        <v>0</v>
      </c>
      <c r="AB32" s="190">
        <v>0</v>
      </c>
      <c r="AC32" s="190">
        <v>3000000</v>
      </c>
      <c r="AD32" s="190">
        <v>473618.6</v>
      </c>
      <c r="AE32" s="190">
        <v>543618.80000000005</v>
      </c>
      <c r="AF32" s="190">
        <v>543618.80000000005</v>
      </c>
      <c r="AG32" s="190">
        <v>27377200</v>
      </c>
      <c r="AH32" s="190">
        <v>27826545.199999999</v>
      </c>
      <c r="AI32" s="190">
        <v>27824968.149999999</v>
      </c>
      <c r="AJ32" s="190">
        <v>447768.15</v>
      </c>
      <c r="AK32" s="190">
        <v>0</v>
      </c>
      <c r="AL32" s="190">
        <v>0</v>
      </c>
      <c r="AM32" s="190">
        <v>0</v>
      </c>
      <c r="AN32" s="190">
        <v>20000</v>
      </c>
      <c r="AO32" s="190">
        <v>28300000</v>
      </c>
      <c r="AP32" s="190">
        <v>0</v>
      </c>
      <c r="AQ32" s="190">
        <v>0</v>
      </c>
    </row>
    <row r="33" spans="1:43" x14ac:dyDescent="0.25">
      <c r="A33" s="190" t="s">
        <v>249</v>
      </c>
      <c r="B33" s="190">
        <v>6941383132.1800003</v>
      </c>
      <c r="C33" s="190">
        <v>3994978336.9400001</v>
      </c>
      <c r="D33" s="190">
        <v>1419908775.02</v>
      </c>
      <c r="E33" s="190">
        <v>3642688936.0599999</v>
      </c>
      <c r="F33" s="190">
        <v>6991529755.1099997</v>
      </c>
      <c r="G33" s="190">
        <v>6000084026.4499998</v>
      </c>
      <c r="H33" s="190">
        <v>4799668890.5500002</v>
      </c>
      <c r="I33" s="190">
        <v>8480182623.3699999</v>
      </c>
      <c r="J33" s="190">
        <v>8229808026.1400003</v>
      </c>
      <c r="K33" s="190">
        <v>6854183405.6099997</v>
      </c>
      <c r="L33" s="190">
        <v>5485493149.04</v>
      </c>
      <c r="M33" s="190">
        <v>2794211998.6900001</v>
      </c>
      <c r="N33" s="190">
        <v>3589149773.6100001</v>
      </c>
      <c r="O33" s="190">
        <v>2979883007.4499998</v>
      </c>
      <c r="P33" s="190">
        <v>685951871.02999997</v>
      </c>
      <c r="Q33" s="190">
        <v>3864502876.04</v>
      </c>
      <c r="R33" s="190">
        <v>2726783859.3299999</v>
      </c>
      <c r="S33" s="190">
        <v>1741787569.95</v>
      </c>
      <c r="T33" s="190">
        <v>745360746.24000001</v>
      </c>
      <c r="U33" s="190">
        <v>597341409.22000003</v>
      </c>
      <c r="V33" s="190">
        <v>270624980.27999997</v>
      </c>
      <c r="W33" s="190">
        <v>128168250.59999999</v>
      </c>
      <c r="X33" s="190">
        <v>86004909.25</v>
      </c>
      <c r="Y33" s="190">
        <v>91713657.150000006</v>
      </c>
      <c r="Z33" s="190">
        <v>91713657.150000006</v>
      </c>
      <c r="AA33" s="190">
        <v>0</v>
      </c>
      <c r="AB33" s="190">
        <v>0</v>
      </c>
      <c r="AC33" s="190">
        <v>5450000</v>
      </c>
      <c r="AD33" s="190">
        <v>2923618.6</v>
      </c>
      <c r="AE33" s="190">
        <v>543618.80000000005</v>
      </c>
      <c r="AF33" s="190">
        <v>543618.80000000005</v>
      </c>
      <c r="AG33" s="190">
        <v>3375377200</v>
      </c>
      <c r="AH33" s="190">
        <v>3365347595.1999998</v>
      </c>
      <c r="AI33" s="190">
        <v>3365346018.1500001</v>
      </c>
      <c r="AJ33" s="190">
        <v>447768.15</v>
      </c>
      <c r="AK33" s="190">
        <v>57522263.200000003</v>
      </c>
      <c r="AL33" s="190">
        <v>28522229.600000001</v>
      </c>
      <c r="AM33" s="190">
        <v>28522229.600000001</v>
      </c>
      <c r="AN33" s="190">
        <v>20000</v>
      </c>
      <c r="AO33" s="190">
        <v>54829315.600000001</v>
      </c>
      <c r="AP33" s="190">
        <v>45000000</v>
      </c>
      <c r="AQ33" s="190">
        <v>0</v>
      </c>
    </row>
    <row r="34" spans="1:43" x14ac:dyDescent="0.25">
      <c r="A34" s="190" t="s">
        <v>250</v>
      </c>
      <c r="B34" s="190">
        <v>4796975777.0500002</v>
      </c>
      <c r="C34" s="190">
        <v>1726234534.3099999</v>
      </c>
      <c r="D34" s="190">
        <v>304081731.11000001</v>
      </c>
      <c r="E34" s="190">
        <v>3205532364.1300001</v>
      </c>
      <c r="F34" s="190">
        <v>4559910249.5299997</v>
      </c>
      <c r="G34" s="190">
        <v>2723867188.71</v>
      </c>
      <c r="H34" s="190">
        <v>1700387852.71</v>
      </c>
      <c r="I34" s="190">
        <v>5104870545.0600004</v>
      </c>
      <c r="J34" s="190">
        <v>4676886269.2200003</v>
      </c>
      <c r="K34" s="190">
        <v>3744679765.3699999</v>
      </c>
      <c r="L34" s="190">
        <v>2581972280.9899998</v>
      </c>
      <c r="M34" s="190">
        <v>1258504731.78</v>
      </c>
      <c r="N34" s="190">
        <v>1762089129.73</v>
      </c>
      <c r="O34" s="190">
        <v>745349201.28999996</v>
      </c>
      <c r="P34" s="190">
        <v>161894931.87</v>
      </c>
      <c r="Q34" s="190">
        <v>2948806426.6300001</v>
      </c>
      <c r="R34" s="190">
        <v>1926155594.5899999</v>
      </c>
      <c r="S34" s="190">
        <v>1056740892.29</v>
      </c>
      <c r="T34" s="190">
        <v>302212662.76999998</v>
      </c>
      <c r="U34" s="190">
        <v>414091611.01999998</v>
      </c>
      <c r="V34" s="190">
        <v>157329916.69999999</v>
      </c>
      <c r="W34" s="190">
        <v>86417085.930000007</v>
      </c>
      <c r="X34" s="190">
        <v>0</v>
      </c>
      <c r="Y34" s="190">
        <v>0</v>
      </c>
      <c r="Z34" s="190">
        <v>0</v>
      </c>
      <c r="AA34" s="190">
        <v>0</v>
      </c>
      <c r="AB34" s="190">
        <v>0</v>
      </c>
      <c r="AC34" s="190">
        <v>29646364.120000001</v>
      </c>
      <c r="AD34" s="190">
        <v>617666.18999999994</v>
      </c>
      <c r="AE34" s="190">
        <v>66195.73</v>
      </c>
      <c r="AF34" s="190">
        <v>0</v>
      </c>
      <c r="AG34" s="190">
        <v>27374000</v>
      </c>
      <c r="AH34" s="190">
        <v>27374000</v>
      </c>
      <c r="AI34" s="190">
        <v>27374000</v>
      </c>
      <c r="AJ34" s="190">
        <v>0</v>
      </c>
      <c r="AK34" s="190">
        <v>0</v>
      </c>
      <c r="AL34" s="190">
        <v>0</v>
      </c>
      <c r="AM34" s="190">
        <v>0</v>
      </c>
      <c r="AN34" s="190">
        <v>0</v>
      </c>
      <c r="AO34" s="190">
        <v>45000000</v>
      </c>
      <c r="AP34" s="190">
        <v>0</v>
      </c>
      <c r="AQ34" s="190">
        <v>0</v>
      </c>
    </row>
    <row r="35" spans="1:43" x14ac:dyDescent="0.25">
      <c r="A35" s="190" t="s">
        <v>552</v>
      </c>
      <c r="B35" s="190">
        <v>4744090779.7399998</v>
      </c>
      <c r="C35" s="190">
        <v>4687814879.75</v>
      </c>
      <c r="D35" s="190">
        <v>91048231.170000002</v>
      </c>
      <c r="E35" s="190">
        <v>3800451724.8000002</v>
      </c>
      <c r="F35" s="190">
        <v>3793627103.5900002</v>
      </c>
      <c r="G35" s="190">
        <v>3755681574.8000002</v>
      </c>
      <c r="H35" s="190">
        <v>55318063.07</v>
      </c>
      <c r="I35" s="190">
        <v>2930913722.75</v>
      </c>
      <c r="J35" s="190">
        <v>2893051375.9099998</v>
      </c>
      <c r="K35" s="190">
        <v>2873234849.2199998</v>
      </c>
      <c r="L35" s="190">
        <v>31423195.350000001</v>
      </c>
      <c r="M35" s="190">
        <v>1652404056.8</v>
      </c>
      <c r="N35" s="190">
        <v>1624279986.22</v>
      </c>
      <c r="O35" s="190">
        <v>1613594534.8599999</v>
      </c>
      <c r="P35" s="190">
        <v>2303039.46</v>
      </c>
      <c r="Q35" s="190">
        <v>1029796867.17</v>
      </c>
      <c r="R35" s="190">
        <v>1022557030.3200001</v>
      </c>
      <c r="S35" s="190">
        <v>16689396.630000001</v>
      </c>
      <c r="T35" s="190">
        <v>1688567.15</v>
      </c>
      <c r="U35" s="190">
        <v>602247274.08000004</v>
      </c>
      <c r="V35" s="190">
        <v>600910107.42999995</v>
      </c>
      <c r="W35" s="190">
        <v>0</v>
      </c>
      <c r="X35" s="190">
        <v>75130.97</v>
      </c>
      <c r="Y35" s="190">
        <v>400000000</v>
      </c>
      <c r="Z35" s="190">
        <v>400000000</v>
      </c>
      <c r="AA35" s="190">
        <v>311600000</v>
      </c>
      <c r="AB35" s="190">
        <v>0</v>
      </c>
      <c r="AC35" s="190">
        <v>301480542.44999999</v>
      </c>
      <c r="AD35" s="190">
        <v>301221807.06999999</v>
      </c>
      <c r="AE35" s="190">
        <v>300834869.44</v>
      </c>
      <c r="AF35" s="190">
        <v>427039.5</v>
      </c>
      <c r="AG35" s="190">
        <v>251999949.55000001</v>
      </c>
      <c r="AH35" s="190">
        <v>251623890.05000001</v>
      </c>
      <c r="AI35" s="190">
        <v>863510.05</v>
      </c>
      <c r="AJ35" s="190">
        <v>371925</v>
      </c>
      <c r="AK35" s="190">
        <v>180219022.5</v>
      </c>
      <c r="AL35" s="190">
        <v>180000000</v>
      </c>
      <c r="AM35" s="190">
        <v>180000000</v>
      </c>
      <c r="AN35" s="190">
        <v>121410000</v>
      </c>
      <c r="AO35" s="190">
        <v>183337687.06999999</v>
      </c>
      <c r="AP35" s="190">
        <v>124817050</v>
      </c>
      <c r="AQ35" s="190">
        <v>0</v>
      </c>
    </row>
    <row r="36" spans="1:43" x14ac:dyDescent="0.25">
      <c r="A36" s="190" t="s">
        <v>251</v>
      </c>
      <c r="B36" s="190">
        <v>0</v>
      </c>
      <c r="C36" s="190">
        <v>0</v>
      </c>
      <c r="D36" s="190">
        <v>0</v>
      </c>
      <c r="E36" s="190">
        <v>3062500</v>
      </c>
      <c r="F36" s="190">
        <v>0</v>
      </c>
      <c r="G36" s="190">
        <v>0</v>
      </c>
      <c r="H36" s="190">
        <v>0</v>
      </c>
      <c r="I36" s="190">
        <v>0</v>
      </c>
      <c r="J36" s="190">
        <v>0</v>
      </c>
      <c r="K36" s="190">
        <v>0</v>
      </c>
      <c r="L36" s="190">
        <v>0</v>
      </c>
      <c r="M36" s="190">
        <v>5121125.6100000003</v>
      </c>
      <c r="N36" s="190">
        <v>0</v>
      </c>
      <c r="O36" s="190">
        <v>0</v>
      </c>
      <c r="P36" s="190">
        <v>0</v>
      </c>
      <c r="Q36" s="190">
        <v>0</v>
      </c>
      <c r="R36" s="190">
        <v>0</v>
      </c>
      <c r="S36" s="190">
        <v>0</v>
      </c>
      <c r="T36" s="190">
        <v>0</v>
      </c>
      <c r="U36" s="190">
        <v>0</v>
      </c>
      <c r="V36" s="190">
        <v>0</v>
      </c>
      <c r="W36" s="190">
        <v>0</v>
      </c>
      <c r="X36" s="190">
        <v>0</v>
      </c>
      <c r="Y36" s="190">
        <v>0</v>
      </c>
      <c r="Z36" s="190">
        <v>0</v>
      </c>
      <c r="AA36" s="190">
        <v>0</v>
      </c>
      <c r="AB36" s="190">
        <v>0</v>
      </c>
      <c r="AC36" s="190">
        <v>0</v>
      </c>
      <c r="AD36" s="190">
        <v>0</v>
      </c>
      <c r="AE36" s="190">
        <v>0</v>
      </c>
      <c r="AF36" s="190">
        <v>0</v>
      </c>
      <c r="AG36" s="190">
        <v>0</v>
      </c>
      <c r="AH36" s="190">
        <v>0</v>
      </c>
      <c r="AI36" s="190">
        <v>0</v>
      </c>
      <c r="AJ36" s="190">
        <v>0</v>
      </c>
      <c r="AK36" s="190">
        <v>0</v>
      </c>
      <c r="AL36" s="190">
        <v>0</v>
      </c>
      <c r="AM36" s="190">
        <v>0</v>
      </c>
      <c r="AN36" s="190">
        <v>0</v>
      </c>
      <c r="AO36" s="190">
        <v>0</v>
      </c>
      <c r="AP36" s="190">
        <v>0</v>
      </c>
      <c r="AQ36" s="190">
        <v>0</v>
      </c>
    </row>
    <row r="37" spans="1:43" x14ac:dyDescent="0.25">
      <c r="A37" s="190" t="s">
        <v>252</v>
      </c>
      <c r="B37" s="190">
        <v>6555746.3300000001</v>
      </c>
      <c r="C37" s="190">
        <v>6555746.3300000001</v>
      </c>
      <c r="D37" s="190">
        <v>6555746.3300000001</v>
      </c>
      <c r="E37" s="190">
        <v>38451500</v>
      </c>
      <c r="F37" s="190">
        <v>1630518738.29</v>
      </c>
      <c r="G37" s="190">
        <v>1630518738.29</v>
      </c>
      <c r="H37" s="190">
        <v>718984242.74000001</v>
      </c>
      <c r="I37" s="190">
        <v>1602804.35</v>
      </c>
      <c r="J37" s="190">
        <v>1524787045.3099999</v>
      </c>
      <c r="K37" s="190">
        <v>1524787045.3099999</v>
      </c>
      <c r="L37" s="190">
        <v>861804662.28999996</v>
      </c>
      <c r="M37" s="190">
        <v>2093991.15</v>
      </c>
      <c r="N37" s="190">
        <v>146402374.94999999</v>
      </c>
      <c r="O37" s="190">
        <v>111928175.18000001</v>
      </c>
      <c r="P37" s="190">
        <v>0</v>
      </c>
      <c r="Q37" s="190">
        <v>5552605.5599999996</v>
      </c>
      <c r="R37" s="190">
        <v>106658685.81</v>
      </c>
      <c r="S37" s="190">
        <v>97214240</v>
      </c>
      <c r="T37" s="190">
        <v>1250904.69</v>
      </c>
      <c r="U37" s="190">
        <v>199500</v>
      </c>
      <c r="V37" s="190">
        <v>80848.600000000006</v>
      </c>
      <c r="W37" s="190">
        <v>1320379.74</v>
      </c>
      <c r="X37" s="190">
        <v>0</v>
      </c>
      <c r="Y37" s="190">
        <v>199500</v>
      </c>
      <c r="Z37" s="190">
        <v>137500</v>
      </c>
      <c r="AA37" s="190">
        <v>137500</v>
      </c>
      <c r="AB37" s="190">
        <v>0</v>
      </c>
      <c r="AC37" s="190">
        <v>0</v>
      </c>
      <c r="AD37" s="190">
        <v>0</v>
      </c>
      <c r="AE37" s="190">
        <v>0</v>
      </c>
      <c r="AF37" s="190">
        <v>0</v>
      </c>
      <c r="AG37" s="190">
        <v>5978950</v>
      </c>
      <c r="AH37" s="190">
        <v>650586.35</v>
      </c>
      <c r="AI37" s="190">
        <v>650586.35</v>
      </c>
      <c r="AJ37" s="190">
        <v>1086909.3</v>
      </c>
      <c r="AK37" s="190">
        <v>27377200</v>
      </c>
      <c r="AL37" s="190">
        <v>27377200</v>
      </c>
      <c r="AM37" s="190">
        <v>27377200</v>
      </c>
      <c r="AN37" s="190">
        <v>0</v>
      </c>
      <c r="AO37" s="190">
        <v>1300000</v>
      </c>
      <c r="AP37" s="190">
        <v>27000000</v>
      </c>
      <c r="AQ37" s="190">
        <v>0</v>
      </c>
    </row>
    <row r="38" spans="1:43" x14ac:dyDescent="0.25">
      <c r="A38" s="190" t="s">
        <v>253</v>
      </c>
      <c r="B38" s="190">
        <v>9547622303.1200008</v>
      </c>
      <c r="C38" s="190">
        <v>6420605160.3900003</v>
      </c>
      <c r="D38" s="190">
        <v>401685708.61000001</v>
      </c>
      <c r="E38" s="190">
        <v>7044435588.9300003</v>
      </c>
      <c r="F38" s="190">
        <v>9984056091.4099998</v>
      </c>
      <c r="G38" s="190">
        <v>8110067501.8000002</v>
      </c>
      <c r="H38" s="190">
        <v>2474690158.52</v>
      </c>
      <c r="I38" s="190">
        <v>8037387072.1599998</v>
      </c>
      <c r="J38" s="190">
        <v>9094724690.4400005</v>
      </c>
      <c r="K38" s="190">
        <v>8142701659.8999996</v>
      </c>
      <c r="L38" s="190">
        <v>3475200138.6300001</v>
      </c>
      <c r="M38" s="190">
        <v>2913002779.73</v>
      </c>
      <c r="N38" s="190">
        <v>3532771490.9000001</v>
      </c>
      <c r="O38" s="190">
        <v>2470871911.3299999</v>
      </c>
      <c r="P38" s="190">
        <v>164197971.33000001</v>
      </c>
      <c r="Q38" s="190">
        <v>3984155899.3600001</v>
      </c>
      <c r="R38" s="190">
        <v>3055371310.7199998</v>
      </c>
      <c r="S38" s="190">
        <v>1170644528.9200001</v>
      </c>
      <c r="T38" s="190">
        <v>305152134.61000001</v>
      </c>
      <c r="U38" s="190">
        <v>1016538385.1</v>
      </c>
      <c r="V38" s="190">
        <v>758320872.73000002</v>
      </c>
      <c r="W38" s="190">
        <v>87737465.670000002</v>
      </c>
      <c r="X38" s="190">
        <v>75130.97</v>
      </c>
      <c r="Y38" s="190">
        <v>400199500</v>
      </c>
      <c r="Z38" s="190">
        <v>400137500</v>
      </c>
      <c r="AA38" s="190">
        <v>311737500</v>
      </c>
      <c r="AB38" s="190">
        <v>0</v>
      </c>
      <c r="AC38" s="190">
        <v>331126906.56999999</v>
      </c>
      <c r="AD38" s="190">
        <v>301839473.25999999</v>
      </c>
      <c r="AE38" s="190">
        <v>300901065.17000002</v>
      </c>
      <c r="AF38" s="190">
        <v>427039.5</v>
      </c>
      <c r="AG38" s="190">
        <v>285352899.55000001</v>
      </c>
      <c r="AH38" s="190">
        <v>279648476.39999998</v>
      </c>
      <c r="AI38" s="190">
        <v>28888096.399999999</v>
      </c>
      <c r="AJ38" s="190">
        <v>1458834.3</v>
      </c>
      <c r="AK38" s="190">
        <v>207596222.5</v>
      </c>
      <c r="AL38" s="190">
        <v>207377200</v>
      </c>
      <c r="AM38" s="190">
        <v>207377200</v>
      </c>
      <c r="AN38" s="190">
        <v>121410000</v>
      </c>
      <c r="AO38" s="190">
        <v>229637687.06999999</v>
      </c>
      <c r="AP38" s="190">
        <v>151817050</v>
      </c>
      <c r="AQ38" s="190">
        <v>0</v>
      </c>
    </row>
    <row r="39" spans="1:43" x14ac:dyDescent="0.25">
      <c r="A39" s="190" t="s">
        <v>254</v>
      </c>
      <c r="B39" s="190">
        <v>-2606239170.9400001</v>
      </c>
      <c r="C39" s="190">
        <v>-2425626823.4499998</v>
      </c>
      <c r="D39" s="190">
        <v>1018223066.41</v>
      </c>
      <c r="E39" s="190">
        <v>-3401746652.8699999</v>
      </c>
      <c r="F39" s="190">
        <v>-2992526336.3000002</v>
      </c>
      <c r="G39" s="190">
        <v>-2109983475.3499999</v>
      </c>
      <c r="H39" s="190">
        <v>2324978732.0300002</v>
      </c>
      <c r="I39" s="190">
        <v>442795551.20999998</v>
      </c>
      <c r="J39" s="190">
        <v>-864916664.29999995</v>
      </c>
      <c r="K39" s="190">
        <v>-1288518254.29</v>
      </c>
      <c r="L39" s="190">
        <v>2010293010.4100001</v>
      </c>
      <c r="M39" s="190">
        <v>-118790781.04000001</v>
      </c>
      <c r="N39" s="190">
        <v>56378282.710000001</v>
      </c>
      <c r="O39" s="190">
        <v>509011096.12</v>
      </c>
      <c r="P39" s="190">
        <v>521753899.69999999</v>
      </c>
      <c r="Q39" s="190">
        <v>-119653023.31999999</v>
      </c>
      <c r="R39" s="190">
        <v>-328587451.38999999</v>
      </c>
      <c r="S39" s="190">
        <v>571143041.02999997</v>
      </c>
      <c r="T39" s="190">
        <v>440208611.63</v>
      </c>
      <c r="U39" s="190">
        <v>-419196975.88</v>
      </c>
      <c r="V39" s="190">
        <v>-487695892.44999999</v>
      </c>
      <c r="W39" s="190">
        <v>40430784.93</v>
      </c>
      <c r="X39" s="190">
        <v>85929778.280000001</v>
      </c>
      <c r="Y39" s="190">
        <v>-308485842.85000002</v>
      </c>
      <c r="Z39" s="190">
        <v>-308423842.85000002</v>
      </c>
      <c r="AA39" s="190">
        <v>-311737500</v>
      </c>
      <c r="AB39" s="190">
        <v>0</v>
      </c>
      <c r="AC39" s="190">
        <v>-325676906.56999999</v>
      </c>
      <c r="AD39" s="190">
        <v>-298915854.66000003</v>
      </c>
      <c r="AE39" s="190">
        <v>-300357446.37</v>
      </c>
      <c r="AF39" s="190">
        <v>116579.3</v>
      </c>
      <c r="AG39" s="190">
        <v>3090024300.4499998</v>
      </c>
      <c r="AH39" s="190">
        <v>3085699118.8000002</v>
      </c>
      <c r="AI39" s="190">
        <v>3336457921.75</v>
      </c>
      <c r="AJ39" s="190">
        <v>-1011066.15</v>
      </c>
      <c r="AK39" s="190">
        <v>-150073959.30000001</v>
      </c>
      <c r="AL39" s="190">
        <v>-178854970.40000001</v>
      </c>
      <c r="AM39" s="190">
        <v>-178854970.40000001</v>
      </c>
      <c r="AN39" s="190">
        <v>-121390000</v>
      </c>
      <c r="AO39" s="190">
        <v>-174808371.47</v>
      </c>
      <c r="AP39" s="190">
        <v>-106817050</v>
      </c>
      <c r="AQ39" s="190">
        <v>0</v>
      </c>
    </row>
    <row r="40" spans="1:43" x14ac:dyDescent="0.25">
      <c r="A40" s="190" t="s">
        <v>255</v>
      </c>
      <c r="B40" s="190">
        <v>190798684.33000001</v>
      </c>
      <c r="C40" s="190">
        <v>-1968297.26</v>
      </c>
      <c r="D40" s="190">
        <v>-332933205.11000001</v>
      </c>
      <c r="E40" s="190">
        <v>-255868357.22999999</v>
      </c>
      <c r="F40" s="190">
        <v>-337914494.83999997</v>
      </c>
      <c r="G40" s="190">
        <v>-132118698.33</v>
      </c>
      <c r="H40" s="190">
        <v>-52019627.609999999</v>
      </c>
      <c r="I40" s="190">
        <v>212875294.91999999</v>
      </c>
      <c r="J40" s="190">
        <v>177992604.06</v>
      </c>
      <c r="K40" s="190">
        <v>31559689.640000001</v>
      </c>
      <c r="L40" s="190">
        <v>-20261073.949999999</v>
      </c>
      <c r="M40" s="190">
        <v>-100952230.26000001</v>
      </c>
      <c r="N40" s="190">
        <v>32675360.390000001</v>
      </c>
      <c r="O40" s="190">
        <v>-9586766.6799999997</v>
      </c>
      <c r="P40" s="190">
        <v>10411217.9</v>
      </c>
      <c r="Q40" s="190">
        <v>-19013010.870000001</v>
      </c>
      <c r="R40" s="190">
        <v>-4362689.12</v>
      </c>
      <c r="S40" s="190">
        <v>-711804.38</v>
      </c>
      <c r="T40" s="190">
        <v>5143317.6900000004</v>
      </c>
      <c r="U40" s="190">
        <v>-23774137.350000001</v>
      </c>
      <c r="V40" s="190">
        <v>-17613352</v>
      </c>
      <c r="W40" s="190">
        <v>-13178558.82</v>
      </c>
      <c r="X40" s="190">
        <v>-3733268.65</v>
      </c>
      <c r="Y40" s="190">
        <v>-2418367.77</v>
      </c>
      <c r="Z40" s="190">
        <v>-1855359.68</v>
      </c>
      <c r="AA40" s="190">
        <v>-864426.43</v>
      </c>
      <c r="AB40" s="190">
        <v>-305151.84000000003</v>
      </c>
      <c r="AC40" s="190">
        <v>-20618914.300000001</v>
      </c>
      <c r="AD40" s="190">
        <v>-9825932.5600000005</v>
      </c>
      <c r="AE40" s="190">
        <v>-2322911.06</v>
      </c>
      <c r="AF40" s="190">
        <v>-1313311.8700000001</v>
      </c>
      <c r="AG40" s="190">
        <v>-6859674.9299999997</v>
      </c>
      <c r="AH40" s="190">
        <v>-3645337.84</v>
      </c>
      <c r="AI40" s="190">
        <v>-3111177.69</v>
      </c>
      <c r="AJ40" s="190">
        <v>-481183.59</v>
      </c>
      <c r="AK40" s="190">
        <v>125472.48</v>
      </c>
      <c r="AL40" s="190">
        <v>-736457.72</v>
      </c>
      <c r="AM40" s="190">
        <v>512437.24</v>
      </c>
      <c r="AN40" s="190">
        <v>652468.73</v>
      </c>
      <c r="AO40" s="190">
        <v>-1265340.49</v>
      </c>
      <c r="AP40" s="190">
        <v>124831.8</v>
      </c>
      <c r="AQ40" s="190">
        <v>0</v>
      </c>
    </row>
    <row r="41" spans="1:43" x14ac:dyDescent="0.25">
      <c r="A41" s="190" t="s">
        <v>256</v>
      </c>
      <c r="B41" s="190">
        <v>1527197082.49</v>
      </c>
      <c r="C41" s="190">
        <v>-3062665051.6300001</v>
      </c>
      <c r="D41" s="190">
        <v>-4914810737.8000002</v>
      </c>
      <c r="E41" s="190">
        <v>2506847571.8899999</v>
      </c>
      <c r="F41" s="190">
        <v>-577320410.12</v>
      </c>
      <c r="G41" s="190">
        <v>-995983078.72000003</v>
      </c>
      <c r="H41" s="190">
        <v>2292590143.3800001</v>
      </c>
      <c r="I41" s="190">
        <v>3486219235.5999999</v>
      </c>
      <c r="J41" s="190">
        <v>2004845310.04</v>
      </c>
      <c r="K41" s="190">
        <v>-155068526.61000001</v>
      </c>
      <c r="L41" s="190">
        <v>-914298821.96000004</v>
      </c>
      <c r="M41" s="190">
        <v>2921778750.6999998</v>
      </c>
      <c r="N41" s="190">
        <v>-133663717.34999999</v>
      </c>
      <c r="O41" s="190">
        <v>-854360307.11000001</v>
      </c>
      <c r="P41" s="190">
        <v>-1033153586.78</v>
      </c>
      <c r="Q41" s="190">
        <v>2527121906.3899999</v>
      </c>
      <c r="R41" s="190">
        <v>-1076306463.71</v>
      </c>
      <c r="S41" s="190">
        <v>-594112526.11000001</v>
      </c>
      <c r="T41" s="190">
        <v>-830675541.75999999</v>
      </c>
      <c r="U41" s="190">
        <v>-949529918.28999996</v>
      </c>
      <c r="V41" s="190">
        <v>-915794458.07000005</v>
      </c>
      <c r="W41" s="190">
        <v>-903247995.01999998</v>
      </c>
      <c r="X41" s="190">
        <v>-1173436870.8900001</v>
      </c>
      <c r="Y41" s="190">
        <v>289521213.61000001</v>
      </c>
      <c r="Z41" s="190">
        <v>-601561116.95000005</v>
      </c>
      <c r="AA41" s="190">
        <v>-652290752.60000002</v>
      </c>
      <c r="AB41" s="190">
        <v>-544342342.5</v>
      </c>
      <c r="AC41" s="190">
        <v>595076587.03999996</v>
      </c>
      <c r="AD41" s="190">
        <v>-521437157.48000002</v>
      </c>
      <c r="AE41" s="190">
        <v>-458325685.38</v>
      </c>
      <c r="AF41" s="190">
        <v>-268925671.06999999</v>
      </c>
      <c r="AG41" s="190">
        <v>3528327514.1500001</v>
      </c>
      <c r="AH41" s="190">
        <v>2692500542.6799998</v>
      </c>
      <c r="AI41" s="190">
        <v>3022507449</v>
      </c>
      <c r="AJ41" s="190">
        <v>-386790492.69999999</v>
      </c>
      <c r="AK41" s="190">
        <v>276376304.87</v>
      </c>
      <c r="AL41" s="190">
        <v>1077881.51</v>
      </c>
      <c r="AM41" s="190">
        <v>-48143131.560000002</v>
      </c>
      <c r="AN41" s="190">
        <v>-262363121.63</v>
      </c>
      <c r="AO41" s="190">
        <v>422646121.12</v>
      </c>
      <c r="AP41" s="190">
        <v>242709832.03</v>
      </c>
      <c r="AQ41" s="190">
        <v>0</v>
      </c>
    </row>
    <row r="42" spans="1:43" x14ac:dyDescent="0.25">
      <c r="A42" s="190" t="s">
        <v>257</v>
      </c>
      <c r="B42" s="190">
        <v>16029185269.17</v>
      </c>
      <c r="C42" s="190">
        <v>16029185269.17</v>
      </c>
      <c r="D42" s="190">
        <v>16029010345.59</v>
      </c>
      <c r="E42" s="190">
        <v>13522337697.280001</v>
      </c>
      <c r="F42" s="190">
        <v>13522337697.280001</v>
      </c>
      <c r="G42" s="190">
        <v>13522337697.280001</v>
      </c>
      <c r="H42" s="190">
        <v>13519252711.9</v>
      </c>
      <c r="I42" s="190">
        <v>10033033476.299999</v>
      </c>
      <c r="J42" s="190">
        <v>10033033476.299999</v>
      </c>
      <c r="K42" s="190">
        <v>10033033476.299999</v>
      </c>
      <c r="L42" s="190">
        <v>10033033476.299999</v>
      </c>
      <c r="M42" s="190">
        <v>7111254725.6000004</v>
      </c>
      <c r="N42" s="190">
        <v>7111254725.6000004</v>
      </c>
      <c r="O42" s="190">
        <v>7111254725.6000004</v>
      </c>
      <c r="P42" s="190">
        <v>7111254725.6000004</v>
      </c>
      <c r="Q42" s="190">
        <v>4584132819.21</v>
      </c>
      <c r="R42" s="190">
        <v>4584132819.21</v>
      </c>
      <c r="S42" s="190">
        <v>4584132819.21</v>
      </c>
      <c r="T42" s="190">
        <v>4584132819.21</v>
      </c>
      <c r="U42" s="190">
        <v>5533662737.5</v>
      </c>
      <c r="V42" s="190">
        <v>5533662737.5</v>
      </c>
      <c r="W42" s="190">
        <v>5533662737.5</v>
      </c>
      <c r="X42" s="190">
        <v>5533662737.5</v>
      </c>
      <c r="Y42" s="190">
        <v>5244141523.8900003</v>
      </c>
      <c r="Z42" s="190">
        <v>5244141523.8900003</v>
      </c>
      <c r="AA42" s="190">
        <v>5244141523.8900003</v>
      </c>
      <c r="AB42" s="190">
        <v>5244838368.8900003</v>
      </c>
      <c r="AC42" s="190">
        <v>4649064936.8500004</v>
      </c>
      <c r="AD42" s="190">
        <v>4649064936.8500004</v>
      </c>
      <c r="AE42" s="190">
        <v>4649064936.8500004</v>
      </c>
      <c r="AF42" s="190">
        <v>4649064936.8500004</v>
      </c>
      <c r="AG42" s="190">
        <v>1120737422.7</v>
      </c>
      <c r="AH42" s="190">
        <v>1120737422.7</v>
      </c>
      <c r="AI42" s="190">
        <v>1120737422.7</v>
      </c>
      <c r="AJ42" s="190">
        <v>1120737422.7</v>
      </c>
      <c r="AK42" s="190">
        <v>844361117.83000004</v>
      </c>
      <c r="AL42" s="190">
        <v>844361117.83000004</v>
      </c>
      <c r="AM42" s="190">
        <v>844361117.83000004</v>
      </c>
      <c r="AN42" s="190">
        <v>844361117.83000004</v>
      </c>
      <c r="AO42" s="190">
        <v>421714996.70999998</v>
      </c>
      <c r="AP42" s="190">
        <v>179005164.68000001</v>
      </c>
      <c r="AQ42" s="190">
        <v>0</v>
      </c>
    </row>
    <row r="43" spans="1:43" x14ac:dyDescent="0.25">
      <c r="A43" s="190" t="s">
        <v>258</v>
      </c>
      <c r="B43" s="190">
        <v>17556382351.66</v>
      </c>
      <c r="C43" s="190">
        <v>12966520217.540001</v>
      </c>
      <c r="D43" s="190">
        <v>11114199607.790001</v>
      </c>
      <c r="E43" s="190">
        <v>16029185269.17</v>
      </c>
      <c r="F43" s="190">
        <v>12945017287.16</v>
      </c>
      <c r="G43" s="190">
        <v>12526354618.559999</v>
      </c>
      <c r="H43" s="190">
        <v>15811842855.280001</v>
      </c>
      <c r="I43" s="190">
        <v>13519252711.9</v>
      </c>
      <c r="J43" s="190">
        <v>12037878786.34</v>
      </c>
      <c r="K43" s="190">
        <v>9877964949.6900005</v>
      </c>
      <c r="L43" s="190">
        <v>9118734654.3400002</v>
      </c>
      <c r="M43" s="190">
        <v>10033033476.299999</v>
      </c>
      <c r="N43" s="190">
        <v>6977591008.25</v>
      </c>
      <c r="O43" s="190">
        <v>6256894418.4899998</v>
      </c>
      <c r="P43" s="190">
        <v>6078101138.8199997</v>
      </c>
      <c r="Q43" s="190">
        <v>7111254725.6000004</v>
      </c>
      <c r="R43" s="190">
        <v>3507826355.5</v>
      </c>
      <c r="S43" s="190">
        <v>3990020293.0999999</v>
      </c>
      <c r="T43" s="190">
        <v>3753457277.4499998</v>
      </c>
      <c r="U43" s="190">
        <v>4584132819.21</v>
      </c>
      <c r="V43" s="190">
        <v>4617868279.4300003</v>
      </c>
      <c r="W43" s="190">
        <v>4630414742.4799995</v>
      </c>
      <c r="X43" s="190">
        <v>4360225866.6099997</v>
      </c>
      <c r="Y43" s="190">
        <v>5533662737.5</v>
      </c>
      <c r="Z43" s="190">
        <v>4642580406.9399996</v>
      </c>
      <c r="AA43" s="190">
        <v>4591850771.29</v>
      </c>
      <c r="AB43" s="190">
        <v>4700496026.3900003</v>
      </c>
      <c r="AC43" s="190">
        <v>5244141523.8900003</v>
      </c>
      <c r="AD43" s="190">
        <v>4127627779.3699999</v>
      </c>
      <c r="AE43" s="190">
        <v>4190739251.4699998</v>
      </c>
      <c r="AF43" s="190">
        <v>4380139265.7799997</v>
      </c>
      <c r="AG43" s="190">
        <v>4649064936.8500004</v>
      </c>
      <c r="AH43" s="190">
        <v>3813237965.3800001</v>
      </c>
      <c r="AI43" s="190">
        <v>4143244871.6999998</v>
      </c>
      <c r="AJ43" s="190">
        <v>733946930</v>
      </c>
      <c r="AK43" s="190">
        <v>1120737422.7</v>
      </c>
      <c r="AL43" s="190">
        <v>845438999.34000003</v>
      </c>
      <c r="AM43" s="190">
        <v>796217986.26999998</v>
      </c>
      <c r="AN43" s="190">
        <v>581997996.20000005</v>
      </c>
      <c r="AO43" s="190">
        <v>844361117.83000004</v>
      </c>
      <c r="AP43" s="190">
        <v>421714996.70999998</v>
      </c>
      <c r="AQ43" s="190">
        <v>0</v>
      </c>
    </row>
    <row r="44" spans="1:43" x14ac:dyDescent="0.25">
      <c r="A44" s="190" t="s">
        <v>259</v>
      </c>
    </row>
    <row r="45" spans="1:43" x14ac:dyDescent="0.25">
      <c r="A45" s="190" t="s">
        <v>260</v>
      </c>
      <c r="B45" s="190">
        <v>0</v>
      </c>
      <c r="C45" s="190">
        <v>4107586112.8200002</v>
      </c>
      <c r="D45" s="190">
        <v>0</v>
      </c>
      <c r="E45" s="190">
        <v>9377501639.8199997</v>
      </c>
      <c r="F45" s="190">
        <v>0</v>
      </c>
      <c r="G45" s="190">
        <v>3275931652.25</v>
      </c>
      <c r="H45" s="190">
        <v>0</v>
      </c>
      <c r="I45" s="190">
        <v>7420273140.4399996</v>
      </c>
      <c r="J45" s="190">
        <v>0</v>
      </c>
      <c r="K45" s="190">
        <v>2610201933.2600002</v>
      </c>
      <c r="L45" s="190">
        <v>0</v>
      </c>
      <c r="M45" s="190">
        <v>5882397844.6999998</v>
      </c>
      <c r="N45" s="190">
        <v>0</v>
      </c>
      <c r="O45" s="190">
        <v>2218090241.8899999</v>
      </c>
      <c r="P45" s="190">
        <v>0</v>
      </c>
      <c r="Q45" s="190">
        <v>4680701236.6599998</v>
      </c>
      <c r="R45" s="190">
        <v>0</v>
      </c>
      <c r="S45" s="190">
        <v>1529237985.72</v>
      </c>
      <c r="T45" s="190">
        <v>0</v>
      </c>
      <c r="U45" s="190">
        <v>3077052948.5599999</v>
      </c>
      <c r="V45" s="190">
        <v>0</v>
      </c>
      <c r="W45" s="190">
        <v>991589668.41999996</v>
      </c>
      <c r="X45" s="190">
        <v>0</v>
      </c>
      <c r="Y45" s="190">
        <v>2140426340.48</v>
      </c>
      <c r="Z45" s="190">
        <v>0</v>
      </c>
      <c r="AA45" s="190">
        <v>732409646.09000003</v>
      </c>
      <c r="AB45" s="190">
        <v>0</v>
      </c>
      <c r="AC45" s="190">
        <v>1482482923.78</v>
      </c>
      <c r="AD45" s="190">
        <v>0</v>
      </c>
      <c r="AE45" s="190">
        <v>529708034.66000003</v>
      </c>
      <c r="AF45" s="190">
        <v>0</v>
      </c>
      <c r="AG45" s="190">
        <v>1052375236.76</v>
      </c>
      <c r="AH45" s="190">
        <v>0</v>
      </c>
      <c r="AI45" s="190">
        <v>374310915.18000001</v>
      </c>
      <c r="AJ45" s="190">
        <v>0</v>
      </c>
      <c r="AK45" s="190">
        <v>706019508.67999995</v>
      </c>
      <c r="AL45" s="190">
        <v>0</v>
      </c>
      <c r="AM45" s="190">
        <v>247247519.71000001</v>
      </c>
      <c r="AN45" s="190">
        <v>0</v>
      </c>
      <c r="AO45" s="190">
        <v>548723165.05999994</v>
      </c>
      <c r="AP45" s="190">
        <v>364512385.42000002</v>
      </c>
      <c r="AQ45" s="190">
        <v>0</v>
      </c>
    </row>
    <row r="46" spans="1:43" x14ac:dyDescent="0.25">
      <c r="A46" s="190" t="s">
        <v>187</v>
      </c>
      <c r="B46" s="190">
        <v>0</v>
      </c>
      <c r="C46" s="190">
        <v>0</v>
      </c>
      <c r="D46" s="190">
        <v>0</v>
      </c>
      <c r="E46" s="190">
        <v>0</v>
      </c>
      <c r="F46" s="190">
        <v>0</v>
      </c>
      <c r="G46" s="190">
        <v>0</v>
      </c>
      <c r="H46" s="190">
        <v>0</v>
      </c>
      <c r="I46" s="190">
        <v>0</v>
      </c>
      <c r="J46" s="190">
        <v>0</v>
      </c>
      <c r="K46" s="190">
        <v>0</v>
      </c>
      <c r="L46" s="190">
        <v>0</v>
      </c>
      <c r="M46" s="190">
        <v>0</v>
      </c>
      <c r="N46" s="190">
        <v>0</v>
      </c>
      <c r="O46" s="190">
        <v>0</v>
      </c>
      <c r="P46" s="190">
        <v>0</v>
      </c>
      <c r="Q46" s="190">
        <v>0</v>
      </c>
      <c r="R46" s="190">
        <v>0</v>
      </c>
      <c r="S46" s="190">
        <v>0</v>
      </c>
      <c r="T46" s="190">
        <v>0</v>
      </c>
      <c r="U46" s="190">
        <v>0</v>
      </c>
      <c r="V46" s="190">
        <v>0</v>
      </c>
      <c r="W46" s="190">
        <v>0</v>
      </c>
      <c r="X46" s="190">
        <v>0</v>
      </c>
      <c r="Y46" s="190">
        <v>0</v>
      </c>
      <c r="Z46" s="190">
        <v>0</v>
      </c>
      <c r="AA46" s="190">
        <v>0</v>
      </c>
      <c r="AB46" s="190">
        <v>0</v>
      </c>
      <c r="AC46" s="190">
        <v>0</v>
      </c>
      <c r="AD46" s="190">
        <v>0</v>
      </c>
      <c r="AE46" s="190">
        <v>0</v>
      </c>
      <c r="AF46" s="190">
        <v>0</v>
      </c>
      <c r="AG46" s="190">
        <v>0</v>
      </c>
      <c r="AH46" s="190">
        <v>0</v>
      </c>
      <c r="AI46" s="190">
        <v>0</v>
      </c>
      <c r="AJ46" s="190">
        <v>0</v>
      </c>
      <c r="AK46" s="190">
        <v>0</v>
      </c>
      <c r="AL46" s="190">
        <v>0</v>
      </c>
      <c r="AM46" s="190">
        <v>0</v>
      </c>
      <c r="AN46" s="190">
        <v>0</v>
      </c>
      <c r="AO46" s="190">
        <v>0</v>
      </c>
      <c r="AP46" s="190">
        <v>0</v>
      </c>
      <c r="AQ46" s="190">
        <v>0</v>
      </c>
    </row>
    <row r="47" spans="1:43" x14ac:dyDescent="0.25">
      <c r="A47" s="190" t="s">
        <v>261</v>
      </c>
      <c r="B47" s="190">
        <v>0</v>
      </c>
      <c r="C47" s="190">
        <v>0</v>
      </c>
      <c r="D47" s="190">
        <v>0</v>
      </c>
      <c r="E47" s="190">
        <v>0</v>
      </c>
      <c r="F47" s="190">
        <v>0</v>
      </c>
      <c r="G47" s="190">
        <v>0</v>
      </c>
      <c r="H47" s="190">
        <v>0</v>
      </c>
      <c r="I47" s="190">
        <v>0</v>
      </c>
      <c r="J47" s="190">
        <v>0</v>
      </c>
      <c r="K47" s="190">
        <v>0</v>
      </c>
      <c r="L47" s="190">
        <v>0</v>
      </c>
      <c r="M47" s="190">
        <v>0</v>
      </c>
      <c r="N47" s="190">
        <v>0</v>
      </c>
      <c r="O47" s="190">
        <v>0</v>
      </c>
      <c r="P47" s="190">
        <v>0</v>
      </c>
      <c r="Q47" s="190">
        <v>0</v>
      </c>
      <c r="R47" s="190">
        <v>0</v>
      </c>
      <c r="S47" s="190">
        <v>0</v>
      </c>
      <c r="T47" s="190">
        <v>0</v>
      </c>
      <c r="U47" s="190">
        <v>0</v>
      </c>
      <c r="V47" s="190">
        <v>0</v>
      </c>
      <c r="W47" s="190">
        <v>0</v>
      </c>
      <c r="X47" s="190">
        <v>0</v>
      </c>
      <c r="Y47" s="190">
        <v>0</v>
      </c>
      <c r="Z47" s="190">
        <v>0</v>
      </c>
      <c r="AA47" s="190">
        <v>0</v>
      </c>
      <c r="AB47" s="190">
        <v>0</v>
      </c>
      <c r="AC47" s="190">
        <v>0</v>
      </c>
      <c r="AD47" s="190">
        <v>0</v>
      </c>
      <c r="AE47" s="190">
        <v>0</v>
      </c>
      <c r="AF47" s="190">
        <v>0</v>
      </c>
      <c r="AG47" s="190">
        <v>0</v>
      </c>
      <c r="AH47" s="190">
        <v>0</v>
      </c>
      <c r="AI47" s="190">
        <v>0</v>
      </c>
      <c r="AJ47" s="190">
        <v>0</v>
      </c>
      <c r="AK47" s="190">
        <v>0</v>
      </c>
      <c r="AL47" s="190">
        <v>0</v>
      </c>
      <c r="AM47" s="190">
        <v>0</v>
      </c>
      <c r="AN47" s="190">
        <v>0</v>
      </c>
      <c r="AO47" s="190">
        <v>0</v>
      </c>
      <c r="AP47" s="190">
        <v>0</v>
      </c>
      <c r="AQ47" s="190">
        <v>0</v>
      </c>
    </row>
    <row r="48" spans="1:43" x14ac:dyDescent="0.25">
      <c r="A48" s="190" t="s">
        <v>262</v>
      </c>
      <c r="B48" s="190">
        <v>0</v>
      </c>
      <c r="C48" s="190">
        <v>325897698.19</v>
      </c>
      <c r="D48" s="190">
        <v>0</v>
      </c>
      <c r="E48" s="190">
        <v>484568899.16000003</v>
      </c>
      <c r="F48" s="190">
        <v>0</v>
      </c>
      <c r="G48" s="190">
        <v>251738374.96000001</v>
      </c>
      <c r="H48" s="190">
        <v>0</v>
      </c>
      <c r="I48" s="190">
        <v>317497358.88</v>
      </c>
      <c r="J48" s="190">
        <v>0</v>
      </c>
      <c r="K48" s="190">
        <v>158985960.69999999</v>
      </c>
      <c r="L48" s="190">
        <v>0</v>
      </c>
      <c r="M48" s="190">
        <v>338874649.43000001</v>
      </c>
      <c r="N48" s="190">
        <v>0</v>
      </c>
      <c r="O48" s="190">
        <v>166576278.11000001</v>
      </c>
      <c r="P48" s="190">
        <v>0</v>
      </c>
      <c r="Q48" s="190">
        <v>182907411.02000001</v>
      </c>
      <c r="R48" s="190">
        <v>0</v>
      </c>
      <c r="S48" s="190">
        <v>110207838</v>
      </c>
      <c r="T48" s="190">
        <v>0</v>
      </c>
      <c r="U48" s="190">
        <v>157113213.55000001</v>
      </c>
      <c r="V48" s="190">
        <v>0</v>
      </c>
      <c r="W48" s="190">
        <v>81669242.909999996</v>
      </c>
      <c r="X48" s="190">
        <v>0</v>
      </c>
      <c r="Y48" s="190">
        <v>50325290.75</v>
      </c>
      <c r="Z48" s="190">
        <v>0</v>
      </c>
      <c r="AA48" s="190">
        <v>55113151.090000004</v>
      </c>
      <c r="AB48" s="190">
        <v>0</v>
      </c>
      <c r="AC48" s="190">
        <v>26063331.170000002</v>
      </c>
      <c r="AD48" s="190">
        <v>0</v>
      </c>
      <c r="AE48" s="190">
        <v>27940111.93</v>
      </c>
      <c r="AF48" s="190">
        <v>0</v>
      </c>
      <c r="AG48" s="190">
        <v>49337089.689999998</v>
      </c>
      <c r="AH48" s="190">
        <v>0</v>
      </c>
      <c r="AI48" s="190">
        <v>18450601.030000001</v>
      </c>
      <c r="AJ48" s="190">
        <v>0</v>
      </c>
      <c r="AK48" s="190">
        <v>13204903.32</v>
      </c>
      <c r="AL48" s="190">
        <v>0</v>
      </c>
      <c r="AM48" s="190">
        <v>13673218.58</v>
      </c>
      <c r="AN48" s="190">
        <v>0</v>
      </c>
      <c r="AO48" s="190">
        <v>14295094.5</v>
      </c>
      <c r="AP48" s="190">
        <v>19000489.170000002</v>
      </c>
      <c r="AQ48" s="190">
        <v>0</v>
      </c>
    </row>
    <row r="49" spans="1:43" x14ac:dyDescent="0.25">
      <c r="A49" s="190" t="s">
        <v>263</v>
      </c>
      <c r="B49" s="190">
        <v>0</v>
      </c>
      <c r="C49" s="190">
        <v>196191929.38999999</v>
      </c>
      <c r="D49" s="190">
        <v>0</v>
      </c>
      <c r="E49" s="190">
        <v>301861330.86000001</v>
      </c>
      <c r="F49" s="190">
        <v>0</v>
      </c>
      <c r="G49" s="190">
        <v>162308009.16</v>
      </c>
      <c r="H49" s="190">
        <v>0</v>
      </c>
      <c r="I49" s="190">
        <v>211545008.25</v>
      </c>
      <c r="J49" s="190">
        <v>0</v>
      </c>
      <c r="K49" s="190">
        <v>90317400.920000002</v>
      </c>
      <c r="L49" s="190">
        <v>0</v>
      </c>
      <c r="M49" s="190">
        <v>132614495.73</v>
      </c>
      <c r="N49" s="190">
        <v>0</v>
      </c>
      <c r="O49" s="190">
        <v>61441674.289999999</v>
      </c>
      <c r="P49" s="190">
        <v>0</v>
      </c>
      <c r="Q49" s="190">
        <v>96713691.319999993</v>
      </c>
      <c r="R49" s="190">
        <v>0</v>
      </c>
      <c r="S49" s="190">
        <v>35892279.280000001</v>
      </c>
      <c r="T49" s="190">
        <v>0</v>
      </c>
      <c r="U49" s="190">
        <v>66233752.909999996</v>
      </c>
      <c r="V49" s="190">
        <v>0</v>
      </c>
      <c r="W49" s="190">
        <v>31329083.129999999</v>
      </c>
      <c r="X49" s="190">
        <v>0</v>
      </c>
      <c r="Y49" s="190">
        <v>55492100.969999999</v>
      </c>
      <c r="Z49" s="190">
        <v>0</v>
      </c>
      <c r="AA49" s="190">
        <v>25489694</v>
      </c>
      <c r="AB49" s="190">
        <v>0</v>
      </c>
      <c r="AC49" s="190">
        <v>34602088.369999997</v>
      </c>
      <c r="AD49" s="190">
        <v>0</v>
      </c>
      <c r="AE49" s="190">
        <v>14298817.5</v>
      </c>
      <c r="AF49" s="190">
        <v>0</v>
      </c>
      <c r="AG49" s="190">
        <v>17916254.739999998</v>
      </c>
      <c r="AH49" s="190">
        <v>0</v>
      </c>
      <c r="AI49" s="190">
        <v>7032845.1799999997</v>
      </c>
      <c r="AJ49" s="190">
        <v>0</v>
      </c>
      <c r="AK49" s="190">
        <v>8222150.8200000003</v>
      </c>
      <c r="AL49" s="190">
        <v>0</v>
      </c>
      <c r="AM49" s="190">
        <v>3664783.35</v>
      </c>
      <c r="AN49" s="190">
        <v>0</v>
      </c>
      <c r="AO49" s="190">
        <v>7651305.4400000004</v>
      </c>
      <c r="AP49" s="190">
        <v>4748432.37</v>
      </c>
      <c r="AQ49" s="190">
        <v>0</v>
      </c>
    </row>
    <row r="50" spans="1:43" x14ac:dyDescent="0.25">
      <c r="A50" s="190" t="s">
        <v>264</v>
      </c>
      <c r="B50" s="190">
        <v>0</v>
      </c>
      <c r="C50" s="190">
        <v>27572243.920000002</v>
      </c>
      <c r="D50" s="190">
        <v>0</v>
      </c>
      <c r="E50" s="190">
        <v>39412000.700000003</v>
      </c>
      <c r="F50" s="190">
        <v>0</v>
      </c>
      <c r="G50" s="190">
        <v>21115783.510000002</v>
      </c>
      <c r="H50" s="190">
        <v>0</v>
      </c>
      <c r="I50" s="190">
        <v>29127775.780000001</v>
      </c>
      <c r="J50" s="190">
        <v>0</v>
      </c>
      <c r="K50" s="190">
        <v>16488748.289999999</v>
      </c>
      <c r="L50" s="190">
        <v>0</v>
      </c>
      <c r="M50" s="190">
        <v>22864330.359999999</v>
      </c>
      <c r="N50" s="190">
        <v>0</v>
      </c>
      <c r="O50" s="190">
        <v>9311049.4299999997</v>
      </c>
      <c r="P50" s="190">
        <v>0</v>
      </c>
      <c r="Q50" s="190">
        <v>12662696.57</v>
      </c>
      <c r="R50" s="190">
        <v>0</v>
      </c>
      <c r="S50" s="190">
        <v>5846929.1399999997</v>
      </c>
      <c r="T50" s="190">
        <v>0</v>
      </c>
      <c r="U50" s="190">
        <v>5441954.21</v>
      </c>
      <c r="V50" s="190">
        <v>0</v>
      </c>
      <c r="W50" s="190">
        <v>3044601.62</v>
      </c>
      <c r="X50" s="190">
        <v>0</v>
      </c>
      <c r="Y50" s="190">
        <v>4951166.1900000004</v>
      </c>
      <c r="Z50" s="190">
        <v>0</v>
      </c>
      <c r="AA50" s="190">
        <v>1968467.67</v>
      </c>
      <c r="AB50" s="190">
        <v>0</v>
      </c>
      <c r="AC50" s="190">
        <v>3289630.76</v>
      </c>
      <c r="AD50" s="190">
        <v>0</v>
      </c>
      <c r="AE50" s="190">
        <v>1647879.85</v>
      </c>
      <c r="AF50" s="190">
        <v>0</v>
      </c>
      <c r="AG50" s="190">
        <v>2025971.64</v>
      </c>
      <c r="AH50" s="190">
        <v>0</v>
      </c>
      <c r="AI50" s="190">
        <v>732223.4</v>
      </c>
      <c r="AJ50" s="190">
        <v>0</v>
      </c>
      <c r="AK50" s="190">
        <v>1076164.26</v>
      </c>
      <c r="AL50" s="190">
        <v>0</v>
      </c>
      <c r="AM50" s="190">
        <v>601253.18000000005</v>
      </c>
      <c r="AN50" s="190">
        <v>0</v>
      </c>
      <c r="AO50" s="190">
        <v>1075475.46</v>
      </c>
      <c r="AP50" s="190">
        <v>582581.89</v>
      </c>
      <c r="AQ50" s="190">
        <v>0</v>
      </c>
    </row>
    <row r="51" spans="1:43" x14ac:dyDescent="0.25">
      <c r="A51" s="190" t="s">
        <v>265</v>
      </c>
      <c r="B51" s="190">
        <v>0</v>
      </c>
      <c r="C51" s="190">
        <v>0</v>
      </c>
      <c r="D51" s="190">
        <v>0</v>
      </c>
      <c r="E51" s="190">
        <v>0</v>
      </c>
      <c r="F51" s="190">
        <v>0</v>
      </c>
      <c r="G51" s="190">
        <v>0</v>
      </c>
      <c r="H51" s="190">
        <v>0</v>
      </c>
      <c r="I51" s="190">
        <v>0</v>
      </c>
      <c r="J51" s="190">
        <v>0</v>
      </c>
      <c r="K51" s="190">
        <v>0</v>
      </c>
      <c r="L51" s="190">
        <v>0</v>
      </c>
      <c r="M51" s="190">
        <v>0</v>
      </c>
      <c r="N51" s="190">
        <v>0</v>
      </c>
      <c r="O51" s="190">
        <v>0</v>
      </c>
      <c r="P51" s="190">
        <v>0</v>
      </c>
      <c r="Q51" s="190">
        <v>0</v>
      </c>
      <c r="R51" s="190">
        <v>0</v>
      </c>
      <c r="S51" s="190">
        <v>317287.46999999997</v>
      </c>
      <c r="T51" s="190">
        <v>0</v>
      </c>
      <c r="U51" s="190">
        <v>607322.68999999994</v>
      </c>
      <c r="V51" s="190">
        <v>0</v>
      </c>
      <c r="W51" s="190">
        <v>331748.69</v>
      </c>
      <c r="X51" s="190">
        <v>0</v>
      </c>
      <c r="Y51" s="190">
        <v>456480</v>
      </c>
      <c r="Z51" s="190">
        <v>0</v>
      </c>
      <c r="AA51" s="190">
        <v>0</v>
      </c>
      <c r="AB51" s="190">
        <v>0</v>
      </c>
      <c r="AC51" s="190">
        <v>0</v>
      </c>
      <c r="AD51" s="190">
        <v>0</v>
      </c>
      <c r="AE51" s="190">
        <v>0</v>
      </c>
      <c r="AF51" s="190">
        <v>0</v>
      </c>
      <c r="AG51" s="190">
        <v>0</v>
      </c>
      <c r="AH51" s="190">
        <v>0</v>
      </c>
      <c r="AI51" s="190">
        <v>0</v>
      </c>
      <c r="AJ51" s="190">
        <v>0</v>
      </c>
      <c r="AK51" s="190">
        <v>192333.74</v>
      </c>
      <c r="AL51" s="190">
        <v>0</v>
      </c>
      <c r="AM51" s="190">
        <v>0</v>
      </c>
      <c r="AN51" s="190">
        <v>0</v>
      </c>
      <c r="AO51" s="190">
        <v>0</v>
      </c>
      <c r="AP51" s="190">
        <v>0</v>
      </c>
      <c r="AQ51" s="190">
        <v>0</v>
      </c>
    </row>
    <row r="52" spans="1:43" x14ac:dyDescent="0.25">
      <c r="A52" s="190" t="s">
        <v>266</v>
      </c>
      <c r="B52" s="190">
        <v>0</v>
      </c>
      <c r="C52" s="190">
        <v>0</v>
      </c>
      <c r="D52" s="190">
        <v>0</v>
      </c>
      <c r="E52" s="190">
        <v>0</v>
      </c>
      <c r="F52" s="190">
        <v>0</v>
      </c>
      <c r="G52" s="190">
        <v>0</v>
      </c>
      <c r="H52" s="190">
        <v>0</v>
      </c>
      <c r="I52" s="190">
        <v>0</v>
      </c>
      <c r="J52" s="190">
        <v>0</v>
      </c>
      <c r="K52" s="190">
        <v>0</v>
      </c>
      <c r="L52" s="190">
        <v>0</v>
      </c>
      <c r="M52" s="190">
        <v>0</v>
      </c>
      <c r="N52" s="190">
        <v>0</v>
      </c>
      <c r="O52" s="190">
        <v>0</v>
      </c>
      <c r="P52" s="190">
        <v>0</v>
      </c>
      <c r="Q52" s="190">
        <v>0</v>
      </c>
      <c r="R52" s="190">
        <v>0</v>
      </c>
      <c r="S52" s="190">
        <v>0</v>
      </c>
      <c r="T52" s="190">
        <v>0</v>
      </c>
      <c r="U52" s="190">
        <v>0</v>
      </c>
      <c r="V52" s="190">
        <v>0</v>
      </c>
      <c r="W52" s="190">
        <v>0</v>
      </c>
      <c r="X52" s="190">
        <v>0</v>
      </c>
      <c r="Y52" s="190">
        <v>0</v>
      </c>
      <c r="Z52" s="190">
        <v>0</v>
      </c>
      <c r="AA52" s="190">
        <v>0</v>
      </c>
      <c r="AB52" s="190">
        <v>0</v>
      </c>
      <c r="AC52" s="190">
        <v>0</v>
      </c>
      <c r="AD52" s="190">
        <v>0</v>
      </c>
      <c r="AE52" s="190">
        <v>0</v>
      </c>
      <c r="AF52" s="190">
        <v>0</v>
      </c>
      <c r="AG52" s="190">
        <v>0</v>
      </c>
      <c r="AH52" s="190">
        <v>0</v>
      </c>
      <c r="AI52" s="190">
        <v>0</v>
      </c>
      <c r="AJ52" s="190">
        <v>0</v>
      </c>
      <c r="AK52" s="190">
        <v>0</v>
      </c>
      <c r="AL52" s="190">
        <v>0</v>
      </c>
      <c r="AM52" s="190">
        <v>0</v>
      </c>
      <c r="AN52" s="190">
        <v>0</v>
      </c>
      <c r="AO52" s="190">
        <v>0</v>
      </c>
      <c r="AP52" s="190">
        <v>0</v>
      </c>
      <c r="AQ52" s="190">
        <v>0</v>
      </c>
    </row>
    <row r="53" spans="1:43" x14ac:dyDescent="0.25">
      <c r="A53" s="190" t="s">
        <v>267</v>
      </c>
      <c r="B53" s="190">
        <v>0</v>
      </c>
      <c r="C53" s="190">
        <v>0</v>
      </c>
      <c r="D53" s="190">
        <v>0</v>
      </c>
      <c r="E53" s="190">
        <v>0</v>
      </c>
      <c r="F53" s="190">
        <v>0</v>
      </c>
      <c r="G53" s="190">
        <v>0</v>
      </c>
      <c r="H53" s="190">
        <v>0</v>
      </c>
      <c r="I53" s="190">
        <v>0</v>
      </c>
      <c r="J53" s="190">
        <v>0</v>
      </c>
      <c r="K53" s="190">
        <v>0</v>
      </c>
      <c r="L53" s="190">
        <v>0</v>
      </c>
      <c r="M53" s="190">
        <v>0</v>
      </c>
      <c r="N53" s="190">
        <v>0</v>
      </c>
      <c r="O53" s="190">
        <v>0</v>
      </c>
      <c r="P53" s="190">
        <v>0</v>
      </c>
      <c r="Q53" s="190">
        <v>0</v>
      </c>
      <c r="R53" s="190">
        <v>0</v>
      </c>
      <c r="S53" s="190">
        <v>0</v>
      </c>
      <c r="T53" s="190">
        <v>0</v>
      </c>
      <c r="U53" s="190">
        <v>0</v>
      </c>
      <c r="V53" s="190">
        <v>0</v>
      </c>
      <c r="W53" s="190">
        <v>0</v>
      </c>
      <c r="X53" s="190">
        <v>0</v>
      </c>
      <c r="Y53" s="190">
        <v>0</v>
      </c>
      <c r="Z53" s="190">
        <v>0</v>
      </c>
      <c r="AA53" s="190">
        <v>0</v>
      </c>
      <c r="AB53" s="190">
        <v>0</v>
      </c>
      <c r="AC53" s="190">
        <v>0</v>
      </c>
      <c r="AD53" s="190">
        <v>0</v>
      </c>
      <c r="AE53" s="190">
        <v>0</v>
      </c>
      <c r="AF53" s="190">
        <v>0</v>
      </c>
      <c r="AG53" s="190">
        <v>0</v>
      </c>
      <c r="AH53" s="190">
        <v>0</v>
      </c>
      <c r="AI53" s="190">
        <v>0</v>
      </c>
      <c r="AJ53" s="190">
        <v>0</v>
      </c>
      <c r="AK53" s="190">
        <v>0</v>
      </c>
      <c r="AL53" s="190">
        <v>0</v>
      </c>
      <c r="AM53" s="190">
        <v>0</v>
      </c>
      <c r="AN53" s="190">
        <v>0</v>
      </c>
      <c r="AO53" s="190">
        <v>0</v>
      </c>
      <c r="AP53" s="190">
        <v>0</v>
      </c>
      <c r="AQ53" s="190">
        <v>0</v>
      </c>
    </row>
    <row r="54" spans="1:43" x14ac:dyDescent="0.25">
      <c r="A54" s="190" t="s">
        <v>268</v>
      </c>
      <c r="B54" s="190">
        <v>0</v>
      </c>
      <c r="C54" s="190">
        <v>-3763578.84</v>
      </c>
      <c r="D54" s="190">
        <v>0</v>
      </c>
      <c r="E54" s="190">
        <v>-1585222.5</v>
      </c>
      <c r="F54" s="190">
        <v>0</v>
      </c>
      <c r="G54" s="190">
        <v>-2226974.5499999998</v>
      </c>
      <c r="H54" s="190">
        <v>0</v>
      </c>
      <c r="I54" s="190">
        <v>736149.02</v>
      </c>
      <c r="J54" s="190">
        <v>0</v>
      </c>
      <c r="K54" s="190">
        <v>299151.65000000002</v>
      </c>
      <c r="L54" s="190">
        <v>0</v>
      </c>
      <c r="M54" s="190">
        <v>-1679868.58</v>
      </c>
      <c r="N54" s="190">
        <v>0</v>
      </c>
      <c r="O54" s="190">
        <v>235695.32</v>
      </c>
      <c r="P54" s="190">
        <v>0</v>
      </c>
      <c r="Q54" s="190">
        <v>467280.37</v>
      </c>
      <c r="R54" s="190">
        <v>0</v>
      </c>
      <c r="S54" s="190">
        <v>103329.34</v>
      </c>
      <c r="T54" s="190">
        <v>0</v>
      </c>
      <c r="U54" s="190">
        <v>205710.43</v>
      </c>
      <c r="V54" s="190">
        <v>0</v>
      </c>
      <c r="W54" s="190">
        <v>127202.96</v>
      </c>
      <c r="X54" s="190">
        <v>0</v>
      </c>
      <c r="Y54" s="190">
        <v>98281.8</v>
      </c>
      <c r="Z54" s="190">
        <v>0</v>
      </c>
      <c r="AA54" s="190">
        <v>62879.44</v>
      </c>
      <c r="AB54" s="190">
        <v>0</v>
      </c>
      <c r="AC54" s="190">
        <v>-994268.3</v>
      </c>
      <c r="AD54" s="190">
        <v>0</v>
      </c>
      <c r="AE54" s="190">
        <v>-239750</v>
      </c>
      <c r="AF54" s="190">
        <v>0</v>
      </c>
      <c r="AG54" s="190">
        <v>195054.77</v>
      </c>
      <c r="AH54" s="190">
        <v>0</v>
      </c>
      <c r="AI54" s="190">
        <v>184655.52</v>
      </c>
      <c r="AJ54" s="190">
        <v>0</v>
      </c>
      <c r="AK54" s="190">
        <v>894764.74</v>
      </c>
      <c r="AL54" s="190">
        <v>0</v>
      </c>
      <c r="AM54" s="190">
        <v>6766.91</v>
      </c>
      <c r="AN54" s="190">
        <v>0</v>
      </c>
      <c r="AO54" s="190">
        <v>12283.16</v>
      </c>
      <c r="AP54" s="190">
        <v>12015.35</v>
      </c>
      <c r="AQ54" s="190">
        <v>0</v>
      </c>
    </row>
    <row r="55" spans="1:43" x14ac:dyDescent="0.25">
      <c r="A55" s="190" t="s">
        <v>269</v>
      </c>
      <c r="B55" s="190">
        <v>0</v>
      </c>
      <c r="C55" s="190">
        <v>415906.3</v>
      </c>
      <c r="D55" s="190">
        <v>0</v>
      </c>
      <c r="E55" s="190">
        <v>0</v>
      </c>
      <c r="F55" s="190">
        <v>0</v>
      </c>
      <c r="G55" s="190">
        <v>0</v>
      </c>
      <c r="H55" s="190">
        <v>0</v>
      </c>
      <c r="I55" s="190">
        <v>0</v>
      </c>
      <c r="J55" s="190">
        <v>0</v>
      </c>
      <c r="K55" s="190">
        <v>0</v>
      </c>
      <c r="L55" s="190">
        <v>0</v>
      </c>
      <c r="M55" s="190">
        <v>-35554.46</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c r="AO55" s="190">
        <v>0</v>
      </c>
      <c r="AP55" s="190">
        <v>11725.25</v>
      </c>
      <c r="AQ55" s="190">
        <v>0</v>
      </c>
    </row>
    <row r="56" spans="1:43" x14ac:dyDescent="0.25">
      <c r="A56" s="190" t="s">
        <v>270</v>
      </c>
      <c r="B56" s="190">
        <v>0</v>
      </c>
      <c r="C56" s="190">
        <v>6102548.0199999996</v>
      </c>
      <c r="D56" s="190">
        <v>0</v>
      </c>
      <c r="E56" s="190">
        <v>-42090091.109999999</v>
      </c>
      <c r="F56" s="190">
        <v>0</v>
      </c>
      <c r="G56" s="190">
        <v>-38552490.409999996</v>
      </c>
      <c r="H56" s="190">
        <v>0</v>
      </c>
      <c r="I56" s="190">
        <v>40171578.799999997</v>
      </c>
      <c r="J56" s="190">
        <v>0</v>
      </c>
      <c r="K56" s="190">
        <v>8281896.3200000003</v>
      </c>
      <c r="L56" s="190">
        <v>0</v>
      </c>
      <c r="M56" s="190">
        <v>16154643.25</v>
      </c>
      <c r="N56" s="190">
        <v>0</v>
      </c>
      <c r="O56" s="190">
        <v>10606627.359999999</v>
      </c>
      <c r="P56" s="190">
        <v>0</v>
      </c>
      <c r="Q56" s="190">
        <v>-3032932.74</v>
      </c>
      <c r="R56" s="190">
        <v>0</v>
      </c>
      <c r="S56" s="190">
        <v>3741370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row>
    <row r="57" spans="1:43" x14ac:dyDescent="0.25">
      <c r="A57" s="190" t="s">
        <v>271</v>
      </c>
      <c r="B57" s="190">
        <v>0</v>
      </c>
      <c r="C57" s="190">
        <v>80586421.439999998</v>
      </c>
      <c r="D57" s="190">
        <v>0</v>
      </c>
      <c r="E57" s="190">
        <v>53902725.659999996</v>
      </c>
      <c r="F57" s="190">
        <v>0</v>
      </c>
      <c r="G57" s="190">
        <v>5984156.0700000003</v>
      </c>
      <c r="H57" s="190">
        <v>0</v>
      </c>
      <c r="I57" s="190">
        <v>10833745.99</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row>
    <row r="58" spans="1:43" x14ac:dyDescent="0.25">
      <c r="A58" s="190" t="s">
        <v>272</v>
      </c>
      <c r="B58" s="190">
        <v>0</v>
      </c>
      <c r="C58" s="190">
        <v>0</v>
      </c>
      <c r="D58" s="190">
        <v>0</v>
      </c>
      <c r="E58" s="190">
        <v>0</v>
      </c>
      <c r="F58" s="190">
        <v>0</v>
      </c>
      <c r="G58" s="190">
        <v>0</v>
      </c>
      <c r="H58" s="190">
        <v>0</v>
      </c>
      <c r="I58" s="190">
        <v>0</v>
      </c>
      <c r="J58" s="190">
        <v>0</v>
      </c>
      <c r="K58" s="190">
        <v>0</v>
      </c>
      <c r="L58" s="190">
        <v>0</v>
      </c>
      <c r="M58" s="190">
        <v>0</v>
      </c>
      <c r="N58" s="190">
        <v>0</v>
      </c>
      <c r="O58" s="190">
        <v>0</v>
      </c>
      <c r="P58" s="190">
        <v>0</v>
      </c>
      <c r="Q58" s="190">
        <v>0</v>
      </c>
      <c r="R58" s="190">
        <v>0</v>
      </c>
      <c r="S58" s="190">
        <v>0</v>
      </c>
      <c r="T58" s="190">
        <v>0</v>
      </c>
      <c r="U58" s="190">
        <v>0</v>
      </c>
      <c r="V58" s="190">
        <v>0</v>
      </c>
      <c r="W58" s="190">
        <v>0</v>
      </c>
      <c r="X58" s="190">
        <v>0</v>
      </c>
      <c r="Y58" s="190">
        <v>0</v>
      </c>
      <c r="Z58" s="190">
        <v>0</v>
      </c>
      <c r="AA58" s="190">
        <v>0</v>
      </c>
      <c r="AB58" s="190">
        <v>0</v>
      </c>
      <c r="AC58" s="190">
        <v>0</v>
      </c>
      <c r="AD58" s="190">
        <v>0</v>
      </c>
      <c r="AE58" s="190">
        <v>0</v>
      </c>
      <c r="AF58" s="190">
        <v>0</v>
      </c>
      <c r="AG58" s="190">
        <v>0</v>
      </c>
      <c r="AH58" s="190">
        <v>0</v>
      </c>
      <c r="AI58" s="190">
        <v>0</v>
      </c>
      <c r="AJ58" s="190">
        <v>0</v>
      </c>
      <c r="AK58" s="190">
        <v>0</v>
      </c>
      <c r="AL58" s="190">
        <v>0</v>
      </c>
      <c r="AM58" s="190">
        <v>0</v>
      </c>
      <c r="AN58" s="190">
        <v>0</v>
      </c>
      <c r="AO58" s="190">
        <v>0</v>
      </c>
      <c r="AP58" s="190">
        <v>0</v>
      </c>
      <c r="AQ58" s="190">
        <v>0</v>
      </c>
    </row>
    <row r="59" spans="1:43" x14ac:dyDescent="0.25">
      <c r="A59" s="190" t="s">
        <v>197</v>
      </c>
      <c r="B59" s="190">
        <v>0</v>
      </c>
      <c r="C59" s="190">
        <v>40310003.530000001</v>
      </c>
      <c r="D59" s="190">
        <v>0</v>
      </c>
      <c r="E59" s="190">
        <v>272067756.31999999</v>
      </c>
      <c r="F59" s="190">
        <v>0</v>
      </c>
      <c r="G59" s="190">
        <v>215668922.47999999</v>
      </c>
      <c r="H59" s="190">
        <v>0</v>
      </c>
      <c r="I59" s="190">
        <v>63806734.82</v>
      </c>
      <c r="J59" s="190">
        <v>0</v>
      </c>
      <c r="K59" s="190">
        <v>12391560.6</v>
      </c>
      <c r="L59" s="190">
        <v>0</v>
      </c>
      <c r="M59" s="190">
        <v>-42631526.310000002</v>
      </c>
      <c r="N59" s="190">
        <v>0</v>
      </c>
      <c r="O59" s="190">
        <v>6383541.3399999999</v>
      </c>
      <c r="P59" s="190">
        <v>0</v>
      </c>
      <c r="Q59" s="190">
        <v>34497124.119999997</v>
      </c>
      <c r="R59" s="190">
        <v>0</v>
      </c>
      <c r="S59" s="190">
        <v>8961765.1099999994</v>
      </c>
      <c r="T59" s="190">
        <v>0</v>
      </c>
      <c r="U59" s="190">
        <v>25071294.82</v>
      </c>
      <c r="V59" s="190">
        <v>0</v>
      </c>
      <c r="W59" s="190">
        <v>12913120.300000001</v>
      </c>
      <c r="X59" s="190">
        <v>0</v>
      </c>
      <c r="Y59" s="190">
        <v>1950668.37</v>
      </c>
      <c r="Z59" s="190">
        <v>0</v>
      </c>
      <c r="AA59" s="190">
        <v>-39133779.310000002</v>
      </c>
      <c r="AB59" s="190">
        <v>0</v>
      </c>
      <c r="AC59" s="190">
        <v>-81941409.480000004</v>
      </c>
      <c r="AD59" s="190">
        <v>0</v>
      </c>
      <c r="AE59" s="190">
        <v>-36101836.869999997</v>
      </c>
      <c r="AF59" s="190">
        <v>0</v>
      </c>
      <c r="AG59" s="190">
        <v>-21198480.52</v>
      </c>
      <c r="AH59" s="190">
        <v>0</v>
      </c>
      <c r="AI59" s="190">
        <v>-3525353.35</v>
      </c>
      <c r="AJ59" s="190">
        <v>0</v>
      </c>
      <c r="AK59" s="190">
        <v>-9319010.3599999994</v>
      </c>
      <c r="AL59" s="190">
        <v>0</v>
      </c>
      <c r="AM59" s="190">
        <v>-5789333.0800000001</v>
      </c>
      <c r="AN59" s="190">
        <v>0</v>
      </c>
      <c r="AO59" s="190">
        <v>-5998368.6100000003</v>
      </c>
      <c r="AP59" s="190">
        <v>-3496310.23</v>
      </c>
      <c r="AQ59" s="190">
        <v>0</v>
      </c>
    </row>
    <row r="60" spans="1:43" x14ac:dyDescent="0.25">
      <c r="A60" s="190" t="s">
        <v>273</v>
      </c>
      <c r="B60" s="190">
        <v>0</v>
      </c>
      <c r="C60" s="190">
        <v>-78267116.159999996</v>
      </c>
      <c r="D60" s="190">
        <v>0</v>
      </c>
      <c r="E60" s="190">
        <v>-44650105.119999997</v>
      </c>
      <c r="F60" s="190">
        <v>0</v>
      </c>
      <c r="G60" s="190">
        <v>-49652189.100000001</v>
      </c>
      <c r="H60" s="190">
        <v>0</v>
      </c>
      <c r="I60" s="190">
        <v>-40493287.659999996</v>
      </c>
      <c r="J60" s="190">
        <v>0</v>
      </c>
      <c r="K60" s="190">
        <v>-26451500.899999999</v>
      </c>
      <c r="L60" s="190">
        <v>0</v>
      </c>
      <c r="M60" s="190">
        <v>-148673437.25</v>
      </c>
      <c r="N60" s="190">
        <v>0</v>
      </c>
      <c r="O60" s="190">
        <v>-79164642.849999994</v>
      </c>
      <c r="P60" s="190">
        <v>0</v>
      </c>
      <c r="Q60" s="190">
        <v>-151024364.74000001</v>
      </c>
      <c r="R60" s="190">
        <v>0</v>
      </c>
      <c r="S60" s="190">
        <v>-61780361.670000002</v>
      </c>
      <c r="T60" s="190">
        <v>0</v>
      </c>
      <c r="U60" s="190">
        <v>-38674251.789999999</v>
      </c>
      <c r="V60" s="190">
        <v>0</v>
      </c>
      <c r="W60" s="190">
        <v>-13116304.060000001</v>
      </c>
      <c r="X60" s="190">
        <v>0</v>
      </c>
      <c r="Y60" s="190">
        <v>295093.96000000002</v>
      </c>
      <c r="Z60" s="190">
        <v>0</v>
      </c>
      <c r="AA60" s="190">
        <v>96220.07</v>
      </c>
      <c r="AB60" s="190">
        <v>0</v>
      </c>
      <c r="AC60" s="190">
        <v>-1521343.94</v>
      </c>
      <c r="AD60" s="190">
        <v>0</v>
      </c>
      <c r="AE60" s="190">
        <v>-1521343.94</v>
      </c>
      <c r="AF60" s="190">
        <v>0</v>
      </c>
      <c r="AG60" s="190">
        <v>-3344701.73</v>
      </c>
      <c r="AH60" s="190">
        <v>0</v>
      </c>
      <c r="AI60" s="190">
        <v>499972.93</v>
      </c>
      <c r="AJ60" s="190">
        <v>0</v>
      </c>
      <c r="AK60" s="190">
        <v>1033334.25</v>
      </c>
      <c r="AL60" s="190">
        <v>0</v>
      </c>
      <c r="AM60" s="190">
        <v>1552451.92</v>
      </c>
      <c r="AN60" s="190">
        <v>0</v>
      </c>
      <c r="AO60" s="190">
        <v>2409204.52</v>
      </c>
      <c r="AP60" s="190">
        <v>0</v>
      </c>
      <c r="AQ60" s="190">
        <v>0</v>
      </c>
    </row>
    <row r="61" spans="1:43" x14ac:dyDescent="0.25">
      <c r="A61" s="190" t="s">
        <v>274</v>
      </c>
      <c r="B61" s="190">
        <v>0</v>
      </c>
      <c r="C61" s="190">
        <v>-51896405.740000002</v>
      </c>
      <c r="D61" s="190">
        <v>0</v>
      </c>
      <c r="E61" s="190">
        <v>-103759710.79000001</v>
      </c>
      <c r="F61" s="190">
        <v>0</v>
      </c>
      <c r="G61" s="190">
        <v>-59014226.880000003</v>
      </c>
      <c r="H61" s="190">
        <v>0</v>
      </c>
      <c r="I61" s="190">
        <v>-114039166.89</v>
      </c>
      <c r="J61" s="190">
        <v>0</v>
      </c>
      <c r="K61" s="190">
        <v>-65021210.229999997</v>
      </c>
      <c r="L61" s="190">
        <v>0</v>
      </c>
      <c r="M61" s="190">
        <v>-165132413.90000001</v>
      </c>
      <c r="N61" s="190">
        <v>0</v>
      </c>
      <c r="O61" s="190">
        <v>-38536589.109999999</v>
      </c>
      <c r="P61" s="190">
        <v>0</v>
      </c>
      <c r="Q61" s="190">
        <v>-32408732.969999999</v>
      </c>
      <c r="R61" s="190">
        <v>0</v>
      </c>
      <c r="S61" s="190">
        <v>-18017297.75</v>
      </c>
      <c r="T61" s="190">
        <v>0</v>
      </c>
      <c r="U61" s="190">
        <v>-25701098.239999998</v>
      </c>
      <c r="V61" s="190">
        <v>0</v>
      </c>
      <c r="W61" s="190">
        <v>-36900074.469999999</v>
      </c>
      <c r="X61" s="190">
        <v>0</v>
      </c>
      <c r="Y61" s="190">
        <v>14418351.77</v>
      </c>
      <c r="Z61" s="190">
        <v>0</v>
      </c>
      <c r="AA61" s="190">
        <v>-16450109.210000001</v>
      </c>
      <c r="AB61" s="190">
        <v>0</v>
      </c>
      <c r="AC61" s="190">
        <v>-5385247.4800000004</v>
      </c>
      <c r="AD61" s="190">
        <v>0</v>
      </c>
      <c r="AE61" s="190">
        <v>-13467195.560000001</v>
      </c>
      <c r="AF61" s="190">
        <v>0</v>
      </c>
      <c r="AG61" s="190">
        <v>-26159608.43</v>
      </c>
      <c r="AH61" s="190">
        <v>0</v>
      </c>
      <c r="AI61" s="190">
        <v>-10290727.33</v>
      </c>
      <c r="AJ61" s="190">
        <v>0</v>
      </c>
      <c r="AK61" s="190">
        <v>-6914913.0999999996</v>
      </c>
      <c r="AL61" s="190">
        <v>0</v>
      </c>
      <c r="AM61" s="190">
        <v>-8229846.4400000004</v>
      </c>
      <c r="AN61" s="190">
        <v>0</v>
      </c>
      <c r="AO61" s="190">
        <v>564527.61</v>
      </c>
      <c r="AP61" s="190">
        <v>-9335746.3000000007</v>
      </c>
      <c r="AQ61" s="190">
        <v>0</v>
      </c>
    </row>
    <row r="62" spans="1:43" x14ac:dyDescent="0.25">
      <c r="A62" s="190" t="s">
        <v>275</v>
      </c>
      <c r="B62" s="190">
        <v>0</v>
      </c>
      <c r="C62" s="190">
        <v>0</v>
      </c>
      <c r="D62" s="190">
        <v>0</v>
      </c>
      <c r="E62" s="190">
        <v>0</v>
      </c>
      <c r="F62" s="190">
        <v>0</v>
      </c>
      <c r="G62" s="190">
        <v>0</v>
      </c>
      <c r="H62" s="190">
        <v>0</v>
      </c>
      <c r="I62" s="190">
        <v>0</v>
      </c>
      <c r="J62" s="190">
        <v>0</v>
      </c>
      <c r="K62" s="190">
        <v>0</v>
      </c>
      <c r="L62" s="190">
        <v>0</v>
      </c>
      <c r="M62" s="190">
        <v>0</v>
      </c>
      <c r="N62" s="190">
        <v>0</v>
      </c>
      <c r="O62" s="190">
        <v>0</v>
      </c>
      <c r="P62" s="190">
        <v>0</v>
      </c>
      <c r="Q62" s="190">
        <v>0</v>
      </c>
      <c r="R62" s="190">
        <v>0</v>
      </c>
      <c r="S62" s="190">
        <v>0</v>
      </c>
      <c r="T62" s="190">
        <v>0</v>
      </c>
      <c r="U62" s="190">
        <v>0</v>
      </c>
      <c r="V62" s="190">
        <v>0</v>
      </c>
      <c r="W62" s="190">
        <v>0</v>
      </c>
      <c r="X62" s="190">
        <v>0</v>
      </c>
      <c r="Y62" s="190">
        <v>0</v>
      </c>
      <c r="Z62" s="190">
        <v>0</v>
      </c>
      <c r="AA62" s="190">
        <v>0</v>
      </c>
      <c r="AB62" s="190">
        <v>0</v>
      </c>
      <c r="AC62" s="190">
        <v>0</v>
      </c>
      <c r="AD62" s="190">
        <v>0</v>
      </c>
      <c r="AE62" s="190">
        <v>0</v>
      </c>
      <c r="AF62" s="190">
        <v>0</v>
      </c>
      <c r="AG62" s="190">
        <v>0</v>
      </c>
      <c r="AH62" s="190">
        <v>0</v>
      </c>
      <c r="AI62" s="190">
        <v>0</v>
      </c>
      <c r="AJ62" s="190">
        <v>0</v>
      </c>
      <c r="AK62" s="190">
        <v>0</v>
      </c>
      <c r="AL62" s="190">
        <v>0</v>
      </c>
      <c r="AM62" s="190">
        <v>0</v>
      </c>
      <c r="AN62" s="190">
        <v>0</v>
      </c>
      <c r="AO62" s="190">
        <v>0</v>
      </c>
      <c r="AP62" s="190">
        <v>0</v>
      </c>
      <c r="AQ62" s="190">
        <v>0</v>
      </c>
    </row>
    <row r="63" spans="1:43" x14ac:dyDescent="0.25">
      <c r="A63" s="190" t="s">
        <v>276</v>
      </c>
      <c r="B63" s="190">
        <v>0</v>
      </c>
      <c r="C63" s="190">
        <v>-689070559.38</v>
      </c>
      <c r="D63" s="190">
        <v>0</v>
      </c>
      <c r="E63" s="190">
        <v>-1269276296.3199999</v>
      </c>
      <c r="F63" s="190">
        <v>0</v>
      </c>
      <c r="G63" s="190">
        <v>-1145432144.8399999</v>
      </c>
      <c r="H63" s="190">
        <v>0</v>
      </c>
      <c r="I63" s="190">
        <v>-1018145212.13</v>
      </c>
      <c r="J63" s="190">
        <v>0</v>
      </c>
      <c r="K63" s="190">
        <v>-773769683.45000005</v>
      </c>
      <c r="L63" s="190">
        <v>0</v>
      </c>
      <c r="M63" s="190">
        <v>-541203699.08000004</v>
      </c>
      <c r="N63" s="190">
        <v>0</v>
      </c>
      <c r="O63" s="190">
        <v>-534205309.06999999</v>
      </c>
      <c r="P63" s="190">
        <v>0</v>
      </c>
      <c r="Q63" s="190">
        <v>-905598767.37</v>
      </c>
      <c r="R63" s="190">
        <v>0</v>
      </c>
      <c r="S63" s="190">
        <v>-630686756.04999995</v>
      </c>
      <c r="T63" s="190">
        <v>0</v>
      </c>
      <c r="U63" s="190">
        <v>-376774267.14999998</v>
      </c>
      <c r="V63" s="190">
        <v>0</v>
      </c>
      <c r="W63" s="190">
        <v>-247505149.75</v>
      </c>
      <c r="X63" s="190">
        <v>0</v>
      </c>
      <c r="Y63" s="190">
        <v>-274112692.54000002</v>
      </c>
      <c r="Z63" s="190">
        <v>0</v>
      </c>
      <c r="AA63" s="190">
        <v>-143885101.28999999</v>
      </c>
      <c r="AB63" s="190">
        <v>0</v>
      </c>
      <c r="AC63" s="190">
        <v>-122216981.42</v>
      </c>
      <c r="AD63" s="190">
        <v>0</v>
      </c>
      <c r="AE63" s="190">
        <v>-76980013.989999995</v>
      </c>
      <c r="AF63" s="190">
        <v>0</v>
      </c>
      <c r="AG63" s="190">
        <v>-259685942.62</v>
      </c>
      <c r="AH63" s="190">
        <v>0</v>
      </c>
      <c r="AI63" s="190">
        <v>-312304877.44</v>
      </c>
      <c r="AJ63" s="190">
        <v>0</v>
      </c>
      <c r="AK63" s="190">
        <v>-170785173.03999999</v>
      </c>
      <c r="AL63" s="190">
        <v>0</v>
      </c>
      <c r="AM63" s="190">
        <v>-12647319.32</v>
      </c>
      <c r="AN63" s="190">
        <v>0</v>
      </c>
      <c r="AO63" s="190">
        <v>-3286416.85</v>
      </c>
      <c r="AP63" s="190">
        <v>-96206686.209999993</v>
      </c>
      <c r="AQ63" s="190">
        <v>0</v>
      </c>
    </row>
    <row r="64" spans="1:43" x14ac:dyDescent="0.25">
      <c r="A64" s="190" t="s">
        <v>277</v>
      </c>
      <c r="B64" s="190">
        <v>0</v>
      </c>
      <c r="C64" s="190">
        <v>-1903396501.3800001</v>
      </c>
      <c r="D64" s="190">
        <v>0</v>
      </c>
      <c r="E64" s="190">
        <v>-4734950220.7600002</v>
      </c>
      <c r="F64" s="190">
        <v>0</v>
      </c>
      <c r="G64" s="190">
        <v>-2803131577.5300002</v>
      </c>
      <c r="H64" s="190">
        <v>0</v>
      </c>
      <c r="I64" s="190">
        <v>-3605922579.5700002</v>
      </c>
      <c r="J64" s="190">
        <v>0</v>
      </c>
      <c r="K64" s="190">
        <v>-1541798350.01</v>
      </c>
      <c r="L64" s="190">
        <v>0</v>
      </c>
      <c r="M64" s="190">
        <v>-5385319432.6099997</v>
      </c>
      <c r="N64" s="190">
        <v>0</v>
      </c>
      <c r="O64" s="190">
        <v>-2938003435.75</v>
      </c>
      <c r="P64" s="190">
        <v>0</v>
      </c>
      <c r="Q64" s="190">
        <v>-2857902731.8600001</v>
      </c>
      <c r="R64" s="190">
        <v>0</v>
      </c>
      <c r="S64" s="190">
        <v>-1557463966.3399999</v>
      </c>
      <c r="T64" s="190">
        <v>0</v>
      </c>
      <c r="U64" s="190">
        <v>-1772359126.22</v>
      </c>
      <c r="V64" s="190">
        <v>0</v>
      </c>
      <c r="W64" s="190">
        <v>-766152579.45000005</v>
      </c>
      <c r="X64" s="190">
        <v>0</v>
      </c>
      <c r="Y64" s="190">
        <v>-922723508.51999998</v>
      </c>
      <c r="Z64" s="190">
        <v>0</v>
      </c>
      <c r="AA64" s="190">
        <v>-428655659.39999998</v>
      </c>
      <c r="AB64" s="190">
        <v>0</v>
      </c>
      <c r="AC64" s="190">
        <v>-657589648.41999996</v>
      </c>
      <c r="AD64" s="190">
        <v>0</v>
      </c>
      <c r="AE64" s="190">
        <v>-455577996.61000001</v>
      </c>
      <c r="AF64" s="190">
        <v>0</v>
      </c>
      <c r="AG64" s="190">
        <v>-386490001.5</v>
      </c>
      <c r="AH64" s="190">
        <v>0</v>
      </c>
      <c r="AI64" s="190">
        <v>-217055550.99000001</v>
      </c>
      <c r="AJ64" s="190">
        <v>0</v>
      </c>
      <c r="AK64" s="190">
        <v>-131775941.59999999</v>
      </c>
      <c r="AL64" s="190">
        <v>0</v>
      </c>
      <c r="AM64" s="190">
        <v>-86547343.349999994</v>
      </c>
      <c r="AN64" s="190">
        <v>0</v>
      </c>
      <c r="AO64" s="190">
        <v>-84031685.420000002</v>
      </c>
      <c r="AP64" s="190">
        <v>-70346379.340000004</v>
      </c>
      <c r="AQ64" s="190">
        <v>0</v>
      </c>
    </row>
    <row r="65" spans="1:43" x14ac:dyDescent="0.25">
      <c r="A65" s="190" t="s">
        <v>278</v>
      </c>
      <c r="B65" s="190">
        <v>0</v>
      </c>
      <c r="C65" s="190">
        <v>-3414162059.4200001</v>
      </c>
      <c r="D65" s="190">
        <v>0</v>
      </c>
      <c r="E65" s="190">
        <v>3660640740.4899998</v>
      </c>
      <c r="F65" s="190">
        <v>0</v>
      </c>
      <c r="G65" s="190">
        <v>-1875392178.8199999</v>
      </c>
      <c r="H65" s="190">
        <v>0</v>
      </c>
      <c r="I65" s="190">
        <v>2817603821.0500002</v>
      </c>
      <c r="J65" s="190">
        <v>0</v>
      </c>
      <c r="K65" s="190">
        <v>-92118650.670000002</v>
      </c>
      <c r="L65" s="190">
        <v>0</v>
      </c>
      <c r="M65" s="190">
        <v>2952796637.27</v>
      </c>
      <c r="N65" s="190">
        <v>0</v>
      </c>
      <c r="O65" s="190">
        <v>-801894257.15999997</v>
      </c>
      <c r="P65" s="190">
        <v>0</v>
      </c>
      <c r="Q65" s="190">
        <v>2573833132.1399999</v>
      </c>
      <c r="R65" s="190">
        <v>0</v>
      </c>
      <c r="S65" s="190">
        <v>331117849.58999997</v>
      </c>
      <c r="T65" s="190">
        <v>0</v>
      </c>
      <c r="U65" s="190">
        <v>689514866.96000004</v>
      </c>
      <c r="V65" s="190">
        <v>0</v>
      </c>
      <c r="W65" s="190">
        <v>-259599764.46000001</v>
      </c>
      <c r="X65" s="190">
        <v>0</v>
      </c>
      <c r="Y65" s="190">
        <v>347123922.70999998</v>
      </c>
      <c r="Z65" s="190">
        <v>0</v>
      </c>
      <c r="AA65" s="190">
        <v>-353233993.26999998</v>
      </c>
      <c r="AB65" s="190">
        <v>0</v>
      </c>
      <c r="AC65" s="190">
        <v>493672358.19999999</v>
      </c>
      <c r="AD65" s="190">
        <v>0</v>
      </c>
      <c r="AE65" s="190">
        <v>-13046962.539999999</v>
      </c>
      <c r="AF65" s="190">
        <v>0</v>
      </c>
      <c r="AG65" s="190">
        <v>238955159.94</v>
      </c>
      <c r="AH65" s="190">
        <v>0</v>
      </c>
      <c r="AI65" s="190">
        <v>-63207712.060000002</v>
      </c>
      <c r="AJ65" s="190">
        <v>0</v>
      </c>
      <c r="AK65" s="190">
        <v>244349472.91</v>
      </c>
      <c r="AL65" s="190">
        <v>0</v>
      </c>
      <c r="AM65" s="190">
        <v>14693458.189999999</v>
      </c>
      <c r="AN65" s="190">
        <v>0</v>
      </c>
      <c r="AO65" s="190">
        <v>165127481.75</v>
      </c>
      <c r="AP65" s="190">
        <v>146368480.12</v>
      </c>
      <c r="AQ65" s="190">
        <v>0</v>
      </c>
    </row>
    <row r="66" spans="1:43" x14ac:dyDescent="0.25">
      <c r="A66" s="190" t="s">
        <v>279</v>
      </c>
      <c r="B66" s="190">
        <v>0</v>
      </c>
      <c r="C66" s="190">
        <v>0</v>
      </c>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0</v>
      </c>
      <c r="AG66" s="190">
        <v>0</v>
      </c>
      <c r="AH66" s="190">
        <v>0</v>
      </c>
      <c r="AI66" s="190">
        <v>0</v>
      </c>
      <c r="AJ66" s="190">
        <v>0</v>
      </c>
      <c r="AK66" s="190">
        <v>0</v>
      </c>
      <c r="AL66" s="190">
        <v>0</v>
      </c>
      <c r="AM66" s="190">
        <v>0</v>
      </c>
      <c r="AN66" s="190">
        <v>0</v>
      </c>
      <c r="AO66" s="190">
        <v>0</v>
      </c>
      <c r="AP66" s="190">
        <v>0</v>
      </c>
      <c r="AQ66" s="190">
        <v>0</v>
      </c>
    </row>
    <row r="67" spans="1:43" x14ac:dyDescent="0.25">
      <c r="A67" s="190" t="s">
        <v>280</v>
      </c>
      <c r="B67" s="190">
        <v>0</v>
      </c>
      <c r="C67" s="190">
        <v>0</v>
      </c>
      <c r="D67" s="190">
        <v>0</v>
      </c>
      <c r="E67" s="190">
        <v>0</v>
      </c>
      <c r="F67" s="190">
        <v>0</v>
      </c>
      <c r="G67" s="190">
        <v>0</v>
      </c>
      <c r="H67" s="190">
        <v>0</v>
      </c>
      <c r="I67" s="190">
        <v>0</v>
      </c>
      <c r="J67" s="190">
        <v>0</v>
      </c>
      <c r="K67" s="190">
        <v>0</v>
      </c>
      <c r="L67" s="190">
        <v>0</v>
      </c>
      <c r="M67" s="190">
        <v>0</v>
      </c>
      <c r="N67" s="190">
        <v>0</v>
      </c>
      <c r="O67" s="190">
        <v>0</v>
      </c>
      <c r="P67" s="190">
        <v>0</v>
      </c>
      <c r="Q67" s="190">
        <v>0</v>
      </c>
      <c r="R67" s="190">
        <v>0</v>
      </c>
      <c r="S67" s="190">
        <v>0</v>
      </c>
      <c r="T67" s="190">
        <v>0</v>
      </c>
      <c r="U67" s="190">
        <v>0</v>
      </c>
      <c r="V67" s="190">
        <v>0</v>
      </c>
      <c r="W67" s="190">
        <v>0</v>
      </c>
      <c r="X67" s="190">
        <v>0</v>
      </c>
      <c r="Y67" s="190">
        <v>0</v>
      </c>
      <c r="Z67" s="190">
        <v>0</v>
      </c>
      <c r="AA67" s="190">
        <v>0</v>
      </c>
      <c r="AB67" s="190">
        <v>0</v>
      </c>
      <c r="AC67" s="190">
        <v>0</v>
      </c>
      <c r="AD67" s="190">
        <v>0</v>
      </c>
      <c r="AE67" s="190">
        <v>0</v>
      </c>
      <c r="AF67" s="190">
        <v>0</v>
      </c>
      <c r="AG67" s="190">
        <v>0</v>
      </c>
      <c r="AH67" s="190">
        <v>0</v>
      </c>
      <c r="AI67" s="190">
        <v>0</v>
      </c>
      <c r="AJ67" s="190">
        <v>0</v>
      </c>
      <c r="AK67" s="190">
        <v>0</v>
      </c>
      <c r="AL67" s="190">
        <v>0</v>
      </c>
      <c r="AM67" s="190">
        <v>0</v>
      </c>
      <c r="AN67" s="190">
        <v>0</v>
      </c>
      <c r="AO67" s="190">
        <v>0</v>
      </c>
      <c r="AP67" s="190">
        <v>0</v>
      </c>
      <c r="AQ67" s="190">
        <v>0</v>
      </c>
    </row>
    <row r="68" spans="1:43" x14ac:dyDescent="0.25">
      <c r="A68" s="190" t="s">
        <v>281</v>
      </c>
      <c r="B68" s="190">
        <v>0</v>
      </c>
      <c r="C68" s="190">
        <v>0</v>
      </c>
      <c r="D68" s="190">
        <v>0</v>
      </c>
      <c r="E68" s="190">
        <v>0</v>
      </c>
      <c r="F68" s="190">
        <v>0</v>
      </c>
      <c r="G68" s="190">
        <v>0</v>
      </c>
      <c r="H68" s="190">
        <v>0</v>
      </c>
      <c r="I68" s="190">
        <v>0</v>
      </c>
      <c r="J68" s="190">
        <v>0</v>
      </c>
      <c r="K68" s="190">
        <v>0</v>
      </c>
      <c r="L68" s="190">
        <v>0</v>
      </c>
      <c r="M68" s="190">
        <v>155695500.62</v>
      </c>
      <c r="N68" s="190">
        <v>0</v>
      </c>
      <c r="O68" s="190">
        <v>0</v>
      </c>
      <c r="P68" s="190">
        <v>0</v>
      </c>
      <c r="Q68" s="190">
        <v>74605739.519999996</v>
      </c>
      <c r="R68" s="190">
        <v>0</v>
      </c>
      <c r="S68" s="190">
        <v>0</v>
      </c>
      <c r="T68" s="190">
        <v>0</v>
      </c>
      <c r="U68" s="190">
        <v>55633490.899999999</v>
      </c>
      <c r="V68" s="190">
        <v>0</v>
      </c>
      <c r="W68" s="190">
        <v>0</v>
      </c>
      <c r="X68" s="190">
        <v>0</v>
      </c>
      <c r="Y68" s="190">
        <v>18088365.48</v>
      </c>
      <c r="Z68" s="190">
        <v>0</v>
      </c>
      <c r="AA68" s="190">
        <v>0</v>
      </c>
      <c r="AB68" s="190">
        <v>0</v>
      </c>
      <c r="AC68" s="190">
        <v>0</v>
      </c>
      <c r="AD68" s="190">
        <v>0</v>
      </c>
      <c r="AE68" s="190">
        <v>0</v>
      </c>
      <c r="AF68" s="190">
        <v>0</v>
      </c>
      <c r="AG68" s="190">
        <v>0</v>
      </c>
      <c r="AH68" s="190">
        <v>0</v>
      </c>
      <c r="AI68" s="190">
        <v>0</v>
      </c>
      <c r="AJ68" s="190">
        <v>0</v>
      </c>
      <c r="AK68" s="190">
        <v>-2197199.35</v>
      </c>
      <c r="AL68" s="190">
        <v>0</v>
      </c>
      <c r="AM68" s="190">
        <v>0</v>
      </c>
      <c r="AN68" s="190">
        <v>0</v>
      </c>
      <c r="AO68" s="190">
        <v>500000</v>
      </c>
      <c r="AP68" s="190">
        <v>800000</v>
      </c>
      <c r="AQ68" s="190">
        <v>0</v>
      </c>
    </row>
    <row r="69" spans="1:43" x14ac:dyDescent="0.25">
      <c r="A69" s="190" t="s">
        <v>282</v>
      </c>
      <c r="B69" s="190">
        <v>0</v>
      </c>
      <c r="C69" s="190">
        <v>-1621193358</v>
      </c>
      <c r="D69" s="190">
        <v>0</v>
      </c>
      <c r="E69" s="190">
        <v>7373160250.6800003</v>
      </c>
      <c r="F69" s="190">
        <v>0</v>
      </c>
      <c r="G69" s="190">
        <v>-1942800802.4200001</v>
      </c>
      <c r="H69" s="190">
        <v>0</v>
      </c>
      <c r="I69" s="190">
        <v>6213692160.5600004</v>
      </c>
      <c r="J69" s="190">
        <v>0</v>
      </c>
      <c r="K69" s="190">
        <v>397807256.48000002</v>
      </c>
      <c r="L69" s="190">
        <v>0</v>
      </c>
      <c r="M69" s="190">
        <v>3216722169.1700001</v>
      </c>
      <c r="N69" s="190">
        <v>0</v>
      </c>
      <c r="O69" s="190">
        <v>-1919159126.2</v>
      </c>
      <c r="P69" s="190">
        <v>0</v>
      </c>
      <c r="Q69" s="190">
        <v>3706420782.04</v>
      </c>
      <c r="R69" s="190">
        <v>0</v>
      </c>
      <c r="S69" s="190">
        <v>-242521748.16</v>
      </c>
      <c r="T69" s="190">
        <v>0</v>
      </c>
      <c r="U69" s="190">
        <v>1863365811.6300001</v>
      </c>
      <c r="V69" s="190">
        <v>0</v>
      </c>
      <c r="W69" s="190">
        <v>-202269204.16</v>
      </c>
      <c r="X69" s="190">
        <v>0</v>
      </c>
      <c r="Y69" s="190">
        <v>1436789861.4200001</v>
      </c>
      <c r="Z69" s="190">
        <v>0</v>
      </c>
      <c r="AA69" s="190">
        <v>-166218584.12</v>
      </c>
      <c r="AB69" s="190">
        <v>0</v>
      </c>
      <c r="AC69" s="190">
        <v>1170461433.24</v>
      </c>
      <c r="AD69" s="190">
        <v>0</v>
      </c>
      <c r="AE69" s="190">
        <v>-23340255.57</v>
      </c>
      <c r="AF69" s="190">
        <v>0</v>
      </c>
      <c r="AG69" s="190">
        <v>663926032.74000001</v>
      </c>
      <c r="AH69" s="190">
        <v>0</v>
      </c>
      <c r="AI69" s="190">
        <v>-205173007.93000001</v>
      </c>
      <c r="AJ69" s="190">
        <v>0</v>
      </c>
      <c r="AK69" s="190">
        <v>654000395.26999998</v>
      </c>
      <c r="AL69" s="190">
        <v>0</v>
      </c>
      <c r="AM69" s="190">
        <v>168225609.65000001</v>
      </c>
      <c r="AN69" s="190">
        <v>0</v>
      </c>
      <c r="AO69" s="190">
        <v>647042066.62</v>
      </c>
      <c r="AP69" s="190">
        <v>356650987.49000001</v>
      </c>
      <c r="AQ69" s="190">
        <v>0</v>
      </c>
    </row>
    <row r="70" spans="1:43" x14ac:dyDescent="0.25">
      <c r="A70" s="190" t="s">
        <v>283</v>
      </c>
      <c r="B70" s="190">
        <v>0</v>
      </c>
      <c r="C70" s="190">
        <v>0</v>
      </c>
      <c r="D70" s="190">
        <v>0</v>
      </c>
      <c r="E70" s="190">
        <v>0</v>
      </c>
      <c r="F70" s="190">
        <v>0</v>
      </c>
      <c r="G70" s="190">
        <v>0</v>
      </c>
      <c r="H70" s="190">
        <v>0</v>
      </c>
      <c r="I70" s="190">
        <v>0</v>
      </c>
      <c r="J70" s="190">
        <v>0</v>
      </c>
      <c r="K70" s="190">
        <v>0</v>
      </c>
      <c r="L70" s="190">
        <v>0</v>
      </c>
      <c r="M70" s="190">
        <v>0</v>
      </c>
      <c r="N70" s="190">
        <v>0</v>
      </c>
      <c r="O70" s="190">
        <v>0</v>
      </c>
      <c r="P70" s="190">
        <v>0</v>
      </c>
      <c r="Q70" s="190">
        <v>0</v>
      </c>
      <c r="R70" s="190">
        <v>0</v>
      </c>
      <c r="S70" s="190">
        <v>0</v>
      </c>
      <c r="T70" s="190">
        <v>0</v>
      </c>
      <c r="U70" s="190">
        <v>0</v>
      </c>
      <c r="V70" s="190">
        <v>0</v>
      </c>
      <c r="W70" s="190">
        <v>0</v>
      </c>
      <c r="X70" s="190">
        <v>0</v>
      </c>
      <c r="Y70" s="190">
        <v>0</v>
      </c>
      <c r="Z70" s="190">
        <v>0</v>
      </c>
      <c r="AA70" s="190">
        <v>0</v>
      </c>
      <c r="AB70" s="190">
        <v>0</v>
      </c>
      <c r="AC70" s="190">
        <v>0</v>
      </c>
      <c r="AD70" s="190">
        <v>0</v>
      </c>
      <c r="AE70" s="190">
        <v>0</v>
      </c>
      <c r="AF70" s="190">
        <v>0</v>
      </c>
      <c r="AG70" s="190">
        <v>0</v>
      </c>
      <c r="AH70" s="190">
        <v>0</v>
      </c>
      <c r="AI70" s="190">
        <v>0</v>
      </c>
      <c r="AJ70" s="190">
        <v>0</v>
      </c>
      <c r="AK70" s="190">
        <v>0</v>
      </c>
      <c r="AL70" s="190">
        <v>0</v>
      </c>
      <c r="AM70" s="190">
        <v>0</v>
      </c>
      <c r="AN70" s="190">
        <v>0</v>
      </c>
      <c r="AO70" s="190">
        <v>0</v>
      </c>
      <c r="AP70" s="190">
        <v>0</v>
      </c>
      <c r="AQ70" s="190">
        <v>0</v>
      </c>
    </row>
    <row r="71" spans="1:43" x14ac:dyDescent="0.25">
      <c r="A71" s="190" t="s">
        <v>284</v>
      </c>
      <c r="B71" s="190">
        <v>0</v>
      </c>
      <c r="C71" s="190">
        <v>0</v>
      </c>
      <c r="D71" s="190">
        <v>0</v>
      </c>
      <c r="E71" s="190">
        <v>0</v>
      </c>
      <c r="F71" s="190">
        <v>0</v>
      </c>
      <c r="G71" s="190">
        <v>0</v>
      </c>
      <c r="H71" s="190">
        <v>0</v>
      </c>
      <c r="I71" s="190">
        <v>0</v>
      </c>
      <c r="J71" s="190">
        <v>0</v>
      </c>
      <c r="K71" s="190">
        <v>0</v>
      </c>
      <c r="L71" s="190">
        <v>0</v>
      </c>
      <c r="M71" s="190">
        <v>0</v>
      </c>
      <c r="N71" s="190">
        <v>0</v>
      </c>
      <c r="O71" s="190">
        <v>0</v>
      </c>
      <c r="P71" s="190">
        <v>0</v>
      </c>
      <c r="Q71" s="190">
        <v>0</v>
      </c>
      <c r="R71" s="190">
        <v>0</v>
      </c>
      <c r="S71" s="190">
        <v>0</v>
      </c>
      <c r="T71" s="190">
        <v>0</v>
      </c>
      <c r="U71" s="190">
        <v>0</v>
      </c>
      <c r="V71" s="190">
        <v>0</v>
      </c>
      <c r="W71" s="190">
        <v>0</v>
      </c>
      <c r="X71" s="190">
        <v>0</v>
      </c>
      <c r="Y71" s="190">
        <v>0</v>
      </c>
      <c r="Z71" s="190">
        <v>0</v>
      </c>
      <c r="AA71" s="190">
        <v>0</v>
      </c>
      <c r="AB71" s="190">
        <v>0</v>
      </c>
      <c r="AC71" s="190">
        <v>0</v>
      </c>
      <c r="AD71" s="190">
        <v>0</v>
      </c>
      <c r="AE71" s="190">
        <v>0</v>
      </c>
      <c r="AF71" s="190">
        <v>0</v>
      </c>
      <c r="AG71" s="190">
        <v>0</v>
      </c>
      <c r="AH71" s="190">
        <v>0</v>
      </c>
      <c r="AI71" s="190">
        <v>0</v>
      </c>
      <c r="AJ71" s="190">
        <v>0</v>
      </c>
      <c r="AK71" s="190">
        <v>0</v>
      </c>
      <c r="AL71" s="190">
        <v>0</v>
      </c>
      <c r="AM71" s="190">
        <v>0</v>
      </c>
      <c r="AN71" s="190">
        <v>0</v>
      </c>
      <c r="AO71" s="190">
        <v>0</v>
      </c>
      <c r="AP71" s="190">
        <v>0</v>
      </c>
      <c r="AQ71" s="190">
        <v>0</v>
      </c>
    </row>
    <row r="72" spans="1:43" x14ac:dyDescent="0.25">
      <c r="A72" s="190" t="s">
        <v>285</v>
      </c>
      <c r="B72" s="190">
        <v>0</v>
      </c>
      <c r="C72" s="190">
        <v>0</v>
      </c>
      <c r="D72" s="190">
        <v>0</v>
      </c>
      <c r="E72" s="190">
        <v>0</v>
      </c>
      <c r="F72" s="190">
        <v>0</v>
      </c>
      <c r="G72" s="190">
        <v>0</v>
      </c>
      <c r="H72" s="190">
        <v>0</v>
      </c>
      <c r="I72" s="190">
        <v>0</v>
      </c>
      <c r="J72" s="190">
        <v>0</v>
      </c>
      <c r="K72" s="190">
        <v>0</v>
      </c>
      <c r="L72" s="190">
        <v>0</v>
      </c>
      <c r="M72" s="190">
        <v>0</v>
      </c>
      <c r="N72" s="190">
        <v>0</v>
      </c>
      <c r="O72" s="190">
        <v>0</v>
      </c>
      <c r="P72" s="190">
        <v>0</v>
      </c>
      <c r="Q72" s="190">
        <v>0</v>
      </c>
      <c r="R72" s="190">
        <v>0</v>
      </c>
      <c r="S72" s="190">
        <v>0</v>
      </c>
      <c r="T72" s="190">
        <v>0</v>
      </c>
      <c r="U72" s="190">
        <v>0</v>
      </c>
      <c r="V72" s="190">
        <v>0</v>
      </c>
      <c r="W72" s="190">
        <v>0</v>
      </c>
      <c r="X72" s="190">
        <v>0</v>
      </c>
      <c r="Y72" s="190">
        <v>0</v>
      </c>
      <c r="Z72" s="190">
        <v>0</v>
      </c>
      <c r="AA72" s="190">
        <v>0</v>
      </c>
      <c r="AB72" s="190">
        <v>0</v>
      </c>
      <c r="AC72" s="190">
        <v>0</v>
      </c>
      <c r="AD72" s="190">
        <v>0</v>
      </c>
      <c r="AE72" s="190">
        <v>0</v>
      </c>
      <c r="AF72" s="190">
        <v>0</v>
      </c>
      <c r="AG72" s="190">
        <v>0</v>
      </c>
      <c r="AH72" s="190">
        <v>0</v>
      </c>
      <c r="AI72" s="190">
        <v>0</v>
      </c>
      <c r="AJ72" s="190">
        <v>0</v>
      </c>
      <c r="AK72" s="190">
        <v>0</v>
      </c>
      <c r="AL72" s="190">
        <v>0</v>
      </c>
      <c r="AM72" s="190">
        <v>0</v>
      </c>
      <c r="AN72" s="190">
        <v>0</v>
      </c>
      <c r="AO72" s="190">
        <v>0</v>
      </c>
      <c r="AP72" s="190">
        <v>0</v>
      </c>
      <c r="AQ72" s="190">
        <v>0</v>
      </c>
    </row>
    <row r="73" spans="1:43" x14ac:dyDescent="0.25">
      <c r="A73" s="190" t="s">
        <v>286</v>
      </c>
      <c r="B73" s="190">
        <v>0</v>
      </c>
      <c r="C73" s="190">
        <v>12966520217.540001</v>
      </c>
      <c r="D73" s="190">
        <v>0</v>
      </c>
      <c r="E73" s="190">
        <v>16029185269.17</v>
      </c>
      <c r="F73" s="190">
        <v>0</v>
      </c>
      <c r="G73" s="190">
        <v>12526354618.559999</v>
      </c>
      <c r="H73" s="190">
        <v>0</v>
      </c>
      <c r="I73" s="190">
        <v>13519252711.9</v>
      </c>
      <c r="J73" s="190">
        <v>0</v>
      </c>
      <c r="K73" s="190">
        <v>9877964949.6900005</v>
      </c>
      <c r="L73" s="190">
        <v>0</v>
      </c>
      <c r="M73" s="190">
        <v>10033033476.299999</v>
      </c>
      <c r="N73" s="190">
        <v>0</v>
      </c>
      <c r="O73" s="190">
        <v>6256894418.4899998</v>
      </c>
      <c r="P73" s="190">
        <v>0</v>
      </c>
      <c r="Q73" s="190">
        <v>7111254725.6000004</v>
      </c>
      <c r="R73" s="190">
        <v>0</v>
      </c>
      <c r="S73" s="190">
        <v>3990020293.0999999</v>
      </c>
      <c r="T73" s="190">
        <v>0</v>
      </c>
      <c r="U73" s="190">
        <v>4584132819.21</v>
      </c>
      <c r="V73" s="190">
        <v>0</v>
      </c>
      <c r="W73" s="190">
        <v>4630414742.4799995</v>
      </c>
      <c r="X73" s="190">
        <v>0</v>
      </c>
      <c r="Y73" s="190">
        <v>5533662737.5</v>
      </c>
      <c r="Z73" s="190">
        <v>0</v>
      </c>
      <c r="AA73" s="190">
        <v>4591850771.29</v>
      </c>
      <c r="AB73" s="190">
        <v>0</v>
      </c>
      <c r="AC73" s="190">
        <v>5244141523.8900003</v>
      </c>
      <c r="AD73" s="190">
        <v>0</v>
      </c>
      <c r="AE73" s="190">
        <v>4190739251.4699998</v>
      </c>
      <c r="AF73" s="190">
        <v>4380139265.7799997</v>
      </c>
      <c r="AG73" s="190">
        <v>4649064936.8500004</v>
      </c>
      <c r="AH73" s="190">
        <v>3813237965.3800001</v>
      </c>
      <c r="AI73" s="190">
        <v>4143244871.6999998</v>
      </c>
      <c r="AJ73" s="190">
        <v>733946930</v>
      </c>
      <c r="AK73" s="190">
        <v>1120737422.7</v>
      </c>
      <c r="AL73" s="190">
        <v>845438999.34000003</v>
      </c>
      <c r="AM73" s="190">
        <v>796217986.26999998</v>
      </c>
      <c r="AN73" s="190">
        <v>581997996.20000005</v>
      </c>
      <c r="AO73" s="190">
        <v>844361117.83000004</v>
      </c>
      <c r="AP73" s="190">
        <v>421714996.70999998</v>
      </c>
      <c r="AQ73" s="190">
        <v>0</v>
      </c>
    </row>
    <row r="74" spans="1:43" x14ac:dyDescent="0.25">
      <c r="A74" s="190" t="s">
        <v>287</v>
      </c>
      <c r="B74" s="190">
        <v>0</v>
      </c>
      <c r="C74" s="190">
        <v>16029185269.17</v>
      </c>
      <c r="D74" s="190">
        <v>0</v>
      </c>
      <c r="E74" s="190">
        <v>13522337697.280001</v>
      </c>
      <c r="F74" s="190">
        <v>0</v>
      </c>
      <c r="G74" s="190">
        <v>13522337697.280001</v>
      </c>
      <c r="H74" s="190">
        <v>0</v>
      </c>
      <c r="I74" s="190">
        <v>10033033476.299999</v>
      </c>
      <c r="J74" s="190">
        <v>0</v>
      </c>
      <c r="K74" s="190">
        <v>10033033476.299999</v>
      </c>
      <c r="L74" s="190">
        <v>0</v>
      </c>
      <c r="M74" s="190">
        <v>7111254725.6000004</v>
      </c>
      <c r="N74" s="190">
        <v>0</v>
      </c>
      <c r="O74" s="190">
        <v>7111254725.6000004</v>
      </c>
      <c r="P74" s="190">
        <v>0</v>
      </c>
      <c r="Q74" s="190">
        <v>4584132819.21</v>
      </c>
      <c r="R74" s="190">
        <v>0</v>
      </c>
      <c r="S74" s="190">
        <v>4584132819.21</v>
      </c>
      <c r="T74" s="190">
        <v>0</v>
      </c>
      <c r="U74" s="190">
        <v>5533662737.5</v>
      </c>
      <c r="V74" s="190">
        <v>0</v>
      </c>
      <c r="W74" s="190">
        <v>5533662737.5</v>
      </c>
      <c r="X74" s="190">
        <v>0</v>
      </c>
      <c r="Y74" s="190">
        <v>5244141523.8900003</v>
      </c>
      <c r="Z74" s="190">
        <v>0</v>
      </c>
      <c r="AA74" s="190">
        <v>5244141523.8900003</v>
      </c>
      <c r="AB74" s="190">
        <v>0</v>
      </c>
      <c r="AC74" s="190">
        <v>4649064936.8500004</v>
      </c>
      <c r="AD74" s="190">
        <v>0</v>
      </c>
      <c r="AE74" s="190">
        <v>4649064936.8500004</v>
      </c>
      <c r="AF74" s="190">
        <v>4649064936.8500004</v>
      </c>
      <c r="AG74" s="190">
        <v>1120737422.7</v>
      </c>
      <c r="AH74" s="190">
        <v>1120737422.7</v>
      </c>
      <c r="AI74" s="190">
        <v>1120737422.7</v>
      </c>
      <c r="AJ74" s="190">
        <v>1120737422.7</v>
      </c>
      <c r="AK74" s="190">
        <v>844361117.83000004</v>
      </c>
      <c r="AL74" s="190">
        <v>844361117.83000004</v>
      </c>
      <c r="AM74" s="190">
        <v>844361117.83000004</v>
      </c>
      <c r="AN74" s="190">
        <v>844361117.83000004</v>
      </c>
      <c r="AO74" s="190">
        <v>421714996.70999998</v>
      </c>
      <c r="AP74" s="190">
        <v>179005164.68000001</v>
      </c>
      <c r="AQ74" s="190">
        <v>0</v>
      </c>
    </row>
    <row r="75" spans="1:43" x14ac:dyDescent="0.25">
      <c r="A75" s="190" t="s">
        <v>288</v>
      </c>
      <c r="B75" s="190">
        <v>0</v>
      </c>
      <c r="C75" s="190">
        <v>0</v>
      </c>
      <c r="D75" s="190">
        <v>0</v>
      </c>
      <c r="E75" s="190">
        <v>0</v>
      </c>
      <c r="F75" s="190">
        <v>0</v>
      </c>
      <c r="G75" s="190">
        <v>0</v>
      </c>
      <c r="H75" s="190">
        <v>0</v>
      </c>
      <c r="I75" s="190">
        <v>0</v>
      </c>
      <c r="J75" s="190">
        <v>0</v>
      </c>
      <c r="K75" s="190">
        <v>0</v>
      </c>
      <c r="L75" s="190">
        <v>0</v>
      </c>
      <c r="M75" s="190">
        <v>0</v>
      </c>
      <c r="N75" s="190">
        <v>0</v>
      </c>
      <c r="O75" s="190">
        <v>0</v>
      </c>
      <c r="P75" s="190">
        <v>0</v>
      </c>
      <c r="Q75" s="190">
        <v>0</v>
      </c>
      <c r="R75" s="190">
        <v>0</v>
      </c>
      <c r="S75" s="190">
        <v>0</v>
      </c>
      <c r="T75" s="190">
        <v>0</v>
      </c>
      <c r="U75" s="190">
        <v>0</v>
      </c>
      <c r="V75" s="190">
        <v>0</v>
      </c>
      <c r="W75" s="190">
        <v>0</v>
      </c>
      <c r="X75" s="190">
        <v>0</v>
      </c>
      <c r="Y75" s="190">
        <v>0</v>
      </c>
      <c r="Z75" s="190">
        <v>0</v>
      </c>
      <c r="AA75" s="190">
        <v>0</v>
      </c>
      <c r="AB75" s="190">
        <v>0</v>
      </c>
      <c r="AC75" s="190">
        <v>0</v>
      </c>
      <c r="AD75" s="190">
        <v>0</v>
      </c>
      <c r="AE75" s="190">
        <v>0</v>
      </c>
      <c r="AF75" s="190">
        <v>0</v>
      </c>
      <c r="AG75" s="190">
        <v>0</v>
      </c>
      <c r="AH75" s="190">
        <v>0</v>
      </c>
      <c r="AI75" s="190">
        <v>0</v>
      </c>
      <c r="AJ75" s="190">
        <v>0</v>
      </c>
      <c r="AK75" s="190">
        <v>0</v>
      </c>
      <c r="AL75" s="190">
        <v>0</v>
      </c>
      <c r="AM75" s="190">
        <v>0</v>
      </c>
      <c r="AN75" s="190">
        <v>0</v>
      </c>
      <c r="AO75" s="190">
        <v>0</v>
      </c>
      <c r="AP75" s="190">
        <v>0</v>
      </c>
      <c r="AQ75" s="190">
        <v>0</v>
      </c>
    </row>
    <row r="76" spans="1:43" x14ac:dyDescent="0.25">
      <c r="A76" s="190" t="s">
        <v>289</v>
      </c>
      <c r="B76" s="190">
        <v>0</v>
      </c>
      <c r="C76" s="190">
        <v>0</v>
      </c>
      <c r="D76" s="190">
        <v>0</v>
      </c>
      <c r="E76" s="190">
        <v>0</v>
      </c>
      <c r="F76" s="190">
        <v>0</v>
      </c>
      <c r="G76" s="190">
        <v>0</v>
      </c>
      <c r="H76" s="190">
        <v>0</v>
      </c>
      <c r="I76" s="190">
        <v>0</v>
      </c>
      <c r="J76" s="190">
        <v>0</v>
      </c>
      <c r="K76" s="190">
        <v>0</v>
      </c>
      <c r="L76" s="190">
        <v>0</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row>
    <row r="77" spans="1:43" x14ac:dyDescent="0.25">
      <c r="A77" s="190" t="s">
        <v>290</v>
      </c>
      <c r="B77" s="190">
        <v>0</v>
      </c>
      <c r="C77" s="190">
        <v>-3062665051.6300001</v>
      </c>
      <c r="D77" s="190">
        <v>0</v>
      </c>
      <c r="E77" s="190">
        <v>2506847571.8899999</v>
      </c>
      <c r="F77" s="190">
        <v>0</v>
      </c>
      <c r="G77" s="190">
        <v>-995983078.72000003</v>
      </c>
      <c r="H77" s="190">
        <v>0</v>
      </c>
      <c r="I77" s="190">
        <v>3486219235.5999999</v>
      </c>
      <c r="J77" s="190">
        <v>0</v>
      </c>
      <c r="K77" s="190">
        <v>-155068526.61000001</v>
      </c>
      <c r="L77" s="190">
        <v>0</v>
      </c>
      <c r="M77" s="190">
        <v>2921778750.6999998</v>
      </c>
      <c r="N77" s="190">
        <v>0</v>
      </c>
      <c r="O77" s="190">
        <v>-854360307.11000001</v>
      </c>
      <c r="P77" s="190">
        <v>0</v>
      </c>
      <c r="Q77" s="190">
        <v>2527121906.3899999</v>
      </c>
      <c r="R77" s="190">
        <v>0</v>
      </c>
      <c r="S77" s="190">
        <v>-594112526.11000001</v>
      </c>
      <c r="T77" s="190">
        <v>0</v>
      </c>
      <c r="U77" s="190">
        <v>-949529918.28999996</v>
      </c>
      <c r="V77" s="190">
        <v>0</v>
      </c>
      <c r="W77" s="190">
        <v>-903247995.01999998</v>
      </c>
      <c r="X77" s="190">
        <v>0</v>
      </c>
      <c r="Y77" s="190">
        <v>289521213.61000001</v>
      </c>
      <c r="Z77" s="190">
        <v>0</v>
      </c>
      <c r="AA77" s="190">
        <v>-652290752.60000002</v>
      </c>
      <c r="AB77" s="190">
        <v>0</v>
      </c>
      <c r="AC77" s="190">
        <v>595076587.03999996</v>
      </c>
      <c r="AD77" s="190">
        <v>0</v>
      </c>
      <c r="AE77" s="190">
        <v>-458325685.38</v>
      </c>
      <c r="AF77" s="190">
        <v>-268925671.06999999</v>
      </c>
      <c r="AG77" s="190">
        <v>3528327514.1500001</v>
      </c>
      <c r="AH77" s="190">
        <v>2692500542.6799998</v>
      </c>
      <c r="AI77" s="190">
        <v>3022507449</v>
      </c>
      <c r="AJ77" s="190">
        <v>-386790492.69999999</v>
      </c>
      <c r="AK77" s="190">
        <v>276376304.87</v>
      </c>
      <c r="AL77" s="190">
        <v>1077881.51</v>
      </c>
      <c r="AM77" s="190">
        <v>-48143131.560000002</v>
      </c>
      <c r="AN77" s="190">
        <v>-262363121.63</v>
      </c>
      <c r="AO77" s="190">
        <v>422646121.12</v>
      </c>
      <c r="AP77" s="190">
        <v>242709832.03</v>
      </c>
      <c r="AQ77" s="190">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workbookViewId="0">
      <selection activeCell="E69" sqref="E69"/>
    </sheetView>
  </sheetViews>
  <sheetFormatPr defaultRowHeight="14.4" x14ac:dyDescent="0.25"/>
  <cols>
    <col min="1" max="1" width="33.6640625" style="17" bestFit="1" customWidth="1"/>
    <col min="2" max="4" width="20.44140625" hidden="1" customWidth="1"/>
    <col min="5" max="5" width="21.44140625" bestFit="1" customWidth="1"/>
    <col min="6" max="8" width="21.44140625" hidden="1" customWidth="1"/>
    <col min="9" max="9" width="21.44140625" bestFit="1" customWidth="1"/>
    <col min="10" max="12" width="21.44140625" hidden="1" customWidth="1"/>
    <col min="13" max="13" width="21.44140625" bestFit="1" customWidth="1"/>
    <col min="14" max="15" width="21.44140625" hidden="1" customWidth="1"/>
    <col min="16" max="16" width="20.44140625" hidden="1" customWidth="1"/>
    <col min="17" max="17" width="20.44140625" bestFit="1" customWidth="1"/>
    <col min="18" max="20" width="20.44140625" hidden="1" customWidth="1"/>
    <col min="21" max="21" width="20.44140625" bestFit="1" customWidth="1"/>
    <col min="22" max="22" width="20.44140625" hidden="1" customWidth="1"/>
    <col min="23"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38" width="17.21875" bestFit="1" customWidth="1"/>
    <col min="39" max="39" width="17.77734375" bestFit="1" customWidth="1"/>
    <col min="40" max="40" width="9.5546875" hidden="1" customWidth="1"/>
    <col min="41" max="44" width="20.44140625" bestFit="1" customWidth="1"/>
    <col min="45" max="78" width="19.33203125" bestFit="1" customWidth="1"/>
    <col min="79" max="81" width="17.21875" bestFit="1" customWidth="1"/>
    <col min="82" max="82" width="7.109375" bestFit="1" customWidth="1"/>
    <col min="83" max="84" width="19.33203125" bestFit="1" customWidth="1"/>
    <col min="85" max="87" width="17.21875" bestFit="1" customWidth="1"/>
    <col min="88" max="89" width="16.109375" bestFit="1" customWidth="1"/>
    <col min="90" max="90" width="7.109375" bestFit="1" customWidth="1"/>
  </cols>
  <sheetData>
    <row r="1" spans="1:90" s="41" customFormat="1" x14ac:dyDescent="0.25">
      <c r="A1" s="41">
        <v>2415</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20081231</v>
      </c>
      <c r="AM1" s="190">
        <v>20071231</v>
      </c>
      <c r="AN1" s="190">
        <v>19700101</v>
      </c>
      <c r="AO1" s="190"/>
      <c r="AP1" s="190"/>
      <c r="AQ1" s="190"/>
      <c r="AR1" s="190"/>
      <c r="AS1" s="190"/>
      <c r="AT1" s="190"/>
      <c r="AU1" s="190"/>
      <c r="AV1" s="190"/>
      <c r="AW1" s="190"/>
      <c r="AX1" s="190"/>
      <c r="AY1" s="190"/>
      <c r="AZ1" s="190"/>
      <c r="BA1" s="190"/>
      <c r="BB1" s="190"/>
      <c r="BC1" s="190"/>
      <c r="BD1" s="190"/>
      <c r="BE1" s="190"/>
      <c r="BF1" s="190"/>
      <c r="BG1" s="190"/>
      <c r="BH1" s="190"/>
      <c r="BI1" s="190"/>
      <c r="BJ1" s="190"/>
      <c r="BK1" s="190"/>
      <c r="BL1" s="190"/>
      <c r="BM1" s="190"/>
      <c r="BN1" s="190"/>
      <c r="BO1" s="190"/>
      <c r="BP1" s="190"/>
      <c r="BQ1" s="190"/>
      <c r="BR1" s="190"/>
      <c r="BS1" s="190"/>
      <c r="BT1" s="190"/>
      <c r="BU1" s="190"/>
      <c r="BV1" s="190"/>
      <c r="BW1" s="190"/>
      <c r="BX1" s="190"/>
      <c r="BY1" s="190"/>
      <c r="BZ1" s="190"/>
      <c r="CA1" s="190"/>
      <c r="CB1" s="190"/>
      <c r="CC1" s="190"/>
      <c r="CD1" s="190"/>
      <c r="CE1" s="190"/>
      <c r="CF1" s="190"/>
      <c r="CG1" s="190"/>
      <c r="CH1" s="190"/>
      <c r="CI1" s="190"/>
      <c r="CJ1" s="190"/>
      <c r="CK1" s="190"/>
      <c r="CL1" s="190"/>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90">
        <v>18273311625.689999</v>
      </c>
      <c r="C4" s="190">
        <v>13751564452.200001</v>
      </c>
      <c r="D4" s="190">
        <v>11426551711.459999</v>
      </c>
      <c r="E4" s="190">
        <v>16468430702.639999</v>
      </c>
      <c r="F4" s="190">
        <v>13167615852.24</v>
      </c>
      <c r="G4" s="190">
        <v>13179646367.74</v>
      </c>
      <c r="H4" s="190">
        <v>16208936779.620001</v>
      </c>
      <c r="I4" s="190">
        <v>13634993154.18</v>
      </c>
      <c r="J4" s="190">
        <v>12377756631.74</v>
      </c>
      <c r="K4" s="190">
        <v>10217842795.09</v>
      </c>
      <c r="L4" s="190">
        <v>9368999201.3999996</v>
      </c>
      <c r="M4" s="190">
        <v>10106500588.530001</v>
      </c>
      <c r="N4" s="190">
        <v>6901448146.75</v>
      </c>
      <c r="O4" s="190">
        <v>6323749136.04</v>
      </c>
      <c r="P4" s="190">
        <v>6236444203.2700005</v>
      </c>
      <c r="Q4" s="190">
        <v>7199658946.1899996</v>
      </c>
      <c r="R4" s="190">
        <v>3502345714.3699999</v>
      </c>
      <c r="S4" s="190">
        <v>4093778211.8600001</v>
      </c>
      <c r="T4" s="190">
        <v>3763070125.4200001</v>
      </c>
      <c r="U4" s="190">
        <v>4592606345.6000004</v>
      </c>
      <c r="V4" s="190">
        <v>4619045859.7299995</v>
      </c>
      <c r="W4" s="190">
        <v>4631592322.7799997</v>
      </c>
      <c r="X4" s="190">
        <v>4361322598.3100004</v>
      </c>
      <c r="Y4" s="190">
        <v>5534759469.1999998</v>
      </c>
      <c r="Z4" s="190">
        <v>4643066329.4399996</v>
      </c>
      <c r="AA4" s="190">
        <v>4592336693.79</v>
      </c>
      <c r="AB4" s="190">
        <v>4700147603.8900003</v>
      </c>
      <c r="AC4" s="190">
        <v>5244489946.3900003</v>
      </c>
      <c r="AD4" s="190">
        <v>4128046202.0700002</v>
      </c>
      <c r="AE4" s="190">
        <v>4191087673.9699998</v>
      </c>
      <c r="AF4" s="190">
        <v>4380487688.2799997</v>
      </c>
      <c r="AG4" s="190">
        <v>4649956978.1499996</v>
      </c>
      <c r="AH4" s="190">
        <v>3813886974.6799998</v>
      </c>
      <c r="AI4" s="190">
        <v>4143895458.0500002</v>
      </c>
      <c r="AJ4" s="190">
        <v>762411039.29999995</v>
      </c>
      <c r="AK4" s="190">
        <v>1148562390.8499999</v>
      </c>
      <c r="AL4" s="190">
        <v>844381117.83000004</v>
      </c>
      <c r="AM4" s="190">
        <v>448714996.70999998</v>
      </c>
      <c r="AN4" s="190">
        <v>0</v>
      </c>
      <c r="AO4" s="190"/>
      <c r="AP4" s="190"/>
      <c r="AQ4" s="190"/>
      <c r="AR4" s="190"/>
      <c r="AS4" s="190"/>
      <c r="AT4" s="190"/>
      <c r="AU4" s="190"/>
      <c r="AV4" s="190"/>
      <c r="AW4" s="190"/>
      <c r="AX4" s="190"/>
      <c r="AY4" s="190"/>
      <c r="AZ4" s="190"/>
      <c r="BA4" s="190"/>
      <c r="BB4" s="190"/>
      <c r="BC4" s="190"/>
      <c r="BD4" s="190"/>
      <c r="BE4" s="190"/>
      <c r="BF4" s="190"/>
      <c r="BG4" s="190"/>
      <c r="BH4" s="190"/>
      <c r="BI4" s="190"/>
      <c r="BJ4" s="190"/>
      <c r="BK4" s="190"/>
      <c r="BL4" s="190"/>
      <c r="BM4" s="190"/>
      <c r="BN4" s="190"/>
      <c r="BO4" s="190"/>
      <c r="BP4" s="190"/>
      <c r="BQ4" s="190"/>
      <c r="BR4" s="190"/>
      <c r="BS4" s="190"/>
      <c r="BT4" s="190"/>
      <c r="BU4" s="190"/>
      <c r="BV4" s="190"/>
      <c r="BW4" s="190"/>
      <c r="BX4" s="190"/>
      <c r="BY4" s="190"/>
      <c r="BZ4" s="190"/>
      <c r="CA4" s="190"/>
      <c r="CB4" s="190"/>
      <c r="CC4" s="190"/>
      <c r="CD4" s="190"/>
      <c r="CE4" s="190"/>
      <c r="CF4" s="190"/>
      <c r="CG4" s="190"/>
      <c r="CH4" s="190"/>
      <c r="CI4" s="190"/>
      <c r="CJ4" s="190"/>
      <c r="CK4" s="190"/>
      <c r="CL4" s="190"/>
    </row>
    <row r="5" spans="1:90" x14ac:dyDescent="0.25">
      <c r="A5" s="17" t="s">
        <v>2</v>
      </c>
      <c r="B5" s="190">
        <v>17214568.510000002</v>
      </c>
      <c r="C5" s="190">
        <v>20549980.77</v>
      </c>
      <c r="D5" s="190">
        <v>959500</v>
      </c>
      <c r="E5" s="190">
        <v>4100657.54</v>
      </c>
      <c r="F5" s="190">
        <v>12820377.42</v>
      </c>
      <c r="G5" s="190">
        <v>3004171.92</v>
      </c>
      <c r="H5" s="190">
        <v>12003537.1</v>
      </c>
      <c r="I5" s="190">
        <v>15547537.34</v>
      </c>
      <c r="J5" s="190">
        <v>0</v>
      </c>
      <c r="K5" s="190">
        <v>0</v>
      </c>
      <c r="L5" s="190">
        <v>0</v>
      </c>
      <c r="M5" s="190">
        <v>6160279.1799999997</v>
      </c>
      <c r="N5" s="190">
        <v>0</v>
      </c>
      <c r="O5" s="190">
        <v>5830570.7000000002</v>
      </c>
      <c r="P5" s="190">
        <v>67800</v>
      </c>
      <c r="Q5" s="190">
        <v>3032932.74</v>
      </c>
      <c r="R5" s="190">
        <v>237300</v>
      </c>
      <c r="S5" s="190">
        <v>0</v>
      </c>
      <c r="T5" s="190">
        <v>0</v>
      </c>
      <c r="U5" s="190">
        <v>0</v>
      </c>
      <c r="V5" s="190">
        <v>0</v>
      </c>
      <c r="W5" s="190">
        <v>0</v>
      </c>
      <c r="X5" s="190">
        <v>0</v>
      </c>
      <c r="Y5" s="190">
        <v>0</v>
      </c>
      <c r="Z5" s="190">
        <v>0</v>
      </c>
      <c r="AA5" s="190">
        <v>0</v>
      </c>
      <c r="AB5" s="190">
        <v>0</v>
      </c>
      <c r="AC5" s="190">
        <v>0</v>
      </c>
      <c r="AD5" s="190">
        <v>0</v>
      </c>
      <c r="AE5" s="190">
        <v>0</v>
      </c>
      <c r="AF5" s="190">
        <v>0</v>
      </c>
      <c r="AG5" s="190">
        <v>0</v>
      </c>
      <c r="AH5" s="190">
        <v>0</v>
      </c>
      <c r="AI5" s="190">
        <v>0</v>
      </c>
      <c r="AJ5" s="190">
        <v>0</v>
      </c>
      <c r="AK5" s="190">
        <v>0</v>
      </c>
      <c r="AL5" s="190">
        <v>0</v>
      </c>
      <c r="AM5" s="190">
        <v>0</v>
      </c>
      <c r="AN5" s="190">
        <v>0</v>
      </c>
      <c r="AO5" s="190"/>
      <c r="AP5" s="190"/>
      <c r="AQ5" s="190"/>
      <c r="AR5" s="190"/>
      <c r="AS5" s="190"/>
      <c r="AT5" s="190"/>
      <c r="AU5" s="190"/>
      <c r="AV5" s="190"/>
      <c r="AW5" s="190"/>
      <c r="AX5" s="190"/>
      <c r="AY5" s="190"/>
      <c r="AZ5" s="190"/>
      <c r="BA5" s="190"/>
      <c r="BB5" s="190"/>
      <c r="BC5" s="190"/>
      <c r="BD5" s="190"/>
      <c r="BE5" s="190"/>
      <c r="BF5" s="190"/>
      <c r="BG5" s="190"/>
      <c r="BH5" s="190"/>
      <c r="BI5" s="190"/>
      <c r="BJ5" s="190"/>
      <c r="BK5" s="190"/>
      <c r="BL5" s="190"/>
      <c r="BM5" s="190"/>
      <c r="BN5" s="190"/>
      <c r="BO5" s="190"/>
      <c r="BP5" s="190"/>
      <c r="BQ5" s="190"/>
      <c r="BR5" s="190"/>
      <c r="BS5" s="190"/>
      <c r="BT5" s="190"/>
      <c r="BU5" s="190"/>
      <c r="BV5" s="190"/>
      <c r="BW5" s="190"/>
      <c r="BX5" s="190"/>
      <c r="BY5" s="190"/>
      <c r="BZ5" s="190"/>
      <c r="CA5" s="190"/>
      <c r="CB5" s="190"/>
      <c r="CC5" s="190"/>
      <c r="CD5" s="190"/>
      <c r="CE5" s="190"/>
      <c r="CF5" s="190"/>
      <c r="CG5" s="190"/>
      <c r="CH5" s="190"/>
      <c r="CI5" s="190"/>
      <c r="CJ5" s="190"/>
      <c r="CK5" s="190"/>
      <c r="CL5" s="190"/>
    </row>
    <row r="6" spans="1:90" x14ac:dyDescent="0.25">
      <c r="A6" s="17" t="s">
        <v>13</v>
      </c>
      <c r="B6" s="190">
        <v>0</v>
      </c>
      <c r="C6" s="190">
        <v>0</v>
      </c>
      <c r="D6" s="190">
        <v>0</v>
      </c>
      <c r="E6" s="190">
        <v>0</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v>0</v>
      </c>
      <c r="AK6" s="190">
        <v>0</v>
      </c>
      <c r="AL6" s="190">
        <v>0</v>
      </c>
      <c r="AM6" s="190">
        <v>0</v>
      </c>
      <c r="AN6" s="190">
        <v>0</v>
      </c>
      <c r="AO6" s="190"/>
      <c r="AP6" s="190"/>
      <c r="AQ6" s="190"/>
      <c r="AR6" s="190"/>
      <c r="AS6" s="190"/>
      <c r="AT6" s="190"/>
      <c r="AU6" s="190"/>
      <c r="AV6" s="190"/>
      <c r="AW6" s="190"/>
      <c r="AX6" s="190"/>
      <c r="AY6" s="190"/>
      <c r="AZ6" s="190"/>
      <c r="BA6" s="190"/>
      <c r="BB6" s="190"/>
      <c r="BC6" s="190"/>
      <c r="BD6" s="190"/>
      <c r="BE6" s="190"/>
      <c r="BF6" s="190"/>
      <c r="BG6" s="190"/>
      <c r="BH6" s="190"/>
      <c r="BI6" s="190"/>
      <c r="BJ6" s="190"/>
      <c r="BK6" s="190"/>
      <c r="BL6" s="190"/>
      <c r="BM6" s="190"/>
      <c r="BN6" s="190"/>
      <c r="BO6" s="190"/>
      <c r="BP6" s="190"/>
      <c r="BQ6" s="190"/>
      <c r="BR6" s="190"/>
      <c r="BS6" s="190"/>
      <c r="BT6" s="190"/>
      <c r="BU6" s="190"/>
      <c r="BV6" s="190"/>
      <c r="BW6" s="190"/>
      <c r="BX6" s="190"/>
      <c r="BY6" s="190"/>
      <c r="BZ6" s="190"/>
      <c r="CA6" s="190"/>
      <c r="CB6" s="190"/>
      <c r="CC6" s="190"/>
      <c r="CD6" s="190"/>
      <c r="CE6" s="190"/>
      <c r="CF6" s="190"/>
      <c r="CG6" s="190"/>
      <c r="CH6" s="190"/>
      <c r="CI6" s="190"/>
      <c r="CJ6" s="190"/>
      <c r="CK6" s="190"/>
      <c r="CL6" s="190"/>
    </row>
    <row r="7" spans="1:90" x14ac:dyDescent="0.25">
      <c r="A7" s="17" t="s">
        <v>4</v>
      </c>
      <c r="B7" s="190">
        <v>0</v>
      </c>
      <c r="C7" s="190">
        <v>0</v>
      </c>
      <c r="D7" s="190">
        <v>0</v>
      </c>
      <c r="E7" s="190">
        <v>0</v>
      </c>
      <c r="F7" s="190">
        <v>0</v>
      </c>
      <c r="G7" s="190">
        <v>0</v>
      </c>
      <c r="H7" s="190">
        <v>0</v>
      </c>
      <c r="I7" s="190">
        <v>0</v>
      </c>
      <c r="J7" s="190">
        <v>0</v>
      </c>
      <c r="K7" s="190">
        <v>0</v>
      </c>
      <c r="L7" s="190">
        <v>0</v>
      </c>
      <c r="M7" s="190">
        <v>0</v>
      </c>
      <c r="N7" s="190">
        <v>0</v>
      </c>
      <c r="O7" s="190">
        <v>0</v>
      </c>
      <c r="P7" s="190">
        <v>0</v>
      </c>
      <c r="Q7" s="190">
        <v>0</v>
      </c>
      <c r="R7" s="190">
        <v>0</v>
      </c>
      <c r="S7" s="190">
        <v>0</v>
      </c>
      <c r="T7" s="190">
        <v>0</v>
      </c>
      <c r="U7" s="190">
        <v>0</v>
      </c>
      <c r="V7" s="190">
        <v>0</v>
      </c>
      <c r="W7" s="190">
        <v>0</v>
      </c>
      <c r="X7" s="190">
        <v>0</v>
      </c>
      <c r="Y7" s="190">
        <v>0</v>
      </c>
      <c r="Z7" s="190">
        <v>0</v>
      </c>
      <c r="AA7" s="190">
        <v>0</v>
      </c>
      <c r="AB7" s="190">
        <v>0</v>
      </c>
      <c r="AC7" s="190">
        <v>0</v>
      </c>
      <c r="AD7" s="190">
        <v>0</v>
      </c>
      <c r="AE7" s="190">
        <v>0</v>
      </c>
      <c r="AF7" s="190">
        <v>0</v>
      </c>
      <c r="AG7" s="190">
        <v>0</v>
      </c>
      <c r="AH7" s="190">
        <v>0</v>
      </c>
      <c r="AI7" s="190">
        <v>0</v>
      </c>
      <c r="AJ7" s="190">
        <v>0</v>
      </c>
      <c r="AK7" s="190">
        <v>0</v>
      </c>
      <c r="AL7" s="190">
        <v>0</v>
      </c>
      <c r="AM7" s="190">
        <v>0</v>
      </c>
      <c r="AN7" s="190">
        <v>0</v>
      </c>
      <c r="AO7" s="190"/>
      <c r="AP7" s="190"/>
      <c r="AQ7" s="190"/>
      <c r="AR7" s="190"/>
      <c r="AS7" s="190"/>
      <c r="AT7" s="190"/>
      <c r="AU7" s="190"/>
      <c r="AV7" s="190"/>
      <c r="AW7" s="190"/>
      <c r="AX7" s="190"/>
      <c r="AY7" s="190"/>
      <c r="AZ7" s="190"/>
      <c r="BA7" s="190"/>
      <c r="BB7" s="190"/>
      <c r="BC7" s="190"/>
      <c r="BD7" s="190"/>
      <c r="BE7" s="190"/>
      <c r="BF7" s="190"/>
      <c r="BG7" s="190"/>
      <c r="BH7" s="190"/>
      <c r="BI7" s="190"/>
      <c r="BJ7" s="190"/>
      <c r="BK7" s="190"/>
      <c r="BL7" s="190"/>
      <c r="BM7" s="190"/>
      <c r="BN7" s="190"/>
      <c r="BO7" s="190"/>
      <c r="BP7" s="190"/>
      <c r="BQ7" s="190"/>
      <c r="BR7" s="190"/>
      <c r="BS7" s="190"/>
      <c r="BT7" s="190"/>
      <c r="BU7" s="190"/>
      <c r="BV7" s="190"/>
      <c r="BW7" s="190"/>
      <c r="BX7" s="190"/>
      <c r="BY7" s="190"/>
      <c r="BZ7" s="190"/>
      <c r="CA7" s="190"/>
      <c r="CB7" s="190"/>
      <c r="CC7" s="190"/>
      <c r="CD7" s="190"/>
      <c r="CE7" s="190"/>
      <c r="CF7" s="190"/>
      <c r="CG7" s="190"/>
      <c r="CH7" s="190"/>
      <c r="CI7" s="190"/>
      <c r="CJ7" s="190"/>
      <c r="CK7" s="190"/>
      <c r="CL7" s="190"/>
    </row>
    <row r="8" spans="1:90" x14ac:dyDescent="0.25">
      <c r="A8" s="17" t="s">
        <v>5</v>
      </c>
      <c r="B8" s="190">
        <v>287466813</v>
      </c>
      <c r="C8" s="190">
        <v>287466813</v>
      </c>
      <c r="D8" s="190">
        <v>287466813</v>
      </c>
      <c r="E8" s="190">
        <v>287466813</v>
      </c>
      <c r="F8" s="190">
        <v>287466813</v>
      </c>
      <c r="G8" s="190">
        <v>283836013</v>
      </c>
      <c r="H8" s="190">
        <v>283836013</v>
      </c>
      <c r="I8" s="190">
        <v>283836013</v>
      </c>
      <c r="J8" s="190">
        <v>56043513</v>
      </c>
      <c r="K8" s="190">
        <v>56033513</v>
      </c>
      <c r="L8" s="190">
        <v>56033513</v>
      </c>
      <c r="M8" s="190">
        <v>56033513</v>
      </c>
      <c r="N8" s="190">
        <v>604313</v>
      </c>
      <c r="O8" s="190">
        <v>604313</v>
      </c>
      <c r="P8" s="190">
        <v>604313</v>
      </c>
      <c r="Q8" s="190">
        <v>604313</v>
      </c>
      <c r="R8" s="190">
        <v>604313</v>
      </c>
      <c r="S8" s="190">
        <v>0</v>
      </c>
      <c r="T8" s="190">
        <v>0</v>
      </c>
      <c r="U8" s="190">
        <v>0</v>
      </c>
      <c r="V8" s="190">
        <v>0</v>
      </c>
      <c r="W8" s="190">
        <v>0</v>
      </c>
      <c r="X8" s="190">
        <v>0</v>
      </c>
      <c r="Y8" s="190">
        <v>0</v>
      </c>
      <c r="Z8" s="190">
        <v>0</v>
      </c>
      <c r="AA8" s="190">
        <v>0</v>
      </c>
      <c r="AB8" s="190">
        <v>0</v>
      </c>
      <c r="AC8" s="190">
        <v>0</v>
      </c>
      <c r="AD8" s="190">
        <v>0</v>
      </c>
      <c r="AE8" s="190">
        <v>0</v>
      </c>
      <c r="AF8" s="190">
        <v>0</v>
      </c>
      <c r="AG8" s="190">
        <v>0</v>
      </c>
      <c r="AH8" s="190">
        <v>0</v>
      </c>
      <c r="AI8" s="190">
        <v>0</v>
      </c>
      <c r="AJ8" s="190">
        <v>0</v>
      </c>
      <c r="AK8" s="190">
        <v>0</v>
      </c>
      <c r="AL8" s="190">
        <v>0</v>
      </c>
      <c r="AM8" s="190">
        <v>0</v>
      </c>
      <c r="AN8" s="190">
        <v>0</v>
      </c>
      <c r="AO8" s="190"/>
      <c r="AP8" s="190"/>
      <c r="AQ8" s="190"/>
      <c r="AR8" s="190"/>
      <c r="AS8" s="190"/>
      <c r="AT8" s="190"/>
      <c r="AU8" s="190"/>
      <c r="AV8" s="190"/>
      <c r="AW8" s="190"/>
      <c r="AX8" s="190"/>
      <c r="AY8" s="190"/>
      <c r="AZ8" s="190"/>
      <c r="BA8" s="190"/>
      <c r="BB8" s="190"/>
      <c r="BC8" s="190"/>
      <c r="BD8" s="190"/>
      <c r="BE8" s="190"/>
      <c r="BF8" s="190"/>
      <c r="BG8" s="190"/>
      <c r="BH8" s="190"/>
      <c r="BI8" s="190"/>
      <c r="BJ8" s="190"/>
      <c r="BK8" s="190"/>
      <c r="BL8" s="190"/>
      <c r="BM8" s="190"/>
      <c r="BN8" s="190"/>
      <c r="BO8" s="190"/>
      <c r="BP8" s="190"/>
      <c r="BQ8" s="190"/>
      <c r="BR8" s="190"/>
      <c r="BS8" s="190"/>
      <c r="BT8" s="190"/>
      <c r="BU8" s="190"/>
      <c r="BV8" s="190"/>
      <c r="BW8" s="190"/>
      <c r="BX8" s="190"/>
      <c r="BY8" s="190"/>
      <c r="BZ8" s="190"/>
      <c r="CA8" s="190"/>
      <c r="CB8" s="190"/>
      <c r="CC8" s="190"/>
      <c r="CD8" s="190"/>
      <c r="CE8" s="190"/>
      <c r="CF8" s="190"/>
      <c r="CG8" s="190"/>
      <c r="CH8" s="190"/>
      <c r="CI8" s="190"/>
      <c r="CJ8" s="190"/>
      <c r="CK8" s="190"/>
      <c r="CL8" s="190"/>
    </row>
    <row r="9" spans="1:90" x14ac:dyDescent="0.25">
      <c r="A9" s="17" t="s">
        <v>6</v>
      </c>
      <c r="B9" s="190">
        <v>0</v>
      </c>
      <c r="C9" s="190">
        <v>0</v>
      </c>
      <c r="D9" s="190">
        <v>0</v>
      </c>
      <c r="E9" s="190">
        <v>0</v>
      </c>
      <c r="F9" s="190">
        <v>0</v>
      </c>
      <c r="G9" s="190">
        <v>0</v>
      </c>
      <c r="H9" s="190">
        <v>0</v>
      </c>
      <c r="I9" s="190">
        <v>0</v>
      </c>
      <c r="J9" s="190">
        <v>0</v>
      </c>
      <c r="K9" s="190">
        <v>0</v>
      </c>
      <c r="L9" s="190">
        <v>0</v>
      </c>
      <c r="M9" s="190">
        <v>0</v>
      </c>
      <c r="N9" s="190">
        <v>0</v>
      </c>
      <c r="O9" s="190">
        <v>0</v>
      </c>
      <c r="P9" s="190">
        <v>0</v>
      </c>
      <c r="Q9" s="190">
        <v>0</v>
      </c>
      <c r="R9" s="190">
        <v>0</v>
      </c>
      <c r="S9" s="190">
        <v>0</v>
      </c>
      <c r="T9" s="190">
        <v>0</v>
      </c>
      <c r="U9" s="190">
        <v>0</v>
      </c>
      <c r="V9" s="190">
        <v>595000000</v>
      </c>
      <c r="W9" s="190">
        <v>895000000</v>
      </c>
      <c r="X9" s="190">
        <v>816500000</v>
      </c>
      <c r="Y9" s="190">
        <v>300000000</v>
      </c>
      <c r="Z9" s="190">
        <v>0</v>
      </c>
      <c r="AA9" s="190">
        <v>0</v>
      </c>
      <c r="AB9" s="190">
        <v>0</v>
      </c>
      <c r="AC9" s="190">
        <v>0</v>
      </c>
      <c r="AD9" s="190">
        <v>0</v>
      </c>
      <c r="AE9" s="190">
        <v>0</v>
      </c>
      <c r="AF9" s="190">
        <v>0</v>
      </c>
      <c r="AG9" s="190">
        <v>0</v>
      </c>
      <c r="AH9" s="190">
        <v>0</v>
      </c>
      <c r="AI9" s="190">
        <v>0</v>
      </c>
      <c r="AJ9" s="190">
        <v>0</v>
      </c>
      <c r="AK9" s="190">
        <v>0</v>
      </c>
      <c r="AL9" s="190">
        <v>0</v>
      </c>
      <c r="AM9" s="190">
        <v>0</v>
      </c>
      <c r="AN9" s="190">
        <v>0</v>
      </c>
      <c r="AO9" s="190"/>
      <c r="AP9" s="190"/>
      <c r="AQ9" s="190"/>
      <c r="AR9" s="190"/>
      <c r="AS9" s="190"/>
      <c r="AT9" s="190"/>
      <c r="AU9" s="190"/>
      <c r="AV9" s="190"/>
      <c r="AW9" s="190"/>
      <c r="AX9" s="190"/>
      <c r="AY9" s="190"/>
      <c r="AZ9" s="190"/>
      <c r="BA9" s="190"/>
      <c r="BB9" s="190"/>
      <c r="BC9" s="190"/>
      <c r="BD9" s="190"/>
      <c r="BE9" s="190"/>
      <c r="BF9" s="190"/>
      <c r="BG9" s="190"/>
      <c r="BH9" s="190"/>
      <c r="BI9" s="190"/>
      <c r="BJ9" s="190"/>
      <c r="BK9" s="190"/>
      <c r="BL9" s="190"/>
      <c r="BM9" s="190"/>
      <c r="BN9" s="190"/>
      <c r="BO9" s="190"/>
      <c r="BP9" s="190"/>
      <c r="BQ9" s="190"/>
      <c r="BR9" s="190"/>
      <c r="BS9" s="190"/>
      <c r="BT9" s="190"/>
      <c r="BU9" s="190"/>
      <c r="BV9" s="190"/>
      <c r="BW9" s="190"/>
      <c r="BX9" s="190"/>
      <c r="BY9" s="190"/>
      <c r="BZ9" s="190"/>
      <c r="CA9" s="190"/>
      <c r="CB9" s="190"/>
      <c r="CC9" s="190"/>
      <c r="CD9" s="190"/>
      <c r="CE9" s="190"/>
      <c r="CF9" s="190"/>
      <c r="CG9" s="190"/>
      <c r="CH9" s="190"/>
      <c r="CI9" s="190"/>
      <c r="CJ9" s="190"/>
      <c r="CK9" s="190"/>
      <c r="CL9" s="190"/>
    </row>
    <row r="10" spans="1:90" x14ac:dyDescent="0.25">
      <c r="A10" s="19" t="s">
        <v>7</v>
      </c>
      <c r="B10" s="190">
        <v>0</v>
      </c>
      <c r="C10" s="190">
        <v>0</v>
      </c>
      <c r="D10" s="190">
        <v>0</v>
      </c>
      <c r="E10" s="190">
        <v>0</v>
      </c>
      <c r="F10" s="190">
        <v>0</v>
      </c>
      <c r="G10" s="190">
        <v>0</v>
      </c>
      <c r="H10" s="190">
        <v>0</v>
      </c>
      <c r="I10" s="190">
        <v>0</v>
      </c>
      <c r="J10" s="190">
        <v>0</v>
      </c>
      <c r="K10" s="190">
        <v>0</v>
      </c>
      <c r="L10" s="190">
        <v>0</v>
      </c>
      <c r="M10" s="190">
        <v>0</v>
      </c>
      <c r="N10" s="190">
        <v>0</v>
      </c>
      <c r="O10" s="190">
        <v>0</v>
      </c>
      <c r="P10" s="190">
        <v>0</v>
      </c>
      <c r="Q10" s="190">
        <v>0</v>
      </c>
      <c r="R10" s="190">
        <v>0</v>
      </c>
      <c r="S10" s="190">
        <v>0</v>
      </c>
      <c r="T10" s="190">
        <v>0</v>
      </c>
      <c r="U10" s="190">
        <v>0</v>
      </c>
      <c r="V10" s="190">
        <v>0</v>
      </c>
      <c r="W10" s="190">
        <v>0</v>
      </c>
      <c r="X10" s="190">
        <v>0</v>
      </c>
      <c r="Y10" s="190">
        <v>0</v>
      </c>
      <c r="Z10" s="190">
        <v>0</v>
      </c>
      <c r="AA10" s="190">
        <v>0</v>
      </c>
      <c r="AB10" s="190">
        <v>0</v>
      </c>
      <c r="AC10" s="190">
        <v>0</v>
      </c>
      <c r="AD10" s="190">
        <v>0</v>
      </c>
      <c r="AE10" s="190">
        <v>0</v>
      </c>
      <c r="AF10" s="190">
        <v>0</v>
      </c>
      <c r="AG10" s="190">
        <v>0</v>
      </c>
      <c r="AH10" s="190">
        <v>0</v>
      </c>
      <c r="AI10" s="190">
        <v>0</v>
      </c>
      <c r="AJ10" s="190">
        <v>0</v>
      </c>
      <c r="AK10" s="190">
        <v>0</v>
      </c>
      <c r="AL10" s="190">
        <v>0</v>
      </c>
      <c r="AM10" s="190">
        <v>0</v>
      </c>
      <c r="AN10" s="190">
        <v>0</v>
      </c>
      <c r="AO10" s="190"/>
      <c r="AP10" s="190"/>
      <c r="AQ10" s="190"/>
      <c r="AR10" s="190"/>
      <c r="AS10" s="190"/>
      <c r="AT10" s="190"/>
      <c r="AU10" s="190"/>
      <c r="AV10" s="190"/>
      <c r="AW10" s="190"/>
      <c r="AX10" s="190"/>
      <c r="AY10" s="190"/>
      <c r="AZ10" s="190"/>
      <c r="BA10" s="190"/>
      <c r="BB10" s="190"/>
      <c r="BC10" s="190"/>
      <c r="BD10" s="190"/>
      <c r="BE10" s="190"/>
      <c r="BF10" s="190"/>
      <c r="BG10" s="190"/>
      <c r="BH10" s="190"/>
      <c r="BI10" s="190"/>
      <c r="BJ10" s="190"/>
      <c r="BK10" s="190"/>
      <c r="BL10" s="190"/>
      <c r="BM10" s="190"/>
      <c r="BN10" s="190"/>
      <c r="BO10" s="190"/>
      <c r="BP10" s="190"/>
      <c r="BQ10" s="190"/>
      <c r="BR10" s="190"/>
      <c r="BS10" s="190"/>
      <c r="BT10" s="190"/>
      <c r="BU10" s="190"/>
      <c r="BV10" s="190"/>
      <c r="BW10" s="190"/>
      <c r="BX10" s="190"/>
      <c r="BY10" s="190"/>
      <c r="BZ10" s="190"/>
      <c r="CA10" s="190"/>
      <c r="CB10" s="190"/>
      <c r="CC10" s="190"/>
      <c r="CD10" s="190"/>
      <c r="CE10" s="190"/>
      <c r="CF10" s="190"/>
      <c r="CG10" s="190"/>
      <c r="CH10" s="190"/>
      <c r="CI10" s="190"/>
      <c r="CJ10" s="190"/>
      <c r="CK10" s="190"/>
      <c r="CL10" s="190"/>
    </row>
    <row r="11" spans="1:90" x14ac:dyDescent="0.25">
      <c r="A11" s="17" t="s">
        <v>8</v>
      </c>
      <c r="B11" s="190">
        <v>0</v>
      </c>
      <c r="C11" s="190">
        <v>0</v>
      </c>
      <c r="D11" s="190">
        <v>0</v>
      </c>
      <c r="E11" s="190">
        <v>0</v>
      </c>
      <c r="F11" s="190">
        <v>0</v>
      </c>
      <c r="G11" s="190">
        <v>0</v>
      </c>
      <c r="H11" s="190">
        <v>0</v>
      </c>
      <c r="I11" s="190">
        <v>0</v>
      </c>
      <c r="J11" s="190">
        <v>0</v>
      </c>
      <c r="K11" s="190">
        <v>0</v>
      </c>
      <c r="L11" s="190">
        <v>0</v>
      </c>
      <c r="M11" s="190">
        <v>0</v>
      </c>
      <c r="N11" s="190">
        <v>0</v>
      </c>
      <c r="O11" s="190">
        <v>0</v>
      </c>
      <c r="P11" s="190">
        <v>0</v>
      </c>
      <c r="Q11" s="190">
        <v>0</v>
      </c>
      <c r="R11" s="190">
        <v>0</v>
      </c>
      <c r="S11" s="190">
        <v>0</v>
      </c>
      <c r="T11" s="190">
        <v>0</v>
      </c>
      <c r="U11" s="190">
        <v>0</v>
      </c>
      <c r="V11" s="190">
        <v>0</v>
      </c>
      <c r="W11" s="190">
        <v>0</v>
      </c>
      <c r="X11" s="190">
        <v>0</v>
      </c>
      <c r="Y11" s="190">
        <v>0</v>
      </c>
      <c r="Z11" s="190">
        <v>0</v>
      </c>
      <c r="AA11" s="190">
        <v>0</v>
      </c>
      <c r="AB11" s="190">
        <v>0</v>
      </c>
      <c r="AC11" s="190">
        <v>0</v>
      </c>
      <c r="AD11" s="190">
        <v>0</v>
      </c>
      <c r="AE11" s="190">
        <v>0</v>
      </c>
      <c r="AF11" s="190">
        <v>0</v>
      </c>
      <c r="AG11" s="190">
        <v>0</v>
      </c>
      <c r="AH11" s="190">
        <v>0</v>
      </c>
      <c r="AI11" s="190">
        <v>0</v>
      </c>
      <c r="AJ11" s="190">
        <v>0</v>
      </c>
      <c r="AK11" s="190">
        <v>0</v>
      </c>
      <c r="AL11" s="190">
        <v>0</v>
      </c>
      <c r="AM11" s="190">
        <v>0</v>
      </c>
      <c r="AN11" s="190">
        <v>0</v>
      </c>
      <c r="AO11" s="190"/>
      <c r="AP11" s="190"/>
      <c r="AQ11" s="190"/>
      <c r="AR11" s="190"/>
      <c r="AS11" s="190"/>
      <c r="AT11" s="190"/>
      <c r="AU11" s="190"/>
      <c r="AV11" s="190"/>
      <c r="AW11" s="190"/>
      <c r="AX11" s="190"/>
      <c r="AY11" s="190"/>
      <c r="AZ11" s="190"/>
      <c r="BA11" s="190"/>
      <c r="BB11" s="190"/>
      <c r="BC11" s="190"/>
      <c r="BD11" s="190"/>
      <c r="BE11" s="190"/>
      <c r="BF11" s="190"/>
      <c r="BG11" s="190"/>
      <c r="BH11" s="190"/>
      <c r="BI11" s="190"/>
      <c r="BJ11" s="190"/>
      <c r="BK11" s="190"/>
      <c r="BL11" s="190"/>
      <c r="BM11" s="190"/>
      <c r="BN11" s="190"/>
      <c r="BO11" s="190"/>
      <c r="BP11" s="190"/>
      <c r="BQ11" s="190"/>
      <c r="BR11" s="190"/>
      <c r="BS11" s="190"/>
      <c r="BT11" s="190"/>
      <c r="BU11" s="190"/>
      <c r="BV11" s="190"/>
      <c r="BW11" s="190"/>
      <c r="BX11" s="190"/>
      <c r="BY11" s="190"/>
      <c r="BZ11" s="190"/>
      <c r="CA11" s="190"/>
      <c r="CB11" s="190"/>
      <c r="CC11" s="190"/>
      <c r="CD11" s="190"/>
      <c r="CE11" s="190"/>
      <c r="CF11" s="190"/>
      <c r="CG11" s="190"/>
      <c r="CH11" s="190"/>
      <c r="CI11" s="190"/>
      <c r="CJ11" s="190"/>
      <c r="CK11" s="190"/>
      <c r="CL11" s="190"/>
    </row>
    <row r="12" spans="1:90" x14ac:dyDescent="0.25">
      <c r="A12" s="17" t="s">
        <v>9</v>
      </c>
      <c r="B12" s="190">
        <v>0</v>
      </c>
      <c r="C12" s="190">
        <v>0</v>
      </c>
      <c r="D12" s="190">
        <v>0</v>
      </c>
      <c r="E12" s="190">
        <v>0</v>
      </c>
      <c r="F12" s="190">
        <v>0</v>
      </c>
      <c r="G12" s="190">
        <v>0</v>
      </c>
      <c r="H12" s="190">
        <v>0</v>
      </c>
      <c r="I12" s="190">
        <v>0</v>
      </c>
      <c r="J12" s="190">
        <v>0</v>
      </c>
      <c r="K12" s="190">
        <v>0</v>
      </c>
      <c r="L12" s="190">
        <v>0</v>
      </c>
      <c r="M12" s="190">
        <v>0</v>
      </c>
      <c r="N12" s="190">
        <v>0</v>
      </c>
      <c r="O12" s="190">
        <v>0</v>
      </c>
      <c r="P12" s="190">
        <v>0</v>
      </c>
      <c r="Q12" s="190">
        <v>0</v>
      </c>
      <c r="R12" s="190">
        <v>0</v>
      </c>
      <c r="S12" s="190">
        <v>0</v>
      </c>
      <c r="T12" s="190">
        <v>0</v>
      </c>
      <c r="U12" s="190">
        <v>0</v>
      </c>
      <c r="V12" s="190">
        <v>0</v>
      </c>
      <c r="W12" s="190">
        <v>0</v>
      </c>
      <c r="X12" s="190">
        <v>0</v>
      </c>
      <c r="Y12" s="190">
        <v>0</v>
      </c>
      <c r="Z12" s="190">
        <v>0</v>
      </c>
      <c r="AA12" s="190">
        <v>0</v>
      </c>
      <c r="AB12" s="190">
        <v>0</v>
      </c>
      <c r="AC12" s="190">
        <v>0</v>
      </c>
      <c r="AD12" s="190">
        <v>0</v>
      </c>
      <c r="AE12" s="190">
        <v>0</v>
      </c>
      <c r="AF12" s="190">
        <v>0</v>
      </c>
      <c r="AG12" s="190">
        <v>0</v>
      </c>
      <c r="AH12" s="190">
        <v>0</v>
      </c>
      <c r="AI12" s="190">
        <v>0</v>
      </c>
      <c r="AJ12" s="190">
        <v>0</v>
      </c>
      <c r="AK12" s="190">
        <v>0</v>
      </c>
      <c r="AL12" s="190">
        <v>0</v>
      </c>
      <c r="AM12" s="190">
        <v>0</v>
      </c>
      <c r="AN12" s="190">
        <v>0</v>
      </c>
      <c r="AO12" s="190"/>
      <c r="AP12" s="190"/>
      <c r="AQ12" s="190"/>
      <c r="AR12" s="190"/>
      <c r="AS12" s="190"/>
      <c r="AT12" s="190"/>
      <c r="AU12" s="190"/>
      <c r="AV12" s="190"/>
      <c r="AW12" s="190"/>
      <c r="AX12" s="190"/>
      <c r="AY12" s="190"/>
      <c r="AZ12" s="190"/>
      <c r="BA12" s="190"/>
      <c r="BB12" s="190"/>
      <c r="BC12" s="190"/>
      <c r="BD12" s="190"/>
      <c r="BE12" s="190"/>
      <c r="BF12" s="190"/>
      <c r="BG12" s="190"/>
      <c r="BH12" s="190"/>
      <c r="BI12" s="190"/>
      <c r="BJ12" s="190"/>
      <c r="BK12" s="190"/>
      <c r="BL12" s="190"/>
      <c r="BM12" s="190"/>
      <c r="BN12" s="190"/>
      <c r="BO12" s="190"/>
      <c r="BP12" s="190"/>
      <c r="BQ12" s="190"/>
      <c r="BR12" s="190"/>
      <c r="BS12" s="190"/>
      <c r="BT12" s="190"/>
      <c r="BU12" s="190"/>
      <c r="BV12" s="190"/>
      <c r="BW12" s="190"/>
      <c r="BX12" s="190"/>
      <c r="BY12" s="190"/>
      <c r="BZ12" s="190"/>
      <c r="CA12" s="190"/>
      <c r="CB12" s="190"/>
      <c r="CC12" s="190"/>
      <c r="CD12" s="190"/>
      <c r="CE12" s="190"/>
      <c r="CF12" s="190"/>
      <c r="CG12" s="190"/>
      <c r="CH12" s="190"/>
      <c r="CI12" s="190"/>
      <c r="CJ12" s="190"/>
      <c r="CK12" s="190"/>
      <c r="CL12" s="190"/>
    </row>
    <row r="13" spans="1:90" x14ac:dyDescent="0.25">
      <c r="A13" s="17" t="s">
        <v>10</v>
      </c>
      <c r="B13" s="190">
        <v>0</v>
      </c>
      <c r="C13" s="190">
        <v>0</v>
      </c>
      <c r="D13" s="190">
        <v>0</v>
      </c>
      <c r="E13" s="190">
        <v>0</v>
      </c>
      <c r="F13" s="190">
        <v>0</v>
      </c>
      <c r="G13" s="190">
        <v>0</v>
      </c>
      <c r="H13" s="190">
        <v>0</v>
      </c>
      <c r="I13" s="190">
        <v>0</v>
      </c>
      <c r="J13" s="190">
        <v>0</v>
      </c>
      <c r="K13" s="190">
        <v>0</v>
      </c>
      <c r="L13" s="190">
        <v>0</v>
      </c>
      <c r="M13" s="190">
        <v>0</v>
      </c>
      <c r="N13" s="190">
        <v>0</v>
      </c>
      <c r="O13" s="190">
        <v>0</v>
      </c>
      <c r="P13" s="190">
        <v>0</v>
      </c>
      <c r="Q13" s="190">
        <v>0</v>
      </c>
      <c r="R13" s="190">
        <v>0</v>
      </c>
      <c r="S13" s="190">
        <v>0</v>
      </c>
      <c r="T13" s="190">
        <v>0</v>
      </c>
      <c r="U13" s="190">
        <v>0</v>
      </c>
      <c r="V13" s="190">
        <v>0</v>
      </c>
      <c r="W13" s="190">
        <v>0</v>
      </c>
      <c r="X13" s="190">
        <v>0</v>
      </c>
      <c r="Y13" s="190">
        <v>0</v>
      </c>
      <c r="Z13" s="190">
        <v>0</v>
      </c>
      <c r="AA13" s="190">
        <v>0</v>
      </c>
      <c r="AB13" s="190">
        <v>0</v>
      </c>
      <c r="AC13" s="190">
        <v>0</v>
      </c>
      <c r="AD13" s="190">
        <v>0</v>
      </c>
      <c r="AE13" s="190">
        <v>0</v>
      </c>
      <c r="AF13" s="190">
        <v>0</v>
      </c>
      <c r="AG13" s="190">
        <v>0</v>
      </c>
      <c r="AH13" s="190">
        <v>0</v>
      </c>
      <c r="AI13" s="190">
        <v>0</v>
      </c>
      <c r="AJ13" s="190">
        <v>0</v>
      </c>
      <c r="AK13" s="190">
        <v>0</v>
      </c>
      <c r="AL13" s="190">
        <v>0</v>
      </c>
      <c r="AM13" s="190">
        <v>0</v>
      </c>
      <c r="AN13" s="190">
        <v>0</v>
      </c>
      <c r="AO13" s="190"/>
      <c r="AP13" s="190"/>
      <c r="AQ13" s="190"/>
      <c r="AR13" s="190"/>
      <c r="AS13" s="190"/>
      <c r="AT13" s="190"/>
      <c r="AU13" s="190"/>
      <c r="AV13" s="190"/>
      <c r="AW13" s="190"/>
      <c r="AX13" s="190"/>
      <c r="AY13" s="190"/>
      <c r="AZ13" s="190"/>
      <c r="BA13" s="190"/>
      <c r="BB13" s="190"/>
      <c r="BC13" s="190"/>
      <c r="BD13" s="190"/>
      <c r="BE13" s="190"/>
      <c r="BF13" s="190"/>
      <c r="BG13" s="190"/>
      <c r="BH13" s="190"/>
      <c r="BI13" s="190"/>
      <c r="BJ13" s="190"/>
      <c r="BK13" s="190"/>
      <c r="BL13" s="190"/>
      <c r="BM13" s="190"/>
      <c r="BN13" s="190"/>
      <c r="BO13" s="190"/>
      <c r="BP13" s="190"/>
      <c r="BQ13" s="190"/>
      <c r="BR13" s="190"/>
      <c r="BS13" s="190"/>
      <c r="BT13" s="190"/>
      <c r="BU13" s="190"/>
      <c r="BV13" s="190"/>
      <c r="BW13" s="190"/>
      <c r="BX13" s="190"/>
      <c r="BY13" s="190"/>
      <c r="BZ13" s="190"/>
      <c r="CA13" s="190"/>
      <c r="CB13" s="190"/>
      <c r="CC13" s="190"/>
      <c r="CD13" s="190"/>
      <c r="CE13" s="190"/>
      <c r="CF13" s="190"/>
      <c r="CG13" s="190"/>
      <c r="CH13" s="190"/>
      <c r="CI13" s="190"/>
      <c r="CJ13" s="190"/>
      <c r="CK13" s="190"/>
      <c r="CL13" s="190"/>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1" t="s">
        <v>11</v>
      </c>
      <c r="B17" s="33">
        <f>SUM(B4:B13)</f>
        <v>18577993007.199997</v>
      </c>
      <c r="C17" s="33">
        <f t="shared" ref="C17:BN17" si="0">SUM(C4:C13)</f>
        <v>14059581245.970001</v>
      </c>
      <c r="D17" s="33">
        <f t="shared" si="0"/>
        <v>11714978024.459999</v>
      </c>
      <c r="E17" s="33">
        <f t="shared" si="0"/>
        <v>16759998173.18</v>
      </c>
      <c r="F17" s="33">
        <f t="shared" si="0"/>
        <v>13467903042.66</v>
      </c>
      <c r="G17" s="33">
        <f t="shared" si="0"/>
        <v>13466486552.66</v>
      </c>
      <c r="H17" s="33">
        <f t="shared" si="0"/>
        <v>16504776329.720001</v>
      </c>
      <c r="I17" s="33">
        <f t="shared" si="0"/>
        <v>13934376704.52</v>
      </c>
      <c r="J17" s="33">
        <f t="shared" si="0"/>
        <v>12433800144.74</v>
      </c>
      <c r="K17" s="33">
        <f t="shared" si="0"/>
        <v>10273876308.09</v>
      </c>
      <c r="L17" s="33">
        <f t="shared" si="0"/>
        <v>9425032714.3999996</v>
      </c>
      <c r="M17" s="33">
        <f t="shared" si="0"/>
        <v>10168694380.710001</v>
      </c>
      <c r="N17" s="33">
        <f t="shared" si="0"/>
        <v>6902052459.75</v>
      </c>
      <c r="O17" s="33">
        <f t="shared" si="0"/>
        <v>6330184019.7399998</v>
      </c>
      <c r="P17" s="33">
        <f t="shared" si="0"/>
        <v>6237116316.2700005</v>
      </c>
      <c r="Q17" s="33">
        <f t="shared" si="0"/>
        <v>7203296191.9299994</v>
      </c>
      <c r="R17" s="33">
        <f t="shared" si="0"/>
        <v>3503187327.3699999</v>
      </c>
      <c r="S17" s="33">
        <f t="shared" si="0"/>
        <v>4093778211.8600001</v>
      </c>
      <c r="T17" s="33">
        <f t="shared" si="0"/>
        <v>3763070125.4200001</v>
      </c>
      <c r="U17" s="33">
        <f t="shared" si="0"/>
        <v>4592606345.6000004</v>
      </c>
      <c r="V17" s="33">
        <f t="shared" si="0"/>
        <v>5214045859.7299995</v>
      </c>
      <c r="W17" s="33">
        <f t="shared" si="0"/>
        <v>5526592322.7799997</v>
      </c>
      <c r="X17" s="33">
        <f t="shared" si="0"/>
        <v>5177822598.3100004</v>
      </c>
      <c r="Y17" s="33">
        <f t="shared" si="0"/>
        <v>5834759469.1999998</v>
      </c>
      <c r="Z17" s="33">
        <f t="shared" si="0"/>
        <v>4643066329.4399996</v>
      </c>
      <c r="AA17" s="33">
        <f t="shared" si="0"/>
        <v>4592336693.79</v>
      </c>
      <c r="AB17" s="33">
        <f t="shared" si="0"/>
        <v>4700147603.8900003</v>
      </c>
      <c r="AC17" s="33">
        <f t="shared" si="0"/>
        <v>5244489946.3900003</v>
      </c>
      <c r="AD17" s="33">
        <f t="shared" si="0"/>
        <v>4128046202.0700002</v>
      </c>
      <c r="AE17" s="33">
        <f t="shared" si="0"/>
        <v>4191087673.9699998</v>
      </c>
      <c r="AF17" s="33">
        <f t="shared" si="0"/>
        <v>4380487688.2799997</v>
      </c>
      <c r="AG17" s="33">
        <f t="shared" si="0"/>
        <v>4649956978.1499996</v>
      </c>
      <c r="AH17" s="33">
        <f t="shared" si="0"/>
        <v>3813886974.6799998</v>
      </c>
      <c r="AI17" s="33">
        <f t="shared" si="0"/>
        <v>4143895458.0500002</v>
      </c>
      <c r="AJ17" s="33">
        <f t="shared" si="0"/>
        <v>762411039.29999995</v>
      </c>
      <c r="AK17" s="33">
        <f t="shared" si="0"/>
        <v>1148562390.8499999</v>
      </c>
      <c r="AL17" s="33">
        <f t="shared" si="0"/>
        <v>844381117.83000004</v>
      </c>
      <c r="AM17" s="33">
        <f t="shared" si="0"/>
        <v>448714996.70999998</v>
      </c>
      <c r="AN17" s="33">
        <f t="shared" si="0"/>
        <v>0</v>
      </c>
      <c r="AO17" s="33">
        <f t="shared" si="0"/>
        <v>0</v>
      </c>
      <c r="AP17" s="33">
        <f t="shared" si="0"/>
        <v>0</v>
      </c>
      <c r="AQ17" s="33">
        <f t="shared" si="0"/>
        <v>0</v>
      </c>
      <c r="AR17" s="33">
        <f t="shared" si="0"/>
        <v>0</v>
      </c>
      <c r="AS17" s="33">
        <f t="shared" si="0"/>
        <v>0</v>
      </c>
      <c r="AT17" s="33">
        <f t="shared" si="0"/>
        <v>0</v>
      </c>
      <c r="AU17" s="33">
        <f t="shared" si="0"/>
        <v>0</v>
      </c>
      <c r="AV17" s="33">
        <f t="shared" si="0"/>
        <v>0</v>
      </c>
      <c r="AW17" s="33">
        <f t="shared" si="0"/>
        <v>0</v>
      </c>
      <c r="AX17" s="33">
        <f t="shared" si="0"/>
        <v>0</v>
      </c>
      <c r="AY17" s="33">
        <f t="shared" si="0"/>
        <v>0</v>
      </c>
      <c r="AZ17" s="33">
        <f t="shared" si="0"/>
        <v>0</v>
      </c>
      <c r="BA17" s="33">
        <f t="shared" si="0"/>
        <v>0</v>
      </c>
      <c r="BB17" s="33">
        <f t="shared" si="0"/>
        <v>0</v>
      </c>
      <c r="BC17" s="33">
        <f t="shared" si="0"/>
        <v>0</v>
      </c>
      <c r="BD17" s="33">
        <f t="shared" si="0"/>
        <v>0</v>
      </c>
      <c r="BE17" s="33">
        <f t="shared" si="0"/>
        <v>0</v>
      </c>
      <c r="BF17" s="33">
        <f t="shared" si="0"/>
        <v>0</v>
      </c>
      <c r="BG17" s="33">
        <f t="shared" si="0"/>
        <v>0</v>
      </c>
      <c r="BH17" s="33">
        <f t="shared" si="0"/>
        <v>0</v>
      </c>
      <c r="BI17" s="33">
        <f t="shared" si="0"/>
        <v>0</v>
      </c>
      <c r="BJ17" s="33">
        <f t="shared" si="0"/>
        <v>0</v>
      </c>
      <c r="BK17" s="33">
        <f t="shared" si="0"/>
        <v>0</v>
      </c>
      <c r="BL17" s="33">
        <f t="shared" si="0"/>
        <v>0</v>
      </c>
      <c r="BM17" s="33">
        <f t="shared" si="0"/>
        <v>0</v>
      </c>
      <c r="BN17" s="33">
        <f t="shared" si="0"/>
        <v>0</v>
      </c>
      <c r="BO17" s="33">
        <f t="shared" ref="BO17:CK17" si="1">SUM(BO4:BO13)</f>
        <v>0</v>
      </c>
      <c r="BP17" s="33">
        <f t="shared" si="1"/>
        <v>0</v>
      </c>
      <c r="BQ17" s="33">
        <f t="shared" si="1"/>
        <v>0</v>
      </c>
      <c r="BR17" s="33">
        <f t="shared" si="1"/>
        <v>0</v>
      </c>
      <c r="BS17" s="33">
        <f t="shared" si="1"/>
        <v>0</v>
      </c>
      <c r="BT17" s="33">
        <f t="shared" si="1"/>
        <v>0</v>
      </c>
      <c r="BU17" s="33">
        <f t="shared" si="1"/>
        <v>0</v>
      </c>
      <c r="BV17" s="33">
        <f t="shared" si="1"/>
        <v>0</v>
      </c>
      <c r="BW17" s="33">
        <f t="shared" si="1"/>
        <v>0</v>
      </c>
      <c r="BX17" s="33">
        <f t="shared" si="1"/>
        <v>0</v>
      </c>
      <c r="BY17" s="33">
        <f t="shared" si="1"/>
        <v>0</v>
      </c>
      <c r="BZ17" s="33">
        <f t="shared" si="1"/>
        <v>0</v>
      </c>
      <c r="CA17" s="33">
        <f t="shared" si="1"/>
        <v>0</v>
      </c>
      <c r="CB17" s="33">
        <f t="shared" si="1"/>
        <v>0</v>
      </c>
      <c r="CC17" s="33">
        <f t="shared" si="1"/>
        <v>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2" t="s">
        <v>79</v>
      </c>
      <c r="B18" s="34"/>
      <c r="C18" s="34"/>
      <c r="D18" s="34"/>
      <c r="E18" s="34"/>
      <c r="F18" s="34"/>
      <c r="G18" s="34"/>
      <c r="H18" s="34"/>
      <c r="I18" s="34"/>
      <c r="J18" s="34"/>
      <c r="K18" s="34"/>
      <c r="L18" s="32"/>
      <c r="M18" s="14"/>
      <c r="N18" s="14"/>
    </row>
    <row r="19" spans="1:90" s="5" customFormat="1" x14ac:dyDescent="0.25">
      <c r="A19" s="121" t="s">
        <v>78</v>
      </c>
      <c r="B19" s="190">
        <v>174256515.30000001</v>
      </c>
      <c r="C19" s="190">
        <v>160012824.27000001</v>
      </c>
      <c r="D19" s="190">
        <v>130817506.06</v>
      </c>
      <c r="E19" s="190">
        <v>130474733.58</v>
      </c>
      <c r="F19" s="190">
        <v>124385439.20999999</v>
      </c>
      <c r="G19" s="190">
        <v>129122297.95</v>
      </c>
      <c r="H19" s="190">
        <v>80000000</v>
      </c>
      <c r="I19" s="190">
        <v>35000000</v>
      </c>
      <c r="J19" s="190">
        <v>0</v>
      </c>
      <c r="K19" s="190">
        <v>0</v>
      </c>
      <c r="L19" s="190">
        <v>0</v>
      </c>
      <c r="M19" s="190">
        <v>0</v>
      </c>
      <c r="N19" s="190">
        <v>0</v>
      </c>
      <c r="O19" s="190">
        <v>0</v>
      </c>
      <c r="P19" s="190">
        <v>0</v>
      </c>
      <c r="Q19" s="190">
        <v>0</v>
      </c>
      <c r="R19" s="190">
        <v>51079.89</v>
      </c>
      <c r="S19" s="190">
        <v>655392.89</v>
      </c>
      <c r="T19" s="190">
        <v>1008054.3</v>
      </c>
      <c r="U19" s="190">
        <v>1008054.3</v>
      </c>
      <c r="V19" s="190">
        <v>1092280.75</v>
      </c>
      <c r="W19" s="190">
        <v>1248159.28</v>
      </c>
      <c r="X19" s="190">
        <v>1368501.12</v>
      </c>
      <c r="Y19" s="190">
        <v>1462726.94</v>
      </c>
      <c r="Z19" s="190">
        <v>1661600.83</v>
      </c>
      <c r="AA19" s="190">
        <v>1661600.83</v>
      </c>
      <c r="AB19" s="190">
        <v>604313</v>
      </c>
      <c r="AC19" s="190">
        <v>604313</v>
      </c>
      <c r="AD19" s="190">
        <v>604313</v>
      </c>
      <c r="AE19" s="190">
        <v>604313</v>
      </c>
      <c r="AF19" s="190">
        <v>604313</v>
      </c>
      <c r="AG19" s="190">
        <v>14009211.65</v>
      </c>
      <c r="AH19" s="190">
        <v>10164536.99</v>
      </c>
      <c r="AI19" s="190">
        <v>10164536.99</v>
      </c>
      <c r="AJ19" s="190">
        <v>10664509.92</v>
      </c>
      <c r="AK19" s="190">
        <v>10664509.92</v>
      </c>
      <c r="AL19" s="190">
        <v>16197844.17</v>
      </c>
      <c r="AM19" s="190">
        <v>0</v>
      </c>
      <c r="AN19" s="190">
        <v>0</v>
      </c>
      <c r="AO19" s="190"/>
      <c r="AP19" s="190"/>
      <c r="AQ19" s="190"/>
      <c r="AR19" s="190"/>
      <c r="AS19" s="190"/>
      <c r="AT19" s="190"/>
      <c r="AU19" s="190"/>
      <c r="AV19" s="190"/>
      <c r="AW19" s="190"/>
      <c r="AX19" s="190"/>
      <c r="AY19" s="190"/>
      <c r="AZ19" s="190"/>
      <c r="BA19" s="190"/>
      <c r="BB19" s="190"/>
      <c r="BC19" s="190"/>
      <c r="BD19" s="190"/>
      <c r="BE19" s="190"/>
      <c r="BF19" s="190"/>
      <c r="BG19" s="190"/>
      <c r="BH19" s="190"/>
      <c r="BI19" s="190"/>
      <c r="BJ19" s="190"/>
      <c r="BK19" s="190"/>
      <c r="BL19" s="190"/>
      <c r="BM19" s="190"/>
      <c r="BN19" s="190"/>
      <c r="BO19" s="190"/>
      <c r="BP19" s="190"/>
      <c r="BQ19" s="190"/>
      <c r="BR19" s="190"/>
      <c r="BS19" s="190"/>
      <c r="BT19" s="190"/>
      <c r="BU19" s="190"/>
      <c r="BV19" s="190"/>
      <c r="BW19" s="190"/>
      <c r="BX19" s="190"/>
      <c r="BY19" s="190"/>
      <c r="BZ19" s="190"/>
      <c r="CA19" s="190"/>
      <c r="CB19" s="190"/>
      <c r="CC19" s="190"/>
      <c r="CD19" s="190"/>
      <c r="CE19" s="190"/>
      <c r="CF19" s="190"/>
      <c r="CG19" s="190"/>
      <c r="CH19" s="190"/>
      <c r="CI19" s="190"/>
      <c r="CJ19" s="190"/>
      <c r="CK19" s="190"/>
      <c r="CL19" s="190"/>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90">
        <v>1993898058.1900001</v>
      </c>
      <c r="C22" s="190">
        <v>3101869002.4000001</v>
      </c>
      <c r="D22" s="190">
        <v>3961977210.2600002</v>
      </c>
      <c r="E22" s="190">
        <v>3636961616.0300002</v>
      </c>
      <c r="F22" s="190">
        <v>3260687198.1500001</v>
      </c>
      <c r="G22" s="190">
        <v>3281639420.27</v>
      </c>
      <c r="H22" s="190">
        <v>3360649361.4200001</v>
      </c>
      <c r="I22" s="190">
        <v>2843404415.52</v>
      </c>
      <c r="J22" s="190">
        <v>1727602069.6700001</v>
      </c>
      <c r="K22" s="190">
        <v>1815898912.6600001</v>
      </c>
      <c r="L22" s="190">
        <v>2242689742.8099999</v>
      </c>
      <c r="M22" s="190">
        <v>3044148064.8099999</v>
      </c>
      <c r="N22" s="190">
        <v>2224833665.3299999</v>
      </c>
      <c r="O22" s="190">
        <v>2346406980.3699999</v>
      </c>
      <c r="P22" s="190">
        <v>2071707004.8399999</v>
      </c>
      <c r="Q22" s="190">
        <v>1875769464.99</v>
      </c>
      <c r="R22" s="190">
        <v>852522525.01999998</v>
      </c>
      <c r="S22" s="190">
        <v>766359307.48000002</v>
      </c>
      <c r="T22" s="190">
        <v>831639959.27999997</v>
      </c>
      <c r="U22" s="190">
        <v>784502488.21000004</v>
      </c>
      <c r="V22" s="190">
        <v>421571727.56999999</v>
      </c>
      <c r="W22" s="190">
        <v>273817914.26999998</v>
      </c>
      <c r="X22" s="190">
        <v>258220949.11000001</v>
      </c>
      <c r="Y22" s="190">
        <v>318218110.31999999</v>
      </c>
      <c r="Z22" s="190">
        <v>198609742.53</v>
      </c>
      <c r="AA22" s="190">
        <v>184765189.93000001</v>
      </c>
      <c r="AB22" s="190">
        <v>226281769.56</v>
      </c>
      <c r="AC22" s="190">
        <v>307926194.52999997</v>
      </c>
      <c r="AD22" s="190">
        <v>148734994.71000001</v>
      </c>
      <c r="AE22" s="190">
        <v>110968535.86</v>
      </c>
      <c r="AF22" s="190">
        <v>100807184.06</v>
      </c>
      <c r="AG22" s="190">
        <v>109035496.31999999</v>
      </c>
      <c r="AH22" s="190">
        <v>57932027</v>
      </c>
      <c r="AI22" s="190">
        <v>35105102.189999998</v>
      </c>
      <c r="AJ22" s="190">
        <v>36591753.560000002</v>
      </c>
      <c r="AK22" s="190">
        <v>49083098.729999997</v>
      </c>
      <c r="AL22" s="190">
        <v>53705955.130000003</v>
      </c>
      <c r="AM22" s="190">
        <v>32150332.050000001</v>
      </c>
      <c r="AN22" s="190">
        <v>0</v>
      </c>
      <c r="AO22" s="190"/>
      <c r="AP22" s="190"/>
      <c r="AQ22" s="190"/>
      <c r="AR22" s="190"/>
      <c r="AS22" s="190"/>
      <c r="AT22" s="190"/>
      <c r="AU22" s="190"/>
      <c r="AV22" s="190"/>
      <c r="AW22" s="190"/>
      <c r="AX22" s="190"/>
      <c r="AY22" s="190"/>
      <c r="AZ22" s="190"/>
      <c r="BA22" s="190"/>
      <c r="BB22" s="190"/>
      <c r="BC22" s="190"/>
      <c r="BD22" s="190"/>
      <c r="BE22" s="190"/>
      <c r="BF22" s="190"/>
      <c r="BG22" s="190"/>
      <c r="BH22" s="190"/>
      <c r="BI22" s="190"/>
      <c r="BJ22" s="190"/>
      <c r="BK22" s="190"/>
      <c r="BL22" s="190"/>
      <c r="BM22" s="190"/>
      <c r="BN22" s="190"/>
      <c r="BO22" s="190"/>
      <c r="BP22" s="190"/>
      <c r="BQ22" s="190"/>
      <c r="BR22" s="190"/>
      <c r="BS22" s="190"/>
      <c r="BT22" s="190"/>
      <c r="BU22" s="190"/>
      <c r="BV22" s="190"/>
      <c r="BW22" s="190"/>
      <c r="BX22" s="190"/>
      <c r="BY22" s="190"/>
      <c r="BZ22" s="190"/>
      <c r="CA22" s="190"/>
      <c r="CB22" s="190"/>
      <c r="CC22" s="190"/>
      <c r="CD22" s="190"/>
      <c r="CE22" s="190"/>
      <c r="CF22" s="190"/>
      <c r="CG22" s="190"/>
      <c r="CH22" s="190"/>
      <c r="CI22" s="190"/>
      <c r="CJ22" s="190"/>
      <c r="CK22" s="190"/>
      <c r="CL22" s="190"/>
    </row>
    <row r="23" spans="1:90" x14ac:dyDescent="0.25">
      <c r="A23" s="17" t="s">
        <v>15</v>
      </c>
      <c r="B23" s="190">
        <v>18180455833.73</v>
      </c>
      <c r="C23" s="190">
        <v>16949626312.709999</v>
      </c>
      <c r="D23" s="190">
        <v>15970671829.27</v>
      </c>
      <c r="E23" s="190">
        <v>14705210072.809999</v>
      </c>
      <c r="F23" s="190">
        <v>15171778607.65</v>
      </c>
      <c r="G23" s="190">
        <v>13304046010.120001</v>
      </c>
      <c r="H23" s="190">
        <v>12046663764.799999</v>
      </c>
      <c r="I23" s="190">
        <v>11242812902.860001</v>
      </c>
      <c r="J23" s="190">
        <v>12055572930.190001</v>
      </c>
      <c r="K23" s="190">
        <v>10416390596.860001</v>
      </c>
      <c r="L23" s="190">
        <v>8855016848.1200008</v>
      </c>
      <c r="M23" s="190">
        <v>8125932742.9799995</v>
      </c>
      <c r="N23" s="190">
        <v>8340770862.5500002</v>
      </c>
      <c r="O23" s="190">
        <v>6478542121.29</v>
      </c>
      <c r="P23" s="190">
        <v>5417911023.3699999</v>
      </c>
      <c r="Q23" s="190">
        <v>4281526957.0500002</v>
      </c>
      <c r="R23" s="190">
        <v>4776759562.6400003</v>
      </c>
      <c r="S23" s="190">
        <v>4168290504.6100001</v>
      </c>
      <c r="T23" s="190">
        <v>3537342358.9299998</v>
      </c>
      <c r="U23" s="190">
        <v>2878641141.4200001</v>
      </c>
      <c r="V23" s="190">
        <v>2973979663.21</v>
      </c>
      <c r="W23" s="190">
        <v>2391827838.73</v>
      </c>
      <c r="X23" s="190">
        <v>1892895993.2</v>
      </c>
      <c r="Y23" s="190">
        <v>1596724569.46</v>
      </c>
      <c r="Z23" s="190">
        <v>1737773835.6099999</v>
      </c>
      <c r="AA23" s="190">
        <v>1399522625.6900001</v>
      </c>
      <c r="AB23" s="190">
        <v>1246952133.6099999</v>
      </c>
      <c r="AC23" s="190">
        <v>948269339.34000003</v>
      </c>
      <c r="AD23" s="190">
        <v>1137299527.98</v>
      </c>
      <c r="AE23" s="190">
        <v>923181835.35000002</v>
      </c>
      <c r="AF23" s="190">
        <v>740670822.88</v>
      </c>
      <c r="AG23" s="190">
        <v>532296129.29000002</v>
      </c>
      <c r="AH23" s="190">
        <v>537931169.03999996</v>
      </c>
      <c r="AI23" s="190">
        <v>441431430.61000001</v>
      </c>
      <c r="AJ23" s="190">
        <v>488375202.61000001</v>
      </c>
      <c r="AK23" s="190">
        <v>250668220.88999999</v>
      </c>
      <c r="AL23" s="190">
        <v>132558517.63</v>
      </c>
      <c r="AM23" s="190">
        <v>95139325.540000007</v>
      </c>
      <c r="AN23" s="190">
        <v>0</v>
      </c>
      <c r="AO23" s="190"/>
      <c r="AP23" s="190"/>
      <c r="AQ23" s="190"/>
      <c r="AR23" s="190"/>
      <c r="AS23" s="190"/>
      <c r="AT23" s="190"/>
      <c r="AU23" s="190"/>
      <c r="AV23" s="190"/>
      <c r="AW23" s="190"/>
      <c r="AX23" s="190"/>
      <c r="AY23" s="190"/>
      <c r="AZ23" s="190"/>
      <c r="BA23" s="190"/>
      <c r="BB23" s="190"/>
      <c r="BC23" s="190"/>
      <c r="BD23" s="190"/>
      <c r="BE23" s="190"/>
      <c r="BF23" s="190"/>
      <c r="BG23" s="190"/>
      <c r="BH23" s="190"/>
      <c r="BI23" s="190"/>
      <c r="BJ23" s="190"/>
      <c r="BK23" s="190"/>
      <c r="BL23" s="190"/>
      <c r="BM23" s="190"/>
      <c r="BN23" s="190"/>
      <c r="BO23" s="190"/>
      <c r="BP23" s="190"/>
      <c r="BQ23" s="190"/>
      <c r="BR23" s="190"/>
      <c r="BS23" s="190"/>
      <c r="BT23" s="190"/>
      <c r="BU23" s="190"/>
      <c r="BV23" s="190"/>
      <c r="BW23" s="190"/>
      <c r="BX23" s="190"/>
      <c r="BY23" s="190"/>
      <c r="BZ23" s="190"/>
      <c r="CA23" s="190"/>
      <c r="CB23" s="190"/>
      <c r="CC23" s="190"/>
      <c r="CD23" s="190"/>
      <c r="CE23" s="190"/>
      <c r="CF23" s="190"/>
      <c r="CG23" s="190"/>
      <c r="CH23" s="190"/>
      <c r="CI23" s="190"/>
      <c r="CJ23" s="190"/>
      <c r="CK23" s="190"/>
      <c r="CL23" s="190"/>
    </row>
    <row r="24" spans="1:90" x14ac:dyDescent="0.25">
      <c r="A24" s="17" t="s">
        <v>16</v>
      </c>
      <c r="B24" s="190">
        <v>454115714.47000003</v>
      </c>
      <c r="C24" s="190">
        <v>403145778.12</v>
      </c>
      <c r="D24" s="190">
        <v>527897944.12</v>
      </c>
      <c r="E24" s="190">
        <v>527576857.11000001</v>
      </c>
      <c r="F24" s="190">
        <v>370891604.83999997</v>
      </c>
      <c r="G24" s="190">
        <v>263755789.84999999</v>
      </c>
      <c r="H24" s="190">
        <v>325551312.25999999</v>
      </c>
      <c r="I24" s="190">
        <v>278971025.67000002</v>
      </c>
      <c r="J24" s="190">
        <v>249789694.33000001</v>
      </c>
      <c r="K24" s="190">
        <v>279564165.88999999</v>
      </c>
      <c r="L24" s="190">
        <v>133247566.92</v>
      </c>
      <c r="M24" s="190">
        <v>132662264.81</v>
      </c>
      <c r="N24" s="190">
        <v>74703082.049999997</v>
      </c>
      <c r="O24" s="190">
        <v>134322389.83000001</v>
      </c>
      <c r="P24" s="190">
        <v>39938347.32</v>
      </c>
      <c r="Q24" s="190">
        <v>65305741</v>
      </c>
      <c r="R24" s="190">
        <v>77288993.409999996</v>
      </c>
      <c r="S24" s="190">
        <v>84548274.409999996</v>
      </c>
      <c r="T24" s="190">
        <v>85403919.439999998</v>
      </c>
      <c r="U24" s="190">
        <v>95476147.269999996</v>
      </c>
      <c r="V24" s="190">
        <v>67164072.079999998</v>
      </c>
      <c r="W24" s="190">
        <v>80774323.829999998</v>
      </c>
      <c r="X24" s="190">
        <v>78499421.629999995</v>
      </c>
      <c r="Y24" s="190">
        <v>82871049.709999993</v>
      </c>
      <c r="Z24" s="190">
        <v>326582998.31999999</v>
      </c>
      <c r="AA24" s="190">
        <v>125272101.08</v>
      </c>
      <c r="AB24" s="190">
        <v>75959250.25</v>
      </c>
      <c r="AC24" s="190">
        <v>71225633.069999993</v>
      </c>
      <c r="AD24" s="190">
        <v>159059174.09</v>
      </c>
      <c r="AE24" s="190">
        <v>93050948.209999993</v>
      </c>
      <c r="AF24" s="190">
        <v>71559391.159999996</v>
      </c>
      <c r="AG24" s="190">
        <v>32784953.420000002</v>
      </c>
      <c r="AH24" s="190">
        <v>58828208.630000003</v>
      </c>
      <c r="AI24" s="190">
        <v>59513501.030000001</v>
      </c>
      <c r="AJ24" s="190">
        <v>51703350.530000001</v>
      </c>
      <c r="AK24" s="190">
        <v>14204408.310000001</v>
      </c>
      <c r="AL24" s="190">
        <v>189855</v>
      </c>
      <c r="AM24" s="190">
        <v>10370</v>
      </c>
      <c r="AN24" s="190">
        <v>0</v>
      </c>
      <c r="AO24" s="190"/>
      <c r="AP24" s="190"/>
      <c r="AQ24" s="190"/>
      <c r="AR24" s="190"/>
      <c r="AS24" s="190"/>
      <c r="AT24" s="190"/>
      <c r="AU24" s="190"/>
      <c r="AV24" s="190"/>
      <c r="AW24" s="190"/>
      <c r="AX24" s="190"/>
      <c r="AY24" s="190"/>
      <c r="AZ24" s="190"/>
      <c r="BA24" s="190"/>
      <c r="BB24" s="190"/>
      <c r="BC24" s="190"/>
      <c r="BD24" s="190"/>
      <c r="BE24" s="190"/>
      <c r="BF24" s="190"/>
      <c r="BG24" s="190"/>
      <c r="BH24" s="190"/>
      <c r="BI24" s="190"/>
      <c r="BJ24" s="190"/>
      <c r="BK24" s="190"/>
      <c r="BL24" s="190"/>
      <c r="BM24" s="190"/>
      <c r="BN24" s="190"/>
      <c r="BO24" s="190"/>
      <c r="BP24" s="190"/>
      <c r="BQ24" s="190"/>
      <c r="BR24" s="190"/>
      <c r="BS24" s="190"/>
      <c r="BT24" s="190"/>
      <c r="BU24" s="190"/>
      <c r="BV24" s="190"/>
      <c r="BW24" s="190"/>
      <c r="BX24" s="190"/>
      <c r="BY24" s="190"/>
      <c r="BZ24" s="190"/>
      <c r="CA24" s="190"/>
      <c r="CB24" s="190"/>
      <c r="CC24" s="190"/>
      <c r="CD24" s="190"/>
      <c r="CE24" s="190"/>
      <c r="CF24" s="190"/>
      <c r="CG24" s="190"/>
      <c r="CH24" s="190"/>
      <c r="CI24" s="190"/>
      <c r="CJ24" s="190"/>
      <c r="CK24" s="190"/>
      <c r="CL24" s="190"/>
    </row>
    <row r="25" spans="1:90" x14ac:dyDescent="0.25">
      <c r="A25" s="17" t="s">
        <v>17</v>
      </c>
      <c r="B25" s="190">
        <v>723430178.27999997</v>
      </c>
      <c r="C25" s="190">
        <v>497608220.94999999</v>
      </c>
      <c r="D25" s="190">
        <v>580057359.21000004</v>
      </c>
      <c r="E25" s="190">
        <v>583681240.80999994</v>
      </c>
      <c r="F25" s="190">
        <v>554550891.60000002</v>
      </c>
      <c r="G25" s="190">
        <v>709661672.51999998</v>
      </c>
      <c r="H25" s="190">
        <v>555148497.00999999</v>
      </c>
      <c r="I25" s="190">
        <v>528600591.43000001</v>
      </c>
      <c r="J25" s="190">
        <v>507084422.35000002</v>
      </c>
      <c r="K25" s="190">
        <v>424056220.81999999</v>
      </c>
      <c r="L25" s="190">
        <v>348014396.63999999</v>
      </c>
      <c r="M25" s="190">
        <v>335274098.54000002</v>
      </c>
      <c r="N25" s="190">
        <v>366442720.80000001</v>
      </c>
      <c r="O25" s="190">
        <v>343810650.77999997</v>
      </c>
      <c r="P25" s="190">
        <v>405530324.67000002</v>
      </c>
      <c r="Q25" s="190">
        <v>255289608.69999999</v>
      </c>
      <c r="R25" s="190">
        <v>293268530.19999999</v>
      </c>
      <c r="S25" s="190">
        <v>314244578.25999999</v>
      </c>
      <c r="T25" s="190">
        <v>219622522.36000001</v>
      </c>
      <c r="U25" s="190">
        <v>229767929.84999999</v>
      </c>
      <c r="V25" s="190">
        <v>215908063.37</v>
      </c>
      <c r="W25" s="190">
        <v>188416190.43000001</v>
      </c>
      <c r="X25" s="190">
        <v>157787075.34999999</v>
      </c>
      <c r="Y25" s="190">
        <v>129037030.54000001</v>
      </c>
      <c r="Z25" s="190">
        <v>127694320.44</v>
      </c>
      <c r="AA25" s="190">
        <v>83438739.700000003</v>
      </c>
      <c r="AB25" s="190">
        <v>72985459.629999995</v>
      </c>
      <c r="AC25" s="190">
        <v>60139588.299999997</v>
      </c>
      <c r="AD25" s="190">
        <v>80967083.650000006</v>
      </c>
      <c r="AE25" s="190">
        <v>51344981.969999999</v>
      </c>
      <c r="AF25" s="190">
        <v>54322350.920000002</v>
      </c>
      <c r="AG25" s="190">
        <v>36008032</v>
      </c>
      <c r="AH25" s="190">
        <v>41620668.840000004</v>
      </c>
      <c r="AI25" s="190">
        <v>30004693.489999998</v>
      </c>
      <c r="AJ25" s="190">
        <v>30059464.77</v>
      </c>
      <c r="AK25" s="190">
        <v>18116534.34</v>
      </c>
      <c r="AL25" s="190">
        <v>11872243.52</v>
      </c>
      <c r="AM25" s="190">
        <v>14845134.439999999</v>
      </c>
      <c r="AN25" s="190">
        <v>0</v>
      </c>
      <c r="AO25" s="190"/>
      <c r="AP25" s="190"/>
      <c r="AQ25" s="190"/>
      <c r="AR25" s="190"/>
      <c r="AS25" s="190"/>
      <c r="AT25" s="190"/>
      <c r="AU25" s="190"/>
      <c r="AV25" s="190"/>
      <c r="AW25" s="190"/>
      <c r="AX25" s="190"/>
      <c r="AY25" s="190"/>
      <c r="AZ25" s="190"/>
      <c r="BA25" s="190"/>
      <c r="BB25" s="190"/>
      <c r="BC25" s="190"/>
      <c r="BD25" s="190"/>
      <c r="BE25" s="190"/>
      <c r="BF25" s="190"/>
      <c r="BG25" s="190"/>
      <c r="BH25" s="190"/>
      <c r="BI25" s="190"/>
      <c r="BJ25" s="190"/>
      <c r="BK25" s="190"/>
      <c r="BL25" s="190"/>
      <c r="BM25" s="190"/>
      <c r="BN25" s="190"/>
      <c r="BO25" s="190"/>
      <c r="BP25" s="190"/>
      <c r="BQ25" s="190"/>
      <c r="BR25" s="190"/>
      <c r="BS25" s="190"/>
      <c r="BT25" s="190"/>
      <c r="BU25" s="190"/>
      <c r="BV25" s="190"/>
      <c r="BW25" s="190"/>
      <c r="BX25" s="190"/>
      <c r="BY25" s="190"/>
      <c r="BZ25" s="190"/>
      <c r="CA25" s="190"/>
      <c r="CB25" s="190"/>
      <c r="CC25" s="190"/>
      <c r="CD25" s="190"/>
      <c r="CE25" s="190"/>
      <c r="CF25" s="190"/>
      <c r="CG25" s="190"/>
      <c r="CH25" s="190"/>
      <c r="CI25" s="190"/>
      <c r="CJ25" s="190"/>
      <c r="CK25" s="190"/>
      <c r="CL25" s="190"/>
    </row>
    <row r="26" spans="1:90" x14ac:dyDescent="0.25">
      <c r="A26" s="17" t="s">
        <v>18</v>
      </c>
      <c r="B26" s="190">
        <v>5797676969.3599997</v>
      </c>
      <c r="C26" s="190">
        <v>5507182528.9300003</v>
      </c>
      <c r="D26" s="190">
        <v>5309146630.8000002</v>
      </c>
      <c r="E26" s="190">
        <v>4940332311.6499996</v>
      </c>
      <c r="F26" s="190">
        <v>5440626715.7200003</v>
      </c>
      <c r="G26" s="190">
        <v>4935820439.5100002</v>
      </c>
      <c r="H26" s="190">
        <v>4422171233.1800003</v>
      </c>
      <c r="I26" s="190">
        <v>3825159212.2800002</v>
      </c>
      <c r="J26" s="190">
        <v>4378378995.5100002</v>
      </c>
      <c r="K26" s="190">
        <v>3614090858.8699999</v>
      </c>
      <c r="L26" s="190">
        <v>3197367212.8099999</v>
      </c>
      <c r="M26" s="190">
        <v>2818665737.1100001</v>
      </c>
      <c r="N26" s="190">
        <v>2610347737.21</v>
      </c>
      <c r="O26" s="190">
        <v>2801065155.1700001</v>
      </c>
      <c r="P26" s="190">
        <v>2960221199.0999999</v>
      </c>
      <c r="Q26" s="190">
        <v>2291934275.7600002</v>
      </c>
      <c r="R26" s="190">
        <v>2443890365.8299999</v>
      </c>
      <c r="S26" s="190">
        <v>2028352538.8199999</v>
      </c>
      <c r="T26" s="190">
        <v>1651245978.79</v>
      </c>
      <c r="U26" s="190">
        <v>1428667757.02</v>
      </c>
      <c r="V26" s="190">
        <v>1637253482.78</v>
      </c>
      <c r="W26" s="190">
        <v>1271437089.8</v>
      </c>
      <c r="X26" s="190">
        <v>1227068976.1500001</v>
      </c>
      <c r="Y26" s="190">
        <v>1017937356.11</v>
      </c>
      <c r="Z26" s="190">
        <v>950486204.63</v>
      </c>
      <c r="AA26" s="190">
        <v>901823206.12</v>
      </c>
      <c r="AB26" s="190">
        <v>819016975.83000004</v>
      </c>
      <c r="AC26" s="190">
        <v>769097776.53999996</v>
      </c>
      <c r="AD26" s="190">
        <v>794695575.01999998</v>
      </c>
      <c r="AE26" s="190">
        <v>720008872.72000003</v>
      </c>
      <c r="AF26" s="190">
        <v>630981285.64999998</v>
      </c>
      <c r="AG26" s="190">
        <v>625345392.03999996</v>
      </c>
      <c r="AH26" s="190">
        <v>780157123.53999996</v>
      </c>
      <c r="AI26" s="190">
        <v>704118174.12</v>
      </c>
      <c r="AJ26" s="190">
        <v>456220456.87</v>
      </c>
      <c r="AK26" s="190">
        <v>392950169.44999999</v>
      </c>
      <c r="AL26" s="190">
        <v>219387511.16</v>
      </c>
      <c r="AM26" s="190">
        <v>223233592.53</v>
      </c>
      <c r="AN26" s="190">
        <v>0</v>
      </c>
      <c r="AO26" s="190"/>
      <c r="AP26" s="190"/>
      <c r="AQ26" s="190"/>
      <c r="AR26" s="190"/>
      <c r="AS26" s="190"/>
      <c r="AT26" s="190"/>
      <c r="AU26" s="190"/>
      <c r="AV26" s="190"/>
      <c r="AW26" s="190"/>
      <c r="AX26" s="190"/>
      <c r="AY26" s="190"/>
      <c r="AZ26" s="190"/>
      <c r="BA26" s="190"/>
      <c r="BB26" s="190"/>
      <c r="BC26" s="190"/>
      <c r="BD26" s="190"/>
      <c r="BE26" s="190"/>
      <c r="BF26" s="190"/>
      <c r="BG26" s="190"/>
      <c r="BH26" s="190"/>
      <c r="BI26" s="190"/>
      <c r="BJ26" s="190"/>
      <c r="BK26" s="190"/>
      <c r="BL26" s="190"/>
      <c r="BM26" s="190"/>
      <c r="BN26" s="190"/>
      <c r="BO26" s="190"/>
      <c r="BP26" s="190"/>
      <c r="BQ26" s="190"/>
      <c r="BR26" s="190"/>
      <c r="BS26" s="190"/>
      <c r="BT26" s="190"/>
      <c r="BU26" s="190"/>
      <c r="BV26" s="190"/>
      <c r="BW26" s="190"/>
      <c r="BX26" s="190"/>
      <c r="BY26" s="190"/>
      <c r="BZ26" s="190"/>
      <c r="CA26" s="190"/>
      <c r="CB26" s="190"/>
      <c r="CC26" s="190"/>
      <c r="CD26" s="190"/>
      <c r="CE26" s="190"/>
      <c r="CF26" s="190"/>
      <c r="CG26" s="190"/>
      <c r="CH26" s="190"/>
      <c r="CI26" s="190"/>
      <c r="CJ26" s="190"/>
      <c r="CK26" s="190"/>
      <c r="CL26" s="190"/>
    </row>
    <row r="27" spans="1:90" x14ac:dyDescent="0.25">
      <c r="A27" s="17" t="s">
        <v>19</v>
      </c>
      <c r="B27" s="190">
        <v>711908681.58000004</v>
      </c>
      <c r="C27" s="190">
        <v>1423012974.05</v>
      </c>
      <c r="D27" s="190">
        <v>4696676281.4799995</v>
      </c>
      <c r="E27" s="190">
        <v>3720449532.8800001</v>
      </c>
      <c r="F27" s="190">
        <v>512032844.25999999</v>
      </c>
      <c r="G27" s="190">
        <v>428103172.17000002</v>
      </c>
      <c r="H27" s="190">
        <v>738727811.37</v>
      </c>
      <c r="I27" s="190">
        <v>4153992276.7800002</v>
      </c>
      <c r="J27" s="190">
        <v>908826826</v>
      </c>
      <c r="K27" s="190">
        <v>1068880452.6900001</v>
      </c>
      <c r="L27" s="190">
        <v>3190318035.0100002</v>
      </c>
      <c r="M27" s="190">
        <v>2113013249.46</v>
      </c>
      <c r="N27" s="190">
        <v>1882600242.55</v>
      </c>
      <c r="O27" s="190">
        <v>2082680286.4300001</v>
      </c>
      <c r="P27" s="190">
        <v>1955220859.27</v>
      </c>
      <c r="Q27" s="190">
        <v>3135369069.6599998</v>
      </c>
      <c r="R27" s="190">
        <v>3343120240.79</v>
      </c>
      <c r="S27" s="190">
        <v>3142730872.4000001</v>
      </c>
      <c r="T27" s="190">
        <v>2706019562.8800001</v>
      </c>
      <c r="U27" s="190">
        <v>2380272976.1799998</v>
      </c>
      <c r="V27" s="190">
        <v>42700704.630000003</v>
      </c>
      <c r="W27" s="190">
        <v>41970700.020000003</v>
      </c>
      <c r="X27" s="190">
        <v>87484057.569999993</v>
      </c>
      <c r="Y27" s="190">
        <v>132122410.54000001</v>
      </c>
      <c r="Z27" s="190">
        <v>0</v>
      </c>
      <c r="AA27" s="190">
        <v>0</v>
      </c>
      <c r="AB27" s="190">
        <v>0</v>
      </c>
      <c r="AC27" s="190">
        <v>0</v>
      </c>
      <c r="AD27" s="190">
        <v>0</v>
      </c>
      <c r="AE27" s="190">
        <v>0</v>
      </c>
      <c r="AF27" s="190">
        <v>0</v>
      </c>
      <c r="AG27" s="190">
        <v>0</v>
      </c>
      <c r="AH27" s="190">
        <v>3583747</v>
      </c>
      <c r="AI27" s="190">
        <v>4875620.5</v>
      </c>
      <c r="AJ27" s="190">
        <v>6247990</v>
      </c>
      <c r="AK27" s="190">
        <v>0</v>
      </c>
      <c r="AL27" s="190">
        <v>0</v>
      </c>
      <c r="AM27" s="190">
        <v>205599.74</v>
      </c>
      <c r="AN27" s="190">
        <v>0</v>
      </c>
      <c r="AO27" s="190"/>
      <c r="AP27" s="190"/>
      <c r="AQ27" s="190"/>
      <c r="AR27" s="190"/>
      <c r="AS27" s="190"/>
      <c r="AT27" s="190"/>
      <c r="AU27" s="190"/>
      <c r="AV27" s="190"/>
      <c r="AW27" s="190"/>
      <c r="AX27" s="190"/>
      <c r="AY27" s="190"/>
      <c r="AZ27" s="190"/>
      <c r="BA27" s="190"/>
      <c r="BB27" s="190"/>
      <c r="BC27" s="190"/>
      <c r="BD27" s="190"/>
      <c r="BE27" s="190"/>
      <c r="BF27" s="190"/>
      <c r="BG27" s="190"/>
      <c r="BH27" s="190"/>
      <c r="BI27" s="190"/>
      <c r="BJ27" s="190"/>
      <c r="BK27" s="190"/>
      <c r="BL27" s="190"/>
      <c r="BM27" s="190"/>
      <c r="BN27" s="190"/>
      <c r="BO27" s="190"/>
      <c r="BP27" s="190"/>
      <c r="BQ27" s="190"/>
      <c r="BR27" s="190"/>
      <c r="BS27" s="190"/>
      <c r="BT27" s="190"/>
      <c r="BU27" s="190"/>
      <c r="BV27" s="190"/>
      <c r="BW27" s="190"/>
      <c r="BX27" s="190"/>
      <c r="BY27" s="190"/>
      <c r="BZ27" s="190"/>
      <c r="CA27" s="190"/>
      <c r="CB27" s="190"/>
      <c r="CC27" s="190"/>
      <c r="CD27" s="190"/>
      <c r="CE27" s="190"/>
      <c r="CF27" s="190"/>
      <c r="CG27" s="190"/>
      <c r="CH27" s="190"/>
      <c r="CI27" s="190"/>
      <c r="CJ27" s="190"/>
      <c r="CK27" s="190"/>
      <c r="CL27" s="190"/>
    </row>
    <row r="28" spans="1:90" x14ac:dyDescent="0.25">
      <c r="A28" s="17" t="s">
        <v>76</v>
      </c>
      <c r="B28" s="190">
        <v>24113182.32</v>
      </c>
      <c r="C28" s="190">
        <v>35767446.979999997</v>
      </c>
      <c r="D28" s="190">
        <v>32655340.300000001</v>
      </c>
      <c r="E28" s="190">
        <v>23375680.609999999</v>
      </c>
      <c r="F28" s="190">
        <v>134283654.33000001</v>
      </c>
      <c r="G28" s="190">
        <v>171142345.99000001</v>
      </c>
      <c r="H28" s="190">
        <v>187671161.28999999</v>
      </c>
      <c r="I28" s="190">
        <v>251588919.15000001</v>
      </c>
      <c r="J28" s="190">
        <v>84835230.739999995</v>
      </c>
      <c r="K28" s="190">
        <v>108518120.86</v>
      </c>
      <c r="L28" s="190">
        <v>106359155.97</v>
      </c>
      <c r="M28" s="190">
        <v>105903265.79000001</v>
      </c>
      <c r="N28" s="190">
        <v>64409309.100000001</v>
      </c>
      <c r="O28" s="190">
        <v>67612196.599999994</v>
      </c>
      <c r="P28" s="190">
        <v>77627950.439999998</v>
      </c>
      <c r="Q28" s="190">
        <v>87321837.170000002</v>
      </c>
      <c r="R28" s="190">
        <v>92320751.239999995</v>
      </c>
      <c r="S28" s="190">
        <v>94880103.590000004</v>
      </c>
      <c r="T28" s="190">
        <v>75750570.510000005</v>
      </c>
      <c r="U28" s="190">
        <v>93787282.939999998</v>
      </c>
      <c r="V28" s="190">
        <v>174757723.59999999</v>
      </c>
      <c r="W28" s="190">
        <v>178206756.09</v>
      </c>
      <c r="X28" s="190">
        <v>175724911.06</v>
      </c>
      <c r="Y28" s="190">
        <v>171730217.03</v>
      </c>
      <c r="Z28" s="190">
        <v>162853171.81</v>
      </c>
      <c r="AA28" s="190">
        <v>154901113.5</v>
      </c>
      <c r="AB28" s="190">
        <v>143931496.96000001</v>
      </c>
      <c r="AC28" s="190">
        <v>108358941.87</v>
      </c>
      <c r="AD28" s="190">
        <v>4904743.91</v>
      </c>
      <c r="AE28" s="190">
        <v>580773</v>
      </c>
      <c r="AF28" s="190">
        <v>0</v>
      </c>
      <c r="AG28" s="190">
        <v>0</v>
      </c>
      <c r="AH28" s="190">
        <v>0</v>
      </c>
      <c r="AI28" s="190">
        <v>0</v>
      </c>
      <c r="AJ28" s="190">
        <v>0</v>
      </c>
      <c r="AK28" s="190">
        <v>0</v>
      </c>
      <c r="AL28" s="190">
        <v>0</v>
      </c>
      <c r="AM28" s="190">
        <v>0</v>
      </c>
      <c r="AN28" s="190">
        <v>0</v>
      </c>
      <c r="AO28" s="190"/>
      <c r="AP28" s="190"/>
      <c r="AQ28" s="190"/>
      <c r="AR28" s="190"/>
      <c r="AS28" s="190"/>
      <c r="AT28" s="190"/>
      <c r="AU28" s="190"/>
      <c r="AV28" s="190"/>
      <c r="AW28" s="190"/>
      <c r="AX28" s="190"/>
      <c r="AY28" s="190"/>
      <c r="AZ28" s="190"/>
      <c r="BA28" s="190"/>
      <c r="BB28" s="190"/>
      <c r="BC28" s="190"/>
      <c r="BD28" s="190"/>
      <c r="BE28" s="190"/>
      <c r="BF28" s="190"/>
      <c r="BG28" s="190"/>
      <c r="BH28" s="190"/>
      <c r="BI28" s="190"/>
      <c r="BJ28" s="190"/>
      <c r="BK28" s="190"/>
      <c r="BL28" s="190"/>
      <c r="BM28" s="190"/>
      <c r="BN28" s="190"/>
      <c r="BO28" s="190"/>
      <c r="BP28" s="190"/>
      <c r="BQ28" s="190"/>
      <c r="BR28" s="190"/>
      <c r="BS28" s="190"/>
      <c r="BT28" s="190"/>
      <c r="BU28" s="190"/>
      <c r="BV28" s="190"/>
      <c r="BW28" s="190"/>
      <c r="BX28" s="190"/>
      <c r="BY28" s="190"/>
      <c r="BZ28" s="190"/>
      <c r="CA28" s="190"/>
      <c r="CB28" s="190"/>
      <c r="CC28" s="190"/>
      <c r="CD28" s="190"/>
      <c r="CE28" s="190"/>
      <c r="CF28" s="190"/>
      <c r="CG28" s="190"/>
      <c r="CH28" s="190"/>
      <c r="CI28" s="190"/>
      <c r="CJ28" s="190"/>
      <c r="CK28" s="190"/>
      <c r="CL28" s="190"/>
    </row>
    <row r="29" spans="1:90" x14ac:dyDescent="0.25">
      <c r="A29" s="17" t="s">
        <v>3</v>
      </c>
      <c r="B29" s="190">
        <v>78666535.329999998</v>
      </c>
      <c r="C29" s="190">
        <v>76858384.200000003</v>
      </c>
      <c r="D29" s="190">
        <v>80707361.519999996</v>
      </c>
      <c r="E29" s="190">
        <v>66566230.119999997</v>
      </c>
      <c r="F29" s="190">
        <v>0</v>
      </c>
      <c r="G29" s="190">
        <v>0</v>
      </c>
      <c r="H29" s="190">
        <v>0</v>
      </c>
      <c r="I29" s="190">
        <v>0</v>
      </c>
      <c r="J29" s="190">
        <v>0</v>
      </c>
      <c r="K29" s="190">
        <v>0</v>
      </c>
      <c r="L29" s="190">
        <v>0</v>
      </c>
      <c r="M29" s="190">
        <v>0</v>
      </c>
      <c r="N29" s="190">
        <v>0</v>
      </c>
      <c r="O29" s="190">
        <v>0</v>
      </c>
      <c r="P29" s="190">
        <v>0</v>
      </c>
      <c r="Q29" s="190">
        <v>0</v>
      </c>
      <c r="R29" s="190">
        <v>0</v>
      </c>
      <c r="S29" s="190">
        <v>0</v>
      </c>
      <c r="T29" s="190">
        <v>0</v>
      </c>
      <c r="U29" s="190">
        <v>0</v>
      </c>
      <c r="V29" s="190">
        <v>0</v>
      </c>
      <c r="W29" s="190">
        <v>0</v>
      </c>
      <c r="X29" s="190">
        <v>0</v>
      </c>
      <c r="Y29" s="190">
        <v>0</v>
      </c>
      <c r="Z29" s="190">
        <v>0</v>
      </c>
      <c r="AA29" s="190">
        <v>0</v>
      </c>
      <c r="AB29" s="190">
        <v>0</v>
      </c>
      <c r="AC29" s="190">
        <v>0</v>
      </c>
      <c r="AD29" s="190">
        <v>0</v>
      </c>
      <c r="AE29" s="190">
        <v>0</v>
      </c>
      <c r="AF29" s="190">
        <v>0</v>
      </c>
      <c r="AG29" s="190">
        <v>0</v>
      </c>
      <c r="AH29" s="190">
        <v>0</v>
      </c>
      <c r="AI29" s="190">
        <v>0</v>
      </c>
      <c r="AJ29" s="190">
        <v>0</v>
      </c>
      <c r="AK29" s="190">
        <v>0</v>
      </c>
      <c r="AL29" s="190">
        <v>0</v>
      </c>
      <c r="AM29" s="190">
        <v>0</v>
      </c>
      <c r="AN29" s="190">
        <v>0</v>
      </c>
      <c r="AO29" s="190"/>
      <c r="AP29" s="190"/>
      <c r="AQ29" s="190"/>
      <c r="AR29" s="190"/>
      <c r="AS29" s="190"/>
      <c r="AT29" s="190"/>
      <c r="AU29" s="190"/>
      <c r="AV29" s="190"/>
      <c r="AW29" s="190"/>
      <c r="AX29" s="190"/>
      <c r="AY29" s="190"/>
      <c r="AZ29" s="190"/>
      <c r="BA29" s="190"/>
      <c r="BB29" s="190"/>
      <c r="BC29" s="190"/>
      <c r="BD29" s="190"/>
      <c r="BE29" s="190"/>
      <c r="BF29" s="190"/>
      <c r="BG29" s="190"/>
      <c r="BH29" s="190"/>
      <c r="BI29" s="190"/>
      <c r="BJ29" s="190"/>
      <c r="BK29" s="190"/>
      <c r="BL29" s="190"/>
      <c r="BM29" s="190"/>
      <c r="BN29" s="190"/>
      <c r="BO29" s="190"/>
      <c r="BP29" s="190"/>
      <c r="BQ29" s="190"/>
      <c r="BR29" s="190"/>
      <c r="BS29" s="190"/>
      <c r="BT29" s="190"/>
      <c r="BU29" s="190"/>
      <c r="BV29" s="190"/>
      <c r="BW29" s="190"/>
      <c r="BX29" s="190"/>
      <c r="BY29" s="190"/>
      <c r="BZ29" s="190"/>
      <c r="CA29" s="190"/>
      <c r="CB29" s="190"/>
      <c r="CC29" s="190"/>
      <c r="CD29" s="190"/>
      <c r="CE29" s="190"/>
      <c r="CF29" s="190"/>
      <c r="CG29" s="190"/>
      <c r="CH29" s="190"/>
      <c r="CI29" s="190"/>
      <c r="CJ29" s="190"/>
      <c r="CK29" s="190"/>
      <c r="CL29" s="190"/>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3" t="s">
        <v>20</v>
      </c>
      <c r="B33" s="35">
        <f>SUM(B22:B29)</f>
        <v>27964265153.260002</v>
      </c>
      <c r="C33" s="35">
        <f t="shared" ref="C33:BN33" si="2">SUM(C22:C29)</f>
        <v>27995070648.34</v>
      </c>
      <c r="D33" s="35">
        <f t="shared" si="2"/>
        <v>31159789956.959995</v>
      </c>
      <c r="E33" s="35">
        <f t="shared" si="2"/>
        <v>28204153542.020004</v>
      </c>
      <c r="F33" s="35">
        <f t="shared" si="2"/>
        <v>25444851516.549999</v>
      </c>
      <c r="G33" s="35">
        <f t="shared" si="2"/>
        <v>23094168850.430004</v>
      </c>
      <c r="H33" s="35">
        <f t="shared" si="2"/>
        <v>21636583141.329998</v>
      </c>
      <c r="I33" s="35">
        <f t="shared" si="2"/>
        <v>23124529343.690002</v>
      </c>
      <c r="J33" s="35">
        <f t="shared" si="2"/>
        <v>19912090168.790005</v>
      </c>
      <c r="K33" s="35">
        <f t="shared" si="2"/>
        <v>17727399328.649998</v>
      </c>
      <c r="L33" s="35">
        <f t="shared" si="2"/>
        <v>18073012958.279999</v>
      </c>
      <c r="M33" s="35">
        <f t="shared" si="2"/>
        <v>16675599423.5</v>
      </c>
      <c r="N33" s="35">
        <f t="shared" si="2"/>
        <v>15564107619.589998</v>
      </c>
      <c r="O33" s="35">
        <f t="shared" si="2"/>
        <v>14254439780.470001</v>
      </c>
      <c r="P33" s="35">
        <f t="shared" si="2"/>
        <v>12928156709.01</v>
      </c>
      <c r="Q33" s="35">
        <f t="shared" si="2"/>
        <v>11992516954.33</v>
      </c>
      <c r="R33" s="35">
        <f t="shared" si="2"/>
        <v>11879170969.129999</v>
      </c>
      <c r="S33" s="35">
        <f t="shared" si="2"/>
        <v>10599406179.57</v>
      </c>
      <c r="T33" s="35">
        <f t="shared" si="2"/>
        <v>9107024872.1900005</v>
      </c>
      <c r="U33" s="35">
        <f t="shared" si="2"/>
        <v>7891115722.8900003</v>
      </c>
      <c r="V33" s="35">
        <f t="shared" si="2"/>
        <v>5533335437.2400007</v>
      </c>
      <c r="W33" s="35">
        <f t="shared" si="2"/>
        <v>4426450813.1699991</v>
      </c>
      <c r="X33" s="35">
        <f t="shared" si="2"/>
        <v>3877681384.0700002</v>
      </c>
      <c r="Y33" s="35">
        <f t="shared" si="2"/>
        <v>3448640743.71</v>
      </c>
      <c r="Z33" s="35">
        <f t="shared" si="2"/>
        <v>3504000273.3400002</v>
      </c>
      <c r="AA33" s="35">
        <f t="shared" si="2"/>
        <v>2849722976.02</v>
      </c>
      <c r="AB33" s="35">
        <f t="shared" si="2"/>
        <v>2585127085.8399997</v>
      </c>
      <c r="AC33" s="35">
        <f t="shared" si="2"/>
        <v>2265017473.6499996</v>
      </c>
      <c r="AD33" s="35">
        <f t="shared" si="2"/>
        <v>2325661099.3599997</v>
      </c>
      <c r="AE33" s="35">
        <f t="shared" si="2"/>
        <v>1899135947.1100001</v>
      </c>
      <c r="AF33" s="35">
        <f t="shared" si="2"/>
        <v>1598341034.6700001</v>
      </c>
      <c r="AG33" s="35">
        <f t="shared" si="2"/>
        <v>1335470003.0699999</v>
      </c>
      <c r="AH33" s="35">
        <f t="shared" si="2"/>
        <v>1480052944.05</v>
      </c>
      <c r="AI33" s="35">
        <f t="shared" si="2"/>
        <v>1275048521.9400001</v>
      </c>
      <c r="AJ33" s="35">
        <f t="shared" si="2"/>
        <v>1069198218.34</v>
      </c>
      <c r="AK33" s="35">
        <f t="shared" si="2"/>
        <v>725022431.72000003</v>
      </c>
      <c r="AL33" s="35">
        <f t="shared" si="2"/>
        <v>417714082.44</v>
      </c>
      <c r="AM33" s="35">
        <f t="shared" si="2"/>
        <v>365584354.30000001</v>
      </c>
      <c r="AN33" s="35">
        <f t="shared" si="2"/>
        <v>0</v>
      </c>
      <c r="AO33" s="35">
        <f t="shared" si="2"/>
        <v>0</v>
      </c>
      <c r="AP33" s="35">
        <f t="shared" si="2"/>
        <v>0</v>
      </c>
      <c r="AQ33" s="35">
        <f t="shared" si="2"/>
        <v>0</v>
      </c>
      <c r="AR33" s="35">
        <f t="shared" si="2"/>
        <v>0</v>
      </c>
      <c r="AS33" s="35">
        <f t="shared" si="2"/>
        <v>0</v>
      </c>
      <c r="AT33" s="35">
        <f t="shared" si="2"/>
        <v>0</v>
      </c>
      <c r="AU33" s="35">
        <f t="shared" si="2"/>
        <v>0</v>
      </c>
      <c r="AV33" s="35">
        <f t="shared" si="2"/>
        <v>0</v>
      </c>
      <c r="AW33" s="35">
        <f t="shared" si="2"/>
        <v>0</v>
      </c>
      <c r="AX33" s="35">
        <f t="shared" si="2"/>
        <v>0</v>
      </c>
      <c r="AY33" s="35">
        <f t="shared" si="2"/>
        <v>0</v>
      </c>
      <c r="AZ33" s="35">
        <f t="shared" si="2"/>
        <v>0</v>
      </c>
      <c r="BA33" s="35">
        <f t="shared" si="2"/>
        <v>0</v>
      </c>
      <c r="BB33" s="35">
        <f t="shared" si="2"/>
        <v>0</v>
      </c>
      <c r="BC33" s="35">
        <f t="shared" si="2"/>
        <v>0</v>
      </c>
      <c r="BD33" s="35">
        <f t="shared" si="2"/>
        <v>0</v>
      </c>
      <c r="BE33" s="35">
        <f t="shared" si="2"/>
        <v>0</v>
      </c>
      <c r="BF33" s="35">
        <f t="shared" si="2"/>
        <v>0</v>
      </c>
      <c r="BG33" s="35">
        <f t="shared" si="2"/>
        <v>0</v>
      </c>
      <c r="BH33" s="35">
        <f t="shared" si="2"/>
        <v>0</v>
      </c>
      <c r="BI33" s="35">
        <f t="shared" si="2"/>
        <v>0</v>
      </c>
      <c r="BJ33" s="35">
        <f t="shared" si="2"/>
        <v>0</v>
      </c>
      <c r="BK33" s="35">
        <f t="shared" si="2"/>
        <v>0</v>
      </c>
      <c r="BL33" s="35">
        <f t="shared" si="2"/>
        <v>0</v>
      </c>
      <c r="BM33" s="35">
        <f t="shared" si="2"/>
        <v>0</v>
      </c>
      <c r="BN33" s="35">
        <f t="shared" si="2"/>
        <v>0</v>
      </c>
      <c r="BO33" s="35">
        <f t="shared" ref="BO33:CK33" si="3">SUM(BO22:BO29)</f>
        <v>0</v>
      </c>
      <c r="BP33" s="35">
        <f t="shared" si="3"/>
        <v>0</v>
      </c>
      <c r="BQ33" s="35">
        <f t="shared" si="3"/>
        <v>0</v>
      </c>
      <c r="BR33" s="35">
        <f t="shared" si="3"/>
        <v>0</v>
      </c>
      <c r="BS33" s="35">
        <f t="shared" si="3"/>
        <v>0</v>
      </c>
      <c r="BT33" s="35">
        <f t="shared" si="3"/>
        <v>0</v>
      </c>
      <c r="BU33" s="35">
        <f t="shared" si="3"/>
        <v>0</v>
      </c>
      <c r="BV33" s="35">
        <f t="shared" si="3"/>
        <v>0</v>
      </c>
      <c r="BW33" s="35">
        <f t="shared" si="3"/>
        <v>0</v>
      </c>
      <c r="BX33" s="35">
        <f t="shared" si="3"/>
        <v>0</v>
      </c>
      <c r="BY33" s="35">
        <f t="shared" si="3"/>
        <v>0</v>
      </c>
      <c r="BZ33" s="35">
        <f t="shared" si="3"/>
        <v>0</v>
      </c>
      <c r="CA33" s="35">
        <f t="shared" si="3"/>
        <v>0</v>
      </c>
      <c r="CB33" s="35">
        <f t="shared" si="3"/>
        <v>0</v>
      </c>
      <c r="CC33" s="35">
        <f t="shared" si="3"/>
        <v>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2" t="s">
        <v>82</v>
      </c>
      <c r="B34" s="34"/>
      <c r="C34" s="34"/>
      <c r="D34" s="34"/>
      <c r="E34" s="34"/>
      <c r="F34" s="34"/>
      <c r="G34" s="34"/>
      <c r="H34" s="34"/>
      <c r="I34" s="34"/>
      <c r="J34" s="34"/>
      <c r="K34" s="34"/>
      <c r="L34" s="32"/>
      <c r="M34" s="14"/>
      <c r="N34" s="14"/>
    </row>
    <row r="35" spans="1:90" x14ac:dyDescent="0.25">
      <c r="A35" s="17" t="s">
        <v>21</v>
      </c>
      <c r="B35" s="190">
        <v>0</v>
      </c>
      <c r="C35" s="190">
        <v>705958442.29999995</v>
      </c>
      <c r="D35" s="190">
        <v>1128796061.8499999</v>
      </c>
      <c r="E35" s="190">
        <v>845397427.91999996</v>
      </c>
      <c r="F35" s="190">
        <v>733584221.11000001</v>
      </c>
      <c r="G35" s="190">
        <v>536694693.25</v>
      </c>
      <c r="H35" s="190">
        <v>615155449.05999994</v>
      </c>
      <c r="I35" s="190">
        <v>876804536.72000003</v>
      </c>
      <c r="J35" s="190">
        <v>2351226540.1599998</v>
      </c>
      <c r="K35" s="190">
        <v>1604622259.6600001</v>
      </c>
      <c r="L35" s="190">
        <v>784024759.53999996</v>
      </c>
      <c r="M35" s="190">
        <v>209741787.71000001</v>
      </c>
      <c r="N35" s="190">
        <v>372000000</v>
      </c>
      <c r="O35" s="190">
        <v>0</v>
      </c>
      <c r="P35" s="190">
        <v>52000000</v>
      </c>
      <c r="Q35" s="190">
        <v>274000000</v>
      </c>
      <c r="R35" s="190">
        <v>0</v>
      </c>
      <c r="S35" s="190">
        <v>0</v>
      </c>
      <c r="T35" s="190">
        <v>0</v>
      </c>
      <c r="U35" s="190">
        <v>0</v>
      </c>
      <c r="V35" s="190">
        <v>0</v>
      </c>
      <c r="W35" s="190">
        <v>0</v>
      </c>
      <c r="X35" s="190">
        <v>0</v>
      </c>
      <c r="Y35" s="190">
        <v>0</v>
      </c>
      <c r="Z35" s="190">
        <v>0</v>
      </c>
      <c r="AA35" s="190">
        <v>0</v>
      </c>
      <c r="AB35" s="190">
        <v>0</v>
      </c>
      <c r="AC35" s="190">
        <v>0</v>
      </c>
      <c r="AD35" s="190">
        <v>0</v>
      </c>
      <c r="AE35" s="190">
        <v>0</v>
      </c>
      <c r="AF35" s="190">
        <v>0</v>
      </c>
      <c r="AG35" s="190">
        <v>0</v>
      </c>
      <c r="AH35" s="190">
        <v>0</v>
      </c>
      <c r="AI35" s="190">
        <v>0</v>
      </c>
      <c r="AJ35" s="190">
        <v>285600</v>
      </c>
      <c r="AK35" s="190">
        <v>0</v>
      </c>
      <c r="AL35" s="190">
        <v>14946432.32</v>
      </c>
      <c r="AM35" s="190">
        <v>0</v>
      </c>
      <c r="AN35" s="190">
        <v>0</v>
      </c>
      <c r="AO35" s="190"/>
      <c r="AP35" s="190"/>
      <c r="AQ35" s="190"/>
      <c r="AR35" s="190"/>
      <c r="AS35" s="190"/>
      <c r="AT35" s="190"/>
      <c r="AU35" s="190"/>
      <c r="AV35" s="190"/>
      <c r="AW35" s="190"/>
      <c r="AX35" s="190"/>
      <c r="AY35" s="190"/>
      <c r="AZ35" s="190"/>
      <c r="BA35" s="190"/>
      <c r="BB35" s="190"/>
      <c r="BC35" s="190"/>
      <c r="BD35" s="190"/>
      <c r="BE35" s="190"/>
      <c r="BF35" s="190"/>
      <c r="BG35" s="190"/>
      <c r="BH35" s="190"/>
      <c r="BI35" s="190"/>
      <c r="BJ35" s="190"/>
      <c r="BK35" s="190"/>
      <c r="BL35" s="190"/>
      <c r="BM35" s="190"/>
      <c r="BN35" s="190"/>
      <c r="BO35" s="190"/>
      <c r="BP35" s="190"/>
      <c r="BQ35" s="190"/>
      <c r="BR35" s="190"/>
      <c r="BS35" s="190"/>
      <c r="BT35" s="190"/>
      <c r="BU35" s="190"/>
      <c r="BV35" s="190"/>
      <c r="BW35" s="190"/>
      <c r="BX35" s="190"/>
      <c r="BY35" s="190"/>
      <c r="BZ35" s="190"/>
      <c r="CA35" s="190"/>
      <c r="CB35" s="190"/>
      <c r="CC35" s="190"/>
      <c r="CD35" s="190"/>
      <c r="CE35" s="190"/>
      <c r="CF35" s="190"/>
      <c r="CG35" s="190"/>
      <c r="CH35" s="190"/>
      <c r="CI35" s="190"/>
      <c r="CJ35" s="190"/>
      <c r="CK35" s="190"/>
      <c r="CL35" s="190"/>
    </row>
    <row r="36" spans="1:90" x14ac:dyDescent="0.25">
      <c r="A36" s="17" t="s">
        <v>22</v>
      </c>
      <c r="B36" s="190">
        <v>0</v>
      </c>
      <c r="C36" s="190">
        <v>7187885155.1199999</v>
      </c>
      <c r="D36" s="190">
        <v>6742022841.3999996</v>
      </c>
      <c r="E36" s="190">
        <v>10039943012.26</v>
      </c>
      <c r="F36" s="190">
        <v>6711619644.2299995</v>
      </c>
      <c r="G36" s="190">
        <v>6155893782.9499998</v>
      </c>
      <c r="H36" s="190">
        <v>5068476484.1800003</v>
      </c>
      <c r="I36" s="190">
        <v>7008335023.4700003</v>
      </c>
      <c r="J36" s="190">
        <v>5546845220.3500004</v>
      </c>
      <c r="K36" s="190">
        <v>4815377752.3800001</v>
      </c>
      <c r="L36" s="190">
        <v>3453175778.6199999</v>
      </c>
      <c r="M36" s="190">
        <v>5869739370.7799997</v>
      </c>
      <c r="N36" s="190">
        <v>3374064111.3400002</v>
      </c>
      <c r="O36" s="190">
        <v>2723053840.0500002</v>
      </c>
      <c r="P36" s="190">
        <v>2488604715.6799998</v>
      </c>
      <c r="Q36" s="190">
        <v>3318309615.9099998</v>
      </c>
      <c r="R36" s="190">
        <v>2108574600.6500001</v>
      </c>
      <c r="S36" s="190">
        <v>1994760450.8599999</v>
      </c>
      <c r="T36" s="190">
        <v>1335357738.21</v>
      </c>
      <c r="U36" s="190">
        <v>1608687019.4200001</v>
      </c>
      <c r="V36" s="190">
        <v>1351654344.77</v>
      </c>
      <c r="W36" s="190">
        <v>926429008.79999995</v>
      </c>
      <c r="X36" s="190">
        <v>679921966.49000001</v>
      </c>
      <c r="Y36" s="190">
        <v>1075022460.8699999</v>
      </c>
      <c r="Z36" s="190">
        <v>686476038.19000006</v>
      </c>
      <c r="AA36" s="190">
        <v>583440129.16999996</v>
      </c>
      <c r="AB36" s="190">
        <v>411391993.37</v>
      </c>
      <c r="AC36" s="190">
        <v>698356705.75</v>
      </c>
      <c r="AD36" s="190">
        <v>526482300.38</v>
      </c>
      <c r="AE36" s="190">
        <v>461335176.58999997</v>
      </c>
      <c r="AF36" s="190">
        <v>366807817.41000003</v>
      </c>
      <c r="AG36" s="190">
        <v>409041016.97000003</v>
      </c>
      <c r="AH36" s="190">
        <v>301022691.54000002</v>
      </c>
      <c r="AI36" s="190">
        <v>440096423.01999998</v>
      </c>
      <c r="AJ36" s="190">
        <v>291431110.51999998</v>
      </c>
      <c r="AK36" s="190">
        <v>409036986.83999997</v>
      </c>
      <c r="AL36" s="190">
        <v>220312217.30000001</v>
      </c>
      <c r="AM36" s="190">
        <v>150623017.22999999</v>
      </c>
      <c r="AN36" s="190">
        <v>0</v>
      </c>
      <c r="AO36" s="190"/>
      <c r="AP36" s="190"/>
      <c r="AQ36" s="190"/>
      <c r="AR36" s="190"/>
      <c r="AS36" s="190"/>
      <c r="AT36" s="190"/>
      <c r="AU36" s="190"/>
      <c r="AV36" s="190"/>
      <c r="AW36" s="190"/>
      <c r="AX36" s="190"/>
      <c r="AY36" s="190"/>
      <c r="AZ36" s="190"/>
      <c r="BA36" s="190"/>
      <c r="BB36" s="190"/>
      <c r="BC36" s="190"/>
      <c r="BD36" s="190"/>
      <c r="BE36" s="190"/>
      <c r="BF36" s="190"/>
      <c r="BG36" s="190"/>
      <c r="BH36" s="190"/>
      <c r="BI36" s="190"/>
      <c r="BJ36" s="190"/>
      <c r="BK36" s="190"/>
      <c r="BL36" s="190"/>
      <c r="BM36" s="190"/>
      <c r="BN36" s="190"/>
      <c r="BO36" s="190"/>
      <c r="BP36" s="190"/>
      <c r="BQ36" s="190"/>
      <c r="BR36" s="190"/>
      <c r="BS36" s="190"/>
      <c r="BT36" s="190"/>
      <c r="BU36" s="190"/>
      <c r="BV36" s="190"/>
      <c r="BW36" s="190"/>
      <c r="BX36" s="190"/>
      <c r="BY36" s="190"/>
      <c r="BZ36" s="190"/>
      <c r="CA36" s="190"/>
      <c r="CB36" s="190"/>
      <c r="CC36" s="190"/>
      <c r="CD36" s="190"/>
      <c r="CE36" s="190"/>
      <c r="CF36" s="190"/>
      <c r="CG36" s="190"/>
      <c r="CH36" s="190"/>
      <c r="CI36" s="190"/>
      <c r="CJ36" s="190"/>
      <c r="CK36" s="190"/>
      <c r="CL36" s="190"/>
    </row>
    <row r="37" spans="1:90" x14ac:dyDescent="0.25">
      <c r="A37" s="17" t="s">
        <v>23</v>
      </c>
      <c r="B37" s="190">
        <v>584648648.48000002</v>
      </c>
      <c r="C37" s="190">
        <v>614236976.75</v>
      </c>
      <c r="D37" s="190">
        <v>454788920.44</v>
      </c>
      <c r="E37" s="190">
        <v>570573208.60000002</v>
      </c>
      <c r="F37" s="190">
        <v>402471608.01999998</v>
      </c>
      <c r="G37" s="190">
        <v>444375209.13999999</v>
      </c>
      <c r="H37" s="190">
        <v>574994112.96000004</v>
      </c>
      <c r="I37" s="190">
        <v>469691437.38999999</v>
      </c>
      <c r="J37" s="190">
        <v>138864140.63999999</v>
      </c>
      <c r="K37" s="190">
        <v>276212767.64999998</v>
      </c>
      <c r="L37" s="190">
        <v>309986284.49000001</v>
      </c>
      <c r="M37" s="190">
        <v>395510795.73000002</v>
      </c>
      <c r="N37" s="190">
        <v>406112031.33999997</v>
      </c>
      <c r="O37" s="190">
        <v>507163335.33999997</v>
      </c>
      <c r="P37" s="190">
        <v>458576005.73000002</v>
      </c>
      <c r="Q37" s="190">
        <v>503067411.06999999</v>
      </c>
      <c r="R37" s="190">
        <v>422241678.19999999</v>
      </c>
      <c r="S37" s="190">
        <v>397395316.19</v>
      </c>
      <c r="T37" s="190">
        <v>296809036.04000002</v>
      </c>
      <c r="U37" s="190">
        <v>289065210.75999999</v>
      </c>
      <c r="V37" s="190">
        <v>279509849.67000002</v>
      </c>
      <c r="W37" s="190">
        <v>277276474.85000002</v>
      </c>
      <c r="X37" s="190">
        <v>222853718.16999999</v>
      </c>
      <c r="Y37" s="190">
        <v>268404065.34999999</v>
      </c>
      <c r="Z37" s="190">
        <v>202006881.41</v>
      </c>
      <c r="AA37" s="190">
        <v>191873129.22999999</v>
      </c>
      <c r="AB37" s="190">
        <v>207398212.44999999</v>
      </c>
      <c r="AC37" s="190">
        <v>218298534.72</v>
      </c>
      <c r="AD37" s="190">
        <v>54867420.609999999</v>
      </c>
      <c r="AE37" s="190">
        <v>89267000.269999996</v>
      </c>
      <c r="AF37" s="190">
        <v>78834978.329999998</v>
      </c>
      <c r="AG37" s="190">
        <v>90480761.879999995</v>
      </c>
      <c r="AH37" s="190">
        <v>17465808.02</v>
      </c>
      <c r="AI37" s="190">
        <v>22277817.02</v>
      </c>
      <c r="AJ37" s="190">
        <v>12702555.83</v>
      </c>
      <c r="AK37" s="190">
        <v>56865605.689999998</v>
      </c>
      <c r="AL37" s="190">
        <v>29495908.870000001</v>
      </c>
      <c r="AM37" s="190">
        <v>17384345.77</v>
      </c>
      <c r="AN37" s="190">
        <v>0</v>
      </c>
      <c r="AO37" s="190"/>
      <c r="AP37" s="190"/>
      <c r="AQ37" s="190"/>
      <c r="AR37" s="190"/>
      <c r="AS37" s="190"/>
      <c r="AT37" s="190"/>
      <c r="AU37" s="190"/>
      <c r="AV37" s="190"/>
      <c r="AW37" s="190"/>
      <c r="AX37" s="190"/>
      <c r="AY37" s="190"/>
      <c r="AZ37" s="190"/>
      <c r="BA37" s="190"/>
      <c r="BB37" s="190"/>
      <c r="BC37" s="190"/>
      <c r="BD37" s="190"/>
      <c r="BE37" s="190"/>
      <c r="BF37" s="190"/>
      <c r="BG37" s="190"/>
      <c r="BH37" s="190"/>
      <c r="BI37" s="190"/>
      <c r="BJ37" s="190"/>
      <c r="BK37" s="190"/>
      <c r="BL37" s="190"/>
      <c r="BM37" s="190"/>
      <c r="BN37" s="190"/>
      <c r="BO37" s="190"/>
      <c r="BP37" s="190"/>
      <c r="BQ37" s="190"/>
      <c r="BR37" s="190"/>
      <c r="BS37" s="190"/>
      <c r="BT37" s="190"/>
      <c r="BU37" s="190"/>
      <c r="BV37" s="190"/>
      <c r="BW37" s="190"/>
      <c r="BX37" s="190"/>
      <c r="BY37" s="190"/>
      <c r="BZ37" s="190"/>
      <c r="CA37" s="190"/>
      <c r="CB37" s="190"/>
      <c r="CC37" s="190"/>
      <c r="CD37" s="190"/>
      <c r="CE37" s="190"/>
      <c r="CF37" s="190"/>
      <c r="CG37" s="190"/>
      <c r="CH37" s="190"/>
      <c r="CI37" s="190"/>
      <c r="CJ37" s="190"/>
      <c r="CK37" s="190"/>
      <c r="CL37" s="190"/>
    </row>
    <row r="38" spans="1:90" x14ac:dyDescent="0.25">
      <c r="A38" s="17" t="s">
        <v>24</v>
      </c>
      <c r="B38" s="190">
        <v>0</v>
      </c>
      <c r="C38" s="190">
        <v>0</v>
      </c>
      <c r="D38" s="190">
        <v>0</v>
      </c>
      <c r="E38" s="190">
        <v>0</v>
      </c>
      <c r="F38" s="190">
        <v>0</v>
      </c>
      <c r="G38" s="190">
        <v>0</v>
      </c>
      <c r="H38" s="190">
        <v>0</v>
      </c>
      <c r="I38" s="190">
        <v>0</v>
      </c>
      <c r="J38" s="190">
        <v>0</v>
      </c>
      <c r="K38" s="190">
        <v>0</v>
      </c>
      <c r="L38" s="190">
        <v>0</v>
      </c>
      <c r="M38" s="190">
        <v>0</v>
      </c>
      <c r="N38" s="190">
        <v>0</v>
      </c>
      <c r="O38" s="190">
        <v>0</v>
      </c>
      <c r="P38" s="190">
        <v>0</v>
      </c>
      <c r="Q38" s="190">
        <v>0</v>
      </c>
      <c r="R38" s="190">
        <v>0</v>
      </c>
      <c r="S38" s="190">
        <v>0</v>
      </c>
      <c r="T38" s="190">
        <v>0</v>
      </c>
      <c r="U38" s="190">
        <v>0</v>
      </c>
      <c r="V38" s="190">
        <v>0</v>
      </c>
      <c r="W38" s="190">
        <v>0</v>
      </c>
      <c r="X38" s="190">
        <v>0</v>
      </c>
      <c r="Y38" s="190">
        <v>0</v>
      </c>
      <c r="Z38" s="190">
        <v>0</v>
      </c>
      <c r="AA38" s="190">
        <v>0</v>
      </c>
      <c r="AB38" s="190">
        <v>0</v>
      </c>
      <c r="AC38" s="190">
        <v>0</v>
      </c>
      <c r="AD38" s="190">
        <v>0</v>
      </c>
      <c r="AE38" s="190">
        <v>0</v>
      </c>
      <c r="AF38" s="190">
        <v>0</v>
      </c>
      <c r="AG38" s="190">
        <v>0</v>
      </c>
      <c r="AH38" s="190">
        <v>0</v>
      </c>
      <c r="AI38" s="190">
        <v>0</v>
      </c>
      <c r="AJ38" s="190">
        <v>0</v>
      </c>
      <c r="AK38" s="190">
        <v>0</v>
      </c>
      <c r="AL38" s="190">
        <v>0</v>
      </c>
      <c r="AM38" s="190">
        <v>0</v>
      </c>
      <c r="AN38" s="190">
        <v>0</v>
      </c>
      <c r="AO38" s="190"/>
      <c r="AP38" s="190"/>
      <c r="AQ38" s="190"/>
      <c r="AR38" s="190"/>
      <c r="AS38" s="190"/>
      <c r="AT38" s="190"/>
      <c r="AU38" s="190"/>
      <c r="AV38" s="190"/>
      <c r="AW38" s="190"/>
      <c r="AX38" s="190"/>
      <c r="AY38" s="190"/>
      <c r="AZ38" s="190"/>
      <c r="BA38" s="190"/>
      <c r="BB38" s="190"/>
      <c r="BC38" s="190"/>
      <c r="BD38" s="190"/>
      <c r="BE38" s="190"/>
      <c r="BF38" s="190"/>
      <c r="BG38" s="190"/>
      <c r="BH38" s="190"/>
      <c r="BI38" s="190"/>
      <c r="BJ38" s="190"/>
      <c r="BK38" s="190"/>
      <c r="BL38" s="190"/>
      <c r="BM38" s="190"/>
      <c r="BN38" s="190"/>
      <c r="BO38" s="190"/>
      <c r="BP38" s="190"/>
      <c r="BQ38" s="190"/>
      <c r="BR38" s="190"/>
      <c r="BS38" s="190"/>
      <c r="BT38" s="190"/>
      <c r="BU38" s="190"/>
      <c r="BV38" s="190"/>
      <c r="BW38" s="190"/>
      <c r="BX38" s="190"/>
      <c r="BY38" s="190"/>
      <c r="BZ38" s="190"/>
      <c r="CA38" s="190"/>
      <c r="CB38" s="190"/>
      <c r="CC38" s="190"/>
      <c r="CD38" s="190"/>
      <c r="CE38" s="190"/>
      <c r="CF38" s="190"/>
      <c r="CG38" s="190"/>
      <c r="CH38" s="190"/>
      <c r="CI38" s="190"/>
      <c r="CJ38" s="190"/>
      <c r="CK38" s="190"/>
      <c r="CL38" s="190"/>
    </row>
    <row r="39" spans="1:90" x14ac:dyDescent="0.25">
      <c r="A39" s="17" t="s">
        <v>25</v>
      </c>
      <c r="B39" s="190">
        <v>1355915098.46</v>
      </c>
      <c r="C39" s="190">
        <v>1007572155.38</v>
      </c>
      <c r="D39" s="190">
        <v>431026744.52999997</v>
      </c>
      <c r="E39" s="190">
        <v>1391291256.9000001</v>
      </c>
      <c r="F39" s="190">
        <v>950428923.63999999</v>
      </c>
      <c r="G39" s="190">
        <v>595071569.87</v>
      </c>
      <c r="H39" s="190">
        <v>321750016.11000001</v>
      </c>
      <c r="I39" s="190">
        <v>1084529374.71</v>
      </c>
      <c r="J39" s="190">
        <v>684725845.24000001</v>
      </c>
      <c r="K39" s="190">
        <v>423898092.49000001</v>
      </c>
      <c r="L39" s="190">
        <v>213860315.44999999</v>
      </c>
      <c r="M39" s="190">
        <v>788069735.32000005</v>
      </c>
      <c r="N39" s="190">
        <v>649265144.46000004</v>
      </c>
      <c r="O39" s="190">
        <v>479018834.75999999</v>
      </c>
      <c r="P39" s="190">
        <v>268073577</v>
      </c>
      <c r="Q39" s="190">
        <v>656094975.85000002</v>
      </c>
      <c r="R39" s="190">
        <v>512188200.38999999</v>
      </c>
      <c r="S39" s="190">
        <v>326295515.95999998</v>
      </c>
      <c r="T39" s="190">
        <v>151336989.18000001</v>
      </c>
      <c r="U39" s="190">
        <v>505769529.55000001</v>
      </c>
      <c r="V39" s="190">
        <v>413068540.01999998</v>
      </c>
      <c r="W39" s="190">
        <v>245791858.25999999</v>
      </c>
      <c r="X39" s="190">
        <v>184109646.09999999</v>
      </c>
      <c r="Y39" s="190">
        <v>431980413.55000001</v>
      </c>
      <c r="Z39" s="190">
        <v>342902720.31</v>
      </c>
      <c r="AA39" s="190">
        <v>250717664.81999999</v>
      </c>
      <c r="AB39" s="190">
        <v>225657167.93000001</v>
      </c>
      <c r="AC39" s="190">
        <v>402727034.81999999</v>
      </c>
      <c r="AD39" s="190">
        <v>298339755.69</v>
      </c>
      <c r="AE39" s="190">
        <v>252723820.00999999</v>
      </c>
      <c r="AF39" s="190">
        <v>210371827.84</v>
      </c>
      <c r="AG39" s="190">
        <v>329518856</v>
      </c>
      <c r="AH39" s="190">
        <v>162899769.87</v>
      </c>
      <c r="AI39" s="190">
        <v>135921183.43000001</v>
      </c>
      <c r="AJ39" s="190">
        <v>108318659.29000001</v>
      </c>
      <c r="AK39" s="190">
        <v>175597681.09</v>
      </c>
      <c r="AL39" s="190">
        <v>120209536.7</v>
      </c>
      <c r="AM39" s="190">
        <v>65360822.649999999</v>
      </c>
      <c r="AN39" s="190">
        <v>0</v>
      </c>
      <c r="AO39" s="190"/>
      <c r="AP39" s="190"/>
      <c r="AQ39" s="190"/>
      <c r="AR39" s="190"/>
      <c r="AS39" s="190"/>
      <c r="AT39" s="190"/>
      <c r="AU39" s="190"/>
      <c r="AV39" s="190"/>
      <c r="AW39" s="190"/>
      <c r="AX39" s="190"/>
      <c r="AY39" s="190"/>
      <c r="AZ39" s="190"/>
      <c r="BA39" s="190"/>
      <c r="BB39" s="190"/>
      <c r="BC39" s="190"/>
      <c r="BD39" s="190"/>
      <c r="BE39" s="190"/>
      <c r="BF39" s="190"/>
      <c r="BG39" s="190"/>
      <c r="BH39" s="190"/>
      <c r="BI39" s="190"/>
      <c r="BJ39" s="190"/>
      <c r="BK39" s="190"/>
      <c r="BL39" s="190"/>
      <c r="BM39" s="190"/>
      <c r="BN39" s="190"/>
      <c r="BO39" s="190"/>
      <c r="BP39" s="190"/>
      <c r="BQ39" s="190"/>
      <c r="BR39" s="190"/>
      <c r="BS39" s="190"/>
      <c r="BT39" s="190"/>
      <c r="BU39" s="190"/>
      <c r="BV39" s="190"/>
      <c r="BW39" s="190"/>
      <c r="BX39" s="190"/>
      <c r="BY39" s="190"/>
      <c r="BZ39" s="190"/>
      <c r="CA39" s="190"/>
      <c r="CB39" s="190"/>
      <c r="CC39" s="190"/>
      <c r="CD39" s="190"/>
      <c r="CE39" s="190"/>
      <c r="CF39" s="190"/>
      <c r="CG39" s="190"/>
      <c r="CH39" s="190"/>
      <c r="CI39" s="190"/>
      <c r="CJ39" s="190"/>
      <c r="CK39" s="190"/>
      <c r="CL39" s="190"/>
    </row>
    <row r="40" spans="1:90" x14ac:dyDescent="0.25">
      <c r="A40" s="17" t="s">
        <v>26</v>
      </c>
      <c r="B40" s="190">
        <v>1289792684.6500001</v>
      </c>
      <c r="C40" s="190">
        <v>1210905739.9300001</v>
      </c>
      <c r="D40" s="190">
        <v>1144321376.05</v>
      </c>
      <c r="E40" s="190">
        <v>1453515065.77</v>
      </c>
      <c r="F40" s="190">
        <v>974927666.86000001</v>
      </c>
      <c r="G40" s="190">
        <v>941095379.60000002</v>
      </c>
      <c r="H40" s="190">
        <v>1217229924.3599999</v>
      </c>
      <c r="I40" s="190">
        <v>1205675099.74</v>
      </c>
      <c r="J40" s="190">
        <v>870172214.02999997</v>
      </c>
      <c r="K40" s="190">
        <v>805957170.60000002</v>
      </c>
      <c r="L40" s="190">
        <v>738653656.35000002</v>
      </c>
      <c r="M40" s="190">
        <v>822299350.08000004</v>
      </c>
      <c r="N40" s="190">
        <v>701115113.49000001</v>
      </c>
      <c r="O40" s="190">
        <v>499897008.64999998</v>
      </c>
      <c r="P40" s="190">
        <v>405524014.74000001</v>
      </c>
      <c r="Q40" s="190">
        <v>394514782.17000002</v>
      </c>
      <c r="R40" s="190">
        <v>432688132.00999999</v>
      </c>
      <c r="S40" s="190">
        <v>160894953.74000001</v>
      </c>
      <c r="T40" s="190">
        <v>183920179.41999999</v>
      </c>
      <c r="U40" s="190">
        <v>179299604.27000001</v>
      </c>
      <c r="V40" s="190">
        <v>119761936.48999999</v>
      </c>
      <c r="W40" s="190">
        <v>132579341.45</v>
      </c>
      <c r="X40" s="190">
        <v>37745636.310000002</v>
      </c>
      <c r="Y40" s="190">
        <v>81383854.930000007</v>
      </c>
      <c r="Z40" s="190">
        <v>122816770.97</v>
      </c>
      <c r="AA40" s="190">
        <v>112733979.31999999</v>
      </c>
      <c r="AB40" s="190">
        <v>63504117.359999999</v>
      </c>
      <c r="AC40" s="190">
        <v>179543952.28999999</v>
      </c>
      <c r="AD40" s="190">
        <v>51580632.460000001</v>
      </c>
      <c r="AE40" s="190">
        <v>53674146.07</v>
      </c>
      <c r="AF40" s="190">
        <v>-1786974.41</v>
      </c>
      <c r="AG40" s="190">
        <v>30985208.75</v>
      </c>
      <c r="AH40" s="190">
        <v>4976525.29</v>
      </c>
      <c r="AI40" s="190">
        <v>-31454591.489999998</v>
      </c>
      <c r="AJ40" s="190">
        <v>-6764601.0599999996</v>
      </c>
      <c r="AK40" s="190">
        <v>-12415108.51</v>
      </c>
      <c r="AL40" s="190">
        <v>4495912.4400000004</v>
      </c>
      <c r="AM40" s="190">
        <v>11359019.08</v>
      </c>
      <c r="AN40" s="190">
        <v>0</v>
      </c>
      <c r="AO40" s="190"/>
      <c r="AP40" s="190"/>
      <c r="AQ40" s="190"/>
      <c r="AR40" s="190"/>
      <c r="AS40" s="190"/>
      <c r="AT40" s="190"/>
      <c r="AU40" s="190"/>
      <c r="AV40" s="190"/>
      <c r="AW40" s="190"/>
      <c r="AX40" s="190"/>
      <c r="AY40" s="190"/>
      <c r="AZ40" s="190"/>
      <c r="BA40" s="190"/>
      <c r="BB40" s="190"/>
      <c r="BC40" s="190"/>
      <c r="BD40" s="190"/>
      <c r="BE40" s="190"/>
      <c r="BF40" s="190"/>
      <c r="BG40" s="190"/>
      <c r="BH40" s="190"/>
      <c r="BI40" s="190"/>
      <c r="BJ40" s="190"/>
      <c r="BK40" s="190"/>
      <c r="BL40" s="190"/>
      <c r="BM40" s="190"/>
      <c r="BN40" s="190"/>
      <c r="BO40" s="190"/>
      <c r="BP40" s="190"/>
      <c r="BQ40" s="190"/>
      <c r="BR40" s="190"/>
      <c r="BS40" s="190"/>
      <c r="BT40" s="190"/>
      <c r="BU40" s="190"/>
      <c r="BV40" s="190"/>
      <c r="BW40" s="190"/>
      <c r="BX40" s="190"/>
      <c r="BY40" s="190"/>
      <c r="BZ40" s="190"/>
      <c r="CA40" s="190"/>
      <c r="CB40" s="190"/>
      <c r="CC40" s="190"/>
      <c r="CD40" s="190"/>
      <c r="CE40" s="190"/>
      <c r="CF40" s="190"/>
      <c r="CG40" s="190"/>
      <c r="CH40" s="190"/>
      <c r="CI40" s="190"/>
      <c r="CJ40" s="190"/>
      <c r="CK40" s="190"/>
      <c r="CL40" s="190"/>
    </row>
    <row r="41" spans="1:90" x14ac:dyDescent="0.25">
      <c r="A41" s="17" t="s">
        <v>27</v>
      </c>
      <c r="B41" s="190">
        <v>636962573.57000005</v>
      </c>
      <c r="C41" s="190">
        <v>510992530.57999998</v>
      </c>
      <c r="D41" s="190">
        <v>500015015.62</v>
      </c>
      <c r="E41" s="190">
        <v>401861078.67000002</v>
      </c>
      <c r="F41" s="190">
        <v>497695436</v>
      </c>
      <c r="G41" s="190">
        <v>481729216.24000001</v>
      </c>
      <c r="H41" s="190">
        <v>379088675.56</v>
      </c>
      <c r="I41" s="190">
        <v>1033169123.84</v>
      </c>
      <c r="J41" s="190">
        <v>244877264.69</v>
      </c>
      <c r="K41" s="190">
        <v>200951042.41999999</v>
      </c>
      <c r="L41" s="190">
        <v>201048261.43000001</v>
      </c>
      <c r="M41" s="190">
        <v>159857666.08000001</v>
      </c>
      <c r="N41" s="190">
        <v>55284492.149999999</v>
      </c>
      <c r="O41" s="190">
        <v>92216497.450000003</v>
      </c>
      <c r="P41" s="190">
        <v>45563356.909999996</v>
      </c>
      <c r="Q41" s="190">
        <v>51569365.920000002</v>
      </c>
      <c r="R41" s="190">
        <v>32817059.5</v>
      </c>
      <c r="S41" s="190">
        <v>48366326.030000001</v>
      </c>
      <c r="T41" s="190">
        <v>48403791.43</v>
      </c>
      <c r="U41" s="190">
        <v>54182467.93</v>
      </c>
      <c r="V41" s="190">
        <v>64085708.380000003</v>
      </c>
      <c r="W41" s="190">
        <v>47936743.789999999</v>
      </c>
      <c r="X41" s="190">
        <v>43947903.020000003</v>
      </c>
      <c r="Y41" s="190">
        <v>38276594.289999999</v>
      </c>
      <c r="Z41" s="190">
        <v>36593891.140000001</v>
      </c>
      <c r="AA41" s="190">
        <v>44942322.310000002</v>
      </c>
      <c r="AB41" s="190">
        <v>24959988.399999999</v>
      </c>
      <c r="AC41" s="190">
        <v>9052832.1099999994</v>
      </c>
      <c r="AD41" s="190">
        <v>5682068.0700000003</v>
      </c>
      <c r="AE41" s="190">
        <v>6458192.3799999999</v>
      </c>
      <c r="AF41" s="190">
        <v>29076320.789999999</v>
      </c>
      <c r="AG41" s="190">
        <v>6268889.2800000003</v>
      </c>
      <c r="AH41" s="190">
        <v>3182903.6</v>
      </c>
      <c r="AI41" s="190">
        <v>5738753.4900000002</v>
      </c>
      <c r="AJ41" s="190">
        <v>2721974.46</v>
      </c>
      <c r="AK41" s="190">
        <v>2602615.88</v>
      </c>
      <c r="AL41" s="190">
        <v>2160122.42</v>
      </c>
      <c r="AM41" s="190">
        <v>4134889.92</v>
      </c>
      <c r="AN41" s="190">
        <v>0</v>
      </c>
      <c r="AO41" s="190"/>
      <c r="AP41" s="190"/>
      <c r="AQ41" s="190"/>
      <c r="AR41" s="190"/>
      <c r="AS41" s="190"/>
      <c r="AT41" s="190"/>
      <c r="AU41" s="190"/>
      <c r="AV41" s="190"/>
      <c r="AW41" s="190"/>
      <c r="AX41" s="190"/>
      <c r="AY41" s="190"/>
      <c r="AZ41" s="190"/>
      <c r="BA41" s="190"/>
      <c r="BB41" s="190"/>
      <c r="BC41" s="190"/>
      <c r="BD41" s="190"/>
      <c r="BE41" s="190"/>
      <c r="BF41" s="190"/>
      <c r="BG41" s="190"/>
      <c r="BH41" s="190"/>
      <c r="BI41" s="190"/>
      <c r="BJ41" s="190"/>
      <c r="BK41" s="190"/>
      <c r="BL41" s="190"/>
      <c r="BM41" s="190"/>
      <c r="BN41" s="190"/>
      <c r="BO41" s="190"/>
      <c r="BP41" s="190"/>
      <c r="BQ41" s="190"/>
      <c r="BR41" s="190"/>
      <c r="BS41" s="190"/>
      <c r="BT41" s="190"/>
      <c r="BU41" s="190"/>
      <c r="BV41" s="190"/>
      <c r="BW41" s="190"/>
      <c r="BX41" s="190"/>
      <c r="BY41" s="190"/>
      <c r="BZ41" s="190"/>
      <c r="CA41" s="190"/>
      <c r="CB41" s="190"/>
      <c r="CC41" s="190"/>
      <c r="CD41" s="190"/>
      <c r="CE41" s="190"/>
      <c r="CF41" s="190"/>
      <c r="CG41" s="190"/>
      <c r="CH41" s="190"/>
      <c r="CI41" s="190"/>
      <c r="CJ41" s="190"/>
      <c r="CK41" s="190"/>
      <c r="CL41" s="190"/>
    </row>
    <row r="42" spans="1:90" s="39" customFormat="1" x14ac:dyDescent="0.25">
      <c r="A42" s="124" t="s">
        <v>28</v>
      </c>
      <c r="B42" s="190">
        <v>0</v>
      </c>
      <c r="C42" s="190">
        <v>0</v>
      </c>
      <c r="D42" s="190">
        <v>0</v>
      </c>
      <c r="E42" s="190">
        <v>0</v>
      </c>
      <c r="F42" s="190">
        <v>0</v>
      </c>
      <c r="G42" s="190">
        <v>0</v>
      </c>
      <c r="H42" s="190">
        <v>0</v>
      </c>
      <c r="I42" s="190">
        <v>0</v>
      </c>
      <c r="J42" s="190">
        <v>0</v>
      </c>
      <c r="K42" s="190">
        <v>0</v>
      </c>
      <c r="L42" s="190">
        <v>0</v>
      </c>
      <c r="M42" s="190">
        <v>0</v>
      </c>
      <c r="N42" s="190">
        <v>0</v>
      </c>
      <c r="O42" s="190">
        <v>0</v>
      </c>
      <c r="P42" s="190">
        <v>0</v>
      </c>
      <c r="Q42" s="190">
        <v>0</v>
      </c>
      <c r="R42" s="190">
        <v>0</v>
      </c>
      <c r="S42" s="190">
        <v>0</v>
      </c>
      <c r="T42" s="190">
        <v>0</v>
      </c>
      <c r="U42" s="190">
        <v>0</v>
      </c>
      <c r="V42" s="190">
        <v>0</v>
      </c>
      <c r="W42" s="190">
        <v>0</v>
      </c>
      <c r="X42" s="190">
        <v>0</v>
      </c>
      <c r="Y42" s="190">
        <v>0</v>
      </c>
      <c r="Z42" s="190">
        <v>0</v>
      </c>
      <c r="AA42" s="190">
        <v>0</v>
      </c>
      <c r="AB42" s="190">
        <v>0</v>
      </c>
      <c r="AC42" s="190">
        <v>0</v>
      </c>
      <c r="AD42" s="190">
        <v>0</v>
      </c>
      <c r="AE42" s="190">
        <v>0</v>
      </c>
      <c r="AF42" s="190">
        <v>0</v>
      </c>
      <c r="AG42" s="190">
        <v>0</v>
      </c>
      <c r="AH42" s="190">
        <v>0</v>
      </c>
      <c r="AI42" s="190">
        <v>0</v>
      </c>
      <c r="AJ42" s="190">
        <v>0</v>
      </c>
      <c r="AK42" s="190">
        <v>0</v>
      </c>
      <c r="AL42" s="190">
        <v>0</v>
      </c>
      <c r="AM42" s="190">
        <v>0</v>
      </c>
      <c r="AN42" s="190">
        <v>0</v>
      </c>
      <c r="AO42" s="190"/>
      <c r="AP42" s="190"/>
      <c r="AQ42" s="190"/>
      <c r="AR42" s="190"/>
      <c r="AS42" s="190"/>
      <c r="AT42" s="190"/>
      <c r="AU42" s="190"/>
      <c r="AV42" s="190"/>
      <c r="AW42" s="190"/>
      <c r="AX42" s="190"/>
      <c r="AY42" s="190"/>
      <c r="AZ42" s="190"/>
      <c r="BA42" s="190"/>
      <c r="BB42" s="190"/>
      <c r="BC42" s="190"/>
      <c r="BD42" s="190"/>
      <c r="BE42" s="190"/>
      <c r="BF42" s="190"/>
      <c r="BG42" s="190"/>
      <c r="BH42" s="190"/>
      <c r="BI42" s="190"/>
      <c r="BJ42" s="190"/>
      <c r="BK42" s="190"/>
      <c r="BL42" s="190"/>
      <c r="BM42" s="190"/>
      <c r="BN42" s="190"/>
      <c r="BO42" s="190"/>
      <c r="BP42" s="190"/>
      <c r="BQ42" s="190"/>
      <c r="BR42" s="190"/>
      <c r="BS42" s="190"/>
      <c r="BT42" s="190"/>
      <c r="BU42" s="190"/>
      <c r="BV42" s="190"/>
      <c r="BW42" s="190"/>
      <c r="BX42" s="190"/>
      <c r="BY42" s="190"/>
      <c r="BZ42" s="190"/>
      <c r="CA42" s="190"/>
      <c r="CB42" s="190"/>
      <c r="CC42" s="190"/>
      <c r="CD42" s="190"/>
      <c r="CE42" s="190"/>
      <c r="CF42" s="190"/>
      <c r="CG42" s="190"/>
      <c r="CH42" s="190"/>
      <c r="CI42" s="190"/>
      <c r="CJ42" s="190"/>
      <c r="CK42" s="190"/>
      <c r="CL42" s="190"/>
    </row>
    <row r="43" spans="1:90" x14ac:dyDescent="0.25">
      <c r="A43" s="17" t="s">
        <v>29</v>
      </c>
      <c r="B43" s="190">
        <v>175001027.41999999</v>
      </c>
      <c r="C43" s="190">
        <v>169512193.09</v>
      </c>
      <c r="D43" s="190">
        <v>82798403.450000003</v>
      </c>
      <c r="E43" s="190">
        <v>88925771.650000006</v>
      </c>
      <c r="F43" s="190">
        <v>21106099.449999999</v>
      </c>
      <c r="G43" s="190">
        <v>16817902.059999999</v>
      </c>
      <c r="H43" s="190">
        <v>13571221.58</v>
      </c>
      <c r="I43" s="190">
        <v>10833745.99</v>
      </c>
      <c r="J43" s="190">
        <v>0</v>
      </c>
      <c r="K43" s="190">
        <v>0</v>
      </c>
      <c r="L43" s="190">
        <v>0</v>
      </c>
      <c r="M43" s="190">
        <v>0</v>
      </c>
      <c r="N43" s="190">
        <v>0</v>
      </c>
      <c r="O43" s="190">
        <v>19072900</v>
      </c>
      <c r="P43" s="190">
        <v>14812900</v>
      </c>
      <c r="Q43" s="190">
        <v>14812900</v>
      </c>
      <c r="R43" s="190">
        <v>0</v>
      </c>
      <c r="S43" s="190">
        <v>0</v>
      </c>
      <c r="T43" s="190">
        <v>0</v>
      </c>
      <c r="U43" s="190">
        <v>0</v>
      </c>
      <c r="V43" s="190">
        <v>0</v>
      </c>
      <c r="W43" s="190">
        <v>0</v>
      </c>
      <c r="X43" s="190">
        <v>0</v>
      </c>
      <c r="Y43" s="190">
        <v>0</v>
      </c>
      <c r="Z43" s="190">
        <v>0</v>
      </c>
      <c r="AA43" s="190">
        <v>0</v>
      </c>
      <c r="AB43" s="190">
        <v>0</v>
      </c>
      <c r="AC43" s="190">
        <v>0</v>
      </c>
      <c r="AD43" s="190">
        <v>0</v>
      </c>
      <c r="AE43" s="190">
        <v>0</v>
      </c>
      <c r="AF43" s="190">
        <v>0</v>
      </c>
      <c r="AG43" s="190">
        <v>0</v>
      </c>
      <c r="AH43" s="190">
        <v>0</v>
      </c>
      <c r="AI43" s="190">
        <v>0</v>
      </c>
      <c r="AJ43" s="190">
        <v>0</v>
      </c>
      <c r="AK43" s="190">
        <v>0</v>
      </c>
      <c r="AL43" s="190">
        <v>0</v>
      </c>
      <c r="AM43" s="190">
        <v>0</v>
      </c>
      <c r="AN43" s="190">
        <v>0</v>
      </c>
      <c r="AO43" s="190"/>
      <c r="AP43" s="190"/>
      <c r="AQ43" s="190"/>
      <c r="AR43" s="190"/>
      <c r="AS43" s="190"/>
      <c r="AT43" s="190"/>
      <c r="AU43" s="190"/>
      <c r="AV43" s="190"/>
      <c r="AW43" s="190"/>
      <c r="AX43" s="190"/>
      <c r="AY43" s="190"/>
      <c r="AZ43" s="190"/>
      <c r="BA43" s="190"/>
      <c r="BB43" s="190"/>
      <c r="BC43" s="190"/>
      <c r="BD43" s="190"/>
      <c r="BE43" s="190"/>
      <c r="BF43" s="190"/>
      <c r="BG43" s="190"/>
      <c r="BH43" s="190"/>
      <c r="BI43" s="190"/>
      <c r="BJ43" s="190"/>
      <c r="BK43" s="190"/>
      <c r="BL43" s="190"/>
      <c r="BM43" s="190"/>
      <c r="BN43" s="190"/>
      <c r="BO43" s="190"/>
      <c r="BP43" s="190"/>
      <c r="BQ43" s="190"/>
      <c r="BR43" s="190"/>
      <c r="BS43" s="190"/>
      <c r="BT43" s="190"/>
      <c r="BU43" s="190"/>
      <c r="BV43" s="190"/>
      <c r="BW43" s="190"/>
      <c r="BX43" s="190"/>
      <c r="BY43" s="190"/>
      <c r="BZ43" s="190"/>
      <c r="CA43" s="190"/>
      <c r="CB43" s="190"/>
      <c r="CC43" s="190"/>
      <c r="CD43" s="190"/>
      <c r="CE43" s="190"/>
      <c r="CF43" s="190"/>
      <c r="CG43" s="190"/>
      <c r="CH43" s="190"/>
      <c r="CI43" s="190"/>
      <c r="CJ43" s="190"/>
      <c r="CK43" s="190"/>
      <c r="CL43" s="190"/>
    </row>
    <row r="44" spans="1:90" x14ac:dyDescent="0.25">
      <c r="A44" s="17" t="s">
        <v>30</v>
      </c>
      <c r="B44" s="190">
        <v>0</v>
      </c>
      <c r="C44" s="190">
        <v>0</v>
      </c>
      <c r="D44" s="190">
        <v>0</v>
      </c>
      <c r="E44" s="190">
        <v>0</v>
      </c>
      <c r="F44" s="190">
        <v>0</v>
      </c>
      <c r="G44" s="190">
        <v>0</v>
      </c>
      <c r="H44" s="190">
        <v>0</v>
      </c>
      <c r="I44" s="190">
        <v>0</v>
      </c>
      <c r="J44" s="190">
        <v>0</v>
      </c>
      <c r="K44" s="190">
        <v>0</v>
      </c>
      <c r="L44" s="190">
        <v>0</v>
      </c>
      <c r="M44" s="190">
        <v>0</v>
      </c>
      <c r="N44" s="190">
        <v>0</v>
      </c>
      <c r="O44" s="190">
        <v>0</v>
      </c>
      <c r="P44" s="190">
        <v>0</v>
      </c>
      <c r="Q44" s="190">
        <v>0</v>
      </c>
      <c r="R44" s="190">
        <v>0</v>
      </c>
      <c r="S44" s="190">
        <v>0</v>
      </c>
      <c r="T44" s="190">
        <v>0</v>
      </c>
      <c r="U44" s="190">
        <v>0</v>
      </c>
      <c r="V44" s="190">
        <v>0</v>
      </c>
      <c r="W44" s="190">
        <v>0</v>
      </c>
      <c r="X44" s="190">
        <v>0</v>
      </c>
      <c r="Y44" s="190">
        <v>0</v>
      </c>
      <c r="Z44" s="190">
        <v>0</v>
      </c>
      <c r="AA44" s="190">
        <v>0</v>
      </c>
      <c r="AB44" s="190">
        <v>0</v>
      </c>
      <c r="AC44" s="190">
        <v>0</v>
      </c>
      <c r="AD44" s="190">
        <v>0</v>
      </c>
      <c r="AE44" s="190">
        <v>0</v>
      </c>
      <c r="AF44" s="190">
        <v>0</v>
      </c>
      <c r="AG44" s="190">
        <v>0</v>
      </c>
      <c r="AH44" s="190">
        <v>0</v>
      </c>
      <c r="AI44" s="190">
        <v>0</v>
      </c>
      <c r="AJ44" s="190">
        <v>0</v>
      </c>
      <c r="AK44" s="190">
        <v>0</v>
      </c>
      <c r="AL44" s="190">
        <v>0</v>
      </c>
      <c r="AM44" s="190">
        <v>0</v>
      </c>
      <c r="AN44" s="190">
        <v>0</v>
      </c>
      <c r="AO44" s="190"/>
      <c r="AP44" s="190"/>
      <c r="AQ44" s="190"/>
      <c r="AR44" s="190"/>
      <c r="AS44" s="190"/>
      <c r="AT44" s="190"/>
      <c r="AU44" s="190"/>
      <c r="AV44" s="190"/>
      <c r="AW44" s="190"/>
      <c r="AX44" s="190"/>
      <c r="AY44" s="190"/>
      <c r="AZ44" s="190"/>
      <c r="BA44" s="190"/>
      <c r="BB44" s="190"/>
      <c r="BC44" s="190"/>
      <c r="BD44" s="190"/>
      <c r="BE44" s="190"/>
      <c r="BF44" s="190"/>
      <c r="BG44" s="190"/>
      <c r="BH44" s="190"/>
      <c r="BI44" s="190"/>
      <c r="BJ44" s="190"/>
      <c r="BK44" s="190"/>
      <c r="BL44" s="190"/>
      <c r="BM44" s="190"/>
      <c r="BN44" s="190"/>
      <c r="BO44" s="190"/>
      <c r="BP44" s="190"/>
      <c r="BQ44" s="190"/>
      <c r="BR44" s="190"/>
      <c r="BS44" s="190"/>
      <c r="BT44" s="190"/>
      <c r="BU44" s="190"/>
      <c r="BV44" s="190"/>
      <c r="BW44" s="190"/>
      <c r="BX44" s="190"/>
      <c r="BY44" s="190"/>
      <c r="BZ44" s="190"/>
      <c r="CA44" s="190"/>
      <c r="CB44" s="190"/>
      <c r="CC44" s="190"/>
      <c r="CD44" s="190"/>
      <c r="CE44" s="190"/>
      <c r="CF44" s="190"/>
      <c r="CG44" s="190"/>
      <c r="CH44" s="190"/>
      <c r="CI44" s="190"/>
      <c r="CJ44" s="190"/>
      <c r="CK44" s="190"/>
      <c r="CL44" s="190"/>
    </row>
    <row r="45" spans="1:90" x14ac:dyDescent="0.25">
      <c r="A45" s="17" t="s">
        <v>31</v>
      </c>
      <c r="B45" s="190">
        <v>681816656.88999999</v>
      </c>
      <c r="C45" s="190">
        <v>681816656.88999999</v>
      </c>
      <c r="D45" s="190">
        <v>738027880.88999999</v>
      </c>
      <c r="E45" s="190">
        <v>744583627.22000003</v>
      </c>
      <c r="F45" s="190">
        <v>853507327.54999995</v>
      </c>
      <c r="G45" s="190">
        <v>853507327.54999995</v>
      </c>
      <c r="H45" s="190">
        <v>964716036.71000004</v>
      </c>
      <c r="I45" s="190">
        <v>300177750.17000002</v>
      </c>
      <c r="J45" s="190">
        <v>518074596.89999998</v>
      </c>
      <c r="K45" s="190">
        <v>518074596.89999998</v>
      </c>
      <c r="L45" s="190">
        <v>518074596.89999998</v>
      </c>
      <c r="M45" s="190">
        <v>518074596.89999998</v>
      </c>
      <c r="N45" s="190">
        <v>547853280.23000002</v>
      </c>
      <c r="O45" s="190">
        <v>547853280.23000002</v>
      </c>
      <c r="P45" s="190">
        <v>547853280.23000002</v>
      </c>
      <c r="Q45" s="190">
        <v>547853280.23000002</v>
      </c>
      <c r="R45" s="190">
        <v>0</v>
      </c>
      <c r="S45" s="190">
        <v>0</v>
      </c>
      <c r="T45" s="190">
        <v>0</v>
      </c>
      <c r="U45" s="190">
        <v>0</v>
      </c>
      <c r="V45" s="190">
        <v>0</v>
      </c>
      <c r="W45" s="190">
        <v>0</v>
      </c>
      <c r="X45" s="190">
        <v>0</v>
      </c>
      <c r="Y45" s="190">
        <v>0</v>
      </c>
      <c r="Z45" s="190">
        <v>0</v>
      </c>
      <c r="AA45" s="190">
        <v>0</v>
      </c>
      <c r="AB45" s="190">
        <v>0</v>
      </c>
      <c r="AC45" s="190">
        <v>0</v>
      </c>
      <c r="AD45" s="190">
        <v>0</v>
      </c>
      <c r="AE45" s="190">
        <v>0</v>
      </c>
      <c r="AF45" s="190">
        <v>0</v>
      </c>
      <c r="AG45" s="190">
        <v>0</v>
      </c>
      <c r="AH45" s="190">
        <v>0</v>
      </c>
      <c r="AI45" s="190">
        <v>0</v>
      </c>
      <c r="AJ45" s="190">
        <v>0</v>
      </c>
      <c r="AK45" s="190">
        <v>0</v>
      </c>
      <c r="AL45" s="190">
        <v>0</v>
      </c>
      <c r="AM45" s="190">
        <v>0</v>
      </c>
      <c r="AN45" s="190">
        <v>0</v>
      </c>
      <c r="AO45" s="190"/>
      <c r="AP45" s="190"/>
      <c r="AQ45" s="190"/>
      <c r="AR45" s="190"/>
      <c r="AS45" s="190"/>
      <c r="AT45" s="190"/>
      <c r="AU45" s="190"/>
      <c r="AV45" s="190"/>
      <c r="AW45" s="190"/>
      <c r="AX45" s="190"/>
      <c r="AY45" s="190"/>
      <c r="AZ45" s="190"/>
      <c r="BA45" s="190"/>
      <c r="BB45" s="190"/>
      <c r="BC45" s="190"/>
      <c r="BD45" s="190"/>
      <c r="BE45" s="190"/>
      <c r="BF45" s="190"/>
      <c r="BG45" s="190"/>
      <c r="BH45" s="190"/>
      <c r="BI45" s="190"/>
      <c r="BJ45" s="190"/>
      <c r="BK45" s="190"/>
      <c r="BL45" s="190"/>
      <c r="BM45" s="190"/>
      <c r="BN45" s="190"/>
      <c r="BO45" s="190"/>
      <c r="BP45" s="190"/>
      <c r="BQ45" s="190"/>
      <c r="BR45" s="190"/>
      <c r="BS45" s="190"/>
      <c r="BT45" s="190"/>
      <c r="BU45" s="190"/>
      <c r="BV45" s="190"/>
      <c r="BW45" s="190"/>
      <c r="BX45" s="190"/>
      <c r="BY45" s="190"/>
      <c r="BZ45" s="190"/>
      <c r="CA45" s="190"/>
      <c r="CB45" s="190"/>
      <c r="CC45" s="190"/>
      <c r="CD45" s="190"/>
      <c r="CE45" s="190"/>
      <c r="CF45" s="190"/>
      <c r="CG45" s="190"/>
      <c r="CH45" s="190"/>
      <c r="CI45" s="190"/>
      <c r="CJ45" s="190"/>
      <c r="CK45" s="190"/>
      <c r="CL45" s="190"/>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90" s="10" customFormat="1" x14ac:dyDescent="0.25">
      <c r="A49" s="123" t="s">
        <v>32</v>
      </c>
      <c r="B49" s="35">
        <f>SUM(B35:B41)+SUM(B43:B45)</f>
        <v>4724136689.4700003</v>
      </c>
      <c r="C49" s="35">
        <f>SUM(C35:C41)+SUM(C43:C45)</f>
        <v>12088879850.039999</v>
      </c>
      <c r="D49" s="35">
        <f>SUM(D35:D41)+SUM(D43:D45)</f>
        <v>11221797244.23</v>
      </c>
      <c r="E49" s="35">
        <f>SUM(E35:E45)</f>
        <v>15536090448.99</v>
      </c>
      <c r="F49" s="35">
        <f t="shared" ref="F49:BQ49" si="4">SUM(F35:F45)</f>
        <v>11145340926.859999</v>
      </c>
      <c r="G49" s="35">
        <f t="shared" si="4"/>
        <v>10025185080.659998</v>
      </c>
      <c r="H49" s="35">
        <f t="shared" si="4"/>
        <v>9154981920.5200005</v>
      </c>
      <c r="I49" s="35">
        <f t="shared" si="4"/>
        <v>11989216092.030001</v>
      </c>
      <c r="J49" s="35">
        <f t="shared" si="4"/>
        <v>10354785822.010002</v>
      </c>
      <c r="K49" s="35">
        <f t="shared" si="4"/>
        <v>8645093682.1000004</v>
      </c>
      <c r="L49" s="35">
        <f t="shared" si="4"/>
        <v>6218823652.7799997</v>
      </c>
      <c r="M49" s="35">
        <f t="shared" si="4"/>
        <v>8763293302.5999985</v>
      </c>
      <c r="N49" s="35">
        <f t="shared" si="4"/>
        <v>6105694173.0100002</v>
      </c>
      <c r="O49" s="35">
        <f t="shared" si="4"/>
        <v>4868275696.4800014</v>
      </c>
      <c r="P49" s="35">
        <f t="shared" si="4"/>
        <v>4281007850.2899995</v>
      </c>
      <c r="Q49" s="35">
        <f t="shared" si="4"/>
        <v>5760222331.1499996</v>
      </c>
      <c r="R49" s="35">
        <f t="shared" si="4"/>
        <v>3508509670.75</v>
      </c>
      <c r="S49" s="35">
        <f t="shared" si="4"/>
        <v>2927712562.7800002</v>
      </c>
      <c r="T49" s="35">
        <f t="shared" si="4"/>
        <v>2015827734.2800002</v>
      </c>
      <c r="U49" s="35">
        <f t="shared" si="4"/>
        <v>2637003831.9299998</v>
      </c>
      <c r="V49" s="35">
        <f t="shared" si="4"/>
        <v>2228080379.3299999</v>
      </c>
      <c r="W49" s="35">
        <f t="shared" si="4"/>
        <v>1630013427.1500001</v>
      </c>
      <c r="X49" s="35">
        <f t="shared" si="4"/>
        <v>1168578870.0899999</v>
      </c>
      <c r="Y49" s="35">
        <f t="shared" si="4"/>
        <v>1895067388.9899998</v>
      </c>
      <c r="Z49" s="35">
        <f t="shared" si="4"/>
        <v>1390796302.0200002</v>
      </c>
      <c r="AA49" s="35">
        <f t="shared" si="4"/>
        <v>1183707224.8499999</v>
      </c>
      <c r="AB49" s="35">
        <f t="shared" si="4"/>
        <v>932911479.50999999</v>
      </c>
      <c r="AC49" s="35">
        <f t="shared" si="4"/>
        <v>1507979059.6899998</v>
      </c>
      <c r="AD49" s="35">
        <f t="shared" si="4"/>
        <v>936952177.21000016</v>
      </c>
      <c r="AE49" s="35">
        <f t="shared" si="4"/>
        <v>863458335.32000005</v>
      </c>
      <c r="AF49" s="35">
        <f t="shared" si="4"/>
        <v>683303969.96000004</v>
      </c>
      <c r="AG49" s="35">
        <f t="shared" si="4"/>
        <v>866294732.88</v>
      </c>
      <c r="AH49" s="35">
        <f t="shared" si="4"/>
        <v>489547698.32000005</v>
      </c>
      <c r="AI49" s="35">
        <f t="shared" si="4"/>
        <v>572579585.47000003</v>
      </c>
      <c r="AJ49" s="35">
        <f t="shared" si="4"/>
        <v>408695299.03999996</v>
      </c>
      <c r="AK49" s="35">
        <f t="shared" si="4"/>
        <v>631687780.99000001</v>
      </c>
      <c r="AL49" s="35">
        <f t="shared" si="4"/>
        <v>391620130.05000001</v>
      </c>
      <c r="AM49" s="35">
        <f t="shared" si="4"/>
        <v>248862094.65000001</v>
      </c>
      <c r="AN49" s="35">
        <f t="shared" si="4"/>
        <v>0</v>
      </c>
      <c r="AO49" s="35">
        <f t="shared" si="4"/>
        <v>0</v>
      </c>
      <c r="AP49" s="35">
        <f t="shared" si="4"/>
        <v>0</v>
      </c>
      <c r="AQ49" s="35">
        <f t="shared" si="4"/>
        <v>0</v>
      </c>
      <c r="AR49" s="35">
        <f t="shared" si="4"/>
        <v>0</v>
      </c>
      <c r="AS49" s="35">
        <f t="shared" si="4"/>
        <v>0</v>
      </c>
      <c r="AT49" s="35">
        <f t="shared" si="4"/>
        <v>0</v>
      </c>
      <c r="AU49" s="35">
        <f t="shared" si="4"/>
        <v>0</v>
      </c>
      <c r="AV49" s="35">
        <f t="shared" si="4"/>
        <v>0</v>
      </c>
      <c r="AW49" s="35">
        <f t="shared" si="4"/>
        <v>0</v>
      </c>
      <c r="AX49" s="35">
        <f t="shared" si="4"/>
        <v>0</v>
      </c>
      <c r="AY49" s="35">
        <f t="shared" si="4"/>
        <v>0</v>
      </c>
      <c r="AZ49" s="35">
        <f t="shared" si="4"/>
        <v>0</v>
      </c>
      <c r="BA49" s="35">
        <f t="shared" si="4"/>
        <v>0</v>
      </c>
      <c r="BB49" s="35">
        <f t="shared" si="4"/>
        <v>0</v>
      </c>
      <c r="BC49" s="35">
        <f t="shared" si="4"/>
        <v>0</v>
      </c>
      <c r="BD49" s="35">
        <f t="shared" si="4"/>
        <v>0</v>
      </c>
      <c r="BE49" s="35">
        <f t="shared" si="4"/>
        <v>0</v>
      </c>
      <c r="BF49" s="35">
        <f t="shared" si="4"/>
        <v>0</v>
      </c>
      <c r="BG49" s="35">
        <f t="shared" si="4"/>
        <v>0</v>
      </c>
      <c r="BH49" s="35">
        <f t="shared" si="4"/>
        <v>0</v>
      </c>
      <c r="BI49" s="35">
        <f t="shared" si="4"/>
        <v>0</v>
      </c>
      <c r="BJ49" s="35">
        <f t="shared" si="4"/>
        <v>0</v>
      </c>
      <c r="BK49" s="35">
        <f t="shared" si="4"/>
        <v>0</v>
      </c>
      <c r="BL49" s="35">
        <f t="shared" si="4"/>
        <v>0</v>
      </c>
      <c r="BM49" s="35">
        <f t="shared" si="4"/>
        <v>0</v>
      </c>
      <c r="BN49" s="35">
        <f t="shared" si="4"/>
        <v>0</v>
      </c>
      <c r="BO49" s="35">
        <f t="shared" si="4"/>
        <v>0</v>
      </c>
      <c r="BP49" s="35">
        <f t="shared" si="4"/>
        <v>0</v>
      </c>
      <c r="BQ49" s="35">
        <f t="shared" si="4"/>
        <v>0</v>
      </c>
      <c r="BR49" s="35">
        <f t="shared" ref="BR49:CK49" si="5">SUM(BR35:BR45)</f>
        <v>0</v>
      </c>
      <c r="BS49" s="35">
        <f t="shared" si="5"/>
        <v>0</v>
      </c>
      <c r="BT49" s="35">
        <f t="shared" si="5"/>
        <v>0</v>
      </c>
      <c r="BU49" s="35">
        <f t="shared" si="5"/>
        <v>0</v>
      </c>
      <c r="BV49" s="35">
        <f t="shared" si="5"/>
        <v>0</v>
      </c>
      <c r="BW49" s="35">
        <f t="shared" si="5"/>
        <v>0</v>
      </c>
      <c r="BX49" s="35">
        <f t="shared" si="5"/>
        <v>0</v>
      </c>
      <c r="BY49" s="35">
        <f t="shared" si="5"/>
        <v>0</v>
      </c>
      <c r="BZ49" s="35">
        <f t="shared" si="5"/>
        <v>0</v>
      </c>
      <c r="CA49" s="35">
        <f t="shared" si="5"/>
        <v>0</v>
      </c>
      <c r="CB49" s="35">
        <f t="shared" si="5"/>
        <v>0</v>
      </c>
      <c r="CC49" s="35">
        <f t="shared" si="5"/>
        <v>0</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x14ac:dyDescent="0.25">
      <c r="A50" s="125" t="s">
        <v>81</v>
      </c>
      <c r="B50" s="36">
        <f>B33-B49</f>
        <v>23240128463.790001</v>
      </c>
      <c r="C50" s="36">
        <f t="shared" ref="C50:BN50" si="6">C33-C49</f>
        <v>15906190798.300001</v>
      </c>
      <c r="D50" s="36">
        <f t="shared" si="6"/>
        <v>19937992712.729996</v>
      </c>
      <c r="E50" s="36">
        <f t="shared" si="6"/>
        <v>12668063093.030005</v>
      </c>
      <c r="F50" s="36">
        <f t="shared" si="6"/>
        <v>14299510589.690001</v>
      </c>
      <c r="G50" s="36">
        <f t="shared" si="6"/>
        <v>13068983769.770006</v>
      </c>
      <c r="H50" s="36">
        <f t="shared" si="6"/>
        <v>12481601220.809998</v>
      </c>
      <c r="I50" s="36">
        <f t="shared" si="6"/>
        <v>11135313251.660002</v>
      </c>
      <c r="J50" s="36">
        <f t="shared" si="6"/>
        <v>9557304346.7800026</v>
      </c>
      <c r="K50" s="36">
        <f t="shared" si="6"/>
        <v>9082305646.5499973</v>
      </c>
      <c r="L50" s="36">
        <f t="shared" si="6"/>
        <v>11854189305.5</v>
      </c>
      <c r="M50" s="36">
        <f t="shared" si="6"/>
        <v>7912306120.9000015</v>
      </c>
      <c r="N50" s="36">
        <f t="shared" si="6"/>
        <v>9458413446.579998</v>
      </c>
      <c r="O50" s="36">
        <f t="shared" si="6"/>
        <v>9386164083.9899998</v>
      </c>
      <c r="P50" s="36">
        <f t="shared" si="6"/>
        <v>8647148858.7200012</v>
      </c>
      <c r="Q50" s="36">
        <f t="shared" si="6"/>
        <v>6232294623.1800003</v>
      </c>
      <c r="R50" s="36">
        <f t="shared" si="6"/>
        <v>8370661298.3799992</v>
      </c>
      <c r="S50" s="36">
        <f t="shared" si="6"/>
        <v>7671693616.789999</v>
      </c>
      <c r="T50" s="36">
        <f t="shared" si="6"/>
        <v>7091197137.9099998</v>
      </c>
      <c r="U50" s="36">
        <f t="shared" si="6"/>
        <v>5254111890.960001</v>
      </c>
      <c r="V50" s="36">
        <f t="shared" si="6"/>
        <v>3305255057.9100008</v>
      </c>
      <c r="W50" s="36">
        <f t="shared" si="6"/>
        <v>2796437386.019999</v>
      </c>
      <c r="X50" s="36">
        <f t="shared" si="6"/>
        <v>2709102513.9800005</v>
      </c>
      <c r="Y50" s="36">
        <f t="shared" si="6"/>
        <v>1553573354.7200003</v>
      </c>
      <c r="Z50" s="36">
        <f t="shared" si="6"/>
        <v>2113203971.3199999</v>
      </c>
      <c r="AA50" s="36">
        <f t="shared" si="6"/>
        <v>1666015751.1700001</v>
      </c>
      <c r="AB50" s="36">
        <f t="shared" si="6"/>
        <v>1652215606.3299997</v>
      </c>
      <c r="AC50" s="36">
        <f t="shared" si="6"/>
        <v>757038413.9599998</v>
      </c>
      <c r="AD50" s="36">
        <f t="shared" si="6"/>
        <v>1388708922.1499996</v>
      </c>
      <c r="AE50" s="36">
        <f t="shared" si="6"/>
        <v>1035677611.7900001</v>
      </c>
      <c r="AF50" s="36">
        <f t="shared" si="6"/>
        <v>915037064.71000004</v>
      </c>
      <c r="AG50" s="36">
        <f t="shared" si="6"/>
        <v>469175270.18999994</v>
      </c>
      <c r="AH50" s="36">
        <f t="shared" si="6"/>
        <v>990505245.7299999</v>
      </c>
      <c r="AI50" s="36">
        <f t="shared" si="6"/>
        <v>702468936.47000003</v>
      </c>
      <c r="AJ50" s="36">
        <f t="shared" si="6"/>
        <v>660502919.30000007</v>
      </c>
      <c r="AK50" s="36">
        <f t="shared" si="6"/>
        <v>93334650.730000019</v>
      </c>
      <c r="AL50" s="36">
        <f t="shared" si="6"/>
        <v>26093952.389999986</v>
      </c>
      <c r="AM50" s="36">
        <f t="shared" si="6"/>
        <v>116722259.65000001</v>
      </c>
      <c r="AN50" s="36">
        <f t="shared" si="6"/>
        <v>0</v>
      </c>
      <c r="AO50" s="36">
        <f t="shared" si="6"/>
        <v>0</v>
      </c>
      <c r="AP50" s="36">
        <f t="shared" si="6"/>
        <v>0</v>
      </c>
      <c r="AQ50" s="36">
        <f t="shared" si="6"/>
        <v>0</v>
      </c>
      <c r="AR50" s="36">
        <f t="shared" si="6"/>
        <v>0</v>
      </c>
      <c r="AS50" s="36">
        <f t="shared" si="6"/>
        <v>0</v>
      </c>
      <c r="AT50" s="36">
        <f t="shared" si="6"/>
        <v>0</v>
      </c>
      <c r="AU50" s="36">
        <f t="shared" si="6"/>
        <v>0</v>
      </c>
      <c r="AV50" s="36">
        <f t="shared" si="6"/>
        <v>0</v>
      </c>
      <c r="AW50" s="36">
        <f t="shared" si="6"/>
        <v>0</v>
      </c>
      <c r="AX50" s="36">
        <f t="shared" si="6"/>
        <v>0</v>
      </c>
      <c r="AY50" s="36">
        <f t="shared" si="6"/>
        <v>0</v>
      </c>
      <c r="AZ50" s="36">
        <f t="shared" si="6"/>
        <v>0</v>
      </c>
      <c r="BA50" s="36">
        <f t="shared" si="6"/>
        <v>0</v>
      </c>
      <c r="BB50" s="36">
        <f t="shared" si="6"/>
        <v>0</v>
      </c>
      <c r="BC50" s="36">
        <f t="shared" si="6"/>
        <v>0</v>
      </c>
      <c r="BD50" s="36">
        <f t="shared" si="6"/>
        <v>0</v>
      </c>
      <c r="BE50" s="36">
        <f t="shared" si="6"/>
        <v>0</v>
      </c>
      <c r="BF50" s="36">
        <f t="shared" si="6"/>
        <v>0</v>
      </c>
      <c r="BG50" s="36">
        <f t="shared" si="6"/>
        <v>0</v>
      </c>
      <c r="BH50" s="36">
        <f t="shared" si="6"/>
        <v>0</v>
      </c>
      <c r="BI50" s="36">
        <f t="shared" si="6"/>
        <v>0</v>
      </c>
      <c r="BJ50" s="36">
        <f t="shared" si="6"/>
        <v>0</v>
      </c>
      <c r="BK50" s="36">
        <f t="shared" si="6"/>
        <v>0</v>
      </c>
      <c r="BL50" s="36">
        <f t="shared" si="6"/>
        <v>0</v>
      </c>
      <c r="BM50" s="36">
        <f t="shared" si="6"/>
        <v>0</v>
      </c>
      <c r="BN50" s="36">
        <f t="shared" si="6"/>
        <v>0</v>
      </c>
      <c r="BO50" s="36">
        <f t="shared" ref="BO50:CK50" si="7">BO33-BO49</f>
        <v>0</v>
      </c>
      <c r="BP50" s="36">
        <f t="shared" si="7"/>
        <v>0</v>
      </c>
      <c r="BQ50" s="36">
        <f t="shared" si="7"/>
        <v>0</v>
      </c>
      <c r="BR50" s="36">
        <f t="shared" si="7"/>
        <v>0</v>
      </c>
      <c r="BS50" s="36">
        <f t="shared" si="7"/>
        <v>0</v>
      </c>
      <c r="BT50" s="36">
        <f t="shared" si="7"/>
        <v>0</v>
      </c>
      <c r="BU50" s="36">
        <f t="shared" si="7"/>
        <v>0</v>
      </c>
      <c r="BV50" s="36">
        <f t="shared" si="7"/>
        <v>0</v>
      </c>
      <c r="BW50" s="36">
        <f t="shared" si="7"/>
        <v>0</v>
      </c>
      <c r="BX50" s="36">
        <f t="shared" si="7"/>
        <v>0</v>
      </c>
      <c r="BY50" s="36">
        <f t="shared" si="7"/>
        <v>0</v>
      </c>
      <c r="BZ50" s="36">
        <f t="shared" si="7"/>
        <v>0</v>
      </c>
      <c r="CA50" s="36">
        <f t="shared" si="7"/>
        <v>0</v>
      </c>
      <c r="CB50" s="36">
        <f t="shared" si="7"/>
        <v>0</v>
      </c>
      <c r="CC50" s="36">
        <f t="shared" si="7"/>
        <v>0</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s="193" customFormat="1" x14ac:dyDescent="0.25">
      <c r="A51" s="193" t="s">
        <v>33</v>
      </c>
    </row>
    <row r="52" spans="1:90" s="193" customFormat="1" x14ac:dyDescent="0.25">
      <c r="A52" s="193" t="s">
        <v>34</v>
      </c>
      <c r="B52" s="190">
        <v>4317008970.21</v>
      </c>
      <c r="C52" s="190">
        <v>4075143444.2800002</v>
      </c>
      <c r="D52" s="190">
        <v>4053256047.5799999</v>
      </c>
      <c r="E52" s="190">
        <v>3024025496.3099999</v>
      </c>
      <c r="F52" s="190">
        <v>2928515602.5300002</v>
      </c>
      <c r="G52" s="190">
        <v>2945144484.5100002</v>
      </c>
      <c r="H52" s="190">
        <v>2850265592.73</v>
      </c>
      <c r="I52" s="190">
        <v>2853743612.6700001</v>
      </c>
      <c r="J52" s="190">
        <v>2705660579.7199998</v>
      </c>
      <c r="K52" s="190">
        <v>2685927175.2399998</v>
      </c>
      <c r="L52" s="190">
        <v>1925449124.73</v>
      </c>
      <c r="M52" s="190">
        <v>1887240766.0799999</v>
      </c>
      <c r="N52" s="190">
        <v>1696801463.4000001</v>
      </c>
      <c r="O52" s="190">
        <v>1665303881.0999999</v>
      </c>
      <c r="P52" s="190">
        <v>1655924515.1900001</v>
      </c>
      <c r="Q52" s="190">
        <v>1500415628.0799999</v>
      </c>
      <c r="R52" s="190">
        <v>1435866972.5899999</v>
      </c>
      <c r="S52" s="190">
        <v>1372648274.23</v>
      </c>
      <c r="T52" s="190">
        <v>733675175.29999995</v>
      </c>
      <c r="U52" s="190">
        <v>735711230.71000004</v>
      </c>
      <c r="V52" s="190">
        <v>714578555.83000004</v>
      </c>
      <c r="W52" s="190">
        <v>673717872.13999999</v>
      </c>
      <c r="X52" s="190">
        <v>653767245.26999998</v>
      </c>
      <c r="Y52" s="190">
        <v>649280702.10000002</v>
      </c>
      <c r="Z52" s="190">
        <v>640181860.85000002</v>
      </c>
      <c r="AA52" s="190">
        <v>631173818.40999997</v>
      </c>
      <c r="AB52" s="190">
        <v>598035610.60000002</v>
      </c>
      <c r="AC52" s="190">
        <v>588574983.89999998</v>
      </c>
      <c r="AD52" s="190">
        <v>528454615.25999999</v>
      </c>
      <c r="AE52" s="190">
        <v>497006403.68000001</v>
      </c>
      <c r="AF52" s="190">
        <v>292021026.56999999</v>
      </c>
      <c r="AG52" s="190">
        <v>290756203.33999997</v>
      </c>
      <c r="AH52" s="190">
        <v>255070332.38999999</v>
      </c>
      <c r="AI52" s="190">
        <v>238848101.27000001</v>
      </c>
      <c r="AJ52" s="190">
        <v>209498584.12</v>
      </c>
      <c r="AK52" s="190">
        <v>197635028.02000001</v>
      </c>
      <c r="AL52" s="190">
        <v>51360938.350000001</v>
      </c>
      <c r="AM52" s="190">
        <v>40496003.590000004</v>
      </c>
      <c r="AN52" s="190">
        <v>0</v>
      </c>
      <c r="AO52" s="190"/>
      <c r="AP52" s="190"/>
      <c r="AQ52" s="190"/>
      <c r="AR52" s="190"/>
      <c r="AS52" s="190"/>
      <c r="AT52" s="190"/>
      <c r="AU52" s="190"/>
      <c r="AV52" s="190"/>
      <c r="AW52" s="190"/>
      <c r="AX52" s="190"/>
      <c r="AY52" s="190"/>
      <c r="AZ52" s="190"/>
      <c r="BA52" s="190"/>
      <c r="BB52" s="190"/>
      <c r="BC52" s="190"/>
      <c r="BD52" s="190"/>
      <c r="BE52" s="190"/>
      <c r="BF52" s="190"/>
      <c r="BG52" s="190"/>
      <c r="BH52" s="190"/>
      <c r="BI52" s="190"/>
      <c r="BJ52" s="190"/>
      <c r="BK52" s="190"/>
      <c r="BL52" s="190"/>
      <c r="BM52" s="190"/>
      <c r="BN52" s="190"/>
      <c r="BO52" s="190"/>
      <c r="BP52" s="190"/>
      <c r="BQ52" s="190"/>
      <c r="BR52" s="190"/>
      <c r="BS52" s="190"/>
      <c r="BT52" s="190"/>
      <c r="BU52" s="190"/>
      <c r="BV52" s="190"/>
      <c r="BW52" s="190"/>
      <c r="BX52" s="190"/>
      <c r="BY52" s="190"/>
      <c r="BZ52" s="190"/>
      <c r="CA52" s="190"/>
      <c r="CB52" s="190"/>
      <c r="CC52" s="190"/>
      <c r="CD52" s="190"/>
      <c r="CE52" s="190"/>
      <c r="CF52" s="190"/>
      <c r="CG52" s="190"/>
      <c r="CH52" s="190"/>
      <c r="CI52" s="190"/>
      <c r="CJ52" s="190"/>
      <c r="CK52" s="190"/>
      <c r="CL52" s="190"/>
    </row>
    <row r="53" spans="1:90" s="193" customFormat="1" x14ac:dyDescent="0.25">
      <c r="A53" s="193" t="s">
        <v>35</v>
      </c>
      <c r="B53" s="190">
        <v>848421778.64999998</v>
      </c>
      <c r="C53" s="190">
        <v>705731687.15999997</v>
      </c>
      <c r="D53" s="190">
        <v>677459209.86000001</v>
      </c>
      <c r="E53" s="190">
        <v>1436319118.3</v>
      </c>
      <c r="F53" s="190">
        <v>1205329627.29</v>
      </c>
      <c r="G53" s="190">
        <v>764850814.58000004</v>
      </c>
      <c r="H53" s="190">
        <v>506796148.70999998</v>
      </c>
      <c r="I53" s="190">
        <v>316482522.36000001</v>
      </c>
      <c r="J53" s="190">
        <v>457513495.38</v>
      </c>
      <c r="K53" s="190">
        <v>333697399.00999999</v>
      </c>
      <c r="L53" s="190">
        <v>987900341.80999994</v>
      </c>
      <c r="M53" s="190">
        <v>844631051.21000004</v>
      </c>
      <c r="N53" s="190">
        <v>473205035.17000002</v>
      </c>
      <c r="O53" s="190">
        <v>223197078.65000001</v>
      </c>
      <c r="P53" s="190">
        <v>23745646.710000001</v>
      </c>
      <c r="Q53" s="190">
        <v>28956418.82</v>
      </c>
      <c r="R53" s="190">
        <v>31393462.449999999</v>
      </c>
      <c r="S53" s="190">
        <v>11537385.84</v>
      </c>
      <c r="T53" s="190">
        <v>337147970.10000002</v>
      </c>
      <c r="U53" s="190">
        <v>294633266.23000002</v>
      </c>
      <c r="V53" s="190">
        <v>226539062.72</v>
      </c>
      <c r="W53" s="190">
        <v>194549536.50999999</v>
      </c>
      <c r="X53" s="190">
        <v>171502954.44999999</v>
      </c>
      <c r="Y53" s="190">
        <v>147935272.83000001</v>
      </c>
      <c r="Z53" s="190">
        <v>95645474.019999996</v>
      </c>
      <c r="AA53" s="190">
        <v>95772517.430000007</v>
      </c>
      <c r="AB53" s="190">
        <v>62289896.240000002</v>
      </c>
      <c r="AC53" s="190">
        <v>46351735.479999997</v>
      </c>
      <c r="AD53" s="190">
        <v>20874502.640000001</v>
      </c>
      <c r="AE53" s="190">
        <v>17162532.5</v>
      </c>
      <c r="AF53" s="190">
        <v>196257615.88</v>
      </c>
      <c r="AG53" s="190">
        <v>167678668.21000001</v>
      </c>
      <c r="AH53" s="190">
        <v>141753467.65000001</v>
      </c>
      <c r="AI53" s="190">
        <v>93873467</v>
      </c>
      <c r="AJ53" s="190">
        <v>82440428.930000007</v>
      </c>
      <c r="AK53" s="190">
        <v>70255531.549999997</v>
      </c>
      <c r="AL53" s="190">
        <v>4663279.5599999996</v>
      </c>
      <c r="AM53" s="190">
        <v>0</v>
      </c>
      <c r="AN53" s="190">
        <v>0</v>
      </c>
      <c r="AO53" s="190"/>
      <c r="AP53" s="190"/>
      <c r="AQ53" s="190"/>
      <c r="AR53" s="190"/>
      <c r="AS53" s="190"/>
      <c r="AT53" s="190"/>
      <c r="AU53" s="190"/>
      <c r="AV53" s="190"/>
      <c r="AW53" s="190"/>
      <c r="AX53" s="190"/>
      <c r="AY53" s="190"/>
      <c r="AZ53" s="190"/>
      <c r="BA53" s="190"/>
      <c r="BB53" s="190"/>
      <c r="BC53" s="190"/>
      <c r="BD53" s="190"/>
      <c r="BE53" s="190"/>
      <c r="BF53" s="190"/>
      <c r="BG53" s="190"/>
      <c r="BH53" s="190"/>
      <c r="BI53" s="190"/>
      <c r="BJ53" s="190"/>
      <c r="BK53" s="190"/>
      <c r="BL53" s="190"/>
      <c r="BM53" s="190"/>
      <c r="BN53" s="190"/>
      <c r="BO53" s="190"/>
      <c r="BP53" s="190"/>
      <c r="BQ53" s="190"/>
      <c r="BR53" s="190"/>
      <c r="BS53" s="190"/>
      <c r="BT53" s="190"/>
      <c r="BU53" s="190"/>
      <c r="BV53" s="190"/>
      <c r="BW53" s="190"/>
      <c r="BX53" s="190"/>
      <c r="BY53" s="190"/>
      <c r="BZ53" s="190"/>
      <c r="CA53" s="190"/>
      <c r="CB53" s="190"/>
      <c r="CC53" s="190"/>
      <c r="CD53" s="190"/>
      <c r="CE53" s="190"/>
      <c r="CF53" s="190"/>
      <c r="CG53" s="190"/>
      <c r="CH53" s="190"/>
      <c r="CI53" s="190"/>
      <c r="CJ53" s="190"/>
      <c r="CK53" s="190"/>
      <c r="CL53" s="190"/>
    </row>
    <row r="54" spans="1:90" s="193" customFormat="1" x14ac:dyDescent="0.25">
      <c r="A54" s="193" t="s">
        <v>36</v>
      </c>
      <c r="B54" s="190">
        <v>0</v>
      </c>
      <c r="C54" s="190">
        <v>0</v>
      </c>
      <c r="D54" s="190">
        <v>0</v>
      </c>
      <c r="E54" s="190">
        <v>0</v>
      </c>
      <c r="F54" s="190">
        <v>0</v>
      </c>
      <c r="G54" s="190">
        <v>0</v>
      </c>
      <c r="H54" s="190">
        <v>0</v>
      </c>
      <c r="I54" s="190">
        <v>0</v>
      </c>
      <c r="J54" s="190">
        <v>0</v>
      </c>
      <c r="K54" s="190">
        <v>0</v>
      </c>
      <c r="L54" s="190">
        <v>1299246</v>
      </c>
      <c r="M54" s="190">
        <v>0</v>
      </c>
      <c r="N54" s="190">
        <v>0</v>
      </c>
      <c r="O54" s="190">
        <v>0</v>
      </c>
      <c r="P54" s="190">
        <v>0</v>
      </c>
      <c r="Q54" s="190">
        <v>0</v>
      </c>
      <c r="R54" s="190">
        <v>0</v>
      </c>
      <c r="S54" s="190">
        <v>0</v>
      </c>
      <c r="T54" s="190">
        <v>0</v>
      </c>
      <c r="U54" s="190">
        <v>0</v>
      </c>
      <c r="V54" s="190">
        <v>214718</v>
      </c>
      <c r="W54" s="190">
        <v>214718</v>
      </c>
      <c r="X54" s="190">
        <v>214718</v>
      </c>
      <c r="Y54" s="190">
        <v>214718</v>
      </c>
      <c r="Z54" s="190">
        <v>660459</v>
      </c>
      <c r="AA54" s="190">
        <v>660459</v>
      </c>
      <c r="AB54" s="190">
        <v>660459</v>
      </c>
      <c r="AC54" s="190">
        <v>660459</v>
      </c>
      <c r="AD54" s="190">
        <v>0</v>
      </c>
      <c r="AE54" s="190">
        <v>0</v>
      </c>
      <c r="AF54" s="190">
        <v>0</v>
      </c>
      <c r="AG54" s="190">
        <v>0</v>
      </c>
      <c r="AH54" s="190">
        <v>0</v>
      </c>
      <c r="AI54" s="190">
        <v>0</v>
      </c>
      <c r="AJ54" s="190">
        <v>0</v>
      </c>
      <c r="AK54" s="190">
        <v>0</v>
      </c>
      <c r="AL54" s="190">
        <v>0</v>
      </c>
      <c r="AM54" s="190">
        <v>0</v>
      </c>
      <c r="AN54" s="190">
        <v>0</v>
      </c>
      <c r="AO54" s="190"/>
      <c r="AP54" s="190"/>
      <c r="AQ54" s="190"/>
      <c r="AR54" s="190"/>
      <c r="AS54" s="190"/>
      <c r="AT54" s="190"/>
      <c r="AU54" s="190"/>
      <c r="AV54" s="190"/>
      <c r="AW54" s="190"/>
      <c r="AX54" s="190"/>
      <c r="AY54" s="190"/>
      <c r="AZ54" s="190"/>
      <c r="BA54" s="190"/>
      <c r="BB54" s="190"/>
      <c r="BC54" s="190"/>
      <c r="BD54" s="190"/>
      <c r="BE54" s="190"/>
      <c r="BF54" s="190"/>
      <c r="BG54" s="190"/>
      <c r="BH54" s="190"/>
      <c r="BI54" s="190"/>
      <c r="BJ54" s="190"/>
      <c r="BK54" s="190"/>
      <c r="BL54" s="190"/>
      <c r="BM54" s="190"/>
      <c r="BN54" s="190"/>
      <c r="BO54" s="190"/>
      <c r="BP54" s="190"/>
      <c r="BQ54" s="190"/>
      <c r="BR54" s="190"/>
      <c r="BS54" s="190"/>
      <c r="BT54" s="190"/>
      <c r="BU54" s="190"/>
      <c r="BV54" s="190"/>
      <c r="BW54" s="190"/>
      <c r="BX54" s="190"/>
      <c r="BY54" s="190"/>
      <c r="BZ54" s="190"/>
      <c r="CA54" s="190"/>
      <c r="CB54" s="190"/>
      <c r="CC54" s="190"/>
      <c r="CD54" s="190"/>
      <c r="CE54" s="190"/>
      <c r="CF54" s="190"/>
      <c r="CG54" s="190"/>
      <c r="CH54" s="190"/>
      <c r="CI54" s="190"/>
      <c r="CJ54" s="190"/>
      <c r="CK54" s="190"/>
      <c r="CL54" s="190"/>
    </row>
    <row r="55" spans="1:90" s="193" customFormat="1" x14ac:dyDescent="0.25">
      <c r="A55" s="193" t="s">
        <v>37</v>
      </c>
      <c r="B55" s="190">
        <v>0</v>
      </c>
      <c r="C55" s="190">
        <v>0</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11584</v>
      </c>
      <c r="AK55" s="190">
        <v>0</v>
      </c>
      <c r="AL55" s="190">
        <v>0</v>
      </c>
      <c r="AM55" s="190">
        <v>0</v>
      </c>
      <c r="AN55" s="190">
        <v>0</v>
      </c>
      <c r="AO55" s="190"/>
      <c r="AP55" s="190"/>
      <c r="AQ55" s="190"/>
      <c r="AR55" s="190"/>
      <c r="AS55" s="190"/>
      <c r="AT55" s="190"/>
      <c r="AU55" s="190"/>
      <c r="AV55" s="190"/>
      <c r="AW55" s="190"/>
      <c r="AX55" s="190"/>
      <c r="AY55" s="190"/>
      <c r="AZ55" s="190"/>
      <c r="BA55" s="190"/>
      <c r="BB55" s="190"/>
      <c r="BC55" s="190"/>
      <c r="BD55" s="190"/>
      <c r="BE55" s="190"/>
      <c r="BF55" s="190"/>
      <c r="BG55" s="190"/>
      <c r="BH55" s="190"/>
      <c r="BI55" s="190"/>
      <c r="BJ55" s="190"/>
      <c r="BK55" s="190"/>
      <c r="BL55" s="190"/>
      <c r="BM55" s="190"/>
      <c r="BN55" s="190"/>
      <c r="BO55" s="190"/>
      <c r="BP55" s="190"/>
      <c r="BQ55" s="190"/>
      <c r="BR55" s="190"/>
      <c r="BS55" s="190"/>
      <c r="BT55" s="190"/>
      <c r="BU55" s="190"/>
      <c r="BV55" s="190"/>
      <c r="BW55" s="190"/>
      <c r="BX55" s="190"/>
      <c r="BY55" s="190"/>
      <c r="BZ55" s="190"/>
      <c r="CA55" s="190"/>
      <c r="CB55" s="190"/>
      <c r="CC55" s="190"/>
      <c r="CD55" s="190"/>
      <c r="CE55" s="190"/>
      <c r="CF55" s="190"/>
      <c r="CG55" s="190"/>
      <c r="CH55" s="190"/>
      <c r="CI55" s="190"/>
      <c r="CJ55" s="190"/>
      <c r="CK55" s="190"/>
      <c r="CL55" s="190"/>
    </row>
    <row r="56" spans="1:90" s="193" customFormat="1" x14ac:dyDescent="0.25">
      <c r="A56" s="193" t="s">
        <v>38</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c r="AP56" s="190"/>
      <c r="AQ56" s="190"/>
      <c r="AR56" s="190"/>
      <c r="AS56" s="190"/>
      <c r="AT56" s="190"/>
      <c r="AU56" s="190"/>
      <c r="AV56" s="190"/>
      <c r="AW56" s="190"/>
      <c r="AX56" s="190"/>
      <c r="AY56" s="190"/>
      <c r="AZ56" s="190"/>
      <c r="BA56" s="190"/>
      <c r="BB56" s="190"/>
      <c r="BC56" s="190"/>
      <c r="BD56" s="190"/>
      <c r="BE56" s="190"/>
      <c r="BF56" s="190"/>
      <c r="BG56" s="190"/>
      <c r="BH56" s="190"/>
      <c r="BI56" s="190"/>
      <c r="BJ56" s="190"/>
      <c r="BK56" s="190"/>
      <c r="BL56" s="190"/>
      <c r="BM56" s="190"/>
      <c r="BN56" s="190"/>
      <c r="BO56" s="190"/>
      <c r="BP56" s="190"/>
      <c r="BQ56" s="190"/>
      <c r="BR56" s="190"/>
      <c r="BS56" s="190"/>
      <c r="BT56" s="190"/>
      <c r="BU56" s="190"/>
      <c r="BV56" s="190"/>
      <c r="BW56" s="190"/>
      <c r="BX56" s="190"/>
      <c r="BY56" s="190"/>
      <c r="BZ56" s="190"/>
      <c r="CA56" s="190"/>
      <c r="CB56" s="190"/>
      <c r="CC56" s="190"/>
      <c r="CD56" s="190"/>
      <c r="CE56" s="190"/>
      <c r="CF56" s="190"/>
      <c r="CG56" s="190"/>
      <c r="CH56" s="190"/>
      <c r="CI56" s="190"/>
      <c r="CJ56" s="190"/>
      <c r="CK56" s="190"/>
      <c r="CL56" s="190"/>
    </row>
    <row r="57" spans="1:90" s="193" customFormat="1" x14ac:dyDescent="0.25">
      <c r="A57" s="193" t="s">
        <v>39</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c r="AP57" s="190"/>
      <c r="AQ57" s="190"/>
      <c r="AR57" s="190"/>
      <c r="AS57" s="190"/>
      <c r="AT57" s="190"/>
      <c r="AU57" s="190"/>
      <c r="AV57" s="190"/>
      <c r="AW57" s="190"/>
      <c r="AX57" s="190"/>
      <c r="AY57" s="190"/>
      <c r="AZ57" s="190"/>
      <c r="BA57" s="190"/>
      <c r="BB57" s="190"/>
      <c r="BC57" s="190"/>
      <c r="BD57" s="190"/>
      <c r="BE57" s="190"/>
      <c r="BF57" s="190"/>
      <c r="BG57" s="190"/>
      <c r="BH57" s="190"/>
      <c r="BI57" s="190"/>
      <c r="BJ57" s="190"/>
      <c r="BK57" s="190"/>
      <c r="BL57" s="190"/>
      <c r="BM57" s="190"/>
      <c r="BN57" s="190"/>
      <c r="BO57" s="190"/>
      <c r="BP57" s="190"/>
      <c r="BQ57" s="190"/>
      <c r="BR57" s="190"/>
      <c r="BS57" s="190"/>
      <c r="BT57" s="190"/>
      <c r="BU57" s="190"/>
      <c r="BV57" s="190"/>
      <c r="BW57" s="190"/>
      <c r="BX57" s="190"/>
      <c r="BY57" s="190"/>
      <c r="BZ57" s="190"/>
      <c r="CA57" s="190"/>
      <c r="CB57" s="190"/>
      <c r="CC57" s="190"/>
      <c r="CD57" s="190"/>
      <c r="CE57" s="190"/>
      <c r="CF57" s="190"/>
      <c r="CG57" s="190"/>
      <c r="CH57" s="190"/>
      <c r="CI57" s="190"/>
      <c r="CJ57" s="190"/>
      <c r="CK57" s="190"/>
      <c r="CL57" s="190"/>
    </row>
    <row r="58" spans="1:90" s="193" customFormat="1" x14ac:dyDescent="0.25">
      <c r="A58" s="193" t="s">
        <v>40</v>
      </c>
      <c r="B58" s="190">
        <v>827671591.59000003</v>
      </c>
      <c r="C58" s="190">
        <v>799821748.10000002</v>
      </c>
      <c r="D58" s="190">
        <v>761104185.60000002</v>
      </c>
      <c r="E58" s="190">
        <v>429160982.63</v>
      </c>
      <c r="F58" s="190">
        <v>409074338.19999999</v>
      </c>
      <c r="G58" s="190">
        <v>412552471.29000002</v>
      </c>
      <c r="H58" s="190">
        <v>407172194.64999998</v>
      </c>
      <c r="I58" s="190">
        <v>410256469.08999997</v>
      </c>
      <c r="J58" s="190">
        <v>410555899.19</v>
      </c>
      <c r="K58" s="190">
        <v>344833385.04000002</v>
      </c>
      <c r="L58" s="190">
        <v>346461835.56999999</v>
      </c>
      <c r="M58" s="190">
        <v>343200704.36000001</v>
      </c>
      <c r="N58" s="190">
        <v>252637691.22999999</v>
      </c>
      <c r="O58" s="190">
        <v>244927896.75999999</v>
      </c>
      <c r="P58" s="190">
        <v>137533246.97</v>
      </c>
      <c r="Q58" s="190">
        <v>96550166.579999998</v>
      </c>
      <c r="R58" s="190">
        <v>94404007.969999999</v>
      </c>
      <c r="S58" s="190">
        <v>89187023.040000007</v>
      </c>
      <c r="T58" s="190">
        <v>90988886.030000001</v>
      </c>
      <c r="U58" s="190">
        <v>53117713.950000003</v>
      </c>
      <c r="V58" s="190">
        <v>54276012.119999997</v>
      </c>
      <c r="W58" s="190">
        <v>54728596.600000001</v>
      </c>
      <c r="X58" s="190">
        <v>55977040.280000001</v>
      </c>
      <c r="Y58" s="190">
        <v>56735710.840000004</v>
      </c>
      <c r="Z58" s="190">
        <v>58320785.289999999</v>
      </c>
      <c r="AA58" s="190">
        <v>50822274.659999996</v>
      </c>
      <c r="AB58" s="190">
        <v>49270435.130000003</v>
      </c>
      <c r="AC58" s="190">
        <v>49180344.649999999</v>
      </c>
      <c r="AD58" s="190">
        <v>49776499.780000001</v>
      </c>
      <c r="AE58" s="190">
        <v>49937539.140000001</v>
      </c>
      <c r="AF58" s="190">
        <v>49139918.530000001</v>
      </c>
      <c r="AG58" s="190">
        <v>45173717.780000001</v>
      </c>
      <c r="AH58" s="190">
        <v>42585812.140000001</v>
      </c>
      <c r="AI58" s="190">
        <v>32019268.390000001</v>
      </c>
      <c r="AJ58" s="190">
        <v>25698926.91</v>
      </c>
      <c r="AK58" s="190">
        <v>24866285.789999999</v>
      </c>
      <c r="AL58" s="190">
        <v>22351108.760000002</v>
      </c>
      <c r="AM58" s="190">
        <v>1221062.22</v>
      </c>
      <c r="AN58" s="190">
        <v>0</v>
      </c>
      <c r="AO58" s="190"/>
      <c r="AP58" s="190"/>
      <c r="AQ58" s="190"/>
      <c r="AR58" s="190"/>
      <c r="AS58" s="190"/>
      <c r="AT58" s="190"/>
      <c r="AU58" s="190"/>
      <c r="AV58" s="190"/>
      <c r="AW58" s="190"/>
      <c r="AX58" s="190"/>
      <c r="AY58" s="190"/>
      <c r="AZ58" s="190"/>
      <c r="BA58" s="190"/>
      <c r="BB58" s="190"/>
      <c r="BC58" s="190"/>
      <c r="BD58" s="190"/>
      <c r="BE58" s="190"/>
      <c r="BF58" s="190"/>
      <c r="BG58" s="190"/>
      <c r="BH58" s="190"/>
      <c r="BI58" s="190"/>
      <c r="BJ58" s="190"/>
      <c r="BK58" s="190"/>
      <c r="BL58" s="190"/>
      <c r="BM58" s="190"/>
      <c r="BN58" s="190"/>
      <c r="BO58" s="190"/>
      <c r="BP58" s="190"/>
      <c r="BQ58" s="190"/>
      <c r="BR58" s="190"/>
      <c r="BS58" s="190"/>
      <c r="BT58" s="190"/>
      <c r="BU58" s="190"/>
      <c r="BV58" s="190"/>
      <c r="BW58" s="190"/>
      <c r="BX58" s="190"/>
      <c r="BY58" s="190"/>
      <c r="BZ58" s="190"/>
      <c r="CA58" s="190"/>
      <c r="CB58" s="190"/>
      <c r="CC58" s="190"/>
      <c r="CD58" s="190"/>
      <c r="CE58" s="190"/>
      <c r="CF58" s="190"/>
      <c r="CG58" s="190"/>
      <c r="CH58" s="190"/>
      <c r="CI58" s="190"/>
      <c r="CJ58" s="190"/>
      <c r="CK58" s="190"/>
      <c r="CL58" s="190"/>
    </row>
    <row r="59" spans="1:90" s="193" customFormat="1" x14ac:dyDescent="0.25">
      <c r="A59" s="193" t="s">
        <v>41</v>
      </c>
      <c r="B59" s="190">
        <v>0</v>
      </c>
      <c r="C59" s="190">
        <v>0</v>
      </c>
      <c r="D59" s="190">
        <v>0</v>
      </c>
      <c r="E59" s="190">
        <v>0</v>
      </c>
      <c r="F59" s="190">
        <v>0</v>
      </c>
      <c r="G59" s="190">
        <v>0</v>
      </c>
      <c r="H59" s="190">
        <v>0</v>
      </c>
      <c r="I59" s="190">
        <v>0</v>
      </c>
      <c r="J59" s="190">
        <v>0</v>
      </c>
      <c r="K59" s="190">
        <v>0</v>
      </c>
      <c r="L59" s="190">
        <v>0</v>
      </c>
      <c r="M59" s="190">
        <v>0</v>
      </c>
      <c r="N59" s="190">
        <v>0</v>
      </c>
      <c r="O59" s="190">
        <v>0</v>
      </c>
      <c r="P59" s="190">
        <v>0</v>
      </c>
      <c r="Q59" s="190">
        <v>0</v>
      </c>
      <c r="R59" s="190">
        <v>0</v>
      </c>
      <c r="S59" s="190">
        <v>0</v>
      </c>
      <c r="T59" s="190">
        <v>0</v>
      </c>
      <c r="U59" s="190">
        <v>0</v>
      </c>
      <c r="V59" s="190">
        <v>0</v>
      </c>
      <c r="W59" s="190">
        <v>0</v>
      </c>
      <c r="X59" s="190">
        <v>0</v>
      </c>
      <c r="Y59" s="190">
        <v>0</v>
      </c>
      <c r="Z59" s="190">
        <v>0</v>
      </c>
      <c r="AA59" s="190">
        <v>0</v>
      </c>
      <c r="AB59" s="190">
        <v>0</v>
      </c>
      <c r="AC59" s="190">
        <v>0</v>
      </c>
      <c r="AD59" s="190">
        <v>0</v>
      </c>
      <c r="AE59" s="190">
        <v>0</v>
      </c>
      <c r="AF59" s="190">
        <v>0</v>
      </c>
      <c r="AG59" s="190">
        <v>0</v>
      </c>
      <c r="AH59" s="190">
        <v>0</v>
      </c>
      <c r="AI59" s="190">
        <v>0</v>
      </c>
      <c r="AJ59" s="190">
        <v>0</v>
      </c>
      <c r="AK59" s="190">
        <v>0</v>
      </c>
      <c r="AL59" s="190">
        <v>0</v>
      </c>
      <c r="AM59" s="190">
        <v>0</v>
      </c>
      <c r="AN59" s="190">
        <v>0</v>
      </c>
      <c r="AO59" s="190"/>
      <c r="AP59" s="190"/>
      <c r="AQ59" s="190"/>
      <c r="AR59" s="190"/>
      <c r="AS59" s="190"/>
      <c r="AT59" s="190"/>
      <c r="AU59" s="190"/>
      <c r="AV59" s="190"/>
      <c r="AW59" s="190"/>
      <c r="AX59" s="190"/>
      <c r="AY59" s="190"/>
      <c r="AZ59" s="190"/>
      <c r="BA59" s="190"/>
      <c r="BB59" s="190"/>
      <c r="BC59" s="190"/>
      <c r="BD59" s="190"/>
      <c r="BE59" s="190"/>
      <c r="BF59" s="190"/>
      <c r="BG59" s="190"/>
      <c r="BH59" s="190"/>
      <c r="BI59" s="190"/>
      <c r="BJ59" s="190"/>
      <c r="BK59" s="190"/>
      <c r="BL59" s="190"/>
      <c r="BM59" s="190"/>
      <c r="BN59" s="190"/>
      <c r="BO59" s="190"/>
      <c r="BP59" s="190"/>
      <c r="BQ59" s="190"/>
      <c r="BR59" s="190"/>
      <c r="BS59" s="190"/>
      <c r="BT59" s="190"/>
      <c r="BU59" s="190"/>
      <c r="BV59" s="190"/>
      <c r="BW59" s="190"/>
      <c r="BX59" s="190"/>
      <c r="BY59" s="190"/>
      <c r="BZ59" s="190"/>
      <c r="CA59" s="190"/>
      <c r="CB59" s="190"/>
      <c r="CC59" s="190"/>
      <c r="CD59" s="190"/>
      <c r="CE59" s="190"/>
      <c r="CF59" s="190"/>
      <c r="CG59" s="190"/>
      <c r="CH59" s="190"/>
      <c r="CI59" s="190"/>
      <c r="CJ59" s="190"/>
      <c r="CK59" s="190"/>
      <c r="CL59" s="190"/>
    </row>
    <row r="60" spans="1:90" s="193" customFormat="1" x14ac:dyDescent="0.25">
      <c r="A60" s="193" t="s">
        <v>42</v>
      </c>
      <c r="B60" s="190">
        <v>255885609.58000001</v>
      </c>
      <c r="C60" s="190">
        <v>246430417.72</v>
      </c>
      <c r="D60" s="190">
        <v>248964102.97</v>
      </c>
      <c r="E60" s="190">
        <v>248964102.97</v>
      </c>
      <c r="F60" s="190">
        <v>248364401.47</v>
      </c>
      <c r="G60" s="190">
        <v>248364401.47</v>
      </c>
      <c r="H60" s="190">
        <v>248364401.47</v>
      </c>
      <c r="I60" s="190">
        <v>248364401.47</v>
      </c>
      <c r="J60" s="190">
        <v>248364401.47</v>
      </c>
      <c r="K60" s="190">
        <v>248364401.47</v>
      </c>
      <c r="L60" s="190">
        <v>117872774.01000001</v>
      </c>
      <c r="M60" s="190">
        <v>117860200.59</v>
      </c>
      <c r="N60" s="190">
        <v>117860200.59</v>
      </c>
      <c r="O60" s="190">
        <v>117860200.59</v>
      </c>
      <c r="P60" s="190">
        <v>117860200.59</v>
      </c>
      <c r="Q60" s="190">
        <v>117860200.59</v>
      </c>
      <c r="R60" s="190">
        <v>117860200.59</v>
      </c>
      <c r="S60" s="190">
        <v>117860200.59</v>
      </c>
      <c r="T60" s="190">
        <v>117860200.59</v>
      </c>
      <c r="U60" s="190">
        <v>117860200.59</v>
      </c>
      <c r="V60" s="190">
        <v>123118922.78</v>
      </c>
      <c r="W60" s="190">
        <v>143420026.66999999</v>
      </c>
      <c r="X60" s="190">
        <v>143420026.66999999</v>
      </c>
      <c r="Y60" s="190">
        <v>131016265.7</v>
      </c>
      <c r="Z60" s="190">
        <v>131016265.7</v>
      </c>
      <c r="AA60" s="190">
        <v>131016265.7</v>
      </c>
      <c r="AB60" s="190">
        <v>69693394.069999993</v>
      </c>
      <c r="AC60" s="190">
        <v>69693394.069999993</v>
      </c>
      <c r="AD60" s="190">
        <v>69693394.069999993</v>
      </c>
      <c r="AE60" s="190">
        <v>69693394.069999993</v>
      </c>
      <c r="AF60" s="190">
        <v>70563394.069999993</v>
      </c>
      <c r="AG60" s="190">
        <v>67349.64</v>
      </c>
      <c r="AH60" s="190">
        <v>67349.64</v>
      </c>
      <c r="AI60" s="190">
        <v>67349.64</v>
      </c>
      <c r="AJ60" s="190">
        <v>67349.64</v>
      </c>
      <c r="AK60" s="190">
        <v>0</v>
      </c>
      <c r="AL60" s="190">
        <v>0</v>
      </c>
      <c r="AM60" s="190">
        <v>2250467.4300000002</v>
      </c>
      <c r="AN60" s="190">
        <v>0</v>
      </c>
      <c r="AO60" s="190"/>
      <c r="AP60" s="190"/>
      <c r="AQ60" s="190"/>
      <c r="AR60" s="190"/>
      <c r="AS60" s="190"/>
      <c r="AT60" s="190"/>
      <c r="AU60" s="190"/>
      <c r="AV60" s="190"/>
      <c r="AW60" s="190"/>
      <c r="AX60" s="190"/>
      <c r="AY60" s="190"/>
      <c r="AZ60" s="190"/>
      <c r="BA60" s="190"/>
      <c r="BB60" s="190"/>
      <c r="BC60" s="190"/>
      <c r="BD60" s="190"/>
      <c r="BE60" s="190"/>
      <c r="BF60" s="190"/>
      <c r="BG60" s="190"/>
      <c r="BH60" s="190"/>
      <c r="BI60" s="190"/>
      <c r="BJ60" s="190"/>
      <c r="BK60" s="190"/>
      <c r="BL60" s="190"/>
      <c r="BM60" s="190"/>
      <c r="BN60" s="190"/>
      <c r="BO60" s="190"/>
      <c r="BP60" s="190"/>
      <c r="BQ60" s="190"/>
      <c r="BR60" s="190"/>
      <c r="BS60" s="190"/>
      <c r="BT60" s="190"/>
      <c r="BU60" s="190"/>
      <c r="BV60" s="190"/>
      <c r="BW60" s="190"/>
      <c r="BX60" s="190"/>
      <c r="BY60" s="190"/>
      <c r="BZ60" s="190"/>
      <c r="CA60" s="190"/>
      <c r="CB60" s="190"/>
      <c r="CC60" s="190"/>
      <c r="CD60" s="190"/>
      <c r="CE60" s="190"/>
      <c r="CF60" s="190"/>
      <c r="CG60" s="190"/>
      <c r="CH60" s="190"/>
      <c r="CI60" s="190"/>
      <c r="CJ60" s="190"/>
      <c r="CK60" s="190"/>
      <c r="CL60" s="190"/>
    </row>
    <row r="61" spans="1:90" s="193" customFormat="1" x14ac:dyDescent="0.25">
      <c r="A61" s="193" t="s">
        <v>43</v>
      </c>
      <c r="B61" s="190">
        <v>0</v>
      </c>
      <c r="C61" s="190">
        <v>0</v>
      </c>
      <c r="D61" s="190">
        <v>0</v>
      </c>
      <c r="E61" s="190">
        <v>0</v>
      </c>
      <c r="F61" s="190">
        <v>0</v>
      </c>
      <c r="G61" s="190">
        <v>0</v>
      </c>
      <c r="H61" s="190">
        <v>0</v>
      </c>
      <c r="I61" s="190">
        <v>0</v>
      </c>
      <c r="J61" s="190">
        <v>0</v>
      </c>
      <c r="K61" s="190">
        <v>0</v>
      </c>
      <c r="L61" s="190">
        <v>0</v>
      </c>
      <c r="M61" s="190">
        <v>0</v>
      </c>
      <c r="N61" s="190">
        <v>0</v>
      </c>
      <c r="O61" s="190">
        <v>0</v>
      </c>
      <c r="P61" s="190">
        <v>0</v>
      </c>
      <c r="Q61" s="190">
        <v>0</v>
      </c>
      <c r="R61" s="190">
        <v>0</v>
      </c>
      <c r="S61" s="190">
        <v>0</v>
      </c>
      <c r="T61" s="190">
        <v>311044.7</v>
      </c>
      <c r="U61" s="190">
        <v>0</v>
      </c>
      <c r="V61" s="190">
        <v>275575.23</v>
      </c>
      <c r="W61" s="190">
        <v>413362.23</v>
      </c>
      <c r="X61" s="190">
        <v>551149.23</v>
      </c>
      <c r="Y61" s="190">
        <v>745110.92</v>
      </c>
      <c r="Z61" s="190">
        <v>0</v>
      </c>
      <c r="AA61" s="190">
        <v>0</v>
      </c>
      <c r="AB61" s="190">
        <v>0</v>
      </c>
      <c r="AC61" s="190">
        <v>0</v>
      </c>
      <c r="AD61" s="190">
        <v>0</v>
      </c>
      <c r="AE61" s="190">
        <v>0</v>
      </c>
      <c r="AF61" s="190">
        <v>0</v>
      </c>
      <c r="AG61" s="190">
        <v>0</v>
      </c>
      <c r="AH61" s="190">
        <v>0</v>
      </c>
      <c r="AI61" s="190">
        <v>0</v>
      </c>
      <c r="AJ61" s="190">
        <v>0</v>
      </c>
      <c r="AK61" s="190">
        <v>0</v>
      </c>
      <c r="AL61" s="190">
        <v>0</v>
      </c>
      <c r="AM61" s="190">
        <v>0</v>
      </c>
      <c r="AN61" s="190">
        <v>0</v>
      </c>
      <c r="AO61" s="190"/>
      <c r="AP61" s="190"/>
      <c r="AQ61" s="190"/>
      <c r="AR61" s="190"/>
      <c r="AS61" s="190"/>
      <c r="AT61" s="190"/>
      <c r="AU61" s="190"/>
      <c r="AV61" s="190"/>
      <c r="AW61" s="190"/>
      <c r="AX61" s="190"/>
      <c r="AY61" s="190"/>
      <c r="AZ61" s="190"/>
      <c r="BA61" s="190"/>
      <c r="BB61" s="190"/>
      <c r="BC61" s="190"/>
      <c r="BD61" s="190"/>
      <c r="BE61" s="190"/>
      <c r="BF61" s="190"/>
      <c r="BG61" s="190"/>
      <c r="BH61" s="190"/>
      <c r="BI61" s="190"/>
      <c r="BJ61" s="190"/>
      <c r="BK61" s="190"/>
      <c r="BL61" s="190"/>
      <c r="BM61" s="190"/>
      <c r="BN61" s="190"/>
      <c r="BO61" s="190"/>
      <c r="BP61" s="190"/>
      <c r="BQ61" s="190"/>
      <c r="BR61" s="190"/>
      <c r="BS61" s="190"/>
      <c r="BT61" s="190"/>
      <c r="BU61" s="190"/>
      <c r="BV61" s="190"/>
      <c r="BW61" s="190"/>
      <c r="BX61" s="190"/>
      <c r="BY61" s="190"/>
      <c r="BZ61" s="190"/>
      <c r="CA61" s="190"/>
      <c r="CB61" s="190"/>
      <c r="CC61" s="190"/>
      <c r="CD61" s="190"/>
      <c r="CE61" s="190"/>
      <c r="CF61" s="190"/>
      <c r="CG61" s="190"/>
      <c r="CH61" s="190"/>
      <c r="CI61" s="190"/>
      <c r="CJ61" s="190"/>
      <c r="CK61" s="190"/>
      <c r="CL61" s="190"/>
    </row>
    <row r="62" spans="1:90" s="193" customFormat="1" x14ac:dyDescent="0.25">
      <c r="A62" s="193" t="s">
        <v>44</v>
      </c>
      <c r="B62" s="190">
        <v>530945542.38999999</v>
      </c>
      <c r="C62" s="190">
        <v>530967055.23000002</v>
      </c>
      <c r="D62" s="190">
        <v>479160529.32999998</v>
      </c>
      <c r="E62" s="190">
        <v>479070649.49000001</v>
      </c>
      <c r="F62" s="190">
        <v>444377346.58999997</v>
      </c>
      <c r="G62" s="190">
        <v>434325165.57999998</v>
      </c>
      <c r="H62" s="190">
        <v>375255076.61000001</v>
      </c>
      <c r="I62" s="190">
        <v>375255076.61000001</v>
      </c>
      <c r="J62" s="190">
        <v>326336511.64999998</v>
      </c>
      <c r="K62" s="190">
        <v>326237119.94999999</v>
      </c>
      <c r="L62" s="190">
        <v>261215909.72</v>
      </c>
      <c r="M62" s="190">
        <v>261215909.72</v>
      </c>
      <c r="N62" s="190">
        <v>134739133.13</v>
      </c>
      <c r="O62" s="190">
        <v>134620084.93000001</v>
      </c>
      <c r="P62" s="190">
        <v>96083495.819999993</v>
      </c>
      <c r="Q62" s="190">
        <v>96083495.819999993</v>
      </c>
      <c r="R62" s="190">
        <v>81730330</v>
      </c>
      <c r="S62" s="190">
        <v>81692060.599999994</v>
      </c>
      <c r="T62" s="190">
        <v>63674762.850000001</v>
      </c>
      <c r="U62" s="190">
        <v>63674762.850000001</v>
      </c>
      <c r="V62" s="190">
        <v>74636234.549999997</v>
      </c>
      <c r="W62" s="190">
        <v>74663257.939999998</v>
      </c>
      <c r="X62" s="190">
        <v>36640332.420000002</v>
      </c>
      <c r="Y62" s="190">
        <v>37763183.469999999</v>
      </c>
      <c r="Z62" s="190">
        <v>68631644.450000003</v>
      </c>
      <c r="AA62" s="190">
        <v>68631644.450000003</v>
      </c>
      <c r="AB62" s="190">
        <v>52080657.850000001</v>
      </c>
      <c r="AC62" s="190">
        <v>52080657.850000001</v>
      </c>
      <c r="AD62" s="190">
        <v>60162605.93</v>
      </c>
      <c r="AE62" s="190">
        <v>60162605.93</v>
      </c>
      <c r="AF62" s="190">
        <v>46695410.369999997</v>
      </c>
      <c r="AG62" s="190">
        <v>46230589.229999997</v>
      </c>
      <c r="AH62" s="190">
        <v>30361708.129999999</v>
      </c>
      <c r="AI62" s="190">
        <v>30361708.129999999</v>
      </c>
      <c r="AJ62" s="190">
        <v>20070980.800000001</v>
      </c>
      <c r="AK62" s="190">
        <v>20070980.800000001</v>
      </c>
      <c r="AL62" s="190">
        <v>12850861.26</v>
      </c>
      <c r="AM62" s="190">
        <v>13600712.779999999</v>
      </c>
      <c r="AN62" s="190">
        <v>0</v>
      </c>
      <c r="AO62" s="190"/>
      <c r="AP62" s="190"/>
      <c r="AQ62" s="190"/>
      <c r="AR62" s="190"/>
      <c r="AS62" s="190"/>
      <c r="AT62" s="190"/>
      <c r="AU62" s="190"/>
      <c r="AV62" s="190"/>
      <c r="AW62" s="190"/>
      <c r="AX62" s="190"/>
      <c r="AY62" s="190"/>
      <c r="AZ62" s="190"/>
      <c r="BA62" s="190"/>
      <c r="BB62" s="190"/>
      <c r="BC62" s="190"/>
      <c r="BD62" s="190"/>
      <c r="BE62" s="190"/>
      <c r="BF62" s="190"/>
      <c r="BG62" s="190"/>
      <c r="BH62" s="190"/>
      <c r="BI62" s="190"/>
      <c r="BJ62" s="190"/>
      <c r="BK62" s="190"/>
      <c r="BL62" s="190"/>
      <c r="BM62" s="190"/>
      <c r="BN62" s="190"/>
      <c r="BO62" s="190"/>
      <c r="BP62" s="190"/>
      <c r="BQ62" s="190"/>
      <c r="BR62" s="190"/>
      <c r="BS62" s="190"/>
      <c r="BT62" s="190"/>
      <c r="BU62" s="190"/>
      <c r="BV62" s="190"/>
      <c r="BW62" s="190"/>
      <c r="BX62" s="190"/>
      <c r="BY62" s="190"/>
      <c r="BZ62" s="190"/>
      <c r="CA62" s="190"/>
      <c r="CB62" s="190"/>
      <c r="CC62" s="190"/>
      <c r="CD62" s="190"/>
      <c r="CE62" s="190"/>
      <c r="CF62" s="190"/>
      <c r="CG62" s="190"/>
      <c r="CH62" s="190"/>
      <c r="CI62" s="190"/>
      <c r="CJ62" s="190"/>
      <c r="CK62" s="190"/>
      <c r="CL62" s="190"/>
    </row>
    <row r="63" spans="1:90" s="193" customFormat="1" x14ac:dyDescent="0.25">
      <c r="A63" s="193" t="s">
        <v>45</v>
      </c>
      <c r="B63" s="190">
        <v>0</v>
      </c>
      <c r="C63" s="190">
        <v>0</v>
      </c>
      <c r="D63" s="190">
        <v>0</v>
      </c>
      <c r="E63" s="190">
        <v>0</v>
      </c>
      <c r="F63" s="190">
        <v>0</v>
      </c>
      <c r="G63" s="190">
        <v>0</v>
      </c>
      <c r="H63" s="190">
        <v>0</v>
      </c>
      <c r="I63" s="190">
        <v>0</v>
      </c>
      <c r="J63" s="190">
        <v>0</v>
      </c>
      <c r="K63" s="190">
        <v>0</v>
      </c>
      <c r="L63" s="190">
        <v>0</v>
      </c>
      <c r="M63" s="190">
        <v>0</v>
      </c>
      <c r="N63" s="190">
        <v>0</v>
      </c>
      <c r="O63" s="190">
        <v>0</v>
      </c>
      <c r="P63" s="190">
        <v>0</v>
      </c>
      <c r="Q63" s="190">
        <v>0</v>
      </c>
      <c r="R63" s="190">
        <v>0</v>
      </c>
      <c r="S63" s="190">
        <v>0</v>
      </c>
      <c r="T63" s="190">
        <v>0</v>
      </c>
      <c r="U63" s="190">
        <v>0</v>
      </c>
      <c r="V63" s="190">
        <v>0</v>
      </c>
      <c r="W63" s="190">
        <v>0</v>
      </c>
      <c r="X63" s="190">
        <v>0</v>
      </c>
      <c r="Y63" s="190">
        <v>0</v>
      </c>
      <c r="Z63" s="190">
        <v>0</v>
      </c>
      <c r="AA63" s="190">
        <v>0</v>
      </c>
      <c r="AB63" s="190">
        <v>0</v>
      </c>
      <c r="AC63" s="190">
        <v>0</v>
      </c>
      <c r="AD63" s="190">
        <v>0</v>
      </c>
      <c r="AE63" s="190">
        <v>0</v>
      </c>
      <c r="AF63" s="190">
        <v>0</v>
      </c>
      <c r="AG63" s="190">
        <v>0</v>
      </c>
      <c r="AH63" s="190">
        <v>0</v>
      </c>
      <c r="AI63" s="190">
        <v>0</v>
      </c>
      <c r="AJ63" s="190">
        <v>0</v>
      </c>
      <c r="AK63" s="190">
        <v>0</v>
      </c>
      <c r="AL63" s="190">
        <v>0</v>
      </c>
      <c r="AM63" s="190">
        <v>0</v>
      </c>
      <c r="AN63" s="190">
        <v>0</v>
      </c>
      <c r="AO63" s="190"/>
      <c r="AP63" s="190"/>
      <c r="AQ63" s="190"/>
      <c r="AR63" s="190"/>
      <c r="AS63" s="190"/>
      <c r="AT63" s="190"/>
      <c r="AU63" s="190"/>
      <c r="AV63" s="190"/>
      <c r="AW63" s="190"/>
      <c r="AX63" s="190"/>
      <c r="AY63" s="190"/>
      <c r="AZ63" s="190"/>
      <c r="BA63" s="190"/>
      <c r="BB63" s="190"/>
      <c r="BC63" s="190"/>
      <c r="BD63" s="190"/>
      <c r="BE63" s="190"/>
      <c r="BF63" s="190"/>
      <c r="BG63" s="190"/>
      <c r="BH63" s="190"/>
      <c r="BI63" s="190"/>
      <c r="BJ63" s="190"/>
      <c r="BK63" s="190"/>
      <c r="BL63" s="190"/>
      <c r="BM63" s="190"/>
      <c r="BN63" s="190"/>
      <c r="BO63" s="190"/>
      <c r="BP63" s="190"/>
      <c r="BQ63" s="190"/>
      <c r="BR63" s="190"/>
      <c r="BS63" s="190"/>
      <c r="BT63" s="190"/>
      <c r="BU63" s="190"/>
      <c r="BV63" s="190"/>
      <c r="BW63" s="190"/>
      <c r="BX63" s="190"/>
      <c r="BY63" s="190"/>
      <c r="BZ63" s="190"/>
      <c r="CA63" s="190"/>
      <c r="CB63" s="190"/>
      <c r="CC63" s="190"/>
      <c r="CD63" s="190"/>
      <c r="CE63" s="190"/>
      <c r="CF63" s="190"/>
      <c r="CG63" s="190"/>
      <c r="CH63" s="190"/>
      <c r="CI63" s="190"/>
      <c r="CJ63" s="190"/>
      <c r="CK63" s="190"/>
      <c r="CL63" s="190"/>
    </row>
    <row r="64" spans="1:90" s="193" customFormat="1" x14ac:dyDescent="0.25">
      <c r="A64" s="193" t="s">
        <v>46</v>
      </c>
      <c r="B64" s="190">
        <v>1436455510.6700001</v>
      </c>
      <c r="C64" s="190">
        <v>1446952545.78</v>
      </c>
      <c r="D64" s="190">
        <v>982732565.82000005</v>
      </c>
      <c r="E64" s="190">
        <v>858796668.13</v>
      </c>
      <c r="F64" s="190">
        <v>31607418</v>
      </c>
      <c r="G64" s="190">
        <v>29919422.699999999</v>
      </c>
      <c r="H64" s="190">
        <v>48606165.229999997</v>
      </c>
      <c r="I64" s="190">
        <v>40999684.420000002</v>
      </c>
      <c r="J64" s="190">
        <v>0</v>
      </c>
      <c r="K64" s="190">
        <v>18000000</v>
      </c>
      <c r="L64" s="190">
        <v>18000000</v>
      </c>
      <c r="M64" s="190">
        <v>18000000</v>
      </c>
      <c r="N64" s="190">
        <v>312821179.80000001</v>
      </c>
      <c r="O64" s="190">
        <v>231861158.13999999</v>
      </c>
      <c r="P64" s="190">
        <v>221453440.81</v>
      </c>
      <c r="Q64" s="190">
        <v>254841255.13999999</v>
      </c>
      <c r="R64" s="190">
        <v>231185450.69</v>
      </c>
      <c r="S64" s="190">
        <v>232385803.84999999</v>
      </c>
      <c r="T64" s="190">
        <v>376679989.85000002</v>
      </c>
      <c r="U64" s="190">
        <v>321800737.06999999</v>
      </c>
      <c r="V64" s="190">
        <v>298314196</v>
      </c>
      <c r="W64" s="190">
        <v>297837460</v>
      </c>
      <c r="X64" s="190">
        <v>281332336</v>
      </c>
      <c r="Y64" s="190">
        <v>280932336</v>
      </c>
      <c r="Z64" s="190">
        <v>0</v>
      </c>
      <c r="AA64" s="190">
        <v>0</v>
      </c>
      <c r="AB64" s="190">
        <v>0</v>
      </c>
      <c r="AC64" s="190">
        <v>0</v>
      </c>
      <c r="AD64" s="190">
        <v>0</v>
      </c>
      <c r="AE64" s="190">
        <v>0</v>
      </c>
      <c r="AF64" s="190">
        <v>0</v>
      </c>
      <c r="AG64" s="190">
        <v>0</v>
      </c>
      <c r="AH64" s="190">
        <v>0</v>
      </c>
      <c r="AI64" s="190">
        <v>0</v>
      </c>
      <c r="AJ64" s="190">
        <v>0</v>
      </c>
      <c r="AK64" s="190">
        <v>0</v>
      </c>
      <c r="AL64" s="190">
        <v>0</v>
      </c>
      <c r="AM64" s="190">
        <v>0</v>
      </c>
      <c r="AN64" s="190">
        <v>0</v>
      </c>
      <c r="AO64" s="190"/>
      <c r="AP64" s="190"/>
      <c r="AQ64" s="190"/>
      <c r="AR64" s="190"/>
      <c r="AS64" s="190"/>
      <c r="AT64" s="190"/>
      <c r="AU64" s="190"/>
      <c r="AV64" s="190"/>
      <c r="AW64" s="190"/>
      <c r="AX64" s="190"/>
      <c r="AY64" s="190"/>
      <c r="AZ64" s="190"/>
      <c r="BA64" s="190"/>
      <c r="BB64" s="190"/>
      <c r="BC64" s="190"/>
      <c r="BD64" s="190"/>
      <c r="BE64" s="190"/>
      <c r="BF64" s="190"/>
      <c r="BG64" s="190"/>
      <c r="BH64" s="190"/>
      <c r="BI64" s="190"/>
      <c r="BJ64" s="190"/>
      <c r="BK64" s="190"/>
      <c r="BL64" s="190"/>
      <c r="BM64" s="190"/>
      <c r="BN64" s="190"/>
      <c r="BO64" s="190"/>
      <c r="BP64" s="190"/>
      <c r="BQ64" s="190"/>
      <c r="BR64" s="190"/>
      <c r="BS64" s="190"/>
      <c r="BT64" s="190"/>
      <c r="BU64" s="190"/>
      <c r="BV64" s="190"/>
      <c r="BW64" s="190"/>
      <c r="BX64" s="190"/>
      <c r="BY64" s="190"/>
      <c r="BZ64" s="190"/>
      <c r="CA64" s="190"/>
      <c r="CB64" s="190"/>
      <c r="CC64" s="190"/>
      <c r="CD64" s="190"/>
      <c r="CE64" s="190"/>
      <c r="CF64" s="190"/>
      <c r="CG64" s="190"/>
      <c r="CH64" s="190"/>
      <c r="CI64" s="190"/>
      <c r="CJ64" s="190"/>
      <c r="CK64" s="190"/>
      <c r="CL64" s="190"/>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5" t="s">
        <v>47</v>
      </c>
      <c r="B68" s="36">
        <f>SUM(B52:B64)-2*B63</f>
        <v>8216389003.0900002</v>
      </c>
      <c r="C68" s="36">
        <f t="shared" ref="C68:BN68" si="8">SUM(C52:C64)-2*C63</f>
        <v>7805046898.2700014</v>
      </c>
      <c r="D68" s="36">
        <f t="shared" si="8"/>
        <v>7202676641.1599998</v>
      </c>
      <c r="E68" s="36">
        <f t="shared" si="8"/>
        <v>6476337017.8299999</v>
      </c>
      <c r="F68" s="36">
        <f t="shared" si="8"/>
        <v>5267268734.0800009</v>
      </c>
      <c r="G68" s="36">
        <f t="shared" si="8"/>
        <v>4835156760.1300001</v>
      </c>
      <c r="H68" s="36">
        <f t="shared" si="8"/>
        <v>4436459579.3999996</v>
      </c>
      <c r="I68" s="36">
        <f t="shared" si="8"/>
        <v>4245101766.6200004</v>
      </c>
      <c r="J68" s="36">
        <f t="shared" si="8"/>
        <v>4148430887.4099998</v>
      </c>
      <c r="K68" s="36">
        <f t="shared" si="8"/>
        <v>3957059480.7099996</v>
      </c>
      <c r="L68" s="36">
        <f t="shared" si="8"/>
        <v>3658199231.8400002</v>
      </c>
      <c r="M68" s="36">
        <f t="shared" si="8"/>
        <v>3472148631.96</v>
      </c>
      <c r="N68" s="36">
        <f t="shared" si="8"/>
        <v>2988064703.3200006</v>
      </c>
      <c r="O68" s="36">
        <f t="shared" si="8"/>
        <v>2617770300.1699996</v>
      </c>
      <c r="P68" s="36">
        <f t="shared" si="8"/>
        <v>2252600546.0900002</v>
      </c>
      <c r="Q68" s="36">
        <f t="shared" si="8"/>
        <v>2094707165.0299997</v>
      </c>
      <c r="R68" s="36">
        <f t="shared" si="8"/>
        <v>1992440424.29</v>
      </c>
      <c r="S68" s="36">
        <f t="shared" si="8"/>
        <v>1905310748.1499996</v>
      </c>
      <c r="T68" s="36">
        <f t="shared" si="8"/>
        <v>1720338029.4200001</v>
      </c>
      <c r="U68" s="36">
        <f t="shared" si="8"/>
        <v>1586797911.3999999</v>
      </c>
      <c r="V68" s="36">
        <f t="shared" si="8"/>
        <v>1491953277.23</v>
      </c>
      <c r="W68" s="36">
        <f t="shared" si="8"/>
        <v>1439544830.0899999</v>
      </c>
      <c r="X68" s="36">
        <f t="shared" si="8"/>
        <v>1343405802.3199999</v>
      </c>
      <c r="Y68" s="36">
        <f t="shared" si="8"/>
        <v>1304623299.8600001</v>
      </c>
      <c r="Z68" s="36">
        <f t="shared" si="8"/>
        <v>994456489.31000006</v>
      </c>
      <c r="AA68" s="36">
        <f t="shared" si="8"/>
        <v>978076979.64999998</v>
      </c>
      <c r="AB68" s="36">
        <f t="shared" si="8"/>
        <v>832030452.88999999</v>
      </c>
      <c r="AC68" s="36">
        <f t="shared" si="8"/>
        <v>806541574.94999993</v>
      </c>
      <c r="AD68" s="36">
        <f t="shared" si="8"/>
        <v>728961617.67999995</v>
      </c>
      <c r="AE68" s="36">
        <f t="shared" si="8"/>
        <v>693962475.32000005</v>
      </c>
      <c r="AF68" s="36">
        <f t="shared" si="8"/>
        <v>654677365.41999996</v>
      </c>
      <c r="AG68" s="36">
        <f t="shared" si="8"/>
        <v>549906528.19999993</v>
      </c>
      <c r="AH68" s="36">
        <f t="shared" si="8"/>
        <v>469838669.94999993</v>
      </c>
      <c r="AI68" s="36">
        <f t="shared" si="8"/>
        <v>395169894.42999995</v>
      </c>
      <c r="AJ68" s="36">
        <f t="shared" si="8"/>
        <v>337787854.40000004</v>
      </c>
      <c r="AK68" s="36">
        <f t="shared" si="8"/>
        <v>312827826.16000003</v>
      </c>
      <c r="AL68" s="36">
        <f t="shared" si="8"/>
        <v>91226187.930000007</v>
      </c>
      <c r="AM68" s="36">
        <f t="shared" si="8"/>
        <v>57568246.020000003</v>
      </c>
      <c r="AN68" s="36">
        <f t="shared" si="8"/>
        <v>0</v>
      </c>
      <c r="AO68" s="36">
        <f t="shared" si="8"/>
        <v>0</v>
      </c>
      <c r="AP68" s="36">
        <f t="shared" si="8"/>
        <v>0</v>
      </c>
      <c r="AQ68" s="36">
        <f t="shared" si="8"/>
        <v>0</v>
      </c>
      <c r="AR68" s="36">
        <f t="shared" si="8"/>
        <v>0</v>
      </c>
      <c r="AS68" s="36">
        <f t="shared" si="8"/>
        <v>0</v>
      </c>
      <c r="AT68" s="36">
        <f t="shared" si="8"/>
        <v>0</v>
      </c>
      <c r="AU68" s="36">
        <f t="shared" si="8"/>
        <v>0</v>
      </c>
      <c r="AV68" s="36">
        <f t="shared" si="8"/>
        <v>0</v>
      </c>
      <c r="AW68" s="36">
        <f t="shared" si="8"/>
        <v>0</v>
      </c>
      <c r="AX68" s="36">
        <f t="shared" si="8"/>
        <v>0</v>
      </c>
      <c r="AY68" s="36">
        <f t="shared" si="8"/>
        <v>0</v>
      </c>
      <c r="AZ68" s="36">
        <f t="shared" si="8"/>
        <v>0</v>
      </c>
      <c r="BA68" s="36">
        <f t="shared" si="8"/>
        <v>0</v>
      </c>
      <c r="BB68" s="36">
        <f t="shared" si="8"/>
        <v>0</v>
      </c>
      <c r="BC68" s="36">
        <f t="shared" si="8"/>
        <v>0</v>
      </c>
      <c r="BD68" s="36">
        <f t="shared" si="8"/>
        <v>0</v>
      </c>
      <c r="BE68" s="36">
        <f t="shared" si="8"/>
        <v>0</v>
      </c>
      <c r="BF68" s="36">
        <f t="shared" si="8"/>
        <v>0</v>
      </c>
      <c r="BG68" s="36">
        <f t="shared" si="8"/>
        <v>0</v>
      </c>
      <c r="BH68" s="36">
        <f t="shared" si="8"/>
        <v>0</v>
      </c>
      <c r="BI68" s="36">
        <f t="shared" si="8"/>
        <v>0</v>
      </c>
      <c r="BJ68" s="36">
        <f t="shared" si="8"/>
        <v>0</v>
      </c>
      <c r="BK68" s="36">
        <f t="shared" si="8"/>
        <v>0</v>
      </c>
      <c r="BL68" s="36">
        <f t="shared" si="8"/>
        <v>0</v>
      </c>
      <c r="BM68" s="36">
        <f t="shared" si="8"/>
        <v>0</v>
      </c>
      <c r="BN68" s="36">
        <f t="shared" si="8"/>
        <v>0</v>
      </c>
      <c r="BO68" s="36">
        <f t="shared" ref="BO68:CK68" si="9">SUM(BO52:BO64)-2*BO63</f>
        <v>0</v>
      </c>
      <c r="BP68" s="36">
        <f t="shared" si="9"/>
        <v>0</v>
      </c>
      <c r="BQ68" s="36">
        <f t="shared" si="9"/>
        <v>0</v>
      </c>
      <c r="BR68" s="36">
        <f t="shared" si="9"/>
        <v>0</v>
      </c>
      <c r="BS68" s="36">
        <f t="shared" si="9"/>
        <v>0</v>
      </c>
      <c r="BT68" s="36">
        <f t="shared" si="9"/>
        <v>0</v>
      </c>
      <c r="BU68" s="36">
        <f t="shared" si="9"/>
        <v>0</v>
      </c>
      <c r="BV68" s="36">
        <f t="shared" si="9"/>
        <v>0</v>
      </c>
      <c r="BW68" s="36">
        <f t="shared" si="9"/>
        <v>0</v>
      </c>
      <c r="BX68" s="36">
        <f t="shared" si="9"/>
        <v>0</v>
      </c>
      <c r="BY68" s="36">
        <f t="shared" si="9"/>
        <v>0</v>
      </c>
      <c r="BZ68" s="36">
        <f t="shared" si="9"/>
        <v>0</v>
      </c>
      <c r="CA68" s="36">
        <f t="shared" si="9"/>
        <v>0</v>
      </c>
      <c r="CB68" s="36">
        <f t="shared" si="9"/>
        <v>0</v>
      </c>
      <c r="CC68" s="36">
        <f t="shared" si="9"/>
        <v>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26" t="s">
        <v>48</v>
      </c>
      <c r="B69" s="33">
        <f>B50+B68</f>
        <v>31456517466.880001</v>
      </c>
      <c r="C69" s="33">
        <f t="shared" ref="C69:BN69" si="10">C50+C68</f>
        <v>23711237696.570004</v>
      </c>
      <c r="D69" s="33">
        <f t="shared" si="10"/>
        <v>27140669353.889996</v>
      </c>
      <c r="E69" s="33">
        <f t="shared" si="10"/>
        <v>19144400110.860004</v>
      </c>
      <c r="F69" s="33">
        <f t="shared" si="10"/>
        <v>19566779323.77</v>
      </c>
      <c r="G69" s="33">
        <f t="shared" si="10"/>
        <v>17904140529.900005</v>
      </c>
      <c r="H69" s="33">
        <f t="shared" si="10"/>
        <v>16918060800.209997</v>
      </c>
      <c r="I69" s="33">
        <f t="shared" si="10"/>
        <v>15380415018.280003</v>
      </c>
      <c r="J69" s="33">
        <f t="shared" si="10"/>
        <v>13705735234.190002</v>
      </c>
      <c r="K69" s="33">
        <f t="shared" si="10"/>
        <v>13039365127.259996</v>
      </c>
      <c r="L69" s="33">
        <f t="shared" si="10"/>
        <v>15512388537.34</v>
      </c>
      <c r="M69" s="33">
        <f t="shared" si="10"/>
        <v>11384454752.860001</v>
      </c>
      <c r="N69" s="33">
        <f t="shared" si="10"/>
        <v>12446478149.899998</v>
      </c>
      <c r="O69" s="33">
        <f t="shared" si="10"/>
        <v>12003934384.16</v>
      </c>
      <c r="P69" s="33">
        <f t="shared" si="10"/>
        <v>10899749404.810001</v>
      </c>
      <c r="Q69" s="33">
        <f t="shared" si="10"/>
        <v>8327001788.21</v>
      </c>
      <c r="R69" s="33">
        <f t="shared" si="10"/>
        <v>10363101722.669998</v>
      </c>
      <c r="S69" s="33">
        <f t="shared" si="10"/>
        <v>9577004364.9399986</v>
      </c>
      <c r="T69" s="33">
        <f t="shared" si="10"/>
        <v>8811535167.3299999</v>
      </c>
      <c r="U69" s="33">
        <f t="shared" si="10"/>
        <v>6840909802.3600006</v>
      </c>
      <c r="V69" s="33">
        <f t="shared" si="10"/>
        <v>4797208335.1400013</v>
      </c>
      <c r="W69" s="33">
        <f t="shared" si="10"/>
        <v>4235982216.1099987</v>
      </c>
      <c r="X69" s="33">
        <f t="shared" si="10"/>
        <v>4052508316.3000002</v>
      </c>
      <c r="Y69" s="33">
        <f t="shared" si="10"/>
        <v>2858196654.5800004</v>
      </c>
      <c r="Z69" s="33">
        <f t="shared" si="10"/>
        <v>3107660460.6300001</v>
      </c>
      <c r="AA69" s="33">
        <f t="shared" si="10"/>
        <v>2644092730.8200002</v>
      </c>
      <c r="AB69" s="33">
        <f t="shared" si="10"/>
        <v>2484246059.2199998</v>
      </c>
      <c r="AC69" s="33">
        <f t="shared" si="10"/>
        <v>1563579988.9099998</v>
      </c>
      <c r="AD69" s="33">
        <f t="shared" si="10"/>
        <v>2117670539.8299994</v>
      </c>
      <c r="AE69" s="33">
        <f t="shared" si="10"/>
        <v>1729640087.1100001</v>
      </c>
      <c r="AF69" s="33">
        <f t="shared" si="10"/>
        <v>1569714430.1300001</v>
      </c>
      <c r="AG69" s="33">
        <f t="shared" si="10"/>
        <v>1019081798.3899999</v>
      </c>
      <c r="AH69" s="33">
        <f t="shared" si="10"/>
        <v>1460343915.6799998</v>
      </c>
      <c r="AI69" s="33">
        <f t="shared" si="10"/>
        <v>1097638830.9000001</v>
      </c>
      <c r="AJ69" s="33">
        <f t="shared" si="10"/>
        <v>998290773.70000005</v>
      </c>
      <c r="AK69" s="33">
        <f t="shared" si="10"/>
        <v>406162476.89000005</v>
      </c>
      <c r="AL69" s="33">
        <f t="shared" si="10"/>
        <v>117320140.31999999</v>
      </c>
      <c r="AM69" s="33">
        <f t="shared" si="10"/>
        <v>174290505.67000002</v>
      </c>
      <c r="AN69" s="33">
        <f t="shared" si="10"/>
        <v>0</v>
      </c>
      <c r="AO69" s="33">
        <f t="shared" si="10"/>
        <v>0</v>
      </c>
      <c r="AP69" s="33">
        <f t="shared" si="10"/>
        <v>0</v>
      </c>
      <c r="AQ69" s="33">
        <f t="shared" si="10"/>
        <v>0</v>
      </c>
      <c r="AR69" s="33">
        <f t="shared" si="10"/>
        <v>0</v>
      </c>
      <c r="AS69" s="33">
        <f t="shared" si="10"/>
        <v>0</v>
      </c>
      <c r="AT69" s="33">
        <f t="shared" si="10"/>
        <v>0</v>
      </c>
      <c r="AU69" s="33">
        <f t="shared" si="10"/>
        <v>0</v>
      </c>
      <c r="AV69" s="33">
        <f t="shared" si="10"/>
        <v>0</v>
      </c>
      <c r="AW69" s="33">
        <f t="shared" si="10"/>
        <v>0</v>
      </c>
      <c r="AX69" s="33">
        <f t="shared" si="10"/>
        <v>0</v>
      </c>
      <c r="AY69" s="33">
        <f t="shared" si="10"/>
        <v>0</v>
      </c>
      <c r="AZ69" s="33">
        <f t="shared" si="10"/>
        <v>0</v>
      </c>
      <c r="BA69" s="33">
        <f t="shared" si="10"/>
        <v>0</v>
      </c>
      <c r="BB69" s="33">
        <f t="shared" si="10"/>
        <v>0</v>
      </c>
      <c r="BC69" s="33">
        <f t="shared" si="10"/>
        <v>0</v>
      </c>
      <c r="BD69" s="33">
        <f t="shared" si="10"/>
        <v>0</v>
      </c>
      <c r="BE69" s="33">
        <f t="shared" si="10"/>
        <v>0</v>
      </c>
      <c r="BF69" s="33">
        <f t="shared" si="10"/>
        <v>0</v>
      </c>
      <c r="BG69" s="33">
        <f t="shared" si="10"/>
        <v>0</v>
      </c>
      <c r="BH69" s="33">
        <f t="shared" si="10"/>
        <v>0</v>
      </c>
      <c r="BI69" s="33">
        <f t="shared" si="10"/>
        <v>0</v>
      </c>
      <c r="BJ69" s="33">
        <f t="shared" si="10"/>
        <v>0</v>
      </c>
      <c r="BK69" s="33">
        <f t="shared" si="10"/>
        <v>0</v>
      </c>
      <c r="BL69" s="33">
        <f t="shared" si="10"/>
        <v>0</v>
      </c>
      <c r="BM69" s="33">
        <f t="shared" si="10"/>
        <v>0</v>
      </c>
      <c r="BN69" s="33">
        <f t="shared" si="10"/>
        <v>0</v>
      </c>
      <c r="BO69" s="33">
        <f t="shared" ref="BO69:CL69" si="11">BO50+BO68</f>
        <v>0</v>
      </c>
      <c r="BP69" s="33">
        <f t="shared" si="11"/>
        <v>0</v>
      </c>
      <c r="BQ69" s="33">
        <f t="shared" si="11"/>
        <v>0</v>
      </c>
      <c r="BR69" s="33">
        <f t="shared" si="11"/>
        <v>0</v>
      </c>
      <c r="BS69" s="33">
        <f t="shared" si="11"/>
        <v>0</v>
      </c>
      <c r="BT69" s="33">
        <f t="shared" si="11"/>
        <v>0</v>
      </c>
      <c r="BU69" s="33">
        <f t="shared" si="11"/>
        <v>0</v>
      </c>
      <c r="BV69" s="33">
        <f t="shared" si="11"/>
        <v>0</v>
      </c>
      <c r="BW69" s="33">
        <f t="shared" si="11"/>
        <v>0</v>
      </c>
      <c r="BX69" s="33">
        <f t="shared" si="11"/>
        <v>0</v>
      </c>
      <c r="BY69" s="33">
        <f t="shared" si="11"/>
        <v>0</v>
      </c>
      <c r="BZ69" s="33">
        <f t="shared" si="11"/>
        <v>0</v>
      </c>
      <c r="CA69" s="33">
        <f t="shared" si="11"/>
        <v>0</v>
      </c>
      <c r="CB69" s="33">
        <f t="shared" si="11"/>
        <v>0</v>
      </c>
      <c r="CC69" s="33">
        <f t="shared" si="11"/>
        <v>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27" t="s">
        <v>49</v>
      </c>
      <c r="B70" s="37">
        <f>B17+B19+B69</f>
        <v>50208766989.379997</v>
      </c>
      <c r="C70" s="37">
        <f t="shared" ref="C70:BN70" si="12">C17+C19+C69</f>
        <v>37930831766.810005</v>
      </c>
      <c r="D70" s="37">
        <f t="shared" si="12"/>
        <v>38986464884.409996</v>
      </c>
      <c r="E70" s="37">
        <f t="shared" si="12"/>
        <v>36034873017.620003</v>
      </c>
      <c r="F70" s="37">
        <f t="shared" si="12"/>
        <v>33159067805.639999</v>
      </c>
      <c r="G70" s="37">
        <f t="shared" si="12"/>
        <v>31499749380.510006</v>
      </c>
      <c r="H70" s="37">
        <f t="shared" si="12"/>
        <v>33502837129.93</v>
      </c>
      <c r="I70" s="37">
        <f t="shared" si="12"/>
        <v>29349791722.800003</v>
      </c>
      <c r="J70" s="37">
        <f t="shared" si="12"/>
        <v>26139535378.93</v>
      </c>
      <c r="K70" s="37">
        <f t="shared" si="12"/>
        <v>23313241435.349998</v>
      </c>
      <c r="L70" s="37">
        <f t="shared" si="12"/>
        <v>24937421251.739998</v>
      </c>
      <c r="M70" s="37">
        <f t="shared" si="12"/>
        <v>21553149133.57</v>
      </c>
      <c r="N70" s="37">
        <f t="shared" si="12"/>
        <v>19348530609.649998</v>
      </c>
      <c r="O70" s="37">
        <f t="shared" si="12"/>
        <v>18334118403.900002</v>
      </c>
      <c r="P70" s="37">
        <f t="shared" si="12"/>
        <v>17136865721.080002</v>
      </c>
      <c r="Q70" s="37">
        <f t="shared" si="12"/>
        <v>15530297980.139999</v>
      </c>
      <c r="R70" s="37">
        <f t="shared" si="12"/>
        <v>13866340129.929998</v>
      </c>
      <c r="S70" s="37">
        <f t="shared" si="12"/>
        <v>13671437969.689999</v>
      </c>
      <c r="T70" s="37">
        <f t="shared" si="12"/>
        <v>12575613347.049999</v>
      </c>
      <c r="U70" s="37">
        <f t="shared" si="12"/>
        <v>11434524202.260002</v>
      </c>
      <c r="V70" s="37">
        <f t="shared" si="12"/>
        <v>10012346475.620001</v>
      </c>
      <c r="W70" s="37">
        <f t="shared" si="12"/>
        <v>9763822698.1699982</v>
      </c>
      <c r="X70" s="37">
        <f t="shared" si="12"/>
        <v>9231699415.7299995</v>
      </c>
      <c r="Y70" s="37">
        <f t="shared" si="12"/>
        <v>8694418850.7199993</v>
      </c>
      <c r="Z70" s="37">
        <f t="shared" si="12"/>
        <v>7752388390.8999996</v>
      </c>
      <c r="AA70" s="37">
        <f t="shared" si="12"/>
        <v>7238091025.4400005</v>
      </c>
      <c r="AB70" s="37">
        <f t="shared" si="12"/>
        <v>7184997976.1100006</v>
      </c>
      <c r="AC70" s="37">
        <f t="shared" si="12"/>
        <v>6808674248.3000002</v>
      </c>
      <c r="AD70" s="37">
        <f t="shared" si="12"/>
        <v>6246321054.8999996</v>
      </c>
      <c r="AE70" s="37">
        <f t="shared" si="12"/>
        <v>5921332074.0799999</v>
      </c>
      <c r="AF70" s="37">
        <f t="shared" si="12"/>
        <v>5950806431.4099998</v>
      </c>
      <c r="AG70" s="37">
        <f t="shared" si="12"/>
        <v>5683047988.1899986</v>
      </c>
      <c r="AH70" s="37">
        <f t="shared" si="12"/>
        <v>5284395427.3499994</v>
      </c>
      <c r="AI70" s="37">
        <f t="shared" si="12"/>
        <v>5251698825.9400005</v>
      </c>
      <c r="AJ70" s="37">
        <f t="shared" si="12"/>
        <v>1771366322.9200001</v>
      </c>
      <c r="AK70" s="37">
        <f t="shared" si="12"/>
        <v>1565389377.6600001</v>
      </c>
      <c r="AL70" s="37">
        <f t="shared" si="12"/>
        <v>977899102.31999993</v>
      </c>
      <c r="AM70" s="37">
        <f t="shared" si="12"/>
        <v>623005502.38</v>
      </c>
      <c r="AN70" s="37">
        <f t="shared" si="12"/>
        <v>0</v>
      </c>
      <c r="AO70" s="37">
        <f t="shared" si="12"/>
        <v>0</v>
      </c>
      <c r="AP70" s="37">
        <f t="shared" si="12"/>
        <v>0</v>
      </c>
      <c r="AQ70" s="37">
        <f t="shared" si="12"/>
        <v>0</v>
      </c>
      <c r="AR70" s="37">
        <f t="shared" si="12"/>
        <v>0</v>
      </c>
      <c r="AS70" s="37">
        <f t="shared" si="12"/>
        <v>0</v>
      </c>
      <c r="AT70" s="37">
        <f t="shared" si="12"/>
        <v>0</v>
      </c>
      <c r="AU70" s="37">
        <f t="shared" si="12"/>
        <v>0</v>
      </c>
      <c r="AV70" s="37">
        <f t="shared" si="12"/>
        <v>0</v>
      </c>
      <c r="AW70" s="37">
        <f t="shared" si="12"/>
        <v>0</v>
      </c>
      <c r="AX70" s="37">
        <f t="shared" si="12"/>
        <v>0</v>
      </c>
      <c r="AY70" s="37">
        <f t="shared" si="12"/>
        <v>0</v>
      </c>
      <c r="AZ70" s="37">
        <f t="shared" si="12"/>
        <v>0</v>
      </c>
      <c r="BA70" s="37">
        <f t="shared" si="12"/>
        <v>0</v>
      </c>
      <c r="BB70" s="37">
        <f t="shared" si="12"/>
        <v>0</v>
      </c>
      <c r="BC70" s="37">
        <f t="shared" si="12"/>
        <v>0</v>
      </c>
      <c r="BD70" s="37">
        <f t="shared" si="12"/>
        <v>0</v>
      </c>
      <c r="BE70" s="37">
        <f t="shared" si="12"/>
        <v>0</v>
      </c>
      <c r="BF70" s="37">
        <f t="shared" si="12"/>
        <v>0</v>
      </c>
      <c r="BG70" s="37">
        <f t="shared" si="12"/>
        <v>0</v>
      </c>
      <c r="BH70" s="37">
        <f t="shared" si="12"/>
        <v>0</v>
      </c>
      <c r="BI70" s="37">
        <f t="shared" si="12"/>
        <v>0</v>
      </c>
      <c r="BJ70" s="37">
        <f t="shared" si="12"/>
        <v>0</v>
      </c>
      <c r="BK70" s="37">
        <f t="shared" si="12"/>
        <v>0</v>
      </c>
      <c r="BL70" s="37">
        <f t="shared" si="12"/>
        <v>0</v>
      </c>
      <c r="BM70" s="37">
        <f t="shared" si="12"/>
        <v>0</v>
      </c>
      <c r="BN70" s="37">
        <f t="shared" si="12"/>
        <v>0</v>
      </c>
      <c r="BO70" s="37">
        <f t="shared" ref="BO70:CL70" si="13">BO17+BO19+BO69</f>
        <v>0</v>
      </c>
      <c r="BP70" s="37">
        <f t="shared" si="13"/>
        <v>0</v>
      </c>
      <c r="BQ70" s="37">
        <f t="shared" si="13"/>
        <v>0</v>
      </c>
      <c r="BR70" s="37">
        <f t="shared" si="13"/>
        <v>0</v>
      </c>
      <c r="BS70" s="37">
        <f t="shared" si="13"/>
        <v>0</v>
      </c>
      <c r="BT70" s="37">
        <f t="shared" si="13"/>
        <v>0</v>
      </c>
      <c r="BU70" s="37">
        <f t="shared" si="13"/>
        <v>0</v>
      </c>
      <c r="BV70" s="37">
        <f t="shared" si="13"/>
        <v>0</v>
      </c>
      <c r="BW70" s="37">
        <f t="shared" si="13"/>
        <v>0</v>
      </c>
      <c r="BX70" s="37">
        <f t="shared" si="13"/>
        <v>0</v>
      </c>
      <c r="BY70" s="37">
        <f t="shared" si="13"/>
        <v>0</v>
      </c>
      <c r="BZ70" s="37">
        <f t="shared" si="13"/>
        <v>0</v>
      </c>
      <c r="CA70" s="37">
        <f t="shared" si="13"/>
        <v>0</v>
      </c>
      <c r="CB70" s="37">
        <f t="shared" si="13"/>
        <v>0</v>
      </c>
      <c r="CC70" s="37">
        <f t="shared" si="13"/>
        <v>0</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1659468763.2600002</v>
      </c>
      <c r="F72" s="28">
        <f t="shared" ref="F72:BQ72" si="14">SUM(F73:F77)</f>
        <v>1402525527.95</v>
      </c>
      <c r="G72" s="28">
        <f t="shared" si="14"/>
        <v>2697707556.2800002</v>
      </c>
      <c r="H72" s="28">
        <f t="shared" si="14"/>
        <v>2649007645.04</v>
      </c>
      <c r="I72" s="28">
        <f t="shared" si="14"/>
        <v>117421640.84999999</v>
      </c>
      <c r="J72" s="28">
        <f t="shared" si="14"/>
        <v>460892586.11000001</v>
      </c>
      <c r="K72" s="28">
        <f t="shared" si="14"/>
        <v>448533744</v>
      </c>
      <c r="L72" s="28">
        <f t="shared" si="14"/>
        <v>1278777959.1300001</v>
      </c>
      <c r="M72" s="28">
        <f t="shared" si="14"/>
        <v>1486981962.8000002</v>
      </c>
      <c r="N72" s="28">
        <f t="shared" si="14"/>
        <v>946978327.06999993</v>
      </c>
      <c r="O72" s="28">
        <f t="shared" si="14"/>
        <v>1582860710.71</v>
      </c>
      <c r="P72" s="28">
        <f t="shared" si="14"/>
        <v>538205068.76999998</v>
      </c>
      <c r="Q72" s="28">
        <f t="shared" si="14"/>
        <v>362317989.11000001</v>
      </c>
      <c r="R72" s="28">
        <f t="shared" si="14"/>
        <v>865131119.61000001</v>
      </c>
      <c r="S72" s="28">
        <f t="shared" si="14"/>
        <v>870657998.23000002</v>
      </c>
      <c r="T72" s="28">
        <f t="shared" si="14"/>
        <v>626836298.55999994</v>
      </c>
      <c r="U72" s="28">
        <f t="shared" si="14"/>
        <v>183799798.19999999</v>
      </c>
      <c r="V72" s="28">
        <f t="shared" si="14"/>
        <v>113295063.58</v>
      </c>
      <c r="W72" s="28">
        <f t="shared" si="14"/>
        <v>41751164.670000002</v>
      </c>
      <c r="X72" s="28">
        <f t="shared" si="14"/>
        <v>86004909.25</v>
      </c>
      <c r="Y72" s="28">
        <f t="shared" si="14"/>
        <v>0</v>
      </c>
      <c r="Z72" s="28">
        <f t="shared" si="14"/>
        <v>0</v>
      </c>
      <c r="AA72" s="28">
        <f t="shared" si="14"/>
        <v>0</v>
      </c>
      <c r="AB72" s="28">
        <f t="shared" si="14"/>
        <v>0</v>
      </c>
      <c r="AC72" s="28">
        <f t="shared" si="14"/>
        <v>0</v>
      </c>
      <c r="AD72" s="28">
        <f t="shared" si="14"/>
        <v>29028697.93</v>
      </c>
      <c r="AE72" s="28">
        <f t="shared" si="14"/>
        <v>29580168.390000001</v>
      </c>
      <c r="AF72" s="28">
        <f t="shared" si="14"/>
        <v>29646364.120000001</v>
      </c>
      <c r="AG72" s="28">
        <f t="shared" si="14"/>
        <v>29041325</v>
      </c>
      <c r="AH72" s="28">
        <f t="shared" si="14"/>
        <v>0</v>
      </c>
      <c r="AI72" s="28">
        <f t="shared" si="14"/>
        <v>0</v>
      </c>
      <c r="AJ72" s="28">
        <f t="shared" si="14"/>
        <v>27374000</v>
      </c>
      <c r="AK72" s="28">
        <f t="shared" si="14"/>
        <v>27415325</v>
      </c>
      <c r="AL72" s="28">
        <f t="shared" si="14"/>
        <v>0</v>
      </c>
      <c r="AM72" s="28">
        <f t="shared" si="14"/>
        <v>45038325</v>
      </c>
      <c r="AN72" s="28">
        <f t="shared" si="14"/>
        <v>0</v>
      </c>
      <c r="AO72" s="28">
        <f t="shared" si="14"/>
        <v>0</v>
      </c>
      <c r="AP72" s="28">
        <f t="shared" si="14"/>
        <v>0</v>
      </c>
      <c r="AQ72" s="28">
        <f t="shared" si="14"/>
        <v>0</v>
      </c>
      <c r="AR72" s="28">
        <f t="shared" si="14"/>
        <v>0</v>
      </c>
      <c r="AS72" s="28">
        <f t="shared" si="14"/>
        <v>0</v>
      </c>
      <c r="AT72" s="28">
        <f t="shared" si="14"/>
        <v>0</v>
      </c>
      <c r="AU72" s="28">
        <f t="shared" si="14"/>
        <v>0</v>
      </c>
      <c r="AV72" s="28">
        <f t="shared" si="14"/>
        <v>0</v>
      </c>
      <c r="AW72" s="28">
        <f t="shared" si="14"/>
        <v>0</v>
      </c>
      <c r="AX72" s="28">
        <f t="shared" si="14"/>
        <v>0</v>
      </c>
      <c r="AY72" s="28">
        <f t="shared" si="14"/>
        <v>0</v>
      </c>
      <c r="AZ72" s="28">
        <f t="shared" si="14"/>
        <v>0</v>
      </c>
      <c r="BA72" s="28">
        <f t="shared" si="14"/>
        <v>0</v>
      </c>
      <c r="BB72" s="28">
        <f t="shared" si="14"/>
        <v>0</v>
      </c>
      <c r="BC72" s="28">
        <f t="shared" si="14"/>
        <v>0</v>
      </c>
      <c r="BD72" s="28">
        <f t="shared" si="14"/>
        <v>0</v>
      </c>
      <c r="BE72" s="28">
        <f t="shared" si="14"/>
        <v>0</v>
      </c>
      <c r="BF72" s="28">
        <f t="shared" si="14"/>
        <v>0</v>
      </c>
      <c r="BG72" s="28">
        <f t="shared" si="14"/>
        <v>0</v>
      </c>
      <c r="BH72" s="28">
        <f t="shared" si="14"/>
        <v>0</v>
      </c>
      <c r="BI72" s="28">
        <f t="shared" si="14"/>
        <v>0</v>
      </c>
      <c r="BJ72" s="28">
        <f t="shared" si="14"/>
        <v>0</v>
      </c>
      <c r="BK72" s="28">
        <f t="shared" si="14"/>
        <v>0</v>
      </c>
      <c r="BL72" s="28">
        <f t="shared" si="14"/>
        <v>0</v>
      </c>
      <c r="BM72" s="28">
        <f t="shared" si="14"/>
        <v>0</v>
      </c>
      <c r="BN72" s="28">
        <f t="shared" si="14"/>
        <v>0</v>
      </c>
      <c r="BO72" s="28">
        <f t="shared" si="14"/>
        <v>0</v>
      </c>
      <c r="BP72" s="28">
        <f t="shared" si="14"/>
        <v>0</v>
      </c>
      <c r="BQ72" s="28">
        <f t="shared" si="14"/>
        <v>0</v>
      </c>
      <c r="BR72" s="28">
        <f t="shared" ref="BR72:CL72" si="15">SUM(BR73:BR77)</f>
        <v>0</v>
      </c>
      <c r="BS72" s="28">
        <f t="shared" si="15"/>
        <v>0</v>
      </c>
      <c r="BT72" s="28">
        <f t="shared" si="15"/>
        <v>0</v>
      </c>
      <c r="BU72" s="28">
        <f t="shared" si="15"/>
        <v>0</v>
      </c>
      <c r="BV72" s="28">
        <f t="shared" si="15"/>
        <v>0</v>
      </c>
      <c r="BW72" s="28">
        <f t="shared" si="15"/>
        <v>0</v>
      </c>
      <c r="BX72" s="28">
        <f t="shared" si="15"/>
        <v>0</v>
      </c>
      <c r="BY72" s="28">
        <f t="shared" si="15"/>
        <v>0</v>
      </c>
      <c r="BZ72" s="28">
        <f t="shared" si="15"/>
        <v>0</v>
      </c>
      <c r="CA72" s="28">
        <f t="shared" si="15"/>
        <v>0</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28" t="s">
        <v>52</v>
      </c>
      <c r="B73" s="190">
        <v>3186577915.25</v>
      </c>
      <c r="C73" s="190">
        <v>3396803881.0300002</v>
      </c>
      <c r="D73" s="190">
        <v>1516332857.77</v>
      </c>
      <c r="E73" s="190">
        <v>97114655.909999996</v>
      </c>
      <c r="F73" s="190">
        <v>650412864.82000005</v>
      </c>
      <c r="G73" s="190">
        <v>1965132452.76</v>
      </c>
      <c r="H73" s="190">
        <v>2587109789.3800001</v>
      </c>
      <c r="I73" s="190">
        <v>32291324.850000001</v>
      </c>
      <c r="J73" s="190">
        <v>439854272.31999999</v>
      </c>
      <c r="K73" s="190">
        <v>152782096.63999999</v>
      </c>
      <c r="L73" s="190">
        <v>828319244.57000005</v>
      </c>
      <c r="M73" s="190">
        <v>876600473.94000006</v>
      </c>
      <c r="N73" s="190">
        <v>934021416.17999995</v>
      </c>
      <c r="O73" s="190">
        <v>1569115108.97</v>
      </c>
      <c r="P73" s="190">
        <v>533118584.08999997</v>
      </c>
      <c r="Q73" s="190">
        <v>362317989.11000001</v>
      </c>
      <c r="R73" s="190">
        <v>860815209.61000001</v>
      </c>
      <c r="S73" s="190">
        <v>863916628.23000002</v>
      </c>
      <c r="T73" s="190">
        <v>623836298.55999994</v>
      </c>
      <c r="U73" s="190">
        <v>180799798.19999999</v>
      </c>
      <c r="V73" s="190">
        <v>113295063.58</v>
      </c>
      <c r="W73" s="190">
        <v>41751164.670000002</v>
      </c>
      <c r="X73" s="190">
        <v>86004909.25</v>
      </c>
      <c r="Y73" s="190">
        <v>0</v>
      </c>
      <c r="Z73" s="190">
        <v>0</v>
      </c>
      <c r="AA73" s="190">
        <v>0</v>
      </c>
      <c r="AB73" s="190">
        <v>0</v>
      </c>
      <c r="AC73" s="190">
        <v>0</v>
      </c>
      <c r="AD73" s="190">
        <v>0</v>
      </c>
      <c r="AE73" s="190">
        <v>0</v>
      </c>
      <c r="AF73" s="190">
        <v>0</v>
      </c>
      <c r="AG73" s="190">
        <v>0</v>
      </c>
      <c r="AH73" s="190">
        <v>0</v>
      </c>
      <c r="AI73" s="190">
        <v>0</v>
      </c>
      <c r="AJ73" s="190">
        <v>27374000</v>
      </c>
      <c r="AK73" s="190">
        <v>27374000</v>
      </c>
      <c r="AL73" s="190">
        <v>0</v>
      </c>
      <c r="AM73" s="190">
        <v>45000000</v>
      </c>
      <c r="AN73" s="190">
        <v>0</v>
      </c>
      <c r="AO73" s="190"/>
      <c r="AP73" s="190"/>
      <c r="AQ73" s="190"/>
      <c r="AR73" s="190"/>
      <c r="AS73" s="190"/>
      <c r="AT73" s="190"/>
      <c r="AU73" s="190"/>
      <c r="AV73" s="190"/>
      <c r="AW73" s="190"/>
      <c r="AX73" s="190"/>
      <c r="AY73" s="190"/>
      <c r="AZ73" s="190"/>
      <c r="BA73" s="190"/>
      <c r="BB73" s="190"/>
      <c r="BC73" s="190"/>
      <c r="BD73" s="190"/>
      <c r="BE73" s="190"/>
      <c r="BF73" s="190"/>
      <c r="BG73" s="190"/>
      <c r="BH73" s="190"/>
      <c r="BI73" s="190"/>
      <c r="BJ73" s="190"/>
      <c r="BK73" s="190"/>
      <c r="BL73" s="190"/>
      <c r="BM73" s="190"/>
      <c r="BN73" s="190"/>
      <c r="BO73" s="190"/>
      <c r="BP73" s="190"/>
      <c r="BQ73" s="190"/>
      <c r="BR73" s="190"/>
      <c r="BS73" s="190"/>
      <c r="BT73" s="190"/>
      <c r="BU73" s="190"/>
      <c r="BV73" s="190"/>
      <c r="BW73" s="190"/>
      <c r="BX73" s="190"/>
      <c r="BY73" s="190"/>
      <c r="BZ73" s="190"/>
      <c r="CA73" s="190"/>
      <c r="CB73" s="190"/>
      <c r="CC73" s="190"/>
      <c r="CD73" s="190"/>
      <c r="CE73" s="190"/>
      <c r="CF73" s="190"/>
      <c r="CG73" s="190"/>
      <c r="CH73" s="190"/>
      <c r="CI73" s="190"/>
      <c r="CJ73" s="190"/>
      <c r="CK73" s="190"/>
      <c r="CL73" s="190"/>
    </row>
    <row r="74" spans="1:90" x14ac:dyDescent="0.25">
      <c r="A74" s="128" t="s">
        <v>77</v>
      </c>
      <c r="B74" s="190">
        <v>0</v>
      </c>
      <c r="C74" s="190">
        <v>0</v>
      </c>
      <c r="D74" s="190">
        <v>0</v>
      </c>
      <c r="E74" s="190">
        <v>0</v>
      </c>
      <c r="F74" s="190">
        <v>0</v>
      </c>
      <c r="G74" s="190">
        <v>0</v>
      </c>
      <c r="H74" s="190">
        <v>0</v>
      </c>
      <c r="I74" s="190">
        <v>0</v>
      </c>
      <c r="J74" s="190">
        <v>0</v>
      </c>
      <c r="K74" s="190">
        <v>0</v>
      </c>
      <c r="L74" s="190">
        <v>0</v>
      </c>
      <c r="M74" s="190">
        <v>4668652.09</v>
      </c>
      <c r="N74" s="190">
        <v>0</v>
      </c>
      <c r="O74" s="190">
        <v>0</v>
      </c>
      <c r="P74" s="190">
        <v>0</v>
      </c>
      <c r="Q74" s="190">
        <v>0</v>
      </c>
      <c r="R74" s="190">
        <v>0</v>
      </c>
      <c r="S74" s="190">
        <v>0</v>
      </c>
      <c r="T74" s="190">
        <v>0</v>
      </c>
      <c r="U74" s="190">
        <v>0</v>
      </c>
      <c r="V74" s="190">
        <v>0</v>
      </c>
      <c r="W74" s="190">
        <v>0</v>
      </c>
      <c r="X74" s="190">
        <v>0</v>
      </c>
      <c r="Y74" s="190">
        <v>0</v>
      </c>
      <c r="Z74" s="190">
        <v>0</v>
      </c>
      <c r="AA74" s="190">
        <v>0</v>
      </c>
      <c r="AB74" s="190">
        <v>0</v>
      </c>
      <c r="AC74" s="190">
        <v>0</v>
      </c>
      <c r="AD74" s="190">
        <v>0</v>
      </c>
      <c r="AE74" s="190">
        <v>0</v>
      </c>
      <c r="AF74" s="190">
        <v>0</v>
      </c>
      <c r="AG74" s="190">
        <v>41325</v>
      </c>
      <c r="AH74" s="190">
        <v>0</v>
      </c>
      <c r="AI74" s="190">
        <v>0</v>
      </c>
      <c r="AJ74" s="190">
        <v>0</v>
      </c>
      <c r="AK74" s="190">
        <v>41325</v>
      </c>
      <c r="AL74" s="190">
        <v>0</v>
      </c>
      <c r="AM74" s="190">
        <v>38325</v>
      </c>
      <c r="AN74" s="190">
        <v>0</v>
      </c>
      <c r="AO74" s="190"/>
      <c r="AP74" s="190"/>
      <c r="AQ74" s="190"/>
      <c r="AR74" s="190"/>
      <c r="AS74" s="190"/>
      <c r="AT74" s="190"/>
      <c r="AU74" s="190"/>
      <c r="AV74" s="190"/>
      <c r="AW74" s="190"/>
      <c r="AX74" s="190"/>
      <c r="AY74" s="190"/>
      <c r="AZ74" s="190"/>
      <c r="BA74" s="190"/>
      <c r="BB74" s="190"/>
      <c r="BC74" s="190"/>
      <c r="BD74" s="190"/>
      <c r="BE74" s="190"/>
      <c r="BF74" s="190"/>
      <c r="BG74" s="190"/>
      <c r="BH74" s="190"/>
      <c r="BI74" s="190"/>
      <c r="BJ74" s="190"/>
      <c r="BK74" s="190"/>
      <c r="BL74" s="190"/>
      <c r="BM74" s="190"/>
      <c r="BN74" s="190"/>
      <c r="BO74" s="190"/>
      <c r="BP74" s="190"/>
      <c r="BQ74" s="190"/>
      <c r="BR74" s="190"/>
      <c r="BS74" s="190"/>
      <c r="BT74" s="190"/>
      <c r="BU74" s="190"/>
      <c r="BV74" s="190"/>
      <c r="BW74" s="190"/>
      <c r="BX74" s="190"/>
      <c r="BY74" s="190"/>
      <c r="BZ74" s="190"/>
      <c r="CA74" s="190"/>
      <c r="CB74" s="190"/>
      <c r="CC74" s="190"/>
      <c r="CD74" s="190"/>
      <c r="CE74" s="190"/>
      <c r="CF74" s="190"/>
      <c r="CG74" s="190"/>
      <c r="CH74" s="190"/>
      <c r="CI74" s="190"/>
      <c r="CJ74" s="190"/>
      <c r="CK74" s="190"/>
      <c r="CL74" s="190"/>
    </row>
    <row r="75" spans="1:90" x14ac:dyDescent="0.25">
      <c r="A75" s="128" t="s">
        <v>53</v>
      </c>
      <c r="B75" s="190">
        <v>24379634.940000001</v>
      </c>
      <c r="C75" s="190">
        <v>38501338</v>
      </c>
      <c r="D75" s="190">
        <v>55059240.219999999</v>
      </c>
      <c r="E75" s="190">
        <v>15946836.460000001</v>
      </c>
      <c r="F75" s="190">
        <v>28187297.02</v>
      </c>
      <c r="G75" s="190">
        <v>18562128.16</v>
      </c>
      <c r="H75" s="190">
        <v>61897855.659999996</v>
      </c>
      <c r="I75" s="190">
        <v>69789502.969999999</v>
      </c>
      <c r="J75" s="190">
        <v>21038313.789999999</v>
      </c>
      <c r="K75" s="190">
        <v>21823075</v>
      </c>
      <c r="L75" s="190">
        <v>22022680.699999999</v>
      </c>
      <c r="M75" s="190">
        <v>19281989.690000001</v>
      </c>
      <c r="N75" s="190">
        <v>12956910.890000001</v>
      </c>
      <c r="O75" s="190">
        <v>13745601.74</v>
      </c>
      <c r="P75" s="190">
        <v>5086484.68</v>
      </c>
      <c r="Q75" s="190">
        <v>0</v>
      </c>
      <c r="R75" s="190">
        <v>1315910</v>
      </c>
      <c r="S75" s="190">
        <v>3741370</v>
      </c>
      <c r="T75" s="190">
        <v>0</v>
      </c>
      <c r="U75" s="190">
        <v>0</v>
      </c>
      <c r="V75" s="190">
        <v>0</v>
      </c>
      <c r="W75" s="190">
        <v>0</v>
      </c>
      <c r="X75" s="190">
        <v>0</v>
      </c>
      <c r="Y75" s="190">
        <v>0</v>
      </c>
      <c r="Z75" s="190">
        <v>0</v>
      </c>
      <c r="AA75" s="190">
        <v>0</v>
      </c>
      <c r="AB75" s="190">
        <v>0</v>
      </c>
      <c r="AC75" s="190">
        <v>0</v>
      </c>
      <c r="AD75" s="190">
        <v>0</v>
      </c>
      <c r="AE75" s="190">
        <v>0</v>
      </c>
      <c r="AF75" s="190">
        <v>0</v>
      </c>
      <c r="AG75" s="190">
        <v>0</v>
      </c>
      <c r="AH75" s="190">
        <v>0</v>
      </c>
      <c r="AI75" s="190">
        <v>0</v>
      </c>
      <c r="AJ75" s="190">
        <v>0</v>
      </c>
      <c r="AK75" s="190">
        <v>0</v>
      </c>
      <c r="AL75" s="190">
        <v>0</v>
      </c>
      <c r="AM75" s="190">
        <v>0</v>
      </c>
      <c r="AN75" s="190">
        <v>0</v>
      </c>
      <c r="AO75" s="190"/>
      <c r="AP75" s="190"/>
      <c r="AQ75" s="190"/>
      <c r="AR75" s="190"/>
      <c r="AS75" s="190"/>
      <c r="AT75" s="190"/>
      <c r="AU75" s="190"/>
      <c r="AV75" s="190"/>
      <c r="AW75" s="190"/>
      <c r="AX75" s="190"/>
      <c r="AY75" s="190"/>
      <c r="AZ75" s="190"/>
      <c r="BA75" s="190"/>
      <c r="BB75" s="190"/>
      <c r="BC75" s="190"/>
      <c r="BD75" s="190"/>
      <c r="BE75" s="190"/>
      <c r="BF75" s="190"/>
      <c r="BG75" s="190"/>
      <c r="BH75" s="190"/>
      <c r="BI75" s="190"/>
      <c r="BJ75" s="190"/>
      <c r="BK75" s="190"/>
      <c r="BL75" s="190"/>
      <c r="BM75" s="190"/>
      <c r="BN75" s="190"/>
      <c r="BO75" s="190"/>
      <c r="BP75" s="190"/>
      <c r="BQ75" s="190"/>
      <c r="BR75" s="190"/>
      <c r="BS75" s="190"/>
      <c r="BT75" s="190"/>
      <c r="BU75" s="190"/>
      <c r="BV75" s="190"/>
      <c r="BW75" s="190"/>
      <c r="BX75" s="190"/>
      <c r="BY75" s="190"/>
      <c r="BZ75" s="190"/>
      <c r="CA75" s="190"/>
      <c r="CB75" s="190"/>
      <c r="CC75" s="190"/>
      <c r="CD75" s="190"/>
      <c r="CE75" s="190"/>
      <c r="CF75" s="190"/>
      <c r="CG75" s="190"/>
      <c r="CH75" s="190"/>
      <c r="CI75" s="190"/>
      <c r="CJ75" s="190"/>
      <c r="CK75" s="190"/>
      <c r="CL75" s="190"/>
    </row>
    <row r="76" spans="1:90" x14ac:dyDescent="0.25">
      <c r="A76" s="128" t="s">
        <v>54</v>
      </c>
      <c r="B76" s="190">
        <v>4033158623.1799998</v>
      </c>
      <c r="C76" s="190">
        <v>3878341679.6399999</v>
      </c>
      <c r="D76" s="190">
        <v>4653521621.6199999</v>
      </c>
      <c r="E76" s="190">
        <v>1546407270.8900001</v>
      </c>
      <c r="F76" s="190">
        <v>723925366.11000001</v>
      </c>
      <c r="G76" s="190">
        <v>714012975.36000001</v>
      </c>
      <c r="H76" s="190">
        <v>0</v>
      </c>
      <c r="I76" s="190">
        <v>15340813.029999999</v>
      </c>
      <c r="J76" s="190">
        <v>0</v>
      </c>
      <c r="K76" s="190">
        <v>273928572.36000001</v>
      </c>
      <c r="L76" s="190">
        <v>428436033.86000001</v>
      </c>
      <c r="M76" s="190">
        <v>586430847.08000004</v>
      </c>
      <c r="N76" s="190">
        <v>0</v>
      </c>
      <c r="O76" s="190">
        <v>0</v>
      </c>
      <c r="P76" s="190">
        <v>0</v>
      </c>
      <c r="Q76" s="190">
        <v>0</v>
      </c>
      <c r="R76" s="190">
        <v>3000000</v>
      </c>
      <c r="S76" s="190">
        <v>3000000</v>
      </c>
      <c r="T76" s="190">
        <v>3000000</v>
      </c>
      <c r="U76" s="190">
        <v>3000000</v>
      </c>
      <c r="V76" s="190">
        <v>0</v>
      </c>
      <c r="W76" s="190">
        <v>0</v>
      </c>
      <c r="X76" s="190">
        <v>0</v>
      </c>
      <c r="Y76" s="190">
        <v>0</v>
      </c>
      <c r="Z76" s="190">
        <v>0</v>
      </c>
      <c r="AA76" s="190">
        <v>0</v>
      </c>
      <c r="AB76" s="190">
        <v>0</v>
      </c>
      <c r="AC76" s="190">
        <v>0</v>
      </c>
      <c r="AD76" s="190">
        <v>29028697.93</v>
      </c>
      <c r="AE76" s="190">
        <v>29580168.390000001</v>
      </c>
      <c r="AF76" s="190">
        <v>29646364.120000001</v>
      </c>
      <c r="AG76" s="190">
        <v>29000000</v>
      </c>
      <c r="AH76" s="190">
        <v>0</v>
      </c>
      <c r="AI76" s="190">
        <v>0</v>
      </c>
      <c r="AJ76" s="190">
        <v>0</v>
      </c>
      <c r="AK76" s="190">
        <v>0</v>
      </c>
      <c r="AL76" s="190">
        <v>0</v>
      </c>
      <c r="AM76" s="190">
        <v>0</v>
      </c>
      <c r="AN76" s="190">
        <v>0</v>
      </c>
      <c r="AO76" s="190"/>
      <c r="AP76" s="190"/>
      <c r="AQ76" s="190"/>
      <c r="AR76" s="190"/>
      <c r="AS76" s="190"/>
      <c r="AT76" s="190"/>
      <c r="AU76" s="190"/>
      <c r="AV76" s="190"/>
      <c r="AW76" s="190"/>
      <c r="AX76" s="190"/>
      <c r="AY76" s="190"/>
      <c r="AZ76" s="190"/>
      <c r="BA76" s="190"/>
      <c r="BB76" s="190"/>
      <c r="BC76" s="190"/>
      <c r="BD76" s="190"/>
      <c r="BE76" s="190"/>
      <c r="BF76" s="190"/>
      <c r="BG76" s="190"/>
      <c r="BH76" s="190"/>
      <c r="BI76" s="190"/>
      <c r="BJ76" s="190"/>
      <c r="BK76" s="190"/>
      <c r="BL76" s="190"/>
      <c r="BM76" s="190"/>
      <c r="BN76" s="190"/>
      <c r="BO76" s="190"/>
      <c r="BP76" s="190"/>
      <c r="BQ76" s="190"/>
      <c r="BR76" s="190"/>
      <c r="BS76" s="190"/>
      <c r="BT76" s="190"/>
      <c r="BU76" s="190"/>
      <c r="BV76" s="190"/>
      <c r="BW76" s="190"/>
      <c r="BX76" s="190"/>
      <c r="BY76" s="190"/>
      <c r="BZ76" s="190"/>
      <c r="CA76" s="190"/>
      <c r="CB76" s="190"/>
      <c r="CC76" s="190"/>
      <c r="CD76" s="190"/>
      <c r="CE76" s="190"/>
      <c r="CF76" s="190"/>
      <c r="CG76" s="190"/>
      <c r="CH76" s="190"/>
      <c r="CI76" s="190"/>
      <c r="CJ76" s="190"/>
      <c r="CK76" s="190"/>
      <c r="CL76" s="190"/>
    </row>
    <row r="77" spans="1:90" x14ac:dyDescent="0.25">
      <c r="A77" s="128" t="s">
        <v>55</v>
      </c>
      <c r="B77" s="190">
        <v>0</v>
      </c>
      <c r="C77" s="190">
        <v>0</v>
      </c>
      <c r="D77" s="190">
        <v>0</v>
      </c>
      <c r="E77" s="190">
        <v>0</v>
      </c>
      <c r="F77" s="190">
        <v>0</v>
      </c>
      <c r="G77" s="190">
        <v>0</v>
      </c>
      <c r="H77" s="190">
        <v>0</v>
      </c>
      <c r="I77" s="190">
        <v>0</v>
      </c>
      <c r="J77" s="190">
        <v>0</v>
      </c>
      <c r="K77" s="190">
        <v>0</v>
      </c>
      <c r="L77" s="190">
        <v>0</v>
      </c>
      <c r="M77" s="190">
        <v>0</v>
      </c>
      <c r="N77" s="190">
        <v>0</v>
      </c>
      <c r="O77" s="190">
        <v>0</v>
      </c>
      <c r="P77" s="190">
        <v>0</v>
      </c>
      <c r="Q77" s="190">
        <v>0</v>
      </c>
      <c r="R77" s="190">
        <v>0</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v>0</v>
      </c>
      <c r="AK77" s="190">
        <v>0</v>
      </c>
      <c r="AL77" s="190">
        <v>0</v>
      </c>
      <c r="AM77" s="190">
        <v>0</v>
      </c>
      <c r="AN77" s="190">
        <v>0</v>
      </c>
      <c r="AO77" s="190"/>
      <c r="AP77" s="190"/>
      <c r="AQ77" s="190"/>
      <c r="AR77" s="190"/>
      <c r="AS77" s="190"/>
      <c r="AT77" s="190"/>
      <c r="AU77" s="190"/>
      <c r="AV77" s="190"/>
      <c r="AW77" s="190"/>
      <c r="AX77" s="190"/>
      <c r="AY77" s="190"/>
      <c r="AZ77" s="190"/>
      <c r="BA77" s="190"/>
      <c r="BB77" s="190"/>
      <c r="BC77" s="190"/>
      <c r="BD77" s="190"/>
      <c r="BE77" s="190"/>
      <c r="BF77" s="190"/>
      <c r="BG77" s="190"/>
      <c r="BH77" s="190"/>
      <c r="BI77" s="190"/>
      <c r="BJ77" s="190"/>
      <c r="BK77" s="190"/>
      <c r="BL77" s="190"/>
      <c r="BM77" s="190"/>
      <c r="BN77" s="190"/>
      <c r="BO77" s="190"/>
      <c r="BP77" s="190"/>
      <c r="BQ77" s="190"/>
      <c r="BR77" s="190"/>
      <c r="BS77" s="190"/>
      <c r="BT77" s="190"/>
      <c r="BU77" s="190"/>
      <c r="BV77" s="190"/>
      <c r="BW77" s="190"/>
      <c r="BX77" s="190"/>
      <c r="BY77" s="190"/>
      <c r="BZ77" s="190"/>
      <c r="CA77" s="190"/>
      <c r="CB77" s="190"/>
      <c r="CC77" s="190"/>
      <c r="CD77" s="190"/>
      <c r="CE77" s="190"/>
      <c r="CF77" s="190"/>
      <c r="CG77" s="190"/>
      <c r="CH77" s="190"/>
      <c r="CI77" s="190"/>
      <c r="CJ77" s="190"/>
      <c r="CK77" s="190"/>
      <c r="CL77" s="190"/>
    </row>
    <row r="78" spans="1:90" hidden="1" x14ac:dyDescent="0.25">
      <c r="A78" s="128"/>
      <c r="B78" s="26"/>
      <c r="C78" s="26"/>
      <c r="D78" s="26"/>
      <c r="E78" s="26"/>
      <c r="F78" s="26"/>
      <c r="G78" s="26"/>
      <c r="H78" s="26"/>
      <c r="I78" s="26"/>
      <c r="J78" s="26"/>
      <c r="K78" s="26"/>
      <c r="L78" s="23"/>
    </row>
    <row r="79" spans="1:90" hidden="1" x14ac:dyDescent="0.25">
      <c r="A79" s="128"/>
      <c r="B79" s="26"/>
      <c r="C79" s="26"/>
      <c r="D79" s="26"/>
      <c r="E79" s="26"/>
      <c r="F79" s="26"/>
      <c r="G79" s="26"/>
      <c r="H79" s="26"/>
      <c r="I79" s="26"/>
      <c r="J79" s="26"/>
      <c r="K79" s="26"/>
      <c r="L79" s="23"/>
    </row>
    <row r="80" spans="1:90" hidden="1" x14ac:dyDescent="0.25">
      <c r="A80" s="128"/>
      <c r="B80" s="26"/>
      <c r="C80" s="26"/>
      <c r="D80" s="26"/>
      <c r="E80" s="26"/>
      <c r="F80" s="26"/>
      <c r="G80" s="26"/>
      <c r="H80" s="26"/>
      <c r="I80" s="26"/>
      <c r="J80" s="26"/>
      <c r="K80" s="26"/>
      <c r="L80" s="23"/>
    </row>
    <row r="81" spans="1:90" s="2" customFormat="1" x14ac:dyDescent="0.25">
      <c r="A81" s="20" t="s">
        <v>56</v>
      </c>
      <c r="B81" s="28"/>
      <c r="C81" s="28"/>
      <c r="D81" s="28"/>
      <c r="E81" s="28">
        <f>SUM(E82:E85)</f>
        <v>3613357038.6199999</v>
      </c>
      <c r="F81" s="28">
        <f t="shared" ref="F81:BQ81" si="16">SUM(F82:F85)</f>
        <v>4445923745.1099997</v>
      </c>
      <c r="G81" s="28">
        <f t="shared" si="16"/>
        <v>4426248175.8000002</v>
      </c>
      <c r="H81" s="28">
        <f t="shared" si="16"/>
        <v>4799881516.8599997</v>
      </c>
      <c r="I81" s="28">
        <f t="shared" si="16"/>
        <v>4683657113.1000004</v>
      </c>
      <c r="J81" s="28">
        <f t="shared" si="16"/>
        <v>3951228249.48</v>
      </c>
      <c r="K81" s="28">
        <f t="shared" si="16"/>
        <v>3618722274.0799999</v>
      </c>
      <c r="L81" s="28">
        <f t="shared" si="16"/>
        <v>3101848335</v>
      </c>
      <c r="M81" s="28">
        <f t="shared" si="16"/>
        <v>682753935</v>
      </c>
      <c r="N81" s="28">
        <f t="shared" si="16"/>
        <v>1192167759.77</v>
      </c>
      <c r="O81" s="28">
        <f t="shared" si="16"/>
        <v>1142019008.0799999</v>
      </c>
      <c r="P81" s="28">
        <f t="shared" si="16"/>
        <v>601016344.17999995</v>
      </c>
      <c r="Q81" s="28">
        <f t="shared" si="16"/>
        <v>247760000</v>
      </c>
      <c r="R81" s="28">
        <f t="shared" si="16"/>
        <v>12770000</v>
      </c>
      <c r="S81" s="28">
        <f t="shared" si="16"/>
        <v>12770000</v>
      </c>
      <c r="T81" s="28">
        <f t="shared" si="16"/>
        <v>19366000</v>
      </c>
      <c r="U81" s="28">
        <f t="shared" si="16"/>
        <v>12770000</v>
      </c>
      <c r="V81" s="28">
        <f t="shared" si="16"/>
        <v>15770000</v>
      </c>
      <c r="W81" s="28">
        <f t="shared" si="16"/>
        <v>9385000</v>
      </c>
      <c r="X81" s="28">
        <f t="shared" si="16"/>
        <v>3000000</v>
      </c>
      <c r="Y81" s="28">
        <f t="shared" si="16"/>
        <v>3000000</v>
      </c>
      <c r="Z81" s="28">
        <f t="shared" si="16"/>
        <v>3000000</v>
      </c>
      <c r="AA81" s="28">
        <f t="shared" si="16"/>
        <v>3000000</v>
      </c>
      <c r="AB81" s="28">
        <f t="shared" si="16"/>
        <v>3000000</v>
      </c>
      <c r="AC81" s="28">
        <f t="shared" si="16"/>
        <v>3000000</v>
      </c>
      <c r="AD81" s="28">
        <f t="shared" si="16"/>
        <v>0</v>
      </c>
      <c r="AE81" s="28">
        <f t="shared" si="16"/>
        <v>0</v>
      </c>
      <c r="AF81" s="28">
        <f t="shared" si="16"/>
        <v>0</v>
      </c>
      <c r="AG81" s="28">
        <f t="shared" si="16"/>
        <v>0</v>
      </c>
      <c r="AH81" s="28">
        <f t="shared" si="16"/>
        <v>30200000</v>
      </c>
      <c r="AI81" s="28">
        <f t="shared" si="16"/>
        <v>30200000</v>
      </c>
      <c r="AJ81" s="28">
        <f t="shared" si="16"/>
        <v>30200000</v>
      </c>
      <c r="AK81" s="28">
        <f t="shared" si="16"/>
        <v>30200000</v>
      </c>
      <c r="AL81" s="28">
        <f t="shared" si="16"/>
        <v>2000000</v>
      </c>
      <c r="AM81" s="28">
        <f t="shared" si="16"/>
        <v>0</v>
      </c>
      <c r="AN81" s="28">
        <f t="shared" si="16"/>
        <v>0</v>
      </c>
      <c r="AO81" s="28">
        <f t="shared" si="16"/>
        <v>0</v>
      </c>
      <c r="AP81" s="28">
        <f t="shared" si="16"/>
        <v>0</v>
      </c>
      <c r="AQ81" s="28">
        <f t="shared" si="16"/>
        <v>0</v>
      </c>
      <c r="AR81" s="28">
        <f t="shared" si="16"/>
        <v>0</v>
      </c>
      <c r="AS81" s="28">
        <f t="shared" si="16"/>
        <v>0</v>
      </c>
      <c r="AT81" s="28">
        <f t="shared" si="16"/>
        <v>0</v>
      </c>
      <c r="AU81" s="28">
        <f t="shared" si="16"/>
        <v>0</v>
      </c>
      <c r="AV81" s="28">
        <f t="shared" si="16"/>
        <v>0</v>
      </c>
      <c r="AW81" s="28">
        <f t="shared" si="16"/>
        <v>0</v>
      </c>
      <c r="AX81" s="28">
        <f t="shared" si="16"/>
        <v>0</v>
      </c>
      <c r="AY81" s="28">
        <f t="shared" si="16"/>
        <v>0</v>
      </c>
      <c r="AZ81" s="28">
        <f t="shared" si="16"/>
        <v>0</v>
      </c>
      <c r="BA81" s="28">
        <f t="shared" si="16"/>
        <v>0</v>
      </c>
      <c r="BB81" s="28">
        <f t="shared" si="16"/>
        <v>0</v>
      </c>
      <c r="BC81" s="28">
        <f t="shared" si="16"/>
        <v>0</v>
      </c>
      <c r="BD81" s="28">
        <f t="shared" si="16"/>
        <v>0</v>
      </c>
      <c r="BE81" s="28">
        <f t="shared" si="16"/>
        <v>0</v>
      </c>
      <c r="BF81" s="28">
        <f t="shared" si="16"/>
        <v>0</v>
      </c>
      <c r="BG81" s="28">
        <f t="shared" si="16"/>
        <v>0</v>
      </c>
      <c r="BH81" s="28">
        <f t="shared" si="16"/>
        <v>0</v>
      </c>
      <c r="BI81" s="28">
        <f t="shared" si="16"/>
        <v>0</v>
      </c>
      <c r="BJ81" s="28">
        <f t="shared" si="16"/>
        <v>0</v>
      </c>
      <c r="BK81" s="28">
        <f t="shared" si="16"/>
        <v>0</v>
      </c>
      <c r="BL81" s="28">
        <f t="shared" si="16"/>
        <v>0</v>
      </c>
      <c r="BM81" s="28">
        <f t="shared" si="16"/>
        <v>0</v>
      </c>
      <c r="BN81" s="28">
        <f t="shared" si="16"/>
        <v>0</v>
      </c>
      <c r="BO81" s="28">
        <f t="shared" si="16"/>
        <v>0</v>
      </c>
      <c r="BP81" s="28">
        <f t="shared" si="16"/>
        <v>0</v>
      </c>
      <c r="BQ81" s="28">
        <f t="shared" si="16"/>
        <v>0</v>
      </c>
      <c r="BR81" s="28">
        <f t="shared" ref="BR81:CG81" si="17">SUM(BR82:BR85)</f>
        <v>0</v>
      </c>
      <c r="BS81" s="28">
        <f t="shared" si="17"/>
        <v>0</v>
      </c>
      <c r="BT81" s="28">
        <f t="shared" si="17"/>
        <v>0</v>
      </c>
      <c r="BU81" s="28">
        <f t="shared" si="17"/>
        <v>0</v>
      </c>
      <c r="BV81" s="28">
        <f t="shared" si="17"/>
        <v>0</v>
      </c>
      <c r="BW81" s="28">
        <f t="shared" si="17"/>
        <v>0</v>
      </c>
      <c r="BX81" s="28">
        <f t="shared" si="17"/>
        <v>0</v>
      </c>
      <c r="BY81" s="28">
        <f t="shared" si="17"/>
        <v>0</v>
      </c>
      <c r="BZ81" s="28">
        <f t="shared" si="17"/>
        <v>0</v>
      </c>
      <c r="CA81" s="28">
        <f t="shared" si="17"/>
        <v>0</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28" t="s">
        <v>57</v>
      </c>
      <c r="B82" s="190">
        <v>190000000</v>
      </c>
      <c r="C82" s="190">
        <v>190000000</v>
      </c>
      <c r="D82" s="190">
        <v>190000000</v>
      </c>
      <c r="E82" s="190">
        <v>490000000</v>
      </c>
      <c r="F82" s="190">
        <v>1310990200.5799999</v>
      </c>
      <c r="G82" s="190">
        <v>1319408175.8</v>
      </c>
      <c r="H82" s="190">
        <v>1844041516.8599999</v>
      </c>
      <c r="I82" s="190">
        <v>1722207584.3299999</v>
      </c>
      <c r="J82" s="190">
        <v>759028249.48000002</v>
      </c>
      <c r="K82" s="190">
        <v>501722274.07999998</v>
      </c>
      <c r="L82" s="190">
        <v>52368335</v>
      </c>
      <c r="M82" s="190">
        <v>675753935</v>
      </c>
      <c r="N82" s="190">
        <v>1185167759.77</v>
      </c>
      <c r="O82" s="190">
        <v>1139019008.0799999</v>
      </c>
      <c r="P82" s="190">
        <v>598016344.17999995</v>
      </c>
      <c r="Q82" s="190">
        <v>244760000</v>
      </c>
      <c r="R82" s="190">
        <v>0</v>
      </c>
      <c r="S82" s="190">
        <v>0</v>
      </c>
      <c r="T82" s="190">
        <v>0</v>
      </c>
      <c r="U82" s="190">
        <v>0</v>
      </c>
      <c r="V82" s="190">
        <v>0</v>
      </c>
      <c r="W82" s="190">
        <v>0</v>
      </c>
      <c r="X82" s="190">
        <v>0</v>
      </c>
      <c r="Y82" s="190">
        <v>0</v>
      </c>
      <c r="Z82" s="190">
        <v>0</v>
      </c>
      <c r="AA82" s="190">
        <v>0</v>
      </c>
      <c r="AB82" s="190">
        <v>0</v>
      </c>
      <c r="AC82" s="190">
        <v>0</v>
      </c>
      <c r="AD82" s="190">
        <v>0</v>
      </c>
      <c r="AE82" s="190">
        <v>0</v>
      </c>
      <c r="AF82" s="190">
        <v>0</v>
      </c>
      <c r="AG82" s="190">
        <v>0</v>
      </c>
      <c r="AH82" s="190">
        <v>29000000</v>
      </c>
      <c r="AI82" s="190">
        <v>29000000</v>
      </c>
      <c r="AJ82" s="190">
        <v>29000000</v>
      </c>
      <c r="AK82" s="190">
        <v>29000000</v>
      </c>
      <c r="AL82" s="190">
        <v>0</v>
      </c>
      <c r="AM82" s="190">
        <v>0</v>
      </c>
      <c r="AN82" s="190">
        <v>0</v>
      </c>
      <c r="AO82" s="190"/>
      <c r="AP82" s="190"/>
      <c r="AQ82" s="190"/>
      <c r="AR82" s="190"/>
      <c r="AS82" s="190"/>
      <c r="AT82" s="190"/>
      <c r="AU82" s="190"/>
      <c r="AV82" s="190"/>
      <c r="AW82" s="190"/>
      <c r="AX82" s="190"/>
      <c r="AY82" s="190"/>
      <c r="AZ82" s="190"/>
      <c r="BA82" s="190"/>
      <c r="BB82" s="190"/>
      <c r="BC82" s="190"/>
      <c r="BD82" s="190"/>
      <c r="BE82" s="190"/>
      <c r="BF82" s="190"/>
      <c r="BG82" s="190"/>
      <c r="BH82" s="190"/>
      <c r="BI82" s="190"/>
      <c r="BJ82" s="190"/>
      <c r="BK82" s="190"/>
      <c r="BL82" s="190"/>
      <c r="BM82" s="190"/>
      <c r="BN82" s="190"/>
      <c r="BO82" s="190"/>
      <c r="BP82" s="190"/>
      <c r="BQ82" s="190"/>
      <c r="BR82" s="190"/>
      <c r="BS82" s="190"/>
      <c r="BT82" s="190"/>
      <c r="BU82" s="190"/>
      <c r="BV82" s="190"/>
      <c r="BW82" s="190"/>
      <c r="BX82" s="190"/>
      <c r="BY82" s="190"/>
      <c r="BZ82" s="190"/>
      <c r="CA82" s="190"/>
      <c r="CB82" s="190"/>
      <c r="CC82" s="190"/>
      <c r="CD82" s="190"/>
      <c r="CE82" s="190"/>
      <c r="CF82" s="190"/>
      <c r="CG82" s="190"/>
      <c r="CH82" s="190"/>
      <c r="CI82" s="190"/>
      <c r="CJ82" s="190"/>
      <c r="CK82" s="190"/>
      <c r="CL82" s="190"/>
    </row>
    <row r="83" spans="1:90" x14ac:dyDescent="0.25">
      <c r="A83" s="128" t="s">
        <v>58</v>
      </c>
      <c r="B83" s="190">
        <v>0</v>
      </c>
      <c r="C83" s="190">
        <v>0</v>
      </c>
      <c r="D83" s="190">
        <v>0</v>
      </c>
      <c r="E83" s="190">
        <v>3120920000</v>
      </c>
      <c r="F83" s="190">
        <v>3129320000</v>
      </c>
      <c r="G83" s="190">
        <v>3099840000</v>
      </c>
      <c r="H83" s="190">
        <v>2948840000</v>
      </c>
      <c r="I83" s="190">
        <v>2954449528.77</v>
      </c>
      <c r="J83" s="190">
        <v>2995200000</v>
      </c>
      <c r="K83" s="190">
        <v>2950000000</v>
      </c>
      <c r="L83" s="190">
        <v>2932480000</v>
      </c>
      <c r="M83" s="190">
        <v>0</v>
      </c>
      <c r="N83" s="190">
        <v>0</v>
      </c>
      <c r="O83" s="190">
        <v>0</v>
      </c>
      <c r="P83" s="190">
        <v>0</v>
      </c>
      <c r="Q83" s="190">
        <v>0</v>
      </c>
      <c r="R83" s="190">
        <v>0</v>
      </c>
      <c r="S83" s="190">
        <v>0</v>
      </c>
      <c r="T83" s="190">
        <v>0</v>
      </c>
      <c r="U83" s="190">
        <v>0</v>
      </c>
      <c r="V83" s="190">
        <v>0</v>
      </c>
      <c r="W83" s="190">
        <v>0</v>
      </c>
      <c r="X83" s="190">
        <v>0</v>
      </c>
      <c r="Y83" s="190">
        <v>0</v>
      </c>
      <c r="Z83" s="190">
        <v>0</v>
      </c>
      <c r="AA83" s="190">
        <v>0</v>
      </c>
      <c r="AB83" s="190">
        <v>0</v>
      </c>
      <c r="AC83" s="190">
        <v>0</v>
      </c>
      <c r="AD83" s="190">
        <v>0</v>
      </c>
      <c r="AE83" s="190">
        <v>0</v>
      </c>
      <c r="AF83" s="190">
        <v>0</v>
      </c>
      <c r="AG83" s="190">
        <v>0</v>
      </c>
      <c r="AH83" s="190">
        <v>0</v>
      </c>
      <c r="AI83" s="190">
        <v>0</v>
      </c>
      <c r="AJ83" s="190">
        <v>0</v>
      </c>
      <c r="AK83" s="190">
        <v>0</v>
      </c>
      <c r="AL83" s="190">
        <v>0</v>
      </c>
      <c r="AM83" s="190">
        <v>0</v>
      </c>
      <c r="AN83" s="190">
        <v>0</v>
      </c>
      <c r="AO83" s="190"/>
      <c r="AP83" s="190"/>
      <c r="AQ83" s="190"/>
      <c r="AR83" s="190"/>
      <c r="AS83" s="190"/>
      <c r="AT83" s="190"/>
      <c r="AU83" s="190"/>
      <c r="AV83" s="190"/>
      <c r="AW83" s="190"/>
      <c r="AX83" s="190"/>
      <c r="AY83" s="190"/>
      <c r="AZ83" s="190"/>
      <c r="BA83" s="190"/>
      <c r="BB83" s="190"/>
      <c r="BC83" s="190"/>
      <c r="BD83" s="190"/>
      <c r="BE83" s="190"/>
      <c r="BF83" s="190"/>
      <c r="BG83" s="190"/>
      <c r="BH83" s="190"/>
      <c r="BI83" s="190"/>
      <c r="BJ83" s="190"/>
      <c r="BK83" s="190"/>
      <c r="BL83" s="190"/>
      <c r="BM83" s="190"/>
      <c r="BN83" s="190"/>
      <c r="BO83" s="190"/>
      <c r="BP83" s="190"/>
      <c r="BQ83" s="190"/>
      <c r="BR83" s="190"/>
      <c r="BS83" s="190"/>
      <c r="BT83" s="190"/>
      <c r="BU83" s="190"/>
      <c r="BV83" s="190"/>
      <c r="BW83" s="190"/>
      <c r="BX83" s="190"/>
      <c r="BY83" s="190"/>
      <c r="BZ83" s="190"/>
      <c r="CA83" s="190"/>
      <c r="CB83" s="190"/>
      <c r="CC83" s="190"/>
      <c r="CD83" s="190"/>
      <c r="CE83" s="190"/>
      <c r="CF83" s="190"/>
      <c r="CG83" s="190"/>
      <c r="CH83" s="190"/>
      <c r="CI83" s="190"/>
      <c r="CJ83" s="190"/>
      <c r="CK83" s="190"/>
      <c r="CL83" s="190"/>
    </row>
    <row r="84" spans="1:90" x14ac:dyDescent="0.25">
      <c r="A84" s="128" t="s">
        <v>59</v>
      </c>
      <c r="B84" s="190">
        <v>0</v>
      </c>
      <c r="C84" s="190">
        <v>0</v>
      </c>
      <c r="D84" s="190">
        <v>0</v>
      </c>
      <c r="E84" s="190">
        <v>2437038.62</v>
      </c>
      <c r="F84" s="190">
        <v>5613544.5300000003</v>
      </c>
      <c r="G84" s="190">
        <v>7000000</v>
      </c>
      <c r="H84" s="190">
        <v>7000000</v>
      </c>
      <c r="I84" s="190">
        <v>7000000</v>
      </c>
      <c r="J84" s="190">
        <v>197000000</v>
      </c>
      <c r="K84" s="190">
        <v>167000000</v>
      </c>
      <c r="L84" s="190">
        <v>117000000</v>
      </c>
      <c r="M84" s="190">
        <v>7000000</v>
      </c>
      <c r="N84" s="190">
        <v>7000000</v>
      </c>
      <c r="O84" s="190">
        <v>3000000</v>
      </c>
      <c r="P84" s="190">
        <v>3000000</v>
      </c>
      <c r="Q84" s="190">
        <v>3000000</v>
      </c>
      <c r="R84" s="190">
        <v>0</v>
      </c>
      <c r="S84" s="190">
        <v>0</v>
      </c>
      <c r="T84" s="190">
        <v>0</v>
      </c>
      <c r="U84" s="190">
        <v>0</v>
      </c>
      <c r="V84" s="190">
        <v>3000000</v>
      </c>
      <c r="W84" s="190">
        <v>3000000</v>
      </c>
      <c r="X84" s="190">
        <v>3000000</v>
      </c>
      <c r="Y84" s="190">
        <v>3000000</v>
      </c>
      <c r="Z84" s="190">
        <v>3000000</v>
      </c>
      <c r="AA84" s="190">
        <v>3000000</v>
      </c>
      <c r="AB84" s="190">
        <v>3000000</v>
      </c>
      <c r="AC84" s="190">
        <v>3000000</v>
      </c>
      <c r="AD84" s="190">
        <v>0</v>
      </c>
      <c r="AE84" s="190">
        <v>0</v>
      </c>
      <c r="AF84" s="190">
        <v>0</v>
      </c>
      <c r="AG84" s="190">
        <v>0</v>
      </c>
      <c r="AH84" s="190">
        <v>0</v>
      </c>
      <c r="AI84" s="190">
        <v>0</v>
      </c>
      <c r="AJ84" s="190">
        <v>0</v>
      </c>
      <c r="AK84" s="190">
        <v>0</v>
      </c>
      <c r="AL84" s="190">
        <v>0</v>
      </c>
      <c r="AM84" s="190">
        <v>0</v>
      </c>
      <c r="AN84" s="190">
        <v>0</v>
      </c>
      <c r="AO84" s="190"/>
      <c r="AP84" s="190"/>
      <c r="AQ84" s="190"/>
      <c r="AR84" s="190"/>
      <c r="AS84" s="190"/>
      <c r="AT84" s="190"/>
      <c r="AU84" s="190"/>
      <c r="AV84" s="190"/>
      <c r="AW84" s="190"/>
      <c r="AX84" s="190"/>
      <c r="AY84" s="190"/>
      <c r="AZ84" s="190"/>
      <c r="BA84" s="190"/>
      <c r="BB84" s="190"/>
      <c r="BC84" s="190"/>
      <c r="BD84" s="190"/>
      <c r="BE84" s="190"/>
      <c r="BF84" s="190"/>
      <c r="BG84" s="190"/>
      <c r="BH84" s="190"/>
      <c r="BI84" s="190"/>
      <c r="BJ84" s="190"/>
      <c r="BK84" s="190"/>
      <c r="BL84" s="190"/>
      <c r="BM84" s="190"/>
      <c r="BN84" s="190"/>
      <c r="BO84" s="190"/>
      <c r="BP84" s="190"/>
      <c r="BQ84" s="190"/>
      <c r="BR84" s="190"/>
      <c r="BS84" s="190"/>
      <c r="BT84" s="190"/>
      <c r="BU84" s="190"/>
      <c r="BV84" s="190"/>
      <c r="BW84" s="190"/>
      <c r="BX84" s="190"/>
      <c r="BY84" s="190"/>
      <c r="BZ84" s="190"/>
      <c r="CA84" s="190"/>
      <c r="CB84" s="190"/>
      <c r="CC84" s="190"/>
      <c r="CD84" s="190"/>
      <c r="CE84" s="190"/>
      <c r="CF84" s="190"/>
      <c r="CG84" s="190"/>
      <c r="CH84" s="190"/>
      <c r="CI84" s="190"/>
      <c r="CJ84" s="190"/>
      <c r="CK84" s="190"/>
      <c r="CL84" s="190"/>
    </row>
    <row r="85" spans="1:90" x14ac:dyDescent="0.25">
      <c r="A85" s="128" t="s">
        <v>83</v>
      </c>
      <c r="B85" s="190">
        <v>0</v>
      </c>
      <c r="C85" s="190">
        <v>0</v>
      </c>
      <c r="D85" s="190">
        <v>0</v>
      </c>
      <c r="E85" s="190">
        <v>0</v>
      </c>
      <c r="F85" s="190">
        <v>0</v>
      </c>
      <c r="G85" s="190">
        <v>0</v>
      </c>
      <c r="H85" s="190">
        <v>0</v>
      </c>
      <c r="I85" s="190">
        <v>0</v>
      </c>
      <c r="J85" s="190">
        <v>0</v>
      </c>
      <c r="K85" s="190">
        <v>0</v>
      </c>
      <c r="L85" s="190">
        <v>0</v>
      </c>
      <c r="M85" s="190">
        <v>0</v>
      </c>
      <c r="N85" s="190">
        <v>0</v>
      </c>
      <c r="O85" s="190">
        <v>0</v>
      </c>
      <c r="P85" s="190">
        <v>0</v>
      </c>
      <c r="Q85" s="190">
        <v>0</v>
      </c>
      <c r="R85" s="190">
        <v>12770000</v>
      </c>
      <c r="S85" s="190">
        <v>12770000</v>
      </c>
      <c r="T85" s="190">
        <v>19366000</v>
      </c>
      <c r="U85" s="190">
        <v>12770000</v>
      </c>
      <c r="V85" s="190">
        <v>12770000</v>
      </c>
      <c r="W85" s="190">
        <v>6385000</v>
      </c>
      <c r="X85" s="190">
        <v>0</v>
      </c>
      <c r="Y85" s="190">
        <v>0</v>
      </c>
      <c r="Z85" s="190">
        <v>0</v>
      </c>
      <c r="AA85" s="190">
        <v>0</v>
      </c>
      <c r="AB85" s="190">
        <v>0</v>
      </c>
      <c r="AC85" s="190">
        <v>0</v>
      </c>
      <c r="AD85" s="190">
        <v>0</v>
      </c>
      <c r="AE85" s="190">
        <v>0</v>
      </c>
      <c r="AF85" s="190">
        <v>0</v>
      </c>
      <c r="AG85" s="190">
        <v>0</v>
      </c>
      <c r="AH85" s="190">
        <v>1200000</v>
      </c>
      <c r="AI85" s="190">
        <v>1200000</v>
      </c>
      <c r="AJ85" s="190">
        <v>1200000</v>
      </c>
      <c r="AK85" s="190">
        <v>1200000</v>
      </c>
      <c r="AL85" s="190">
        <v>2000000</v>
      </c>
      <c r="AM85" s="190">
        <v>0</v>
      </c>
      <c r="AN85" s="190">
        <v>0</v>
      </c>
      <c r="AO85" s="190"/>
      <c r="AP85" s="190"/>
      <c r="AQ85" s="190"/>
      <c r="AR85" s="190"/>
      <c r="AS85" s="190"/>
      <c r="AT85" s="190"/>
      <c r="AU85" s="190"/>
      <c r="AV85" s="190"/>
      <c r="AW85" s="190"/>
      <c r="AX85" s="190"/>
      <c r="AY85" s="190"/>
      <c r="AZ85" s="190"/>
      <c r="BA85" s="190"/>
      <c r="BB85" s="190"/>
      <c r="BC85" s="190"/>
      <c r="BD85" s="190"/>
      <c r="BE85" s="190"/>
      <c r="BF85" s="190"/>
      <c r="BG85" s="190"/>
      <c r="BH85" s="190"/>
      <c r="BI85" s="190"/>
      <c r="BJ85" s="190"/>
      <c r="BK85" s="190"/>
      <c r="BL85" s="190"/>
      <c r="BM85" s="190"/>
      <c r="BN85" s="190"/>
      <c r="BO85" s="190"/>
      <c r="BP85" s="190"/>
      <c r="BQ85" s="190"/>
      <c r="BR85" s="190"/>
      <c r="BS85" s="190"/>
      <c r="BT85" s="190"/>
      <c r="BU85" s="190"/>
      <c r="BV85" s="190"/>
      <c r="BW85" s="190"/>
      <c r="BX85" s="190"/>
      <c r="BY85" s="190"/>
      <c r="BZ85" s="190"/>
      <c r="CA85" s="190"/>
      <c r="CB85" s="190"/>
      <c r="CC85" s="190"/>
      <c r="CD85" s="190"/>
      <c r="CE85" s="190"/>
      <c r="CF85" s="190"/>
      <c r="CG85" s="190"/>
      <c r="CH85" s="190"/>
      <c r="CI85" s="190"/>
      <c r="CJ85" s="190"/>
      <c r="CK85" s="190"/>
      <c r="CL85" s="190"/>
    </row>
    <row r="86" spans="1:90" hidden="1" x14ac:dyDescent="0.25">
      <c r="A86" s="128"/>
      <c r="B86" s="26"/>
      <c r="C86" s="26"/>
      <c r="D86" s="26"/>
      <c r="E86" s="26"/>
      <c r="F86" s="26"/>
      <c r="G86" s="26"/>
      <c r="H86" s="26"/>
      <c r="I86" s="26"/>
      <c r="J86" s="26"/>
      <c r="K86" s="26"/>
      <c r="L86" s="23"/>
    </row>
    <row r="87" spans="1:90" hidden="1" x14ac:dyDescent="0.25">
      <c r="A87" s="128"/>
      <c r="B87" s="26"/>
      <c r="C87" s="26"/>
      <c r="D87" s="26"/>
      <c r="E87" s="26"/>
      <c r="F87" s="26"/>
      <c r="G87" s="26"/>
      <c r="H87" s="26"/>
      <c r="I87" s="26"/>
      <c r="J87" s="26"/>
      <c r="K87" s="26"/>
      <c r="L87" s="23"/>
    </row>
    <row r="88" spans="1:90" hidden="1" x14ac:dyDescent="0.25">
      <c r="A88" s="128"/>
      <c r="B88" s="26"/>
      <c r="C88" s="26"/>
      <c r="D88" s="26"/>
      <c r="E88" s="26"/>
      <c r="F88" s="26"/>
      <c r="G88" s="26"/>
      <c r="H88" s="26"/>
      <c r="I88" s="26"/>
      <c r="J88" s="26"/>
      <c r="K88" s="26"/>
      <c r="L88" s="23"/>
    </row>
    <row r="89" spans="1:90" s="5" customFormat="1" x14ac:dyDescent="0.25">
      <c r="A89" s="129" t="s">
        <v>60</v>
      </c>
      <c r="B89" s="33">
        <f>SUM(B73:B85)</f>
        <v>7434116173.3699999</v>
      </c>
      <c r="C89" s="33">
        <f>SUM(C73:C85)</f>
        <v>7503646898.6700001</v>
      </c>
      <c r="D89" s="33">
        <f>SUM(D73:D85)</f>
        <v>6414913719.6099997</v>
      </c>
      <c r="E89" s="33">
        <f>E72+E81</f>
        <v>5272825801.8800001</v>
      </c>
      <c r="F89" s="33">
        <f t="shared" ref="F89:BQ89" si="18">F72+F81</f>
        <v>5848449273.0599995</v>
      </c>
      <c r="G89" s="33">
        <f t="shared" si="18"/>
        <v>7123955732.0799999</v>
      </c>
      <c r="H89" s="33">
        <f t="shared" si="18"/>
        <v>7448889161.8999996</v>
      </c>
      <c r="I89" s="33">
        <f t="shared" si="18"/>
        <v>4801078753.9500008</v>
      </c>
      <c r="J89" s="33">
        <f t="shared" si="18"/>
        <v>4412120835.5900002</v>
      </c>
      <c r="K89" s="33">
        <f t="shared" si="18"/>
        <v>4067256018.0799999</v>
      </c>
      <c r="L89" s="33">
        <f t="shared" si="18"/>
        <v>4380626294.1300001</v>
      </c>
      <c r="M89" s="33">
        <f t="shared" si="18"/>
        <v>2169735897.8000002</v>
      </c>
      <c r="N89" s="33">
        <f t="shared" si="18"/>
        <v>2139146086.8399999</v>
      </c>
      <c r="O89" s="33">
        <f t="shared" si="18"/>
        <v>2724879718.79</v>
      </c>
      <c r="P89" s="33">
        <f t="shared" si="18"/>
        <v>1139221412.9499998</v>
      </c>
      <c r="Q89" s="33">
        <f t="shared" si="18"/>
        <v>610077989.11000001</v>
      </c>
      <c r="R89" s="33">
        <f t="shared" si="18"/>
        <v>877901119.61000001</v>
      </c>
      <c r="S89" s="33">
        <f t="shared" si="18"/>
        <v>883427998.23000002</v>
      </c>
      <c r="T89" s="33">
        <f t="shared" si="18"/>
        <v>646202298.55999994</v>
      </c>
      <c r="U89" s="33">
        <f t="shared" si="18"/>
        <v>196569798.19999999</v>
      </c>
      <c r="V89" s="33">
        <f t="shared" si="18"/>
        <v>129065063.58</v>
      </c>
      <c r="W89" s="33">
        <f t="shared" si="18"/>
        <v>51136164.670000002</v>
      </c>
      <c r="X89" s="33">
        <f t="shared" si="18"/>
        <v>89004909.25</v>
      </c>
      <c r="Y89" s="33">
        <f t="shared" si="18"/>
        <v>3000000</v>
      </c>
      <c r="Z89" s="33">
        <f t="shared" si="18"/>
        <v>3000000</v>
      </c>
      <c r="AA89" s="33">
        <f t="shared" si="18"/>
        <v>3000000</v>
      </c>
      <c r="AB89" s="33">
        <f t="shared" si="18"/>
        <v>3000000</v>
      </c>
      <c r="AC89" s="33">
        <f t="shared" si="18"/>
        <v>3000000</v>
      </c>
      <c r="AD89" s="33">
        <f t="shared" si="18"/>
        <v>29028697.93</v>
      </c>
      <c r="AE89" s="33">
        <f t="shared" si="18"/>
        <v>29580168.390000001</v>
      </c>
      <c r="AF89" s="33">
        <f t="shared" si="18"/>
        <v>29646364.120000001</v>
      </c>
      <c r="AG89" s="33">
        <f t="shared" si="18"/>
        <v>29041325</v>
      </c>
      <c r="AH89" s="33">
        <f t="shared" si="18"/>
        <v>30200000</v>
      </c>
      <c r="AI89" s="33">
        <f t="shared" si="18"/>
        <v>30200000</v>
      </c>
      <c r="AJ89" s="33">
        <f t="shared" si="18"/>
        <v>57574000</v>
      </c>
      <c r="AK89" s="33">
        <f t="shared" si="18"/>
        <v>57615325</v>
      </c>
      <c r="AL89" s="33">
        <f t="shared" si="18"/>
        <v>2000000</v>
      </c>
      <c r="AM89" s="33">
        <f t="shared" si="18"/>
        <v>45038325</v>
      </c>
      <c r="AN89" s="33">
        <f t="shared" si="18"/>
        <v>0</v>
      </c>
      <c r="AO89" s="33">
        <f t="shared" si="18"/>
        <v>0</v>
      </c>
      <c r="AP89" s="33">
        <f t="shared" si="18"/>
        <v>0</v>
      </c>
      <c r="AQ89" s="33">
        <f t="shared" si="18"/>
        <v>0</v>
      </c>
      <c r="AR89" s="33">
        <f t="shared" si="18"/>
        <v>0</v>
      </c>
      <c r="AS89" s="33">
        <f t="shared" si="18"/>
        <v>0</v>
      </c>
      <c r="AT89" s="33">
        <f t="shared" si="18"/>
        <v>0</v>
      </c>
      <c r="AU89" s="33">
        <f t="shared" si="18"/>
        <v>0</v>
      </c>
      <c r="AV89" s="33">
        <f t="shared" si="18"/>
        <v>0</v>
      </c>
      <c r="AW89" s="33">
        <f t="shared" si="18"/>
        <v>0</v>
      </c>
      <c r="AX89" s="33">
        <f t="shared" si="18"/>
        <v>0</v>
      </c>
      <c r="AY89" s="33">
        <f t="shared" si="18"/>
        <v>0</v>
      </c>
      <c r="AZ89" s="33">
        <f t="shared" si="18"/>
        <v>0</v>
      </c>
      <c r="BA89" s="33">
        <f t="shared" si="18"/>
        <v>0</v>
      </c>
      <c r="BB89" s="33">
        <f t="shared" si="18"/>
        <v>0</v>
      </c>
      <c r="BC89" s="33">
        <f t="shared" si="18"/>
        <v>0</v>
      </c>
      <c r="BD89" s="33">
        <f t="shared" si="18"/>
        <v>0</v>
      </c>
      <c r="BE89" s="33">
        <f t="shared" si="18"/>
        <v>0</v>
      </c>
      <c r="BF89" s="33">
        <f t="shared" si="18"/>
        <v>0</v>
      </c>
      <c r="BG89" s="33">
        <f t="shared" si="18"/>
        <v>0</v>
      </c>
      <c r="BH89" s="33">
        <f t="shared" si="18"/>
        <v>0</v>
      </c>
      <c r="BI89" s="33">
        <f t="shared" si="18"/>
        <v>0</v>
      </c>
      <c r="BJ89" s="33">
        <f t="shared" si="18"/>
        <v>0</v>
      </c>
      <c r="BK89" s="33">
        <f t="shared" si="18"/>
        <v>0</v>
      </c>
      <c r="BL89" s="33">
        <f t="shared" si="18"/>
        <v>0</v>
      </c>
      <c r="BM89" s="33">
        <f t="shared" si="18"/>
        <v>0</v>
      </c>
      <c r="BN89" s="33">
        <f t="shared" si="18"/>
        <v>0</v>
      </c>
      <c r="BO89" s="33">
        <f t="shared" si="18"/>
        <v>0</v>
      </c>
      <c r="BP89" s="33">
        <f t="shared" si="18"/>
        <v>0</v>
      </c>
      <c r="BQ89" s="33">
        <f t="shared" si="18"/>
        <v>0</v>
      </c>
      <c r="BR89" s="33">
        <f t="shared" ref="BR89:CK89" si="19">BR72+BR81</f>
        <v>0</v>
      </c>
      <c r="BS89" s="33">
        <f t="shared" si="19"/>
        <v>0</v>
      </c>
      <c r="BT89" s="33">
        <f t="shared" si="19"/>
        <v>0</v>
      </c>
      <c r="BU89" s="33">
        <f t="shared" si="19"/>
        <v>0</v>
      </c>
      <c r="BV89" s="33">
        <f t="shared" si="19"/>
        <v>0</v>
      </c>
      <c r="BW89" s="33">
        <f t="shared" si="19"/>
        <v>0</v>
      </c>
      <c r="BX89" s="33">
        <f t="shared" si="19"/>
        <v>0</v>
      </c>
      <c r="BY89" s="33">
        <f t="shared" si="19"/>
        <v>0</v>
      </c>
      <c r="BZ89" s="33">
        <f t="shared" si="19"/>
        <v>0</v>
      </c>
      <c r="CA89" s="33">
        <f t="shared" si="19"/>
        <v>0</v>
      </c>
      <c r="CB89" s="33">
        <f t="shared" si="19"/>
        <v>0</v>
      </c>
      <c r="CC89" s="33">
        <f t="shared" si="19"/>
        <v>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8" t="s">
        <v>62</v>
      </c>
      <c r="B91" s="190">
        <v>9227270473</v>
      </c>
      <c r="C91" s="190">
        <v>9227270473</v>
      </c>
      <c r="D91" s="190">
        <v>9227270473</v>
      </c>
      <c r="E91" s="190">
        <v>9228865114</v>
      </c>
      <c r="F91" s="190">
        <v>9228865114</v>
      </c>
      <c r="G91" s="190">
        <v>9228865114</v>
      </c>
      <c r="H91" s="190">
        <v>6155033743</v>
      </c>
      <c r="I91" s="190">
        <v>6102706885</v>
      </c>
      <c r="J91" s="190">
        <v>6103158379</v>
      </c>
      <c r="K91" s="190">
        <v>6103158379</v>
      </c>
      <c r="L91" s="190">
        <v>4068772253</v>
      </c>
      <c r="M91" s="190">
        <v>4068772253</v>
      </c>
      <c r="N91" s="190">
        <v>4069128026</v>
      </c>
      <c r="O91" s="190">
        <v>4069128026</v>
      </c>
      <c r="P91" s="190">
        <v>4069128026</v>
      </c>
      <c r="Q91" s="190">
        <v>4069128026</v>
      </c>
      <c r="R91" s="190">
        <v>4017223222</v>
      </c>
      <c r="S91" s="190">
        <v>4017223222</v>
      </c>
      <c r="T91" s="190">
        <v>4017223222</v>
      </c>
      <c r="U91" s="190">
        <v>4017223222</v>
      </c>
      <c r="V91" s="190">
        <v>4017223222</v>
      </c>
      <c r="W91" s="190">
        <v>2008611611</v>
      </c>
      <c r="X91" s="190">
        <v>2008611611</v>
      </c>
      <c r="Y91" s="190">
        <v>2008611611</v>
      </c>
      <c r="Z91" s="190">
        <v>2008611611</v>
      </c>
      <c r="AA91" s="190">
        <v>2000000000</v>
      </c>
      <c r="AB91" s="190">
        <v>1000000000</v>
      </c>
      <c r="AC91" s="190">
        <v>1000000000</v>
      </c>
      <c r="AD91" s="190">
        <v>1000000000</v>
      </c>
      <c r="AE91" s="190">
        <v>1000000000</v>
      </c>
      <c r="AF91" s="190">
        <v>500000000</v>
      </c>
      <c r="AG91" s="190">
        <v>500000000</v>
      </c>
      <c r="AH91" s="190">
        <v>500000000</v>
      </c>
      <c r="AI91" s="190">
        <v>500000000</v>
      </c>
      <c r="AJ91" s="190">
        <v>450000000</v>
      </c>
      <c r="AK91" s="190">
        <v>450000000</v>
      </c>
      <c r="AL91" s="190">
        <v>450000000</v>
      </c>
      <c r="AM91" s="190">
        <v>140000000</v>
      </c>
      <c r="AN91" s="190">
        <v>0</v>
      </c>
      <c r="AO91" s="190"/>
      <c r="AP91" s="190"/>
      <c r="AQ91" s="190"/>
      <c r="AR91" s="190"/>
      <c r="AS91" s="190"/>
      <c r="AT91" s="190"/>
      <c r="AU91" s="190"/>
      <c r="AV91" s="190"/>
      <c r="AW91" s="190"/>
      <c r="AX91" s="190"/>
      <c r="AY91" s="190"/>
      <c r="AZ91" s="190"/>
      <c r="BA91" s="190"/>
      <c r="BB91" s="190"/>
      <c r="BC91" s="190"/>
      <c r="BD91" s="190"/>
      <c r="BE91" s="190"/>
      <c r="BF91" s="190"/>
      <c r="BG91" s="190"/>
      <c r="BH91" s="190"/>
      <c r="BI91" s="190"/>
      <c r="BJ91" s="190"/>
      <c r="BK91" s="190"/>
      <c r="BL91" s="190"/>
      <c r="BM91" s="190"/>
      <c r="BN91" s="190"/>
      <c r="BO91" s="190"/>
      <c r="BP91" s="190"/>
      <c r="BQ91" s="190"/>
      <c r="BR91" s="190"/>
      <c r="BS91" s="190"/>
      <c r="BT91" s="190"/>
      <c r="BU91" s="190"/>
      <c r="BV91" s="190"/>
      <c r="BW91" s="190"/>
      <c r="BX91" s="190"/>
      <c r="BY91" s="190"/>
      <c r="BZ91" s="190"/>
      <c r="CA91" s="190"/>
      <c r="CB91" s="190"/>
      <c r="CC91" s="190"/>
      <c r="CD91" s="190"/>
      <c r="CE91" s="190"/>
      <c r="CF91" s="190"/>
      <c r="CG91" s="190"/>
      <c r="CH91" s="190"/>
      <c r="CI91" s="190"/>
      <c r="CJ91" s="190"/>
      <c r="CK91" s="190"/>
      <c r="CL91" s="190"/>
    </row>
    <row r="92" spans="1:90" x14ac:dyDescent="0.25">
      <c r="A92" s="128" t="s">
        <v>63</v>
      </c>
      <c r="B92" s="190">
        <v>1931995805.3800001</v>
      </c>
      <c r="C92" s="190">
        <v>1892809407.02</v>
      </c>
      <c r="D92" s="190">
        <v>1853623008.6600001</v>
      </c>
      <c r="E92" s="190">
        <v>1819397715.6300001</v>
      </c>
      <c r="F92" s="190">
        <v>1770445386.6300001</v>
      </c>
      <c r="G92" s="190">
        <v>1722277484.29</v>
      </c>
      <c r="H92" s="190">
        <v>1701969180.1600001</v>
      </c>
      <c r="I92" s="190">
        <v>1045440853.66</v>
      </c>
      <c r="J92" s="190">
        <v>1029955856.86</v>
      </c>
      <c r="K92" s="190">
        <v>897471809.46000004</v>
      </c>
      <c r="L92" s="190">
        <v>1674323161.6600001</v>
      </c>
      <c r="M92" s="190">
        <v>1639607652.22</v>
      </c>
      <c r="N92" s="190">
        <v>1598822832.7</v>
      </c>
      <c r="O92" s="190">
        <v>1563278778.53</v>
      </c>
      <c r="P92" s="190">
        <v>1522825634.53</v>
      </c>
      <c r="Q92" s="190">
        <v>1480046325.4100001</v>
      </c>
      <c r="R92" s="190">
        <v>1006607251.12</v>
      </c>
      <c r="S92" s="190">
        <v>994575514.88999999</v>
      </c>
      <c r="T92" s="190">
        <v>970512042.42999995</v>
      </c>
      <c r="U92" s="190">
        <v>970512042.42999995</v>
      </c>
      <c r="V92" s="190">
        <v>942073393.15999997</v>
      </c>
      <c r="W92" s="190">
        <v>1946379198.6600001</v>
      </c>
      <c r="X92" s="190">
        <v>1917940549.3900001</v>
      </c>
      <c r="Y92" s="190">
        <v>1917940549.3900001</v>
      </c>
      <c r="Z92" s="190">
        <v>1898981449.8800001</v>
      </c>
      <c r="AA92" s="190">
        <v>1815879403.73</v>
      </c>
      <c r="AB92" s="190">
        <v>2815879403.73</v>
      </c>
      <c r="AC92" s="190">
        <v>2815879403.73</v>
      </c>
      <c r="AD92" s="190">
        <v>2815879403.73</v>
      </c>
      <c r="AE92" s="190">
        <v>2828547293.7800002</v>
      </c>
      <c r="AF92" s="190">
        <v>3328547293.7800002</v>
      </c>
      <c r="AG92" s="190">
        <v>3328547293.7800002</v>
      </c>
      <c r="AH92" s="190">
        <v>3324047293.7800002</v>
      </c>
      <c r="AI92" s="190">
        <v>3324047293.7800002</v>
      </c>
      <c r="AJ92" s="190">
        <v>36526243.780000001</v>
      </c>
      <c r="AK92" s="190">
        <v>36526243.780000001</v>
      </c>
      <c r="AL92" s="190">
        <v>36076243.780000001</v>
      </c>
      <c r="AM92" s="190">
        <v>799940.86</v>
      </c>
      <c r="AN92" s="190">
        <v>0</v>
      </c>
      <c r="AO92" s="190"/>
      <c r="AP92" s="190"/>
      <c r="AQ92" s="190"/>
      <c r="AR92" s="190"/>
      <c r="AS92" s="190"/>
      <c r="AT92" s="190"/>
      <c r="AU92" s="190"/>
      <c r="AV92" s="190"/>
      <c r="AW92" s="190"/>
      <c r="AX92" s="190"/>
      <c r="AY92" s="190"/>
      <c r="AZ92" s="190"/>
      <c r="BA92" s="190"/>
      <c r="BB92" s="190"/>
      <c r="BC92" s="190"/>
      <c r="BD92" s="190"/>
      <c r="BE92" s="190"/>
      <c r="BF92" s="190"/>
      <c r="BG92" s="190"/>
      <c r="BH92" s="190"/>
      <c r="BI92" s="190"/>
      <c r="BJ92" s="190"/>
      <c r="BK92" s="190"/>
      <c r="BL92" s="190"/>
      <c r="BM92" s="190"/>
      <c r="BN92" s="190"/>
      <c r="BO92" s="190"/>
      <c r="BP92" s="190"/>
      <c r="BQ92" s="190"/>
      <c r="BR92" s="190"/>
      <c r="BS92" s="190"/>
      <c r="BT92" s="190"/>
      <c r="BU92" s="190"/>
      <c r="BV92" s="190"/>
      <c r="BW92" s="190"/>
      <c r="BX92" s="190"/>
      <c r="BY92" s="190"/>
      <c r="BZ92" s="190"/>
      <c r="CA92" s="190"/>
      <c r="CB92" s="190"/>
      <c r="CC92" s="190"/>
      <c r="CD92" s="190"/>
      <c r="CE92" s="190"/>
      <c r="CF92" s="190"/>
      <c r="CG92" s="190"/>
      <c r="CH92" s="190"/>
      <c r="CI92" s="190"/>
      <c r="CJ92" s="190"/>
      <c r="CK92" s="190"/>
      <c r="CL92" s="190"/>
    </row>
    <row r="93" spans="1:90" x14ac:dyDescent="0.25">
      <c r="A93" s="128" t="s">
        <v>64</v>
      </c>
      <c r="B93" s="190">
        <v>681816656.88999999</v>
      </c>
      <c r="C93" s="190">
        <v>681816656.88999999</v>
      </c>
      <c r="D93" s="190">
        <v>738027880.88999999</v>
      </c>
      <c r="E93" s="190">
        <v>744583627.22000003</v>
      </c>
      <c r="F93" s="190">
        <v>853507327.54999995</v>
      </c>
      <c r="G93" s="190">
        <v>853507327.54999995</v>
      </c>
      <c r="H93" s="190">
        <v>964716036.71000004</v>
      </c>
      <c r="I93" s="190">
        <v>300177750.17000002</v>
      </c>
      <c r="J93" s="190">
        <v>518074596.89999998</v>
      </c>
      <c r="K93" s="190">
        <v>518074596.89999998</v>
      </c>
      <c r="L93" s="190">
        <v>518074596.89999998</v>
      </c>
      <c r="M93" s="190">
        <v>518074596.89999998</v>
      </c>
      <c r="N93" s="190">
        <v>547853280.23000002</v>
      </c>
      <c r="O93" s="190">
        <v>547853280.23000002</v>
      </c>
      <c r="P93" s="190">
        <v>547853280.23000002</v>
      </c>
      <c r="Q93" s="190">
        <v>547853280.23000002</v>
      </c>
      <c r="R93" s="190">
        <v>0</v>
      </c>
      <c r="S93" s="190">
        <v>0</v>
      </c>
      <c r="T93" s="190">
        <v>0</v>
      </c>
      <c r="U93" s="190">
        <v>0</v>
      </c>
      <c r="V93" s="190">
        <v>0</v>
      </c>
      <c r="W93" s="190">
        <v>0</v>
      </c>
      <c r="X93" s="190">
        <v>0</v>
      </c>
      <c r="Y93" s="190">
        <v>0</v>
      </c>
      <c r="Z93" s="190">
        <v>0</v>
      </c>
      <c r="AA93" s="190">
        <v>0</v>
      </c>
      <c r="AB93" s="190">
        <v>0</v>
      </c>
      <c r="AC93" s="190">
        <v>0</v>
      </c>
      <c r="AD93" s="190">
        <v>0</v>
      </c>
      <c r="AE93" s="190">
        <v>0</v>
      </c>
      <c r="AF93" s="190">
        <v>0</v>
      </c>
      <c r="AG93" s="190">
        <v>0</v>
      </c>
      <c r="AH93" s="190">
        <v>0</v>
      </c>
      <c r="AI93" s="190">
        <v>0</v>
      </c>
      <c r="AJ93" s="190">
        <v>0</v>
      </c>
      <c r="AK93" s="190">
        <v>0</v>
      </c>
      <c r="AL93" s="190">
        <v>0</v>
      </c>
      <c r="AM93" s="190">
        <v>0</v>
      </c>
      <c r="AN93" s="190">
        <v>0</v>
      </c>
      <c r="AO93" s="190">
        <v>0</v>
      </c>
      <c r="AP93" s="190">
        <v>0</v>
      </c>
      <c r="AQ93" s="190">
        <v>0</v>
      </c>
      <c r="AR93" s="190">
        <v>0</v>
      </c>
      <c r="AS93" s="190">
        <v>0</v>
      </c>
      <c r="AT93" s="190">
        <v>0</v>
      </c>
      <c r="AU93" s="190">
        <v>0</v>
      </c>
      <c r="AV93" s="190">
        <v>0</v>
      </c>
      <c r="AW93" s="190">
        <v>0</v>
      </c>
      <c r="AX93" s="190">
        <v>0</v>
      </c>
      <c r="AY93" s="190">
        <v>0</v>
      </c>
      <c r="AZ93" s="190">
        <v>0</v>
      </c>
      <c r="BA93" s="190">
        <v>0</v>
      </c>
      <c r="BB93" s="190">
        <v>0</v>
      </c>
      <c r="BC93" s="190">
        <v>0</v>
      </c>
      <c r="BD93" s="190">
        <v>0</v>
      </c>
      <c r="BE93" s="190">
        <v>0</v>
      </c>
      <c r="BF93" s="190">
        <v>0</v>
      </c>
      <c r="BG93" s="190">
        <v>0</v>
      </c>
      <c r="BH93" s="190">
        <v>0</v>
      </c>
      <c r="BI93" s="190">
        <v>0</v>
      </c>
      <c r="BJ93" s="190">
        <v>0</v>
      </c>
      <c r="BK93" s="190">
        <v>0</v>
      </c>
      <c r="BL93" s="190">
        <v>0</v>
      </c>
      <c r="BM93" s="190">
        <v>0</v>
      </c>
      <c r="BN93" s="190">
        <v>0</v>
      </c>
      <c r="BO93" s="190">
        <v>0</v>
      </c>
      <c r="BP93" s="190">
        <v>0</v>
      </c>
      <c r="BQ93" s="190">
        <v>0</v>
      </c>
      <c r="BR93" s="190">
        <v>0</v>
      </c>
      <c r="BS93" s="190">
        <v>0</v>
      </c>
      <c r="BT93" s="190">
        <v>0</v>
      </c>
      <c r="BU93" s="190">
        <v>0</v>
      </c>
      <c r="BV93" s="190">
        <v>0</v>
      </c>
      <c r="BW93" s="190">
        <v>0</v>
      </c>
      <c r="BX93" s="190">
        <v>0</v>
      </c>
      <c r="BY93" s="190">
        <v>0</v>
      </c>
      <c r="BZ93" s="190">
        <v>0</v>
      </c>
      <c r="CA93" s="190">
        <v>0</v>
      </c>
      <c r="CB93" s="190">
        <v>0</v>
      </c>
      <c r="CC93" s="190">
        <v>0</v>
      </c>
      <c r="CD93" s="190">
        <v>0</v>
      </c>
      <c r="CE93" s="190">
        <v>0</v>
      </c>
      <c r="CF93" s="190">
        <v>0</v>
      </c>
      <c r="CG93" s="190">
        <v>0</v>
      </c>
      <c r="CH93" s="190">
        <v>0</v>
      </c>
      <c r="CI93" s="190">
        <v>0</v>
      </c>
      <c r="CJ93" s="190">
        <v>0</v>
      </c>
      <c r="CK93" s="190">
        <v>0</v>
      </c>
      <c r="CL93" s="190">
        <v>0</v>
      </c>
    </row>
    <row r="94" spans="1:90" x14ac:dyDescent="0.25">
      <c r="A94" s="128" t="s">
        <v>65</v>
      </c>
      <c r="B94" s="190">
        <v>-53399341.649999999</v>
      </c>
      <c r="C94" s="190">
        <v>-40576485.060000002</v>
      </c>
      <c r="D94" s="190">
        <v>-10525753.1</v>
      </c>
      <c r="E94" s="190">
        <v>-27677939.350000001</v>
      </c>
      <c r="F94" s="190">
        <v>-40837393.469999999</v>
      </c>
      <c r="G94" s="190">
        <v>-12639845.439999999</v>
      </c>
      <c r="H94" s="190">
        <v>-37431437.119999997</v>
      </c>
      <c r="I94" s="190">
        <v>-41230777.210000001</v>
      </c>
      <c r="J94" s="190">
        <v>-44047557.649999999</v>
      </c>
      <c r="K94" s="190">
        <v>-45201581.049999997</v>
      </c>
      <c r="L94" s="190">
        <v>-34458266</v>
      </c>
      <c r="M94" s="190">
        <v>-27660017.699999999</v>
      </c>
      <c r="N94" s="190">
        <v>-21509492.170000002</v>
      </c>
      <c r="O94" s="190">
        <v>-18156382.199999999</v>
      </c>
      <c r="P94" s="190">
        <v>-17369096.760000002</v>
      </c>
      <c r="Q94" s="190">
        <v>-8837417.4600000009</v>
      </c>
      <c r="R94" s="190">
        <v>0</v>
      </c>
      <c r="S94" s="190">
        <v>0</v>
      </c>
      <c r="T94" s="190">
        <v>0</v>
      </c>
      <c r="U94" s="190">
        <v>0</v>
      </c>
      <c r="V94" s="190">
        <v>0</v>
      </c>
      <c r="W94" s="190">
        <v>0</v>
      </c>
      <c r="X94" s="190">
        <v>0</v>
      </c>
      <c r="Y94" s="190">
        <v>0</v>
      </c>
      <c r="Z94" s="190">
        <v>0</v>
      </c>
      <c r="AA94" s="190">
        <v>0</v>
      </c>
      <c r="AB94" s="190">
        <v>0</v>
      </c>
      <c r="AC94" s="190">
        <v>0</v>
      </c>
      <c r="AD94" s="190">
        <v>0</v>
      </c>
      <c r="AE94" s="190">
        <v>0</v>
      </c>
      <c r="AF94" s="190">
        <v>0</v>
      </c>
      <c r="AG94" s="190">
        <v>0</v>
      </c>
      <c r="AH94" s="190">
        <v>0</v>
      </c>
      <c r="AI94" s="190">
        <v>0</v>
      </c>
      <c r="AJ94" s="190">
        <v>0</v>
      </c>
      <c r="AK94" s="190">
        <v>0</v>
      </c>
      <c r="AL94" s="190">
        <v>0</v>
      </c>
      <c r="AM94" s="190">
        <v>0</v>
      </c>
      <c r="AN94" s="190">
        <v>0</v>
      </c>
      <c r="AO94" s="190">
        <v>0</v>
      </c>
      <c r="AP94" s="190">
        <v>0</v>
      </c>
      <c r="AQ94" s="190">
        <v>0</v>
      </c>
      <c r="AR94" s="190">
        <v>0</v>
      </c>
      <c r="AS94" s="190">
        <v>0</v>
      </c>
      <c r="AT94" s="190">
        <v>0</v>
      </c>
      <c r="AU94" s="190">
        <v>0</v>
      </c>
      <c r="AV94" s="190">
        <v>0</v>
      </c>
      <c r="AW94" s="190">
        <v>0</v>
      </c>
      <c r="AX94" s="190">
        <v>0</v>
      </c>
      <c r="AY94" s="190">
        <v>0</v>
      </c>
      <c r="AZ94" s="190">
        <v>0</v>
      </c>
      <c r="BA94" s="190">
        <v>0</v>
      </c>
      <c r="BB94" s="190">
        <v>0</v>
      </c>
      <c r="BC94" s="190">
        <v>0</v>
      </c>
      <c r="BD94" s="190">
        <v>0</v>
      </c>
      <c r="BE94" s="190">
        <v>0</v>
      </c>
      <c r="BF94" s="190">
        <v>0</v>
      </c>
      <c r="BG94" s="190">
        <v>0</v>
      </c>
      <c r="BH94" s="190">
        <v>0</v>
      </c>
      <c r="BI94" s="190">
        <v>0</v>
      </c>
      <c r="BJ94" s="190">
        <v>0</v>
      </c>
      <c r="BK94" s="190">
        <v>0</v>
      </c>
      <c r="BL94" s="190">
        <v>0</v>
      </c>
      <c r="BM94" s="190">
        <v>0</v>
      </c>
      <c r="BN94" s="190">
        <v>0</v>
      </c>
      <c r="BO94" s="190">
        <v>0</v>
      </c>
      <c r="BP94" s="190">
        <v>0</v>
      </c>
      <c r="BQ94" s="190">
        <v>0</v>
      </c>
      <c r="BR94" s="190">
        <v>0</v>
      </c>
      <c r="BS94" s="190">
        <v>0</v>
      </c>
      <c r="BT94" s="190">
        <v>0</v>
      </c>
      <c r="BU94" s="190">
        <v>0</v>
      </c>
      <c r="BV94" s="190">
        <v>0</v>
      </c>
      <c r="BW94" s="190">
        <v>0</v>
      </c>
      <c r="BX94" s="190">
        <v>0</v>
      </c>
      <c r="BY94" s="190">
        <v>0</v>
      </c>
      <c r="BZ94" s="190">
        <v>0</v>
      </c>
      <c r="CA94" s="190">
        <v>0</v>
      </c>
      <c r="CB94" s="190">
        <v>0</v>
      </c>
      <c r="CC94" s="190">
        <v>0</v>
      </c>
      <c r="CD94" s="190">
        <v>0</v>
      </c>
      <c r="CE94" s="190">
        <v>0</v>
      </c>
      <c r="CF94" s="190">
        <v>0</v>
      </c>
      <c r="CG94" s="190">
        <v>0</v>
      </c>
      <c r="CH94" s="190">
        <v>0</v>
      </c>
      <c r="CI94" s="190">
        <v>0</v>
      </c>
      <c r="CJ94" s="190">
        <v>0</v>
      </c>
      <c r="CK94" s="190">
        <v>0</v>
      </c>
      <c r="CL94" s="190">
        <v>0</v>
      </c>
    </row>
    <row r="95" spans="1:90" x14ac:dyDescent="0.25">
      <c r="A95" s="128" t="s">
        <v>66</v>
      </c>
      <c r="B95" s="190">
        <v>0</v>
      </c>
      <c r="C95" s="190">
        <v>0</v>
      </c>
      <c r="D95" s="190">
        <v>0</v>
      </c>
      <c r="E95" s="190">
        <v>0</v>
      </c>
      <c r="F95" s="190">
        <v>0</v>
      </c>
      <c r="G95" s="190">
        <v>0</v>
      </c>
      <c r="H95" s="190">
        <v>0</v>
      </c>
      <c r="I95" s="190">
        <v>0</v>
      </c>
      <c r="J95" s="190">
        <v>0</v>
      </c>
      <c r="K95" s="190">
        <v>0</v>
      </c>
      <c r="L95" s="190">
        <v>0</v>
      </c>
      <c r="M95" s="190">
        <v>0</v>
      </c>
      <c r="N95" s="190">
        <v>0</v>
      </c>
      <c r="O95" s="190">
        <v>0</v>
      </c>
      <c r="P95" s="190">
        <v>0</v>
      </c>
      <c r="Q95" s="190">
        <v>0</v>
      </c>
      <c r="R95" s="190">
        <v>0</v>
      </c>
      <c r="S95" s="190">
        <v>0</v>
      </c>
      <c r="T95" s="190">
        <v>0</v>
      </c>
      <c r="U95" s="190">
        <v>0</v>
      </c>
      <c r="V95" s="190">
        <v>0</v>
      </c>
      <c r="W95" s="190">
        <v>0</v>
      </c>
      <c r="X95" s="190">
        <v>0</v>
      </c>
      <c r="Y95" s="190">
        <v>0</v>
      </c>
      <c r="Z95" s="190">
        <v>0</v>
      </c>
      <c r="AA95" s="190">
        <v>0</v>
      </c>
      <c r="AB95" s="190">
        <v>0</v>
      </c>
      <c r="AC95" s="190">
        <v>0</v>
      </c>
      <c r="AD95" s="190">
        <v>0</v>
      </c>
      <c r="AE95" s="190">
        <v>0</v>
      </c>
      <c r="AF95" s="190">
        <v>0</v>
      </c>
      <c r="AG95" s="190">
        <v>0</v>
      </c>
      <c r="AH95" s="190">
        <v>0</v>
      </c>
      <c r="AI95" s="190">
        <v>0</v>
      </c>
      <c r="AJ95" s="190">
        <v>0</v>
      </c>
      <c r="AK95" s="190">
        <v>0</v>
      </c>
      <c r="AL95" s="190">
        <v>0</v>
      </c>
      <c r="AM95" s="190">
        <v>0</v>
      </c>
      <c r="AN95" s="190">
        <v>0</v>
      </c>
      <c r="AO95" s="190">
        <v>0</v>
      </c>
      <c r="AP95" s="190">
        <v>0</v>
      </c>
      <c r="AQ95" s="190">
        <v>0</v>
      </c>
      <c r="AR95" s="190">
        <v>0</v>
      </c>
      <c r="AS95" s="190">
        <v>0</v>
      </c>
      <c r="AT95" s="190">
        <v>0</v>
      </c>
      <c r="AU95" s="190">
        <v>0</v>
      </c>
      <c r="AV95" s="190">
        <v>0</v>
      </c>
      <c r="AW95" s="190">
        <v>0</v>
      </c>
      <c r="AX95" s="190">
        <v>0</v>
      </c>
      <c r="AY95" s="190">
        <v>0</v>
      </c>
      <c r="AZ95" s="190">
        <v>0</v>
      </c>
      <c r="BA95" s="190">
        <v>0</v>
      </c>
      <c r="BB95" s="190">
        <v>0</v>
      </c>
      <c r="BC95" s="190">
        <v>0</v>
      </c>
      <c r="BD95" s="190">
        <v>0</v>
      </c>
      <c r="BE95" s="190">
        <v>0</v>
      </c>
      <c r="BF95" s="190">
        <v>0</v>
      </c>
      <c r="BG95" s="190">
        <v>0</v>
      </c>
      <c r="BH95" s="190">
        <v>0</v>
      </c>
      <c r="BI95" s="190">
        <v>0</v>
      </c>
      <c r="BJ95" s="190">
        <v>0</v>
      </c>
      <c r="BK95" s="190">
        <v>0</v>
      </c>
      <c r="BL95" s="190">
        <v>0</v>
      </c>
      <c r="BM95" s="190">
        <v>0</v>
      </c>
      <c r="BN95" s="190">
        <v>0</v>
      </c>
      <c r="BO95" s="190">
        <v>0</v>
      </c>
      <c r="BP95" s="190">
        <v>0</v>
      </c>
      <c r="BQ95" s="190">
        <v>0</v>
      </c>
      <c r="BR95" s="190">
        <v>0</v>
      </c>
      <c r="BS95" s="190">
        <v>0</v>
      </c>
      <c r="BT95" s="190">
        <v>0</v>
      </c>
      <c r="BU95" s="190">
        <v>0</v>
      </c>
      <c r="BV95" s="190">
        <v>0</v>
      </c>
      <c r="BW95" s="190">
        <v>0</v>
      </c>
      <c r="BX95" s="190">
        <v>0</v>
      </c>
      <c r="BY95" s="190">
        <v>0</v>
      </c>
      <c r="BZ95" s="190">
        <v>0</v>
      </c>
      <c r="CA95" s="190">
        <v>0</v>
      </c>
      <c r="CB95" s="190">
        <v>0</v>
      </c>
      <c r="CC95" s="190">
        <v>0</v>
      </c>
      <c r="CD95" s="190">
        <v>0</v>
      </c>
      <c r="CE95" s="190">
        <v>0</v>
      </c>
      <c r="CF95" s="190">
        <v>0</v>
      </c>
      <c r="CG95" s="190">
        <v>0</v>
      </c>
      <c r="CH95" s="190">
        <v>0</v>
      </c>
      <c r="CI95" s="190">
        <v>0</v>
      </c>
      <c r="CJ95" s="190">
        <v>0</v>
      </c>
      <c r="CK95" s="190">
        <v>0</v>
      </c>
      <c r="CL95" s="190">
        <v>0</v>
      </c>
    </row>
    <row r="96" spans="1:90" x14ac:dyDescent="0.25">
      <c r="A96" s="128" t="s">
        <v>67</v>
      </c>
      <c r="B96" s="190">
        <v>3483742918.5300002</v>
      </c>
      <c r="C96" s="190">
        <v>3483742918.5300002</v>
      </c>
      <c r="D96" s="190">
        <v>3483742918.5300002</v>
      </c>
      <c r="E96" s="190">
        <v>3483742918.5300002</v>
      </c>
      <c r="F96" s="190">
        <v>2615437822.1500001</v>
      </c>
      <c r="G96" s="190">
        <v>2615437822.1500001</v>
      </c>
      <c r="H96" s="190">
        <v>2615437822.1500001</v>
      </c>
      <c r="I96" s="190">
        <v>2615437822.1500001</v>
      </c>
      <c r="J96" s="190">
        <v>1895061004.0899999</v>
      </c>
      <c r="K96" s="190">
        <v>1895061004.0899999</v>
      </c>
      <c r="L96" s="190">
        <v>1895061004.0899999</v>
      </c>
      <c r="M96" s="190">
        <v>1895061004.0899999</v>
      </c>
      <c r="N96" s="190">
        <v>1339597584.02</v>
      </c>
      <c r="O96" s="190">
        <v>1339597584.02</v>
      </c>
      <c r="P96" s="190">
        <v>1339597584.02</v>
      </c>
      <c r="Q96" s="190">
        <v>1339597584.02</v>
      </c>
      <c r="R96" s="190">
        <v>891846359.5</v>
      </c>
      <c r="S96" s="190">
        <v>891846359.5</v>
      </c>
      <c r="T96" s="190">
        <v>891846359.5</v>
      </c>
      <c r="U96" s="190">
        <v>891846359.5</v>
      </c>
      <c r="V96" s="190">
        <v>596927870.97000003</v>
      </c>
      <c r="W96" s="190">
        <v>596927870.97000003</v>
      </c>
      <c r="X96" s="190">
        <v>596927870.97000003</v>
      </c>
      <c r="Y96" s="190">
        <v>596927870.97000003</v>
      </c>
      <c r="Z96" s="190">
        <v>383503419.01999998</v>
      </c>
      <c r="AA96" s="190">
        <v>383503419.01999998</v>
      </c>
      <c r="AB96" s="190">
        <v>386184508.94</v>
      </c>
      <c r="AC96" s="190">
        <v>383503419.01999998</v>
      </c>
      <c r="AD96" s="190">
        <v>230777710.65000001</v>
      </c>
      <c r="AE96" s="190">
        <v>230777710.65000001</v>
      </c>
      <c r="AF96" s="190">
        <v>230777710.65000001</v>
      </c>
      <c r="AG96" s="190">
        <v>230777710.65000001</v>
      </c>
      <c r="AH96" s="190">
        <v>121702084.61</v>
      </c>
      <c r="AI96" s="190">
        <v>121702084.61</v>
      </c>
      <c r="AJ96" s="190">
        <v>121702084.61</v>
      </c>
      <c r="AK96" s="190">
        <v>121702084.61</v>
      </c>
      <c r="AL96" s="190">
        <v>48597174.299999997</v>
      </c>
      <c r="AM96" s="190">
        <v>69323027.489999995</v>
      </c>
      <c r="AN96" s="190">
        <v>0</v>
      </c>
      <c r="AO96" s="190">
        <v>1985197516.3199999</v>
      </c>
      <c r="AP96" s="190">
        <v>1960895723.9000001</v>
      </c>
      <c r="AQ96" s="190">
        <v>1931960377.45</v>
      </c>
      <c r="AR96" s="190">
        <v>1904071967.1600001</v>
      </c>
      <c r="AS96" s="190">
        <v>1803743654.97</v>
      </c>
      <c r="AT96" s="190">
        <v>1784842154.0899999</v>
      </c>
      <c r="AU96" s="190">
        <v>1769499231.54</v>
      </c>
      <c r="AV96" s="190">
        <v>1728597077.04</v>
      </c>
      <c r="AW96" s="190">
        <v>1656111478.8599999</v>
      </c>
      <c r="AX96" s="190">
        <v>1605045274.6500001</v>
      </c>
      <c r="AY96" s="190">
        <v>1586050475.99</v>
      </c>
      <c r="AZ96" s="190">
        <v>1503840551.3499999</v>
      </c>
      <c r="BA96" s="190">
        <v>1421686339.5</v>
      </c>
      <c r="BB96" s="190">
        <v>1389360858.45</v>
      </c>
      <c r="BC96" s="190">
        <v>1382274938.1900001</v>
      </c>
      <c r="BD96" s="190">
        <v>1254574026.6800001</v>
      </c>
      <c r="BE96" s="190">
        <v>1187372649.6400001</v>
      </c>
      <c r="BF96" s="190">
        <v>1118260147.0599999</v>
      </c>
      <c r="BG96" s="190">
        <v>1098510367.5599999</v>
      </c>
      <c r="BH96" s="190">
        <v>994296939.84000003</v>
      </c>
      <c r="BI96" s="190">
        <v>939688251.88</v>
      </c>
      <c r="BJ96" s="190">
        <v>870801644.83000004</v>
      </c>
      <c r="BK96" s="190">
        <v>854086763.44000006</v>
      </c>
      <c r="BL96" s="190">
        <v>772450547.37</v>
      </c>
      <c r="BM96" s="190">
        <v>719760715.63</v>
      </c>
      <c r="BN96" s="190">
        <v>664546335.02999997</v>
      </c>
      <c r="BO96" s="190">
        <v>643227764.61000001</v>
      </c>
      <c r="BP96" s="190">
        <v>576048176.03999996</v>
      </c>
      <c r="BQ96" s="190">
        <v>532864074.19999999</v>
      </c>
      <c r="BR96" s="190">
        <v>0</v>
      </c>
      <c r="BS96" s="190">
        <v>381752149.10000002</v>
      </c>
      <c r="BT96" s="190">
        <v>352223969.88999999</v>
      </c>
      <c r="BU96" s="190">
        <v>309989497.47000003</v>
      </c>
      <c r="BV96" s="190">
        <v>259244599.52000001</v>
      </c>
      <c r="BW96" s="190">
        <v>194772679.46000001</v>
      </c>
      <c r="BX96" s="190">
        <v>144007744.87</v>
      </c>
      <c r="BY96" s="190">
        <v>96446307.129999995</v>
      </c>
      <c r="BZ96" s="190">
        <v>51390553.909999996</v>
      </c>
      <c r="CA96" s="190">
        <v>13452642.869999999</v>
      </c>
      <c r="CB96" s="190">
        <v>0</v>
      </c>
      <c r="CC96" s="190">
        <v>0</v>
      </c>
      <c r="CD96" s="190">
        <v>0</v>
      </c>
      <c r="CE96" s="190">
        <v>34778000</v>
      </c>
      <c r="CF96" s="190">
        <v>10546287.800000001</v>
      </c>
      <c r="CG96" s="190">
        <v>1136843.69</v>
      </c>
      <c r="CH96" s="190">
        <v>0</v>
      </c>
      <c r="CI96" s="190">
        <v>0</v>
      </c>
      <c r="CJ96" s="190">
        <v>0</v>
      </c>
      <c r="CK96" s="190">
        <v>0</v>
      </c>
      <c r="CL96" s="190">
        <v>0</v>
      </c>
    </row>
    <row r="97" spans="1:90" x14ac:dyDescent="0.25">
      <c r="A97" s="128" t="s">
        <v>68</v>
      </c>
      <c r="B97" s="190">
        <v>0</v>
      </c>
      <c r="C97" s="190">
        <v>0</v>
      </c>
      <c r="D97" s="190">
        <v>0</v>
      </c>
      <c r="E97" s="190">
        <v>0</v>
      </c>
      <c r="F97" s="190">
        <v>0</v>
      </c>
      <c r="G97" s="190">
        <v>0</v>
      </c>
      <c r="H97" s="190">
        <v>0</v>
      </c>
      <c r="I97" s="190">
        <v>0</v>
      </c>
      <c r="J97" s="190">
        <v>0</v>
      </c>
      <c r="K97" s="190">
        <v>0</v>
      </c>
      <c r="L97" s="190">
        <v>0</v>
      </c>
      <c r="M97" s="190">
        <v>0</v>
      </c>
      <c r="N97" s="190">
        <v>0</v>
      </c>
      <c r="O97" s="190">
        <v>0</v>
      </c>
      <c r="P97" s="190">
        <v>0</v>
      </c>
      <c r="Q97" s="190">
        <v>0</v>
      </c>
      <c r="R97" s="190">
        <v>0</v>
      </c>
      <c r="S97" s="190">
        <v>0</v>
      </c>
      <c r="T97" s="190">
        <v>0</v>
      </c>
      <c r="U97" s="190">
        <v>0</v>
      </c>
      <c r="V97" s="190">
        <v>0</v>
      </c>
      <c r="W97" s="190">
        <v>0</v>
      </c>
      <c r="X97" s="190">
        <v>0</v>
      </c>
      <c r="Y97" s="190">
        <v>0</v>
      </c>
      <c r="Z97" s="190">
        <v>0</v>
      </c>
      <c r="AA97" s="190">
        <v>0</v>
      </c>
      <c r="AB97" s="190">
        <v>0</v>
      </c>
      <c r="AC97" s="190">
        <v>0</v>
      </c>
      <c r="AD97" s="190">
        <v>0</v>
      </c>
      <c r="AE97" s="190">
        <v>0</v>
      </c>
      <c r="AF97" s="190">
        <v>0</v>
      </c>
      <c r="AG97" s="190">
        <v>0</v>
      </c>
      <c r="AH97" s="190">
        <v>0</v>
      </c>
      <c r="AI97" s="190">
        <v>0</v>
      </c>
      <c r="AJ97" s="190">
        <v>0</v>
      </c>
      <c r="AK97" s="190">
        <v>0</v>
      </c>
      <c r="AL97" s="190">
        <v>0</v>
      </c>
      <c r="AM97" s="190">
        <v>0</v>
      </c>
      <c r="AN97" s="190">
        <v>0</v>
      </c>
      <c r="AO97" s="190">
        <v>0</v>
      </c>
      <c r="AP97" s="190">
        <v>0</v>
      </c>
      <c r="AQ97" s="190">
        <v>0</v>
      </c>
      <c r="AR97" s="190">
        <v>0</v>
      </c>
      <c r="AS97" s="190">
        <v>0</v>
      </c>
      <c r="AT97" s="190">
        <v>0</v>
      </c>
      <c r="AU97" s="190">
        <v>0</v>
      </c>
      <c r="AV97" s="190">
        <v>0</v>
      </c>
      <c r="AW97" s="190">
        <v>0</v>
      </c>
      <c r="AX97" s="190">
        <v>0</v>
      </c>
      <c r="AY97" s="190">
        <v>0</v>
      </c>
      <c r="AZ97" s="190">
        <v>0</v>
      </c>
      <c r="BA97" s="190">
        <v>0</v>
      </c>
      <c r="BB97" s="190">
        <v>0</v>
      </c>
      <c r="BC97" s="190">
        <v>0</v>
      </c>
      <c r="BD97" s="190">
        <v>0</v>
      </c>
      <c r="BE97" s="190">
        <v>0</v>
      </c>
      <c r="BF97" s="190">
        <v>0</v>
      </c>
      <c r="BG97" s="190">
        <v>0</v>
      </c>
      <c r="BH97" s="190">
        <v>0</v>
      </c>
      <c r="BI97" s="190">
        <v>0</v>
      </c>
      <c r="BJ97" s="190">
        <v>0</v>
      </c>
      <c r="BK97" s="190">
        <v>0</v>
      </c>
      <c r="BL97" s="190">
        <v>0</v>
      </c>
      <c r="BM97" s="190">
        <v>0</v>
      </c>
      <c r="BN97" s="190">
        <v>0</v>
      </c>
      <c r="BO97" s="190">
        <v>0</v>
      </c>
      <c r="BP97" s="190">
        <v>0</v>
      </c>
      <c r="BQ97" s="190">
        <v>0</v>
      </c>
      <c r="BR97" s="190">
        <v>0</v>
      </c>
      <c r="BS97" s="190">
        <v>0</v>
      </c>
      <c r="BT97" s="190">
        <v>0</v>
      </c>
      <c r="BU97" s="190">
        <v>0</v>
      </c>
      <c r="BV97" s="190">
        <v>0</v>
      </c>
      <c r="BW97" s="190">
        <v>0</v>
      </c>
      <c r="BX97" s="190">
        <v>0</v>
      </c>
      <c r="BY97" s="190">
        <v>0</v>
      </c>
      <c r="BZ97" s="190">
        <v>0</v>
      </c>
      <c r="CA97" s="190">
        <v>0</v>
      </c>
      <c r="CB97" s="190">
        <v>0</v>
      </c>
      <c r="CC97" s="190">
        <v>0</v>
      </c>
      <c r="CD97" s="190">
        <v>0</v>
      </c>
      <c r="CE97" s="190">
        <v>0</v>
      </c>
      <c r="CF97" s="190">
        <v>0</v>
      </c>
      <c r="CG97" s="190">
        <v>0</v>
      </c>
      <c r="CH97" s="190">
        <v>0</v>
      </c>
      <c r="CI97" s="190">
        <v>0</v>
      </c>
      <c r="CJ97" s="190">
        <v>0</v>
      </c>
      <c r="CK97" s="190">
        <v>0</v>
      </c>
      <c r="CL97" s="190">
        <v>0</v>
      </c>
    </row>
    <row r="98" spans="1:90" x14ac:dyDescent="0.25">
      <c r="A98" s="128" t="s">
        <v>69</v>
      </c>
      <c r="B98" s="190">
        <v>19380496607.16</v>
      </c>
      <c r="C98" s="190">
        <v>16132088991.99</v>
      </c>
      <c r="D98" s="190">
        <v>18414293262.099998</v>
      </c>
      <c r="E98" s="190">
        <v>16598328692.629999</v>
      </c>
      <c r="F98" s="190">
        <v>14204721105.209999</v>
      </c>
      <c r="G98" s="190">
        <v>11343452975.379999</v>
      </c>
      <c r="H98" s="190">
        <v>16332953838.639999</v>
      </c>
      <c r="I98" s="190">
        <v>14866457856.65</v>
      </c>
      <c r="J98" s="190">
        <v>13018086804.049999</v>
      </c>
      <c r="K98" s="190">
        <v>10774975734.15</v>
      </c>
      <c r="L98" s="190">
        <v>13339712843.9</v>
      </c>
      <c r="M98" s="190">
        <v>12196097444.07</v>
      </c>
      <c r="N98" s="190">
        <v>10652498019.360001</v>
      </c>
      <c r="O98" s="190">
        <v>9089032952.6399994</v>
      </c>
      <c r="P98" s="190">
        <v>9554804328.3600006</v>
      </c>
      <c r="Q98" s="190">
        <v>8510162428.3100004</v>
      </c>
      <c r="R98" s="190">
        <v>7001346382.5900002</v>
      </c>
      <c r="S98" s="190">
        <v>5812146360.71</v>
      </c>
      <c r="T98" s="190">
        <v>5983484016.4700003</v>
      </c>
      <c r="U98" s="190">
        <v>5296850768.3900003</v>
      </c>
      <c r="V98" s="190">
        <v>4285282659.6100001</v>
      </c>
      <c r="W98" s="190">
        <v>4515119505.0600004</v>
      </c>
      <c r="X98" s="190">
        <v>4582441955.8299999</v>
      </c>
      <c r="Y98" s="190">
        <v>4132010012.8200002</v>
      </c>
      <c r="Z98" s="190">
        <v>3419930258.73</v>
      </c>
      <c r="AA98" s="190">
        <v>2911639032.7199998</v>
      </c>
      <c r="AB98" s="190">
        <v>2953399543.4699998</v>
      </c>
      <c r="AC98" s="190">
        <v>2581750431.0100002</v>
      </c>
      <c r="AD98" s="190">
        <v>2149260623.29</v>
      </c>
      <c r="AE98" s="190">
        <v>1807471931.27</v>
      </c>
      <c r="AF98" s="190">
        <v>1841028945.6199999</v>
      </c>
      <c r="AG98" s="190">
        <v>1580274070.6099999</v>
      </c>
      <c r="AH98" s="190">
        <v>1292991284.8499999</v>
      </c>
      <c r="AI98" s="190">
        <v>1011360217.85</v>
      </c>
      <c r="AJ98" s="190">
        <v>1092521401.1800001</v>
      </c>
      <c r="AK98" s="190">
        <v>887545377.41999996</v>
      </c>
      <c r="AL98" s="190">
        <v>435073161.51999998</v>
      </c>
      <c r="AM98" s="190">
        <v>333748511.95999998</v>
      </c>
      <c r="AN98" s="190">
        <v>0</v>
      </c>
      <c r="AO98" s="190">
        <v>4645699661.0799999</v>
      </c>
      <c r="AP98" s="190">
        <v>4448660799.4700003</v>
      </c>
      <c r="AQ98" s="190">
        <v>4184001582.1900001</v>
      </c>
      <c r="AR98" s="190">
        <v>3939446493.21</v>
      </c>
      <c r="AS98" s="190">
        <v>3016465972.27</v>
      </c>
      <c r="AT98" s="190">
        <v>2895687323</v>
      </c>
      <c r="AU98" s="190">
        <v>2731195492.8200002</v>
      </c>
      <c r="AV98" s="190">
        <v>3619192723.04</v>
      </c>
      <c r="AW98" s="190">
        <v>2936492710.1799998</v>
      </c>
      <c r="AX98" s="190">
        <v>2836202850</v>
      </c>
      <c r="AY98" s="190">
        <v>2655440755.9699998</v>
      </c>
      <c r="AZ98" s="190">
        <v>2735881568.3699999</v>
      </c>
      <c r="BA98" s="190">
        <v>2271940792.2399998</v>
      </c>
      <c r="BB98" s="190">
        <v>2281862701.6399999</v>
      </c>
      <c r="BC98" s="190">
        <v>2108410721.51</v>
      </c>
      <c r="BD98" s="190">
        <v>2060554311.6199999</v>
      </c>
      <c r="BE98" s="190">
        <v>1714905685.0599999</v>
      </c>
      <c r="BF98" s="190">
        <v>1634285513.4000001</v>
      </c>
      <c r="BG98" s="190">
        <v>1512716042.76</v>
      </c>
      <c r="BH98" s="190">
        <v>2819154405.8699999</v>
      </c>
      <c r="BI98" s="190">
        <v>2490295331.4000001</v>
      </c>
      <c r="BJ98" s="190">
        <v>2403776470.8899999</v>
      </c>
      <c r="BK98" s="190">
        <v>2262549503.6999998</v>
      </c>
      <c r="BL98" s="190">
        <v>2243103077.8499999</v>
      </c>
      <c r="BM98" s="190">
        <v>2007248389.73</v>
      </c>
      <c r="BN98" s="190">
        <v>1951462497.3</v>
      </c>
      <c r="BO98" s="190">
        <v>1830539949.02</v>
      </c>
      <c r="BP98" s="190">
        <v>1872926600.26</v>
      </c>
      <c r="BQ98" s="190">
        <v>1667814393.3199999</v>
      </c>
      <c r="BR98" s="190">
        <v>0</v>
      </c>
      <c r="BS98" s="190">
        <v>1712342274.8299999</v>
      </c>
      <c r="BT98" s="190">
        <v>1595935829.22</v>
      </c>
      <c r="BU98" s="190">
        <v>1356607152.1700001</v>
      </c>
      <c r="BV98" s="190">
        <v>1069052730.5</v>
      </c>
      <c r="BW98" s="190">
        <v>703711850.11000001</v>
      </c>
      <c r="BX98" s="190">
        <v>423675870.94999999</v>
      </c>
      <c r="BY98" s="190">
        <v>146529073.66</v>
      </c>
      <c r="BZ98" s="190">
        <v>291213138.67000002</v>
      </c>
      <c r="CA98" s="190">
        <v>76231642.829999998</v>
      </c>
      <c r="CB98" s="190">
        <v>0</v>
      </c>
      <c r="CC98" s="190">
        <v>0</v>
      </c>
      <c r="CD98" s="190">
        <v>0</v>
      </c>
      <c r="CE98" s="190">
        <v>129889000</v>
      </c>
      <c r="CF98" s="190">
        <v>81321459.170000002</v>
      </c>
      <c r="CG98" s="190">
        <v>12975517.09</v>
      </c>
      <c r="CH98" s="190">
        <v>0</v>
      </c>
      <c r="CI98" s="190">
        <v>0</v>
      </c>
      <c r="CJ98" s="190">
        <v>0</v>
      </c>
      <c r="CK98" s="190">
        <v>0</v>
      </c>
      <c r="CL98" s="190">
        <v>0</v>
      </c>
    </row>
    <row r="99" spans="1:90" x14ac:dyDescent="0.25">
      <c r="A99" s="128" t="s">
        <v>70</v>
      </c>
      <c r="B99" s="190">
        <v>0</v>
      </c>
      <c r="C99" s="190">
        <v>119917640.92</v>
      </c>
      <c r="D99" s="190">
        <v>63706416.920000002</v>
      </c>
      <c r="E99" s="190">
        <v>94857139.159999996</v>
      </c>
      <c r="F99" s="190">
        <v>92407139.159999996</v>
      </c>
      <c r="G99" s="190">
        <v>92407139.159999996</v>
      </c>
      <c r="H99" s="190">
        <v>11709186.49</v>
      </c>
      <c r="I99" s="190">
        <v>20105831.16</v>
      </c>
      <c r="J99" s="190">
        <v>24128481.48</v>
      </c>
      <c r="K99" s="190">
        <v>24128481.48</v>
      </c>
      <c r="L99" s="190">
        <v>24128481.48</v>
      </c>
      <c r="M99" s="190">
        <v>24128481.48</v>
      </c>
      <c r="N99" s="190">
        <v>28678121.079999998</v>
      </c>
      <c r="O99" s="190">
        <v>28678121.079999998</v>
      </c>
      <c r="P99" s="190">
        <v>4402278.9800000004</v>
      </c>
      <c r="Q99" s="190">
        <v>4402278.9800000004</v>
      </c>
      <c r="R99" s="190">
        <v>5321375.6399999997</v>
      </c>
      <c r="S99" s="190">
        <v>1006544824.36</v>
      </c>
      <c r="T99" s="190">
        <v>2239018.86</v>
      </c>
      <c r="U99" s="190">
        <v>2239018.86</v>
      </c>
      <c r="V99" s="190">
        <v>2239018.86</v>
      </c>
      <c r="W99" s="190">
        <v>602583483.29999995</v>
      </c>
      <c r="X99" s="190">
        <v>0</v>
      </c>
      <c r="Y99" s="190">
        <v>0</v>
      </c>
      <c r="Z99" s="190">
        <v>0</v>
      </c>
      <c r="AA99" s="190">
        <v>88400000</v>
      </c>
      <c r="AB99" s="190">
        <v>0</v>
      </c>
      <c r="AC99" s="190">
        <v>0</v>
      </c>
      <c r="AD99" s="190">
        <v>0</v>
      </c>
      <c r="AE99" s="190">
        <v>0</v>
      </c>
      <c r="AF99" s="190">
        <v>0</v>
      </c>
      <c r="AG99" s="190">
        <v>0</v>
      </c>
      <c r="AH99" s="190">
        <v>0</v>
      </c>
      <c r="AI99" s="190">
        <v>250000000</v>
      </c>
      <c r="AJ99" s="190">
        <v>0</v>
      </c>
      <c r="AK99" s="190">
        <v>0</v>
      </c>
      <c r="AL99" s="190">
        <v>0</v>
      </c>
      <c r="AM99" s="190">
        <v>33255927.140000001</v>
      </c>
      <c r="AN99" s="190">
        <v>0</v>
      </c>
      <c r="AO99" s="190">
        <v>0</v>
      </c>
      <c r="AP99" s="190">
        <v>0</v>
      </c>
      <c r="AQ99" s="190">
        <v>0</v>
      </c>
      <c r="AR99" s="190">
        <v>0</v>
      </c>
      <c r="AS99" s="190">
        <v>0</v>
      </c>
      <c r="AT99" s="190">
        <v>100000000</v>
      </c>
      <c r="AU99" s="190">
        <v>100000000</v>
      </c>
      <c r="AV99" s="190">
        <v>0</v>
      </c>
      <c r="AW99" s="190">
        <v>0</v>
      </c>
      <c r="AX99" s="190">
        <v>0</v>
      </c>
      <c r="AY99" s="190">
        <v>41778688</v>
      </c>
      <c r="AZ99" s="190">
        <v>0</v>
      </c>
      <c r="BA99" s="190">
        <v>0</v>
      </c>
      <c r="BB99" s="190">
        <v>0</v>
      </c>
      <c r="BC99" s="190">
        <v>0</v>
      </c>
      <c r="BD99" s="190">
        <v>0</v>
      </c>
      <c r="BE99" s="190">
        <v>0</v>
      </c>
      <c r="BF99" s="190">
        <v>0</v>
      </c>
      <c r="BG99" s="190">
        <v>0</v>
      </c>
      <c r="BH99" s="190">
        <v>0</v>
      </c>
      <c r="BI99" s="190">
        <v>0</v>
      </c>
      <c r="BJ99" s="190">
        <v>15606000</v>
      </c>
      <c r="BK99" s="190">
        <v>15606000</v>
      </c>
      <c r="BL99" s="190">
        <v>15606000</v>
      </c>
      <c r="BM99" s="190">
        <v>15606000</v>
      </c>
      <c r="BN99" s="190">
        <v>15606000</v>
      </c>
      <c r="BO99" s="190">
        <v>15606000</v>
      </c>
      <c r="BP99" s="190">
        <v>21726000</v>
      </c>
      <c r="BQ99" s="190">
        <v>21726000</v>
      </c>
      <c r="BR99" s="190">
        <v>0</v>
      </c>
      <c r="BS99" s="190">
        <v>51120000</v>
      </c>
      <c r="BT99" s="190">
        <v>0</v>
      </c>
      <c r="BU99" s="190">
        <v>0</v>
      </c>
      <c r="BV99" s="190">
        <v>0</v>
      </c>
      <c r="BW99" s="190">
        <v>0</v>
      </c>
      <c r="BX99" s="190">
        <v>0</v>
      </c>
      <c r="BY99" s="190">
        <v>400000000</v>
      </c>
      <c r="BZ99" s="190">
        <v>0</v>
      </c>
      <c r="CA99" s="190">
        <v>0</v>
      </c>
      <c r="CB99" s="190">
        <v>0</v>
      </c>
      <c r="CC99" s="190">
        <v>0</v>
      </c>
      <c r="CD99" s="190">
        <v>0</v>
      </c>
      <c r="CE99" s="190">
        <v>0</v>
      </c>
      <c r="CF99" s="190">
        <v>0</v>
      </c>
      <c r="CG99" s="190">
        <v>0</v>
      </c>
      <c r="CH99" s="190">
        <v>0</v>
      </c>
      <c r="CI99" s="190">
        <v>0</v>
      </c>
      <c r="CJ99" s="190">
        <v>0</v>
      </c>
      <c r="CK99" s="190">
        <v>0</v>
      </c>
      <c r="CL99" s="190">
        <v>0</v>
      </c>
    </row>
    <row r="100" spans="1:90" x14ac:dyDescent="0.25">
      <c r="A100" s="128"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8" t="s">
        <v>71</v>
      </c>
      <c r="B101" s="190">
        <v>0</v>
      </c>
      <c r="C101" s="190">
        <v>0</v>
      </c>
      <c r="D101" s="190">
        <v>0</v>
      </c>
      <c r="E101" s="190">
        <v>0</v>
      </c>
      <c r="F101" s="190">
        <v>0</v>
      </c>
      <c r="G101" s="190">
        <v>0</v>
      </c>
      <c r="H101" s="190">
        <v>0</v>
      </c>
      <c r="I101" s="190">
        <v>0</v>
      </c>
      <c r="J101" s="190">
        <v>0</v>
      </c>
      <c r="K101" s="190">
        <v>0</v>
      </c>
      <c r="L101" s="190">
        <v>0</v>
      </c>
      <c r="M101" s="190">
        <v>0</v>
      </c>
      <c r="N101" s="190">
        <v>0</v>
      </c>
      <c r="O101" s="190">
        <v>0</v>
      </c>
      <c r="P101" s="190">
        <v>0</v>
      </c>
      <c r="Q101" s="190">
        <v>0</v>
      </c>
      <c r="R101" s="190">
        <v>0</v>
      </c>
      <c r="S101" s="190">
        <v>0</v>
      </c>
      <c r="T101" s="190">
        <v>0</v>
      </c>
      <c r="U101" s="190">
        <v>0</v>
      </c>
      <c r="V101" s="190">
        <v>0</v>
      </c>
      <c r="W101" s="190">
        <v>0</v>
      </c>
      <c r="X101" s="190">
        <v>0</v>
      </c>
      <c r="Y101" s="190">
        <v>0</v>
      </c>
      <c r="Z101" s="190">
        <v>0</v>
      </c>
      <c r="AA101" s="190">
        <v>0</v>
      </c>
      <c r="AB101" s="190">
        <v>0</v>
      </c>
      <c r="AC101" s="190">
        <v>0</v>
      </c>
      <c r="AD101" s="190">
        <v>0</v>
      </c>
      <c r="AE101" s="190">
        <v>0</v>
      </c>
      <c r="AF101" s="190">
        <v>0</v>
      </c>
      <c r="AG101" s="190">
        <v>0</v>
      </c>
      <c r="AH101" s="190">
        <v>0</v>
      </c>
      <c r="AI101" s="190">
        <v>0</v>
      </c>
      <c r="AJ101" s="190">
        <v>0</v>
      </c>
      <c r="AK101" s="190">
        <v>0</v>
      </c>
      <c r="AL101" s="190">
        <v>0</v>
      </c>
      <c r="AM101" s="190">
        <v>0</v>
      </c>
      <c r="AN101" s="190">
        <v>0</v>
      </c>
      <c r="AO101" s="190">
        <v>0</v>
      </c>
      <c r="AP101" s="190">
        <v>0</v>
      </c>
      <c r="AQ101" s="190">
        <v>0</v>
      </c>
      <c r="AR101" s="190">
        <v>0</v>
      </c>
      <c r="AS101" s="190">
        <v>0</v>
      </c>
      <c r="AT101" s="190">
        <v>0</v>
      </c>
      <c r="AU101" s="190">
        <v>0</v>
      </c>
      <c r="AV101" s="190">
        <v>0</v>
      </c>
      <c r="AW101" s="190">
        <v>0</v>
      </c>
      <c r="AX101" s="190">
        <v>0</v>
      </c>
      <c r="AY101" s="190">
        <v>0</v>
      </c>
      <c r="AZ101" s="190">
        <v>0</v>
      </c>
      <c r="BA101" s="190">
        <v>0</v>
      </c>
      <c r="BB101" s="190">
        <v>0</v>
      </c>
      <c r="BC101" s="190">
        <v>0</v>
      </c>
      <c r="BD101" s="190">
        <v>0</v>
      </c>
      <c r="BE101" s="190">
        <v>0</v>
      </c>
      <c r="BF101" s="190">
        <v>0</v>
      </c>
      <c r="BG101" s="190">
        <v>0</v>
      </c>
      <c r="BH101" s="190">
        <v>0</v>
      </c>
      <c r="BI101" s="190">
        <v>0</v>
      </c>
      <c r="BJ101" s="190">
        <v>0</v>
      </c>
      <c r="BK101" s="190">
        <v>0</v>
      </c>
      <c r="BL101" s="190">
        <v>0</v>
      </c>
      <c r="BM101" s="190">
        <v>0</v>
      </c>
      <c r="BN101" s="190">
        <v>0</v>
      </c>
      <c r="BO101" s="190">
        <v>0</v>
      </c>
      <c r="BP101" s="190">
        <v>0</v>
      </c>
      <c r="BQ101" s="190">
        <v>0</v>
      </c>
      <c r="BR101" s="190">
        <v>0</v>
      </c>
      <c r="BS101" s="190">
        <v>0</v>
      </c>
      <c r="BT101" s="190">
        <v>0</v>
      </c>
      <c r="BU101" s="190">
        <v>0</v>
      </c>
      <c r="BV101" s="190">
        <v>0</v>
      </c>
      <c r="BW101" s="190"/>
      <c r="BX101" s="190"/>
      <c r="BY101" s="190"/>
      <c r="BZ101" s="190"/>
      <c r="CA101" s="190"/>
      <c r="CB101" s="190"/>
      <c r="CC101" s="190"/>
      <c r="CD101" s="190"/>
      <c r="CE101" s="190"/>
      <c r="CF101" s="190"/>
      <c r="CG101" s="190"/>
      <c r="CH101" s="190"/>
      <c r="CI101" s="190"/>
      <c r="CJ101" s="190"/>
      <c r="CK101" s="190"/>
      <c r="CL101" s="190"/>
    </row>
    <row r="102" spans="1:90" x14ac:dyDescent="0.25">
      <c r="A102" s="128" t="s">
        <v>72</v>
      </c>
      <c r="B102" s="190">
        <v>33288289805.529999</v>
      </c>
      <c r="C102" s="190">
        <v>30013518648.59</v>
      </c>
      <c r="D102" s="190">
        <v>32230376028.299999</v>
      </c>
      <c r="E102" s="190">
        <v>30358072874.220001</v>
      </c>
      <c r="F102" s="190">
        <v>26925124706.970001</v>
      </c>
      <c r="G102" s="190">
        <v>24043886222.830002</v>
      </c>
      <c r="H102" s="190">
        <v>25803247110.119999</v>
      </c>
      <c r="I102" s="190">
        <v>24288634890.080002</v>
      </c>
      <c r="J102" s="190">
        <v>21484139889.450001</v>
      </c>
      <c r="K102" s="190">
        <v>19107390748.75</v>
      </c>
      <c r="L102" s="190">
        <v>20425336399.75</v>
      </c>
      <c r="M102" s="190">
        <v>19253803738.779999</v>
      </c>
      <c r="N102" s="190">
        <v>17090683689.68</v>
      </c>
      <c r="O102" s="190">
        <v>15495027678.76</v>
      </c>
      <c r="P102" s="190">
        <v>15921133195.92</v>
      </c>
      <c r="Q102" s="190">
        <v>14842243666.049999</v>
      </c>
      <c r="R102" s="190">
        <v>12909481226.559999</v>
      </c>
      <c r="S102" s="190">
        <v>11709144757.66</v>
      </c>
      <c r="T102" s="190">
        <v>11865460704.889999</v>
      </c>
      <c r="U102" s="190">
        <v>11178351846.42</v>
      </c>
      <c r="V102" s="190">
        <v>9840818342.3899994</v>
      </c>
      <c r="W102" s="190">
        <v>9067718255.7199993</v>
      </c>
      <c r="X102" s="190">
        <v>9106532274.9400005</v>
      </c>
      <c r="Y102" s="190">
        <v>8656704396.1900005</v>
      </c>
      <c r="Z102" s="190">
        <v>7712429171.5900002</v>
      </c>
      <c r="AA102" s="190">
        <v>7112270577</v>
      </c>
      <c r="AB102" s="190">
        <v>7157957390.6099997</v>
      </c>
      <c r="AC102" s="190">
        <v>6782843828.7399998</v>
      </c>
      <c r="AD102" s="190">
        <v>6198401664.1099997</v>
      </c>
      <c r="AE102" s="190">
        <v>5868939229.0200005</v>
      </c>
      <c r="AF102" s="190">
        <v>5901238297.3599997</v>
      </c>
      <c r="AG102" s="190">
        <v>5640224218.6999998</v>
      </c>
      <c r="AH102" s="190">
        <v>5239572345.9399996</v>
      </c>
      <c r="AI102" s="190">
        <v>4957678982.3800001</v>
      </c>
      <c r="AJ102" s="190">
        <v>1701214087.95</v>
      </c>
      <c r="AK102" s="190">
        <v>1495656973.4100001</v>
      </c>
      <c r="AL102" s="190">
        <v>969553376.54999995</v>
      </c>
      <c r="AM102" s="190">
        <v>543800444.66999996</v>
      </c>
      <c r="AN102" s="190">
        <v>0</v>
      </c>
      <c r="AO102" s="190">
        <v>11380067365.719999</v>
      </c>
      <c r="AP102" s="190">
        <v>11158726711.690001</v>
      </c>
      <c r="AQ102" s="190">
        <v>10865132147.959999</v>
      </c>
      <c r="AR102" s="190">
        <v>10592688648.690001</v>
      </c>
      <c r="AS102" s="190">
        <v>9569379815.5599995</v>
      </c>
      <c r="AT102" s="190">
        <v>9444699665.4099998</v>
      </c>
      <c r="AU102" s="190">
        <v>9264864912.6800003</v>
      </c>
      <c r="AV102" s="190">
        <v>9012398068.3999996</v>
      </c>
      <c r="AW102" s="190">
        <v>8257212457.3599997</v>
      </c>
      <c r="AX102" s="190">
        <v>8106355261.6899996</v>
      </c>
      <c r="AY102" s="190">
        <v>7906099500.2799997</v>
      </c>
      <c r="AZ102" s="190">
        <v>7904330388.04</v>
      </c>
      <c r="BA102" s="190">
        <v>7358235400.0600004</v>
      </c>
      <c r="BB102" s="190">
        <v>7335831828.4099998</v>
      </c>
      <c r="BC102" s="190">
        <v>7155293928.0200005</v>
      </c>
      <c r="BD102" s="190">
        <v>6979736606.6199999</v>
      </c>
      <c r="BE102" s="190">
        <v>6566886603.0200005</v>
      </c>
      <c r="BF102" s="190">
        <v>6417153928.7799997</v>
      </c>
      <c r="BG102" s="190">
        <v>6275834678.6400003</v>
      </c>
      <c r="BH102" s="190">
        <v>6393497694.0299997</v>
      </c>
      <c r="BI102" s="190">
        <v>6010029931.6000004</v>
      </c>
      <c r="BJ102" s="190">
        <v>5854624464.04</v>
      </c>
      <c r="BK102" s="190">
        <v>5696682615.46</v>
      </c>
      <c r="BL102" s="190">
        <v>5595599973.54</v>
      </c>
      <c r="BM102" s="190">
        <v>5307055453.6800003</v>
      </c>
      <c r="BN102" s="190">
        <v>5196040467.4899998</v>
      </c>
      <c r="BO102" s="190">
        <v>5053742967.6300001</v>
      </c>
      <c r="BP102" s="190">
        <v>4942046030.3000002</v>
      </c>
      <c r="BQ102" s="190">
        <v>4693749721.5200005</v>
      </c>
      <c r="BR102" s="190">
        <v>4554380000</v>
      </c>
      <c r="BS102" s="190">
        <v>4382685677.9300003</v>
      </c>
      <c r="BT102" s="190">
        <v>4235751053.1100001</v>
      </c>
      <c r="BU102" s="190">
        <v>3188611486.52</v>
      </c>
      <c r="BV102" s="190">
        <v>2850312166.9000001</v>
      </c>
      <c r="BW102" s="190">
        <v>2420499366.4499998</v>
      </c>
      <c r="BX102" s="190">
        <v>2089698452.7</v>
      </c>
      <c r="BY102" s="190">
        <v>1764990217.6700001</v>
      </c>
      <c r="BZ102" s="190">
        <v>1864618529.46</v>
      </c>
      <c r="CA102" s="190">
        <v>392384778.43000001</v>
      </c>
      <c r="CB102" s="190">
        <v>264958379.21000001</v>
      </c>
      <c r="CC102" s="190">
        <v>225967479.94999999</v>
      </c>
      <c r="CD102" s="190">
        <v>0</v>
      </c>
      <c r="CE102" s="190">
        <v>1079642000</v>
      </c>
      <c r="CF102" s="190">
        <v>1003922431.86</v>
      </c>
      <c r="CG102" s="190">
        <v>492362941.67000002</v>
      </c>
      <c r="CH102" s="190">
        <v>203800000</v>
      </c>
      <c r="CI102" s="190">
        <v>162870000</v>
      </c>
      <c r="CJ102" s="190">
        <v>92660000</v>
      </c>
      <c r="CK102" s="190">
        <v>75420000</v>
      </c>
      <c r="CL102" s="190">
        <v>0</v>
      </c>
    </row>
    <row r="103" spans="1:90" x14ac:dyDescent="0.25">
      <c r="A103" s="128" t="s">
        <v>73</v>
      </c>
      <c r="B103" s="190">
        <v>292576323.94999999</v>
      </c>
      <c r="C103" s="190">
        <v>219267861.58000001</v>
      </c>
      <c r="D103" s="190">
        <v>212682792.24000001</v>
      </c>
      <c r="E103" s="190">
        <v>246048563.87</v>
      </c>
      <c r="F103" s="190">
        <v>245329478.66</v>
      </c>
      <c r="G103" s="190">
        <v>192949349.28999999</v>
      </c>
      <c r="H103" s="190">
        <v>196600597.84999999</v>
      </c>
      <c r="I103" s="190">
        <v>198039035.06999999</v>
      </c>
      <c r="J103" s="190">
        <v>155151157.59999999</v>
      </c>
      <c r="K103" s="190">
        <v>53262581.200000003</v>
      </c>
      <c r="L103" s="190">
        <v>44334482.719999999</v>
      </c>
      <c r="M103" s="190">
        <v>43647140.920000002</v>
      </c>
      <c r="N103" s="190">
        <v>45459740.030000001</v>
      </c>
      <c r="O103" s="190">
        <v>44377961.210000001</v>
      </c>
      <c r="P103" s="190">
        <v>35447668.439999998</v>
      </c>
      <c r="Q103" s="190">
        <v>36912881.210000001</v>
      </c>
      <c r="R103" s="190">
        <v>37130660.799999997</v>
      </c>
      <c r="S103" s="190">
        <v>35814642.119999997</v>
      </c>
      <c r="T103" s="190">
        <v>30399122.539999999</v>
      </c>
      <c r="U103" s="190">
        <v>26051336.579999998</v>
      </c>
      <c r="V103" s="190">
        <v>17472436.690000001</v>
      </c>
      <c r="W103" s="190">
        <v>19633180.379999999</v>
      </c>
      <c r="X103" s="190">
        <v>16154952.189999999</v>
      </c>
      <c r="Y103" s="190">
        <v>14707175.18</v>
      </c>
      <c r="Z103" s="190">
        <v>15431886.800000001</v>
      </c>
      <c r="AA103" s="190">
        <v>12893115.93</v>
      </c>
      <c r="AB103" s="190">
        <v>5663750.6799999997</v>
      </c>
      <c r="AC103" s="190">
        <v>4453584.74</v>
      </c>
      <c r="AD103" s="190">
        <v>6823369.4699999997</v>
      </c>
      <c r="AE103" s="190">
        <v>10745353.279999999</v>
      </c>
      <c r="AF103" s="190">
        <v>8368973.71</v>
      </c>
      <c r="AG103" s="190">
        <v>2229648.27</v>
      </c>
      <c r="AH103" s="190">
        <v>3070285.19</v>
      </c>
      <c r="AI103" s="190">
        <v>2267047.34</v>
      </c>
      <c r="AJ103" s="190">
        <v>2126649.23</v>
      </c>
      <c r="AK103" s="190">
        <v>1665493.51</v>
      </c>
      <c r="AL103" s="190">
        <v>0</v>
      </c>
      <c r="AM103" s="190">
        <v>910805.57</v>
      </c>
      <c r="AN103" s="190">
        <v>0</v>
      </c>
      <c r="AO103" s="190">
        <v>75869511</v>
      </c>
      <c r="AP103" s="190">
        <v>71596625.420000002</v>
      </c>
      <c r="AQ103" s="190">
        <v>69251602.510000005</v>
      </c>
      <c r="AR103" s="190">
        <v>49256028.789999999</v>
      </c>
      <c r="AS103" s="190">
        <v>56857168.609999999</v>
      </c>
      <c r="AT103" s="190">
        <v>40888487.079999998</v>
      </c>
      <c r="AU103" s="190">
        <v>39150237.640000001</v>
      </c>
      <c r="AV103" s="190">
        <v>39251320.369999997</v>
      </c>
      <c r="AW103" s="190">
        <v>37956057.280000001</v>
      </c>
      <c r="AX103" s="190">
        <v>33329921.27</v>
      </c>
      <c r="AY103" s="190">
        <v>32650863.870000001</v>
      </c>
      <c r="AZ103" s="190">
        <v>30454120.460000001</v>
      </c>
      <c r="BA103" s="190">
        <v>27733578.48</v>
      </c>
      <c r="BB103" s="190">
        <v>24884323.18</v>
      </c>
      <c r="BC103" s="190">
        <v>24132037.629999999</v>
      </c>
      <c r="BD103" s="190">
        <v>23728982.75</v>
      </c>
      <c r="BE103" s="190">
        <v>20075298.75</v>
      </c>
      <c r="BF103" s="190">
        <v>16762352.4</v>
      </c>
      <c r="BG103" s="190">
        <v>16880188.02</v>
      </c>
      <c r="BH103" s="190">
        <v>15789115.83</v>
      </c>
      <c r="BI103" s="190">
        <v>15862755.060000001</v>
      </c>
      <c r="BJ103" s="190">
        <v>15780686.800000001</v>
      </c>
      <c r="BK103" s="190">
        <v>15072018.689999999</v>
      </c>
      <c r="BL103" s="190">
        <v>16011767.529999999</v>
      </c>
      <c r="BM103" s="190">
        <v>15044502.029999999</v>
      </c>
      <c r="BN103" s="190">
        <v>18252665.030000001</v>
      </c>
      <c r="BO103" s="190">
        <v>21619133.460000001</v>
      </c>
      <c r="BP103" s="190">
        <v>12934639.26</v>
      </c>
      <c r="BQ103" s="190">
        <v>8493411.2799999993</v>
      </c>
      <c r="BR103" s="190">
        <v>7400000</v>
      </c>
      <c r="BS103" s="190">
        <v>2970143.71</v>
      </c>
      <c r="BT103" s="190">
        <v>2872138.39</v>
      </c>
      <c r="BU103" s="190">
        <v>2604712.4300000002</v>
      </c>
      <c r="BV103" s="190">
        <v>0</v>
      </c>
      <c r="BW103" s="190">
        <v>0</v>
      </c>
      <c r="BX103" s="190">
        <v>0</v>
      </c>
      <c r="BY103" s="190">
        <v>0</v>
      </c>
      <c r="BZ103" s="190">
        <v>0</v>
      </c>
      <c r="CA103" s="190">
        <v>0</v>
      </c>
      <c r="CB103" s="190">
        <v>0</v>
      </c>
      <c r="CC103" s="190">
        <v>0</v>
      </c>
      <c r="CD103" s="190">
        <v>0</v>
      </c>
      <c r="CE103" s="190">
        <v>96000</v>
      </c>
      <c r="CF103" s="190">
        <v>305920.90000000002</v>
      </c>
      <c r="CG103" s="190">
        <v>326958.7</v>
      </c>
      <c r="CH103" s="190">
        <v>0</v>
      </c>
      <c r="CI103" s="190">
        <v>0</v>
      </c>
      <c r="CJ103" s="190">
        <v>0</v>
      </c>
      <c r="CK103" s="190">
        <v>0</v>
      </c>
      <c r="CL103" s="190">
        <v>0</v>
      </c>
    </row>
    <row r="104" spans="1:90" hidden="1" x14ac:dyDescent="0.25">
      <c r="A104" s="128"/>
      <c r="B104" s="26"/>
      <c r="C104" s="26"/>
      <c r="D104" s="26"/>
      <c r="E104" s="26"/>
      <c r="F104" s="26"/>
      <c r="G104" s="26"/>
      <c r="H104" s="26"/>
      <c r="I104" s="26"/>
      <c r="J104" s="26"/>
      <c r="K104" s="26"/>
      <c r="L104" s="23"/>
    </row>
    <row r="105" spans="1:90" hidden="1" x14ac:dyDescent="0.25">
      <c r="A105" s="128"/>
      <c r="B105" s="26"/>
      <c r="C105" s="26"/>
      <c r="D105" s="26"/>
      <c r="E105" s="26"/>
      <c r="F105" s="26"/>
      <c r="G105" s="26"/>
      <c r="H105" s="26"/>
      <c r="I105" s="26"/>
      <c r="J105" s="26"/>
      <c r="K105" s="26"/>
      <c r="L105" s="23"/>
    </row>
    <row r="106" spans="1:90" hidden="1" x14ac:dyDescent="0.25">
      <c r="A106" s="128"/>
      <c r="B106" s="26"/>
      <c r="C106" s="26"/>
      <c r="D106" s="26"/>
      <c r="E106" s="26"/>
      <c r="F106" s="26"/>
      <c r="G106" s="26"/>
      <c r="H106" s="26"/>
      <c r="I106" s="26"/>
      <c r="J106" s="26"/>
      <c r="K106" s="26"/>
      <c r="L106" s="23"/>
    </row>
    <row r="107" spans="1:90" s="5" customFormat="1" x14ac:dyDescent="0.25">
      <c r="A107" s="129" t="s">
        <v>74</v>
      </c>
      <c r="B107" s="33">
        <f>B102+B103</f>
        <v>33580866129.48</v>
      </c>
      <c r="C107" s="33">
        <f>C102+C103</f>
        <v>30232786510.170002</v>
      </c>
      <c r="D107" s="33">
        <f>D102+D103</f>
        <v>32443058820.540001</v>
      </c>
      <c r="E107" s="33">
        <f>E102+E103</f>
        <v>30604121438.09</v>
      </c>
      <c r="F107" s="33">
        <f t="shared" ref="F107:BQ107" si="20">F102+F103</f>
        <v>27170454185.630001</v>
      </c>
      <c r="G107" s="33">
        <f t="shared" si="20"/>
        <v>24236835572.120003</v>
      </c>
      <c r="H107" s="33">
        <f t="shared" si="20"/>
        <v>25999847707.969997</v>
      </c>
      <c r="I107" s="33">
        <f t="shared" si="20"/>
        <v>24486673925.150002</v>
      </c>
      <c r="J107" s="33">
        <f t="shared" si="20"/>
        <v>21639291047.049999</v>
      </c>
      <c r="K107" s="33">
        <f t="shared" si="20"/>
        <v>19160653329.950001</v>
      </c>
      <c r="L107" s="33">
        <f t="shared" si="20"/>
        <v>20469670882.470001</v>
      </c>
      <c r="M107" s="33">
        <f t="shared" si="20"/>
        <v>19297450879.699997</v>
      </c>
      <c r="N107" s="33">
        <f t="shared" si="20"/>
        <v>17136143429.710001</v>
      </c>
      <c r="O107" s="33">
        <f t="shared" si="20"/>
        <v>15539405639.969999</v>
      </c>
      <c r="P107" s="33">
        <f t="shared" si="20"/>
        <v>15956580864.360001</v>
      </c>
      <c r="Q107" s="33">
        <f t="shared" si="20"/>
        <v>14879156547.259998</v>
      </c>
      <c r="R107" s="33">
        <f t="shared" si="20"/>
        <v>12946611887.359999</v>
      </c>
      <c r="S107" s="33">
        <f t="shared" si="20"/>
        <v>11744959399.780001</v>
      </c>
      <c r="T107" s="33">
        <f t="shared" si="20"/>
        <v>11895859827.43</v>
      </c>
      <c r="U107" s="33">
        <f t="shared" si="20"/>
        <v>11204403183</v>
      </c>
      <c r="V107" s="33">
        <f t="shared" si="20"/>
        <v>9858290779.0799999</v>
      </c>
      <c r="W107" s="33">
        <f t="shared" si="20"/>
        <v>9087351436.0999985</v>
      </c>
      <c r="X107" s="33">
        <f t="shared" si="20"/>
        <v>9122687227.1300011</v>
      </c>
      <c r="Y107" s="33">
        <f t="shared" si="20"/>
        <v>8671411571.3700008</v>
      </c>
      <c r="Z107" s="33">
        <f t="shared" si="20"/>
        <v>7727861058.3900003</v>
      </c>
      <c r="AA107" s="33">
        <f t="shared" si="20"/>
        <v>7125163692.9300003</v>
      </c>
      <c r="AB107" s="33">
        <f t="shared" si="20"/>
        <v>7163621141.29</v>
      </c>
      <c r="AC107" s="33">
        <f t="shared" si="20"/>
        <v>6787297413.4799995</v>
      </c>
      <c r="AD107" s="33">
        <f t="shared" si="20"/>
        <v>6205225033.5799999</v>
      </c>
      <c r="AE107" s="33">
        <f t="shared" si="20"/>
        <v>5879684582.3000002</v>
      </c>
      <c r="AF107" s="33">
        <f t="shared" si="20"/>
        <v>5909607271.0699997</v>
      </c>
      <c r="AG107" s="33">
        <f t="shared" si="20"/>
        <v>5642453866.9700003</v>
      </c>
      <c r="AH107" s="33">
        <f t="shared" si="20"/>
        <v>5242642631.1299992</v>
      </c>
      <c r="AI107" s="33">
        <f t="shared" si="20"/>
        <v>4959946029.7200003</v>
      </c>
      <c r="AJ107" s="33">
        <f t="shared" si="20"/>
        <v>1703340737.1800001</v>
      </c>
      <c r="AK107" s="33">
        <f t="shared" si="20"/>
        <v>1497322466.9200001</v>
      </c>
      <c r="AL107" s="33">
        <f t="shared" si="20"/>
        <v>969553376.54999995</v>
      </c>
      <c r="AM107" s="33">
        <f t="shared" si="20"/>
        <v>544711250.24000001</v>
      </c>
      <c r="AN107" s="33">
        <f t="shared" si="20"/>
        <v>0</v>
      </c>
      <c r="AO107" s="33">
        <f t="shared" si="20"/>
        <v>11455936876.719999</v>
      </c>
      <c r="AP107" s="33">
        <f t="shared" si="20"/>
        <v>11230323337.110001</v>
      </c>
      <c r="AQ107" s="33">
        <f t="shared" si="20"/>
        <v>10934383750.469999</v>
      </c>
      <c r="AR107" s="33">
        <f t="shared" si="20"/>
        <v>10641944677.480001</v>
      </c>
      <c r="AS107" s="33">
        <f t="shared" si="20"/>
        <v>9626236984.1700001</v>
      </c>
      <c r="AT107" s="33">
        <f t="shared" si="20"/>
        <v>9485588152.4899998</v>
      </c>
      <c r="AU107" s="33">
        <f t="shared" si="20"/>
        <v>9304015150.3199997</v>
      </c>
      <c r="AV107" s="33">
        <f t="shared" si="20"/>
        <v>9051649388.7700005</v>
      </c>
      <c r="AW107" s="33">
        <f t="shared" si="20"/>
        <v>8295168514.6399994</v>
      </c>
      <c r="AX107" s="33">
        <f t="shared" si="20"/>
        <v>8139685182.96</v>
      </c>
      <c r="AY107" s="33">
        <f t="shared" si="20"/>
        <v>7938750364.1499996</v>
      </c>
      <c r="AZ107" s="33">
        <f t="shared" si="20"/>
        <v>7934784508.5</v>
      </c>
      <c r="BA107" s="33">
        <f t="shared" si="20"/>
        <v>7385968978.54</v>
      </c>
      <c r="BB107" s="33">
        <f t="shared" si="20"/>
        <v>7360716151.5900002</v>
      </c>
      <c r="BC107" s="33">
        <f t="shared" si="20"/>
        <v>7179425965.6500006</v>
      </c>
      <c r="BD107" s="33">
        <f t="shared" si="20"/>
        <v>7003465589.3699999</v>
      </c>
      <c r="BE107" s="33">
        <f t="shared" si="20"/>
        <v>6586961901.7700005</v>
      </c>
      <c r="BF107" s="33">
        <f t="shared" si="20"/>
        <v>6433916281.1799994</v>
      </c>
      <c r="BG107" s="33">
        <f t="shared" si="20"/>
        <v>6292714866.6600008</v>
      </c>
      <c r="BH107" s="33">
        <f t="shared" si="20"/>
        <v>6409286809.8599997</v>
      </c>
      <c r="BI107" s="33">
        <f t="shared" si="20"/>
        <v>6025892686.6600008</v>
      </c>
      <c r="BJ107" s="33">
        <f t="shared" si="20"/>
        <v>5870405150.8400002</v>
      </c>
      <c r="BK107" s="33">
        <f t="shared" si="20"/>
        <v>5711754634.1499996</v>
      </c>
      <c r="BL107" s="33">
        <f t="shared" si="20"/>
        <v>5611611741.0699997</v>
      </c>
      <c r="BM107" s="33">
        <f t="shared" si="20"/>
        <v>5322099955.71</v>
      </c>
      <c r="BN107" s="33">
        <f t="shared" si="20"/>
        <v>5214293132.5199995</v>
      </c>
      <c r="BO107" s="33">
        <f t="shared" si="20"/>
        <v>5075362101.0900002</v>
      </c>
      <c r="BP107" s="33">
        <f t="shared" si="20"/>
        <v>4954980669.5600004</v>
      </c>
      <c r="BQ107" s="33">
        <f t="shared" si="20"/>
        <v>4702243132.8000002</v>
      </c>
      <c r="BR107" s="33">
        <f t="shared" ref="BR107:CK107" si="21">BR102+BR103</f>
        <v>4561780000</v>
      </c>
      <c r="BS107" s="33">
        <f t="shared" si="21"/>
        <v>4385655821.6400003</v>
      </c>
      <c r="BT107" s="33">
        <f t="shared" si="21"/>
        <v>4238623191.5</v>
      </c>
      <c r="BU107" s="33">
        <f t="shared" si="21"/>
        <v>3191216198.9499998</v>
      </c>
      <c r="BV107" s="33">
        <f t="shared" si="21"/>
        <v>2850312166.9000001</v>
      </c>
      <c r="BW107" s="33">
        <f t="shared" si="21"/>
        <v>2420499366.4499998</v>
      </c>
      <c r="BX107" s="33">
        <f t="shared" si="21"/>
        <v>2089698452.7</v>
      </c>
      <c r="BY107" s="33">
        <f t="shared" si="21"/>
        <v>1764990217.6700001</v>
      </c>
      <c r="BZ107" s="33">
        <f t="shared" si="21"/>
        <v>1864618529.46</v>
      </c>
      <c r="CA107" s="33">
        <f t="shared" si="21"/>
        <v>392384778.43000001</v>
      </c>
      <c r="CB107" s="33">
        <f t="shared" si="21"/>
        <v>264958379.21000001</v>
      </c>
      <c r="CC107" s="33">
        <f t="shared" si="21"/>
        <v>225967479.94999999</v>
      </c>
      <c r="CD107" s="33">
        <f t="shared" si="21"/>
        <v>0</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30" t="s">
        <v>75</v>
      </c>
      <c r="B108" s="38">
        <f>SUM(B89+B107)</f>
        <v>41014982302.849998</v>
      </c>
      <c r="C108" s="38">
        <f t="shared" ref="C108:BN108" si="22">SUM(C89+C107)</f>
        <v>37736433408.840004</v>
      </c>
      <c r="D108" s="38">
        <f t="shared" si="22"/>
        <v>38857972540.150002</v>
      </c>
      <c r="E108" s="38">
        <f>SUM(E107+E89)</f>
        <v>35876947239.970001</v>
      </c>
      <c r="F108" s="38">
        <f t="shared" si="22"/>
        <v>33018903458.690002</v>
      </c>
      <c r="G108" s="38">
        <f t="shared" si="22"/>
        <v>31360791304.200005</v>
      </c>
      <c r="H108" s="38">
        <f t="shared" si="22"/>
        <v>33448736869.869995</v>
      </c>
      <c r="I108" s="38">
        <f t="shared" si="22"/>
        <v>29287752679.100002</v>
      </c>
      <c r="J108" s="38">
        <f t="shared" si="22"/>
        <v>26051411882.639999</v>
      </c>
      <c r="K108" s="38">
        <f t="shared" si="22"/>
        <v>23227909348.029999</v>
      </c>
      <c r="L108" s="38">
        <f t="shared" si="22"/>
        <v>24850297176.600002</v>
      </c>
      <c r="M108" s="38">
        <f t="shared" si="22"/>
        <v>21467186777.499996</v>
      </c>
      <c r="N108" s="38">
        <f t="shared" si="22"/>
        <v>19275289516.549999</v>
      </c>
      <c r="O108" s="38">
        <f t="shared" si="22"/>
        <v>18264285358.759998</v>
      </c>
      <c r="P108" s="38">
        <f t="shared" si="22"/>
        <v>17095802277.310001</v>
      </c>
      <c r="Q108" s="38">
        <f t="shared" si="22"/>
        <v>15489234536.369999</v>
      </c>
      <c r="R108" s="38">
        <f t="shared" si="22"/>
        <v>13824513006.969999</v>
      </c>
      <c r="S108" s="38">
        <f t="shared" si="22"/>
        <v>12628387398.01</v>
      </c>
      <c r="T108" s="38">
        <f t="shared" si="22"/>
        <v>12542062125.99</v>
      </c>
      <c r="U108" s="38">
        <f t="shared" si="22"/>
        <v>11400972981.200001</v>
      </c>
      <c r="V108" s="38">
        <f t="shared" si="22"/>
        <v>9987355842.6599998</v>
      </c>
      <c r="W108" s="38">
        <f t="shared" si="22"/>
        <v>9138487600.7699986</v>
      </c>
      <c r="X108" s="38">
        <f t="shared" si="22"/>
        <v>9211692136.3800011</v>
      </c>
      <c r="Y108" s="38">
        <f t="shared" si="22"/>
        <v>8674411571.3700008</v>
      </c>
      <c r="Z108" s="38">
        <f t="shared" si="22"/>
        <v>7730861058.3900003</v>
      </c>
      <c r="AA108" s="38">
        <f t="shared" si="22"/>
        <v>7128163692.9300003</v>
      </c>
      <c r="AB108" s="38">
        <f t="shared" si="22"/>
        <v>7166621141.29</v>
      </c>
      <c r="AC108" s="38">
        <f t="shared" si="22"/>
        <v>6790297413.4799995</v>
      </c>
      <c r="AD108" s="38">
        <f t="shared" si="22"/>
        <v>6234253731.5100002</v>
      </c>
      <c r="AE108" s="38">
        <f t="shared" si="22"/>
        <v>5909264750.6900005</v>
      </c>
      <c r="AF108" s="38">
        <f t="shared" si="22"/>
        <v>5939253635.1899996</v>
      </c>
      <c r="AG108" s="38">
        <f t="shared" si="22"/>
        <v>5671495191.9700003</v>
      </c>
      <c r="AH108" s="38">
        <f t="shared" si="22"/>
        <v>5272842631.1299992</v>
      </c>
      <c r="AI108" s="38">
        <f t="shared" si="22"/>
        <v>4990146029.7200003</v>
      </c>
      <c r="AJ108" s="38">
        <f t="shared" si="22"/>
        <v>1760914737.1800001</v>
      </c>
      <c r="AK108" s="38">
        <f t="shared" si="22"/>
        <v>1554937791.9200001</v>
      </c>
      <c r="AL108" s="38">
        <f t="shared" si="22"/>
        <v>971553376.54999995</v>
      </c>
      <c r="AM108" s="38">
        <f t="shared" si="22"/>
        <v>589749575.24000001</v>
      </c>
      <c r="AN108" s="38">
        <f t="shared" si="22"/>
        <v>0</v>
      </c>
      <c r="AO108" s="38">
        <f t="shared" si="22"/>
        <v>11455936876.719999</v>
      </c>
      <c r="AP108" s="38">
        <f t="shared" si="22"/>
        <v>11230323337.110001</v>
      </c>
      <c r="AQ108" s="38">
        <f t="shared" si="22"/>
        <v>10934383750.469999</v>
      </c>
      <c r="AR108" s="38">
        <f t="shared" si="22"/>
        <v>10641944677.480001</v>
      </c>
      <c r="AS108" s="38">
        <f t="shared" si="22"/>
        <v>9626236984.1700001</v>
      </c>
      <c r="AT108" s="38">
        <f t="shared" si="22"/>
        <v>9485588152.4899998</v>
      </c>
      <c r="AU108" s="38">
        <f t="shared" si="22"/>
        <v>9304015150.3199997</v>
      </c>
      <c r="AV108" s="38">
        <f t="shared" si="22"/>
        <v>9051649388.7700005</v>
      </c>
      <c r="AW108" s="38">
        <f t="shared" si="22"/>
        <v>8295168514.6399994</v>
      </c>
      <c r="AX108" s="38">
        <f t="shared" si="22"/>
        <v>8139685182.96</v>
      </c>
      <c r="AY108" s="38">
        <f t="shared" si="22"/>
        <v>7938750364.1499996</v>
      </c>
      <c r="AZ108" s="38">
        <f t="shared" si="22"/>
        <v>7934784508.5</v>
      </c>
      <c r="BA108" s="38">
        <f t="shared" si="22"/>
        <v>7385968978.54</v>
      </c>
      <c r="BB108" s="38">
        <f t="shared" si="22"/>
        <v>7360716151.5900002</v>
      </c>
      <c r="BC108" s="38">
        <f t="shared" si="22"/>
        <v>7179425965.6500006</v>
      </c>
      <c r="BD108" s="38">
        <f t="shared" si="22"/>
        <v>7003465589.3699999</v>
      </c>
      <c r="BE108" s="38">
        <f t="shared" si="22"/>
        <v>6586961901.7700005</v>
      </c>
      <c r="BF108" s="38">
        <f t="shared" si="22"/>
        <v>6433916281.1799994</v>
      </c>
      <c r="BG108" s="38">
        <f t="shared" si="22"/>
        <v>6292714866.6600008</v>
      </c>
      <c r="BH108" s="38">
        <f t="shared" si="22"/>
        <v>6409286809.8599997</v>
      </c>
      <c r="BI108" s="38">
        <f t="shared" si="22"/>
        <v>6025892686.6600008</v>
      </c>
      <c r="BJ108" s="38">
        <f t="shared" si="22"/>
        <v>5870405150.8400002</v>
      </c>
      <c r="BK108" s="38">
        <f t="shared" si="22"/>
        <v>5711754634.1499996</v>
      </c>
      <c r="BL108" s="38">
        <f t="shared" si="22"/>
        <v>5611611741.0699997</v>
      </c>
      <c r="BM108" s="38">
        <f t="shared" si="22"/>
        <v>5322099955.71</v>
      </c>
      <c r="BN108" s="38">
        <f t="shared" si="22"/>
        <v>5214293132.5199995</v>
      </c>
      <c r="BO108" s="38">
        <f t="shared" ref="BO108:CK108" si="23">SUM(BO89+BO107)</f>
        <v>5075362101.0900002</v>
      </c>
      <c r="BP108" s="38">
        <f t="shared" si="23"/>
        <v>4954980669.5600004</v>
      </c>
      <c r="BQ108" s="38">
        <f t="shared" si="23"/>
        <v>4702243132.8000002</v>
      </c>
      <c r="BR108" s="38">
        <f t="shared" si="23"/>
        <v>4561780000</v>
      </c>
      <c r="BS108" s="38">
        <f t="shared" si="23"/>
        <v>4385655821.6400003</v>
      </c>
      <c r="BT108" s="38">
        <f t="shared" si="23"/>
        <v>4238623191.5</v>
      </c>
      <c r="BU108" s="38">
        <f t="shared" si="23"/>
        <v>3191216198.9499998</v>
      </c>
      <c r="BV108" s="38">
        <f t="shared" si="23"/>
        <v>2850312166.9000001</v>
      </c>
      <c r="BW108" s="38">
        <f t="shared" si="23"/>
        <v>2420499366.4499998</v>
      </c>
      <c r="BX108" s="38">
        <f t="shared" si="23"/>
        <v>2089698452.7</v>
      </c>
      <c r="BY108" s="38">
        <f t="shared" si="23"/>
        <v>1764990217.6700001</v>
      </c>
      <c r="BZ108" s="38">
        <f t="shared" si="23"/>
        <v>1864618529.46</v>
      </c>
      <c r="CA108" s="38">
        <f t="shared" si="23"/>
        <v>392384778.43000001</v>
      </c>
      <c r="CB108" s="38">
        <f t="shared" si="23"/>
        <v>264958379.21000001</v>
      </c>
      <c r="CC108" s="38">
        <f t="shared" si="23"/>
        <v>225967479.94999999</v>
      </c>
      <c r="CD108" s="38">
        <f t="shared" si="23"/>
        <v>0</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topLeftCell="I41" workbookViewId="0">
      <selection activeCell="AG55" sqref="AG55"/>
    </sheetView>
  </sheetViews>
  <sheetFormatPr defaultRowHeight="14.4" x14ac:dyDescent="0.25"/>
  <cols>
    <col min="1" max="1" width="57.21875" style="17" bestFit="1" customWidth="1"/>
    <col min="2" max="3" width="21.44140625" hidden="1" customWidth="1"/>
    <col min="4" max="4" width="22.6640625" hidden="1" customWidth="1"/>
    <col min="5" max="5" width="21.44140625" bestFit="1" customWidth="1"/>
    <col min="6" max="8" width="21.44140625" hidden="1" customWidth="1"/>
    <col min="9" max="9" width="21.44140625" bestFit="1" customWidth="1"/>
    <col min="10" max="12" width="21.44140625" hidden="1" customWidth="1"/>
    <col min="13" max="13" width="21.44140625" bestFit="1" customWidth="1"/>
    <col min="14" max="16" width="21.44140625" hidden="1" customWidth="1"/>
    <col min="17" max="17" width="21.44140625" bestFit="1" customWidth="1"/>
    <col min="18" max="19" width="21.44140625" hidden="1" customWidth="1"/>
    <col min="20" max="20" width="20.21875" hidden="1" customWidth="1"/>
    <col min="21" max="21" width="21.44140625" bestFit="1" customWidth="1"/>
    <col min="22" max="23" width="21.44140625" hidden="1" customWidth="1"/>
    <col min="24" max="24" width="20.21875" hidden="1" customWidth="1"/>
    <col min="25" max="25" width="21.44140625" bestFit="1" customWidth="1"/>
    <col min="26" max="26" width="21.44140625" hidden="1" customWidth="1"/>
    <col min="27" max="27" width="19.33203125" hidden="1" customWidth="1"/>
    <col min="28" max="28" width="20.21875" hidden="1" customWidth="1"/>
    <col min="29" max="29" width="21.44140625" bestFit="1" customWidth="1"/>
    <col min="30" max="30" width="21.44140625" hidden="1" customWidth="1"/>
    <col min="31" max="31" width="19.33203125" hidden="1" customWidth="1"/>
    <col min="32" max="32" width="20.21875" hidden="1" customWidth="1"/>
    <col min="33" max="33" width="21.44140625" bestFit="1" customWidth="1"/>
    <col min="34" max="34" width="19.33203125" hidden="1" customWidth="1"/>
    <col min="35" max="36" width="19" hidden="1" customWidth="1"/>
    <col min="37" max="37" width="19.33203125" bestFit="1" customWidth="1"/>
    <col min="38" max="40" width="19" hidden="1" customWidth="1"/>
    <col min="41" max="42" width="19" bestFit="1" customWidth="1"/>
    <col min="43" max="43" width="9.5546875" hidden="1" customWidth="1"/>
    <col min="44" max="51" width="22.6640625" bestFit="1" customWidth="1"/>
    <col min="52" max="81" width="20.21875" bestFit="1" customWidth="1"/>
    <col min="82" max="82" width="9.5546875" bestFit="1" customWidth="1"/>
    <col min="83" max="83" width="20.21875" bestFit="1" customWidth="1"/>
    <col min="84" max="85" width="19" bestFit="1" customWidth="1"/>
    <col min="86" max="86" width="17.77734375" bestFit="1" customWidth="1"/>
    <col min="87" max="87" width="19" bestFit="1" customWidth="1"/>
    <col min="88" max="88" width="17.77734375" bestFit="1" customWidth="1"/>
    <col min="89" max="89" width="9.5546875" bestFit="1" customWidth="1"/>
  </cols>
  <sheetData>
    <row r="1" spans="1:89" x14ac:dyDescent="0.25">
      <c r="A1" s="17">
        <v>2415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39447</v>
      </c>
      <c r="AQ1" s="1">
        <v>25569</v>
      </c>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x14ac:dyDescent="0.25">
      <c r="A2" s="17" t="s">
        <v>84</v>
      </c>
    </row>
    <row r="3" spans="1:89" s="6" customFormat="1" x14ac:dyDescent="0.25">
      <c r="A3" s="18" t="s">
        <v>85</v>
      </c>
    </row>
    <row r="4" spans="1:89" x14ac:dyDescent="0.25">
      <c r="A4" s="17" t="s">
        <v>385</v>
      </c>
      <c r="B4" s="190">
        <v>33802691201.110001</v>
      </c>
      <c r="C4" s="190">
        <v>20875758224.630001</v>
      </c>
      <c r="D4" s="190">
        <v>9364828201</v>
      </c>
      <c r="E4" s="190">
        <v>41905476572.07</v>
      </c>
      <c r="F4" s="190">
        <v>27729742158.18</v>
      </c>
      <c r="G4" s="190">
        <v>16447539736.52</v>
      </c>
      <c r="H4" s="190">
        <v>7043724101.7299995</v>
      </c>
      <c r="I4" s="190">
        <v>31924020872.439999</v>
      </c>
      <c r="J4" s="190">
        <v>21136468968.82</v>
      </c>
      <c r="K4" s="190">
        <v>12548198726.120001</v>
      </c>
      <c r="L4" s="190">
        <v>5199710391.8999996</v>
      </c>
      <c r="M4" s="190">
        <v>25271390273.419998</v>
      </c>
      <c r="N4" s="190">
        <v>16677638479.4</v>
      </c>
      <c r="O4" s="190">
        <v>9796381650.8199997</v>
      </c>
      <c r="P4" s="190">
        <v>4287946779.6999998</v>
      </c>
      <c r="Q4" s="190">
        <v>17233114021.700001</v>
      </c>
      <c r="R4" s="190">
        <v>10669807845.58</v>
      </c>
      <c r="S4" s="190">
        <v>6016055310.8500004</v>
      </c>
      <c r="T4" s="190">
        <v>2594659242.4200001</v>
      </c>
      <c r="U4" s="190">
        <v>10745907038.84</v>
      </c>
      <c r="V4" s="190">
        <v>6860396812.6999998</v>
      </c>
      <c r="W4" s="190">
        <v>3908594584.9000001</v>
      </c>
      <c r="X4" s="190">
        <v>1697327735.97</v>
      </c>
      <c r="Y4" s="190">
        <v>7213789489.1800003</v>
      </c>
      <c r="Z4" s="190">
        <v>4797847375.2799997</v>
      </c>
      <c r="AA4" s="190">
        <v>2818679482.4899998</v>
      </c>
      <c r="AB4" s="190">
        <v>1292678630.79</v>
      </c>
      <c r="AC4" s="190">
        <v>5231639749.7700005</v>
      </c>
      <c r="AD4" s="190">
        <v>3453156822.0599999</v>
      </c>
      <c r="AE4" s="190">
        <v>2081678941.6300001</v>
      </c>
      <c r="AF4" s="190">
        <v>929912689.30999994</v>
      </c>
      <c r="AG4" s="190">
        <v>3605477285.21</v>
      </c>
      <c r="AH4" s="190">
        <v>2393076338.48</v>
      </c>
      <c r="AI4" s="190">
        <v>1402304573.3699999</v>
      </c>
      <c r="AJ4" s="190">
        <v>687305082.01999998</v>
      </c>
      <c r="AK4" s="190">
        <v>2101513184.72</v>
      </c>
      <c r="AL4" s="190">
        <v>1436572728.3599999</v>
      </c>
      <c r="AM4" s="190">
        <v>836803532.27999997</v>
      </c>
      <c r="AN4" s="190">
        <v>403065660.05000001</v>
      </c>
      <c r="AO4" s="190">
        <v>1742471409.9100001</v>
      </c>
      <c r="AP4" s="190">
        <v>1184513897.96</v>
      </c>
      <c r="AQ4" s="190">
        <v>0</v>
      </c>
      <c r="AR4" s="190"/>
      <c r="AS4" s="190"/>
      <c r="AT4" s="190"/>
      <c r="AU4" s="190"/>
      <c r="AV4" s="190"/>
      <c r="AW4" s="190"/>
      <c r="AX4" s="190"/>
      <c r="AY4" s="190"/>
      <c r="AZ4" s="190"/>
      <c r="BA4" s="190"/>
      <c r="BB4" s="190"/>
      <c r="BC4" s="190"/>
      <c r="BD4" s="190"/>
      <c r="BE4" s="190"/>
      <c r="BF4" s="190"/>
      <c r="BG4" s="190"/>
      <c r="BH4" s="190"/>
      <c r="BI4" s="190"/>
      <c r="BJ4" s="190"/>
      <c r="BK4" s="190"/>
      <c r="BL4" s="190"/>
      <c r="BM4" s="190"/>
      <c r="BN4" s="190"/>
      <c r="BO4" s="190"/>
      <c r="BP4" s="190"/>
      <c r="BQ4" s="190"/>
      <c r="BR4" s="190"/>
      <c r="BS4" s="190"/>
      <c r="BT4" s="190"/>
      <c r="BU4" s="190"/>
      <c r="BV4" s="190"/>
      <c r="BW4" s="190"/>
      <c r="BX4" s="190"/>
      <c r="BY4" s="190"/>
      <c r="BZ4" s="190"/>
      <c r="CA4" s="190"/>
      <c r="CB4" s="190"/>
      <c r="CC4" s="190"/>
      <c r="CD4" s="190"/>
      <c r="CE4" s="190"/>
      <c r="CF4" s="190"/>
      <c r="CG4" s="190"/>
      <c r="CH4" s="190"/>
      <c r="CI4" s="190"/>
      <c r="CJ4" s="190"/>
      <c r="CK4" s="190"/>
    </row>
    <row r="5" spans="1:89" x14ac:dyDescent="0.25">
      <c r="A5" s="19" t="s">
        <v>386</v>
      </c>
      <c r="B5" s="190">
        <v>18622304210.360001</v>
      </c>
      <c r="C5" s="190">
        <v>11586298826.07</v>
      </c>
      <c r="D5" s="190">
        <v>5144866014.5200005</v>
      </c>
      <c r="E5" s="190">
        <v>23467310590.759998</v>
      </c>
      <c r="F5" s="190">
        <v>15477663755.389999</v>
      </c>
      <c r="G5" s="190">
        <v>9420695024.8400002</v>
      </c>
      <c r="H5" s="190">
        <v>4030635978.6399999</v>
      </c>
      <c r="I5" s="190">
        <v>18649694075.439999</v>
      </c>
      <c r="J5" s="190">
        <v>12354272045.639999</v>
      </c>
      <c r="K5" s="190">
        <v>7516381723.1400003</v>
      </c>
      <c r="L5" s="190">
        <v>3023844618.0300002</v>
      </c>
      <c r="M5" s="190">
        <v>15136793517.440001</v>
      </c>
      <c r="N5" s="190">
        <v>9726052589.9899998</v>
      </c>
      <c r="O5" s="190">
        <v>5589497558.5900002</v>
      </c>
      <c r="P5" s="190">
        <v>2391396043.4099998</v>
      </c>
      <c r="Q5" s="190">
        <v>9578266693.2800007</v>
      </c>
      <c r="R5" s="190">
        <v>5677915233.6400003</v>
      </c>
      <c r="S5" s="190">
        <v>3147587830.75</v>
      </c>
      <c r="T5" s="190">
        <v>1375389877.0699999</v>
      </c>
      <c r="U5" s="190">
        <v>5628838417.1000004</v>
      </c>
      <c r="V5" s="190">
        <v>3551297173.46</v>
      </c>
      <c r="W5" s="190">
        <v>2033786330.8299999</v>
      </c>
      <c r="X5" s="190">
        <v>882546175.61000001</v>
      </c>
      <c r="Y5" s="190">
        <v>3664922810.8099999</v>
      </c>
      <c r="Z5" s="190">
        <v>2427344631.4699998</v>
      </c>
      <c r="AA5" s="190">
        <v>1420922224.6400001</v>
      </c>
      <c r="AB5" s="190">
        <v>661465729.58000004</v>
      </c>
      <c r="AC5" s="190">
        <v>2634180308.6399999</v>
      </c>
      <c r="AD5" s="190">
        <v>1699824066.8800001</v>
      </c>
      <c r="AE5" s="190">
        <v>1021856726.88</v>
      </c>
      <c r="AF5" s="190">
        <v>468282079.42000002</v>
      </c>
      <c r="AG5" s="190">
        <v>1743763633.1199999</v>
      </c>
      <c r="AH5" s="190">
        <v>1199655803.52</v>
      </c>
      <c r="AI5" s="190">
        <v>702050596.73000002</v>
      </c>
      <c r="AJ5" s="190">
        <v>339155124.04000002</v>
      </c>
      <c r="AK5" s="190">
        <v>1007090667.39</v>
      </c>
      <c r="AL5" s="190">
        <v>674382814.25</v>
      </c>
      <c r="AM5" s="190">
        <v>389447580.93000001</v>
      </c>
      <c r="AN5" s="190">
        <v>182379908.43000001</v>
      </c>
      <c r="AO5" s="190">
        <v>856519516.38</v>
      </c>
      <c r="AP5" s="190">
        <v>609529706.07000005</v>
      </c>
      <c r="AQ5" s="190">
        <v>0</v>
      </c>
      <c r="AR5" s="190"/>
      <c r="AS5" s="190"/>
      <c r="AT5" s="190"/>
      <c r="AU5" s="190"/>
      <c r="AV5" s="190"/>
      <c r="AW5" s="190"/>
      <c r="AX5" s="190"/>
      <c r="AY5" s="190"/>
      <c r="AZ5" s="190"/>
      <c r="BA5" s="190"/>
      <c r="BB5" s="190"/>
      <c r="BC5" s="190"/>
      <c r="BD5" s="190"/>
      <c r="BE5" s="190"/>
      <c r="BF5" s="190"/>
      <c r="BG5" s="190"/>
      <c r="BH5" s="190"/>
      <c r="BI5" s="190"/>
      <c r="BJ5" s="190"/>
      <c r="BK5" s="190"/>
      <c r="BL5" s="190"/>
      <c r="BM5" s="190"/>
      <c r="BN5" s="190"/>
      <c r="BO5" s="190"/>
      <c r="BP5" s="190"/>
      <c r="BQ5" s="190"/>
      <c r="BR5" s="190"/>
      <c r="BS5" s="190"/>
      <c r="BT5" s="190"/>
      <c r="BU5" s="190"/>
      <c r="BV5" s="190"/>
      <c r="BW5" s="190"/>
      <c r="BX5" s="190"/>
      <c r="BY5" s="190"/>
      <c r="BZ5" s="190"/>
      <c r="CA5" s="190"/>
      <c r="CB5" s="190"/>
      <c r="CC5" s="190"/>
      <c r="CD5" s="190"/>
      <c r="CE5" s="190"/>
      <c r="CF5" s="190"/>
      <c r="CG5" s="190"/>
      <c r="CH5" s="190"/>
      <c r="CI5" s="190"/>
      <c r="CJ5" s="190"/>
      <c r="CK5" s="190"/>
    </row>
    <row r="6" spans="1:89" s="3" customFormat="1" x14ac:dyDescent="0.25">
      <c r="A6" s="20" t="s">
        <v>387</v>
      </c>
      <c r="B6" s="27">
        <f>B4-B5</f>
        <v>15180386990.75</v>
      </c>
      <c r="C6" s="27">
        <f t="shared" ref="C6:BN6" si="0">C4-C5</f>
        <v>9289459398.5600014</v>
      </c>
      <c r="D6" s="27">
        <f t="shared" si="0"/>
        <v>4219962186.4799995</v>
      </c>
      <c r="E6" s="27">
        <f t="shared" si="0"/>
        <v>18438165981.310001</v>
      </c>
      <c r="F6" s="27">
        <f t="shared" si="0"/>
        <v>12252078402.790001</v>
      </c>
      <c r="G6" s="27">
        <f t="shared" si="0"/>
        <v>7026844711.6800003</v>
      </c>
      <c r="H6" s="27">
        <f t="shared" si="0"/>
        <v>3013088123.0899997</v>
      </c>
      <c r="I6" s="27">
        <f t="shared" si="0"/>
        <v>13274326797</v>
      </c>
      <c r="J6" s="27">
        <f t="shared" si="0"/>
        <v>8782196923.1800003</v>
      </c>
      <c r="K6" s="27">
        <f t="shared" si="0"/>
        <v>5031817002.9800005</v>
      </c>
      <c r="L6" s="27">
        <f t="shared" si="0"/>
        <v>2175865773.8699994</v>
      </c>
      <c r="M6" s="27">
        <f t="shared" si="0"/>
        <v>10134596755.979998</v>
      </c>
      <c r="N6" s="27">
        <f t="shared" si="0"/>
        <v>6951585889.4099998</v>
      </c>
      <c r="O6" s="27">
        <f t="shared" si="0"/>
        <v>4206884092.2299995</v>
      </c>
      <c r="P6" s="27">
        <f t="shared" si="0"/>
        <v>1896550736.29</v>
      </c>
      <c r="Q6" s="27">
        <f t="shared" si="0"/>
        <v>7654847328.4200001</v>
      </c>
      <c r="R6" s="27">
        <f t="shared" si="0"/>
        <v>4991892611.9399996</v>
      </c>
      <c r="S6" s="27">
        <f t="shared" si="0"/>
        <v>2868467480.1000004</v>
      </c>
      <c r="T6" s="27">
        <f t="shared" si="0"/>
        <v>1219269365.3500001</v>
      </c>
      <c r="U6" s="27">
        <f t="shared" si="0"/>
        <v>5117068621.7399998</v>
      </c>
      <c r="V6" s="27">
        <f t="shared" si="0"/>
        <v>3309099639.2399998</v>
      </c>
      <c r="W6" s="27">
        <f t="shared" si="0"/>
        <v>1874808254.0700002</v>
      </c>
      <c r="X6" s="27">
        <f t="shared" si="0"/>
        <v>814781560.36000001</v>
      </c>
      <c r="Y6" s="27">
        <f t="shared" si="0"/>
        <v>3548866678.3700004</v>
      </c>
      <c r="Z6" s="27">
        <f t="shared" si="0"/>
        <v>2370502743.8099999</v>
      </c>
      <c r="AA6" s="27">
        <f t="shared" si="0"/>
        <v>1397757257.8499997</v>
      </c>
      <c r="AB6" s="27">
        <f t="shared" si="0"/>
        <v>631212901.20999992</v>
      </c>
      <c r="AC6" s="27">
        <f t="shared" si="0"/>
        <v>2597459441.1300006</v>
      </c>
      <c r="AD6" s="27">
        <f t="shared" si="0"/>
        <v>1753332755.1799998</v>
      </c>
      <c r="AE6" s="27">
        <f t="shared" si="0"/>
        <v>1059822214.7500001</v>
      </c>
      <c r="AF6" s="27">
        <f t="shared" si="0"/>
        <v>461630609.88999993</v>
      </c>
      <c r="AG6" s="27">
        <f t="shared" si="0"/>
        <v>1861713652.0900002</v>
      </c>
      <c r="AH6" s="27">
        <f t="shared" si="0"/>
        <v>1193420534.96</v>
      </c>
      <c r="AI6" s="27">
        <f t="shared" si="0"/>
        <v>700253976.63999987</v>
      </c>
      <c r="AJ6" s="27">
        <f t="shared" si="0"/>
        <v>348149957.97999996</v>
      </c>
      <c r="AK6" s="27">
        <f t="shared" si="0"/>
        <v>1094422517.3299999</v>
      </c>
      <c r="AL6" s="27">
        <f t="shared" si="0"/>
        <v>762189914.1099999</v>
      </c>
      <c r="AM6" s="27">
        <f t="shared" si="0"/>
        <v>447355951.34999996</v>
      </c>
      <c r="AN6" s="27">
        <f t="shared" si="0"/>
        <v>220685751.62</v>
      </c>
      <c r="AO6" s="27">
        <f t="shared" si="0"/>
        <v>885951893.53000009</v>
      </c>
      <c r="AP6" s="27">
        <f t="shared" si="0"/>
        <v>574984191.88999999</v>
      </c>
      <c r="AQ6" s="27">
        <f t="shared" si="0"/>
        <v>0</v>
      </c>
      <c r="AR6" s="27">
        <f t="shared" si="0"/>
        <v>0</v>
      </c>
      <c r="AS6" s="27">
        <f t="shared" si="0"/>
        <v>0</v>
      </c>
      <c r="AT6" s="27">
        <f t="shared" si="0"/>
        <v>0</v>
      </c>
      <c r="AU6" s="27">
        <f t="shared" si="0"/>
        <v>0</v>
      </c>
      <c r="AV6" s="27">
        <f t="shared" si="0"/>
        <v>0</v>
      </c>
      <c r="AW6" s="27">
        <f t="shared" si="0"/>
        <v>0</v>
      </c>
      <c r="AX6" s="27">
        <f t="shared" si="0"/>
        <v>0</v>
      </c>
      <c r="AY6" s="27">
        <f t="shared" si="0"/>
        <v>0</v>
      </c>
      <c r="AZ6" s="27">
        <f t="shared" si="0"/>
        <v>0</v>
      </c>
      <c r="BA6" s="27">
        <f t="shared" si="0"/>
        <v>0</v>
      </c>
      <c r="BB6" s="27">
        <f t="shared" si="0"/>
        <v>0</v>
      </c>
      <c r="BC6" s="27">
        <f t="shared" si="0"/>
        <v>0</v>
      </c>
      <c r="BD6" s="27">
        <f t="shared" si="0"/>
        <v>0</v>
      </c>
      <c r="BE6" s="27">
        <f t="shared" si="0"/>
        <v>0</v>
      </c>
      <c r="BF6" s="27">
        <f t="shared" si="0"/>
        <v>0</v>
      </c>
      <c r="BG6" s="27">
        <f t="shared" si="0"/>
        <v>0</v>
      </c>
      <c r="BH6" s="27">
        <f t="shared" si="0"/>
        <v>0</v>
      </c>
      <c r="BI6" s="27">
        <f t="shared" si="0"/>
        <v>0</v>
      </c>
      <c r="BJ6" s="27">
        <f t="shared" si="0"/>
        <v>0</v>
      </c>
      <c r="BK6" s="27">
        <f t="shared" si="0"/>
        <v>0</v>
      </c>
      <c r="BL6" s="27">
        <f t="shared" si="0"/>
        <v>0</v>
      </c>
      <c r="BM6" s="27">
        <f t="shared" si="0"/>
        <v>0</v>
      </c>
      <c r="BN6" s="27">
        <f t="shared" si="0"/>
        <v>0</v>
      </c>
      <c r="BO6" s="27">
        <f t="shared" ref="BO6:CK6" si="1">BO4-BO5</f>
        <v>0</v>
      </c>
      <c r="BP6" s="27">
        <f t="shared" si="1"/>
        <v>0</v>
      </c>
      <c r="BQ6" s="27">
        <f t="shared" si="1"/>
        <v>0</v>
      </c>
      <c r="BR6" s="27">
        <f t="shared" si="1"/>
        <v>0</v>
      </c>
      <c r="BS6" s="27">
        <f t="shared" si="1"/>
        <v>0</v>
      </c>
      <c r="BT6" s="27">
        <f t="shared" si="1"/>
        <v>0</v>
      </c>
      <c r="BU6" s="27">
        <f t="shared" si="1"/>
        <v>0</v>
      </c>
      <c r="BV6" s="27">
        <f t="shared" si="1"/>
        <v>0</v>
      </c>
      <c r="BW6" s="27">
        <f t="shared" si="1"/>
        <v>0</v>
      </c>
      <c r="BX6" s="27">
        <f t="shared" si="1"/>
        <v>0</v>
      </c>
      <c r="BY6" s="27">
        <f t="shared" si="1"/>
        <v>0</v>
      </c>
      <c r="BZ6" s="27">
        <f t="shared" si="1"/>
        <v>0</v>
      </c>
      <c r="CA6" s="27">
        <f t="shared" si="1"/>
        <v>0</v>
      </c>
      <c r="CB6" s="27">
        <f t="shared" si="1"/>
        <v>0</v>
      </c>
      <c r="CC6" s="27">
        <f t="shared" si="1"/>
        <v>0</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x14ac:dyDescent="0.25">
      <c r="A7" s="57" t="s">
        <v>388</v>
      </c>
      <c r="B7" s="57">
        <f>B6/B4*100</f>
        <v>44.908811847062381</v>
      </c>
      <c r="C7" s="57">
        <f t="shared" ref="C7:D7" si="2">C6/C4*100</f>
        <v>44.49878801336159</v>
      </c>
      <c r="D7" s="57">
        <f t="shared" si="2"/>
        <v>45.061821700363723</v>
      </c>
      <c r="E7" s="57">
        <f>E6/E4</f>
        <v>0.43999418428280179</v>
      </c>
      <c r="F7" s="57">
        <f t="shared" ref="F7:BQ7" si="3">F6/F4</f>
        <v>0.44183888666904747</v>
      </c>
      <c r="G7" s="57">
        <f t="shared" si="3"/>
        <v>0.42722770847469937</v>
      </c>
      <c r="H7" s="57">
        <f t="shared" si="3"/>
        <v>0.42776918567125011</v>
      </c>
      <c r="I7" s="57">
        <f t="shared" si="3"/>
        <v>0.41580998991451368</v>
      </c>
      <c r="J7" s="57">
        <f t="shared" si="3"/>
        <v>0.41549971928306861</v>
      </c>
      <c r="K7" s="57">
        <f t="shared" si="3"/>
        <v>0.40099914838819872</v>
      </c>
      <c r="L7" s="57">
        <f t="shared" si="3"/>
        <v>0.41845903134519141</v>
      </c>
      <c r="M7" s="57">
        <f t="shared" si="3"/>
        <v>0.40103043981080011</v>
      </c>
      <c r="N7" s="57">
        <f t="shared" si="3"/>
        <v>0.41682075660750817</v>
      </c>
      <c r="O7" s="57">
        <f t="shared" si="3"/>
        <v>0.42943244170952294</v>
      </c>
      <c r="P7" s="57">
        <f t="shared" si="3"/>
        <v>0.44229810530033897</v>
      </c>
      <c r="Q7" s="57">
        <f t="shared" si="3"/>
        <v>0.44419408580370257</v>
      </c>
      <c r="R7" s="57">
        <f t="shared" si="3"/>
        <v>0.4678521566822692</v>
      </c>
      <c r="S7" s="57">
        <f t="shared" si="3"/>
        <v>0.47680204584002045</v>
      </c>
      <c r="T7" s="57">
        <f t="shared" si="3"/>
        <v>0.46991502599501495</v>
      </c>
      <c r="U7" s="57">
        <f t="shared" si="3"/>
        <v>0.4761876873906381</v>
      </c>
      <c r="V7" s="57">
        <f t="shared" si="3"/>
        <v>0.48234813955865913</v>
      </c>
      <c r="W7" s="57">
        <f t="shared" si="3"/>
        <v>0.47966301271380551</v>
      </c>
      <c r="X7" s="57">
        <f t="shared" si="3"/>
        <v>0.48003785190864351</v>
      </c>
      <c r="Y7" s="57">
        <f t="shared" si="3"/>
        <v>0.49195595237329337</v>
      </c>
      <c r="Z7" s="57">
        <f t="shared" si="3"/>
        <v>0.49407631347832498</v>
      </c>
      <c r="AA7" s="57">
        <f t="shared" si="3"/>
        <v>0.49589081218104009</v>
      </c>
      <c r="AB7" s="57">
        <f t="shared" si="3"/>
        <v>0.48829839542117609</v>
      </c>
      <c r="AC7" s="57">
        <f t="shared" si="3"/>
        <v>0.49649050113670251</v>
      </c>
      <c r="AD7" s="57">
        <f t="shared" si="3"/>
        <v>0.50774779296992345</v>
      </c>
      <c r="AE7" s="57">
        <f t="shared" si="3"/>
        <v>0.50911895852687838</v>
      </c>
      <c r="AF7" s="57">
        <f t="shared" si="3"/>
        <v>0.49642360535216723</v>
      </c>
      <c r="AG7" s="57">
        <f t="shared" si="3"/>
        <v>0.51635706033343243</v>
      </c>
      <c r="AH7" s="57">
        <f t="shared" si="3"/>
        <v>0.49869722740145422</v>
      </c>
      <c r="AI7" s="57">
        <f t="shared" si="3"/>
        <v>0.49935940446743232</v>
      </c>
      <c r="AJ7" s="57">
        <f t="shared" si="3"/>
        <v>0.50654355261972162</v>
      </c>
      <c r="AK7" s="57">
        <f t="shared" si="3"/>
        <v>0.52077832548826852</v>
      </c>
      <c r="AL7" s="57">
        <f t="shared" si="3"/>
        <v>0.53056131378751736</v>
      </c>
      <c r="AM7" s="57">
        <f t="shared" si="3"/>
        <v>0.53460093569527589</v>
      </c>
      <c r="AN7" s="57">
        <f t="shared" si="3"/>
        <v>0.5475181179975096</v>
      </c>
      <c r="AO7" s="57">
        <f t="shared" si="3"/>
        <v>0.50844558395122252</v>
      </c>
      <c r="AP7" s="57">
        <f t="shared" si="3"/>
        <v>0.48541785189709669</v>
      </c>
      <c r="AQ7" s="57" t="e">
        <f t="shared" si="3"/>
        <v>#DIV/0!</v>
      </c>
      <c r="AR7" s="57" t="e">
        <f t="shared" si="3"/>
        <v>#DIV/0!</v>
      </c>
      <c r="AS7" s="57" t="e">
        <f t="shared" si="3"/>
        <v>#DIV/0!</v>
      </c>
      <c r="AT7" s="57" t="e">
        <f t="shared" si="3"/>
        <v>#DIV/0!</v>
      </c>
      <c r="AU7" s="57" t="e">
        <f t="shared" si="3"/>
        <v>#DIV/0!</v>
      </c>
      <c r="AV7" s="57" t="e">
        <f t="shared" si="3"/>
        <v>#DIV/0!</v>
      </c>
      <c r="AW7" s="57" t="e">
        <f t="shared" si="3"/>
        <v>#DIV/0!</v>
      </c>
      <c r="AX7" s="57" t="e">
        <f t="shared" si="3"/>
        <v>#DIV/0!</v>
      </c>
      <c r="AY7" s="57" t="e">
        <f t="shared" si="3"/>
        <v>#DIV/0!</v>
      </c>
      <c r="AZ7" s="57" t="e">
        <f t="shared" si="3"/>
        <v>#DIV/0!</v>
      </c>
      <c r="BA7" s="57" t="e">
        <f t="shared" si="3"/>
        <v>#DIV/0!</v>
      </c>
      <c r="BB7" s="57" t="e">
        <f t="shared" si="3"/>
        <v>#DIV/0!</v>
      </c>
      <c r="BC7" s="57" t="e">
        <f t="shared" si="3"/>
        <v>#DIV/0!</v>
      </c>
      <c r="BD7" s="57" t="e">
        <f t="shared" si="3"/>
        <v>#DIV/0!</v>
      </c>
      <c r="BE7" s="57" t="e">
        <f t="shared" si="3"/>
        <v>#DIV/0!</v>
      </c>
      <c r="BF7" s="57" t="e">
        <f t="shared" si="3"/>
        <v>#DIV/0!</v>
      </c>
      <c r="BG7" s="57" t="e">
        <f t="shared" si="3"/>
        <v>#DIV/0!</v>
      </c>
      <c r="BH7" s="57" t="e">
        <f t="shared" si="3"/>
        <v>#DIV/0!</v>
      </c>
      <c r="BI7" s="57" t="e">
        <f t="shared" si="3"/>
        <v>#DIV/0!</v>
      </c>
      <c r="BJ7" s="57" t="e">
        <f t="shared" si="3"/>
        <v>#DIV/0!</v>
      </c>
      <c r="BK7" s="57" t="e">
        <f t="shared" si="3"/>
        <v>#DIV/0!</v>
      </c>
      <c r="BL7" s="57" t="e">
        <f t="shared" si="3"/>
        <v>#DIV/0!</v>
      </c>
      <c r="BM7" s="57" t="e">
        <f t="shared" si="3"/>
        <v>#DIV/0!</v>
      </c>
      <c r="BN7" s="57" t="e">
        <f t="shared" si="3"/>
        <v>#DIV/0!</v>
      </c>
      <c r="BO7" s="57" t="e">
        <f t="shared" si="3"/>
        <v>#DIV/0!</v>
      </c>
      <c r="BP7" s="57" t="e">
        <f t="shared" si="3"/>
        <v>#DIV/0!</v>
      </c>
      <c r="BQ7" s="57" t="e">
        <f t="shared" si="3"/>
        <v>#DIV/0!</v>
      </c>
      <c r="BR7" s="57" t="e">
        <f t="shared" ref="BR7:CK7" si="4">BR6/BR4</f>
        <v>#DIV/0!</v>
      </c>
      <c r="BS7" s="57" t="e">
        <f t="shared" si="4"/>
        <v>#DIV/0!</v>
      </c>
      <c r="BT7" s="57" t="e">
        <f t="shared" si="4"/>
        <v>#DIV/0!</v>
      </c>
      <c r="BU7" s="57" t="e">
        <f t="shared" si="4"/>
        <v>#DIV/0!</v>
      </c>
      <c r="BV7" s="57" t="e">
        <f t="shared" si="4"/>
        <v>#DIV/0!</v>
      </c>
      <c r="BW7" s="57" t="e">
        <f t="shared" si="4"/>
        <v>#DIV/0!</v>
      </c>
      <c r="BX7" s="57" t="e">
        <f t="shared" si="4"/>
        <v>#DIV/0!</v>
      </c>
      <c r="BY7" s="57" t="e">
        <f t="shared" si="4"/>
        <v>#DIV/0!</v>
      </c>
      <c r="BZ7" s="57" t="e">
        <f t="shared" si="4"/>
        <v>#DIV/0!</v>
      </c>
      <c r="CA7" s="57" t="e">
        <f t="shared" si="4"/>
        <v>#DIV/0!</v>
      </c>
      <c r="CB7" s="57" t="e">
        <f t="shared" si="4"/>
        <v>#DIV/0!</v>
      </c>
      <c r="CC7" s="57" t="e">
        <f t="shared" si="4"/>
        <v>#DIV/0!</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x14ac:dyDescent="0.25">
      <c r="A8" s="17" t="s">
        <v>389</v>
      </c>
      <c r="B8" s="190">
        <v>281941341.25</v>
      </c>
      <c r="C8" s="190">
        <v>177890618.59999999</v>
      </c>
      <c r="D8" s="190">
        <v>70291380.920000002</v>
      </c>
      <c r="E8" s="190">
        <v>370993824.44999999</v>
      </c>
      <c r="F8" s="190">
        <v>276908073.13999999</v>
      </c>
      <c r="G8" s="190">
        <v>174232595.69999999</v>
      </c>
      <c r="H8" s="190">
        <v>66178321.289999999</v>
      </c>
      <c r="I8" s="190">
        <v>255078931.5</v>
      </c>
      <c r="J8" s="190">
        <v>157552322.13</v>
      </c>
      <c r="K8" s="190">
        <v>97314853.769999996</v>
      </c>
      <c r="L8" s="190">
        <v>47522585.770000003</v>
      </c>
      <c r="M8" s="190">
        <v>196876622.43000001</v>
      </c>
      <c r="N8" s="190">
        <v>119875085.67</v>
      </c>
      <c r="O8" s="190">
        <v>70718619.5</v>
      </c>
      <c r="P8" s="190">
        <v>32784165.09</v>
      </c>
      <c r="Q8" s="190">
        <v>151694130.11000001</v>
      </c>
      <c r="R8" s="190">
        <v>100473866.06</v>
      </c>
      <c r="S8" s="190">
        <v>62188690.600000001</v>
      </c>
      <c r="T8" s="190">
        <v>27607191.579999998</v>
      </c>
      <c r="U8" s="190">
        <v>115109356.91</v>
      </c>
      <c r="V8" s="190">
        <v>63767866.359999999</v>
      </c>
      <c r="W8" s="190">
        <v>36615084.299999997</v>
      </c>
      <c r="X8" s="190">
        <v>13080153.029999999</v>
      </c>
      <c r="Y8" s="190">
        <v>78067696.25</v>
      </c>
      <c r="Z8" s="190">
        <v>50082603.920000002</v>
      </c>
      <c r="AA8" s="190">
        <v>29124088.649999999</v>
      </c>
      <c r="AB8" s="190">
        <v>11502675.789999999</v>
      </c>
      <c r="AC8" s="190">
        <v>51909257.399999999</v>
      </c>
      <c r="AD8" s="190">
        <v>33688420.700000003</v>
      </c>
      <c r="AE8" s="190">
        <v>20938376.780000001</v>
      </c>
      <c r="AF8" s="190">
        <v>10335864.6</v>
      </c>
      <c r="AG8" s="190">
        <v>10293468.73</v>
      </c>
      <c r="AH8" s="190">
        <v>3272077.62</v>
      </c>
      <c r="AI8" s="190">
        <v>2047965.07</v>
      </c>
      <c r="AJ8" s="190">
        <v>886914.7</v>
      </c>
      <c r="AK8" s="190">
        <v>3317474.88</v>
      </c>
      <c r="AL8" s="190">
        <v>2289914.11</v>
      </c>
      <c r="AM8" s="190">
        <v>1521752.92</v>
      </c>
      <c r="AN8" s="190">
        <v>843042.51</v>
      </c>
      <c r="AO8" s="190">
        <v>3163455.71</v>
      </c>
      <c r="AP8" s="190">
        <v>1272560.1000000001</v>
      </c>
      <c r="AQ8" s="190">
        <v>0</v>
      </c>
      <c r="AR8" s="190"/>
      <c r="AS8" s="190"/>
      <c r="AT8" s="190"/>
      <c r="AU8" s="190"/>
      <c r="AV8" s="190"/>
      <c r="AW8" s="190"/>
      <c r="AX8" s="190"/>
      <c r="AY8" s="190"/>
      <c r="AZ8" s="190"/>
      <c r="BA8" s="190"/>
      <c r="BB8" s="190"/>
      <c r="BC8" s="190"/>
      <c r="BD8" s="190"/>
      <c r="BE8" s="190"/>
      <c r="BF8" s="190"/>
      <c r="BG8" s="190"/>
      <c r="BH8" s="190"/>
      <c r="BI8" s="190"/>
      <c r="BJ8" s="190"/>
      <c r="BK8" s="190"/>
      <c r="BL8" s="190"/>
      <c r="BM8" s="190"/>
      <c r="BN8" s="190"/>
      <c r="BO8" s="190"/>
      <c r="BP8" s="190"/>
      <c r="BQ8" s="190"/>
      <c r="BR8" s="190"/>
      <c r="BS8" s="190"/>
      <c r="BT8" s="190"/>
      <c r="BU8" s="190"/>
      <c r="BV8" s="190"/>
      <c r="BW8" s="190"/>
      <c r="BX8" s="190"/>
      <c r="BY8" s="190"/>
      <c r="BZ8" s="190"/>
      <c r="CA8" s="190"/>
      <c r="CB8" s="190"/>
      <c r="CC8" s="190"/>
      <c r="CD8" s="190"/>
      <c r="CE8" s="190"/>
      <c r="CF8" s="190"/>
      <c r="CG8" s="190"/>
      <c r="CH8" s="190"/>
      <c r="CI8" s="190"/>
      <c r="CJ8" s="190"/>
      <c r="CK8" s="190"/>
    </row>
    <row r="9" spans="1:89" x14ac:dyDescent="0.25">
      <c r="A9" s="17" t="s">
        <v>390</v>
      </c>
      <c r="B9" s="190">
        <v>4175942610.3499999</v>
      </c>
      <c r="C9" s="190">
        <v>2649393264.4200001</v>
      </c>
      <c r="D9" s="190">
        <v>1084628143.5899999</v>
      </c>
      <c r="E9" s="190">
        <v>4430220065.1300001</v>
      </c>
      <c r="F9" s="190">
        <v>2960426405.5999999</v>
      </c>
      <c r="G9" s="190">
        <v>1726924956.22</v>
      </c>
      <c r="H9" s="190">
        <v>700619566.14999998</v>
      </c>
      <c r="I9" s="190">
        <v>2991273819.8099999</v>
      </c>
      <c r="J9" s="190">
        <v>2007702021.3099999</v>
      </c>
      <c r="K9" s="190">
        <v>1211831544.28</v>
      </c>
      <c r="L9" s="190">
        <v>520294932.05000001</v>
      </c>
      <c r="M9" s="190">
        <v>2179045314.71</v>
      </c>
      <c r="N9" s="190">
        <v>1446377402.1199999</v>
      </c>
      <c r="O9" s="190">
        <v>913527801.58000004</v>
      </c>
      <c r="P9" s="190">
        <v>428031683.13999999</v>
      </c>
      <c r="Q9" s="190">
        <v>1533250114.26</v>
      </c>
      <c r="R9" s="190">
        <v>1046928112.37</v>
      </c>
      <c r="S9" s="190">
        <v>645126817.09000003</v>
      </c>
      <c r="T9" s="190">
        <v>261613832.13999999</v>
      </c>
      <c r="U9" s="190">
        <v>927426449.51999998</v>
      </c>
      <c r="V9" s="190">
        <v>683757988.33000004</v>
      </c>
      <c r="W9" s="190">
        <v>418855245.33999997</v>
      </c>
      <c r="X9" s="190">
        <v>175978641.00999999</v>
      </c>
      <c r="Y9" s="190">
        <v>731872615.79999995</v>
      </c>
      <c r="Z9" s="190">
        <v>575914393.08000004</v>
      </c>
      <c r="AA9" s="190">
        <v>335648461.39999998</v>
      </c>
      <c r="AB9" s="190">
        <v>150137800.27000001</v>
      </c>
      <c r="AC9" s="190">
        <v>625552479.17999995</v>
      </c>
      <c r="AD9" s="190">
        <v>431972473.22000003</v>
      </c>
      <c r="AE9" s="190">
        <v>267129765.16</v>
      </c>
      <c r="AF9" s="190">
        <v>103932820.8</v>
      </c>
      <c r="AG9" s="190">
        <v>464914629.86000001</v>
      </c>
      <c r="AH9" s="190">
        <v>274116683.08999997</v>
      </c>
      <c r="AI9" s="190">
        <v>167302097.61000001</v>
      </c>
      <c r="AJ9" s="190">
        <v>74114125.689999998</v>
      </c>
      <c r="AK9" s="190">
        <v>226804562.78999999</v>
      </c>
      <c r="AL9" s="190">
        <v>156827955.06999999</v>
      </c>
      <c r="AM9" s="190">
        <v>104909623.48999999</v>
      </c>
      <c r="AN9" s="190">
        <v>49107483.899999999</v>
      </c>
      <c r="AO9" s="190">
        <v>190881516.88999999</v>
      </c>
      <c r="AP9" s="190">
        <v>117771764.23</v>
      </c>
      <c r="AQ9" s="190">
        <v>0</v>
      </c>
      <c r="AR9" s="190"/>
      <c r="AS9" s="190"/>
      <c r="AT9" s="190"/>
      <c r="AU9" s="190"/>
      <c r="AV9" s="190"/>
      <c r="AW9" s="190"/>
      <c r="AX9" s="190"/>
      <c r="AY9" s="190"/>
      <c r="AZ9" s="190"/>
      <c r="BA9" s="190"/>
      <c r="BB9" s="190"/>
      <c r="BC9" s="190"/>
      <c r="BD9" s="190"/>
      <c r="BE9" s="190"/>
      <c r="BF9" s="190"/>
      <c r="BG9" s="190"/>
      <c r="BH9" s="190"/>
      <c r="BI9" s="190"/>
      <c r="BJ9" s="190"/>
      <c r="BK9" s="190"/>
      <c r="BL9" s="190"/>
      <c r="BM9" s="190"/>
      <c r="BN9" s="190"/>
      <c r="BO9" s="190"/>
      <c r="BP9" s="190"/>
      <c r="BQ9" s="190"/>
      <c r="BR9" s="190"/>
      <c r="BS9" s="190"/>
      <c r="BT9" s="190"/>
      <c r="BU9" s="190"/>
      <c r="BV9" s="190"/>
      <c r="BW9" s="190"/>
      <c r="BX9" s="190"/>
      <c r="BY9" s="190"/>
      <c r="BZ9" s="190"/>
      <c r="CA9" s="190"/>
      <c r="CB9" s="190"/>
      <c r="CC9" s="190"/>
      <c r="CD9" s="190"/>
      <c r="CE9" s="190"/>
      <c r="CF9" s="190"/>
      <c r="CG9" s="190"/>
      <c r="CH9" s="190"/>
      <c r="CI9" s="190"/>
      <c r="CJ9" s="190"/>
      <c r="CK9" s="190"/>
    </row>
    <row r="10" spans="1:89" x14ac:dyDescent="0.25">
      <c r="A10" s="17" t="s">
        <v>391</v>
      </c>
      <c r="B10" s="190">
        <v>960293296.63</v>
      </c>
      <c r="C10" s="190">
        <v>2503531051.0900002</v>
      </c>
      <c r="D10" s="190">
        <v>995059473.35000002</v>
      </c>
      <c r="E10" s="190">
        <v>4205437565.4499998</v>
      </c>
      <c r="F10" s="190">
        <v>2862065389.8400002</v>
      </c>
      <c r="G10" s="190">
        <v>1761709877.1300001</v>
      </c>
      <c r="H10" s="190">
        <v>747817353.51999998</v>
      </c>
      <c r="I10" s="190">
        <v>3106761432.9400001</v>
      </c>
      <c r="J10" s="190">
        <v>2123824265.51</v>
      </c>
      <c r="K10" s="190">
        <v>1270629581.95</v>
      </c>
      <c r="L10" s="190">
        <v>520661382.88999999</v>
      </c>
      <c r="M10" s="190">
        <v>2211221871.1500001</v>
      </c>
      <c r="N10" s="190">
        <v>1599941807.8499999</v>
      </c>
      <c r="O10" s="190">
        <v>994900083.46000004</v>
      </c>
      <c r="P10" s="190">
        <v>422461730.31999999</v>
      </c>
      <c r="Q10" s="190">
        <v>1645518222.73</v>
      </c>
      <c r="R10" s="190">
        <v>1181965027.46</v>
      </c>
      <c r="S10" s="190">
        <v>688030171.40999997</v>
      </c>
      <c r="T10" s="190">
        <v>283729975.93000001</v>
      </c>
      <c r="U10" s="190">
        <v>1095698834.46</v>
      </c>
      <c r="V10" s="190">
        <v>743303671.50999999</v>
      </c>
      <c r="W10" s="190">
        <v>418586961.36000001</v>
      </c>
      <c r="X10" s="190">
        <v>185628502.99000001</v>
      </c>
      <c r="Y10" s="190">
        <v>770532075.27999997</v>
      </c>
      <c r="Z10" s="190">
        <v>475099388.19</v>
      </c>
      <c r="AA10" s="190">
        <v>274578299.18000001</v>
      </c>
      <c r="AB10" s="190">
        <v>122625833.27</v>
      </c>
      <c r="AC10" s="190">
        <v>502992679.58999997</v>
      </c>
      <c r="AD10" s="190">
        <v>328771758.27999997</v>
      </c>
      <c r="AE10" s="190">
        <v>203447348.58000001</v>
      </c>
      <c r="AF10" s="190">
        <v>83340672.030000001</v>
      </c>
      <c r="AG10" s="190">
        <v>373449292.55000001</v>
      </c>
      <c r="AH10" s="190">
        <v>209246100.88999999</v>
      </c>
      <c r="AI10" s="190">
        <v>133447973.09999999</v>
      </c>
      <c r="AJ10" s="190">
        <v>58617992.060000002</v>
      </c>
      <c r="AK10" s="190">
        <v>200796259.97999999</v>
      </c>
      <c r="AL10" s="190">
        <v>132847105.28</v>
      </c>
      <c r="AM10" s="190">
        <v>86942806.219999999</v>
      </c>
      <c r="AN10" s="190">
        <v>41422624.090000004</v>
      </c>
      <c r="AO10" s="190">
        <v>145495368.33000001</v>
      </c>
      <c r="AP10" s="190">
        <v>97040615.739999995</v>
      </c>
      <c r="AQ10" s="190">
        <v>0</v>
      </c>
      <c r="AR10" s="190"/>
      <c r="AS10" s="190"/>
      <c r="AT10" s="190"/>
      <c r="AU10" s="190"/>
      <c r="AV10" s="190"/>
      <c r="AW10" s="190"/>
      <c r="AX10" s="190"/>
      <c r="AY10" s="190"/>
      <c r="AZ10" s="190"/>
      <c r="BA10" s="190"/>
      <c r="BB10" s="190"/>
      <c r="BC10" s="190"/>
      <c r="BD10" s="190"/>
      <c r="BE10" s="190"/>
      <c r="BF10" s="190"/>
      <c r="BG10" s="190"/>
      <c r="BH10" s="190"/>
      <c r="BI10" s="190"/>
      <c r="BJ10" s="190"/>
      <c r="BK10" s="190"/>
      <c r="BL10" s="190"/>
      <c r="BM10" s="190"/>
      <c r="BN10" s="190"/>
      <c r="BO10" s="190"/>
      <c r="BP10" s="190"/>
      <c r="BQ10" s="190"/>
      <c r="BR10" s="190"/>
      <c r="BS10" s="190"/>
      <c r="BT10" s="190"/>
      <c r="BU10" s="190"/>
      <c r="BV10" s="190"/>
      <c r="BW10" s="190"/>
      <c r="BX10" s="190"/>
      <c r="BY10" s="190"/>
      <c r="BZ10" s="190"/>
      <c r="CA10" s="190"/>
      <c r="CB10" s="190"/>
      <c r="CC10" s="190"/>
      <c r="CD10" s="190"/>
      <c r="CE10" s="190"/>
      <c r="CF10" s="190"/>
      <c r="CG10" s="190"/>
      <c r="CH10" s="190"/>
      <c r="CI10" s="190"/>
      <c r="CJ10" s="190"/>
      <c r="CK10" s="190"/>
    </row>
    <row r="11" spans="1:89" x14ac:dyDescent="0.25">
      <c r="A11" s="17" t="s">
        <v>392</v>
      </c>
      <c r="B11" s="190">
        <v>464816967.17000002</v>
      </c>
      <c r="C11" s="190">
        <v>325897698.19</v>
      </c>
      <c r="D11" s="190">
        <v>49304064.310000002</v>
      </c>
      <c r="E11" s="190">
        <v>484568899.16000003</v>
      </c>
      <c r="F11" s="190">
        <v>375478836.88999999</v>
      </c>
      <c r="G11" s="190">
        <v>251738374.96000001</v>
      </c>
      <c r="H11" s="190">
        <v>59401180.460000001</v>
      </c>
      <c r="I11" s="190">
        <v>317497358.88</v>
      </c>
      <c r="J11" s="190">
        <v>238784535.52000001</v>
      </c>
      <c r="K11" s="190">
        <v>158985960.69999999</v>
      </c>
      <c r="L11" s="190">
        <v>38456398.740000002</v>
      </c>
      <c r="M11" s="190">
        <v>338874649.43000001</v>
      </c>
      <c r="N11" s="190">
        <v>203726114.65000001</v>
      </c>
      <c r="O11" s="190">
        <v>166576278.11000001</v>
      </c>
      <c r="P11" s="190">
        <v>82884626.530000001</v>
      </c>
      <c r="Q11" s="190">
        <v>182907411.02000001</v>
      </c>
      <c r="R11" s="190">
        <v>144445102.62</v>
      </c>
      <c r="S11" s="190">
        <v>110207838</v>
      </c>
      <c r="T11" s="190">
        <v>800890.89</v>
      </c>
      <c r="U11" s="190">
        <v>157113213.55000001</v>
      </c>
      <c r="V11" s="190">
        <v>111970346.8</v>
      </c>
      <c r="W11" s="190">
        <v>81669242.909999996</v>
      </c>
      <c r="X11" s="190">
        <v>0</v>
      </c>
      <c r="Y11" s="190">
        <v>50325290.75</v>
      </c>
      <c r="Z11" s="190">
        <v>55113151.090000004</v>
      </c>
      <c r="AA11" s="190">
        <v>55113151.090000004</v>
      </c>
      <c r="AB11" s="190">
        <v>0</v>
      </c>
      <c r="AC11" s="190">
        <v>26063331.170000002</v>
      </c>
      <c r="AD11" s="190">
        <v>27940111.93</v>
      </c>
      <c r="AE11" s="190">
        <v>27940111.93</v>
      </c>
      <c r="AF11" s="190">
        <v>0</v>
      </c>
      <c r="AG11" s="190">
        <v>49337089.689999998</v>
      </c>
      <c r="AH11" s="190">
        <v>18397107.079999998</v>
      </c>
      <c r="AI11" s="190">
        <v>18450601.030000001</v>
      </c>
      <c r="AJ11" s="190">
        <v>454936</v>
      </c>
      <c r="AK11" s="190">
        <v>13204903.32</v>
      </c>
      <c r="AL11" s="190">
        <v>13673218.58</v>
      </c>
      <c r="AM11" s="190">
        <v>13673218.58</v>
      </c>
      <c r="AN11" s="190">
        <v>27030.92</v>
      </c>
      <c r="AO11" s="190">
        <v>14295094.5</v>
      </c>
      <c r="AP11" s="190">
        <v>19000489.170000002</v>
      </c>
      <c r="AQ11" s="190">
        <v>0</v>
      </c>
      <c r="AR11" s="190"/>
      <c r="AS11" s="190"/>
      <c r="AT11" s="190"/>
      <c r="AU11" s="190"/>
      <c r="AV11" s="190"/>
      <c r="AW11" s="190"/>
      <c r="AX11" s="190"/>
      <c r="AY11" s="190"/>
      <c r="AZ11" s="190"/>
      <c r="BA11" s="190"/>
      <c r="BB11" s="190"/>
      <c r="BC11" s="190"/>
      <c r="BD11" s="190"/>
      <c r="BE11" s="190"/>
      <c r="BF11" s="190"/>
      <c r="BG11" s="190"/>
      <c r="BH11" s="190"/>
      <c r="BI11" s="190"/>
      <c r="BJ11" s="190"/>
      <c r="BK11" s="190"/>
      <c r="BL11" s="190"/>
      <c r="BM11" s="190"/>
      <c r="BN11" s="190"/>
      <c r="BO11" s="190"/>
      <c r="BP11" s="190"/>
      <c r="BQ11" s="190"/>
      <c r="BR11" s="190"/>
      <c r="BS11" s="190"/>
      <c r="BT11" s="190"/>
      <c r="BU11" s="190"/>
      <c r="BV11" s="190"/>
      <c r="BW11" s="190"/>
      <c r="BX11" s="190"/>
      <c r="BY11" s="190"/>
      <c r="BZ11" s="190"/>
      <c r="CA11" s="190"/>
      <c r="CB11" s="190"/>
      <c r="CC11" s="190"/>
      <c r="CD11" s="190"/>
      <c r="CE11" s="190"/>
      <c r="CF11" s="190"/>
      <c r="CG11" s="190"/>
      <c r="CH11" s="190"/>
      <c r="CI11" s="190"/>
      <c r="CJ11" s="190"/>
      <c r="CK11" s="190"/>
    </row>
    <row r="12" spans="1:89" s="7" customFormat="1" x14ac:dyDescent="0.25">
      <c r="A12" s="21" t="s">
        <v>393</v>
      </c>
      <c r="B12" s="29">
        <f>B55</f>
        <v>463</v>
      </c>
      <c r="C12" s="29">
        <f t="shared" ref="C12:BN12" si="5">C55</f>
        <v>603</v>
      </c>
      <c r="D12" s="29">
        <f t="shared" si="5"/>
        <v>653</v>
      </c>
      <c r="E12" s="29">
        <f t="shared" si="5"/>
        <v>17358738.670000002</v>
      </c>
      <c r="F12" s="29">
        <f t="shared" si="5"/>
        <v>1204</v>
      </c>
      <c r="G12" s="29">
        <f t="shared" si="5"/>
        <v>868</v>
      </c>
      <c r="H12" s="29">
        <f t="shared" si="5"/>
        <v>644</v>
      </c>
      <c r="I12" s="29">
        <f t="shared" si="5"/>
        <v>12106577.32</v>
      </c>
      <c r="J12" s="29">
        <f t="shared" si="5"/>
        <v>0</v>
      </c>
      <c r="K12" s="29">
        <f t="shared" si="5"/>
        <v>0</v>
      </c>
      <c r="L12" s="29">
        <f t="shared" si="5"/>
        <v>0</v>
      </c>
      <c r="M12" s="29">
        <f t="shared" si="5"/>
        <v>17693430.420000002</v>
      </c>
      <c r="N12" s="29">
        <f t="shared" si="5"/>
        <v>0</v>
      </c>
      <c r="O12" s="29">
        <f t="shared" si="5"/>
        <v>0</v>
      </c>
      <c r="P12" s="29">
        <f t="shared" si="5"/>
        <v>0</v>
      </c>
      <c r="Q12" s="29">
        <f t="shared" si="5"/>
        <v>9193907.9199999999</v>
      </c>
      <c r="R12" s="29">
        <f t="shared" si="5"/>
        <v>0</v>
      </c>
      <c r="S12" s="29">
        <f t="shared" si="5"/>
        <v>0</v>
      </c>
      <c r="T12" s="29">
        <f t="shared" si="5"/>
        <v>0</v>
      </c>
      <c r="U12" s="29">
        <f t="shared" si="5"/>
        <v>4923801.58</v>
      </c>
      <c r="V12" s="29">
        <f t="shared" si="5"/>
        <v>0</v>
      </c>
      <c r="W12" s="29">
        <f t="shared" si="5"/>
        <v>0</v>
      </c>
      <c r="X12" s="29">
        <f t="shared" si="5"/>
        <v>0</v>
      </c>
      <c r="Y12" s="29">
        <f t="shared" si="5"/>
        <v>3292427.32</v>
      </c>
      <c r="Z12" s="29">
        <f t="shared" si="5"/>
        <v>0</v>
      </c>
      <c r="AA12" s="29">
        <f t="shared" si="5"/>
        <v>0</v>
      </c>
      <c r="AB12" s="29">
        <f t="shared" si="5"/>
        <v>0</v>
      </c>
      <c r="AC12" s="29">
        <f t="shared" si="5"/>
        <v>2653275.4300000002</v>
      </c>
      <c r="AD12" s="29">
        <f t="shared" si="5"/>
        <v>0</v>
      </c>
      <c r="AE12" s="29">
        <f t="shared" si="5"/>
        <v>0</v>
      </c>
      <c r="AF12" s="29">
        <f t="shared" si="5"/>
        <v>0</v>
      </c>
      <c r="AG12" s="29">
        <f t="shared" si="5"/>
        <v>2189682.27</v>
      </c>
      <c r="AH12" s="29">
        <f t="shared" si="5"/>
        <v>0</v>
      </c>
      <c r="AI12" s="29">
        <f t="shared" si="5"/>
        <v>0</v>
      </c>
      <c r="AJ12" s="29">
        <f t="shared" si="5"/>
        <v>0</v>
      </c>
      <c r="AK12" s="29">
        <f t="shared" si="5"/>
        <v>0</v>
      </c>
      <c r="AL12" s="29">
        <f t="shared" si="5"/>
        <v>0</v>
      </c>
      <c r="AM12" s="29">
        <f t="shared" si="5"/>
        <v>0</v>
      </c>
      <c r="AN12" s="29">
        <f t="shared" si="5"/>
        <v>0</v>
      </c>
      <c r="AO12" s="29">
        <f t="shared" si="5"/>
        <v>0</v>
      </c>
      <c r="AP12" s="29">
        <f t="shared" si="5"/>
        <v>0</v>
      </c>
      <c r="AQ12" s="29">
        <f t="shared" si="5"/>
        <v>0</v>
      </c>
      <c r="AR12" s="29">
        <f t="shared" si="5"/>
        <v>0</v>
      </c>
      <c r="AS12" s="29">
        <f t="shared" si="5"/>
        <v>0</v>
      </c>
      <c r="AT12" s="29">
        <f t="shared" si="5"/>
        <v>0</v>
      </c>
      <c r="AU12" s="29">
        <f t="shared" si="5"/>
        <v>0</v>
      </c>
      <c r="AV12" s="29">
        <f t="shared" si="5"/>
        <v>0</v>
      </c>
      <c r="AW12" s="29">
        <f t="shared" si="5"/>
        <v>0</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394</v>
      </c>
      <c r="B13" s="190">
        <v>115369165.7</v>
      </c>
      <c r="C13" s="190">
        <v>73150373.859999999</v>
      </c>
      <c r="D13" s="190">
        <v>13022792.289999999</v>
      </c>
      <c r="E13" s="190">
        <v>46729250.630000003</v>
      </c>
      <c r="F13" s="190">
        <v>102191004.92</v>
      </c>
      <c r="G13" s="190">
        <v>34516279.579999998</v>
      </c>
      <c r="H13" s="190">
        <v>351393720.60000002</v>
      </c>
      <c r="I13" s="190">
        <v>1510919327.24</v>
      </c>
      <c r="J13" s="190">
        <v>967389439.53999996</v>
      </c>
      <c r="K13" s="190">
        <v>651984662.75999999</v>
      </c>
      <c r="L13" s="190">
        <v>332421874.02999997</v>
      </c>
      <c r="M13" s="190">
        <v>1293978970.29</v>
      </c>
      <c r="N13" s="190">
        <v>705543766.23000002</v>
      </c>
      <c r="O13" s="190">
        <v>460821720.99000001</v>
      </c>
      <c r="P13" s="190">
        <v>258266131.34</v>
      </c>
      <c r="Q13" s="190">
        <v>856469990.44000006</v>
      </c>
      <c r="R13" s="190">
        <v>440096128.05000001</v>
      </c>
      <c r="S13" s="190">
        <v>266944999.5</v>
      </c>
      <c r="T13" s="190">
        <v>116285515.17</v>
      </c>
      <c r="U13" s="190">
        <v>453255287.23000002</v>
      </c>
      <c r="V13" s="190">
        <v>265238692.05000001</v>
      </c>
      <c r="W13" s="190">
        <v>153098963.53</v>
      </c>
      <c r="X13" s="190">
        <v>57370930.039999999</v>
      </c>
      <c r="Y13" s="190">
        <v>332065592.85000002</v>
      </c>
      <c r="Z13" s="190">
        <v>190231442.41999999</v>
      </c>
      <c r="AA13" s="190">
        <v>109451879.13</v>
      </c>
      <c r="AB13" s="190">
        <v>50513692.25</v>
      </c>
      <c r="AC13" s="190">
        <v>261444721.16999999</v>
      </c>
      <c r="AD13" s="190">
        <v>34311604.560000002</v>
      </c>
      <c r="AE13" s="190">
        <v>32048923.699999999</v>
      </c>
      <c r="AF13" s="190">
        <v>27566464.010000002</v>
      </c>
      <c r="AG13" s="190">
        <v>160911405.47</v>
      </c>
      <c r="AH13" s="190">
        <v>63104858.57</v>
      </c>
      <c r="AI13" s="190">
        <v>47316865.899999999</v>
      </c>
      <c r="AJ13" s="190">
        <v>25523871.690000001</v>
      </c>
      <c r="AK13" s="190">
        <v>111256524.76000001</v>
      </c>
      <c r="AL13" s="190">
        <v>74978493.599999994</v>
      </c>
      <c r="AM13" s="190">
        <v>50802323.969999999</v>
      </c>
      <c r="AN13" s="190">
        <v>16325087.5</v>
      </c>
      <c r="AO13" s="190">
        <v>72507739.900000006</v>
      </c>
      <c r="AP13" s="190">
        <v>48442114.560000002</v>
      </c>
      <c r="AQ13" s="190">
        <v>0</v>
      </c>
      <c r="AR13" s="190"/>
      <c r="AS13" s="190"/>
      <c r="AT13" s="190"/>
      <c r="AU13" s="190"/>
      <c r="AV13" s="190"/>
      <c r="AW13" s="190"/>
      <c r="AX13" s="190"/>
      <c r="AY13" s="190"/>
      <c r="AZ13" s="190"/>
      <c r="BA13" s="190"/>
      <c r="BB13" s="190"/>
      <c r="BC13" s="190"/>
      <c r="BD13" s="190"/>
      <c r="BE13" s="190"/>
      <c r="BF13" s="190"/>
      <c r="BG13" s="190"/>
      <c r="BH13" s="190"/>
      <c r="BI13" s="190"/>
      <c r="BJ13" s="190"/>
      <c r="BK13" s="190"/>
      <c r="BL13" s="190"/>
      <c r="BM13" s="190"/>
      <c r="BN13" s="190"/>
      <c r="BO13" s="190"/>
      <c r="BP13" s="190"/>
      <c r="BQ13" s="190"/>
      <c r="BR13" s="190"/>
      <c r="BS13" s="190"/>
      <c r="BT13" s="190"/>
      <c r="BU13" s="190"/>
      <c r="BV13" s="190"/>
      <c r="BW13" s="190"/>
      <c r="BX13" s="190"/>
      <c r="BY13" s="190"/>
      <c r="BZ13" s="190"/>
      <c r="CA13" s="190"/>
      <c r="CB13" s="190"/>
      <c r="CC13" s="190"/>
      <c r="CD13" s="190"/>
      <c r="CE13" s="190"/>
      <c r="CF13" s="190"/>
      <c r="CG13" s="190"/>
      <c r="CH13" s="190"/>
      <c r="CI13" s="190"/>
      <c r="CJ13" s="190"/>
      <c r="CK13" s="190"/>
    </row>
    <row r="14" spans="1:89" x14ac:dyDescent="0.25">
      <c r="A14" s="17" t="s">
        <v>395</v>
      </c>
      <c r="B14" s="190">
        <v>6713135.0800000001</v>
      </c>
      <c r="C14" s="190">
        <v>4584127.2</v>
      </c>
      <c r="D14" s="190">
        <v>1536336.1</v>
      </c>
      <c r="E14" s="190">
        <v>3020378.72</v>
      </c>
      <c r="F14" s="190">
        <v>2787256.22</v>
      </c>
      <c r="G14" s="190">
        <v>2280488.42</v>
      </c>
      <c r="H14" s="190">
        <v>895393.46</v>
      </c>
      <c r="I14" s="190">
        <v>30841696.079999998</v>
      </c>
      <c r="J14" s="190">
        <v>27004266.079999998</v>
      </c>
      <c r="K14" s="190">
        <v>18038821.09</v>
      </c>
      <c r="L14" s="190">
        <v>8165893.2999999998</v>
      </c>
      <c r="M14" s="190">
        <v>37930721.859999999</v>
      </c>
      <c r="N14" s="190">
        <v>24630853.059999999</v>
      </c>
      <c r="O14" s="190">
        <v>14733335.26</v>
      </c>
      <c r="P14" s="190">
        <v>6664541.8200000003</v>
      </c>
      <c r="Q14" s="190">
        <v>27691800.93</v>
      </c>
      <c r="R14" s="190">
        <v>18513483.289999999</v>
      </c>
      <c r="S14" s="190">
        <v>11334065.02</v>
      </c>
      <c r="T14" s="190">
        <v>4626327.09</v>
      </c>
      <c r="U14" s="190">
        <v>14253825.74</v>
      </c>
      <c r="V14" s="190">
        <v>8480083.4800000004</v>
      </c>
      <c r="W14" s="190">
        <v>4978835.8600000003</v>
      </c>
      <c r="X14" s="190">
        <v>1893901.44</v>
      </c>
      <c r="Y14" s="190">
        <v>7958014.6299999999</v>
      </c>
      <c r="Z14" s="190">
        <v>5837300.6699999999</v>
      </c>
      <c r="AA14" s="190">
        <v>3084465.22</v>
      </c>
      <c r="AB14" s="190">
        <v>1304903.74</v>
      </c>
      <c r="AC14" s="190">
        <v>5826331.1699999999</v>
      </c>
      <c r="AD14" s="190">
        <v>3749975.4</v>
      </c>
      <c r="AE14" s="190">
        <v>2196811.94</v>
      </c>
      <c r="AF14" s="190">
        <v>939502.31</v>
      </c>
      <c r="AG14" s="190">
        <v>4081970.51</v>
      </c>
      <c r="AH14" s="190">
        <v>2672464.88</v>
      </c>
      <c r="AI14" s="190">
        <v>1671991.47</v>
      </c>
      <c r="AJ14" s="190">
        <v>669657.46</v>
      </c>
      <c r="AK14" s="190">
        <v>3417527.81</v>
      </c>
      <c r="AL14" s="190">
        <v>1816231.35</v>
      </c>
      <c r="AM14" s="190">
        <v>808431.46</v>
      </c>
      <c r="AN14" s="190">
        <v>429495.39</v>
      </c>
      <c r="AO14" s="190">
        <v>2921702.47</v>
      </c>
      <c r="AP14" s="190">
        <v>1165724.1000000001</v>
      </c>
      <c r="AQ14" s="190">
        <v>0</v>
      </c>
      <c r="AR14" s="190"/>
      <c r="AS14" s="190"/>
      <c r="AT14" s="190"/>
      <c r="AU14" s="190"/>
      <c r="AV14" s="190"/>
      <c r="AW14" s="190"/>
      <c r="AX14" s="190"/>
      <c r="AY14" s="190"/>
      <c r="AZ14" s="190"/>
      <c r="BA14" s="190"/>
      <c r="BB14" s="190"/>
      <c r="BC14" s="190"/>
      <c r="BD14" s="190"/>
      <c r="BE14" s="190"/>
      <c r="BF14" s="190"/>
      <c r="BG14" s="190"/>
      <c r="BH14" s="190"/>
      <c r="BI14" s="190"/>
      <c r="BJ14" s="190"/>
      <c r="BK14" s="190"/>
      <c r="BL14" s="190"/>
      <c r="BM14" s="190"/>
      <c r="BN14" s="190"/>
      <c r="BO14" s="190"/>
      <c r="BP14" s="190"/>
      <c r="BQ14" s="190"/>
      <c r="BR14" s="190"/>
      <c r="BS14" s="190"/>
      <c r="BT14" s="190"/>
      <c r="BU14" s="190"/>
      <c r="BV14" s="190"/>
      <c r="BW14" s="190"/>
      <c r="BX14" s="190"/>
      <c r="BY14" s="190"/>
      <c r="BZ14" s="190"/>
      <c r="CA14" s="190"/>
      <c r="CB14" s="190"/>
      <c r="CC14" s="190"/>
      <c r="CD14" s="190"/>
      <c r="CE14" s="190"/>
      <c r="CF14" s="190"/>
      <c r="CG14" s="190"/>
      <c r="CH14" s="190"/>
      <c r="CI14" s="190"/>
      <c r="CJ14" s="190"/>
      <c r="CK14" s="190"/>
    </row>
    <row r="15" spans="1:89" s="2" customFormat="1" x14ac:dyDescent="0.25">
      <c r="A15" s="20" t="s">
        <v>398</v>
      </c>
      <c r="B15" s="28">
        <f>B6-(B8+B9+B10+B11+B12)+B13-B14</f>
        <v>9406048342.9699993</v>
      </c>
      <c r="C15" s="28">
        <f t="shared" ref="C15:BN15" si="7">C6-(C8+C9+C10+C11+C12)+C13-C14</f>
        <v>3701312409.9200015</v>
      </c>
      <c r="D15" s="28">
        <f t="shared" si="7"/>
        <v>2032164927.4999995</v>
      </c>
      <c r="E15" s="28">
        <f t="shared" si="7"/>
        <v>8973295760.3600025</v>
      </c>
      <c r="F15" s="28">
        <f t="shared" si="7"/>
        <v>5876602242.0200005</v>
      </c>
      <c r="G15" s="28">
        <f t="shared" si="7"/>
        <v>3144473830.8299999</v>
      </c>
      <c r="H15" s="28">
        <f t="shared" si="7"/>
        <v>1789569384.8099995</v>
      </c>
      <c r="I15" s="28">
        <f t="shared" si="7"/>
        <v>8071686307.71</v>
      </c>
      <c r="J15" s="28">
        <f t="shared" si="7"/>
        <v>5194718952.1700001</v>
      </c>
      <c r="K15" s="28">
        <f t="shared" si="7"/>
        <v>2927000903.9500008</v>
      </c>
      <c r="L15" s="28">
        <f t="shared" si="7"/>
        <v>1373186455.1499994</v>
      </c>
      <c r="M15" s="28">
        <f t="shared" si="7"/>
        <v>6446933116.2699976</v>
      </c>
      <c r="N15" s="28">
        <f t="shared" si="7"/>
        <v>4262578392.29</v>
      </c>
      <c r="O15" s="28">
        <f t="shared" si="7"/>
        <v>2507249695.3099995</v>
      </c>
      <c r="P15" s="28">
        <f t="shared" si="7"/>
        <v>1181990120.73</v>
      </c>
      <c r="Q15" s="28">
        <f t="shared" si="7"/>
        <v>4961061731.8899994</v>
      </c>
      <c r="R15" s="28">
        <f t="shared" si="7"/>
        <v>2939663148.1899996</v>
      </c>
      <c r="S15" s="28">
        <f t="shared" si="7"/>
        <v>1618524897.4800005</v>
      </c>
      <c r="T15" s="28">
        <f t="shared" si="7"/>
        <v>757176662.8900001</v>
      </c>
      <c r="U15" s="28">
        <f t="shared" si="7"/>
        <v>3255798427.21</v>
      </c>
      <c r="V15" s="28">
        <f t="shared" si="7"/>
        <v>1963058374.8099997</v>
      </c>
      <c r="W15" s="28">
        <f t="shared" si="7"/>
        <v>1067201847.8300002</v>
      </c>
      <c r="X15" s="28">
        <f t="shared" si="7"/>
        <v>495571291.93000007</v>
      </c>
      <c r="Y15" s="28">
        <f t="shared" si="7"/>
        <v>2238884151.1900005</v>
      </c>
      <c r="Z15" s="28">
        <f t="shared" si="7"/>
        <v>1398687349.28</v>
      </c>
      <c r="AA15" s="28">
        <f t="shared" si="7"/>
        <v>809660671.43999958</v>
      </c>
      <c r="AB15" s="28">
        <f t="shared" si="7"/>
        <v>396155380.38999993</v>
      </c>
      <c r="AC15" s="28">
        <f t="shared" si="7"/>
        <v>1643906808.3600006</v>
      </c>
      <c r="AD15" s="28">
        <f t="shared" si="7"/>
        <v>961521620.20999992</v>
      </c>
      <c r="AE15" s="28">
        <f t="shared" si="7"/>
        <v>570218724.06000018</v>
      </c>
      <c r="AF15" s="28">
        <f t="shared" si="7"/>
        <v>290648214.15999991</v>
      </c>
      <c r="AG15" s="28">
        <f t="shared" si="7"/>
        <v>1118358923.95</v>
      </c>
      <c r="AH15" s="28">
        <f t="shared" si="7"/>
        <v>748820959.97000015</v>
      </c>
      <c r="AI15" s="28">
        <f t="shared" si="7"/>
        <v>424650214.25999987</v>
      </c>
      <c r="AJ15" s="28">
        <f t="shared" si="7"/>
        <v>238930203.75999996</v>
      </c>
      <c r="AK15" s="28">
        <f t="shared" si="7"/>
        <v>758138313.30999994</v>
      </c>
      <c r="AL15" s="28">
        <f t="shared" si="7"/>
        <v>529713983.31999981</v>
      </c>
      <c r="AM15" s="28">
        <f t="shared" si="7"/>
        <v>290302442.64999998</v>
      </c>
      <c r="AN15" s="28">
        <f t="shared" si="7"/>
        <v>145181162.31</v>
      </c>
      <c r="AO15" s="28">
        <f t="shared" si="7"/>
        <v>601702495.53000009</v>
      </c>
      <c r="AP15" s="28">
        <f t="shared" si="7"/>
        <v>387175153.10999995</v>
      </c>
      <c r="AQ15" s="28">
        <f t="shared" si="7"/>
        <v>0</v>
      </c>
      <c r="AR15" s="28">
        <f t="shared" si="7"/>
        <v>0</v>
      </c>
      <c r="AS15" s="28">
        <f t="shared" si="7"/>
        <v>0</v>
      </c>
      <c r="AT15" s="28">
        <f t="shared" si="7"/>
        <v>0</v>
      </c>
      <c r="AU15" s="28">
        <f t="shared" si="7"/>
        <v>0</v>
      </c>
      <c r="AV15" s="28">
        <f t="shared" si="7"/>
        <v>0</v>
      </c>
      <c r="AW15" s="28">
        <f t="shared" si="7"/>
        <v>0</v>
      </c>
      <c r="AX15" s="28">
        <f t="shared" si="7"/>
        <v>0</v>
      </c>
      <c r="AY15" s="28">
        <f t="shared" si="7"/>
        <v>0</v>
      </c>
      <c r="AZ15" s="28">
        <f t="shared" si="7"/>
        <v>0</v>
      </c>
      <c r="BA15" s="28">
        <f t="shared" si="7"/>
        <v>0</v>
      </c>
      <c r="BB15" s="28">
        <f t="shared" si="7"/>
        <v>0</v>
      </c>
      <c r="BC15" s="28">
        <f t="shared" si="7"/>
        <v>0</v>
      </c>
      <c r="BD15" s="28">
        <f t="shared" si="7"/>
        <v>0</v>
      </c>
      <c r="BE15" s="28">
        <f t="shared" si="7"/>
        <v>0</v>
      </c>
      <c r="BF15" s="28">
        <f t="shared" si="7"/>
        <v>0</v>
      </c>
      <c r="BG15" s="28">
        <f t="shared" si="7"/>
        <v>0</v>
      </c>
      <c r="BH15" s="28">
        <f t="shared" si="7"/>
        <v>0</v>
      </c>
      <c r="BI15" s="28">
        <f t="shared" si="7"/>
        <v>0</v>
      </c>
      <c r="BJ15" s="28">
        <f t="shared" si="7"/>
        <v>0</v>
      </c>
      <c r="BK15" s="28">
        <f t="shared" si="7"/>
        <v>0</v>
      </c>
      <c r="BL15" s="28">
        <f t="shared" si="7"/>
        <v>0</v>
      </c>
      <c r="BM15" s="28">
        <f t="shared" si="7"/>
        <v>0</v>
      </c>
      <c r="BN15" s="28">
        <f t="shared" si="7"/>
        <v>0</v>
      </c>
      <c r="BO15" s="28">
        <f t="shared" ref="BO15:CJ15" si="8">BO6-(BO8+BO9+BO10+BO11+BO12)+BO13-BO14</f>
        <v>0</v>
      </c>
      <c r="BP15" s="28">
        <f t="shared" si="8"/>
        <v>0</v>
      </c>
      <c r="BQ15" s="28">
        <f t="shared" si="8"/>
        <v>0</v>
      </c>
      <c r="BR15" s="28">
        <f t="shared" si="8"/>
        <v>0</v>
      </c>
      <c r="BS15" s="28">
        <f t="shared" si="8"/>
        <v>0</v>
      </c>
      <c r="BT15" s="28">
        <f t="shared" si="8"/>
        <v>0</v>
      </c>
      <c r="BU15" s="28">
        <f t="shared" si="8"/>
        <v>0</v>
      </c>
      <c r="BV15" s="28">
        <f t="shared" si="8"/>
        <v>0</v>
      </c>
      <c r="BW15" s="28">
        <f t="shared" si="8"/>
        <v>0</v>
      </c>
      <c r="BX15" s="28">
        <f t="shared" si="8"/>
        <v>0</v>
      </c>
      <c r="BY15" s="28">
        <f t="shared" si="8"/>
        <v>0</v>
      </c>
      <c r="BZ15" s="28">
        <f t="shared" si="8"/>
        <v>0</v>
      </c>
      <c r="CA15" s="28">
        <f t="shared" si="8"/>
        <v>0</v>
      </c>
      <c r="CB15" s="28">
        <f t="shared" si="8"/>
        <v>0</v>
      </c>
      <c r="CC15" s="28">
        <f t="shared" si="8"/>
        <v>0</v>
      </c>
      <c r="CD15" s="28">
        <f t="shared" si="8"/>
        <v>0</v>
      </c>
      <c r="CE15" s="28">
        <f t="shared" si="8"/>
        <v>0</v>
      </c>
      <c r="CF15" s="28">
        <f t="shared" si="8"/>
        <v>0</v>
      </c>
      <c r="CG15" s="28">
        <f t="shared" si="8"/>
        <v>0</v>
      </c>
      <c r="CH15" s="28">
        <f t="shared" si="8"/>
        <v>0</v>
      </c>
      <c r="CI15" s="28">
        <f t="shared" si="8"/>
        <v>0</v>
      </c>
      <c r="CJ15" s="28">
        <f t="shared" si="8"/>
        <v>0</v>
      </c>
    </row>
    <row r="16" spans="1:89" s="23" customFormat="1" x14ac:dyDescent="0.25">
      <c r="A16" s="17" t="s">
        <v>396</v>
      </c>
      <c r="B16" s="26">
        <f>B15*B41</f>
        <v>801435218.80561924</v>
      </c>
      <c r="C16" s="26">
        <f t="shared" ref="C16:BN16" si="9">C15*C41</f>
        <v>629025868.65125179</v>
      </c>
      <c r="D16" s="26">
        <f t="shared" si="9"/>
        <v>429222958.41982049</v>
      </c>
      <c r="E16" s="26">
        <f t="shared" si="9"/>
        <v>1225433930.7187626</v>
      </c>
      <c r="F16" s="26">
        <f t="shared" si="9"/>
        <v>678431838.07296658</v>
      </c>
      <c r="G16" s="26">
        <f t="shared" si="9"/>
        <v>559383217.62637341</v>
      </c>
      <c r="H16" s="26">
        <f t="shared" si="9"/>
        <v>316328586.7372545</v>
      </c>
      <c r="I16" s="26">
        <f t="shared" si="9"/>
        <v>836494053.92549217</v>
      </c>
      <c r="J16" s="26">
        <f t="shared" si="9"/>
        <v>483474631.24389094</v>
      </c>
      <c r="K16" s="26">
        <f t="shared" si="9"/>
        <v>417628699.46685821</v>
      </c>
      <c r="L16" s="26">
        <f t="shared" si="9"/>
        <v>242466993.12063077</v>
      </c>
      <c r="M16" s="26">
        <f t="shared" si="9"/>
        <v>822431193.23309684</v>
      </c>
      <c r="N16" s="26">
        <f t="shared" si="9"/>
        <v>630536246.12880957</v>
      </c>
      <c r="O16" s="26">
        <f t="shared" si="9"/>
        <v>384616682.31011248</v>
      </c>
      <c r="P16" s="26">
        <f t="shared" si="9"/>
        <v>179918396.81652501</v>
      </c>
      <c r="Q16" s="26">
        <f t="shared" si="9"/>
        <v>503693504.69701701</v>
      </c>
      <c r="R16" s="26">
        <f t="shared" si="9"/>
        <v>354600952.83199722</v>
      </c>
      <c r="S16" s="26">
        <f t="shared" si="9"/>
        <v>170390395.98371968</v>
      </c>
      <c r="T16" s="26">
        <f t="shared" si="9"/>
        <v>84443982.684935674</v>
      </c>
      <c r="U16" s="26">
        <f t="shared" si="9"/>
        <v>299566238.44603544</v>
      </c>
      <c r="V16" s="26">
        <f t="shared" si="9"/>
        <v>262356093.91906121</v>
      </c>
      <c r="W16" s="26">
        <f t="shared" si="9"/>
        <v>125201292.08305863</v>
      </c>
      <c r="X16" s="26">
        <f t="shared" si="9"/>
        <v>73432673.573558867</v>
      </c>
      <c r="Y16" s="26">
        <f t="shared" si="9"/>
        <v>168000897.35909745</v>
      </c>
      <c r="Z16" s="26">
        <f t="shared" si="9"/>
        <v>201033567.36600587</v>
      </c>
      <c r="AA16" s="26">
        <f t="shared" si="9"/>
        <v>109282178.86919414</v>
      </c>
      <c r="AB16" s="26">
        <f t="shared" si="9"/>
        <v>55844418.940669209</v>
      </c>
      <c r="AC16" s="26">
        <f t="shared" si="9"/>
        <v>236236976.88137674</v>
      </c>
      <c r="AD16" s="26">
        <f t="shared" si="9"/>
        <v>134775613.73872826</v>
      </c>
      <c r="AE16" s="26">
        <f t="shared" si="9"/>
        <v>72841051.74399136</v>
      </c>
      <c r="AF16" s="26">
        <f t="shared" si="9"/>
        <v>43995276.559671491</v>
      </c>
      <c r="AG16" s="26">
        <f t="shared" si="9"/>
        <v>89289826.676499575</v>
      </c>
      <c r="AH16" s="26">
        <f t="shared" si="9"/>
        <v>95014593.107483193</v>
      </c>
      <c r="AI16" s="26">
        <f t="shared" si="9"/>
        <v>52348375.135505483</v>
      </c>
      <c r="AJ16" s="26">
        <f t="shared" si="9"/>
        <v>34443012.421855219</v>
      </c>
      <c r="AK16" s="26">
        <f t="shared" si="9"/>
        <v>59517388.865104981</v>
      </c>
      <c r="AL16" s="26">
        <f t="shared" si="9"/>
        <v>59037285.998268731</v>
      </c>
      <c r="AM16" s="26">
        <f t="shared" si="9"/>
        <v>46728960.111070253</v>
      </c>
      <c r="AN16" s="26">
        <f t="shared" si="9"/>
        <v>12186884.800784837</v>
      </c>
      <c r="AO16" s="26">
        <f t="shared" si="9"/>
        <v>55749523.482558429</v>
      </c>
      <c r="AP16" s="26">
        <f t="shared" si="9"/>
        <v>25610343.583352003</v>
      </c>
      <c r="AQ16" s="26" t="e">
        <f t="shared" si="9"/>
        <v>#DIV/0!</v>
      </c>
      <c r="AR16" s="26">
        <f t="shared" si="9"/>
        <v>0</v>
      </c>
      <c r="AS16" s="26">
        <f t="shared" si="9"/>
        <v>0</v>
      </c>
      <c r="AT16" s="26">
        <f t="shared" si="9"/>
        <v>0</v>
      </c>
      <c r="AU16" s="26">
        <f t="shared" si="9"/>
        <v>0</v>
      </c>
      <c r="AV16" s="26">
        <f t="shared" si="9"/>
        <v>0</v>
      </c>
      <c r="AW16" s="26">
        <f t="shared" si="9"/>
        <v>0</v>
      </c>
      <c r="AX16" s="26">
        <f t="shared" si="9"/>
        <v>0</v>
      </c>
      <c r="AY16" s="26">
        <f t="shared" si="9"/>
        <v>0</v>
      </c>
      <c r="AZ16" s="26">
        <f t="shared" si="9"/>
        <v>0</v>
      </c>
      <c r="BA16" s="26">
        <f t="shared" si="9"/>
        <v>0</v>
      </c>
      <c r="BB16" s="26">
        <f t="shared" si="9"/>
        <v>0</v>
      </c>
      <c r="BC16" s="26">
        <f t="shared" si="9"/>
        <v>0</v>
      </c>
      <c r="BD16" s="26">
        <f t="shared" si="9"/>
        <v>0</v>
      </c>
      <c r="BE16" s="26">
        <f t="shared" si="9"/>
        <v>0</v>
      </c>
      <c r="BF16" s="26">
        <f t="shared" si="9"/>
        <v>0</v>
      </c>
      <c r="BG16" s="26">
        <f t="shared" si="9"/>
        <v>0</v>
      </c>
      <c r="BH16" s="26">
        <f t="shared" si="9"/>
        <v>0</v>
      </c>
      <c r="BI16" s="26">
        <f t="shared" si="9"/>
        <v>0</v>
      </c>
      <c r="BJ16" s="26">
        <f t="shared" si="9"/>
        <v>0</v>
      </c>
      <c r="BK16" s="26">
        <f t="shared" si="9"/>
        <v>0</v>
      </c>
      <c r="BL16" s="26">
        <f t="shared" si="9"/>
        <v>0</v>
      </c>
      <c r="BM16" s="26">
        <f t="shared" si="9"/>
        <v>0</v>
      </c>
      <c r="BN16" s="26">
        <f t="shared" si="9"/>
        <v>0</v>
      </c>
      <c r="BO16" s="26">
        <f t="shared" ref="BO16:CK16" si="10">BO15*BO41</f>
        <v>0</v>
      </c>
      <c r="BP16" s="26">
        <f t="shared" si="10"/>
        <v>0</v>
      </c>
      <c r="BQ16" s="26">
        <f t="shared" si="10"/>
        <v>0</v>
      </c>
      <c r="BR16" s="26">
        <f t="shared" si="10"/>
        <v>0</v>
      </c>
      <c r="BS16" s="26">
        <f t="shared" si="10"/>
        <v>0</v>
      </c>
      <c r="BT16" s="26">
        <f t="shared" si="10"/>
        <v>0</v>
      </c>
      <c r="BU16" s="26">
        <f t="shared" si="10"/>
        <v>0</v>
      </c>
      <c r="BV16" s="26">
        <f t="shared" si="10"/>
        <v>0</v>
      </c>
      <c r="BW16" s="26">
        <f t="shared" si="10"/>
        <v>0</v>
      </c>
      <c r="BX16" s="26">
        <f t="shared" si="10"/>
        <v>0</v>
      </c>
      <c r="BY16" s="26">
        <f t="shared" si="10"/>
        <v>0</v>
      </c>
      <c r="BZ16" s="26">
        <f t="shared" si="10"/>
        <v>0</v>
      </c>
      <c r="CA16" s="26">
        <f t="shared" si="10"/>
        <v>0</v>
      </c>
      <c r="CB16" s="26">
        <f t="shared" si="10"/>
        <v>0</v>
      </c>
      <c r="CC16" s="26">
        <f t="shared" si="10"/>
        <v>0</v>
      </c>
      <c r="CD16" s="26" t="e">
        <f t="shared" si="10"/>
        <v>#DIV/0!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x14ac:dyDescent="0.25">
      <c r="A17" s="20" t="s">
        <v>397</v>
      </c>
      <c r="B17" s="27">
        <f>B15-B16</f>
        <v>8604613124.1643791</v>
      </c>
      <c r="C17" s="27">
        <f t="shared" ref="C17:BN17" si="11">C15-C16</f>
        <v>3072286541.2687497</v>
      </c>
      <c r="D17" s="27">
        <f t="shared" si="11"/>
        <v>1602941969.080179</v>
      </c>
      <c r="E17" s="27">
        <f t="shared" si="11"/>
        <v>7747861829.6412401</v>
      </c>
      <c r="F17" s="27">
        <f t="shared" si="11"/>
        <v>5198170403.9470339</v>
      </c>
      <c r="G17" s="27">
        <f t="shared" si="11"/>
        <v>2585090613.2036266</v>
      </c>
      <c r="H17" s="27">
        <f t="shared" si="11"/>
        <v>1473240798.0727448</v>
      </c>
      <c r="I17" s="27">
        <f t="shared" si="11"/>
        <v>7235192253.7845078</v>
      </c>
      <c r="J17" s="27">
        <f t="shared" si="11"/>
        <v>4711244320.9261093</v>
      </c>
      <c r="K17" s="27">
        <f t="shared" si="11"/>
        <v>2509372204.4831424</v>
      </c>
      <c r="L17" s="27">
        <f t="shared" si="11"/>
        <v>1130719462.0293686</v>
      </c>
      <c r="M17" s="27">
        <f t="shared" si="11"/>
        <v>5624501923.0369005</v>
      </c>
      <c r="N17" s="27">
        <f t="shared" si="11"/>
        <v>3632042146.1611905</v>
      </c>
      <c r="O17" s="27">
        <f t="shared" si="11"/>
        <v>2122633012.999887</v>
      </c>
      <c r="P17" s="27">
        <f t="shared" si="11"/>
        <v>1002071723.913475</v>
      </c>
      <c r="Q17" s="27">
        <f t="shared" si="11"/>
        <v>4457368227.1929827</v>
      </c>
      <c r="R17" s="27">
        <f t="shared" si="11"/>
        <v>2585062195.3580022</v>
      </c>
      <c r="S17" s="27">
        <f t="shared" si="11"/>
        <v>1448134501.4962809</v>
      </c>
      <c r="T17" s="27">
        <f t="shared" si="11"/>
        <v>672732680.20506442</v>
      </c>
      <c r="U17" s="27">
        <f t="shared" si="11"/>
        <v>2956232188.7639647</v>
      </c>
      <c r="V17" s="27">
        <f t="shared" si="11"/>
        <v>1700702280.8909385</v>
      </c>
      <c r="W17" s="27">
        <f t="shared" si="11"/>
        <v>942000555.74694157</v>
      </c>
      <c r="X17" s="27">
        <f t="shared" si="11"/>
        <v>422138618.3564412</v>
      </c>
      <c r="Y17" s="27">
        <f t="shared" si="11"/>
        <v>2070883253.8309031</v>
      </c>
      <c r="Z17" s="27">
        <f t="shared" si="11"/>
        <v>1197653781.9139941</v>
      </c>
      <c r="AA17" s="27">
        <f t="shared" si="11"/>
        <v>700378492.57080543</v>
      </c>
      <c r="AB17" s="27">
        <f t="shared" si="11"/>
        <v>340310961.44933069</v>
      </c>
      <c r="AC17" s="27">
        <f t="shared" si="11"/>
        <v>1407669831.4786239</v>
      </c>
      <c r="AD17" s="27">
        <f t="shared" si="11"/>
        <v>826746006.47127163</v>
      </c>
      <c r="AE17" s="27">
        <f t="shared" si="11"/>
        <v>497377672.31600881</v>
      </c>
      <c r="AF17" s="27">
        <f t="shared" si="11"/>
        <v>246652937.60032842</v>
      </c>
      <c r="AG17" s="27">
        <f t="shared" si="11"/>
        <v>1029069097.2735004</v>
      </c>
      <c r="AH17" s="27">
        <f t="shared" si="11"/>
        <v>653806366.862517</v>
      </c>
      <c r="AI17" s="27">
        <f t="shared" si="11"/>
        <v>372301839.12449437</v>
      </c>
      <c r="AJ17" s="27">
        <f t="shared" si="11"/>
        <v>204487191.33814475</v>
      </c>
      <c r="AK17" s="27">
        <f t="shared" si="11"/>
        <v>698620924.44489491</v>
      </c>
      <c r="AL17" s="27">
        <f t="shared" si="11"/>
        <v>470676697.32173109</v>
      </c>
      <c r="AM17" s="27">
        <f t="shared" si="11"/>
        <v>243573482.53892973</v>
      </c>
      <c r="AN17" s="27">
        <f t="shared" si="11"/>
        <v>132994277.50921516</v>
      </c>
      <c r="AO17" s="27">
        <f t="shared" si="11"/>
        <v>545952972.04744172</v>
      </c>
      <c r="AP17" s="27">
        <f t="shared" si="11"/>
        <v>361564809.52664793</v>
      </c>
      <c r="AQ17" s="27" t="e">
        <f t="shared" si="11"/>
        <v>#DIV/0!</v>
      </c>
      <c r="AR17" s="27">
        <f t="shared" si="11"/>
        <v>0</v>
      </c>
      <c r="AS17" s="27">
        <f t="shared" si="11"/>
        <v>0</v>
      </c>
      <c r="AT17" s="27">
        <f t="shared" si="11"/>
        <v>0</v>
      </c>
      <c r="AU17" s="27">
        <f t="shared" si="11"/>
        <v>0</v>
      </c>
      <c r="AV17" s="27">
        <f t="shared" si="11"/>
        <v>0</v>
      </c>
      <c r="AW17" s="27">
        <f t="shared" si="11"/>
        <v>0</v>
      </c>
      <c r="AX17" s="27">
        <f t="shared" si="11"/>
        <v>0</v>
      </c>
      <c r="AY17" s="27">
        <f t="shared" si="11"/>
        <v>0</v>
      </c>
      <c r="AZ17" s="27">
        <f t="shared" si="11"/>
        <v>0</v>
      </c>
      <c r="BA17" s="27">
        <f t="shared" si="11"/>
        <v>0</v>
      </c>
      <c r="BB17" s="27">
        <f t="shared" si="11"/>
        <v>0</v>
      </c>
      <c r="BC17" s="27">
        <f t="shared" si="11"/>
        <v>0</v>
      </c>
      <c r="BD17" s="27">
        <f t="shared" si="11"/>
        <v>0</v>
      </c>
      <c r="BE17" s="27">
        <f t="shared" si="11"/>
        <v>0</v>
      </c>
      <c r="BF17" s="27">
        <f t="shared" si="11"/>
        <v>0</v>
      </c>
      <c r="BG17" s="27">
        <f t="shared" si="11"/>
        <v>0</v>
      </c>
      <c r="BH17" s="27">
        <f t="shared" si="11"/>
        <v>0</v>
      </c>
      <c r="BI17" s="27">
        <f t="shared" si="11"/>
        <v>0</v>
      </c>
      <c r="BJ17" s="27">
        <f t="shared" si="11"/>
        <v>0</v>
      </c>
      <c r="BK17" s="27">
        <f t="shared" si="11"/>
        <v>0</v>
      </c>
      <c r="BL17" s="27">
        <f t="shared" si="11"/>
        <v>0</v>
      </c>
      <c r="BM17" s="27">
        <f t="shared" si="11"/>
        <v>0</v>
      </c>
      <c r="BN17" s="27">
        <f t="shared" si="11"/>
        <v>0</v>
      </c>
      <c r="BO17" s="27">
        <f t="shared" ref="BO17:CJ17" si="12">BO15-BO16</f>
        <v>0</v>
      </c>
      <c r="BP17" s="27">
        <f t="shared" si="12"/>
        <v>0</v>
      </c>
      <c r="BQ17" s="27">
        <f t="shared" si="12"/>
        <v>0</v>
      </c>
      <c r="BR17" s="27">
        <f t="shared" si="12"/>
        <v>0</v>
      </c>
      <c r="BS17" s="27">
        <f t="shared" si="12"/>
        <v>0</v>
      </c>
      <c r="BT17" s="27">
        <f t="shared" si="12"/>
        <v>0</v>
      </c>
      <c r="BU17" s="27">
        <f t="shared" si="12"/>
        <v>0</v>
      </c>
      <c r="BV17" s="27">
        <f t="shared" si="12"/>
        <v>0</v>
      </c>
      <c r="BW17" s="27">
        <f t="shared" si="12"/>
        <v>0</v>
      </c>
      <c r="BX17" s="27">
        <f t="shared" si="12"/>
        <v>0</v>
      </c>
      <c r="BY17" s="27">
        <f t="shared" si="12"/>
        <v>0</v>
      </c>
      <c r="BZ17" s="27">
        <f t="shared" si="12"/>
        <v>0</v>
      </c>
      <c r="CA17" s="27">
        <f t="shared" si="12"/>
        <v>0</v>
      </c>
      <c r="CB17" s="27">
        <f t="shared" si="12"/>
        <v>0</v>
      </c>
      <c r="CC17" s="27">
        <f t="shared" si="12"/>
        <v>0</v>
      </c>
      <c r="CD17" s="27" t="e">
        <f t="shared" si="12"/>
        <v>#DIV/0!</v>
      </c>
      <c r="CE17" s="27">
        <f t="shared" si="12"/>
        <v>0</v>
      </c>
      <c r="CF17" s="27">
        <f t="shared" si="12"/>
        <v>0</v>
      </c>
      <c r="CG17" s="27" t="e">
        <f t="shared" si="12"/>
        <v>#DIV/0!</v>
      </c>
      <c r="CH17" s="27" t="e">
        <f t="shared" si="12"/>
        <v>#DIV/0!</v>
      </c>
      <c r="CI17" s="27" t="e">
        <f t="shared" si="12"/>
        <v>#DIV/0!</v>
      </c>
      <c r="CJ17" s="27" t="e">
        <f t="shared" si="12"/>
        <v>#DIV/0!</v>
      </c>
    </row>
    <row r="18" spans="1:89" s="57" customFormat="1" x14ac:dyDescent="0.25">
      <c r="A18" s="57" t="s">
        <v>399</v>
      </c>
      <c r="B18" s="57">
        <f>B17/B4*100</f>
        <v>25.455408484996084</v>
      </c>
      <c r="C18" s="57">
        <f t="shared" ref="C18:D18" si="13">C17/C4*100</f>
        <v>14.717005764341298</v>
      </c>
      <c r="D18" s="57">
        <f t="shared" si="13"/>
        <v>17.11661906311333</v>
      </c>
      <c r="E18" s="57">
        <f>E17/E4</f>
        <v>0.18488900409750239</v>
      </c>
      <c r="F18" s="57">
        <f t="shared" ref="F18:BQ18" si="14">F17/F4</f>
        <v>0.18745830286826612</v>
      </c>
      <c r="G18" s="57">
        <f t="shared" si="14"/>
        <v>0.15717187218363787</v>
      </c>
      <c r="H18" s="57">
        <f t="shared" si="14"/>
        <v>0.20915651675097613</v>
      </c>
      <c r="I18" s="57">
        <f t="shared" si="14"/>
        <v>0.22663787505635444</v>
      </c>
      <c r="J18" s="57">
        <f t="shared" si="14"/>
        <v>0.22289646997689261</v>
      </c>
      <c r="K18" s="57">
        <f t="shared" si="14"/>
        <v>0.19997867895251764</v>
      </c>
      <c r="L18" s="57">
        <f t="shared" si="14"/>
        <v>0.21745816147583524</v>
      </c>
      <c r="M18" s="57">
        <f t="shared" si="14"/>
        <v>0.22256400863519774</v>
      </c>
      <c r="N18" s="57">
        <f t="shared" si="14"/>
        <v>0.21777916283815849</v>
      </c>
      <c r="O18" s="57">
        <f t="shared" si="14"/>
        <v>0.2166752060769512</v>
      </c>
      <c r="P18" s="57">
        <f t="shared" si="14"/>
        <v>0.23369500028719656</v>
      </c>
      <c r="Q18" s="57">
        <f t="shared" si="14"/>
        <v>0.25865135120560617</v>
      </c>
      <c r="R18" s="57">
        <f t="shared" si="14"/>
        <v>0.24227823338251325</v>
      </c>
      <c r="S18" s="57">
        <f t="shared" si="14"/>
        <v>0.24071163356569539</v>
      </c>
      <c r="T18" s="57">
        <f t="shared" si="14"/>
        <v>0.25927592695278806</v>
      </c>
      <c r="U18" s="57">
        <f t="shared" si="14"/>
        <v>0.27510308604745609</v>
      </c>
      <c r="V18" s="57">
        <f t="shared" si="14"/>
        <v>0.2479014446719161</v>
      </c>
      <c r="W18" s="57">
        <f t="shared" si="14"/>
        <v>0.24100748626786583</v>
      </c>
      <c r="X18" s="57">
        <f t="shared" si="14"/>
        <v>0.24870778307007083</v>
      </c>
      <c r="Y18" s="57">
        <f t="shared" si="14"/>
        <v>0.28707287022126599</v>
      </c>
      <c r="Z18" s="57">
        <f t="shared" si="14"/>
        <v>0.24962315143342792</v>
      </c>
      <c r="AA18" s="57">
        <f t="shared" si="14"/>
        <v>0.2484775218046773</v>
      </c>
      <c r="AB18" s="57">
        <f t="shared" si="14"/>
        <v>0.26326029791438194</v>
      </c>
      <c r="AC18" s="57">
        <f t="shared" si="14"/>
        <v>0.26906857100405462</v>
      </c>
      <c r="AD18" s="57">
        <f t="shared" si="14"/>
        <v>0.23941745164590345</v>
      </c>
      <c r="AE18" s="57">
        <f t="shared" si="14"/>
        <v>0.23893101975012113</v>
      </c>
      <c r="AF18" s="57">
        <f t="shared" si="14"/>
        <v>0.26524311415015339</v>
      </c>
      <c r="AG18" s="57">
        <f t="shared" si="14"/>
        <v>0.28541827222011262</v>
      </c>
      <c r="AH18" s="57">
        <f t="shared" si="14"/>
        <v>0.27320748458772209</v>
      </c>
      <c r="AI18" s="57">
        <f t="shared" si="14"/>
        <v>0.26549285097871678</v>
      </c>
      <c r="AJ18" s="57">
        <f t="shared" si="14"/>
        <v>0.29752026674552418</v>
      </c>
      <c r="AK18" s="57">
        <f t="shared" si="14"/>
        <v>0.33243708843919401</v>
      </c>
      <c r="AL18" s="57">
        <f t="shared" si="14"/>
        <v>0.32763861378536568</v>
      </c>
      <c r="AM18" s="57">
        <f t="shared" si="14"/>
        <v>0.29107606880587167</v>
      </c>
      <c r="AN18" s="57">
        <f t="shared" si="14"/>
        <v>0.32995685490229387</v>
      </c>
      <c r="AO18" s="57">
        <f t="shared" si="14"/>
        <v>0.31332105017185941</v>
      </c>
      <c r="AP18" s="57">
        <f t="shared" si="14"/>
        <v>0.30524319735660682</v>
      </c>
      <c r="AQ18" s="57" t="e">
        <f t="shared" si="14"/>
        <v>#DIV/0!</v>
      </c>
      <c r="AR18" s="57" t="e">
        <f t="shared" si="14"/>
        <v>#DIV/0!</v>
      </c>
      <c r="AS18" s="57" t="e">
        <f t="shared" si="14"/>
        <v>#DIV/0!</v>
      </c>
      <c r="AT18" s="57" t="e">
        <f t="shared" si="14"/>
        <v>#DIV/0!</v>
      </c>
      <c r="AU18" s="57" t="e">
        <f t="shared" si="14"/>
        <v>#DIV/0!</v>
      </c>
      <c r="AV18" s="57" t="e">
        <f t="shared" si="14"/>
        <v>#DIV/0!</v>
      </c>
      <c r="AW18" s="57" t="e">
        <f t="shared" si="14"/>
        <v>#DIV/0!</v>
      </c>
      <c r="AX18" s="57" t="e">
        <f t="shared" si="14"/>
        <v>#DIV/0!</v>
      </c>
      <c r="AY18" s="57" t="e">
        <f t="shared" si="14"/>
        <v>#DIV/0!</v>
      </c>
      <c r="AZ18" s="57" t="e">
        <f t="shared" si="14"/>
        <v>#DIV/0!</v>
      </c>
      <c r="BA18" s="57" t="e">
        <f t="shared" si="14"/>
        <v>#DIV/0!</v>
      </c>
      <c r="BB18" s="57" t="e">
        <f t="shared" si="14"/>
        <v>#DIV/0!</v>
      </c>
      <c r="BC18" s="57" t="e">
        <f t="shared" si="14"/>
        <v>#DIV/0!</v>
      </c>
      <c r="BD18" s="57" t="e">
        <f t="shared" si="14"/>
        <v>#DIV/0!</v>
      </c>
      <c r="BE18" s="57" t="e">
        <f t="shared" si="14"/>
        <v>#DIV/0!</v>
      </c>
      <c r="BF18" s="57" t="e">
        <f t="shared" si="14"/>
        <v>#DIV/0!</v>
      </c>
      <c r="BG18" s="57" t="e">
        <f t="shared" si="14"/>
        <v>#DIV/0!</v>
      </c>
      <c r="BH18" s="57" t="e">
        <f t="shared" si="14"/>
        <v>#DIV/0!</v>
      </c>
      <c r="BI18" s="57" t="e">
        <f t="shared" si="14"/>
        <v>#DIV/0!</v>
      </c>
      <c r="BJ18" s="57" t="e">
        <f t="shared" si="14"/>
        <v>#DIV/0!</v>
      </c>
      <c r="BK18" s="57" t="e">
        <f t="shared" si="14"/>
        <v>#DIV/0!</v>
      </c>
      <c r="BL18" s="57" t="e">
        <f t="shared" si="14"/>
        <v>#DIV/0!</v>
      </c>
      <c r="BM18" s="57" t="e">
        <f t="shared" si="14"/>
        <v>#DIV/0!</v>
      </c>
      <c r="BN18" s="57" t="e">
        <f t="shared" si="14"/>
        <v>#DIV/0!</v>
      </c>
      <c r="BO18" s="57" t="e">
        <f t="shared" si="14"/>
        <v>#DIV/0!</v>
      </c>
      <c r="BP18" s="57" t="e">
        <f t="shared" si="14"/>
        <v>#DIV/0!</v>
      </c>
      <c r="BQ18" s="57" t="e">
        <f t="shared" si="14"/>
        <v>#DIV/0!</v>
      </c>
      <c r="BR18" s="57" t="e">
        <f t="shared" ref="BR18:CK18" si="15">BR17/BR4</f>
        <v>#DIV/0!</v>
      </c>
      <c r="BS18" s="57" t="e">
        <f t="shared" si="15"/>
        <v>#DIV/0!</v>
      </c>
      <c r="BT18" s="57" t="e">
        <f t="shared" si="15"/>
        <v>#DIV/0!</v>
      </c>
      <c r="BU18" s="57" t="e">
        <f t="shared" si="15"/>
        <v>#DIV/0!</v>
      </c>
      <c r="BV18" s="57" t="e">
        <f t="shared" si="15"/>
        <v>#DIV/0!</v>
      </c>
      <c r="BW18" s="57" t="e">
        <f t="shared" si="15"/>
        <v>#DIV/0!</v>
      </c>
      <c r="BX18" s="57" t="e">
        <f t="shared" si="15"/>
        <v>#DIV/0!</v>
      </c>
      <c r="BY18" s="57" t="e">
        <f t="shared" si="15"/>
        <v>#DIV/0!</v>
      </c>
      <c r="BZ18" s="57" t="e">
        <f t="shared" si="15"/>
        <v>#DIV/0!</v>
      </c>
      <c r="CA18" s="57" t="e">
        <f t="shared" si="15"/>
        <v>#DIV/0!</v>
      </c>
      <c r="CB18" s="57" t="e">
        <f t="shared" si="15"/>
        <v>#DIV/0!</v>
      </c>
      <c r="CC18" s="57" t="e">
        <f t="shared" si="15"/>
        <v>#DIV/0!</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400</v>
      </c>
      <c r="B20" s="190">
        <v>-1618218.28</v>
      </c>
      <c r="C20" s="190">
        <v>2538090.69</v>
      </c>
      <c r="D20" s="190">
        <v>342772.47999999998</v>
      </c>
      <c r="E20" s="190">
        <v>-2525266.42</v>
      </c>
      <c r="F20" s="190">
        <v>3502450.8</v>
      </c>
      <c r="G20" s="190">
        <v>0</v>
      </c>
      <c r="H20" s="190">
        <v>0</v>
      </c>
      <c r="I20" s="190">
        <v>0</v>
      </c>
      <c r="J20" s="190">
        <v>0</v>
      </c>
      <c r="K20" s="190">
        <v>0</v>
      </c>
      <c r="L20" s="190">
        <v>0</v>
      </c>
      <c r="M20" s="190">
        <v>0</v>
      </c>
      <c r="N20" s="190">
        <v>0</v>
      </c>
      <c r="O20" s="190">
        <v>0</v>
      </c>
      <c r="P20" s="190">
        <v>0</v>
      </c>
      <c r="Q20" s="190">
        <v>0</v>
      </c>
      <c r="R20" s="190">
        <v>-352661.41</v>
      </c>
      <c r="S20" s="190">
        <v>-352661.41</v>
      </c>
      <c r="T20" s="190">
        <v>0</v>
      </c>
      <c r="U20" s="190">
        <v>-454672.64000000001</v>
      </c>
      <c r="V20" s="190">
        <v>-370446.19</v>
      </c>
      <c r="W20" s="190">
        <v>-214567.66</v>
      </c>
      <c r="X20" s="190">
        <v>-94225.82</v>
      </c>
      <c r="Y20" s="190">
        <v>-295093.96000000002</v>
      </c>
      <c r="Z20" s="190">
        <v>-96220.07</v>
      </c>
      <c r="AA20" s="190">
        <v>-96220.07</v>
      </c>
      <c r="AB20" s="190">
        <v>0</v>
      </c>
      <c r="AC20" s="190">
        <v>1521343.94</v>
      </c>
      <c r="AD20" s="190">
        <v>1521343.94</v>
      </c>
      <c r="AE20" s="190">
        <v>1521343.94</v>
      </c>
      <c r="AF20" s="190">
        <v>1521343.94</v>
      </c>
      <c r="AG20" s="190">
        <v>3344701.73</v>
      </c>
      <c r="AH20" s="190">
        <v>-499972.93</v>
      </c>
      <c r="AI20" s="190">
        <v>-499972.93</v>
      </c>
      <c r="AJ20" s="190">
        <v>0</v>
      </c>
      <c r="AK20" s="190">
        <v>-1033334.25</v>
      </c>
      <c r="AL20" s="190">
        <v>-1552451.92</v>
      </c>
      <c r="AM20" s="190">
        <v>-1552451.92</v>
      </c>
      <c r="AN20" s="190">
        <v>0</v>
      </c>
      <c r="AO20" s="190">
        <v>197844.17</v>
      </c>
      <c r="AP20" s="190">
        <v>0</v>
      </c>
      <c r="AQ20" s="190">
        <v>0</v>
      </c>
      <c r="AR20" s="190"/>
      <c r="AS20" s="190"/>
      <c r="AT20" s="190"/>
      <c r="AU20" s="190"/>
      <c r="AV20" s="190"/>
      <c r="AW20" s="190"/>
      <c r="AX20" s="190"/>
      <c r="AY20" s="190"/>
      <c r="AZ20" s="190"/>
      <c r="BA20" s="190"/>
      <c r="BB20" s="190"/>
      <c r="BC20" s="190"/>
      <c r="BD20" s="190"/>
      <c r="BE20" s="190"/>
      <c r="BF20" s="190"/>
      <c r="BG20" s="190"/>
      <c r="BH20" s="190"/>
      <c r="BI20" s="190"/>
      <c r="BJ20" s="190"/>
      <c r="BK20" s="190"/>
      <c r="BL20" s="190"/>
      <c r="BM20" s="190"/>
      <c r="BN20" s="190"/>
      <c r="BO20" s="190"/>
      <c r="BP20" s="190"/>
      <c r="BQ20" s="190"/>
      <c r="BR20" s="190"/>
      <c r="BS20" s="190"/>
      <c r="BT20" s="190"/>
      <c r="BU20" s="190"/>
      <c r="BV20" s="190"/>
      <c r="BW20" s="190"/>
      <c r="BX20" s="190"/>
      <c r="BY20" s="190"/>
      <c r="BZ20" s="190"/>
      <c r="CA20" s="190"/>
      <c r="CB20" s="190"/>
      <c r="CC20" s="190"/>
      <c r="CD20" s="190"/>
      <c r="CE20" s="190"/>
      <c r="CF20" s="190"/>
      <c r="CG20" s="190"/>
      <c r="CH20" s="190"/>
      <c r="CI20" s="190"/>
      <c r="CJ20" s="190"/>
      <c r="CK20" s="190"/>
    </row>
    <row r="21" spans="1:89" s="16" customFormat="1" x14ac:dyDescent="0.25">
      <c r="A21" s="18" t="s">
        <v>87</v>
      </c>
      <c r="B21" s="30"/>
      <c r="C21" s="30"/>
      <c r="D21" s="30"/>
      <c r="E21" s="30"/>
      <c r="F21" s="30"/>
      <c r="G21" s="30"/>
      <c r="H21" s="30"/>
      <c r="I21" s="30"/>
      <c r="J21" s="30"/>
      <c r="K21" s="30"/>
    </row>
    <row r="22" spans="1:89" x14ac:dyDescent="0.25">
      <c r="A22" s="17" t="s">
        <v>401</v>
      </c>
      <c r="B22" s="190">
        <v>5191145.93</v>
      </c>
      <c r="C22" s="190">
        <v>-6102548.0199999996</v>
      </c>
      <c r="D22" s="190">
        <v>-42253561.299999997</v>
      </c>
      <c r="E22" s="190">
        <v>42090091.109999999</v>
      </c>
      <c r="F22" s="190">
        <v>38626739.560000002</v>
      </c>
      <c r="G22" s="190">
        <v>38552490.409999996</v>
      </c>
      <c r="H22" s="190">
        <v>4304484.96</v>
      </c>
      <c r="I22" s="190">
        <v>-40171578.799999997</v>
      </c>
      <c r="J22" s="190">
        <v>-7414642.5</v>
      </c>
      <c r="K22" s="190">
        <v>-8281896.3200000003</v>
      </c>
      <c r="L22" s="190">
        <v>-8978982.0800000001</v>
      </c>
      <c r="M22" s="190">
        <v>-16154643.25</v>
      </c>
      <c r="N22" s="190">
        <v>-15659210.5</v>
      </c>
      <c r="O22" s="190">
        <v>-10606627.359999999</v>
      </c>
      <c r="P22" s="190">
        <v>-4552407.5</v>
      </c>
      <c r="Q22" s="190">
        <v>3032932.74</v>
      </c>
      <c r="R22" s="190">
        <v>-1078610</v>
      </c>
      <c r="S22" s="190">
        <v>-3741370</v>
      </c>
      <c r="T22" s="190">
        <v>0</v>
      </c>
      <c r="U22" s="190">
        <v>0</v>
      </c>
      <c r="V22" s="190">
        <v>0</v>
      </c>
      <c r="W22" s="190">
        <v>0</v>
      </c>
      <c r="X22" s="190">
        <v>0</v>
      </c>
      <c r="Y22" s="190">
        <v>0</v>
      </c>
      <c r="Z22" s="190">
        <v>0</v>
      </c>
      <c r="AA22" s="190">
        <v>0</v>
      </c>
      <c r="AB22" s="190">
        <v>0</v>
      </c>
      <c r="AC22" s="190">
        <v>0</v>
      </c>
      <c r="AD22" s="190">
        <v>0</v>
      </c>
      <c r="AE22" s="190">
        <v>0</v>
      </c>
      <c r="AF22" s="190">
        <v>0</v>
      </c>
      <c r="AG22" s="190">
        <v>0</v>
      </c>
      <c r="AH22" s="190">
        <v>0</v>
      </c>
      <c r="AI22" s="190">
        <v>0</v>
      </c>
      <c r="AJ22" s="190">
        <v>0</v>
      </c>
      <c r="AK22" s="190">
        <v>0</v>
      </c>
      <c r="AL22" s="190">
        <v>0</v>
      </c>
      <c r="AM22" s="190">
        <v>0</v>
      </c>
      <c r="AN22" s="190">
        <v>0</v>
      </c>
      <c r="AO22" s="190">
        <v>0</v>
      </c>
      <c r="AP22" s="190">
        <v>0</v>
      </c>
      <c r="AQ22" s="190">
        <v>0</v>
      </c>
      <c r="AR22" s="190"/>
      <c r="AS22" s="190"/>
      <c r="AT22" s="190"/>
      <c r="AU22" s="190"/>
      <c r="AV22" s="190"/>
      <c r="AW22" s="190"/>
      <c r="AX22" s="190"/>
      <c r="AY22" s="190"/>
      <c r="AZ22" s="190"/>
      <c r="BA22" s="190"/>
      <c r="BB22" s="190"/>
      <c r="BC22" s="190"/>
      <c r="BD22" s="190"/>
      <c r="BE22" s="190"/>
      <c r="BF22" s="190"/>
      <c r="BG22" s="190"/>
      <c r="BH22" s="190"/>
      <c r="BI22" s="190"/>
      <c r="BJ22" s="190"/>
      <c r="BK22" s="190"/>
      <c r="BL22" s="190"/>
      <c r="BM22" s="190"/>
      <c r="BN22" s="190"/>
      <c r="BO22" s="190"/>
      <c r="BP22" s="190"/>
      <c r="BQ22" s="190"/>
      <c r="BR22" s="190"/>
      <c r="BS22" s="190"/>
      <c r="BT22" s="190"/>
      <c r="BU22" s="190"/>
      <c r="BV22" s="190"/>
      <c r="BW22" s="190"/>
      <c r="BX22" s="190"/>
      <c r="BY22" s="190"/>
      <c r="BZ22" s="190"/>
      <c r="CA22" s="190"/>
      <c r="CB22" s="190"/>
      <c r="CC22" s="190"/>
      <c r="CD22" s="190"/>
      <c r="CE22" s="190"/>
      <c r="CF22" s="190"/>
      <c r="CG22" s="190"/>
      <c r="CH22" s="190"/>
      <c r="CI22" s="190"/>
      <c r="CJ22" s="190"/>
      <c r="CK22" s="190"/>
    </row>
    <row r="23" spans="1:89" s="7" customFormat="1" x14ac:dyDescent="0.25">
      <c r="A23" s="21" t="s">
        <v>402</v>
      </c>
      <c r="B23" s="29">
        <f>-B52</f>
        <v>25636</v>
      </c>
      <c r="C23" s="29">
        <f t="shared" ref="C23:BN23" si="16">-C52</f>
        <v>27718</v>
      </c>
      <c r="D23" s="29">
        <f t="shared" si="16"/>
        <v>35317</v>
      </c>
      <c r="E23" s="29">
        <f t="shared" si="16"/>
        <v>270155908.14999998</v>
      </c>
      <c r="F23" s="29">
        <f t="shared" si="16"/>
        <v>34414</v>
      </c>
      <c r="G23" s="29">
        <f t="shared" si="16"/>
        <v>23309</v>
      </c>
      <c r="H23" s="29">
        <f t="shared" si="16"/>
        <v>16814</v>
      </c>
      <c r="I23" s="29">
        <f t="shared" si="16"/>
        <v>-184541375.93000001</v>
      </c>
      <c r="J23" s="29">
        <f t="shared" si="16"/>
        <v>0</v>
      </c>
      <c r="K23" s="29">
        <f t="shared" si="16"/>
        <v>0</v>
      </c>
      <c r="L23" s="29">
        <f t="shared" si="16"/>
        <v>0</v>
      </c>
      <c r="M23" s="29">
        <f t="shared" si="16"/>
        <v>159433094.75999999</v>
      </c>
      <c r="N23" s="29">
        <f t="shared" si="16"/>
        <v>0</v>
      </c>
      <c r="O23" s="29">
        <f t="shared" si="16"/>
        <v>0</v>
      </c>
      <c r="P23" s="29">
        <f t="shared" si="16"/>
        <v>0</v>
      </c>
      <c r="Q23" s="29">
        <f t="shared" si="16"/>
        <v>154426330.33000001</v>
      </c>
      <c r="R23" s="29">
        <f t="shared" si="16"/>
        <v>0</v>
      </c>
      <c r="S23" s="29">
        <f t="shared" si="16"/>
        <v>0</v>
      </c>
      <c r="T23" s="29">
        <f t="shared" si="16"/>
        <v>0</v>
      </c>
      <c r="U23" s="29">
        <f t="shared" si="16"/>
        <v>116552958.23999999</v>
      </c>
      <c r="V23" s="29">
        <f t="shared" si="16"/>
        <v>0</v>
      </c>
      <c r="W23" s="29">
        <f t="shared" si="16"/>
        <v>0</v>
      </c>
      <c r="X23" s="29">
        <f t="shared" si="16"/>
        <v>0</v>
      </c>
      <c r="Y23" s="29">
        <f t="shared" si="16"/>
        <v>76967258.840000004</v>
      </c>
      <c r="Z23" s="29">
        <f t="shared" si="16"/>
        <v>0</v>
      </c>
      <c r="AA23" s="29">
        <f t="shared" si="16"/>
        <v>0</v>
      </c>
      <c r="AB23" s="29">
        <f t="shared" si="16"/>
        <v>0</v>
      </c>
      <c r="AC23" s="29">
        <f t="shared" si="16"/>
        <v>104549495.51000001</v>
      </c>
      <c r="AD23" s="29">
        <f t="shared" si="16"/>
        <v>0</v>
      </c>
      <c r="AE23" s="29">
        <f t="shared" si="16"/>
        <v>0</v>
      </c>
      <c r="AF23" s="29">
        <f t="shared" si="16"/>
        <v>0</v>
      </c>
      <c r="AG23" s="29">
        <f t="shared" si="16"/>
        <v>30815131.93</v>
      </c>
      <c r="AH23" s="29">
        <f t="shared" si="16"/>
        <v>0</v>
      </c>
      <c r="AI23" s="29">
        <f t="shared" si="16"/>
        <v>0</v>
      </c>
      <c r="AJ23" s="29">
        <f t="shared" si="16"/>
        <v>0</v>
      </c>
      <c r="AK23" s="29">
        <f t="shared" si="16"/>
        <v>0</v>
      </c>
      <c r="AL23" s="29">
        <f t="shared" si="16"/>
        <v>0</v>
      </c>
      <c r="AM23" s="29">
        <f t="shared" si="16"/>
        <v>0</v>
      </c>
      <c r="AN23" s="29">
        <f t="shared" si="16"/>
        <v>0</v>
      </c>
      <c r="AO23" s="29">
        <f t="shared" si="16"/>
        <v>0</v>
      </c>
      <c r="AP23" s="29">
        <f t="shared" si="16"/>
        <v>0</v>
      </c>
      <c r="AQ23" s="29">
        <f t="shared" si="16"/>
        <v>0</v>
      </c>
      <c r="AR23" s="29">
        <f t="shared" si="16"/>
        <v>0</v>
      </c>
      <c r="AS23" s="29">
        <f t="shared" si="16"/>
        <v>0</v>
      </c>
      <c r="AT23" s="29">
        <f t="shared" si="16"/>
        <v>0</v>
      </c>
      <c r="AU23" s="29">
        <f t="shared" si="16"/>
        <v>0</v>
      </c>
      <c r="AV23" s="29">
        <f t="shared" si="16"/>
        <v>0</v>
      </c>
      <c r="AW23" s="29">
        <f t="shared" si="16"/>
        <v>0</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403</v>
      </c>
      <c r="B24" s="26">
        <f>B67</f>
        <v>62800487.630000003</v>
      </c>
      <c r="C24" s="26">
        <f t="shared" ref="C24:BN24" si="18">C67</f>
        <v>75729025.469999999</v>
      </c>
      <c r="D24" s="26">
        <f t="shared" si="18"/>
        <v>21561926.579999998</v>
      </c>
      <c r="E24" s="26">
        <f>E67</f>
        <v>47175371.539999999</v>
      </c>
      <c r="F24" s="26">
        <f t="shared" si="18"/>
        <v>43045326.400000006</v>
      </c>
      <c r="G24" s="26">
        <f t="shared" si="18"/>
        <v>49652189.100000001</v>
      </c>
      <c r="H24" s="26">
        <f t="shared" si="18"/>
        <v>26616724.899999999</v>
      </c>
      <c r="I24" s="26">
        <f t="shared" si="18"/>
        <v>40493287.659999996</v>
      </c>
      <c r="J24" s="26">
        <f t="shared" si="18"/>
        <v>42207125.490000002</v>
      </c>
      <c r="K24" s="26">
        <f t="shared" si="18"/>
        <v>26451500.899999999</v>
      </c>
      <c r="L24" s="26">
        <f t="shared" si="18"/>
        <v>10185437.220000001</v>
      </c>
      <c r="M24" s="26">
        <f t="shared" si="18"/>
        <v>148673437.25</v>
      </c>
      <c r="N24" s="26">
        <f t="shared" si="18"/>
        <v>93188502.299999997</v>
      </c>
      <c r="O24" s="26">
        <f t="shared" si="18"/>
        <v>79164642.849999994</v>
      </c>
      <c r="P24" s="26">
        <f t="shared" si="18"/>
        <v>44740853.899999999</v>
      </c>
      <c r="Q24" s="26">
        <f t="shared" si="18"/>
        <v>151024364.74000001</v>
      </c>
      <c r="R24" s="26">
        <f t="shared" si="18"/>
        <v>97458189.459999993</v>
      </c>
      <c r="S24" s="26">
        <f t="shared" si="18"/>
        <v>62133023.079999998</v>
      </c>
      <c r="T24" s="26">
        <f t="shared" si="18"/>
        <v>2373479.4500000002</v>
      </c>
      <c r="U24" s="26">
        <f t="shared" si="18"/>
        <v>39128924.43</v>
      </c>
      <c r="V24" s="26">
        <f t="shared" si="18"/>
        <v>19148690.27</v>
      </c>
      <c r="W24" s="26">
        <f t="shared" si="18"/>
        <v>13330871.720000001</v>
      </c>
      <c r="X24" s="26">
        <f t="shared" si="18"/>
        <v>4900933.34</v>
      </c>
      <c r="Y24" s="26">
        <f t="shared" si="18"/>
        <v>0</v>
      </c>
      <c r="Z24" s="26">
        <f t="shared" si="18"/>
        <v>0</v>
      </c>
      <c r="AA24" s="26">
        <f t="shared" si="18"/>
        <v>0</v>
      </c>
      <c r="AB24" s="26">
        <f t="shared" si="18"/>
        <v>0</v>
      </c>
      <c r="AC24" s="26">
        <f t="shared" si="18"/>
        <v>0</v>
      </c>
      <c r="AD24" s="26">
        <f t="shared" si="18"/>
        <v>0</v>
      </c>
      <c r="AE24" s="26">
        <f t="shared" si="18"/>
        <v>0</v>
      </c>
      <c r="AF24" s="26">
        <f t="shared" si="18"/>
        <v>0</v>
      </c>
      <c r="AG24" s="26">
        <f t="shared" si="18"/>
        <v>0</v>
      </c>
      <c r="AH24" s="26">
        <f t="shared" si="18"/>
        <v>0</v>
      </c>
      <c r="AI24" s="26">
        <f t="shared" si="18"/>
        <v>0</v>
      </c>
      <c r="AJ24" s="26">
        <f t="shared" si="18"/>
        <v>0</v>
      </c>
      <c r="AK24" s="26">
        <f t="shared" si="18"/>
        <v>0</v>
      </c>
      <c r="AL24" s="26">
        <f t="shared" si="18"/>
        <v>0</v>
      </c>
      <c r="AM24" s="26">
        <f t="shared" si="18"/>
        <v>0</v>
      </c>
      <c r="AN24" s="26">
        <f t="shared" si="18"/>
        <v>0</v>
      </c>
      <c r="AO24" s="26">
        <f t="shared" si="18"/>
        <v>-2607048.69</v>
      </c>
      <c r="AP24" s="26">
        <f t="shared" si="18"/>
        <v>0</v>
      </c>
      <c r="AQ24" s="26">
        <f t="shared" si="18"/>
        <v>0</v>
      </c>
      <c r="AR24" s="26">
        <f t="shared" si="18"/>
        <v>0</v>
      </c>
      <c r="AS24" s="26">
        <f t="shared" si="18"/>
        <v>3199582.46</v>
      </c>
      <c r="AT24" s="26">
        <f t="shared" si="18"/>
        <v>556604.28</v>
      </c>
      <c r="AU24" s="26">
        <f t="shared" si="18"/>
        <v>47918.79</v>
      </c>
      <c r="AV24" s="26">
        <f t="shared" si="18"/>
        <v>665864.48</v>
      </c>
      <c r="AW24" s="26">
        <f t="shared" si="18"/>
        <v>5051692.58</v>
      </c>
      <c r="AX24" s="26">
        <f t="shared" si="18"/>
        <v>2496157.7200000002</v>
      </c>
      <c r="AY24" s="26">
        <f t="shared" si="18"/>
        <v>1832311.81</v>
      </c>
      <c r="AZ24" s="26">
        <f t="shared" si="18"/>
        <v>100000</v>
      </c>
      <c r="BA24" s="26">
        <f t="shared" si="18"/>
        <v>-3923017.4</v>
      </c>
      <c r="BB24" s="26">
        <f t="shared" si="18"/>
        <v>-497364.9</v>
      </c>
      <c r="BC24" s="26">
        <f t="shared" si="18"/>
        <v>-499893.8</v>
      </c>
      <c r="BD24" s="26">
        <f t="shared" si="18"/>
        <v>0</v>
      </c>
      <c r="BE24" s="26">
        <f t="shared" si="18"/>
        <v>-126753.75</v>
      </c>
      <c r="BF24" s="26">
        <f t="shared" si="18"/>
        <v>344265.81</v>
      </c>
      <c r="BG24" s="26">
        <f t="shared" si="18"/>
        <v>344265.81</v>
      </c>
      <c r="BH24" s="26">
        <f t="shared" si="18"/>
        <v>1026367.48</v>
      </c>
      <c r="BI24" s="26">
        <f t="shared" si="18"/>
        <v>-554425.18000000005</v>
      </c>
      <c r="BJ24" s="26">
        <f t="shared" si="18"/>
        <v>287254.11</v>
      </c>
      <c r="BK24" s="26">
        <f t="shared" si="18"/>
        <v>52424.27</v>
      </c>
      <c r="BL24" s="26">
        <f t="shared" si="18"/>
        <v>265460.88</v>
      </c>
      <c r="BM24" s="26">
        <f t="shared" si="18"/>
        <v>178932.4</v>
      </c>
      <c r="BN24" s="26">
        <f t="shared" si="18"/>
        <v>1871129.6000000001</v>
      </c>
      <c r="BO24" s="26">
        <f t="shared" ref="BO24:CJ24" si="19">BO67</f>
        <v>1511721.55</v>
      </c>
      <c r="BP24" s="26">
        <f t="shared" si="19"/>
        <v>-174029.22</v>
      </c>
      <c r="BQ24" s="26">
        <f t="shared" si="19"/>
        <v>12349967.949999999</v>
      </c>
      <c r="BR24" s="26">
        <f t="shared" si="19"/>
        <v>12720000</v>
      </c>
      <c r="BS24" s="26">
        <f t="shared" si="19"/>
        <v>9766309.1799999997</v>
      </c>
      <c r="BT24" s="26">
        <f t="shared" si="19"/>
        <v>5348519.25</v>
      </c>
      <c r="BU24" s="26">
        <f t="shared" si="19"/>
        <v>2373601.7000000002</v>
      </c>
      <c r="BV24" s="26">
        <f t="shared" si="19"/>
        <v>0</v>
      </c>
      <c r="BW24" s="26">
        <f t="shared" si="19"/>
        <v>0</v>
      </c>
      <c r="BX24" s="26">
        <f t="shared" si="19"/>
        <v>0</v>
      </c>
      <c r="BY24" s="26">
        <f t="shared" si="19"/>
        <v>0</v>
      </c>
      <c r="BZ24" s="26">
        <f t="shared" si="19"/>
        <v>0</v>
      </c>
      <c r="CA24" s="26">
        <f t="shared" si="19"/>
        <v>0</v>
      </c>
      <c r="CB24" s="26">
        <f t="shared" si="19"/>
        <v>0</v>
      </c>
      <c r="CC24" s="26">
        <f t="shared" si="19"/>
        <v>0</v>
      </c>
      <c r="CD24" s="26">
        <f t="shared" si="19"/>
        <v>0</v>
      </c>
      <c r="CE24" s="26">
        <f t="shared" si="19"/>
        <v>7729000</v>
      </c>
      <c r="CF24" s="26">
        <f t="shared" si="19"/>
        <v>2092581.44</v>
      </c>
      <c r="CG24" s="26">
        <f t="shared" si="19"/>
        <v>0</v>
      </c>
      <c r="CH24" s="26">
        <f t="shared" si="19"/>
        <v>0</v>
      </c>
      <c r="CI24" s="26">
        <f t="shared" si="19"/>
        <v>0</v>
      </c>
      <c r="CJ24" s="26">
        <f t="shared" si="19"/>
        <v>0</v>
      </c>
    </row>
    <row r="25" spans="1:89" s="7" customFormat="1" x14ac:dyDescent="0.25">
      <c r="A25" s="21" t="s">
        <v>404</v>
      </c>
      <c r="B25" s="29">
        <f>-B54</f>
        <v>-3104</v>
      </c>
      <c r="C25" s="29">
        <f t="shared" ref="C25:BN25" si="20">-C54</f>
        <v>1424</v>
      </c>
      <c r="D25" s="29">
        <f t="shared" si="20"/>
        <v>340</v>
      </c>
      <c r="E25" s="29">
        <f t="shared" si="20"/>
        <v>-685439581.63</v>
      </c>
      <c r="F25" s="29">
        <f t="shared" si="20"/>
        <v>-2684</v>
      </c>
      <c r="G25" s="29">
        <f t="shared" si="20"/>
        <v>377</v>
      </c>
      <c r="H25" s="29">
        <f t="shared" si="20"/>
        <v>-1008</v>
      </c>
      <c r="I25" s="29">
        <f t="shared" si="20"/>
        <v>301689249.60000002</v>
      </c>
      <c r="J25" s="29">
        <f t="shared" si="20"/>
        <v>0</v>
      </c>
      <c r="K25" s="29">
        <f t="shared" si="20"/>
        <v>0</v>
      </c>
      <c r="L25" s="29">
        <f t="shared" si="20"/>
        <v>0</v>
      </c>
      <c r="M25" s="29">
        <f t="shared" si="20"/>
        <v>86990601.689999998</v>
      </c>
      <c r="N25" s="29">
        <f t="shared" si="20"/>
        <v>0</v>
      </c>
      <c r="O25" s="29">
        <f t="shared" si="20"/>
        <v>0</v>
      </c>
      <c r="P25" s="29">
        <f t="shared" si="20"/>
        <v>0</v>
      </c>
      <c r="Q25" s="29">
        <f t="shared" si="20"/>
        <v>-8256139.3099999996</v>
      </c>
      <c r="R25" s="29">
        <f t="shared" si="20"/>
        <v>0</v>
      </c>
      <c r="S25" s="29">
        <f t="shared" si="20"/>
        <v>0</v>
      </c>
      <c r="T25" s="29">
        <f t="shared" si="20"/>
        <v>0</v>
      </c>
      <c r="U25" s="29">
        <f t="shared" si="20"/>
        <v>-22968985.18</v>
      </c>
      <c r="V25" s="29">
        <f t="shared" si="20"/>
        <v>0</v>
      </c>
      <c r="W25" s="29">
        <f t="shared" si="20"/>
        <v>0</v>
      </c>
      <c r="X25" s="29">
        <f t="shared" si="20"/>
        <v>0</v>
      </c>
      <c r="Y25" s="29">
        <f t="shared" si="20"/>
        <v>-1751168.37</v>
      </c>
      <c r="Z25" s="29">
        <f t="shared" si="20"/>
        <v>0</v>
      </c>
      <c r="AA25" s="29">
        <f t="shared" si="20"/>
        <v>0</v>
      </c>
      <c r="AB25" s="29">
        <f t="shared" si="20"/>
        <v>0</v>
      </c>
      <c r="AC25" s="29">
        <f t="shared" si="20"/>
        <v>-21168868.579999998</v>
      </c>
      <c r="AD25" s="29">
        <f t="shared" si="20"/>
        <v>0</v>
      </c>
      <c r="AE25" s="29">
        <f t="shared" si="20"/>
        <v>0</v>
      </c>
      <c r="AF25" s="29">
        <f t="shared" si="20"/>
        <v>0</v>
      </c>
      <c r="AG25" s="29">
        <f t="shared" si="20"/>
        <v>-7616701.8600000003</v>
      </c>
      <c r="AH25" s="29">
        <f t="shared" si="20"/>
        <v>0</v>
      </c>
      <c r="AI25" s="29">
        <f t="shared" si="20"/>
        <v>0</v>
      </c>
      <c r="AJ25" s="29">
        <f t="shared" si="20"/>
        <v>0</v>
      </c>
      <c r="AK25" s="29">
        <f t="shared" si="20"/>
        <v>0</v>
      </c>
      <c r="AL25" s="29">
        <f t="shared" si="20"/>
        <v>0</v>
      </c>
      <c r="AM25" s="29">
        <f t="shared" si="20"/>
        <v>0</v>
      </c>
      <c r="AN25" s="29">
        <f t="shared" si="20"/>
        <v>0</v>
      </c>
      <c r="AO25" s="29">
        <f t="shared" si="20"/>
        <v>0</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405</v>
      </c>
      <c r="B26" s="190">
        <v>-27278644.780000001</v>
      </c>
      <c r="C26" s="190">
        <v>-14284828.74</v>
      </c>
      <c r="D26" s="190">
        <v>15159851.449999999</v>
      </c>
      <c r="E26" s="190">
        <v>13852652.33</v>
      </c>
      <c r="F26" s="190">
        <v>-5423522.8899999997</v>
      </c>
      <c r="G26" s="190">
        <v>29434317.100000001</v>
      </c>
      <c r="H26" s="190">
        <v>2767890.17</v>
      </c>
      <c r="I26" s="190">
        <v>-12687807.98</v>
      </c>
      <c r="J26" s="190">
        <v>96729834.159999996</v>
      </c>
      <c r="K26" s="190">
        <v>-11281600.949999999</v>
      </c>
      <c r="L26" s="190">
        <v>-3013730.52</v>
      </c>
      <c r="M26" s="190">
        <v>-17989248.27</v>
      </c>
      <c r="N26" s="190">
        <v>-14712623.9</v>
      </c>
      <c r="O26" s="190">
        <v>-11096226.779999999</v>
      </c>
      <c r="P26" s="190">
        <v>-11894300.17</v>
      </c>
      <c r="Q26" s="190">
        <v>-11660354.449999999</v>
      </c>
      <c r="R26" s="190">
        <v>-9878384.6600000001</v>
      </c>
      <c r="S26" s="190">
        <v>-8439435.9000000004</v>
      </c>
      <c r="T26" s="190">
        <v>201391.98</v>
      </c>
      <c r="U26" s="190">
        <v>-805152.17</v>
      </c>
      <c r="V26" s="190">
        <v>-4181888.91</v>
      </c>
      <c r="W26" s="190">
        <v>-1504969.66</v>
      </c>
      <c r="X26" s="190">
        <v>-314197.28000000003</v>
      </c>
      <c r="Y26" s="190">
        <v>-667199.4</v>
      </c>
      <c r="Z26" s="190">
        <v>46875.37</v>
      </c>
      <c r="AA26" s="190">
        <v>-550021.68999999994</v>
      </c>
      <c r="AB26" s="190">
        <v>690947.57</v>
      </c>
      <c r="AC26" s="190">
        <v>549954.28</v>
      </c>
      <c r="AD26" s="190">
        <v>1847947.34</v>
      </c>
      <c r="AE26" s="190">
        <v>1625447.9</v>
      </c>
      <c r="AF26" s="190">
        <v>409138.72</v>
      </c>
      <c r="AG26" s="190">
        <v>757215.76</v>
      </c>
      <c r="AH26" s="190">
        <v>1130843.5900000001</v>
      </c>
      <c r="AI26" s="190">
        <v>813700.09</v>
      </c>
      <c r="AJ26" s="190">
        <v>642251.66</v>
      </c>
      <c r="AK26" s="190">
        <v>526470.65</v>
      </c>
      <c r="AL26" s="190">
        <v>-853005.3</v>
      </c>
      <c r="AM26" s="190">
        <v>24536.14</v>
      </c>
      <c r="AN26" s="190">
        <v>0</v>
      </c>
      <c r="AO26" s="190">
        <v>377832.59</v>
      </c>
      <c r="AP26" s="190">
        <v>728964.36</v>
      </c>
      <c r="AQ26" s="190">
        <v>0</v>
      </c>
      <c r="AR26" s="190"/>
      <c r="AS26" s="190"/>
      <c r="AT26" s="190"/>
      <c r="AU26" s="190"/>
      <c r="AV26" s="190"/>
      <c r="AW26" s="190"/>
      <c r="AX26" s="190"/>
      <c r="AY26" s="190"/>
      <c r="AZ26" s="190"/>
      <c r="BA26" s="190"/>
      <c r="BB26" s="190"/>
      <c r="BC26" s="190"/>
      <c r="BD26" s="190"/>
      <c r="BE26" s="190"/>
      <c r="BF26" s="190"/>
      <c r="BG26" s="190"/>
      <c r="BH26" s="190"/>
      <c r="BI26" s="190"/>
      <c r="BJ26" s="190"/>
      <c r="BK26" s="190"/>
      <c r="BL26" s="190"/>
      <c r="BM26" s="190"/>
      <c r="BN26" s="190"/>
      <c r="BO26" s="190"/>
      <c r="BP26" s="190"/>
      <c r="BQ26" s="190"/>
      <c r="BR26" s="190"/>
      <c r="BS26" s="190"/>
      <c r="BT26" s="190"/>
      <c r="BU26" s="190"/>
      <c r="BV26" s="190"/>
      <c r="BW26" s="190"/>
      <c r="BX26" s="190"/>
      <c r="BY26" s="190"/>
      <c r="BZ26" s="190"/>
      <c r="CA26" s="190"/>
      <c r="CB26" s="190"/>
      <c r="CC26" s="190"/>
      <c r="CD26" s="190"/>
      <c r="CE26" s="190"/>
      <c r="CF26" s="190"/>
      <c r="CG26" s="190"/>
      <c r="CH26" s="190"/>
      <c r="CI26" s="190"/>
      <c r="CJ26" s="190"/>
      <c r="CK26" s="190"/>
    </row>
    <row r="27" spans="1:89" x14ac:dyDescent="0.25">
      <c r="A27" s="17" t="s">
        <v>406</v>
      </c>
      <c r="B27" s="26">
        <f>SUM(B22:B26)</f>
        <v>40735520.780000001</v>
      </c>
      <c r="C27" s="26">
        <f t="shared" ref="C27:BN27" si="22">SUM(C22:C26)</f>
        <v>55370790.710000001</v>
      </c>
      <c r="D27" s="26">
        <f t="shared" si="22"/>
        <v>-5496126.2699999996</v>
      </c>
      <c r="E27" s="26">
        <f t="shared" si="22"/>
        <v>-312165558.5</v>
      </c>
      <c r="F27" s="26">
        <f t="shared" si="22"/>
        <v>76280273.070000008</v>
      </c>
      <c r="G27" s="26">
        <f t="shared" si="22"/>
        <v>117662682.60999998</v>
      </c>
      <c r="H27" s="26">
        <f t="shared" si="22"/>
        <v>33704906.030000001</v>
      </c>
      <c r="I27" s="26">
        <f t="shared" si="22"/>
        <v>104781774.55</v>
      </c>
      <c r="J27" s="26">
        <f t="shared" si="22"/>
        <v>131522317.15000001</v>
      </c>
      <c r="K27" s="26">
        <f t="shared" si="22"/>
        <v>6888003.629999999</v>
      </c>
      <c r="L27" s="26">
        <f t="shared" si="22"/>
        <v>-1807275.3799999994</v>
      </c>
      <c r="M27" s="26">
        <f t="shared" si="22"/>
        <v>360953242.18000001</v>
      </c>
      <c r="N27" s="26">
        <f t="shared" si="22"/>
        <v>62816667.899999999</v>
      </c>
      <c r="O27" s="26">
        <f t="shared" si="22"/>
        <v>57461788.709999993</v>
      </c>
      <c r="P27" s="26">
        <f t="shared" si="22"/>
        <v>28294146.229999997</v>
      </c>
      <c r="Q27" s="26">
        <f t="shared" si="22"/>
        <v>288567134.05000007</v>
      </c>
      <c r="R27" s="26">
        <f t="shared" si="22"/>
        <v>86501194.799999997</v>
      </c>
      <c r="S27" s="26">
        <f t="shared" si="22"/>
        <v>49952217.18</v>
      </c>
      <c r="T27" s="26">
        <f t="shared" si="22"/>
        <v>2574871.4300000002</v>
      </c>
      <c r="U27" s="26">
        <f t="shared" si="22"/>
        <v>131907745.31999998</v>
      </c>
      <c r="V27" s="26">
        <f t="shared" si="22"/>
        <v>14966801.359999999</v>
      </c>
      <c r="W27" s="26">
        <f t="shared" si="22"/>
        <v>11825902.060000001</v>
      </c>
      <c r="X27" s="26">
        <f t="shared" si="22"/>
        <v>4586736.0599999996</v>
      </c>
      <c r="Y27" s="26">
        <f t="shared" si="22"/>
        <v>74548891.069999993</v>
      </c>
      <c r="Z27" s="26">
        <f t="shared" si="22"/>
        <v>46875.37</v>
      </c>
      <c r="AA27" s="26">
        <f t="shared" si="22"/>
        <v>-550021.68999999994</v>
      </c>
      <c r="AB27" s="26">
        <f t="shared" si="22"/>
        <v>690947.57</v>
      </c>
      <c r="AC27" s="26">
        <f t="shared" si="22"/>
        <v>83930581.210000008</v>
      </c>
      <c r="AD27" s="26">
        <f t="shared" si="22"/>
        <v>1847947.34</v>
      </c>
      <c r="AE27" s="26">
        <f t="shared" si="22"/>
        <v>1625447.9</v>
      </c>
      <c r="AF27" s="26">
        <f t="shared" si="22"/>
        <v>409138.72</v>
      </c>
      <c r="AG27" s="26">
        <f t="shared" si="22"/>
        <v>23955645.830000002</v>
      </c>
      <c r="AH27" s="26">
        <f t="shared" si="22"/>
        <v>1130843.5900000001</v>
      </c>
      <c r="AI27" s="26">
        <f t="shared" si="22"/>
        <v>813700.09</v>
      </c>
      <c r="AJ27" s="26">
        <f t="shared" si="22"/>
        <v>642251.66</v>
      </c>
      <c r="AK27" s="26">
        <f t="shared" si="22"/>
        <v>526470.65</v>
      </c>
      <c r="AL27" s="26">
        <f t="shared" si="22"/>
        <v>-853005.3</v>
      </c>
      <c r="AM27" s="26">
        <f t="shared" si="22"/>
        <v>24536.14</v>
      </c>
      <c r="AN27" s="26">
        <f t="shared" si="22"/>
        <v>0</v>
      </c>
      <c r="AO27" s="26">
        <f t="shared" si="22"/>
        <v>-2229216.1</v>
      </c>
      <c r="AP27" s="26">
        <f t="shared" si="22"/>
        <v>728964.36</v>
      </c>
      <c r="AQ27" s="26">
        <f t="shared" si="22"/>
        <v>0</v>
      </c>
      <c r="AR27" s="26">
        <f t="shared" si="22"/>
        <v>0</v>
      </c>
      <c r="AS27" s="26">
        <f t="shared" si="22"/>
        <v>3199582.46</v>
      </c>
      <c r="AT27" s="26">
        <f t="shared" si="22"/>
        <v>556604.28</v>
      </c>
      <c r="AU27" s="26">
        <f t="shared" si="22"/>
        <v>47918.79</v>
      </c>
      <c r="AV27" s="26">
        <f t="shared" si="22"/>
        <v>665864.48</v>
      </c>
      <c r="AW27" s="26">
        <f t="shared" si="22"/>
        <v>5051692.58</v>
      </c>
      <c r="AX27" s="26">
        <f t="shared" si="22"/>
        <v>2496157.7200000002</v>
      </c>
      <c r="AY27" s="26">
        <f t="shared" si="22"/>
        <v>1832311.81</v>
      </c>
      <c r="AZ27" s="26">
        <f t="shared" si="22"/>
        <v>100000</v>
      </c>
      <c r="BA27" s="26">
        <f t="shared" si="22"/>
        <v>-3923017.4</v>
      </c>
      <c r="BB27" s="26">
        <f t="shared" si="22"/>
        <v>-497364.9</v>
      </c>
      <c r="BC27" s="26">
        <f t="shared" si="22"/>
        <v>-499893.8</v>
      </c>
      <c r="BD27" s="26">
        <f t="shared" si="22"/>
        <v>0</v>
      </c>
      <c r="BE27" s="26">
        <f t="shared" si="22"/>
        <v>-126753.75</v>
      </c>
      <c r="BF27" s="26">
        <f t="shared" si="22"/>
        <v>344265.81</v>
      </c>
      <c r="BG27" s="26">
        <f t="shared" si="22"/>
        <v>344265.81</v>
      </c>
      <c r="BH27" s="26">
        <f t="shared" si="22"/>
        <v>1026367.48</v>
      </c>
      <c r="BI27" s="26">
        <f t="shared" si="22"/>
        <v>-554425.18000000005</v>
      </c>
      <c r="BJ27" s="26">
        <f t="shared" si="22"/>
        <v>287254.11</v>
      </c>
      <c r="BK27" s="26">
        <f t="shared" si="22"/>
        <v>52424.27</v>
      </c>
      <c r="BL27" s="26">
        <f t="shared" si="22"/>
        <v>265460.88</v>
      </c>
      <c r="BM27" s="26">
        <f t="shared" si="22"/>
        <v>178932.4</v>
      </c>
      <c r="BN27" s="26">
        <f t="shared" si="22"/>
        <v>1871129.6000000001</v>
      </c>
      <c r="BO27" s="26">
        <f t="shared" ref="BO27:CJ27" si="23">SUM(BO22:BO26)</f>
        <v>1511721.55</v>
      </c>
      <c r="BP27" s="26">
        <f t="shared" si="23"/>
        <v>-174029.22</v>
      </c>
      <c r="BQ27" s="26">
        <f t="shared" si="23"/>
        <v>12349967.949999999</v>
      </c>
      <c r="BR27" s="26">
        <f t="shared" si="23"/>
        <v>12720000</v>
      </c>
      <c r="BS27" s="26">
        <f t="shared" si="23"/>
        <v>9766309.1799999997</v>
      </c>
      <c r="BT27" s="26">
        <f t="shared" si="23"/>
        <v>5348519.25</v>
      </c>
      <c r="BU27" s="26">
        <f t="shared" si="23"/>
        <v>2373601.7000000002</v>
      </c>
      <c r="BV27" s="26">
        <f t="shared" si="23"/>
        <v>0</v>
      </c>
      <c r="BW27" s="26">
        <f t="shared" si="23"/>
        <v>0</v>
      </c>
      <c r="BX27" s="26">
        <f t="shared" si="23"/>
        <v>0</v>
      </c>
      <c r="BY27" s="26">
        <f t="shared" si="23"/>
        <v>0</v>
      </c>
      <c r="BZ27" s="26">
        <f t="shared" si="23"/>
        <v>0</v>
      </c>
      <c r="CA27" s="26">
        <f t="shared" si="23"/>
        <v>0</v>
      </c>
      <c r="CB27" s="26">
        <f t="shared" si="23"/>
        <v>0</v>
      </c>
      <c r="CC27" s="26">
        <f t="shared" si="23"/>
        <v>0</v>
      </c>
      <c r="CD27" s="26">
        <f t="shared" si="23"/>
        <v>0</v>
      </c>
      <c r="CE27" s="26">
        <f t="shared" si="23"/>
        <v>7729000</v>
      </c>
      <c r="CF27" s="26">
        <f t="shared" si="23"/>
        <v>2092581.44</v>
      </c>
      <c r="CG27" s="26">
        <f t="shared" si="23"/>
        <v>0</v>
      </c>
      <c r="CH27" s="26">
        <f t="shared" si="23"/>
        <v>0</v>
      </c>
      <c r="CI27" s="26">
        <f t="shared" si="23"/>
        <v>0</v>
      </c>
      <c r="CJ27" s="26">
        <f t="shared" si="23"/>
        <v>0</v>
      </c>
    </row>
    <row r="28" spans="1:89" x14ac:dyDescent="0.25">
      <c r="A28" s="17" t="s">
        <v>407</v>
      </c>
      <c r="B28" s="26">
        <f>SUM(B22:B25)*B41</f>
        <v>5795095.4183857385</v>
      </c>
      <c r="C28" s="26">
        <f t="shared" ref="C28:BN28" si="24">SUM(C22:C25)*C41</f>
        <v>11837743.394355701</v>
      </c>
      <c r="D28" s="26">
        <f t="shared" si="24"/>
        <v>-4362844.642210912</v>
      </c>
      <c r="E28" s="26">
        <f t="shared" si="24"/>
        <v>-44522524.193193085</v>
      </c>
      <c r="F28" s="26">
        <f t="shared" si="24"/>
        <v>9432398.8910346907</v>
      </c>
      <c r="G28" s="26">
        <f t="shared" si="24"/>
        <v>15695302.184108952</v>
      </c>
      <c r="H28" s="26">
        <f t="shared" si="24"/>
        <v>5468501.2986522708</v>
      </c>
      <c r="I28" s="26">
        <f t="shared" si="24"/>
        <v>12173739.60749631</v>
      </c>
      <c r="J28" s="26">
        <f t="shared" si="24"/>
        <v>3238150.7139328127</v>
      </c>
      <c r="K28" s="26">
        <f t="shared" si="24"/>
        <v>2592465.3184535168</v>
      </c>
      <c r="L28" s="26">
        <f t="shared" si="24"/>
        <v>213026.82460465713</v>
      </c>
      <c r="M28" s="26">
        <f t="shared" si="24"/>
        <v>48341454.605911687</v>
      </c>
      <c r="N28" s="26">
        <f t="shared" si="24"/>
        <v>11468417.497029167</v>
      </c>
      <c r="O28" s="26">
        <f t="shared" si="24"/>
        <v>10516924.78529501</v>
      </c>
      <c r="P28" s="26">
        <f t="shared" si="24"/>
        <v>6117344.5699945306</v>
      </c>
      <c r="Q28" s="26">
        <f t="shared" si="24"/>
        <v>30481909.732523646</v>
      </c>
      <c r="R28" s="26">
        <f t="shared" si="24"/>
        <v>11625920.721939215</v>
      </c>
      <c r="S28" s="26">
        <f t="shared" si="24"/>
        <v>6147188.0388964638</v>
      </c>
      <c r="T28" s="26">
        <f t="shared" si="24"/>
        <v>264701.84225417394</v>
      </c>
      <c r="U28" s="26">
        <f t="shared" si="24"/>
        <v>12210922.875966271</v>
      </c>
      <c r="V28" s="26">
        <f t="shared" si="24"/>
        <v>2559157.5102240015</v>
      </c>
      <c r="W28" s="26">
        <f t="shared" si="24"/>
        <v>1563942.5356424011</v>
      </c>
      <c r="X28" s="26">
        <f t="shared" si="24"/>
        <v>726209.61710757483</v>
      </c>
      <c r="Y28" s="26">
        <f t="shared" si="24"/>
        <v>5644048.4819576917</v>
      </c>
      <c r="Z28" s="26">
        <f t="shared" si="24"/>
        <v>0</v>
      </c>
      <c r="AA28" s="26">
        <f t="shared" si="24"/>
        <v>0</v>
      </c>
      <c r="AB28" s="26">
        <f t="shared" si="24"/>
        <v>0</v>
      </c>
      <c r="AC28" s="26">
        <f t="shared" si="24"/>
        <v>11982179.97288294</v>
      </c>
      <c r="AD28" s="26">
        <f t="shared" si="24"/>
        <v>0</v>
      </c>
      <c r="AE28" s="26">
        <f t="shared" si="24"/>
        <v>0</v>
      </c>
      <c r="AF28" s="26">
        <f t="shared" si="24"/>
        <v>0</v>
      </c>
      <c r="AG28" s="26">
        <f t="shared" si="24"/>
        <v>1852163.6978593145</v>
      </c>
      <c r="AH28" s="26">
        <f t="shared" si="24"/>
        <v>0</v>
      </c>
      <c r="AI28" s="26">
        <f t="shared" si="24"/>
        <v>0</v>
      </c>
      <c r="AJ28" s="26">
        <f t="shared" si="24"/>
        <v>0</v>
      </c>
      <c r="AK28" s="26">
        <f t="shared" si="24"/>
        <v>0</v>
      </c>
      <c r="AL28" s="26">
        <f t="shared" si="24"/>
        <v>0</v>
      </c>
      <c r="AM28" s="26">
        <f t="shared" si="24"/>
        <v>0</v>
      </c>
      <c r="AN28" s="26">
        <f t="shared" si="24"/>
        <v>0</v>
      </c>
      <c r="AO28" s="26">
        <f t="shared" si="24"/>
        <v>-241550.80499592453</v>
      </c>
      <c r="AP28" s="26">
        <f t="shared" si="24"/>
        <v>0</v>
      </c>
      <c r="AQ28" s="26" t="e">
        <f t="shared" si="24"/>
        <v>#DIV/0!</v>
      </c>
      <c r="AR28" s="26">
        <f t="shared" si="24"/>
        <v>0</v>
      </c>
      <c r="AS28" s="26">
        <f t="shared" si="24"/>
        <v>23656833.091745093</v>
      </c>
      <c r="AT28" s="26">
        <f t="shared" si="24"/>
        <v>8678777.9360173382</v>
      </c>
      <c r="AU28" s="26">
        <f t="shared" si="24"/>
        <v>736819.25322403584</v>
      </c>
      <c r="AV28" s="26">
        <f t="shared" si="24"/>
        <v>61688651.607207946</v>
      </c>
      <c r="AW28" s="26">
        <f t="shared" si="24"/>
        <v>55145390.309275553</v>
      </c>
      <c r="AX28" s="26">
        <f t="shared" si="24"/>
        <v>45508373.624261901</v>
      </c>
      <c r="AY28" s="26">
        <f t="shared" si="24"/>
        <v>29356178.013127491</v>
      </c>
      <c r="AZ28" s="26">
        <f t="shared" si="24"/>
        <v>9309832.2439196259</v>
      </c>
      <c r="BA28" s="26">
        <f t="shared" si="24"/>
        <v>-73090948.756924793</v>
      </c>
      <c r="BB28" s="26">
        <f t="shared" si="24"/>
        <v>-27506429.935167491</v>
      </c>
      <c r="BC28" s="26">
        <f t="shared" si="24"/>
        <v>-33631480.269690327</v>
      </c>
      <c r="BD28" s="26">
        <f t="shared" si="24"/>
        <v>0</v>
      </c>
      <c r="BE28" s="26">
        <f t="shared" si="24"/>
        <v>-2124937.575135876</v>
      </c>
      <c r="BF28" s="26">
        <f t="shared" si="24"/>
        <v>9312072.4452624731</v>
      </c>
      <c r="BG28" s="26">
        <f t="shared" si="24"/>
        <v>8366746.116974527</v>
      </c>
      <c r="BH28" s="26">
        <f t="shared" si="24"/>
        <v>71846492.365195543</v>
      </c>
      <c r="BI28" s="26">
        <f t="shared" si="24"/>
        <v>-7646059.4073319184</v>
      </c>
      <c r="BJ28" s="26">
        <f t="shared" si="24"/>
        <v>4501387.5492030783</v>
      </c>
      <c r="BK28" s="26">
        <f t="shared" si="24"/>
        <v>1076294.9055382719</v>
      </c>
      <c r="BL28" s="26">
        <f t="shared" si="24"/>
        <v>20306783.817003667</v>
      </c>
      <c r="BM28" s="26">
        <f t="shared" si="24"/>
        <v>1665197.8649603666</v>
      </c>
      <c r="BN28" s="26">
        <f t="shared" si="24"/>
        <v>15118739.805168763</v>
      </c>
      <c r="BO28" s="26">
        <f t="shared" ref="BO28:CJ28" si="25">SUM(BO22:BO25)*BO41</f>
        <v>14558067.407516127</v>
      </c>
      <c r="BP28" s="26">
        <f t="shared" si="25"/>
        <v>-2873431.4174922286</v>
      </c>
      <c r="BQ28" s="26">
        <f t="shared" si="25"/>
        <v>38182185.896003723</v>
      </c>
      <c r="BR28" s="26">
        <f t="shared" si="25"/>
        <v>160590000</v>
      </c>
      <c r="BS28" s="26">
        <f t="shared" si="25"/>
        <v>66687842.606971629</v>
      </c>
      <c r="BT28" s="26">
        <f t="shared" si="25"/>
        <v>68744923.211102709</v>
      </c>
      <c r="BU28" s="26">
        <f t="shared" si="25"/>
        <v>33907235.859668337</v>
      </c>
      <c r="BV28" s="26">
        <f t="shared" si="25"/>
        <v>0</v>
      </c>
      <c r="BW28" s="26">
        <f t="shared" si="25"/>
        <v>0</v>
      </c>
      <c r="BX28" s="26">
        <f t="shared" si="25"/>
        <v>0</v>
      </c>
      <c r="BY28" s="26">
        <f t="shared" si="25"/>
        <v>0</v>
      </c>
      <c r="BZ28" s="26">
        <f t="shared" si="25"/>
        <v>0</v>
      </c>
      <c r="CA28" s="26">
        <f t="shared" si="25"/>
        <v>0</v>
      </c>
      <c r="CB28" s="26">
        <f t="shared" si="25"/>
        <v>0</v>
      </c>
      <c r="CC28" s="26">
        <f t="shared" si="25"/>
        <v>0</v>
      </c>
      <c r="CD28" s="26" t="e">
        <f t="shared" si="25"/>
        <v>#DIV/0!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x14ac:dyDescent="0.25">
      <c r="A29" s="20" t="s">
        <v>408</v>
      </c>
      <c r="B29" s="28">
        <f>B27-B28</f>
        <v>34940425.361614265</v>
      </c>
      <c r="C29" s="28">
        <f t="shared" ref="C29:BN29" si="26">C27-C28</f>
        <v>43533047.315644301</v>
      </c>
      <c r="D29" s="28">
        <f t="shared" si="26"/>
        <v>-1133281.6277890876</v>
      </c>
      <c r="E29" s="28">
        <f t="shared" si="26"/>
        <v>-267643034.30680692</v>
      </c>
      <c r="F29" s="28">
        <f t="shared" si="26"/>
        <v>66847874.178965315</v>
      </c>
      <c r="G29" s="28">
        <f t="shared" si="26"/>
        <v>101967380.42589103</v>
      </c>
      <c r="H29" s="28">
        <f t="shared" si="26"/>
        <v>28236404.731347732</v>
      </c>
      <c r="I29" s="28">
        <f t="shared" si="26"/>
        <v>92608034.942503691</v>
      </c>
      <c r="J29" s="28">
        <f t="shared" si="26"/>
        <v>128284166.43606719</v>
      </c>
      <c r="K29" s="28">
        <f t="shared" si="26"/>
        <v>4295538.3115464821</v>
      </c>
      <c r="L29" s="28">
        <f t="shared" si="26"/>
        <v>-2020302.2046046564</v>
      </c>
      <c r="M29" s="28">
        <f t="shared" si="26"/>
        <v>312611787.57408834</v>
      </c>
      <c r="N29" s="28">
        <f t="shared" si="26"/>
        <v>51348250.402970836</v>
      </c>
      <c r="O29" s="28">
        <f t="shared" si="26"/>
        <v>46944863.924704984</v>
      </c>
      <c r="P29" s="28">
        <f t="shared" si="26"/>
        <v>22176801.660005465</v>
      </c>
      <c r="Q29" s="28">
        <f t="shared" si="26"/>
        <v>258085224.31747642</v>
      </c>
      <c r="R29" s="28">
        <f t="shared" si="26"/>
        <v>74875274.078060776</v>
      </c>
      <c r="S29" s="28">
        <f t="shared" si="26"/>
        <v>43805029.141103536</v>
      </c>
      <c r="T29" s="28">
        <f t="shared" si="26"/>
        <v>2310169.5877458262</v>
      </c>
      <c r="U29" s="28">
        <f t="shared" si="26"/>
        <v>119696822.44403371</v>
      </c>
      <c r="V29" s="28">
        <f t="shared" si="26"/>
        <v>12407643.849775998</v>
      </c>
      <c r="W29" s="28">
        <f t="shared" si="26"/>
        <v>10261959.5243576</v>
      </c>
      <c r="X29" s="28">
        <f t="shared" si="26"/>
        <v>3860526.4428924248</v>
      </c>
      <c r="Y29" s="28">
        <f t="shared" si="26"/>
        <v>68904842.588042304</v>
      </c>
      <c r="Z29" s="28">
        <f t="shared" si="26"/>
        <v>46875.37</v>
      </c>
      <c r="AA29" s="28">
        <f t="shared" si="26"/>
        <v>-550021.68999999994</v>
      </c>
      <c r="AB29" s="28">
        <f t="shared" si="26"/>
        <v>690947.57</v>
      </c>
      <c r="AC29" s="28">
        <f t="shared" si="26"/>
        <v>71948401.237117067</v>
      </c>
      <c r="AD29" s="28">
        <f t="shared" si="26"/>
        <v>1847947.34</v>
      </c>
      <c r="AE29" s="28">
        <f t="shared" si="26"/>
        <v>1625447.9</v>
      </c>
      <c r="AF29" s="28">
        <f t="shared" si="26"/>
        <v>409138.72</v>
      </c>
      <c r="AG29" s="28">
        <f t="shared" si="26"/>
        <v>22103482.132140689</v>
      </c>
      <c r="AH29" s="28">
        <f t="shared" si="26"/>
        <v>1130843.5900000001</v>
      </c>
      <c r="AI29" s="28">
        <f t="shared" si="26"/>
        <v>813700.09</v>
      </c>
      <c r="AJ29" s="28">
        <f t="shared" si="26"/>
        <v>642251.66</v>
      </c>
      <c r="AK29" s="28">
        <f t="shared" si="26"/>
        <v>526470.65</v>
      </c>
      <c r="AL29" s="28">
        <f t="shared" si="26"/>
        <v>-853005.3</v>
      </c>
      <c r="AM29" s="28">
        <f t="shared" si="26"/>
        <v>24536.14</v>
      </c>
      <c r="AN29" s="28">
        <f t="shared" si="26"/>
        <v>0</v>
      </c>
      <c r="AO29" s="28">
        <f t="shared" si="26"/>
        <v>-1987665.2950040756</v>
      </c>
      <c r="AP29" s="28">
        <f t="shared" si="26"/>
        <v>728964.36</v>
      </c>
      <c r="AQ29" s="28" t="e">
        <f t="shared" si="26"/>
        <v>#DIV/0!</v>
      </c>
      <c r="AR29" s="28">
        <f t="shared" si="26"/>
        <v>0</v>
      </c>
      <c r="AS29" s="28">
        <f t="shared" si="26"/>
        <v>-20457250.631745093</v>
      </c>
      <c r="AT29" s="28">
        <f t="shared" si="26"/>
        <v>-8122173.6560173379</v>
      </c>
      <c r="AU29" s="28">
        <f t="shared" si="26"/>
        <v>-688900.4632240358</v>
      </c>
      <c r="AV29" s="28">
        <f t="shared" si="26"/>
        <v>-61022787.12720795</v>
      </c>
      <c r="AW29" s="28">
        <f t="shared" si="26"/>
        <v>-50093697.729275554</v>
      </c>
      <c r="AX29" s="28">
        <f t="shared" si="26"/>
        <v>-43012215.904261902</v>
      </c>
      <c r="AY29" s="28">
        <f t="shared" si="26"/>
        <v>-27523866.203127492</v>
      </c>
      <c r="AZ29" s="28">
        <f t="shared" si="26"/>
        <v>-9209832.2439196259</v>
      </c>
      <c r="BA29" s="28">
        <f t="shared" si="26"/>
        <v>69167931.356924787</v>
      </c>
      <c r="BB29" s="28">
        <f t="shared" si="26"/>
        <v>27009065.035167493</v>
      </c>
      <c r="BC29" s="28">
        <f t="shared" si="26"/>
        <v>33131586.469690327</v>
      </c>
      <c r="BD29" s="28">
        <f t="shared" si="26"/>
        <v>0</v>
      </c>
      <c r="BE29" s="28">
        <f t="shared" si="26"/>
        <v>1998183.825135876</v>
      </c>
      <c r="BF29" s="28">
        <f t="shared" si="26"/>
        <v>-8967806.6352624726</v>
      </c>
      <c r="BG29" s="28">
        <f t="shared" si="26"/>
        <v>-8022480.3069745274</v>
      </c>
      <c r="BH29" s="28">
        <f t="shared" si="26"/>
        <v>-70820124.885195538</v>
      </c>
      <c r="BI29" s="28">
        <f t="shared" si="26"/>
        <v>7091634.2273319187</v>
      </c>
      <c r="BJ29" s="28">
        <f t="shared" si="26"/>
        <v>-4214133.4392030779</v>
      </c>
      <c r="BK29" s="28">
        <f t="shared" si="26"/>
        <v>-1023870.6355382719</v>
      </c>
      <c r="BL29" s="28">
        <f t="shared" si="26"/>
        <v>-20041322.937003668</v>
      </c>
      <c r="BM29" s="28">
        <f t="shared" si="26"/>
        <v>-1486265.4649603667</v>
      </c>
      <c r="BN29" s="28">
        <f t="shared" si="26"/>
        <v>-13247610.205168763</v>
      </c>
      <c r="BO29" s="28">
        <f t="shared" ref="BO29:CK29" si="27">BO27-BO28</f>
        <v>-13046345.857516127</v>
      </c>
      <c r="BP29" s="28">
        <f t="shared" si="27"/>
        <v>2699402.1974922284</v>
      </c>
      <c r="BQ29" s="28">
        <f t="shared" si="27"/>
        <v>-25832217.946003724</v>
      </c>
      <c r="BR29" s="28">
        <f t="shared" si="27"/>
        <v>-147870000</v>
      </c>
      <c r="BS29" s="28">
        <f t="shared" si="27"/>
        <v>-56921533.426971629</v>
      </c>
      <c r="BT29" s="28">
        <f t="shared" si="27"/>
        <v>-63396403.961102709</v>
      </c>
      <c r="BU29" s="28">
        <f t="shared" si="27"/>
        <v>-31533634.159668338</v>
      </c>
      <c r="BV29" s="28">
        <f t="shared" si="27"/>
        <v>0</v>
      </c>
      <c r="BW29" s="28">
        <f t="shared" si="27"/>
        <v>0</v>
      </c>
      <c r="BX29" s="28">
        <f t="shared" si="27"/>
        <v>0</v>
      </c>
      <c r="BY29" s="28">
        <f t="shared" si="27"/>
        <v>0</v>
      </c>
      <c r="BZ29" s="28">
        <f t="shared" si="27"/>
        <v>0</v>
      </c>
      <c r="CA29" s="28">
        <f t="shared" si="27"/>
        <v>0</v>
      </c>
      <c r="CB29" s="28">
        <f t="shared" si="27"/>
        <v>0</v>
      </c>
      <c r="CC29" s="28">
        <f t="shared" si="27"/>
        <v>0</v>
      </c>
      <c r="CD29" s="28" t="e">
        <f t="shared" si="27"/>
        <v>#DIV/0!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409</v>
      </c>
      <c r="B31" s="26">
        <f>B15+B20+B27</f>
        <v>9445165645.4699993</v>
      </c>
      <c r="C31" s="26">
        <f t="shared" ref="C31:BN31" si="28">C15+C20+C27</f>
        <v>3759221291.3200016</v>
      </c>
      <c r="D31" s="26">
        <f t="shared" si="28"/>
        <v>2027011573.7099996</v>
      </c>
      <c r="E31" s="26">
        <f t="shared" si="28"/>
        <v>8658604935.4400024</v>
      </c>
      <c r="F31" s="26">
        <f t="shared" si="28"/>
        <v>5956384965.8900003</v>
      </c>
      <c r="G31" s="26">
        <f t="shared" si="28"/>
        <v>3262136513.4400001</v>
      </c>
      <c r="H31" s="26">
        <f t="shared" si="28"/>
        <v>1823274290.8399994</v>
      </c>
      <c r="I31" s="26">
        <f t="shared" si="28"/>
        <v>8176468082.2600002</v>
      </c>
      <c r="J31" s="26">
        <f t="shared" si="28"/>
        <v>5326241269.3199997</v>
      </c>
      <c r="K31" s="26">
        <f t="shared" si="28"/>
        <v>2933888907.5800009</v>
      </c>
      <c r="L31" s="26">
        <f t="shared" si="28"/>
        <v>1371379179.7699993</v>
      </c>
      <c r="M31" s="26">
        <f t="shared" si="28"/>
        <v>6807886358.4499979</v>
      </c>
      <c r="N31" s="26">
        <f t="shared" si="28"/>
        <v>4325395060.1899996</v>
      </c>
      <c r="O31" s="26">
        <f t="shared" si="28"/>
        <v>2564711484.0199995</v>
      </c>
      <c r="P31" s="26">
        <f t="shared" si="28"/>
        <v>1210284266.96</v>
      </c>
      <c r="Q31" s="26">
        <f t="shared" si="28"/>
        <v>5249628865.9399996</v>
      </c>
      <c r="R31" s="26">
        <f t="shared" si="28"/>
        <v>3025811681.5799999</v>
      </c>
      <c r="S31" s="26">
        <f t="shared" si="28"/>
        <v>1668124453.2500005</v>
      </c>
      <c r="T31" s="26">
        <f t="shared" si="28"/>
        <v>759751534.32000005</v>
      </c>
      <c r="U31" s="26">
        <f t="shared" si="28"/>
        <v>3387251499.8900003</v>
      </c>
      <c r="V31" s="26">
        <f t="shared" si="28"/>
        <v>1977654729.9799995</v>
      </c>
      <c r="W31" s="26">
        <f t="shared" si="28"/>
        <v>1078813182.2300003</v>
      </c>
      <c r="X31" s="26">
        <f t="shared" si="28"/>
        <v>500063802.17000008</v>
      </c>
      <c r="Y31" s="26">
        <f t="shared" si="28"/>
        <v>2313137948.3000007</v>
      </c>
      <c r="Z31" s="26">
        <f t="shared" si="28"/>
        <v>1398638004.5799999</v>
      </c>
      <c r="AA31" s="26">
        <f t="shared" si="28"/>
        <v>809014429.67999947</v>
      </c>
      <c r="AB31" s="26">
        <f t="shared" si="28"/>
        <v>396846327.95999992</v>
      </c>
      <c r="AC31" s="26">
        <f t="shared" si="28"/>
        <v>1729358733.5100007</v>
      </c>
      <c r="AD31" s="26">
        <f t="shared" si="28"/>
        <v>964890911.49000001</v>
      </c>
      <c r="AE31" s="26">
        <f t="shared" si="28"/>
        <v>573365515.90000021</v>
      </c>
      <c r="AF31" s="26">
        <f t="shared" si="28"/>
        <v>292578696.81999993</v>
      </c>
      <c r="AG31" s="26">
        <f t="shared" si="28"/>
        <v>1145659271.51</v>
      </c>
      <c r="AH31" s="26">
        <f t="shared" si="28"/>
        <v>749451830.63000023</v>
      </c>
      <c r="AI31" s="26">
        <f t="shared" si="28"/>
        <v>424963941.41999984</v>
      </c>
      <c r="AJ31" s="26">
        <f t="shared" si="28"/>
        <v>239572455.41999996</v>
      </c>
      <c r="AK31" s="26">
        <f t="shared" si="28"/>
        <v>757631449.70999992</v>
      </c>
      <c r="AL31" s="26">
        <f t="shared" si="28"/>
        <v>527308526.09999979</v>
      </c>
      <c r="AM31" s="26">
        <f t="shared" si="28"/>
        <v>288774526.86999995</v>
      </c>
      <c r="AN31" s="26">
        <f t="shared" si="28"/>
        <v>145181162.31</v>
      </c>
      <c r="AO31" s="26">
        <f t="shared" si="28"/>
        <v>599671123.60000002</v>
      </c>
      <c r="AP31" s="26">
        <f t="shared" si="28"/>
        <v>387904117.46999997</v>
      </c>
      <c r="AQ31" s="26">
        <f t="shared" si="28"/>
        <v>0</v>
      </c>
      <c r="AR31" s="26">
        <f t="shared" si="28"/>
        <v>0</v>
      </c>
      <c r="AS31" s="26">
        <f t="shared" si="28"/>
        <v>3199582.46</v>
      </c>
      <c r="AT31" s="26">
        <f t="shared" si="28"/>
        <v>556604.28</v>
      </c>
      <c r="AU31" s="26">
        <f t="shared" si="28"/>
        <v>47918.79</v>
      </c>
      <c r="AV31" s="26">
        <f t="shared" si="28"/>
        <v>665864.48</v>
      </c>
      <c r="AW31" s="26">
        <f t="shared" si="28"/>
        <v>5051692.58</v>
      </c>
      <c r="AX31" s="26">
        <f t="shared" si="28"/>
        <v>2496157.7200000002</v>
      </c>
      <c r="AY31" s="26">
        <f t="shared" si="28"/>
        <v>1832311.81</v>
      </c>
      <c r="AZ31" s="26">
        <f t="shared" si="28"/>
        <v>100000</v>
      </c>
      <c r="BA31" s="26">
        <f t="shared" si="28"/>
        <v>-3923017.4</v>
      </c>
      <c r="BB31" s="26">
        <f t="shared" si="28"/>
        <v>-497364.9</v>
      </c>
      <c r="BC31" s="26">
        <f t="shared" si="28"/>
        <v>-499893.8</v>
      </c>
      <c r="BD31" s="26">
        <f t="shared" si="28"/>
        <v>0</v>
      </c>
      <c r="BE31" s="26">
        <f t="shared" si="28"/>
        <v>-126753.75</v>
      </c>
      <c r="BF31" s="26">
        <f t="shared" si="28"/>
        <v>344265.81</v>
      </c>
      <c r="BG31" s="26">
        <f t="shared" si="28"/>
        <v>344265.81</v>
      </c>
      <c r="BH31" s="26">
        <f t="shared" si="28"/>
        <v>1026367.48</v>
      </c>
      <c r="BI31" s="26">
        <f t="shared" si="28"/>
        <v>-554425.18000000005</v>
      </c>
      <c r="BJ31" s="26">
        <f t="shared" si="28"/>
        <v>287254.11</v>
      </c>
      <c r="BK31" s="26">
        <f t="shared" si="28"/>
        <v>52424.27</v>
      </c>
      <c r="BL31" s="26">
        <f t="shared" si="28"/>
        <v>265460.88</v>
      </c>
      <c r="BM31" s="26">
        <f t="shared" si="28"/>
        <v>178932.4</v>
      </c>
      <c r="BN31" s="26">
        <f t="shared" si="28"/>
        <v>1871129.6000000001</v>
      </c>
      <c r="BO31" s="26">
        <f t="shared" ref="BO31:CJ31" si="29">BO15+BO20+BO27</f>
        <v>1511721.55</v>
      </c>
      <c r="BP31" s="26">
        <f t="shared" si="29"/>
        <v>-174029.22</v>
      </c>
      <c r="BQ31" s="26">
        <f t="shared" si="29"/>
        <v>12349967.949999999</v>
      </c>
      <c r="BR31" s="26">
        <f t="shared" si="29"/>
        <v>12720000</v>
      </c>
      <c r="BS31" s="26">
        <f t="shared" si="29"/>
        <v>9766309.1799999997</v>
      </c>
      <c r="BT31" s="26">
        <f t="shared" si="29"/>
        <v>5348519.25</v>
      </c>
      <c r="BU31" s="26">
        <f t="shared" si="29"/>
        <v>2373601.7000000002</v>
      </c>
      <c r="BV31" s="26">
        <f t="shared" si="29"/>
        <v>0</v>
      </c>
      <c r="BW31" s="26">
        <f t="shared" si="29"/>
        <v>0</v>
      </c>
      <c r="BX31" s="26">
        <f t="shared" si="29"/>
        <v>0</v>
      </c>
      <c r="BY31" s="26">
        <f t="shared" si="29"/>
        <v>0</v>
      </c>
      <c r="BZ31" s="26">
        <f t="shared" si="29"/>
        <v>0</v>
      </c>
      <c r="CA31" s="26">
        <f t="shared" si="29"/>
        <v>0</v>
      </c>
      <c r="CB31" s="26">
        <f t="shared" si="29"/>
        <v>0</v>
      </c>
      <c r="CC31" s="26">
        <f t="shared" si="29"/>
        <v>0</v>
      </c>
      <c r="CD31" s="26">
        <f t="shared" si="29"/>
        <v>0</v>
      </c>
      <c r="CE31" s="26">
        <f t="shared" si="29"/>
        <v>7729000</v>
      </c>
      <c r="CF31" s="26">
        <f t="shared" si="29"/>
        <v>2092581.44</v>
      </c>
      <c r="CG31" s="26">
        <f t="shared" si="29"/>
        <v>0</v>
      </c>
      <c r="CH31" s="26">
        <f t="shared" si="29"/>
        <v>0</v>
      </c>
      <c r="CI31" s="26">
        <f t="shared" si="29"/>
        <v>0</v>
      </c>
      <c r="CJ31" s="26">
        <f t="shared" si="29"/>
        <v>0</v>
      </c>
    </row>
    <row r="32" spans="1:89" s="57" customFormat="1" x14ac:dyDescent="0.25">
      <c r="A32" s="57" t="s">
        <v>410</v>
      </c>
      <c r="B32" s="57">
        <f>B31/B4*100</f>
        <v>27.942052274109592</v>
      </c>
      <c r="C32" s="57">
        <f t="shared" ref="C32:D32" si="30">C31/C4*100</f>
        <v>18.007591632694478</v>
      </c>
      <c r="D32" s="57">
        <f t="shared" si="30"/>
        <v>21.644941372160464</v>
      </c>
      <c r="E32" s="57">
        <f>E31/E4</f>
        <v>0.206622275743571</v>
      </c>
      <c r="F32" s="57">
        <f t="shared" ref="F32:BQ32" si="31">F31/F4</f>
        <v>0.21480131087814408</v>
      </c>
      <c r="G32" s="57">
        <f t="shared" si="31"/>
        <v>0.19833583415498765</v>
      </c>
      <c r="H32" s="57">
        <f t="shared" si="31"/>
        <v>0.2588508954222366</v>
      </c>
      <c r="I32" s="57">
        <f t="shared" si="31"/>
        <v>0.25612275204715029</v>
      </c>
      <c r="J32" s="57">
        <f t="shared" si="31"/>
        <v>0.25199295479188788</v>
      </c>
      <c r="K32" s="57">
        <f t="shared" si="31"/>
        <v>0.23380956674465911</v>
      </c>
      <c r="L32" s="57">
        <f t="shared" si="31"/>
        <v>0.26374145412142669</v>
      </c>
      <c r="M32" s="57">
        <f t="shared" si="31"/>
        <v>0.26939104991031748</v>
      </c>
      <c r="N32" s="57">
        <f t="shared" si="31"/>
        <v>0.25935296927875434</v>
      </c>
      <c r="O32" s="57">
        <f t="shared" si="31"/>
        <v>0.26180191579258472</v>
      </c>
      <c r="P32" s="57">
        <f t="shared" si="31"/>
        <v>0.28225263258623651</v>
      </c>
      <c r="Q32" s="57">
        <f t="shared" si="31"/>
        <v>0.30462450717436484</v>
      </c>
      <c r="R32" s="57">
        <f t="shared" si="31"/>
        <v>0.2835863330784773</v>
      </c>
      <c r="S32" s="57">
        <f t="shared" si="31"/>
        <v>0.27727877605139795</v>
      </c>
      <c r="T32" s="57">
        <f t="shared" si="31"/>
        <v>0.29281360800634115</v>
      </c>
      <c r="U32" s="57">
        <f t="shared" si="31"/>
        <v>0.31521317722618675</v>
      </c>
      <c r="V32" s="57">
        <f t="shared" si="31"/>
        <v>0.28827118663441675</v>
      </c>
      <c r="W32" s="57">
        <f t="shared" si="31"/>
        <v>0.27601050935232807</v>
      </c>
      <c r="X32" s="57">
        <f t="shared" si="31"/>
        <v>0.2946182941411844</v>
      </c>
      <c r="Y32" s="57">
        <f t="shared" si="31"/>
        <v>0.32065503876561524</v>
      </c>
      <c r="Z32" s="57">
        <f t="shared" si="31"/>
        <v>0.29151365084813191</v>
      </c>
      <c r="AA32" s="57">
        <f t="shared" si="31"/>
        <v>0.28701895150041051</v>
      </c>
      <c r="AB32" s="57">
        <f t="shared" si="31"/>
        <v>0.30699534942994577</v>
      </c>
      <c r="AC32" s="57">
        <f t="shared" si="31"/>
        <v>0.33055768673407393</v>
      </c>
      <c r="AD32" s="57">
        <f t="shared" si="31"/>
        <v>0.27942284732796729</v>
      </c>
      <c r="AE32" s="57">
        <f t="shared" si="31"/>
        <v>0.27543417211639876</v>
      </c>
      <c r="AF32" s="57">
        <f t="shared" si="31"/>
        <v>0.31463028753494571</v>
      </c>
      <c r="AG32" s="57">
        <f t="shared" si="31"/>
        <v>0.31775523207692913</v>
      </c>
      <c r="AH32" s="57">
        <f t="shared" si="31"/>
        <v>0.31317506198152723</v>
      </c>
      <c r="AI32" s="57">
        <f t="shared" si="31"/>
        <v>0.3030468198493656</v>
      </c>
      <c r="AJ32" s="57">
        <f t="shared" si="31"/>
        <v>0.34856785099841386</v>
      </c>
      <c r="AK32" s="57">
        <f t="shared" si="31"/>
        <v>0.36051710511202179</v>
      </c>
      <c r="AL32" s="57">
        <f t="shared" si="31"/>
        <v>0.36706009775222337</v>
      </c>
      <c r="AM32" s="57">
        <f t="shared" si="31"/>
        <v>0.34509238516619228</v>
      </c>
      <c r="AN32" s="57">
        <f t="shared" si="31"/>
        <v>0.36019233762556302</v>
      </c>
      <c r="AO32" s="57">
        <f t="shared" si="31"/>
        <v>0.34414976348505683</v>
      </c>
      <c r="AP32" s="57">
        <f t="shared" si="31"/>
        <v>0.32747958309147601</v>
      </c>
      <c r="AQ32" s="57" t="e">
        <f t="shared" si="31"/>
        <v>#DIV/0!</v>
      </c>
      <c r="AR32" s="57" t="e">
        <f t="shared" si="31"/>
        <v>#DIV/0!</v>
      </c>
      <c r="AS32" s="57" t="e">
        <f t="shared" si="31"/>
        <v>#DIV/0!</v>
      </c>
      <c r="AT32" s="57" t="e">
        <f t="shared" si="31"/>
        <v>#DIV/0!</v>
      </c>
      <c r="AU32" s="57" t="e">
        <f t="shared" si="31"/>
        <v>#DIV/0!</v>
      </c>
      <c r="AV32" s="57" t="e">
        <f t="shared" si="31"/>
        <v>#DIV/0!</v>
      </c>
      <c r="AW32" s="57" t="e">
        <f t="shared" si="31"/>
        <v>#DIV/0!</v>
      </c>
      <c r="AX32" s="57" t="e">
        <f t="shared" si="31"/>
        <v>#DIV/0!</v>
      </c>
      <c r="AY32" s="57" t="e">
        <f t="shared" si="31"/>
        <v>#DIV/0!</v>
      </c>
      <c r="AZ32" s="57" t="e">
        <f t="shared" si="31"/>
        <v>#DIV/0!</v>
      </c>
      <c r="BA32" s="57" t="e">
        <f t="shared" si="31"/>
        <v>#DIV/0!</v>
      </c>
      <c r="BB32" s="57" t="e">
        <f t="shared" si="31"/>
        <v>#DIV/0!</v>
      </c>
      <c r="BC32" s="57" t="e">
        <f t="shared" si="31"/>
        <v>#DIV/0!</v>
      </c>
      <c r="BD32" s="57" t="e">
        <f t="shared" si="31"/>
        <v>#DIV/0!</v>
      </c>
      <c r="BE32" s="57" t="e">
        <f t="shared" si="31"/>
        <v>#DIV/0!</v>
      </c>
      <c r="BF32" s="57" t="e">
        <f t="shared" si="31"/>
        <v>#DIV/0!</v>
      </c>
      <c r="BG32" s="57" t="e">
        <f t="shared" si="31"/>
        <v>#DIV/0!</v>
      </c>
      <c r="BH32" s="57" t="e">
        <f t="shared" si="31"/>
        <v>#DIV/0!</v>
      </c>
      <c r="BI32" s="57" t="e">
        <f t="shared" si="31"/>
        <v>#DIV/0!</v>
      </c>
      <c r="BJ32" s="57" t="e">
        <f t="shared" si="31"/>
        <v>#DIV/0!</v>
      </c>
      <c r="BK32" s="57" t="e">
        <f t="shared" si="31"/>
        <v>#DIV/0!</v>
      </c>
      <c r="BL32" s="57" t="e">
        <f t="shared" si="31"/>
        <v>#DIV/0!</v>
      </c>
      <c r="BM32" s="57" t="e">
        <f t="shared" si="31"/>
        <v>#DIV/0!</v>
      </c>
      <c r="BN32" s="57" t="e">
        <f t="shared" si="31"/>
        <v>#DIV/0!</v>
      </c>
      <c r="BO32" s="57" t="e">
        <f t="shared" si="31"/>
        <v>#DIV/0!</v>
      </c>
      <c r="BP32" s="57" t="e">
        <f t="shared" si="31"/>
        <v>#DIV/0!</v>
      </c>
      <c r="BQ32" s="57" t="e">
        <f t="shared" si="31"/>
        <v>#DIV/0!</v>
      </c>
      <c r="BR32" s="57" t="e">
        <f t="shared" ref="BR32:CK32" si="32">BR31/BR4</f>
        <v>#DIV/0!</v>
      </c>
      <c r="BS32" s="57" t="e">
        <f t="shared" si="32"/>
        <v>#DIV/0!</v>
      </c>
      <c r="BT32" s="57" t="e">
        <f t="shared" si="32"/>
        <v>#DIV/0!</v>
      </c>
      <c r="BU32" s="57" t="e">
        <f t="shared" si="32"/>
        <v>#DIV/0!</v>
      </c>
      <c r="BV32" s="57" t="e">
        <f t="shared" si="32"/>
        <v>#DIV/0!</v>
      </c>
      <c r="BW32" s="57" t="e">
        <f t="shared" si="32"/>
        <v>#DIV/0!</v>
      </c>
      <c r="BX32" s="57" t="e">
        <f t="shared" si="32"/>
        <v>#DIV/0!</v>
      </c>
      <c r="BY32" s="57" t="e">
        <f t="shared" si="32"/>
        <v>#DIV/0!</v>
      </c>
      <c r="BZ32" s="57" t="e">
        <f t="shared" si="32"/>
        <v>#DIV/0!</v>
      </c>
      <c r="CA32" s="57" t="e">
        <f t="shared" si="32"/>
        <v>#DIV/0!</v>
      </c>
      <c r="CB32" s="57" t="e">
        <f t="shared" si="32"/>
        <v>#DIV/0!</v>
      </c>
      <c r="CC32" s="57" t="e">
        <f t="shared" si="32"/>
        <v>#DIV/0!</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411</v>
      </c>
      <c r="B33" s="26">
        <f>B17+B20+B29</f>
        <v>8637935331.2459927</v>
      </c>
      <c r="C33" s="26">
        <f t="shared" ref="C33:BN33" si="33">C17+C20+C29</f>
        <v>3118357679.274394</v>
      </c>
      <c r="D33" s="26">
        <f t="shared" si="33"/>
        <v>1602151459.93239</v>
      </c>
      <c r="E33" s="26">
        <f t="shared" si="33"/>
        <v>7477693528.9144335</v>
      </c>
      <c r="F33" s="26">
        <f t="shared" si="33"/>
        <v>5268520728.9259996</v>
      </c>
      <c r="G33" s="26">
        <f t="shared" si="33"/>
        <v>2687057993.6295176</v>
      </c>
      <c r="H33" s="26">
        <f t="shared" si="33"/>
        <v>1501477202.8040926</v>
      </c>
      <c r="I33" s="26">
        <f t="shared" si="33"/>
        <v>7327800288.7270117</v>
      </c>
      <c r="J33" s="26">
        <f t="shared" si="33"/>
        <v>4839528487.3621769</v>
      </c>
      <c r="K33" s="26">
        <f t="shared" si="33"/>
        <v>2513667742.7946887</v>
      </c>
      <c r="L33" s="26">
        <f t="shared" si="33"/>
        <v>1128699159.824764</v>
      </c>
      <c r="M33" s="26">
        <f t="shared" si="33"/>
        <v>5937113710.6109886</v>
      </c>
      <c r="N33" s="26">
        <f t="shared" si="33"/>
        <v>3683390396.5641613</v>
      </c>
      <c r="O33" s="26">
        <f t="shared" si="33"/>
        <v>2169577876.924592</v>
      </c>
      <c r="P33" s="26">
        <f t="shared" si="33"/>
        <v>1024248525.5734805</v>
      </c>
      <c r="Q33" s="26">
        <f t="shared" si="33"/>
        <v>4715453451.5104589</v>
      </c>
      <c r="R33" s="26">
        <f t="shared" si="33"/>
        <v>2659584808.026063</v>
      </c>
      <c r="S33" s="26">
        <f t="shared" si="33"/>
        <v>1491586869.2273843</v>
      </c>
      <c r="T33" s="26">
        <f t="shared" si="33"/>
        <v>675042849.7928102</v>
      </c>
      <c r="U33" s="26">
        <f t="shared" si="33"/>
        <v>3075474338.5679984</v>
      </c>
      <c r="V33" s="26">
        <f t="shared" si="33"/>
        <v>1712739478.5507145</v>
      </c>
      <c r="W33" s="26">
        <f t="shared" si="33"/>
        <v>952047947.61129916</v>
      </c>
      <c r="X33" s="26">
        <f t="shared" si="33"/>
        <v>425904918.97933364</v>
      </c>
      <c r="Y33" s="26">
        <f t="shared" si="33"/>
        <v>2139493002.4589453</v>
      </c>
      <c r="Z33" s="26">
        <f t="shared" si="33"/>
        <v>1197604437.213994</v>
      </c>
      <c r="AA33" s="26">
        <f t="shared" si="33"/>
        <v>699732250.81080532</v>
      </c>
      <c r="AB33" s="26">
        <f t="shared" si="33"/>
        <v>341001909.01933068</v>
      </c>
      <c r="AC33" s="26">
        <f t="shared" si="33"/>
        <v>1481139576.655741</v>
      </c>
      <c r="AD33" s="26">
        <f t="shared" si="33"/>
        <v>830115297.75127172</v>
      </c>
      <c r="AE33" s="26">
        <f t="shared" si="33"/>
        <v>500524464.15600878</v>
      </c>
      <c r="AF33" s="26">
        <f t="shared" si="33"/>
        <v>248583420.26032841</v>
      </c>
      <c r="AG33" s="26">
        <f t="shared" si="33"/>
        <v>1054517281.1356411</v>
      </c>
      <c r="AH33" s="26">
        <f t="shared" si="33"/>
        <v>654437237.52251709</v>
      </c>
      <c r="AI33" s="26">
        <f t="shared" si="33"/>
        <v>372615566.28449434</v>
      </c>
      <c r="AJ33" s="26">
        <f t="shared" si="33"/>
        <v>205129442.99814475</v>
      </c>
      <c r="AK33" s="26">
        <f t="shared" si="33"/>
        <v>698114060.84489489</v>
      </c>
      <c r="AL33" s="26">
        <f t="shared" si="33"/>
        <v>468271240.10173106</v>
      </c>
      <c r="AM33" s="26">
        <f t="shared" si="33"/>
        <v>242045566.75892973</v>
      </c>
      <c r="AN33" s="26">
        <f t="shared" si="33"/>
        <v>132994277.50921516</v>
      </c>
      <c r="AO33" s="26">
        <f t="shared" si="33"/>
        <v>544163150.92243755</v>
      </c>
      <c r="AP33" s="26">
        <f t="shared" si="33"/>
        <v>362293773.88664794</v>
      </c>
      <c r="AQ33" s="26" t="e">
        <f t="shared" si="33"/>
        <v>#DIV/0!</v>
      </c>
      <c r="AR33" s="26">
        <f t="shared" si="33"/>
        <v>0</v>
      </c>
      <c r="AS33" s="26">
        <f t="shared" si="33"/>
        <v>-20457250.631745093</v>
      </c>
      <c r="AT33" s="26">
        <f t="shared" si="33"/>
        <v>-8122173.6560173379</v>
      </c>
      <c r="AU33" s="26">
        <f t="shared" si="33"/>
        <v>-688900.4632240358</v>
      </c>
      <c r="AV33" s="26">
        <f t="shared" si="33"/>
        <v>-61022787.12720795</v>
      </c>
      <c r="AW33" s="26">
        <f t="shared" si="33"/>
        <v>-50093697.729275554</v>
      </c>
      <c r="AX33" s="26">
        <f t="shared" si="33"/>
        <v>-43012215.904261902</v>
      </c>
      <c r="AY33" s="26">
        <f t="shared" si="33"/>
        <v>-27523866.203127492</v>
      </c>
      <c r="AZ33" s="26">
        <f t="shared" si="33"/>
        <v>-9209832.2439196259</v>
      </c>
      <c r="BA33" s="26">
        <f t="shared" si="33"/>
        <v>69167931.356924787</v>
      </c>
      <c r="BB33" s="26">
        <f t="shared" si="33"/>
        <v>27009065.035167493</v>
      </c>
      <c r="BC33" s="26">
        <f t="shared" si="33"/>
        <v>33131586.469690327</v>
      </c>
      <c r="BD33" s="26">
        <f t="shared" si="33"/>
        <v>0</v>
      </c>
      <c r="BE33" s="26">
        <f t="shared" si="33"/>
        <v>1998183.825135876</v>
      </c>
      <c r="BF33" s="26">
        <f t="shared" si="33"/>
        <v>-8967806.6352624726</v>
      </c>
      <c r="BG33" s="26">
        <f t="shared" si="33"/>
        <v>-8022480.3069745274</v>
      </c>
      <c r="BH33" s="26">
        <f t="shared" si="33"/>
        <v>-70820124.885195538</v>
      </c>
      <c r="BI33" s="26">
        <f t="shared" si="33"/>
        <v>7091634.2273319187</v>
      </c>
      <c r="BJ33" s="26">
        <f t="shared" si="33"/>
        <v>-4214133.4392030779</v>
      </c>
      <c r="BK33" s="26">
        <f t="shared" si="33"/>
        <v>-1023870.6355382719</v>
      </c>
      <c r="BL33" s="26">
        <f t="shared" si="33"/>
        <v>-20041322.937003668</v>
      </c>
      <c r="BM33" s="26">
        <f t="shared" si="33"/>
        <v>-1486265.4649603667</v>
      </c>
      <c r="BN33" s="26">
        <f t="shared" si="33"/>
        <v>-13247610.205168763</v>
      </c>
      <c r="BO33" s="26">
        <f t="shared" ref="BO33:CJ33" si="34">BO17+BO20+BO29</f>
        <v>-13046345.857516127</v>
      </c>
      <c r="BP33" s="26">
        <f t="shared" si="34"/>
        <v>2699402.1974922284</v>
      </c>
      <c r="BQ33" s="26">
        <f t="shared" si="34"/>
        <v>-25832217.946003724</v>
      </c>
      <c r="BR33" s="26">
        <f t="shared" si="34"/>
        <v>-147870000</v>
      </c>
      <c r="BS33" s="26">
        <f t="shared" si="34"/>
        <v>-56921533.426971629</v>
      </c>
      <c r="BT33" s="26">
        <f t="shared" si="34"/>
        <v>-63396403.961102709</v>
      </c>
      <c r="BU33" s="26">
        <f t="shared" si="34"/>
        <v>-31533634.159668338</v>
      </c>
      <c r="BV33" s="26">
        <f t="shared" si="34"/>
        <v>0</v>
      </c>
      <c r="BW33" s="26">
        <f t="shared" si="34"/>
        <v>0</v>
      </c>
      <c r="BX33" s="26">
        <f t="shared" si="34"/>
        <v>0</v>
      </c>
      <c r="BY33" s="26">
        <f t="shared" si="34"/>
        <v>0</v>
      </c>
      <c r="BZ33" s="26">
        <f t="shared" si="34"/>
        <v>0</v>
      </c>
      <c r="CA33" s="26">
        <f t="shared" si="34"/>
        <v>0</v>
      </c>
      <c r="CB33" s="26">
        <f t="shared" si="34"/>
        <v>0</v>
      </c>
      <c r="CC33" s="26">
        <f t="shared" si="34"/>
        <v>0</v>
      </c>
      <c r="CD33" s="26" t="e">
        <f t="shared" si="34"/>
        <v>#DIV/0!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x14ac:dyDescent="0.25">
      <c r="A34" s="57" t="s">
        <v>412</v>
      </c>
      <c r="B34" s="57">
        <f>B33/B4*100</f>
        <v>25.553987047523435</v>
      </c>
      <c r="C34" s="57">
        <f t="shared" ref="C34:D34" si="35">C33/C4*100</f>
        <v>14.937697810636832</v>
      </c>
      <c r="D34" s="57">
        <f t="shared" si="35"/>
        <v>17.108177806842289</v>
      </c>
      <c r="E34" s="57">
        <f>E33/E4</f>
        <v>0.17844191596423262</v>
      </c>
      <c r="F34" s="57">
        <f t="shared" ref="F34:BQ34" si="36">F33/F4</f>
        <v>0.18999530175479248</v>
      </c>
      <c r="G34" s="57">
        <f t="shared" si="36"/>
        <v>0.16337142433911822</v>
      </c>
      <c r="H34" s="57">
        <f t="shared" si="36"/>
        <v>0.21316524910953238</v>
      </c>
      <c r="I34" s="57">
        <f t="shared" si="36"/>
        <v>0.22953876386708857</v>
      </c>
      <c r="J34" s="57">
        <f t="shared" si="36"/>
        <v>0.22896579814260037</v>
      </c>
      <c r="K34" s="57">
        <f t="shared" si="36"/>
        <v>0.20032100205444658</v>
      </c>
      <c r="L34" s="57">
        <f t="shared" si="36"/>
        <v>0.21706962018173706</v>
      </c>
      <c r="M34" s="57">
        <f t="shared" si="36"/>
        <v>0.23493419421627704</v>
      </c>
      <c r="N34" s="57">
        <f t="shared" si="36"/>
        <v>0.22085803101643178</v>
      </c>
      <c r="O34" s="57">
        <f t="shared" si="36"/>
        <v>0.22146726763579988</v>
      </c>
      <c r="P34" s="57">
        <f t="shared" si="36"/>
        <v>0.23886689322322713</v>
      </c>
      <c r="Q34" s="57">
        <f t="shared" si="36"/>
        <v>0.27362747357051909</v>
      </c>
      <c r="R34" s="57">
        <f t="shared" si="36"/>
        <v>0.24926267150422995</v>
      </c>
      <c r="S34" s="57">
        <f t="shared" si="36"/>
        <v>0.24793436764740118</v>
      </c>
      <c r="T34" s="57">
        <f t="shared" si="36"/>
        <v>0.26016628263031866</v>
      </c>
      <c r="U34" s="57">
        <f t="shared" si="36"/>
        <v>0.28619960394706617</v>
      </c>
      <c r="V34" s="57">
        <f t="shared" si="36"/>
        <v>0.24965603671497294</v>
      </c>
      <c r="W34" s="57">
        <f t="shared" si="36"/>
        <v>0.24357807568206949</v>
      </c>
      <c r="X34" s="57">
        <f t="shared" si="36"/>
        <v>0.25092674205075349</v>
      </c>
      <c r="Y34" s="57">
        <f t="shared" si="36"/>
        <v>0.29658378660314133</v>
      </c>
      <c r="Z34" s="57">
        <f t="shared" si="36"/>
        <v>0.24961286667525612</v>
      </c>
      <c r="AA34" s="57">
        <f t="shared" si="36"/>
        <v>0.24824825069953227</v>
      </c>
      <c r="AB34" s="57">
        <f t="shared" si="36"/>
        <v>0.26379480630149565</v>
      </c>
      <c r="AC34" s="57">
        <f t="shared" si="36"/>
        <v>0.28311192044919692</v>
      </c>
      <c r="AD34" s="57">
        <f t="shared" si="36"/>
        <v>0.24039316501590619</v>
      </c>
      <c r="AE34" s="57">
        <f t="shared" si="36"/>
        <v>0.24044268025504797</v>
      </c>
      <c r="AF34" s="57">
        <f t="shared" si="36"/>
        <v>0.26731909685497313</v>
      </c>
      <c r="AG34" s="57">
        <f t="shared" si="36"/>
        <v>0.29247647335385196</v>
      </c>
      <c r="AH34" s="57">
        <f t="shared" si="36"/>
        <v>0.27347110787873702</v>
      </c>
      <c r="AI34" s="57">
        <f t="shared" si="36"/>
        <v>0.26571657353226019</v>
      </c>
      <c r="AJ34" s="57">
        <f t="shared" si="36"/>
        <v>0.29845471591053307</v>
      </c>
      <c r="AK34" s="57">
        <f t="shared" si="36"/>
        <v>0.33219589861288912</v>
      </c>
      <c r="AL34" s="57">
        <f t="shared" si="36"/>
        <v>0.32596417212814022</v>
      </c>
      <c r="AM34" s="57">
        <f t="shared" si="36"/>
        <v>0.28925017333452135</v>
      </c>
      <c r="AN34" s="57">
        <f t="shared" si="36"/>
        <v>0.32995685490229387</v>
      </c>
      <c r="AO34" s="57">
        <f t="shared" si="36"/>
        <v>0.31229387628835986</v>
      </c>
      <c r="AP34" s="57">
        <f t="shared" si="36"/>
        <v>0.30585860960398986</v>
      </c>
      <c r="AQ34" s="57" t="e">
        <f t="shared" si="36"/>
        <v>#DIV/0!</v>
      </c>
      <c r="AR34" s="57" t="e">
        <f t="shared" si="36"/>
        <v>#DIV/0!</v>
      </c>
      <c r="AS34" s="57" t="e">
        <f t="shared" si="36"/>
        <v>#DIV/0!</v>
      </c>
      <c r="AT34" s="57" t="e">
        <f t="shared" si="36"/>
        <v>#DIV/0!</v>
      </c>
      <c r="AU34" s="57" t="e">
        <f t="shared" si="36"/>
        <v>#DIV/0!</v>
      </c>
      <c r="AV34" s="57" t="e">
        <f t="shared" si="36"/>
        <v>#DIV/0!</v>
      </c>
      <c r="AW34" s="57" t="e">
        <f t="shared" si="36"/>
        <v>#DIV/0!</v>
      </c>
      <c r="AX34" s="57" t="e">
        <f t="shared" si="36"/>
        <v>#DIV/0!</v>
      </c>
      <c r="AY34" s="57" t="e">
        <f t="shared" si="36"/>
        <v>#DIV/0!</v>
      </c>
      <c r="AZ34" s="57" t="e">
        <f t="shared" si="36"/>
        <v>#DIV/0!</v>
      </c>
      <c r="BA34" s="57" t="e">
        <f t="shared" si="36"/>
        <v>#DIV/0!</v>
      </c>
      <c r="BB34" s="57" t="e">
        <f t="shared" si="36"/>
        <v>#DIV/0!</v>
      </c>
      <c r="BC34" s="57" t="e">
        <f t="shared" si="36"/>
        <v>#DIV/0!</v>
      </c>
      <c r="BD34" s="57" t="e">
        <f t="shared" si="36"/>
        <v>#DIV/0!</v>
      </c>
      <c r="BE34" s="57" t="e">
        <f t="shared" si="36"/>
        <v>#DIV/0!</v>
      </c>
      <c r="BF34" s="57" t="e">
        <f t="shared" si="36"/>
        <v>#DIV/0!</v>
      </c>
      <c r="BG34" s="57" t="e">
        <f t="shared" si="36"/>
        <v>#DIV/0!</v>
      </c>
      <c r="BH34" s="57" t="e">
        <f t="shared" si="36"/>
        <v>#DIV/0!</v>
      </c>
      <c r="BI34" s="57" t="e">
        <f t="shared" si="36"/>
        <v>#DIV/0!</v>
      </c>
      <c r="BJ34" s="57" t="e">
        <f t="shared" si="36"/>
        <v>#DIV/0!</v>
      </c>
      <c r="BK34" s="57" t="e">
        <f t="shared" si="36"/>
        <v>#DIV/0!</v>
      </c>
      <c r="BL34" s="57" t="e">
        <f t="shared" si="36"/>
        <v>#DIV/0!</v>
      </c>
      <c r="BM34" s="57" t="e">
        <f t="shared" si="36"/>
        <v>#DIV/0!</v>
      </c>
      <c r="BN34" s="57" t="e">
        <f t="shared" si="36"/>
        <v>#DIV/0!</v>
      </c>
      <c r="BO34" s="57" t="e">
        <f t="shared" si="36"/>
        <v>#DIV/0!</v>
      </c>
      <c r="BP34" s="57" t="e">
        <f t="shared" si="36"/>
        <v>#DIV/0!</v>
      </c>
      <c r="BQ34" s="57" t="e">
        <f t="shared" si="36"/>
        <v>#DIV/0!</v>
      </c>
      <c r="BR34" s="57" t="e">
        <f t="shared" ref="BR34:CK34" si="37">BR33/BR4</f>
        <v>#DIV/0!</v>
      </c>
      <c r="BS34" s="57" t="e">
        <f t="shared" si="37"/>
        <v>#DIV/0!</v>
      </c>
      <c r="BT34" s="57" t="e">
        <f t="shared" si="37"/>
        <v>#DIV/0!</v>
      </c>
      <c r="BU34" s="57" t="e">
        <f t="shared" si="37"/>
        <v>#DIV/0!</v>
      </c>
      <c r="BV34" s="57" t="e">
        <f t="shared" si="37"/>
        <v>#DIV/0!</v>
      </c>
      <c r="BW34" s="57" t="e">
        <f t="shared" si="37"/>
        <v>#DIV/0!</v>
      </c>
      <c r="BX34" s="57" t="e">
        <f t="shared" si="37"/>
        <v>#DIV/0!</v>
      </c>
      <c r="BY34" s="57" t="e">
        <f t="shared" si="37"/>
        <v>#DIV/0!</v>
      </c>
      <c r="BZ34" s="57" t="e">
        <f t="shared" si="37"/>
        <v>#DIV/0!</v>
      </c>
      <c r="CA34" s="57" t="e">
        <f t="shared" si="37"/>
        <v>#DIV/0!</v>
      </c>
      <c r="CB34" s="57" t="e">
        <f t="shared" si="37"/>
        <v>#DIV/0!</v>
      </c>
      <c r="CC34" s="57" t="e">
        <f t="shared" si="37"/>
        <v>#DIV/0!</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413</v>
      </c>
      <c r="B35" s="26">
        <f>B23+B68</f>
        <v>-367655177.02999997</v>
      </c>
      <c r="C35" s="26">
        <f t="shared" ref="C35:BN35" si="38">C23+C68</f>
        <v>-158493599.81</v>
      </c>
      <c r="D35" s="26">
        <f t="shared" si="38"/>
        <v>257465387.75</v>
      </c>
      <c r="E35" s="26">
        <f t="shared" si="38"/>
        <v>535567195.80999994</v>
      </c>
      <c r="F35" s="26">
        <f t="shared" si="38"/>
        <v>218333525.47</v>
      </c>
      <c r="G35" s="26">
        <f t="shared" si="38"/>
        <v>65523936.649999999</v>
      </c>
      <c r="H35" s="26">
        <f t="shared" si="38"/>
        <v>21636290.399999999</v>
      </c>
      <c r="I35" s="26">
        <f t="shared" si="38"/>
        <v>-410605130.55000001</v>
      </c>
      <c r="J35" s="26">
        <f t="shared" si="38"/>
        <v>-126303300.28</v>
      </c>
      <c r="K35" s="26">
        <f t="shared" si="38"/>
        <v>-97563400.840000004</v>
      </c>
      <c r="L35" s="26">
        <f t="shared" si="38"/>
        <v>-10047261.859999999</v>
      </c>
      <c r="M35" s="26">
        <f t="shared" si="38"/>
        <v>6536703.0600000024</v>
      </c>
      <c r="N35" s="26">
        <f t="shared" si="38"/>
        <v>-96964328.209999993</v>
      </c>
      <c r="O35" s="26">
        <f t="shared" si="38"/>
        <v>-42185251.329999998</v>
      </c>
      <c r="P35" s="26">
        <f t="shared" si="38"/>
        <v>-10127554.58</v>
      </c>
      <c r="Q35" s="26">
        <f t="shared" si="38"/>
        <v>72396896.850000009</v>
      </c>
      <c r="R35" s="26">
        <f t="shared" si="38"/>
        <v>-57449365.170000002</v>
      </c>
      <c r="S35" s="26">
        <f t="shared" si="38"/>
        <v>-31614289.52</v>
      </c>
      <c r="T35" s="26">
        <f t="shared" si="38"/>
        <v>-18499396.5</v>
      </c>
      <c r="U35" s="26">
        <f t="shared" si="38"/>
        <v>29995096.399999991</v>
      </c>
      <c r="V35" s="26">
        <f t="shared" si="38"/>
        <v>-55030844.810000002</v>
      </c>
      <c r="W35" s="26">
        <f t="shared" si="38"/>
        <v>-42863671.969999999</v>
      </c>
      <c r="X35" s="26">
        <f t="shared" si="38"/>
        <v>-29713029.460000001</v>
      </c>
      <c r="Y35" s="26">
        <f t="shared" si="38"/>
        <v>5243095.6899999976</v>
      </c>
      <c r="Z35" s="26">
        <f t="shared" si="38"/>
        <v>-52824240.060000002</v>
      </c>
      <c r="AA35" s="26">
        <f t="shared" si="38"/>
        <v>-37039470</v>
      </c>
      <c r="AB35" s="26">
        <f t="shared" si="38"/>
        <v>-9502452.3599999994</v>
      </c>
      <c r="AC35" s="26">
        <f t="shared" si="38"/>
        <v>25261361.460000008</v>
      </c>
      <c r="AD35" s="26">
        <f t="shared" si="38"/>
        <v>-51545561.469999999</v>
      </c>
      <c r="AE35" s="26">
        <f t="shared" si="38"/>
        <v>-35781853.07</v>
      </c>
      <c r="AF35" s="26">
        <f t="shared" si="38"/>
        <v>-15277517.560000001</v>
      </c>
      <c r="AG35" s="26">
        <f t="shared" si="38"/>
        <v>11806333.68</v>
      </c>
      <c r="AH35" s="26">
        <f t="shared" si="38"/>
        <v>-3967438.33</v>
      </c>
      <c r="AI35" s="26">
        <f t="shared" si="38"/>
        <v>-2905952.06</v>
      </c>
      <c r="AJ35" s="26">
        <f t="shared" si="38"/>
        <v>-1146716.1299999999</v>
      </c>
      <c r="AK35" s="26">
        <f t="shared" si="38"/>
        <v>-9107075.1500000004</v>
      </c>
      <c r="AL35" s="26">
        <f t="shared" si="38"/>
        <v>-6501831.8099999996</v>
      </c>
      <c r="AM35" s="26">
        <f t="shared" si="38"/>
        <v>-5936051.0800000001</v>
      </c>
      <c r="AN35" s="26">
        <f t="shared" si="38"/>
        <v>-2966845.65</v>
      </c>
      <c r="AO35" s="26">
        <f t="shared" si="38"/>
        <v>-5500855.4900000002</v>
      </c>
      <c r="AP35" s="26">
        <f t="shared" si="38"/>
        <v>-3207992.44</v>
      </c>
      <c r="AQ35" s="26">
        <f t="shared" si="38"/>
        <v>0</v>
      </c>
      <c r="AR35" s="26">
        <f t="shared" si="38"/>
        <v>-15614749.33</v>
      </c>
      <c r="AS35" s="26">
        <f t="shared" si="38"/>
        <v>-92227613.010000005</v>
      </c>
      <c r="AT35" s="26">
        <f t="shared" si="38"/>
        <v>-41018279.990000002</v>
      </c>
      <c r="AU35" s="26">
        <f t="shared" si="38"/>
        <v>-36487207.520000003</v>
      </c>
      <c r="AV35" s="26">
        <f t="shared" si="38"/>
        <v>-3376979.14</v>
      </c>
      <c r="AW35" s="26">
        <f t="shared" si="38"/>
        <v>-50497352.530000001</v>
      </c>
      <c r="AX35" s="26">
        <f t="shared" si="38"/>
        <v>-26367719.059999999</v>
      </c>
      <c r="AY35" s="26">
        <f t="shared" si="38"/>
        <v>-24396518</v>
      </c>
      <c r="AZ35" s="26">
        <f t="shared" si="38"/>
        <v>-2917708.8</v>
      </c>
      <c r="BA35" s="26">
        <f t="shared" si="38"/>
        <v>-25225980.809999999</v>
      </c>
      <c r="BB35" s="26">
        <f t="shared" si="38"/>
        <v>-7438048.8600000003</v>
      </c>
      <c r="BC35" s="26">
        <f t="shared" si="38"/>
        <v>-5495968.9100000001</v>
      </c>
      <c r="BD35" s="26">
        <f t="shared" si="38"/>
        <v>-6057952.7199999997</v>
      </c>
      <c r="BE35" s="26">
        <f t="shared" si="38"/>
        <v>-26456599.109999999</v>
      </c>
      <c r="BF35" s="26">
        <f t="shared" si="38"/>
        <v>-12780406.130000001</v>
      </c>
      <c r="BG35" s="26">
        <f t="shared" si="38"/>
        <v>-11107770.039999999</v>
      </c>
      <c r="BH35" s="26">
        <f t="shared" si="38"/>
        <v>-1735818.19</v>
      </c>
      <c r="BI35" s="26">
        <f t="shared" si="38"/>
        <v>-28358707.260000002</v>
      </c>
      <c r="BJ35" s="26">
        <f t="shared" si="38"/>
        <v>-19582453.850000001</v>
      </c>
      <c r="BK35" s="26">
        <f t="shared" si="38"/>
        <v>-12127010.279999999</v>
      </c>
      <c r="BL35" s="26">
        <f t="shared" si="38"/>
        <v>-2445731.69</v>
      </c>
      <c r="BM35" s="26">
        <f t="shared" si="38"/>
        <v>-26693808.859999999</v>
      </c>
      <c r="BN35" s="26">
        <f t="shared" si="38"/>
        <v>-21740886.899999999</v>
      </c>
      <c r="BO35" s="26">
        <f t="shared" ref="BO35:CJ35" si="39">BO23+BO68</f>
        <v>-11645839.699999999</v>
      </c>
      <c r="BP35" s="26">
        <f t="shared" si="39"/>
        <v>-7526726.1299999999</v>
      </c>
      <c r="BQ35" s="26">
        <f t="shared" si="39"/>
        <v>-25420934.84</v>
      </c>
      <c r="BR35" s="26">
        <f t="shared" si="39"/>
        <v>0</v>
      </c>
      <c r="BS35" s="26">
        <f t="shared" si="39"/>
        <v>-16481097.720000001</v>
      </c>
      <c r="BT35" s="26">
        <f t="shared" si="39"/>
        <v>-5451391.75</v>
      </c>
      <c r="BU35" s="26">
        <f t="shared" si="39"/>
        <v>-14348624.140000001</v>
      </c>
      <c r="BV35" s="26">
        <f t="shared" si="39"/>
        <v>-7438579.8600000003</v>
      </c>
      <c r="BW35" s="26">
        <f t="shared" si="39"/>
        <v>-15086567.960000001</v>
      </c>
      <c r="BX35" s="26">
        <f t="shared" si="39"/>
        <v>-9593131.2100000009</v>
      </c>
      <c r="BY35" s="26">
        <f t="shared" si="39"/>
        <v>-42791521.079999998</v>
      </c>
      <c r="BZ35" s="26">
        <f t="shared" si="39"/>
        <v>-3834295.55</v>
      </c>
      <c r="CA35" s="26">
        <f t="shared" si="39"/>
        <v>11835075.34</v>
      </c>
      <c r="CB35" s="26">
        <f t="shared" si="39"/>
        <v>16252757.800000001</v>
      </c>
      <c r="CC35" s="26">
        <f t="shared" si="39"/>
        <v>12407743.33</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414</v>
      </c>
      <c r="B36" s="26">
        <f>B35*B41</f>
        <v>-31325780.657748476</v>
      </c>
      <c r="C36" s="26">
        <f t="shared" ref="C36:BN36" si="40">C35*C41</f>
        <v>-26935465.925261877</v>
      </c>
      <c r="D36" s="26">
        <f t="shared" si="40"/>
        <v>54380455.998082981</v>
      </c>
      <c r="E36" s="26">
        <f t="shared" si="40"/>
        <v>73139483.134471327</v>
      </c>
      <c r="F36" s="26">
        <f t="shared" si="40"/>
        <v>25205792.207343142</v>
      </c>
      <c r="G36" s="26">
        <f t="shared" si="40"/>
        <v>11656319.144862754</v>
      </c>
      <c r="H36" s="26">
        <f t="shared" si="40"/>
        <v>3824482.7066012197</v>
      </c>
      <c r="I36" s="26">
        <f t="shared" si="40"/>
        <v>-42552291.692542277</v>
      </c>
      <c r="J36" s="26">
        <f t="shared" si="40"/>
        <v>-11755100.148825349</v>
      </c>
      <c r="K36" s="26">
        <f t="shared" si="40"/>
        <v>-13920486.376819035</v>
      </c>
      <c r="L36" s="26">
        <f t="shared" si="40"/>
        <v>-1774070.3479511719</v>
      </c>
      <c r="M36" s="26">
        <f t="shared" si="40"/>
        <v>833883.08836010122</v>
      </c>
      <c r="N36" s="26">
        <f t="shared" si="40"/>
        <v>-14343319.439830648</v>
      </c>
      <c r="O36" s="26">
        <f t="shared" si="40"/>
        <v>-6471294.5979466001</v>
      </c>
      <c r="P36" s="26">
        <f t="shared" si="40"/>
        <v>-1541580.8912007667</v>
      </c>
      <c r="Q36" s="26">
        <f t="shared" si="40"/>
        <v>7350411.8018045025</v>
      </c>
      <c r="R36" s="26">
        <f t="shared" si="40"/>
        <v>-6929909.5174964154</v>
      </c>
      <c r="S36" s="26">
        <f t="shared" si="40"/>
        <v>-3328197.989690376</v>
      </c>
      <c r="T36" s="26">
        <f t="shared" si="40"/>
        <v>-2063141.6607126796</v>
      </c>
      <c r="U36" s="26">
        <f t="shared" si="40"/>
        <v>2759850.894109007</v>
      </c>
      <c r="V36" s="26">
        <f t="shared" si="40"/>
        <v>-7354685.7672100738</v>
      </c>
      <c r="W36" s="26">
        <f t="shared" si="40"/>
        <v>-5028652.3819093434</v>
      </c>
      <c r="X36" s="26">
        <f t="shared" si="40"/>
        <v>-4402811.9238309599</v>
      </c>
      <c r="Y36" s="26">
        <f t="shared" si="40"/>
        <v>393430.26319223957</v>
      </c>
      <c r="Z36" s="26">
        <f t="shared" si="40"/>
        <v>-7592436.8860036023</v>
      </c>
      <c r="AA36" s="26">
        <f t="shared" si="40"/>
        <v>-4999321.4794058474</v>
      </c>
      <c r="AB36" s="26">
        <f t="shared" si="40"/>
        <v>-1339522.2097783382</v>
      </c>
      <c r="AC36" s="26">
        <f t="shared" si="40"/>
        <v>3630173.944696784</v>
      </c>
      <c r="AD36" s="26">
        <f t="shared" si="40"/>
        <v>-7225094.6173309386</v>
      </c>
      <c r="AE36" s="26">
        <f t="shared" si="40"/>
        <v>-4570856.2363755591</v>
      </c>
      <c r="AF36" s="26">
        <f t="shared" si="40"/>
        <v>-2312550.28399187</v>
      </c>
      <c r="AG36" s="26">
        <f t="shared" si="40"/>
        <v>942618.21084127214</v>
      </c>
      <c r="AH36" s="26">
        <f t="shared" si="40"/>
        <v>-503410.77340982133</v>
      </c>
      <c r="AI36" s="26">
        <f t="shared" si="40"/>
        <v>-358228.63960580871</v>
      </c>
      <c r="AJ36" s="26">
        <f t="shared" si="40"/>
        <v>-165305.00241654232</v>
      </c>
      <c r="AK36" s="26">
        <f t="shared" si="40"/>
        <v>-714947.81837341399</v>
      </c>
      <c r="AL36" s="26">
        <f t="shared" si="40"/>
        <v>-724637.28760531393</v>
      </c>
      <c r="AM36" s="26">
        <f t="shared" si="40"/>
        <v>-955505.20210063248</v>
      </c>
      <c r="AN36" s="26">
        <f t="shared" si="40"/>
        <v>-249044.74921516152</v>
      </c>
      <c r="AO36" s="26">
        <f t="shared" si="40"/>
        <v>-509670.60065753927</v>
      </c>
      <c r="AP36" s="26">
        <f t="shared" si="40"/>
        <v>-212197.98827807003</v>
      </c>
      <c r="AQ36" s="26" t="e">
        <f t="shared" si="40"/>
        <v>#DIV/0!</v>
      </c>
      <c r="AR36" s="26">
        <f t="shared" si="40"/>
        <v>-335817684.24000001</v>
      </c>
      <c r="AS36" s="26">
        <f t="shared" si="40"/>
        <v>-681905615.7182548</v>
      </c>
      <c r="AT36" s="26">
        <f t="shared" si="40"/>
        <v>-639572055.30398273</v>
      </c>
      <c r="AU36" s="26">
        <f t="shared" si="40"/>
        <v>-561042484.52677596</v>
      </c>
      <c r="AV36" s="26">
        <f t="shared" si="40"/>
        <v>-312858390.72279203</v>
      </c>
      <c r="AW36" s="26">
        <f t="shared" si="40"/>
        <v>-551240236.96072447</v>
      </c>
      <c r="AX36" s="26">
        <f t="shared" si="40"/>
        <v>-480719628.0057382</v>
      </c>
      <c r="AY36" s="26">
        <f t="shared" si="40"/>
        <v>-390866074.9768725</v>
      </c>
      <c r="AZ36" s="26">
        <f t="shared" si="40"/>
        <v>-271633794.64608037</v>
      </c>
      <c r="BA36" s="26">
        <f t="shared" si="40"/>
        <v>-469993039.21692479</v>
      </c>
      <c r="BB36" s="26">
        <f t="shared" si="40"/>
        <v>-411356269.45516753</v>
      </c>
      <c r="BC36" s="26">
        <f t="shared" si="40"/>
        <v>-369753675.59969026</v>
      </c>
      <c r="BD36" s="26">
        <f t="shared" si="40"/>
        <v>-238518321.50999999</v>
      </c>
      <c r="BE36" s="26">
        <f t="shared" si="40"/>
        <v>-443526298.50513589</v>
      </c>
      <c r="BF36" s="26">
        <f t="shared" si="40"/>
        <v>-345698191.0647375</v>
      </c>
      <c r="BG36" s="26">
        <f t="shared" si="40"/>
        <v>-269953882.00302547</v>
      </c>
      <c r="BH36" s="26">
        <f t="shared" si="40"/>
        <v>-121508573.45480447</v>
      </c>
      <c r="BI36" s="26">
        <f t="shared" si="40"/>
        <v>-391093998.33733195</v>
      </c>
      <c r="BJ36" s="26">
        <f t="shared" si="40"/>
        <v>-306864935.5207969</v>
      </c>
      <c r="BK36" s="26">
        <f t="shared" si="40"/>
        <v>-248973221.44446173</v>
      </c>
      <c r="BL36" s="26">
        <f t="shared" si="40"/>
        <v>-187089505.25299633</v>
      </c>
      <c r="BM36" s="26">
        <f t="shared" si="40"/>
        <v>-248420484.61503965</v>
      </c>
      <c r="BN36" s="26">
        <f t="shared" si="40"/>
        <v>-175666512.98483121</v>
      </c>
      <c r="BO36" s="26">
        <f t="shared" ref="BO36:CJ36" si="41">BO35*BO41</f>
        <v>-112150891.39248388</v>
      </c>
      <c r="BP36" s="26">
        <f t="shared" si="41"/>
        <v>-124275287.40749222</v>
      </c>
      <c r="BQ36" s="26">
        <f t="shared" si="41"/>
        <v>-78593471.953996271</v>
      </c>
      <c r="BR36" s="26">
        <f t="shared" si="41"/>
        <v>0</v>
      </c>
      <c r="BS36" s="26">
        <f t="shared" si="41"/>
        <v>-112538813.84302837</v>
      </c>
      <c r="BT36" s="26">
        <f t="shared" si="41"/>
        <v>-70067151.248897314</v>
      </c>
      <c r="BU36" s="26">
        <f t="shared" si="41"/>
        <v>-204972124.42033166</v>
      </c>
      <c r="BV36" s="26">
        <f t="shared" si="41"/>
        <v>-295349924.56</v>
      </c>
      <c r="BW36" s="26">
        <f t="shared" si="41"/>
        <v>-303429006.82999998</v>
      </c>
      <c r="BX36" s="26">
        <f t="shared" si="41"/>
        <v>-66653678.540000007</v>
      </c>
      <c r="BY36" s="26">
        <f t="shared" si="41"/>
        <v>-260578360.56999999</v>
      </c>
      <c r="BZ36" s="26">
        <f t="shared" si="41"/>
        <v>-44632836.509999998</v>
      </c>
      <c r="CA36" s="26">
        <f t="shared" si="41"/>
        <v>-168102185.13</v>
      </c>
      <c r="CB36" s="26">
        <f t="shared" si="41"/>
        <v>-128029818.47</v>
      </c>
      <c r="CC36" s="26">
        <f t="shared" si="41"/>
        <v>-106844876.92</v>
      </c>
      <c r="CD36" s="26" t="e">
        <f t="shared" si="41"/>
        <v>#DIV/0!</v>
      </c>
      <c r="CE36" s="26">
        <f t="shared" si="41"/>
        <v>0</v>
      </c>
      <c r="CF36" s="26">
        <f t="shared" si="41"/>
        <v>0</v>
      </c>
      <c r="CG36" s="26" t="e">
        <f t="shared" si="41"/>
        <v>#DIV/0!</v>
      </c>
      <c r="CH36" s="26" t="e">
        <f t="shared" si="41"/>
        <v>#DIV/0!</v>
      </c>
      <c r="CI36" s="26" t="e">
        <f t="shared" si="41"/>
        <v>#DIV/0!</v>
      </c>
      <c r="CJ36" s="26" t="e">
        <f t="shared" si="41"/>
        <v>#DIV/0!</v>
      </c>
    </row>
    <row r="37" spans="1:89" s="23" customFormat="1" x14ac:dyDescent="0.25">
      <c r="A37" s="17" t="s">
        <v>415</v>
      </c>
      <c r="B37" s="26">
        <f>B35-B36</f>
        <v>-336329396.37225151</v>
      </c>
      <c r="C37" s="26">
        <f t="shared" ref="C37:BN37" si="42">C35-C36</f>
        <v>-131558133.88473812</v>
      </c>
      <c r="D37" s="26">
        <f t="shared" si="42"/>
        <v>203084931.751917</v>
      </c>
      <c r="E37" s="26">
        <f t="shared" si="42"/>
        <v>462427712.67552865</v>
      </c>
      <c r="F37" s="26">
        <f t="shared" si="42"/>
        <v>193127733.26265687</v>
      </c>
      <c r="G37" s="26">
        <f t="shared" si="42"/>
        <v>53867617.505137242</v>
      </c>
      <c r="H37" s="26">
        <f t="shared" si="42"/>
        <v>17811807.693398777</v>
      </c>
      <c r="I37" s="26">
        <f t="shared" si="42"/>
        <v>-368052838.85745776</v>
      </c>
      <c r="J37" s="26">
        <f t="shared" si="42"/>
        <v>-114548200.13117465</v>
      </c>
      <c r="K37" s="26">
        <f t="shared" si="42"/>
        <v>-83642914.463180974</v>
      </c>
      <c r="L37" s="26">
        <f t="shared" si="42"/>
        <v>-8273191.5120488275</v>
      </c>
      <c r="M37" s="26">
        <f t="shared" si="42"/>
        <v>5702819.9716399014</v>
      </c>
      <c r="N37" s="26">
        <f t="shared" si="42"/>
        <v>-82621008.770169348</v>
      </c>
      <c r="O37" s="26">
        <f t="shared" si="42"/>
        <v>-35713956.732053399</v>
      </c>
      <c r="P37" s="26">
        <f t="shared" si="42"/>
        <v>-8585973.6887992341</v>
      </c>
      <c r="Q37" s="26">
        <f t="shared" si="42"/>
        <v>65046485.048195504</v>
      </c>
      <c r="R37" s="26">
        <f t="shared" si="42"/>
        <v>-50519455.652503587</v>
      </c>
      <c r="S37" s="26">
        <f t="shared" si="42"/>
        <v>-28286091.530309625</v>
      </c>
      <c r="T37" s="26">
        <f t="shared" si="42"/>
        <v>-16436254.83928732</v>
      </c>
      <c r="U37" s="26">
        <f t="shared" si="42"/>
        <v>27235245.505890984</v>
      </c>
      <c r="V37" s="26">
        <f t="shared" si="42"/>
        <v>-47676159.042789929</v>
      </c>
      <c r="W37" s="26">
        <f t="shared" si="42"/>
        <v>-37835019.588090658</v>
      </c>
      <c r="X37" s="26">
        <f t="shared" si="42"/>
        <v>-25310217.536169041</v>
      </c>
      <c r="Y37" s="26">
        <f t="shared" si="42"/>
        <v>4849665.4268077584</v>
      </c>
      <c r="Z37" s="26">
        <f t="shared" si="42"/>
        <v>-45231803.173996404</v>
      </c>
      <c r="AA37" s="26">
        <f t="shared" si="42"/>
        <v>-32040148.520594154</v>
      </c>
      <c r="AB37" s="26">
        <f t="shared" si="42"/>
        <v>-8162930.1502216607</v>
      </c>
      <c r="AC37" s="26">
        <f t="shared" si="42"/>
        <v>21631187.515303224</v>
      </c>
      <c r="AD37" s="26">
        <f t="shared" si="42"/>
        <v>-44320466.85266906</v>
      </c>
      <c r="AE37" s="26">
        <f t="shared" si="42"/>
        <v>-31210996.833624441</v>
      </c>
      <c r="AF37" s="26">
        <f t="shared" si="42"/>
        <v>-12964967.276008131</v>
      </c>
      <c r="AG37" s="26">
        <f t="shared" si="42"/>
        <v>10863715.469158728</v>
      </c>
      <c r="AH37" s="26">
        <f t="shared" si="42"/>
        <v>-3464027.556590179</v>
      </c>
      <c r="AI37" s="26">
        <f t="shared" si="42"/>
        <v>-2547723.4203941915</v>
      </c>
      <c r="AJ37" s="26">
        <f t="shared" si="42"/>
        <v>-981411.12758345762</v>
      </c>
      <c r="AK37" s="26">
        <f t="shared" si="42"/>
        <v>-8392127.3316265866</v>
      </c>
      <c r="AL37" s="26">
        <f t="shared" si="42"/>
        <v>-5777194.522394686</v>
      </c>
      <c r="AM37" s="26">
        <f t="shared" si="42"/>
        <v>-4980545.8778993674</v>
      </c>
      <c r="AN37" s="26">
        <f t="shared" si="42"/>
        <v>-2717800.9007848385</v>
      </c>
      <c r="AO37" s="26">
        <f t="shared" si="42"/>
        <v>-4991184.8893424608</v>
      </c>
      <c r="AP37" s="26">
        <f t="shared" si="42"/>
        <v>-2995794.4517219299</v>
      </c>
      <c r="AQ37" s="26" t="e">
        <f t="shared" si="42"/>
        <v>#DIV/0!</v>
      </c>
      <c r="AR37" s="26">
        <f t="shared" si="42"/>
        <v>320202934.91000003</v>
      </c>
      <c r="AS37" s="26">
        <f t="shared" si="42"/>
        <v>589678002.70825481</v>
      </c>
      <c r="AT37" s="26">
        <f t="shared" si="42"/>
        <v>598553775.31398273</v>
      </c>
      <c r="AU37" s="26">
        <f t="shared" si="42"/>
        <v>524555277.00677598</v>
      </c>
      <c r="AV37" s="26">
        <f t="shared" si="42"/>
        <v>309481411.58279204</v>
      </c>
      <c r="AW37" s="26">
        <f t="shared" si="42"/>
        <v>500742884.4307245</v>
      </c>
      <c r="AX37" s="26">
        <f t="shared" si="42"/>
        <v>454351908.9457382</v>
      </c>
      <c r="AY37" s="26">
        <f t="shared" si="42"/>
        <v>366469556.9768725</v>
      </c>
      <c r="AZ37" s="26">
        <f t="shared" si="42"/>
        <v>268716085.84608036</v>
      </c>
      <c r="BA37" s="26">
        <f t="shared" si="42"/>
        <v>444767058.40692478</v>
      </c>
      <c r="BB37" s="26">
        <f t="shared" si="42"/>
        <v>403918220.59516752</v>
      </c>
      <c r="BC37" s="26">
        <f t="shared" si="42"/>
        <v>364257706.68969023</v>
      </c>
      <c r="BD37" s="26">
        <f t="shared" si="42"/>
        <v>232460368.78999999</v>
      </c>
      <c r="BE37" s="26">
        <f t="shared" si="42"/>
        <v>417069699.39513588</v>
      </c>
      <c r="BF37" s="26">
        <f t="shared" si="42"/>
        <v>332917784.9347375</v>
      </c>
      <c r="BG37" s="26">
        <f t="shared" si="42"/>
        <v>258846111.96302548</v>
      </c>
      <c r="BH37" s="26">
        <f t="shared" si="42"/>
        <v>119772755.26480447</v>
      </c>
      <c r="BI37" s="26">
        <f t="shared" si="42"/>
        <v>362735291.07733196</v>
      </c>
      <c r="BJ37" s="26">
        <f t="shared" si="42"/>
        <v>287282481.67079687</v>
      </c>
      <c r="BK37" s="26">
        <f t="shared" si="42"/>
        <v>236846211.16446173</v>
      </c>
      <c r="BL37" s="26">
        <f t="shared" si="42"/>
        <v>184643773.56299633</v>
      </c>
      <c r="BM37" s="26">
        <f t="shared" si="42"/>
        <v>221726675.75503963</v>
      </c>
      <c r="BN37" s="26">
        <f t="shared" si="42"/>
        <v>153925626.08483121</v>
      </c>
      <c r="BO37" s="26">
        <f t="shared" ref="BO37:CJ37" si="43">BO35-BO36</f>
        <v>100505051.69248387</v>
      </c>
      <c r="BP37" s="26">
        <f t="shared" si="43"/>
        <v>116748561.27749223</v>
      </c>
      <c r="BQ37" s="26">
        <f t="shared" si="43"/>
        <v>53172537.113996267</v>
      </c>
      <c r="BR37" s="26">
        <f t="shared" si="43"/>
        <v>0</v>
      </c>
      <c r="BS37" s="26">
        <f t="shared" si="43"/>
        <v>96057716.123028368</v>
      </c>
      <c r="BT37" s="26">
        <f t="shared" si="43"/>
        <v>64615759.498897314</v>
      </c>
      <c r="BU37" s="26">
        <f t="shared" si="43"/>
        <v>190623500.28033167</v>
      </c>
      <c r="BV37" s="26">
        <f t="shared" si="43"/>
        <v>287911344.69999999</v>
      </c>
      <c r="BW37" s="26">
        <f t="shared" si="43"/>
        <v>288342438.87</v>
      </c>
      <c r="BX37" s="26">
        <f t="shared" si="43"/>
        <v>57060547.330000006</v>
      </c>
      <c r="BY37" s="26">
        <f t="shared" si="43"/>
        <v>217786839.49000001</v>
      </c>
      <c r="BZ37" s="26">
        <f t="shared" si="43"/>
        <v>40798540.960000001</v>
      </c>
      <c r="CA37" s="26">
        <f t="shared" si="43"/>
        <v>179937260.47</v>
      </c>
      <c r="CB37" s="26">
        <f t="shared" si="43"/>
        <v>144282576.27000001</v>
      </c>
      <c r="CC37" s="26">
        <f t="shared" si="43"/>
        <v>119252620.25</v>
      </c>
      <c r="CD37" s="26" t="e">
        <f t="shared" si="43"/>
        <v>#DIV/0!</v>
      </c>
      <c r="CE37" s="26">
        <f t="shared" si="43"/>
        <v>0</v>
      </c>
      <c r="CF37" s="26">
        <f t="shared" si="43"/>
        <v>0</v>
      </c>
      <c r="CG37" s="26" t="e">
        <f t="shared" si="43"/>
        <v>#DIV/0!</v>
      </c>
      <c r="CH37" s="26" t="e">
        <f t="shared" si="43"/>
        <v>#DIV/0!</v>
      </c>
      <c r="CI37" s="26" t="e">
        <f t="shared" si="43"/>
        <v>#DIV/0!</v>
      </c>
      <c r="CJ37" s="26" t="e">
        <f t="shared" si="43"/>
        <v>#DIV/0!</v>
      </c>
    </row>
    <row r="38" spans="1:89" s="2" customFormat="1" x14ac:dyDescent="0.25">
      <c r="A38" s="20" t="s">
        <v>416</v>
      </c>
      <c r="B38" s="28">
        <f>B31-B35</f>
        <v>9812820822.5</v>
      </c>
      <c r="C38" s="28">
        <f t="shared" ref="C38:BN38" si="44">C31-C35</f>
        <v>3917714891.1300015</v>
      </c>
      <c r="D38" s="28">
        <f t="shared" si="44"/>
        <v>1769546185.9599996</v>
      </c>
      <c r="E38" s="28">
        <f t="shared" si="44"/>
        <v>8123037739.630003</v>
      </c>
      <c r="F38" s="28">
        <f t="shared" si="44"/>
        <v>5738051440.4200001</v>
      </c>
      <c r="G38" s="28">
        <f t="shared" si="44"/>
        <v>3196612576.79</v>
      </c>
      <c r="H38" s="28">
        <f t="shared" si="44"/>
        <v>1801638000.4399993</v>
      </c>
      <c r="I38" s="28">
        <f t="shared" si="44"/>
        <v>8587073212.8100004</v>
      </c>
      <c r="J38" s="28">
        <f t="shared" si="44"/>
        <v>5452544569.5999994</v>
      </c>
      <c r="K38" s="28">
        <f t="shared" si="44"/>
        <v>3031452308.420001</v>
      </c>
      <c r="L38" s="28">
        <f t="shared" si="44"/>
        <v>1381426441.6299992</v>
      </c>
      <c r="M38" s="28">
        <f t="shared" si="44"/>
        <v>6801349655.3899975</v>
      </c>
      <c r="N38" s="28">
        <f t="shared" si="44"/>
        <v>4422359388.3999996</v>
      </c>
      <c r="O38" s="28">
        <f t="shared" si="44"/>
        <v>2606896735.3499994</v>
      </c>
      <c r="P38" s="28">
        <f t="shared" si="44"/>
        <v>1220411821.54</v>
      </c>
      <c r="Q38" s="28">
        <f t="shared" si="44"/>
        <v>5177231969.0899992</v>
      </c>
      <c r="R38" s="28">
        <f t="shared" si="44"/>
        <v>3083261046.75</v>
      </c>
      <c r="S38" s="28">
        <f t="shared" si="44"/>
        <v>1699738742.7700005</v>
      </c>
      <c r="T38" s="28">
        <f t="shared" si="44"/>
        <v>778250930.82000005</v>
      </c>
      <c r="U38" s="28">
        <f t="shared" si="44"/>
        <v>3357256403.4900002</v>
      </c>
      <c r="V38" s="28">
        <f t="shared" si="44"/>
        <v>2032685574.7899995</v>
      </c>
      <c r="W38" s="28">
        <f t="shared" si="44"/>
        <v>1121676854.2000003</v>
      </c>
      <c r="X38" s="28">
        <f t="shared" si="44"/>
        <v>529776831.63000005</v>
      </c>
      <c r="Y38" s="28">
        <f t="shared" si="44"/>
        <v>2307894852.6100006</v>
      </c>
      <c r="Z38" s="28">
        <f t="shared" si="44"/>
        <v>1451462244.6399999</v>
      </c>
      <c r="AA38" s="28">
        <f t="shared" si="44"/>
        <v>846053899.67999947</v>
      </c>
      <c r="AB38" s="28">
        <f t="shared" si="44"/>
        <v>406348780.31999993</v>
      </c>
      <c r="AC38" s="28">
        <f t="shared" si="44"/>
        <v>1704097372.0500007</v>
      </c>
      <c r="AD38" s="28">
        <f t="shared" si="44"/>
        <v>1016436472.96</v>
      </c>
      <c r="AE38" s="28">
        <f t="shared" si="44"/>
        <v>609147368.97000027</v>
      </c>
      <c r="AF38" s="28">
        <f t="shared" si="44"/>
        <v>307856214.37999994</v>
      </c>
      <c r="AG38" s="28">
        <f t="shared" si="44"/>
        <v>1133852937.8299999</v>
      </c>
      <c r="AH38" s="28">
        <f t="shared" si="44"/>
        <v>753419268.96000028</v>
      </c>
      <c r="AI38" s="28">
        <f t="shared" si="44"/>
        <v>427869893.47999984</v>
      </c>
      <c r="AJ38" s="28">
        <f t="shared" si="44"/>
        <v>240719171.54999995</v>
      </c>
      <c r="AK38" s="28">
        <f t="shared" si="44"/>
        <v>766738524.8599999</v>
      </c>
      <c r="AL38" s="28">
        <f t="shared" si="44"/>
        <v>533810357.90999979</v>
      </c>
      <c r="AM38" s="28">
        <f t="shared" si="44"/>
        <v>294710577.94999993</v>
      </c>
      <c r="AN38" s="28">
        <f t="shared" si="44"/>
        <v>148148007.96000001</v>
      </c>
      <c r="AO38" s="28">
        <f t="shared" si="44"/>
        <v>605171979.09000003</v>
      </c>
      <c r="AP38" s="28">
        <f t="shared" si="44"/>
        <v>391112109.90999997</v>
      </c>
      <c r="AQ38" s="28">
        <f t="shared" si="44"/>
        <v>0</v>
      </c>
      <c r="AR38" s="28">
        <f t="shared" si="44"/>
        <v>15614749.33</v>
      </c>
      <c r="AS38" s="28">
        <f t="shared" si="44"/>
        <v>95427195.469999999</v>
      </c>
      <c r="AT38" s="28">
        <f t="shared" si="44"/>
        <v>41574884.270000003</v>
      </c>
      <c r="AU38" s="28">
        <f t="shared" si="44"/>
        <v>36535126.310000002</v>
      </c>
      <c r="AV38" s="28">
        <f t="shared" si="44"/>
        <v>4042843.62</v>
      </c>
      <c r="AW38" s="28">
        <f t="shared" si="44"/>
        <v>55549045.109999999</v>
      </c>
      <c r="AX38" s="28">
        <f t="shared" si="44"/>
        <v>28863876.779999997</v>
      </c>
      <c r="AY38" s="28">
        <f t="shared" si="44"/>
        <v>26228829.809999999</v>
      </c>
      <c r="AZ38" s="28">
        <f t="shared" si="44"/>
        <v>3017708.8</v>
      </c>
      <c r="BA38" s="28">
        <f t="shared" si="44"/>
        <v>21302963.41</v>
      </c>
      <c r="BB38" s="28">
        <f t="shared" si="44"/>
        <v>6940683.96</v>
      </c>
      <c r="BC38" s="28">
        <f t="shared" si="44"/>
        <v>4996075.1100000003</v>
      </c>
      <c r="BD38" s="28">
        <f t="shared" si="44"/>
        <v>6057952.7199999997</v>
      </c>
      <c r="BE38" s="28">
        <f t="shared" si="44"/>
        <v>26329845.359999999</v>
      </c>
      <c r="BF38" s="28">
        <f t="shared" si="44"/>
        <v>13124671.940000001</v>
      </c>
      <c r="BG38" s="28">
        <f t="shared" si="44"/>
        <v>11452035.85</v>
      </c>
      <c r="BH38" s="28">
        <f t="shared" si="44"/>
        <v>2762185.67</v>
      </c>
      <c r="BI38" s="28">
        <f t="shared" si="44"/>
        <v>27804282.080000002</v>
      </c>
      <c r="BJ38" s="28">
        <f t="shared" si="44"/>
        <v>19869707.960000001</v>
      </c>
      <c r="BK38" s="28">
        <f t="shared" si="44"/>
        <v>12179434.549999999</v>
      </c>
      <c r="BL38" s="28">
        <f t="shared" si="44"/>
        <v>2711192.57</v>
      </c>
      <c r="BM38" s="28">
        <f t="shared" si="44"/>
        <v>26872741.259999998</v>
      </c>
      <c r="BN38" s="28">
        <f t="shared" si="44"/>
        <v>23612016.5</v>
      </c>
      <c r="BO38" s="28">
        <f t="shared" ref="BO38:CJ38" si="45">BO31-BO35</f>
        <v>13157561.25</v>
      </c>
      <c r="BP38" s="28">
        <f t="shared" si="45"/>
        <v>7352696.9100000001</v>
      </c>
      <c r="BQ38" s="28">
        <f t="shared" si="45"/>
        <v>37770902.789999999</v>
      </c>
      <c r="BR38" s="28">
        <f t="shared" si="45"/>
        <v>12720000</v>
      </c>
      <c r="BS38" s="28">
        <f t="shared" si="45"/>
        <v>26247406.899999999</v>
      </c>
      <c r="BT38" s="28">
        <f t="shared" si="45"/>
        <v>10799911</v>
      </c>
      <c r="BU38" s="28">
        <f t="shared" si="45"/>
        <v>16722225.84</v>
      </c>
      <c r="BV38" s="28">
        <f t="shared" si="45"/>
        <v>7438579.8600000003</v>
      </c>
      <c r="BW38" s="28">
        <f t="shared" si="45"/>
        <v>15086567.960000001</v>
      </c>
      <c r="BX38" s="28">
        <f t="shared" si="45"/>
        <v>9593131.2100000009</v>
      </c>
      <c r="BY38" s="28">
        <f t="shared" si="45"/>
        <v>42791521.079999998</v>
      </c>
      <c r="BZ38" s="28">
        <f t="shared" si="45"/>
        <v>3834295.55</v>
      </c>
      <c r="CA38" s="28">
        <f t="shared" si="45"/>
        <v>-11835075.34</v>
      </c>
      <c r="CB38" s="28">
        <f t="shared" si="45"/>
        <v>-16252757.800000001</v>
      </c>
      <c r="CC38" s="28">
        <f t="shared" si="45"/>
        <v>-12407743.33</v>
      </c>
      <c r="CD38" s="28">
        <f t="shared" si="45"/>
        <v>0</v>
      </c>
      <c r="CE38" s="28">
        <f t="shared" si="45"/>
        <v>7729000</v>
      </c>
      <c r="CF38" s="28">
        <f t="shared" si="45"/>
        <v>2092581.44</v>
      </c>
      <c r="CG38" s="28">
        <f t="shared" si="45"/>
        <v>0</v>
      </c>
      <c r="CH38" s="28">
        <f t="shared" si="45"/>
        <v>0</v>
      </c>
      <c r="CI38" s="28">
        <f t="shared" si="45"/>
        <v>0</v>
      </c>
      <c r="CJ38" s="28">
        <f t="shared" si="45"/>
        <v>0</v>
      </c>
    </row>
    <row r="39" spans="1:89" s="57" customFormat="1" x14ac:dyDescent="0.25">
      <c r="A39" s="57" t="s">
        <v>417</v>
      </c>
      <c r="B39" s="57">
        <f>B38/B4*100</f>
        <v>29.029702884064363</v>
      </c>
      <c r="C39" s="57">
        <f t="shared" ref="C39:D39" si="46">C38/C4*100</f>
        <v>18.766814833617563</v>
      </c>
      <c r="D39" s="57">
        <f t="shared" si="46"/>
        <v>18.895660955862947</v>
      </c>
      <c r="E39" s="57">
        <f>E38/E4</f>
        <v>0.19384191289794345</v>
      </c>
      <c r="F39" s="57">
        <f t="shared" ref="F39:BQ39" si="47">F38/F4</f>
        <v>0.20692768824492411</v>
      </c>
      <c r="G39" s="57">
        <f t="shared" si="47"/>
        <v>0.19435202030199472</v>
      </c>
      <c r="H39" s="57">
        <f t="shared" si="47"/>
        <v>0.25577918362780583</v>
      </c>
      <c r="I39" s="57">
        <f t="shared" si="47"/>
        <v>0.26898470111649436</v>
      </c>
      <c r="J39" s="57">
        <f t="shared" si="47"/>
        <v>0.25796856502585458</v>
      </c>
      <c r="K39" s="57">
        <f t="shared" si="47"/>
        <v>0.24158465884906727</v>
      </c>
      <c r="L39" s="57">
        <f t="shared" si="47"/>
        <v>0.26567372747950663</v>
      </c>
      <c r="M39" s="57">
        <f t="shared" si="47"/>
        <v>0.26913238970249836</v>
      </c>
      <c r="N39" s="57">
        <f t="shared" si="47"/>
        <v>0.26516700154296063</v>
      </c>
      <c r="O39" s="57">
        <f t="shared" si="47"/>
        <v>0.26610812321014371</v>
      </c>
      <c r="P39" s="57">
        <f t="shared" si="47"/>
        <v>0.28461449832299091</v>
      </c>
      <c r="Q39" s="57">
        <f t="shared" si="47"/>
        <v>0.30042347323709512</v>
      </c>
      <c r="R39" s="57">
        <f t="shared" si="47"/>
        <v>0.28897062546700408</v>
      </c>
      <c r="S39" s="57">
        <f t="shared" si="47"/>
        <v>0.28253376256440149</v>
      </c>
      <c r="T39" s="57">
        <f t="shared" si="47"/>
        <v>0.29994340609217607</v>
      </c>
      <c r="U39" s="57">
        <f t="shared" si="47"/>
        <v>0.3124218729378111</v>
      </c>
      <c r="V39" s="57">
        <f t="shared" si="47"/>
        <v>0.29629271167333676</v>
      </c>
      <c r="W39" s="57">
        <f t="shared" si="47"/>
        <v>0.28697702712206413</v>
      </c>
      <c r="X39" s="57">
        <f t="shared" si="47"/>
        <v>0.31212406443546376</v>
      </c>
      <c r="Y39" s="57">
        <f t="shared" si="47"/>
        <v>0.319928223033348</v>
      </c>
      <c r="Z39" s="57">
        <f t="shared" si="47"/>
        <v>0.30252363843801788</v>
      </c>
      <c r="AA39" s="57">
        <f t="shared" si="47"/>
        <v>0.30015966871572142</v>
      </c>
      <c r="AB39" s="57">
        <f t="shared" si="47"/>
        <v>0.31434632757228015</v>
      </c>
      <c r="AC39" s="57">
        <f t="shared" si="47"/>
        <v>0.32572911239251867</v>
      </c>
      <c r="AD39" s="57">
        <f t="shared" si="47"/>
        <v>0.29434993118952507</v>
      </c>
      <c r="AE39" s="57">
        <f t="shared" si="47"/>
        <v>0.29262311146454917</v>
      </c>
      <c r="AF39" s="57">
        <f t="shared" si="47"/>
        <v>0.33105926816466053</v>
      </c>
      <c r="AG39" s="57">
        <f t="shared" si="47"/>
        <v>0.31448067707461896</v>
      </c>
      <c r="AH39" s="57">
        <f t="shared" si="47"/>
        <v>0.31483294404162065</v>
      </c>
      <c r="AI39" s="57">
        <f t="shared" si="47"/>
        <v>0.30511908868110482</v>
      </c>
      <c r="AJ39" s="57">
        <f t="shared" si="47"/>
        <v>0.35023627475956193</v>
      </c>
      <c r="AK39" s="57">
        <f t="shared" si="47"/>
        <v>0.36485068494212569</v>
      </c>
      <c r="AL39" s="57">
        <f t="shared" si="47"/>
        <v>0.37158603067691598</v>
      </c>
      <c r="AM39" s="57">
        <f t="shared" si="47"/>
        <v>0.35218610651297755</v>
      </c>
      <c r="AN39" s="57">
        <f t="shared" si="47"/>
        <v>0.367553038236059</v>
      </c>
      <c r="AO39" s="57">
        <f t="shared" si="47"/>
        <v>0.34730669074292453</v>
      </c>
      <c r="AP39" s="57">
        <f t="shared" si="47"/>
        <v>0.3301878606773489</v>
      </c>
      <c r="AQ39" s="57" t="e">
        <f t="shared" si="47"/>
        <v>#DIV/0!</v>
      </c>
      <c r="AR39" s="57" t="e">
        <f t="shared" si="47"/>
        <v>#DIV/0!</v>
      </c>
      <c r="AS39" s="57" t="e">
        <f t="shared" si="47"/>
        <v>#DIV/0!</v>
      </c>
      <c r="AT39" s="57" t="e">
        <f t="shared" si="47"/>
        <v>#DIV/0!</v>
      </c>
      <c r="AU39" s="57" t="e">
        <f t="shared" si="47"/>
        <v>#DIV/0!</v>
      </c>
      <c r="AV39" s="57" t="e">
        <f t="shared" si="47"/>
        <v>#DIV/0!</v>
      </c>
      <c r="AW39" s="57" t="e">
        <f t="shared" si="47"/>
        <v>#DIV/0!</v>
      </c>
      <c r="AX39" s="57" t="e">
        <f t="shared" si="47"/>
        <v>#DIV/0!</v>
      </c>
      <c r="AY39" s="57" t="e">
        <f t="shared" si="47"/>
        <v>#DIV/0!</v>
      </c>
      <c r="AZ39" s="57" t="e">
        <f t="shared" si="47"/>
        <v>#DIV/0!</v>
      </c>
      <c r="BA39" s="57" t="e">
        <f t="shared" si="47"/>
        <v>#DIV/0!</v>
      </c>
      <c r="BB39" s="57" t="e">
        <f t="shared" si="47"/>
        <v>#DIV/0!</v>
      </c>
      <c r="BC39" s="57" t="e">
        <f t="shared" si="47"/>
        <v>#DIV/0!</v>
      </c>
      <c r="BD39" s="57" t="e">
        <f t="shared" si="47"/>
        <v>#DIV/0!</v>
      </c>
      <c r="BE39" s="57" t="e">
        <f t="shared" si="47"/>
        <v>#DIV/0!</v>
      </c>
      <c r="BF39" s="57" t="e">
        <f t="shared" si="47"/>
        <v>#DIV/0!</v>
      </c>
      <c r="BG39" s="57" t="e">
        <f t="shared" si="47"/>
        <v>#DIV/0!</v>
      </c>
      <c r="BH39" s="57" t="e">
        <f t="shared" si="47"/>
        <v>#DIV/0!</v>
      </c>
      <c r="BI39" s="57" t="e">
        <f t="shared" si="47"/>
        <v>#DIV/0!</v>
      </c>
      <c r="BJ39" s="57" t="e">
        <f t="shared" si="47"/>
        <v>#DIV/0!</v>
      </c>
      <c r="BK39" s="57" t="e">
        <f t="shared" si="47"/>
        <v>#DIV/0!</v>
      </c>
      <c r="BL39" s="57" t="e">
        <f t="shared" si="47"/>
        <v>#DIV/0!</v>
      </c>
      <c r="BM39" s="57" t="e">
        <f t="shared" si="47"/>
        <v>#DIV/0!</v>
      </c>
      <c r="BN39" s="57" t="e">
        <f t="shared" si="47"/>
        <v>#DIV/0!</v>
      </c>
      <c r="BO39" s="57" t="e">
        <f t="shared" si="47"/>
        <v>#DIV/0!</v>
      </c>
      <c r="BP39" s="57" t="e">
        <f t="shared" si="47"/>
        <v>#DIV/0!</v>
      </c>
      <c r="BQ39" s="57" t="e">
        <f t="shared" si="47"/>
        <v>#DIV/0!</v>
      </c>
      <c r="BR39" s="57" t="e">
        <f t="shared" ref="BR39:CK39" si="48">BR38/BR4</f>
        <v>#DIV/0!</v>
      </c>
      <c r="BS39" s="57" t="e">
        <f t="shared" si="48"/>
        <v>#DIV/0!</v>
      </c>
      <c r="BT39" s="57" t="e">
        <f t="shared" si="48"/>
        <v>#DIV/0!</v>
      </c>
      <c r="BU39" s="57" t="e">
        <f t="shared" si="48"/>
        <v>#DIV/0!</v>
      </c>
      <c r="BV39" s="57" t="e">
        <f t="shared" si="48"/>
        <v>#DIV/0!</v>
      </c>
      <c r="BW39" s="57" t="e">
        <f t="shared" si="48"/>
        <v>#DIV/0!</v>
      </c>
      <c r="BX39" s="57" t="e">
        <f t="shared" si="48"/>
        <v>#DIV/0!</v>
      </c>
      <c r="BY39" s="57" t="e">
        <f t="shared" si="48"/>
        <v>#DIV/0!</v>
      </c>
      <c r="BZ39" s="57" t="e">
        <f t="shared" si="48"/>
        <v>#DIV/0!</v>
      </c>
      <c r="CA39" s="57" t="e">
        <f t="shared" si="48"/>
        <v>#DIV/0!</v>
      </c>
      <c r="CB39" s="57" t="e">
        <f t="shared" si="48"/>
        <v>#DIV/0!</v>
      </c>
      <c r="CC39" s="57" t="e">
        <f t="shared" si="48"/>
        <v>#DIV/0!</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418</v>
      </c>
      <c r="B40" s="26">
        <f>B60</f>
        <v>836093959.57000005</v>
      </c>
      <c r="C40" s="26">
        <f t="shared" ref="C40:BN40" si="49">C60</f>
        <v>665802758.48000002</v>
      </c>
      <c r="D40" s="26">
        <f t="shared" si="49"/>
        <v>373754038.72000003</v>
      </c>
      <c r="E40" s="26">
        <f t="shared" si="49"/>
        <v>1109318842.54</v>
      </c>
      <c r="F40" s="26">
        <f t="shared" si="49"/>
        <v>662436664.13999999</v>
      </c>
      <c r="G40" s="26">
        <f t="shared" si="49"/>
        <v>568658390.85000002</v>
      </c>
      <c r="H40" s="26">
        <f t="shared" si="49"/>
        <v>318461864.25</v>
      </c>
      <c r="I40" s="26">
        <f t="shared" si="49"/>
        <v>889905208.07000005</v>
      </c>
      <c r="J40" s="26">
        <f t="shared" si="49"/>
        <v>507470567.58999997</v>
      </c>
      <c r="K40" s="26">
        <f t="shared" si="49"/>
        <v>432531976.11000001</v>
      </c>
      <c r="L40" s="26">
        <f t="shared" si="49"/>
        <v>243921948.30000001</v>
      </c>
      <c r="M40" s="26">
        <f t="shared" si="49"/>
        <v>867643887.69000006</v>
      </c>
      <c r="N40" s="26">
        <f t="shared" si="49"/>
        <v>654171637.72000003</v>
      </c>
      <c r="O40" s="26">
        <f t="shared" si="49"/>
        <v>399902720.24000001</v>
      </c>
      <c r="P40" s="26">
        <f t="shared" si="49"/>
        <v>185766813.56</v>
      </c>
      <c r="Q40" s="26">
        <f t="shared" si="49"/>
        <v>525641134.11000001</v>
      </c>
      <c r="R40" s="26">
        <f t="shared" si="49"/>
        <v>371922648.92000002</v>
      </c>
      <c r="S40" s="26">
        <f t="shared" si="49"/>
        <v>178940192.94999999</v>
      </c>
      <c r="T40" s="26">
        <f t="shared" si="49"/>
        <v>86794286.390000001</v>
      </c>
      <c r="U40" s="26">
        <f t="shared" si="49"/>
        <v>308901393.86000001</v>
      </c>
      <c r="V40" s="26">
        <f t="shared" si="49"/>
        <v>271661533.05000001</v>
      </c>
      <c r="W40" s="26">
        <f t="shared" si="49"/>
        <v>131592155.44</v>
      </c>
      <c r="X40" s="26">
        <f t="shared" si="49"/>
        <v>78501175.870000005</v>
      </c>
      <c r="Y40" s="26">
        <f t="shared" si="49"/>
        <v>173179307.22</v>
      </c>
      <c r="Z40" s="26">
        <f t="shared" si="49"/>
        <v>208618911.93000001</v>
      </c>
      <c r="AA40" s="26">
        <f t="shared" si="49"/>
        <v>114194275.28</v>
      </c>
      <c r="AB40" s="26">
        <f t="shared" si="49"/>
        <v>57281341.229999997</v>
      </c>
      <c r="AC40" s="26">
        <f t="shared" si="49"/>
        <v>244886638</v>
      </c>
      <c r="AD40" s="26">
        <f t="shared" si="49"/>
        <v>142472978.86000001</v>
      </c>
      <c r="AE40" s="26">
        <f t="shared" si="49"/>
        <v>77813886.409999996</v>
      </c>
      <c r="AF40" s="26">
        <f t="shared" si="49"/>
        <v>46600043.049999997</v>
      </c>
      <c r="AG40" s="26">
        <f t="shared" si="49"/>
        <v>90526869.439999998</v>
      </c>
      <c r="AH40" s="26">
        <f t="shared" si="49"/>
        <v>95598052.280000001</v>
      </c>
      <c r="AI40" s="26">
        <f t="shared" si="49"/>
        <v>52745278.210000001</v>
      </c>
      <c r="AJ40" s="26">
        <f t="shared" si="49"/>
        <v>34700901.289999999</v>
      </c>
      <c r="AK40" s="26">
        <f t="shared" si="49"/>
        <v>60192545.530000001</v>
      </c>
      <c r="AL40" s="26">
        <f t="shared" si="49"/>
        <v>59493832.07</v>
      </c>
      <c r="AM40" s="26">
        <f t="shared" si="49"/>
        <v>47438522.100000001</v>
      </c>
      <c r="AN40" s="26">
        <f t="shared" si="49"/>
        <v>12435929.550000001</v>
      </c>
      <c r="AO40" s="26">
        <f t="shared" si="49"/>
        <v>56070981.439999998</v>
      </c>
      <c r="AP40" s="26">
        <f t="shared" si="49"/>
        <v>25870760.129999999</v>
      </c>
      <c r="AQ40" s="26">
        <f t="shared" si="49"/>
        <v>0</v>
      </c>
      <c r="AR40" s="26">
        <f t="shared" si="49"/>
        <v>335817684.24000001</v>
      </c>
      <c r="AS40" s="26">
        <f t="shared" si="49"/>
        <v>705562448.80999994</v>
      </c>
      <c r="AT40" s="26">
        <f t="shared" si="49"/>
        <v>648250833.24000001</v>
      </c>
      <c r="AU40" s="26">
        <f t="shared" si="49"/>
        <v>561779303.77999997</v>
      </c>
      <c r="AV40" s="26">
        <f t="shared" si="49"/>
        <v>374547042.32999998</v>
      </c>
      <c r="AW40" s="26">
        <f t="shared" si="49"/>
        <v>606385627.26999998</v>
      </c>
      <c r="AX40" s="26">
        <f t="shared" si="49"/>
        <v>526228001.63</v>
      </c>
      <c r="AY40" s="26">
        <f t="shared" si="49"/>
        <v>420222252.99000001</v>
      </c>
      <c r="AZ40" s="26">
        <f t="shared" si="49"/>
        <v>280943626.88999999</v>
      </c>
      <c r="BA40" s="26">
        <f t="shared" si="49"/>
        <v>396902090.45999998</v>
      </c>
      <c r="BB40" s="26">
        <f t="shared" si="49"/>
        <v>383849839.51999998</v>
      </c>
      <c r="BC40" s="26">
        <f t="shared" si="49"/>
        <v>336122195.32999998</v>
      </c>
      <c r="BD40" s="26">
        <f t="shared" si="49"/>
        <v>238518321.50999999</v>
      </c>
      <c r="BE40" s="26">
        <f t="shared" si="49"/>
        <v>441401360.93000001</v>
      </c>
      <c r="BF40" s="26">
        <f t="shared" si="49"/>
        <v>355010263.50999999</v>
      </c>
      <c r="BG40" s="26">
        <f t="shared" si="49"/>
        <v>278320628.12</v>
      </c>
      <c r="BH40" s="26">
        <f t="shared" si="49"/>
        <v>193355065.81999999</v>
      </c>
      <c r="BI40" s="26">
        <f t="shared" si="49"/>
        <v>383447938.93000001</v>
      </c>
      <c r="BJ40" s="26">
        <f t="shared" si="49"/>
        <v>311366323.06999999</v>
      </c>
      <c r="BK40" s="26">
        <f t="shared" si="49"/>
        <v>250049516.34999999</v>
      </c>
      <c r="BL40" s="26">
        <f t="shared" si="49"/>
        <v>207396289.06999999</v>
      </c>
      <c r="BM40" s="26">
        <f t="shared" si="49"/>
        <v>250085682.47999999</v>
      </c>
      <c r="BN40" s="26">
        <f t="shared" si="49"/>
        <v>190785252.78999999</v>
      </c>
      <c r="BO40" s="26">
        <f t="shared" ref="BO40:CJ40" si="50">BO60</f>
        <v>126708958.8</v>
      </c>
      <c r="BP40" s="26">
        <f t="shared" si="50"/>
        <v>121401855.98999999</v>
      </c>
      <c r="BQ40" s="26">
        <f t="shared" si="50"/>
        <v>116775657.84999999</v>
      </c>
      <c r="BR40" s="26">
        <f t="shared" si="50"/>
        <v>160590000</v>
      </c>
      <c r="BS40" s="26">
        <f t="shared" si="50"/>
        <v>179226656.44999999</v>
      </c>
      <c r="BT40" s="26">
        <f t="shared" si="50"/>
        <v>138812074.46000001</v>
      </c>
      <c r="BU40" s="26">
        <f t="shared" si="50"/>
        <v>238879360.28</v>
      </c>
      <c r="BV40" s="26">
        <f t="shared" si="50"/>
        <v>295349924.56</v>
      </c>
      <c r="BW40" s="26">
        <f t="shared" si="50"/>
        <v>303429006.82999998</v>
      </c>
      <c r="BX40" s="26">
        <f t="shared" si="50"/>
        <v>66653678.539999999</v>
      </c>
      <c r="BY40" s="26">
        <f t="shared" si="50"/>
        <v>260578360.56999999</v>
      </c>
      <c r="BZ40" s="26">
        <f t="shared" si="50"/>
        <v>44632836.509999998</v>
      </c>
      <c r="CA40" s="26">
        <f t="shared" si="50"/>
        <v>168102185.13</v>
      </c>
      <c r="CB40" s="26">
        <f t="shared" si="50"/>
        <v>128029818.47</v>
      </c>
      <c r="CC40" s="26">
        <f t="shared" si="50"/>
        <v>106844876.92</v>
      </c>
      <c r="CD40" s="26">
        <f t="shared" si="50"/>
        <v>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x14ac:dyDescent="0.25">
      <c r="A41" s="57" t="s">
        <v>610</v>
      </c>
      <c r="B41" s="57">
        <f>B40/B38</f>
        <v>8.5204241949766835E-2</v>
      </c>
      <c r="C41" s="57">
        <f t="shared" ref="C41:BN41" si="51">C40/C38</f>
        <v>0.16994671051418955</v>
      </c>
      <c r="D41" s="57">
        <f t="shared" si="51"/>
        <v>0.21121462761777765</v>
      </c>
      <c r="E41" s="57">
        <f t="shared" si="51"/>
        <v>0.13656453141020719</v>
      </c>
      <c r="F41" s="57">
        <f t="shared" si="51"/>
        <v>0.11544627492769785</v>
      </c>
      <c r="G41" s="57">
        <f t="shared" si="51"/>
        <v>0.17789406041223799</v>
      </c>
      <c r="H41" s="57">
        <f t="shared" si="51"/>
        <v>0.17676240408574012</v>
      </c>
      <c r="I41" s="57">
        <f t="shared" si="51"/>
        <v>0.10363312225432755</v>
      </c>
      <c r="J41" s="57">
        <f t="shared" si="51"/>
        <v>9.3070411642179052E-2</v>
      </c>
      <c r="K41" s="57">
        <f t="shared" si="51"/>
        <v>0.14268143850016118</v>
      </c>
      <c r="L41" s="57">
        <f t="shared" si="51"/>
        <v>0.17657252022205899</v>
      </c>
      <c r="M41" s="57">
        <f t="shared" si="51"/>
        <v>0.12756936955923173</v>
      </c>
      <c r="N41" s="57">
        <f t="shared" si="51"/>
        <v>0.14792367156679184</v>
      </c>
      <c r="O41" s="57">
        <f t="shared" si="51"/>
        <v>0.15340182632370725</v>
      </c>
      <c r="P41" s="57">
        <f t="shared" si="51"/>
        <v>0.15221649797327153</v>
      </c>
      <c r="Q41" s="57">
        <f t="shared" si="51"/>
        <v>0.10152937655648291</v>
      </c>
      <c r="R41" s="57">
        <f t="shared" si="51"/>
        <v>0.12062638981283656</v>
      </c>
      <c r="S41" s="57">
        <f t="shared" si="51"/>
        <v>0.10527511578537527</v>
      </c>
      <c r="T41" s="57">
        <f t="shared" si="51"/>
        <v>0.11152480896945366</v>
      </c>
      <c r="U41" s="57">
        <f t="shared" si="51"/>
        <v>9.2010069156137395E-2</v>
      </c>
      <c r="V41" s="57">
        <f t="shared" si="51"/>
        <v>0.1336466084175689</v>
      </c>
      <c r="W41" s="57">
        <f t="shared" si="51"/>
        <v>0.11731734941954726</v>
      </c>
      <c r="X41" s="57">
        <f t="shared" si="51"/>
        <v>0.14817781975944502</v>
      </c>
      <c r="Y41" s="57">
        <f t="shared" si="51"/>
        <v>7.5037780436206333E-2</v>
      </c>
      <c r="Z41" s="57">
        <f t="shared" si="51"/>
        <v>0.1437301677672938</v>
      </c>
      <c r="AA41" s="57">
        <f t="shared" si="51"/>
        <v>0.13497281357983382</v>
      </c>
      <c r="AB41" s="57">
        <f t="shared" si="51"/>
        <v>0.14096594847630872</v>
      </c>
      <c r="AC41" s="57">
        <f t="shared" si="51"/>
        <v>0.14370460398363591</v>
      </c>
      <c r="AD41" s="57">
        <f t="shared" si="51"/>
        <v>0.14016909334736827</v>
      </c>
      <c r="AE41" s="57">
        <f t="shared" si="51"/>
        <v>0.12774230075322254</v>
      </c>
      <c r="AF41" s="57">
        <f t="shared" si="51"/>
        <v>0.151369505870944</v>
      </c>
      <c r="AG41" s="57">
        <f t="shared" si="51"/>
        <v>7.9840044876765853E-2</v>
      </c>
      <c r="AH41" s="57">
        <f t="shared" si="51"/>
        <v>0.12688559507106978</v>
      </c>
      <c r="AI41" s="57">
        <f t="shared" si="51"/>
        <v>0.1232741050813511</v>
      </c>
      <c r="AJ41" s="57">
        <f t="shared" si="51"/>
        <v>0.14415512095093869</v>
      </c>
      <c r="AK41" s="57">
        <f t="shared" si="51"/>
        <v>7.8504657817983853E-2</v>
      </c>
      <c r="AL41" s="57">
        <f t="shared" si="51"/>
        <v>0.11145125078301803</v>
      </c>
      <c r="AM41" s="57">
        <f t="shared" si="51"/>
        <v>0.16096647236071837</v>
      </c>
      <c r="AN41" s="57">
        <f t="shared" si="51"/>
        <v>8.3942603894867782E-2</v>
      </c>
      <c r="AO41" s="57">
        <f t="shared" si="51"/>
        <v>9.2652970357805065E-2</v>
      </c>
      <c r="AP41" s="57">
        <f t="shared" si="51"/>
        <v>6.6146660955993405E-2</v>
      </c>
      <c r="AQ41" s="57" t="e">
        <f t="shared" si="51"/>
        <v>#DIV/0!</v>
      </c>
      <c r="AR41" s="57">
        <f t="shared" si="51"/>
        <v>21.506440938812048</v>
      </c>
      <c r="AS41" s="57">
        <f t="shared" si="51"/>
        <v>7.3937250836614146</v>
      </c>
      <c r="AT41" s="57">
        <f t="shared" si="51"/>
        <v>15.592366512196667</v>
      </c>
      <c r="AU41" s="57">
        <f t="shared" si="51"/>
        <v>15.376416082794156</v>
      </c>
      <c r="AV41" s="57">
        <f t="shared" si="51"/>
        <v>92.644454630179325</v>
      </c>
      <c r="AW41" s="57">
        <f t="shared" si="51"/>
        <v>10.916220541131098</v>
      </c>
      <c r="AX41" s="57">
        <f t="shared" si="51"/>
        <v>18.231369460204579</v>
      </c>
      <c r="AY41" s="57">
        <f t="shared" si="51"/>
        <v>16.021387764306059</v>
      </c>
      <c r="AZ41" s="57">
        <f t="shared" si="51"/>
        <v>93.098322439196252</v>
      </c>
      <c r="BA41" s="57">
        <f t="shared" si="51"/>
        <v>18.631308838172576</v>
      </c>
      <c r="BB41" s="57">
        <f t="shared" si="51"/>
        <v>55.304324722487436</v>
      </c>
      <c r="BC41" s="57">
        <f t="shared" si="51"/>
        <v>67.277250227328935</v>
      </c>
      <c r="BD41" s="57">
        <f t="shared" si="51"/>
        <v>39.372760490940244</v>
      </c>
      <c r="BE41" s="57">
        <f t="shared" si="51"/>
        <v>16.764297507062913</v>
      </c>
      <c r="BF41" s="57">
        <f t="shared" si="51"/>
        <v>27.049077122304052</v>
      </c>
      <c r="BG41" s="57">
        <f t="shared" si="51"/>
        <v>24.303157252166653</v>
      </c>
      <c r="BH41" s="57">
        <f t="shared" si="51"/>
        <v>70.000749015543192</v>
      </c>
      <c r="BI41" s="57">
        <f t="shared" si="51"/>
        <v>13.790967082937895</v>
      </c>
      <c r="BJ41" s="57">
        <f t="shared" si="51"/>
        <v>15.67040258955069</v>
      </c>
      <c r="BK41" s="57">
        <f t="shared" si="51"/>
        <v>20.530470057823827</v>
      </c>
      <c r="BL41" s="57">
        <f t="shared" si="51"/>
        <v>76.496332781702776</v>
      </c>
      <c r="BM41" s="57">
        <f t="shared" si="51"/>
        <v>9.3062959249435355</v>
      </c>
      <c r="BN41" s="57">
        <f t="shared" si="51"/>
        <v>8.0800067537645504</v>
      </c>
      <c r="BO41" s="57">
        <f t="shared" ref="BO41:CJ41" si="52">BO40/BO38</f>
        <v>9.6301249443167141</v>
      </c>
      <c r="BP41" s="57">
        <f t="shared" si="52"/>
        <v>16.511200920697274</v>
      </c>
      <c r="BQ41" s="57">
        <f t="shared" si="52"/>
        <v>3.0916829946917983</v>
      </c>
      <c r="BR41" s="57">
        <f t="shared" si="52"/>
        <v>12.625</v>
      </c>
      <c r="BS41" s="57">
        <f t="shared" si="52"/>
        <v>6.8283566880658215</v>
      </c>
      <c r="BT41" s="57">
        <f t="shared" si="52"/>
        <v>12.853075776272602</v>
      </c>
      <c r="BU41" s="57">
        <f t="shared" si="52"/>
        <v>14.285141378045161</v>
      </c>
      <c r="BV41" s="57">
        <f t="shared" si="52"/>
        <v>39.705149385866775</v>
      </c>
      <c r="BW41" s="57">
        <f t="shared" si="52"/>
        <v>20.112527092609866</v>
      </c>
      <c r="BX41" s="57">
        <f t="shared" si="52"/>
        <v>6.948062846312304</v>
      </c>
      <c r="BY41" s="57">
        <f t="shared" si="52"/>
        <v>6.0894858138564683</v>
      </c>
      <c r="BZ41" s="57">
        <f t="shared" si="52"/>
        <v>11.640426755835241</v>
      </c>
      <c r="CA41" s="57">
        <f t="shared" si="52"/>
        <v>-14.20372750495731</v>
      </c>
      <c r="CB41" s="57">
        <f t="shared" si="52"/>
        <v>-7.8774211764848916</v>
      </c>
      <c r="CC41" s="57">
        <f t="shared" si="52"/>
        <v>-8.6111449985966146</v>
      </c>
      <c r="CD41" s="57" t="e">
        <f t="shared" si="52"/>
        <v>#DIV/0!</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x14ac:dyDescent="0.25">
      <c r="A42" s="20" t="s">
        <v>420</v>
      </c>
      <c r="B42" s="28">
        <f>B38-B40</f>
        <v>8976726862.9300003</v>
      </c>
      <c r="C42" s="28">
        <f t="shared" ref="C42:BN42" si="53">C38-C40</f>
        <v>3251912132.6500015</v>
      </c>
      <c r="D42" s="28">
        <f t="shared" si="53"/>
        <v>1395792147.2399995</v>
      </c>
      <c r="E42" s="28">
        <f t="shared" si="53"/>
        <v>7013718897.090003</v>
      </c>
      <c r="F42" s="28">
        <f t="shared" si="53"/>
        <v>5075614776.2799997</v>
      </c>
      <c r="G42" s="28">
        <f t="shared" si="53"/>
        <v>2627954185.9400001</v>
      </c>
      <c r="H42" s="28">
        <f t="shared" si="53"/>
        <v>1483176136.1899993</v>
      </c>
      <c r="I42" s="28">
        <f t="shared" si="53"/>
        <v>7697168004.7400007</v>
      </c>
      <c r="J42" s="28">
        <f t="shared" si="53"/>
        <v>4945074002.0099993</v>
      </c>
      <c r="K42" s="28">
        <f t="shared" si="53"/>
        <v>2598920332.3100009</v>
      </c>
      <c r="L42" s="28">
        <f t="shared" si="53"/>
        <v>1137504493.3299992</v>
      </c>
      <c r="M42" s="28">
        <f t="shared" si="53"/>
        <v>5933705767.6999969</v>
      </c>
      <c r="N42" s="28">
        <f t="shared" si="53"/>
        <v>3768187750.6799994</v>
      </c>
      <c r="O42" s="28">
        <f t="shared" si="53"/>
        <v>2206994015.1099997</v>
      </c>
      <c r="P42" s="28">
        <f t="shared" si="53"/>
        <v>1034645007.98</v>
      </c>
      <c r="Q42" s="28">
        <f t="shared" si="53"/>
        <v>4651590834.9799995</v>
      </c>
      <c r="R42" s="28">
        <f t="shared" si="53"/>
        <v>2711338397.8299999</v>
      </c>
      <c r="S42" s="28">
        <f t="shared" si="53"/>
        <v>1520798549.8200004</v>
      </c>
      <c r="T42" s="28">
        <f t="shared" si="53"/>
        <v>691456644.43000007</v>
      </c>
      <c r="U42" s="28">
        <f t="shared" si="53"/>
        <v>3048355009.6300001</v>
      </c>
      <c r="V42" s="28">
        <f t="shared" si="53"/>
        <v>1761024041.7399995</v>
      </c>
      <c r="W42" s="28">
        <f t="shared" si="53"/>
        <v>990084698.76000023</v>
      </c>
      <c r="X42" s="28">
        <f t="shared" si="53"/>
        <v>451275655.76000005</v>
      </c>
      <c r="Y42" s="28">
        <f t="shared" si="53"/>
        <v>2134715545.3900006</v>
      </c>
      <c r="Z42" s="28">
        <f t="shared" si="53"/>
        <v>1242843332.7099998</v>
      </c>
      <c r="AA42" s="28">
        <f t="shared" si="53"/>
        <v>731859624.3999995</v>
      </c>
      <c r="AB42" s="28">
        <f t="shared" si="53"/>
        <v>349067439.08999991</v>
      </c>
      <c r="AC42" s="28">
        <f t="shared" si="53"/>
        <v>1459210734.0500007</v>
      </c>
      <c r="AD42" s="28">
        <f t="shared" si="53"/>
        <v>873963494.10000002</v>
      </c>
      <c r="AE42" s="28">
        <f t="shared" si="53"/>
        <v>531333482.5600003</v>
      </c>
      <c r="AF42" s="28">
        <f t="shared" si="53"/>
        <v>261256171.32999992</v>
      </c>
      <c r="AG42" s="28">
        <f t="shared" si="53"/>
        <v>1043326068.3899999</v>
      </c>
      <c r="AH42" s="28">
        <f t="shared" si="53"/>
        <v>657821216.68000031</v>
      </c>
      <c r="AI42" s="28">
        <f t="shared" si="53"/>
        <v>375124615.26999986</v>
      </c>
      <c r="AJ42" s="28">
        <f t="shared" si="53"/>
        <v>206018270.25999996</v>
      </c>
      <c r="AK42" s="28">
        <f t="shared" si="53"/>
        <v>706545979.32999992</v>
      </c>
      <c r="AL42" s="28">
        <f t="shared" si="53"/>
        <v>474316525.83999979</v>
      </c>
      <c r="AM42" s="28">
        <f t="shared" si="53"/>
        <v>247272055.84999993</v>
      </c>
      <c r="AN42" s="28">
        <f t="shared" si="53"/>
        <v>135712078.41</v>
      </c>
      <c r="AO42" s="28">
        <f t="shared" si="53"/>
        <v>549100997.6500001</v>
      </c>
      <c r="AP42" s="28">
        <f t="shared" si="53"/>
        <v>365241349.77999997</v>
      </c>
      <c r="AQ42" s="28">
        <f t="shared" si="53"/>
        <v>0</v>
      </c>
      <c r="AR42" s="28">
        <f t="shared" si="53"/>
        <v>-320202934.91000003</v>
      </c>
      <c r="AS42" s="28">
        <f t="shared" si="53"/>
        <v>-610135253.33999991</v>
      </c>
      <c r="AT42" s="28">
        <f t="shared" si="53"/>
        <v>-606675948.97000003</v>
      </c>
      <c r="AU42" s="28">
        <f t="shared" si="53"/>
        <v>-525244177.46999997</v>
      </c>
      <c r="AV42" s="28">
        <f t="shared" si="53"/>
        <v>-370504198.70999998</v>
      </c>
      <c r="AW42" s="28">
        <f t="shared" si="53"/>
        <v>-550836582.15999997</v>
      </c>
      <c r="AX42" s="28">
        <f t="shared" si="53"/>
        <v>-497364124.85000002</v>
      </c>
      <c r="AY42" s="28">
        <f t="shared" si="53"/>
        <v>-393993423.18000001</v>
      </c>
      <c r="AZ42" s="28">
        <f t="shared" si="53"/>
        <v>-277925918.08999997</v>
      </c>
      <c r="BA42" s="28">
        <f t="shared" si="53"/>
        <v>-375599127.04999995</v>
      </c>
      <c r="BB42" s="28">
        <f t="shared" si="53"/>
        <v>-376909155.56</v>
      </c>
      <c r="BC42" s="28">
        <f t="shared" si="53"/>
        <v>-331126120.21999997</v>
      </c>
      <c r="BD42" s="28">
        <f t="shared" si="53"/>
        <v>-232460368.78999999</v>
      </c>
      <c r="BE42" s="28">
        <f t="shared" si="53"/>
        <v>-415071515.56999999</v>
      </c>
      <c r="BF42" s="28">
        <f t="shared" si="53"/>
        <v>-341885591.56999999</v>
      </c>
      <c r="BG42" s="28">
        <f t="shared" si="53"/>
        <v>-266868592.27000001</v>
      </c>
      <c r="BH42" s="28">
        <f t="shared" si="53"/>
        <v>-190592880.15000001</v>
      </c>
      <c r="BI42" s="28">
        <f t="shared" si="53"/>
        <v>-355643656.85000002</v>
      </c>
      <c r="BJ42" s="28">
        <f t="shared" si="53"/>
        <v>-291496615.11000001</v>
      </c>
      <c r="BK42" s="28">
        <f t="shared" si="53"/>
        <v>-237870081.79999998</v>
      </c>
      <c r="BL42" s="28">
        <f t="shared" si="53"/>
        <v>-204685096.5</v>
      </c>
      <c r="BM42" s="28">
        <f t="shared" si="53"/>
        <v>-223212941.22</v>
      </c>
      <c r="BN42" s="28">
        <f t="shared" si="53"/>
        <v>-167173236.28999999</v>
      </c>
      <c r="BO42" s="28">
        <f t="shared" ref="BO42:CK42" si="54">BO38-BO40</f>
        <v>-113551397.55</v>
      </c>
      <c r="BP42" s="28">
        <f t="shared" si="54"/>
        <v>-114049159.08</v>
      </c>
      <c r="BQ42" s="28">
        <f t="shared" si="54"/>
        <v>-79004755.060000002</v>
      </c>
      <c r="BR42" s="28">
        <f t="shared" si="54"/>
        <v>-147870000</v>
      </c>
      <c r="BS42" s="28">
        <f t="shared" si="54"/>
        <v>-152979249.54999998</v>
      </c>
      <c r="BT42" s="28">
        <f t="shared" si="54"/>
        <v>-128012163.46000001</v>
      </c>
      <c r="BU42" s="28">
        <f t="shared" si="54"/>
        <v>-222157134.44</v>
      </c>
      <c r="BV42" s="28">
        <f t="shared" si="54"/>
        <v>-287911344.69999999</v>
      </c>
      <c r="BW42" s="28">
        <f t="shared" si="54"/>
        <v>-288342438.87</v>
      </c>
      <c r="BX42" s="28">
        <f t="shared" si="54"/>
        <v>-57060547.329999998</v>
      </c>
      <c r="BY42" s="28">
        <f t="shared" si="54"/>
        <v>-217786839.49000001</v>
      </c>
      <c r="BZ42" s="28">
        <f t="shared" si="54"/>
        <v>-40798540.960000001</v>
      </c>
      <c r="CA42" s="28">
        <f t="shared" si="54"/>
        <v>-179937260.47</v>
      </c>
      <c r="CB42" s="28">
        <f t="shared" si="54"/>
        <v>-144282576.27000001</v>
      </c>
      <c r="CC42" s="28">
        <f t="shared" si="54"/>
        <v>-119252620.25</v>
      </c>
      <c r="CD42" s="28">
        <f t="shared" si="54"/>
        <v>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x14ac:dyDescent="0.25">
      <c r="A43" s="57" t="s">
        <v>419</v>
      </c>
      <c r="B43" s="57">
        <f>B42/B4*100</f>
        <v>26.556249055800695</v>
      </c>
      <c r="C43" s="57">
        <f t="shared" ref="C43:D43" si="55">C42/C4*100</f>
        <v>15.577456385815362</v>
      </c>
      <c r="D43" s="57">
        <f t="shared" si="55"/>
        <v>14.904620963478576</v>
      </c>
      <c r="E43" s="57">
        <f>E42/E4</f>
        <v>0.16736998289537761</v>
      </c>
      <c r="F43" s="57">
        <f t="shared" ref="F43:BQ43" si="56">F42/F4</f>
        <v>0.18303865745764764</v>
      </c>
      <c r="G43" s="57">
        <f t="shared" si="56"/>
        <v>0.15977795026115116</v>
      </c>
      <c r="H43" s="57">
        <f t="shared" si="56"/>
        <v>0.21056704021466691</v>
      </c>
      <c r="I43" s="57">
        <f t="shared" si="56"/>
        <v>0.24110897670114495</v>
      </c>
      <c r="J43" s="57">
        <f t="shared" si="56"/>
        <v>0.23395932448815604</v>
      </c>
      <c r="K43" s="57">
        <f t="shared" si="56"/>
        <v>0.20711501220491166</v>
      </c>
      <c r="L43" s="57">
        <f t="shared" si="56"/>
        <v>0.21876304786166167</v>
      </c>
      <c r="M43" s="57">
        <f t="shared" si="56"/>
        <v>0.23479934042018116</v>
      </c>
      <c r="N43" s="57">
        <f t="shared" si="56"/>
        <v>0.22594252509636872</v>
      </c>
      <c r="O43" s="57">
        <f t="shared" si="56"/>
        <v>0.22528665111013357</v>
      </c>
      <c r="P43" s="57">
        <f t="shared" si="56"/>
        <v>0.2412914761158457</v>
      </c>
      <c r="Q43" s="57">
        <f t="shared" si="56"/>
        <v>0.26992166529639966</v>
      </c>
      <c r="R43" s="57">
        <f t="shared" si="56"/>
        <v>0.25411314215496206</v>
      </c>
      <c r="S43" s="57">
        <f t="shared" si="56"/>
        <v>0.25278998799715635</v>
      </c>
      <c r="T43" s="57">
        <f t="shared" si="56"/>
        <v>0.2664922750260989</v>
      </c>
      <c r="U43" s="57">
        <f t="shared" si="56"/>
        <v>0.2836759148029131</v>
      </c>
      <c r="V43" s="57">
        <f t="shared" si="56"/>
        <v>0.2566941956593507</v>
      </c>
      <c r="W43" s="57">
        <f t="shared" si="56"/>
        <v>0.25330964295580199</v>
      </c>
      <c r="X43" s="57">
        <f t="shared" si="56"/>
        <v>0.26587420107296017</v>
      </c>
      <c r="Y43" s="57">
        <f t="shared" si="56"/>
        <v>0.29592151927802596</v>
      </c>
      <c r="Z43" s="57">
        <f t="shared" si="56"/>
        <v>0.25904186513174943</v>
      </c>
      <c r="AA43" s="57">
        <f t="shared" si="56"/>
        <v>0.25964627370596971</v>
      </c>
      <c r="AB43" s="57">
        <f t="shared" si="56"/>
        <v>0.27003419935600925</v>
      </c>
      <c r="AC43" s="57">
        <f t="shared" si="56"/>
        <v>0.27892033929021054</v>
      </c>
      <c r="AD43" s="57">
        <f t="shared" si="56"/>
        <v>0.25309116820782912</v>
      </c>
      <c r="AE43" s="57">
        <f t="shared" si="56"/>
        <v>0.25524276195250101</v>
      </c>
      <c r="AF43" s="57">
        <f t="shared" si="56"/>
        <v>0.2809469903285795</v>
      </c>
      <c r="AG43" s="57">
        <f t="shared" si="56"/>
        <v>0.28937252570410565</v>
      </c>
      <c r="AH43" s="57">
        <f t="shared" si="56"/>
        <v>0.27488517858892281</v>
      </c>
      <c r="AI43" s="57">
        <f t="shared" si="56"/>
        <v>0.26750580608070423</v>
      </c>
      <c r="AJ43" s="57">
        <f t="shared" si="56"/>
        <v>0.29974792221019109</v>
      </c>
      <c r="AK43" s="57">
        <f t="shared" si="56"/>
        <v>0.33620820676608709</v>
      </c>
      <c r="AL43" s="57">
        <f t="shared" si="56"/>
        <v>0.33017230278447679</v>
      </c>
      <c r="AM43" s="57">
        <f t="shared" si="56"/>
        <v>0.29549595133312734</v>
      </c>
      <c r="AN43" s="57">
        <f t="shared" si="56"/>
        <v>0.33669967913705429</v>
      </c>
      <c r="AO43" s="57">
        <f t="shared" si="56"/>
        <v>0.315127694220453</v>
      </c>
      <c r="AP43" s="57">
        <f t="shared" si="56"/>
        <v>0.30834703620533954</v>
      </c>
      <c r="AQ43" s="57" t="e">
        <f t="shared" si="56"/>
        <v>#DIV/0!</v>
      </c>
      <c r="AR43" s="57" t="e">
        <f t="shared" si="56"/>
        <v>#DIV/0!</v>
      </c>
      <c r="AS43" s="57" t="e">
        <f t="shared" si="56"/>
        <v>#DIV/0!</v>
      </c>
      <c r="AT43" s="57" t="e">
        <f t="shared" si="56"/>
        <v>#DIV/0!</v>
      </c>
      <c r="AU43" s="57" t="e">
        <f t="shared" si="56"/>
        <v>#DIV/0!</v>
      </c>
      <c r="AV43" s="57" t="e">
        <f t="shared" si="56"/>
        <v>#DIV/0!</v>
      </c>
      <c r="AW43" s="57" t="e">
        <f t="shared" si="56"/>
        <v>#DIV/0!</v>
      </c>
      <c r="AX43" s="57" t="e">
        <f t="shared" si="56"/>
        <v>#DIV/0!</v>
      </c>
      <c r="AY43" s="57" t="e">
        <f t="shared" si="56"/>
        <v>#DIV/0!</v>
      </c>
      <c r="AZ43" s="57" t="e">
        <f t="shared" si="56"/>
        <v>#DIV/0!</v>
      </c>
      <c r="BA43" s="57" t="e">
        <f t="shared" si="56"/>
        <v>#DIV/0!</v>
      </c>
      <c r="BB43" s="57" t="e">
        <f t="shared" si="56"/>
        <v>#DIV/0!</v>
      </c>
      <c r="BC43" s="57" t="e">
        <f t="shared" si="56"/>
        <v>#DIV/0!</v>
      </c>
      <c r="BD43" s="57" t="e">
        <f t="shared" si="56"/>
        <v>#DIV/0!</v>
      </c>
      <c r="BE43" s="57" t="e">
        <f t="shared" si="56"/>
        <v>#DIV/0!</v>
      </c>
      <c r="BF43" s="57" t="e">
        <f t="shared" si="56"/>
        <v>#DIV/0!</v>
      </c>
      <c r="BG43" s="57" t="e">
        <f t="shared" si="56"/>
        <v>#DIV/0!</v>
      </c>
      <c r="BH43" s="57" t="e">
        <f t="shared" si="56"/>
        <v>#DIV/0!</v>
      </c>
      <c r="BI43" s="57" t="e">
        <f t="shared" si="56"/>
        <v>#DIV/0!</v>
      </c>
      <c r="BJ43" s="57" t="e">
        <f t="shared" si="56"/>
        <v>#DIV/0!</v>
      </c>
      <c r="BK43" s="57" t="e">
        <f t="shared" si="56"/>
        <v>#DIV/0!</v>
      </c>
      <c r="BL43" s="57" t="e">
        <f t="shared" si="56"/>
        <v>#DIV/0!</v>
      </c>
      <c r="BM43" s="57" t="e">
        <f t="shared" si="56"/>
        <v>#DIV/0!</v>
      </c>
      <c r="BN43" s="57" t="e">
        <f t="shared" si="56"/>
        <v>#DIV/0!</v>
      </c>
      <c r="BO43" s="57" t="e">
        <f t="shared" si="56"/>
        <v>#DIV/0!</v>
      </c>
      <c r="BP43" s="57" t="e">
        <f t="shared" si="56"/>
        <v>#DIV/0!</v>
      </c>
      <c r="BQ43" s="57" t="e">
        <f t="shared" si="56"/>
        <v>#DIV/0!</v>
      </c>
      <c r="BR43" s="57" t="e">
        <f t="shared" ref="BR43:CK43" si="57">BR42/BR4</f>
        <v>#DIV/0!</v>
      </c>
      <c r="BS43" s="57" t="e">
        <f t="shared" si="57"/>
        <v>#DIV/0!</v>
      </c>
      <c r="BT43" s="57" t="e">
        <f t="shared" si="57"/>
        <v>#DIV/0!</v>
      </c>
      <c r="BU43" s="57" t="e">
        <f t="shared" si="57"/>
        <v>#DIV/0!</v>
      </c>
      <c r="BV43" s="57" t="e">
        <f t="shared" si="57"/>
        <v>#DIV/0!</v>
      </c>
      <c r="BW43" s="57" t="e">
        <f t="shared" si="57"/>
        <v>#DIV/0!</v>
      </c>
      <c r="BX43" s="57" t="e">
        <f t="shared" si="57"/>
        <v>#DIV/0!</v>
      </c>
      <c r="BY43" s="57" t="e">
        <f t="shared" si="57"/>
        <v>#DIV/0!</v>
      </c>
      <c r="BZ43" s="57" t="e">
        <f t="shared" si="57"/>
        <v>#DIV/0!</v>
      </c>
      <c r="CA43" s="57" t="e">
        <f t="shared" si="57"/>
        <v>#DIV/0!</v>
      </c>
      <c r="CB43" s="57" t="e">
        <f t="shared" si="57"/>
        <v>#DIV/0!</v>
      </c>
      <c r="CC43" s="57" t="e">
        <f t="shared" si="57"/>
        <v>#DIV/0!</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421</v>
      </c>
      <c r="B45" s="26">
        <f>B70*B69</f>
        <v>2686469290.3583999</v>
      </c>
      <c r="C45" s="26">
        <f t="shared" ref="C45:BN45" si="58">C70*C69</f>
        <v>2418622920.8136001</v>
      </c>
      <c r="D45" s="26">
        <f t="shared" si="58"/>
        <v>2595444705.6431999</v>
      </c>
      <c r="E45" s="26">
        <f t="shared" si="58"/>
        <v>2448329715.0472002</v>
      </c>
      <c r="F45" s="26">
        <f t="shared" si="58"/>
        <v>2173636334.8504</v>
      </c>
      <c r="G45" s="26">
        <f t="shared" si="58"/>
        <v>1938946845.7695999</v>
      </c>
      <c r="H45" s="26">
        <f t="shared" si="58"/>
        <v>2079987816.6376002</v>
      </c>
      <c r="I45" s="26">
        <f t="shared" si="58"/>
        <v>1958933914.0120001</v>
      </c>
      <c r="J45" s="26">
        <f t="shared" si="58"/>
        <v>1731143283.7639999</v>
      </c>
      <c r="K45" s="26">
        <f t="shared" si="58"/>
        <v>1532852266.3960001</v>
      </c>
      <c r="L45" s="26">
        <f t="shared" si="58"/>
        <v>1637573670.5976002</v>
      </c>
      <c r="M45" s="26">
        <f t="shared" si="58"/>
        <v>1543796070.3760002</v>
      </c>
      <c r="N45" s="26">
        <f t="shared" si="58"/>
        <v>1370891474.3768001</v>
      </c>
      <c r="O45" s="26">
        <f t="shared" si="58"/>
        <v>1243152451.1975999</v>
      </c>
      <c r="P45" s="26">
        <f t="shared" si="58"/>
        <v>1276526469.1488001</v>
      </c>
      <c r="Q45" s="26">
        <f t="shared" si="58"/>
        <v>1190332523.7808001</v>
      </c>
      <c r="R45" s="26">
        <f t="shared" si="58"/>
        <v>1035728950.9888</v>
      </c>
      <c r="S45" s="26">
        <f t="shared" si="58"/>
        <v>939596751.98240006</v>
      </c>
      <c r="T45" s="26">
        <f t="shared" si="58"/>
        <v>951668786.19440007</v>
      </c>
      <c r="U45" s="26">
        <f t="shared" si="58"/>
        <v>896352254.63999999</v>
      </c>
      <c r="V45" s="26">
        <f t="shared" si="58"/>
        <v>788663262.32640004</v>
      </c>
      <c r="W45" s="26">
        <f t="shared" si="58"/>
        <v>726988114.88800001</v>
      </c>
      <c r="X45" s="26">
        <f t="shared" si="58"/>
        <v>729814978.1703999</v>
      </c>
      <c r="Y45" s="26">
        <f t="shared" si="58"/>
        <v>693712925.70960009</v>
      </c>
      <c r="Z45" s="26">
        <f t="shared" si="58"/>
        <v>618228884.67120004</v>
      </c>
      <c r="AA45" s="26">
        <f t="shared" si="58"/>
        <v>570013095.43440008</v>
      </c>
      <c r="AB45" s="26">
        <f t="shared" si="58"/>
        <v>573089691.30320001</v>
      </c>
      <c r="AC45" s="26">
        <f t="shared" si="58"/>
        <v>542983793.07840002</v>
      </c>
      <c r="AD45" s="26">
        <f t="shared" si="58"/>
        <v>496418002.6864</v>
      </c>
      <c r="AE45" s="26">
        <f t="shared" si="58"/>
        <v>470374766.58400005</v>
      </c>
      <c r="AF45" s="26">
        <f t="shared" si="58"/>
        <v>472768581.68559998</v>
      </c>
      <c r="AG45" s="26">
        <f t="shared" si="58"/>
        <v>451396309.35760003</v>
      </c>
      <c r="AH45" s="26">
        <f t="shared" si="58"/>
        <v>419411410.49040002</v>
      </c>
      <c r="AI45" s="26">
        <f t="shared" si="58"/>
        <v>396795682.37760001</v>
      </c>
      <c r="AJ45" s="26">
        <f t="shared" si="58"/>
        <v>136267258.97440001</v>
      </c>
      <c r="AK45" s="26">
        <f t="shared" si="58"/>
        <v>119785797.35360001</v>
      </c>
      <c r="AL45" s="26">
        <f t="shared" si="58"/>
        <v>77564270.123999998</v>
      </c>
      <c r="AM45" s="26">
        <f t="shared" si="58"/>
        <v>43576900.019200005</v>
      </c>
      <c r="AN45" s="26">
        <f t="shared" si="58"/>
        <v>0</v>
      </c>
      <c r="AO45" s="26">
        <f t="shared" si="58"/>
        <v>0</v>
      </c>
      <c r="AP45" s="26">
        <f t="shared" si="58"/>
        <v>0</v>
      </c>
      <c r="AQ45" s="26">
        <f t="shared" si="58"/>
        <v>0</v>
      </c>
      <c r="AR45" s="26">
        <f t="shared" si="58"/>
        <v>851355574.19840002</v>
      </c>
      <c r="AS45" s="26">
        <f t="shared" si="58"/>
        <v>770098958.73360002</v>
      </c>
      <c r="AT45" s="26">
        <f t="shared" si="58"/>
        <v>758847052.19920003</v>
      </c>
      <c r="AU45" s="26">
        <f t="shared" si="58"/>
        <v>744321212.02559996</v>
      </c>
      <c r="AV45" s="26">
        <f t="shared" si="58"/>
        <v>724131951.10160005</v>
      </c>
      <c r="AW45" s="26">
        <f t="shared" si="58"/>
        <v>663613481.17120004</v>
      </c>
      <c r="AX45" s="26">
        <f t="shared" si="58"/>
        <v>651174814.63680005</v>
      </c>
      <c r="AY45" s="26">
        <f t="shared" si="58"/>
        <v>635100029.13199997</v>
      </c>
      <c r="AZ45" s="26">
        <f t="shared" si="58"/>
        <v>634782760.68000007</v>
      </c>
      <c r="BA45" s="26">
        <f t="shared" si="58"/>
        <v>590877518.28320003</v>
      </c>
      <c r="BB45" s="26">
        <f t="shared" si="58"/>
        <v>588857292.12720001</v>
      </c>
      <c r="BC45" s="26">
        <f t="shared" si="58"/>
        <v>574354077.25199997</v>
      </c>
      <c r="BD45" s="26">
        <f t="shared" si="58"/>
        <v>560277247.14960003</v>
      </c>
      <c r="BE45" s="26">
        <f t="shared" si="58"/>
        <v>526956952.14160007</v>
      </c>
      <c r="BF45" s="26">
        <f t="shared" si="58"/>
        <v>514713302.49440002</v>
      </c>
      <c r="BG45" s="26">
        <f t="shared" si="58"/>
        <v>503417189.33279997</v>
      </c>
      <c r="BH45" s="26">
        <f t="shared" si="58"/>
        <v>512742944.7888</v>
      </c>
      <c r="BI45" s="26">
        <f t="shared" si="58"/>
        <v>482071414.93279999</v>
      </c>
      <c r="BJ45" s="26">
        <f t="shared" si="58"/>
        <v>469632412.06720001</v>
      </c>
      <c r="BK45" s="26">
        <f t="shared" si="58"/>
        <v>456940370.73199999</v>
      </c>
      <c r="BL45" s="26">
        <f t="shared" si="58"/>
        <v>448928939.28560001</v>
      </c>
      <c r="BM45" s="26">
        <f t="shared" si="58"/>
        <v>425767996.45679998</v>
      </c>
      <c r="BN45" s="26">
        <f t="shared" si="58"/>
        <v>417143450.60160005</v>
      </c>
      <c r="BO45" s="26">
        <f t="shared" ref="BO45:CJ45" si="59">BO70*BO69</f>
        <v>406028968.08720005</v>
      </c>
      <c r="BP45" s="26">
        <f t="shared" si="59"/>
        <v>396398453.56480002</v>
      </c>
      <c r="BQ45" s="26">
        <f t="shared" si="59"/>
        <v>376179450.62400001</v>
      </c>
      <c r="BR45" s="26">
        <f t="shared" si="59"/>
        <v>0</v>
      </c>
      <c r="BS45" s="26">
        <f t="shared" si="59"/>
        <v>350852465.73120004</v>
      </c>
      <c r="BT45" s="26">
        <f t="shared" si="59"/>
        <v>339089855.31999999</v>
      </c>
      <c r="BU45" s="26">
        <f t="shared" si="59"/>
        <v>255297295.91599998</v>
      </c>
      <c r="BV45" s="26">
        <f t="shared" si="59"/>
        <v>228024973.352</v>
      </c>
      <c r="BW45" s="26">
        <f t="shared" si="59"/>
        <v>193639949.31599998</v>
      </c>
      <c r="BX45" s="26">
        <f t="shared" si="59"/>
        <v>167175876.21600002</v>
      </c>
      <c r="BY45" s="26">
        <f t="shared" si="59"/>
        <v>141199217.4136</v>
      </c>
      <c r="BZ45" s="26">
        <f t="shared" si="59"/>
        <v>149169482.35680002</v>
      </c>
      <c r="CA45" s="26">
        <f t="shared" si="59"/>
        <v>31390782.2744</v>
      </c>
      <c r="CB45" s="26">
        <f t="shared" si="59"/>
        <v>21196670.336800002</v>
      </c>
      <c r="CC45" s="26">
        <f t="shared" si="59"/>
        <v>18077398.395999998</v>
      </c>
      <c r="CD45" s="26">
        <f t="shared" si="59"/>
        <v>0</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x14ac:dyDescent="0.25">
      <c r="A46" s="63" t="s">
        <v>422</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423</v>
      </c>
      <c r="B47" s="28">
        <f>B42-B45</f>
        <v>6290257572.5716</v>
      </c>
      <c r="C47" s="28">
        <f t="shared" ref="C47:BN47" si="62">C42-C45</f>
        <v>833289211.83640146</v>
      </c>
      <c r="D47" s="28">
        <f t="shared" si="62"/>
        <v>-1199652558.4032004</v>
      </c>
      <c r="E47" s="28">
        <f t="shared" si="62"/>
        <v>4565389182.0428028</v>
      </c>
      <c r="F47" s="28">
        <f t="shared" si="62"/>
        <v>2901978441.4295998</v>
      </c>
      <c r="G47" s="28">
        <f t="shared" si="62"/>
        <v>689007340.17040014</v>
      </c>
      <c r="H47" s="28">
        <f t="shared" si="62"/>
        <v>-596811680.44760084</v>
      </c>
      <c r="I47" s="28">
        <f t="shared" si="62"/>
        <v>5738234090.7280006</v>
      </c>
      <c r="J47" s="28">
        <f t="shared" si="62"/>
        <v>3213930718.2459993</v>
      </c>
      <c r="K47" s="28">
        <f t="shared" si="62"/>
        <v>1066068065.9140007</v>
      </c>
      <c r="L47" s="28">
        <f t="shared" si="62"/>
        <v>-500069177.26760101</v>
      </c>
      <c r="M47" s="28">
        <f t="shared" si="62"/>
        <v>4389909697.3239965</v>
      </c>
      <c r="N47" s="28">
        <f t="shared" si="62"/>
        <v>2397296276.3031993</v>
      </c>
      <c r="O47" s="28">
        <f t="shared" si="62"/>
        <v>963841563.91239977</v>
      </c>
      <c r="P47" s="28">
        <f t="shared" si="62"/>
        <v>-241881461.16880012</v>
      </c>
      <c r="Q47" s="28">
        <f t="shared" si="62"/>
        <v>3461258311.1991997</v>
      </c>
      <c r="R47" s="28">
        <f t="shared" si="62"/>
        <v>1675609446.8411999</v>
      </c>
      <c r="S47" s="28">
        <f t="shared" si="62"/>
        <v>581201797.83760035</v>
      </c>
      <c r="T47" s="28">
        <f t="shared" si="62"/>
        <v>-260212141.76440001</v>
      </c>
      <c r="U47" s="28">
        <f t="shared" si="62"/>
        <v>2152002754.9900002</v>
      </c>
      <c r="V47" s="28">
        <f t="shared" si="62"/>
        <v>972360779.41359949</v>
      </c>
      <c r="W47" s="28">
        <f t="shared" si="62"/>
        <v>263096583.87200022</v>
      </c>
      <c r="X47" s="28">
        <f t="shared" si="62"/>
        <v>-278539322.41039985</v>
      </c>
      <c r="Y47" s="28">
        <f t="shared" si="62"/>
        <v>1441002619.6804004</v>
      </c>
      <c r="Z47" s="28">
        <f t="shared" si="62"/>
        <v>624614448.03879976</v>
      </c>
      <c r="AA47" s="28">
        <f t="shared" si="62"/>
        <v>161846528.96559942</v>
      </c>
      <c r="AB47" s="28">
        <f t="shared" si="62"/>
        <v>-224022252.21320009</v>
      </c>
      <c r="AC47" s="28">
        <f t="shared" si="62"/>
        <v>916226940.97160065</v>
      </c>
      <c r="AD47" s="28">
        <f t="shared" si="62"/>
        <v>377545491.41360003</v>
      </c>
      <c r="AE47" s="28">
        <f t="shared" si="62"/>
        <v>60958715.976000249</v>
      </c>
      <c r="AF47" s="28">
        <f t="shared" si="62"/>
        <v>-211512410.35560006</v>
      </c>
      <c r="AG47" s="28">
        <f t="shared" si="62"/>
        <v>591929759.03239989</v>
      </c>
      <c r="AH47" s="28">
        <f t="shared" si="62"/>
        <v>238409806.18960029</v>
      </c>
      <c r="AI47" s="28">
        <f t="shared" si="62"/>
        <v>-21671067.107600152</v>
      </c>
      <c r="AJ47" s="28">
        <f t="shared" si="62"/>
        <v>69751011.285599947</v>
      </c>
      <c r="AK47" s="28">
        <f t="shared" si="62"/>
        <v>586760181.9763999</v>
      </c>
      <c r="AL47" s="28">
        <f t="shared" si="62"/>
        <v>396752255.71599978</v>
      </c>
      <c r="AM47" s="28">
        <f t="shared" si="62"/>
        <v>203695155.83079994</v>
      </c>
      <c r="AN47" s="28">
        <f t="shared" si="62"/>
        <v>135712078.41</v>
      </c>
      <c r="AO47" s="28">
        <f t="shared" si="62"/>
        <v>549100997.6500001</v>
      </c>
      <c r="AP47" s="28">
        <f t="shared" si="62"/>
        <v>365241349.77999997</v>
      </c>
      <c r="AQ47" s="28">
        <f t="shared" si="62"/>
        <v>0</v>
      </c>
      <c r="AR47" s="28">
        <f t="shared" si="62"/>
        <v>-1171558509.1084001</v>
      </c>
      <c r="AS47" s="28">
        <f t="shared" si="62"/>
        <v>-1380234212.0735998</v>
      </c>
      <c r="AT47" s="28">
        <f t="shared" si="62"/>
        <v>-1365523001.1691999</v>
      </c>
      <c r="AU47" s="28">
        <f t="shared" si="62"/>
        <v>-1269565389.4956</v>
      </c>
      <c r="AV47" s="28">
        <f t="shared" si="62"/>
        <v>-1094636149.8116</v>
      </c>
      <c r="AW47" s="28">
        <f t="shared" si="62"/>
        <v>-1214450063.3312001</v>
      </c>
      <c r="AX47" s="28">
        <f t="shared" si="62"/>
        <v>-1148538939.4868002</v>
      </c>
      <c r="AY47" s="28">
        <f t="shared" si="62"/>
        <v>-1029093452.312</v>
      </c>
      <c r="AZ47" s="28">
        <f t="shared" si="62"/>
        <v>-912708678.76999998</v>
      </c>
      <c r="BA47" s="28">
        <f t="shared" si="62"/>
        <v>-966476645.33319998</v>
      </c>
      <c r="BB47" s="28">
        <f t="shared" si="62"/>
        <v>-965766447.68720007</v>
      </c>
      <c r="BC47" s="28">
        <f t="shared" si="62"/>
        <v>-905480197.47199988</v>
      </c>
      <c r="BD47" s="28">
        <f t="shared" si="62"/>
        <v>-792737615.93959999</v>
      </c>
      <c r="BE47" s="28">
        <f t="shared" si="62"/>
        <v>-942028467.71160007</v>
      </c>
      <c r="BF47" s="28">
        <f t="shared" si="62"/>
        <v>-856598894.06439996</v>
      </c>
      <c r="BG47" s="28">
        <f t="shared" si="62"/>
        <v>-770285781.60280001</v>
      </c>
      <c r="BH47" s="28">
        <f t="shared" si="62"/>
        <v>-703335824.93879998</v>
      </c>
      <c r="BI47" s="28">
        <f t="shared" si="62"/>
        <v>-837715071.78279996</v>
      </c>
      <c r="BJ47" s="28">
        <f t="shared" si="62"/>
        <v>-761129027.17720008</v>
      </c>
      <c r="BK47" s="28">
        <f t="shared" si="62"/>
        <v>-694810452.53199995</v>
      </c>
      <c r="BL47" s="28">
        <f t="shared" si="62"/>
        <v>-653614035.78559995</v>
      </c>
      <c r="BM47" s="28">
        <f t="shared" si="62"/>
        <v>-648980937.67680001</v>
      </c>
      <c r="BN47" s="28">
        <f t="shared" si="62"/>
        <v>-584316686.89160001</v>
      </c>
      <c r="BO47" s="28">
        <f t="shared" ref="BO47:CJ47" si="63">BO42-BO45</f>
        <v>-519580365.63720006</v>
      </c>
      <c r="BP47" s="28">
        <f t="shared" si="63"/>
        <v>-510447612.64480001</v>
      </c>
      <c r="BQ47" s="28">
        <f t="shared" si="63"/>
        <v>-455184205.68400002</v>
      </c>
      <c r="BR47" s="28">
        <f t="shared" si="63"/>
        <v>-147870000</v>
      </c>
      <c r="BS47" s="28">
        <f t="shared" si="63"/>
        <v>-503831715.28120005</v>
      </c>
      <c r="BT47" s="28">
        <f t="shared" si="63"/>
        <v>-467102018.77999997</v>
      </c>
      <c r="BU47" s="28">
        <f t="shared" si="63"/>
        <v>-477454430.35599995</v>
      </c>
      <c r="BV47" s="28">
        <f t="shared" si="63"/>
        <v>-515936318.05199999</v>
      </c>
      <c r="BW47" s="28">
        <f t="shared" si="63"/>
        <v>-481982388.18599999</v>
      </c>
      <c r="BX47" s="28">
        <f t="shared" si="63"/>
        <v>-224236423.546</v>
      </c>
      <c r="BY47" s="28">
        <f t="shared" si="63"/>
        <v>-358986056.90359998</v>
      </c>
      <c r="BZ47" s="28">
        <f t="shared" si="63"/>
        <v>-189968023.31680003</v>
      </c>
      <c r="CA47" s="28">
        <f t="shared" si="63"/>
        <v>-211328042.74439999</v>
      </c>
      <c r="CB47" s="28">
        <f t="shared" si="63"/>
        <v>-165479246.60680002</v>
      </c>
      <c r="CC47" s="28">
        <f t="shared" si="63"/>
        <v>-137330018.646</v>
      </c>
      <c r="CD47" s="28">
        <f t="shared" si="63"/>
        <v>0</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90">
        <v>20180930</v>
      </c>
      <c r="C51" s="190">
        <v>20180630</v>
      </c>
      <c r="D51" s="190">
        <v>20180331</v>
      </c>
      <c r="E51" s="190">
        <v>20171231</v>
      </c>
      <c r="F51" s="190">
        <v>20170930</v>
      </c>
      <c r="G51" s="190">
        <v>20170630</v>
      </c>
      <c r="H51" s="190">
        <v>20170331</v>
      </c>
      <c r="I51" s="190">
        <v>20161231</v>
      </c>
      <c r="J51" s="190">
        <v>20160930</v>
      </c>
      <c r="K51" s="190">
        <v>20160630</v>
      </c>
      <c r="L51" s="190">
        <v>20160331</v>
      </c>
      <c r="M51" s="190">
        <v>20151231</v>
      </c>
      <c r="N51" s="190">
        <v>20150930</v>
      </c>
      <c r="O51" s="190">
        <v>20150630</v>
      </c>
      <c r="P51" s="190">
        <v>20150331</v>
      </c>
      <c r="Q51" s="190">
        <v>20141231</v>
      </c>
      <c r="R51" s="190">
        <v>20140930</v>
      </c>
      <c r="S51" s="190">
        <v>20140630</v>
      </c>
      <c r="T51" s="190">
        <v>20140331</v>
      </c>
      <c r="U51" s="190">
        <v>20131231</v>
      </c>
      <c r="V51" s="190">
        <v>20130930</v>
      </c>
      <c r="W51" s="190">
        <v>20130630</v>
      </c>
      <c r="X51" s="190">
        <v>20130331</v>
      </c>
      <c r="Y51" s="190">
        <v>20121231</v>
      </c>
      <c r="Z51" s="190">
        <v>20120930</v>
      </c>
      <c r="AA51" s="190">
        <v>20120630</v>
      </c>
      <c r="AB51" s="190">
        <v>20120331</v>
      </c>
      <c r="AC51" s="190">
        <v>20111231</v>
      </c>
      <c r="AD51" s="190">
        <v>20110930</v>
      </c>
      <c r="AE51" s="190">
        <v>20110630</v>
      </c>
      <c r="AF51" s="190">
        <v>20110331</v>
      </c>
      <c r="AG51" s="190">
        <v>20101231</v>
      </c>
      <c r="AH51" s="190">
        <v>20100930</v>
      </c>
      <c r="AI51" s="190">
        <v>20100630</v>
      </c>
      <c r="AJ51" s="190">
        <v>20100331</v>
      </c>
      <c r="AK51" s="190">
        <v>20091231</v>
      </c>
      <c r="AL51" s="190">
        <v>20090930</v>
      </c>
      <c r="AM51" s="190">
        <v>20090630</v>
      </c>
      <c r="AN51" s="190">
        <v>20090331</v>
      </c>
      <c r="AO51" s="190">
        <v>20081231</v>
      </c>
      <c r="AP51" s="190">
        <v>20071231</v>
      </c>
      <c r="AQ51" s="190">
        <v>19700101</v>
      </c>
      <c r="AR51" s="190">
        <v>20080331</v>
      </c>
      <c r="AS51" s="190">
        <v>20071231</v>
      </c>
      <c r="AT51" s="190">
        <v>20070930</v>
      </c>
      <c r="AU51" s="190">
        <v>20070630</v>
      </c>
      <c r="AV51" s="190">
        <v>20070331</v>
      </c>
      <c r="AW51" s="190">
        <v>20061231</v>
      </c>
      <c r="AX51" s="190">
        <v>20060930</v>
      </c>
      <c r="AY51" s="190">
        <v>20060630</v>
      </c>
      <c r="AZ51" s="190">
        <v>20060331</v>
      </c>
      <c r="BA51" s="190">
        <v>20051231</v>
      </c>
      <c r="BB51" s="190">
        <v>20050930</v>
      </c>
      <c r="BC51" s="190">
        <v>20050630</v>
      </c>
      <c r="BD51" s="190">
        <v>20050331</v>
      </c>
      <c r="BE51" s="190">
        <v>20041231</v>
      </c>
      <c r="BF51" s="190">
        <v>20040930</v>
      </c>
      <c r="BG51" s="190">
        <v>20040630</v>
      </c>
      <c r="BH51" s="190">
        <v>20040331</v>
      </c>
      <c r="BI51" s="190">
        <v>20031231</v>
      </c>
      <c r="BJ51" s="190">
        <v>20030930</v>
      </c>
      <c r="BK51" s="190">
        <v>20030630</v>
      </c>
      <c r="BL51" s="190">
        <v>20030331</v>
      </c>
      <c r="BM51" s="190">
        <v>20021231</v>
      </c>
      <c r="BN51" s="190">
        <v>20020930</v>
      </c>
      <c r="BO51" s="190">
        <v>20020630</v>
      </c>
      <c r="BP51" s="190">
        <v>20020331</v>
      </c>
      <c r="BQ51" s="190">
        <v>20011231</v>
      </c>
      <c r="BR51" s="190">
        <v>20010930</v>
      </c>
      <c r="BS51" s="190">
        <v>20010630</v>
      </c>
      <c r="BT51" s="190">
        <v>20010331</v>
      </c>
      <c r="BU51" s="190">
        <v>20001231</v>
      </c>
      <c r="BV51" s="190">
        <v>20000630</v>
      </c>
      <c r="BW51" s="190">
        <v>19991231</v>
      </c>
      <c r="BX51" s="190">
        <v>19990630</v>
      </c>
      <c r="BY51" s="190">
        <v>19981231</v>
      </c>
      <c r="BZ51" s="190">
        <v>19980630</v>
      </c>
      <c r="CA51" s="190">
        <v>19971231</v>
      </c>
      <c r="CB51" s="190">
        <v>19961231</v>
      </c>
      <c r="CC51" s="190">
        <v>19951231</v>
      </c>
      <c r="CD51" s="190">
        <v>19700101</v>
      </c>
      <c r="CE51" s="190">
        <v>19941231</v>
      </c>
      <c r="CF51" s="190">
        <v>19940630</v>
      </c>
      <c r="CG51" s="190">
        <v>19930630</v>
      </c>
      <c r="CH51" s="190">
        <v>19921231</v>
      </c>
      <c r="CI51" s="190">
        <v>19911231</v>
      </c>
      <c r="CJ51" s="190">
        <v>19901231</v>
      </c>
      <c r="CK51" s="190">
        <v>19700101</v>
      </c>
    </row>
    <row r="52" spans="1:89" s="43" customFormat="1" x14ac:dyDescent="0.25">
      <c r="A52" s="131" t="s">
        <v>572</v>
      </c>
      <c r="B52" s="42">
        <v>-25636</v>
      </c>
      <c r="C52" s="42">
        <v>-27718</v>
      </c>
      <c r="D52" s="42">
        <v>-35317</v>
      </c>
      <c r="E52" s="42">
        <v>-270155908.14999998</v>
      </c>
      <c r="F52" s="42">
        <v>-34414</v>
      </c>
      <c r="G52" s="42">
        <v>-23309</v>
      </c>
      <c r="H52" s="42">
        <v>-16814</v>
      </c>
      <c r="I52" s="42">
        <v>184541375.93000001</v>
      </c>
      <c r="J52" s="42"/>
      <c r="K52" s="42"/>
      <c r="M52" s="43">
        <v>-159433094.75999999</v>
      </c>
      <c r="Q52" s="43">
        <v>-154426330.33000001</v>
      </c>
      <c r="U52" s="43">
        <v>-116552958.23999999</v>
      </c>
      <c r="Y52" s="43">
        <v>-76967258.840000004</v>
      </c>
      <c r="AC52" s="43">
        <v>-104549495.51000001</v>
      </c>
      <c r="AG52" s="43">
        <v>-30815131.93</v>
      </c>
    </row>
    <row r="53" spans="1:89" s="43" customFormat="1" x14ac:dyDescent="0.25">
      <c r="A53" s="132" t="s">
        <v>90</v>
      </c>
      <c r="B53" s="42">
        <v>217</v>
      </c>
      <c r="C53" s="42">
        <v>189</v>
      </c>
      <c r="D53" s="42"/>
      <c r="E53" s="42">
        <v>144540387.41999999</v>
      </c>
      <c r="F53" s="42"/>
      <c r="G53" s="42"/>
      <c r="H53" s="42"/>
      <c r="I53" s="42">
        <v>143818481.09</v>
      </c>
      <c r="J53" s="42"/>
      <c r="K53" s="42"/>
      <c r="M53" s="43">
        <v>44359075.380000003</v>
      </c>
      <c r="Q53" s="43">
        <v>26240984.809999999</v>
      </c>
      <c r="U53" s="43">
        <v>2102309.64</v>
      </c>
      <c r="Y53" s="43">
        <v>199500</v>
      </c>
      <c r="AC53" s="43">
        <v>1439217.45</v>
      </c>
      <c r="AD53" s="42"/>
      <c r="AE53" s="42"/>
      <c r="AF53" s="42"/>
      <c r="AG53" s="42">
        <v>1999949.55</v>
      </c>
      <c r="AH53" s="42"/>
      <c r="AI53" s="42"/>
      <c r="AJ53" s="42"/>
      <c r="AK53" s="42"/>
      <c r="AL53" s="42"/>
      <c r="AM53" s="42"/>
      <c r="AN53" s="42"/>
      <c r="AO53" s="42"/>
      <c r="AP53" s="42"/>
      <c r="AQ53" s="42"/>
      <c r="AR53" s="42"/>
      <c r="AS53" s="42"/>
      <c r="AT53" s="42"/>
      <c r="AU53" s="42"/>
      <c r="AV53" s="42"/>
      <c r="AW53" s="42"/>
      <c r="AX53" s="42"/>
      <c r="AY53" s="42"/>
      <c r="AZ53" s="42"/>
      <c r="BA53" s="42"/>
      <c r="BB53" s="42"/>
      <c r="BC53" s="42"/>
      <c r="BD53" s="42"/>
      <c r="BE53" s="42"/>
      <c r="BF53" s="42"/>
      <c r="BG53" s="42"/>
      <c r="BH53" s="42"/>
      <c r="BI53" s="42"/>
      <c r="BJ53" s="42"/>
      <c r="BK53" s="42"/>
      <c r="BL53" s="42"/>
      <c r="BM53" s="42"/>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2" t="s">
        <v>91</v>
      </c>
      <c r="B54" s="42">
        <v>3104</v>
      </c>
      <c r="C54" s="42">
        <v>-1424</v>
      </c>
      <c r="D54" s="42">
        <v>-340</v>
      </c>
      <c r="E54" s="42">
        <v>685439581.63</v>
      </c>
      <c r="F54" s="42">
        <v>2684</v>
      </c>
      <c r="G54" s="42">
        <v>-377</v>
      </c>
      <c r="H54" s="42">
        <v>1008</v>
      </c>
      <c r="I54" s="42">
        <v>-301689249.60000002</v>
      </c>
      <c r="J54" s="42"/>
      <c r="K54" s="42"/>
      <c r="M54" s="43">
        <v>-86990601.689999998</v>
      </c>
      <c r="Q54" s="43">
        <v>8256139.3099999996</v>
      </c>
      <c r="U54" s="43">
        <v>22968985.18</v>
      </c>
      <c r="Y54" s="43">
        <v>1751168.37</v>
      </c>
      <c r="AC54" s="43">
        <v>21168868.579999998</v>
      </c>
      <c r="AG54" s="43">
        <v>7616701.8600000003</v>
      </c>
    </row>
    <row r="55" spans="1:89" s="43" customFormat="1" x14ac:dyDescent="0.25">
      <c r="A55" s="132" t="s">
        <v>92</v>
      </c>
      <c r="B55" s="42">
        <v>463</v>
      </c>
      <c r="C55" s="42">
        <v>603</v>
      </c>
      <c r="D55" s="42">
        <v>653</v>
      </c>
      <c r="E55" s="42">
        <v>17358738.670000002</v>
      </c>
      <c r="F55" s="42">
        <v>1204</v>
      </c>
      <c r="G55" s="42">
        <v>868</v>
      </c>
      <c r="H55" s="42">
        <v>644</v>
      </c>
      <c r="I55" s="42">
        <v>12106577.32</v>
      </c>
      <c r="J55" s="42"/>
      <c r="K55" s="42"/>
      <c r="M55" s="43">
        <v>17693430.420000002</v>
      </c>
      <c r="Q55" s="43">
        <v>9193907.9199999999</v>
      </c>
      <c r="U55" s="43">
        <v>4923801.58</v>
      </c>
      <c r="Y55" s="43">
        <v>3292427.32</v>
      </c>
      <c r="AC55" s="43">
        <v>2653275.4300000002</v>
      </c>
      <c r="AG55" s="43">
        <v>2189682.27</v>
      </c>
    </row>
    <row r="56" spans="1:89" s="26" customFormat="1" x14ac:dyDescent="0.25">
      <c r="A56" s="133" t="s">
        <v>93</v>
      </c>
      <c r="B56" s="44">
        <f>SUM(B52:B55)</f>
        <v>-21852</v>
      </c>
      <c r="C56" s="44">
        <f t="shared" ref="C56:D56" si="64">SUM(C52:C55)</f>
        <v>-28350</v>
      </c>
      <c r="D56" s="44">
        <f t="shared" si="64"/>
        <v>-35004</v>
      </c>
      <c r="E56" s="44">
        <f>SUM(E52:E55)</f>
        <v>577182799.56999993</v>
      </c>
      <c r="F56" s="44">
        <f t="shared" ref="F56:BQ56" si="65">SUM(F52:F55)</f>
        <v>-30526</v>
      </c>
      <c r="G56" s="44">
        <f t="shared" si="65"/>
        <v>-22818</v>
      </c>
      <c r="H56" s="44">
        <f t="shared" si="65"/>
        <v>-15162</v>
      </c>
      <c r="I56" s="44">
        <f t="shared" si="65"/>
        <v>38777184.739999957</v>
      </c>
      <c r="J56" s="44">
        <f t="shared" si="65"/>
        <v>0</v>
      </c>
      <c r="K56" s="44">
        <f t="shared" si="65"/>
        <v>0</v>
      </c>
      <c r="L56" s="44">
        <f t="shared" si="65"/>
        <v>0</v>
      </c>
      <c r="M56" s="44">
        <f t="shared" si="65"/>
        <v>-184371190.64999998</v>
      </c>
      <c r="N56" s="44">
        <f t="shared" si="65"/>
        <v>0</v>
      </c>
      <c r="O56" s="44">
        <f t="shared" si="65"/>
        <v>0</v>
      </c>
      <c r="P56" s="44">
        <f t="shared" si="65"/>
        <v>0</v>
      </c>
      <c r="Q56" s="44">
        <f t="shared" si="65"/>
        <v>-110735298.29000001</v>
      </c>
      <c r="R56" s="44">
        <f t="shared" si="65"/>
        <v>0</v>
      </c>
      <c r="S56" s="44">
        <f t="shared" si="65"/>
        <v>0</v>
      </c>
      <c r="T56" s="44">
        <f t="shared" si="65"/>
        <v>0</v>
      </c>
      <c r="U56" s="44">
        <f t="shared" si="65"/>
        <v>-86557861.839999989</v>
      </c>
      <c r="V56" s="44">
        <f t="shared" si="65"/>
        <v>0</v>
      </c>
      <c r="W56" s="44">
        <f t="shared" si="65"/>
        <v>0</v>
      </c>
      <c r="X56" s="44">
        <f t="shared" si="65"/>
        <v>0</v>
      </c>
      <c r="Y56" s="44">
        <f t="shared" si="65"/>
        <v>-71724163.150000006</v>
      </c>
      <c r="Z56" s="44">
        <f t="shared" si="65"/>
        <v>0</v>
      </c>
      <c r="AA56" s="44">
        <f t="shared" si="65"/>
        <v>0</v>
      </c>
      <c r="AB56" s="44">
        <f t="shared" si="65"/>
        <v>0</v>
      </c>
      <c r="AC56" s="44">
        <f t="shared" si="65"/>
        <v>-79288134.049999997</v>
      </c>
      <c r="AD56" s="44">
        <f t="shared" si="65"/>
        <v>0</v>
      </c>
      <c r="AE56" s="44">
        <f t="shared" si="65"/>
        <v>0</v>
      </c>
      <c r="AF56" s="44">
        <f t="shared" si="65"/>
        <v>0</v>
      </c>
      <c r="AG56" s="44">
        <f t="shared" si="65"/>
        <v>-19008798.25</v>
      </c>
      <c r="AH56" s="44">
        <f t="shared" si="65"/>
        <v>0</v>
      </c>
      <c r="AI56" s="44">
        <f t="shared" si="65"/>
        <v>0</v>
      </c>
      <c r="AJ56" s="44">
        <f t="shared" si="65"/>
        <v>0</v>
      </c>
      <c r="AK56" s="44">
        <f t="shared" si="65"/>
        <v>0</v>
      </c>
      <c r="AL56" s="44">
        <f t="shared" si="65"/>
        <v>0</v>
      </c>
      <c r="AM56" s="44">
        <f t="shared" si="65"/>
        <v>0</v>
      </c>
      <c r="AN56" s="44">
        <f t="shared" si="65"/>
        <v>0</v>
      </c>
      <c r="AO56" s="44">
        <f t="shared" si="65"/>
        <v>0</v>
      </c>
      <c r="AP56" s="44">
        <f t="shared" si="65"/>
        <v>0</v>
      </c>
      <c r="AQ56" s="44">
        <f t="shared" si="65"/>
        <v>0</v>
      </c>
      <c r="AR56" s="44">
        <f t="shared" si="65"/>
        <v>0</v>
      </c>
      <c r="AS56" s="44">
        <f t="shared" si="65"/>
        <v>0</v>
      </c>
      <c r="AT56" s="44">
        <f t="shared" si="65"/>
        <v>0</v>
      </c>
      <c r="AU56" s="44">
        <f t="shared" si="65"/>
        <v>0</v>
      </c>
      <c r="AV56" s="44">
        <f t="shared" si="65"/>
        <v>0</v>
      </c>
      <c r="AW56" s="44">
        <f t="shared" si="65"/>
        <v>0</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4" t="s">
        <v>97</v>
      </c>
    </row>
    <row r="59" spans="1:89" x14ac:dyDescent="0.25">
      <c r="A59" s="22" t="s">
        <v>96</v>
      </c>
      <c r="B59" s="190">
        <v>7347690147.9200001</v>
      </c>
      <c r="C59" s="190">
        <v>4107586112.8200002</v>
      </c>
      <c r="D59" s="190">
        <v>1782288185.3599999</v>
      </c>
      <c r="E59" s="190">
        <v>9377501639.8199997</v>
      </c>
      <c r="F59" s="190">
        <v>6121120998.71</v>
      </c>
      <c r="G59" s="190">
        <v>3275931652.25</v>
      </c>
      <c r="H59" s="190">
        <v>1480409898.02</v>
      </c>
      <c r="I59" s="190">
        <v>7420273140.4399996</v>
      </c>
      <c r="J59" s="190">
        <v>4848344167.8500004</v>
      </c>
      <c r="K59" s="190">
        <v>2610201933.2600002</v>
      </c>
      <c r="L59" s="190">
        <v>1140518223.8499999</v>
      </c>
      <c r="M59" s="190">
        <v>5882397844.6999998</v>
      </c>
      <c r="N59" s="190">
        <v>3782900374.5799999</v>
      </c>
      <c r="O59" s="190">
        <v>2218090241.8899999</v>
      </c>
      <c r="P59" s="190">
        <v>1046539308.15</v>
      </c>
      <c r="Q59" s="190">
        <v>4680701236.6599998</v>
      </c>
      <c r="R59" s="190">
        <v>2721216782.4899998</v>
      </c>
      <c r="S59" s="190">
        <v>1529237985.72</v>
      </c>
      <c r="T59" s="190">
        <v>691255252.45000005</v>
      </c>
      <c r="U59" s="190">
        <v>3077052948.5599999</v>
      </c>
      <c r="V59" s="190">
        <v>1765205930.6500001</v>
      </c>
      <c r="W59" s="190">
        <v>991589668.41999996</v>
      </c>
      <c r="X59" s="190">
        <v>451589853.04000002</v>
      </c>
      <c r="Y59" s="190">
        <v>2140426340.48</v>
      </c>
      <c r="Z59" s="190">
        <v>1242796457.3399999</v>
      </c>
      <c r="AA59" s="190">
        <v>732409646.09000003</v>
      </c>
      <c r="AB59" s="190">
        <v>348376491.51999998</v>
      </c>
      <c r="AC59" s="190">
        <v>1482482923.78</v>
      </c>
      <c r="AD59" s="190">
        <v>872115546.75999999</v>
      </c>
      <c r="AE59" s="190">
        <v>529708034.66000003</v>
      </c>
      <c r="AF59" s="190">
        <v>260847032.61000001</v>
      </c>
      <c r="AG59" s="190">
        <v>1052375236.76</v>
      </c>
      <c r="AH59" s="190">
        <v>656690373.09000003</v>
      </c>
      <c r="AI59" s="190">
        <v>374310915.18000001</v>
      </c>
      <c r="AJ59" s="190">
        <v>205376018.59999999</v>
      </c>
      <c r="AK59" s="190">
        <v>706019508.67999995</v>
      </c>
      <c r="AL59" s="190">
        <v>475169531.13999999</v>
      </c>
      <c r="AM59" s="190">
        <v>247247519.71000001</v>
      </c>
      <c r="AN59" s="190">
        <v>135712078.41</v>
      </c>
      <c r="AO59" s="190">
        <v>548723165.05999994</v>
      </c>
      <c r="AP59" s="190">
        <v>364512385.42000002</v>
      </c>
      <c r="AQ59" s="190">
        <v>0</v>
      </c>
      <c r="AR59" s="190">
        <v>1015707693.3099999</v>
      </c>
      <c r="AS59" s="190">
        <v>1472784098.4200001</v>
      </c>
      <c r="AT59" s="190">
        <v>1326845730.0799999</v>
      </c>
      <c r="AU59" s="190">
        <v>1145272727.9100001</v>
      </c>
      <c r="AV59" s="190">
        <v>745206726.03999996</v>
      </c>
      <c r="AW59" s="190">
        <v>1179340016.0999999</v>
      </c>
      <c r="AX59" s="190">
        <v>1023357815.7</v>
      </c>
      <c r="AY59" s="190">
        <v>822921865.61000001</v>
      </c>
      <c r="AZ59" s="190">
        <v>548815529.96000004</v>
      </c>
      <c r="BA59" s="190">
        <v>799007076.76999998</v>
      </c>
      <c r="BB59" s="190">
        <v>773754249.82000005</v>
      </c>
      <c r="BC59" s="190">
        <v>592464063.88</v>
      </c>
      <c r="BD59" s="190">
        <v>416503687.60000002</v>
      </c>
      <c r="BE59" s="190">
        <v>829759695.11000001</v>
      </c>
      <c r="BF59" s="190">
        <v>679164074.51999998</v>
      </c>
      <c r="BG59" s="190">
        <v>537962660</v>
      </c>
      <c r="BH59" s="190">
        <v>383394123.19999999</v>
      </c>
      <c r="BI59" s="190">
        <v>703792730.94000006</v>
      </c>
      <c r="BJ59" s="190">
        <v>548305195.13</v>
      </c>
      <c r="BK59" s="190">
        <v>389654678.44</v>
      </c>
      <c r="BL59" s="190">
        <v>289511785.36000001</v>
      </c>
      <c r="BM59" s="190">
        <v>618984667.90999997</v>
      </c>
      <c r="BN59" s="190">
        <v>511693618.56</v>
      </c>
      <c r="BO59" s="190">
        <v>373562587.13</v>
      </c>
      <c r="BP59" s="190">
        <v>253237536.75999999</v>
      </c>
      <c r="BQ59" s="190">
        <v>816316516.73000002</v>
      </c>
      <c r="BR59" s="190">
        <v>650310000</v>
      </c>
      <c r="BS59" s="190">
        <v>478983205.56999999</v>
      </c>
      <c r="BT59" s="190">
        <v>281830575.43000001</v>
      </c>
      <c r="BU59" s="190">
        <v>768216832.5</v>
      </c>
      <c r="BV59" s="190">
        <v>429812800.44999999</v>
      </c>
      <c r="BW59" s="190">
        <v>649021962.89999998</v>
      </c>
      <c r="BX59" s="190">
        <v>317076251.63999999</v>
      </c>
      <c r="BY59" s="190">
        <v>553291095.09000003</v>
      </c>
      <c r="BZ59" s="190">
        <v>252919406.88</v>
      </c>
      <c r="CA59" s="190">
        <v>341298375.86000001</v>
      </c>
      <c r="CB59" s="190">
        <v>259939328.41</v>
      </c>
      <c r="CC59" s="190">
        <v>216927477.38</v>
      </c>
      <c r="CD59" s="190">
        <v>0</v>
      </c>
      <c r="CE59" s="190">
        <v>162135000</v>
      </c>
      <c r="CF59" s="190">
        <v>90056788.769999996</v>
      </c>
      <c r="CG59" s="190">
        <v>54430000</v>
      </c>
      <c r="CH59" s="190">
        <v>80440000</v>
      </c>
      <c r="CI59" s="190">
        <v>58950000</v>
      </c>
      <c r="CJ59" s="190">
        <v>67670000</v>
      </c>
      <c r="CK59" s="190">
        <v>0</v>
      </c>
    </row>
    <row r="60" spans="1:89" x14ac:dyDescent="0.25">
      <c r="A60" s="22" t="s">
        <v>95</v>
      </c>
      <c r="B60" s="190">
        <v>836093959.57000005</v>
      </c>
      <c r="C60" s="190">
        <v>665802758.48000002</v>
      </c>
      <c r="D60" s="190">
        <v>373754038.72000003</v>
      </c>
      <c r="E60" s="190">
        <v>1109318842.54</v>
      </c>
      <c r="F60" s="190">
        <v>662436664.13999999</v>
      </c>
      <c r="G60" s="190">
        <v>568658390.85000002</v>
      </c>
      <c r="H60" s="190">
        <v>318461864.25</v>
      </c>
      <c r="I60" s="190">
        <v>889905208.07000005</v>
      </c>
      <c r="J60" s="190">
        <v>507470567.58999997</v>
      </c>
      <c r="K60" s="190">
        <v>432531976.11000001</v>
      </c>
      <c r="L60" s="190">
        <v>243921948.30000001</v>
      </c>
      <c r="M60" s="190">
        <v>867643887.69000006</v>
      </c>
      <c r="N60" s="190">
        <v>654171637.72000003</v>
      </c>
      <c r="O60" s="190">
        <v>399902720.24000001</v>
      </c>
      <c r="P60" s="190">
        <v>185766813.56</v>
      </c>
      <c r="Q60" s="190">
        <v>525641134.11000001</v>
      </c>
      <c r="R60" s="190">
        <v>371922648.92000002</v>
      </c>
      <c r="S60" s="190">
        <v>178940192.94999999</v>
      </c>
      <c r="T60" s="190">
        <v>86794286.390000001</v>
      </c>
      <c r="U60" s="190">
        <v>308901393.86000001</v>
      </c>
      <c r="V60" s="190">
        <v>271661533.05000001</v>
      </c>
      <c r="W60" s="190">
        <v>131592155.44</v>
      </c>
      <c r="X60" s="190">
        <v>78501175.870000005</v>
      </c>
      <c r="Y60" s="190">
        <v>173179307.22</v>
      </c>
      <c r="Z60" s="190">
        <v>208618911.93000001</v>
      </c>
      <c r="AA60" s="190">
        <v>114194275.28</v>
      </c>
      <c r="AB60" s="190">
        <v>57281341.229999997</v>
      </c>
      <c r="AC60" s="190">
        <v>244886638</v>
      </c>
      <c r="AD60" s="190">
        <v>142472978.86000001</v>
      </c>
      <c r="AE60" s="190">
        <v>77813886.409999996</v>
      </c>
      <c r="AF60" s="190">
        <v>46600043.049999997</v>
      </c>
      <c r="AG60" s="190">
        <v>90526869.439999998</v>
      </c>
      <c r="AH60" s="190">
        <v>95598052.280000001</v>
      </c>
      <c r="AI60" s="190">
        <v>52745278.210000001</v>
      </c>
      <c r="AJ60" s="190">
        <v>34700901.289999999</v>
      </c>
      <c r="AK60" s="190">
        <v>60192545.530000001</v>
      </c>
      <c r="AL60" s="190">
        <v>59493832.07</v>
      </c>
      <c r="AM60" s="190">
        <v>47438522.100000001</v>
      </c>
      <c r="AN60" s="190">
        <v>12435929.550000001</v>
      </c>
      <c r="AO60" s="190">
        <v>56070981.439999998</v>
      </c>
      <c r="AP60" s="190">
        <v>25870760.129999999</v>
      </c>
      <c r="AQ60" s="190">
        <v>0</v>
      </c>
      <c r="AR60" s="190">
        <v>335817684.24000001</v>
      </c>
      <c r="AS60" s="190">
        <v>705562448.80999994</v>
      </c>
      <c r="AT60" s="190">
        <v>648250833.24000001</v>
      </c>
      <c r="AU60" s="190">
        <v>561779303.77999997</v>
      </c>
      <c r="AV60" s="190">
        <v>374547042.32999998</v>
      </c>
      <c r="AW60" s="190">
        <v>606385627.26999998</v>
      </c>
      <c r="AX60" s="190">
        <v>526228001.63</v>
      </c>
      <c r="AY60" s="190">
        <v>420222252.99000001</v>
      </c>
      <c r="AZ60" s="190">
        <v>280943626.88999999</v>
      </c>
      <c r="BA60" s="190">
        <v>396902090.45999998</v>
      </c>
      <c r="BB60" s="190">
        <v>383849839.51999998</v>
      </c>
      <c r="BC60" s="190">
        <v>336122195.32999998</v>
      </c>
      <c r="BD60" s="190">
        <v>238518321.50999999</v>
      </c>
      <c r="BE60" s="190">
        <v>441401360.93000001</v>
      </c>
      <c r="BF60" s="190">
        <v>355010263.50999999</v>
      </c>
      <c r="BG60" s="190">
        <v>278320628.12</v>
      </c>
      <c r="BH60" s="190">
        <v>193355065.81999999</v>
      </c>
      <c r="BI60" s="190">
        <v>383447938.93000001</v>
      </c>
      <c r="BJ60" s="190">
        <v>311366323.06999999</v>
      </c>
      <c r="BK60" s="190">
        <v>250049516.34999999</v>
      </c>
      <c r="BL60" s="190">
        <v>207396289.06999999</v>
      </c>
      <c r="BM60" s="190">
        <v>250085682.47999999</v>
      </c>
      <c r="BN60" s="190">
        <v>190785252.78999999</v>
      </c>
      <c r="BO60" s="190">
        <v>126708958.8</v>
      </c>
      <c r="BP60" s="190">
        <v>121401855.98999999</v>
      </c>
      <c r="BQ60" s="190">
        <v>116775657.84999999</v>
      </c>
      <c r="BR60" s="190">
        <v>160590000</v>
      </c>
      <c r="BS60" s="190">
        <v>179226656.44999999</v>
      </c>
      <c r="BT60" s="190">
        <v>138812074.46000001</v>
      </c>
      <c r="BU60" s="190">
        <v>238879360.28</v>
      </c>
      <c r="BV60" s="190">
        <v>295349924.56</v>
      </c>
      <c r="BW60" s="190">
        <v>303429006.82999998</v>
      </c>
      <c r="BX60" s="190">
        <v>66653678.539999999</v>
      </c>
      <c r="BY60" s="190">
        <v>260578360.56999999</v>
      </c>
      <c r="BZ60" s="190">
        <v>44632836.509999998</v>
      </c>
      <c r="CA60" s="190">
        <v>168102185.13</v>
      </c>
      <c r="CB60" s="190">
        <v>128029818.47</v>
      </c>
      <c r="CC60" s="190">
        <v>106844876.92</v>
      </c>
      <c r="CD60" s="190">
        <v>0</v>
      </c>
      <c r="CE60" s="190">
        <v>27810000</v>
      </c>
      <c r="CF60" s="190">
        <v>16447145.279999999</v>
      </c>
      <c r="CG60" s="190">
        <v>4330000</v>
      </c>
      <c r="CH60" s="190">
        <v>4220000</v>
      </c>
      <c r="CI60" s="190">
        <v>12510000</v>
      </c>
      <c r="CJ60" s="190">
        <v>3630000</v>
      </c>
      <c r="CK60" s="190">
        <v>0</v>
      </c>
    </row>
    <row r="61" spans="1:89" x14ac:dyDescent="0.25">
      <c r="A61" s="22" t="s">
        <v>94</v>
      </c>
      <c r="B61" s="190">
        <v>8183784107.4899998</v>
      </c>
      <c r="C61" s="190">
        <v>4773388871.3000002</v>
      </c>
      <c r="D61" s="190">
        <v>2156042224.0799999</v>
      </c>
      <c r="E61" s="190">
        <v>10486820482.360001</v>
      </c>
      <c r="F61" s="190">
        <v>6783557662.8500004</v>
      </c>
      <c r="G61" s="190">
        <v>3844590043.0999999</v>
      </c>
      <c r="H61" s="190">
        <v>1798871762.27</v>
      </c>
      <c r="I61" s="190">
        <v>8310178348.5100002</v>
      </c>
      <c r="J61" s="190">
        <v>5355814735.4399996</v>
      </c>
      <c r="K61" s="190">
        <v>3042733909.3699999</v>
      </c>
      <c r="L61" s="190">
        <v>1384440172.1500001</v>
      </c>
      <c r="M61" s="190">
        <v>6750041732.3900003</v>
      </c>
      <c r="N61" s="190">
        <v>4437072012.3000002</v>
      </c>
      <c r="O61" s="190">
        <v>2617992962.1300001</v>
      </c>
      <c r="P61" s="190">
        <v>1232306121.71</v>
      </c>
      <c r="Q61" s="190">
        <v>5206342370.7700005</v>
      </c>
      <c r="R61" s="190">
        <v>3093139431.4099998</v>
      </c>
      <c r="S61" s="190">
        <v>1708178178.6700001</v>
      </c>
      <c r="T61" s="190">
        <v>778049538.84000003</v>
      </c>
      <c r="U61" s="190">
        <v>3385954342.4200001</v>
      </c>
      <c r="V61" s="190">
        <v>2036867463.7</v>
      </c>
      <c r="W61" s="190">
        <v>1123181823.8599999</v>
      </c>
      <c r="X61" s="190">
        <v>530091028.91000003</v>
      </c>
      <c r="Y61" s="190">
        <v>2313605647.6999998</v>
      </c>
      <c r="Z61" s="190">
        <v>1451415369.27</v>
      </c>
      <c r="AA61" s="190">
        <v>846603921.37</v>
      </c>
      <c r="AB61" s="190">
        <v>405657832.75</v>
      </c>
      <c r="AC61" s="190">
        <v>1727369561.78</v>
      </c>
      <c r="AD61" s="190">
        <v>1014588525.62</v>
      </c>
      <c r="AE61" s="190">
        <v>607521921.07000005</v>
      </c>
      <c r="AF61" s="190">
        <v>307447075.66000003</v>
      </c>
      <c r="AG61" s="190">
        <v>1142902106.2</v>
      </c>
      <c r="AH61" s="190">
        <v>752288425.37</v>
      </c>
      <c r="AI61" s="190">
        <v>427056193.38999999</v>
      </c>
      <c r="AJ61" s="190">
        <v>240076919.88999999</v>
      </c>
      <c r="AK61" s="190">
        <v>766212054.21000004</v>
      </c>
      <c r="AL61" s="190">
        <v>534663363.20999998</v>
      </c>
      <c r="AM61" s="190">
        <v>294686041.81</v>
      </c>
      <c r="AN61" s="190">
        <v>148148007.96000001</v>
      </c>
      <c r="AO61" s="190">
        <v>604794146.5</v>
      </c>
      <c r="AP61" s="190">
        <v>390383145.55000001</v>
      </c>
      <c r="AQ61" s="190">
        <v>0</v>
      </c>
      <c r="AR61" s="190">
        <v>1351525377.55</v>
      </c>
      <c r="AS61" s="190">
        <v>2178346547.23</v>
      </c>
      <c r="AT61" s="190">
        <v>1975096563.3199999</v>
      </c>
      <c r="AU61" s="190">
        <v>1707052031.6900001</v>
      </c>
      <c r="AV61" s="190">
        <v>1119753768.3699999</v>
      </c>
      <c r="AW61" s="190">
        <v>1785725643.3699999</v>
      </c>
      <c r="AX61" s="190">
        <v>1549585817.3299999</v>
      </c>
      <c r="AY61" s="190">
        <v>1243144118.5999999</v>
      </c>
      <c r="AZ61" s="190">
        <v>829759156.85000002</v>
      </c>
      <c r="BA61" s="190">
        <v>1195909167.23</v>
      </c>
      <c r="BB61" s="190">
        <v>1157604089.3399999</v>
      </c>
      <c r="BC61" s="190">
        <v>928586259.21000004</v>
      </c>
      <c r="BD61" s="190">
        <v>655022009.11000001</v>
      </c>
      <c r="BE61" s="190">
        <v>1271161056.04</v>
      </c>
      <c r="BF61" s="190">
        <v>1034174338.03</v>
      </c>
      <c r="BG61" s="190">
        <v>816283288.12</v>
      </c>
      <c r="BH61" s="190">
        <v>576749189.01999998</v>
      </c>
      <c r="BI61" s="190">
        <v>1087240669.8699999</v>
      </c>
      <c r="BJ61" s="190">
        <v>859671518.20000005</v>
      </c>
      <c r="BK61" s="190">
        <v>639704194.78999996</v>
      </c>
      <c r="BL61" s="190">
        <v>496908074.43000001</v>
      </c>
      <c r="BM61" s="190">
        <v>869070350.38999999</v>
      </c>
      <c r="BN61" s="190">
        <v>702478871.35000002</v>
      </c>
      <c r="BO61" s="190">
        <v>500271545.93000001</v>
      </c>
      <c r="BP61" s="190">
        <v>374639392.75</v>
      </c>
      <c r="BQ61" s="190">
        <v>933092174.58000004</v>
      </c>
      <c r="BR61" s="190">
        <v>814730000</v>
      </c>
      <c r="BS61" s="190">
        <v>658209862.01999998</v>
      </c>
      <c r="BT61" s="190">
        <v>420642649.88999999</v>
      </c>
      <c r="BU61" s="190">
        <v>1007096192.78</v>
      </c>
      <c r="BV61" s="190">
        <v>725162725.00999999</v>
      </c>
      <c r="BW61" s="190">
        <v>786944238.74000001</v>
      </c>
      <c r="BX61" s="190">
        <v>383729930.18000001</v>
      </c>
      <c r="BY61" s="190">
        <v>813869455.65999997</v>
      </c>
      <c r="BZ61" s="190">
        <v>297552243.38999999</v>
      </c>
      <c r="CA61" s="190">
        <v>509400560.99000001</v>
      </c>
      <c r="CB61" s="190">
        <v>387969146.88</v>
      </c>
      <c r="CC61" s="190">
        <v>323772354.30000001</v>
      </c>
      <c r="CD61" s="190">
        <v>0</v>
      </c>
      <c r="CE61" s="190">
        <v>189945000</v>
      </c>
      <c r="CF61" s="190">
        <v>106503934.05</v>
      </c>
      <c r="CG61" s="190">
        <v>58750000</v>
      </c>
      <c r="CH61" s="190">
        <v>84660000</v>
      </c>
      <c r="CI61" s="190">
        <v>71460000</v>
      </c>
      <c r="CJ61" s="190">
        <v>71300000</v>
      </c>
      <c r="CK61" s="190">
        <v>0</v>
      </c>
    </row>
    <row r="62" spans="1:89" x14ac:dyDescent="0.25">
      <c r="A62" s="22"/>
      <c r="B62" s="4"/>
      <c r="C62" s="4"/>
      <c r="D62" s="4"/>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157"/>
      <c r="AM62" s="157"/>
      <c r="AN62" s="157"/>
      <c r="AO62" s="157"/>
      <c r="AP62" s="157"/>
      <c r="AQ62" s="157"/>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c r="BP62" s="157"/>
      <c r="BQ62" s="157"/>
      <c r="BR62" s="157"/>
      <c r="BS62" s="157"/>
      <c r="BT62" s="157"/>
      <c r="BU62" s="157"/>
      <c r="BV62" s="157"/>
      <c r="BW62" s="157"/>
      <c r="BX62" s="157"/>
      <c r="BY62" s="157"/>
      <c r="BZ62" s="157"/>
      <c r="CA62" s="157"/>
      <c r="CB62" s="157"/>
      <c r="CC62" s="157"/>
      <c r="CD62" s="157"/>
      <c r="CE62" s="157"/>
      <c r="CF62" s="157"/>
      <c r="CG62" s="157"/>
      <c r="CH62" s="157"/>
      <c r="CI62" s="157"/>
      <c r="CJ62" s="157"/>
      <c r="CK62" s="157"/>
    </row>
    <row r="65" spans="1:89" x14ac:dyDescent="0.25">
      <c r="A65" s="22" t="s">
        <v>98</v>
      </c>
      <c r="B65" s="190">
        <v>61182269.350000001</v>
      </c>
      <c r="C65" s="190">
        <v>78267116.159999996</v>
      </c>
      <c r="D65" s="190">
        <v>21904699.059999999</v>
      </c>
      <c r="E65" s="190">
        <v>44650105.119999997</v>
      </c>
      <c r="F65" s="190">
        <v>46547777.200000003</v>
      </c>
      <c r="G65" s="190">
        <v>49652189.100000001</v>
      </c>
      <c r="H65" s="190">
        <v>26616724.899999999</v>
      </c>
      <c r="I65" s="190">
        <v>40493287.659999996</v>
      </c>
      <c r="J65" s="190">
        <v>42207125.490000002</v>
      </c>
      <c r="K65" s="190">
        <v>26451500.899999999</v>
      </c>
      <c r="L65" s="190">
        <v>10185437.220000001</v>
      </c>
      <c r="M65" s="190">
        <v>148673437.25</v>
      </c>
      <c r="N65" s="190">
        <v>93188502.299999997</v>
      </c>
      <c r="O65" s="190">
        <v>79164642.849999994</v>
      </c>
      <c r="P65" s="190">
        <v>44740853.899999999</v>
      </c>
      <c r="Q65" s="190">
        <v>151024364.74000001</v>
      </c>
      <c r="R65" s="190">
        <v>97105528.049999997</v>
      </c>
      <c r="S65" s="190">
        <v>61780361.670000002</v>
      </c>
      <c r="T65" s="190">
        <v>2373479.4500000002</v>
      </c>
      <c r="U65" s="190">
        <v>38674251.789999999</v>
      </c>
      <c r="V65" s="190">
        <v>18778244.079999998</v>
      </c>
      <c r="W65" s="190">
        <v>13116304.060000001</v>
      </c>
      <c r="X65" s="190">
        <v>4806707.5199999996</v>
      </c>
      <c r="Y65" s="190">
        <v>-295093.96000000002</v>
      </c>
      <c r="Z65" s="190">
        <v>-96220.07</v>
      </c>
      <c r="AA65" s="190">
        <v>-96220.07</v>
      </c>
      <c r="AB65" s="190">
        <v>0</v>
      </c>
      <c r="AC65" s="190">
        <v>1521343.94</v>
      </c>
      <c r="AD65" s="190">
        <v>1521343.94</v>
      </c>
      <c r="AE65" s="190">
        <v>1521343.94</v>
      </c>
      <c r="AF65" s="190">
        <v>1521343.94</v>
      </c>
      <c r="AG65" s="190">
        <v>3344701.73</v>
      </c>
      <c r="AH65" s="190">
        <v>-499972.93</v>
      </c>
      <c r="AI65" s="190">
        <v>-499972.93</v>
      </c>
      <c r="AJ65" s="190">
        <v>0</v>
      </c>
      <c r="AK65" s="190">
        <v>-1033334.25</v>
      </c>
      <c r="AL65" s="190">
        <v>-1552451.92</v>
      </c>
      <c r="AM65" s="190">
        <v>-1552451.92</v>
      </c>
      <c r="AN65" s="190">
        <v>0</v>
      </c>
      <c r="AO65" s="190">
        <v>-2409204.52</v>
      </c>
      <c r="AP65" s="190">
        <v>0</v>
      </c>
      <c r="AQ65" s="190">
        <v>0</v>
      </c>
      <c r="AR65" s="190">
        <v>0</v>
      </c>
      <c r="AS65" s="190">
        <v>3199582.46</v>
      </c>
      <c r="AT65" s="190">
        <v>556604.28</v>
      </c>
      <c r="AU65" s="190">
        <v>47918.79</v>
      </c>
      <c r="AV65" s="190">
        <v>665864.48</v>
      </c>
      <c r="AW65" s="190">
        <v>5051692.58</v>
      </c>
      <c r="AX65" s="190">
        <v>2496157.7200000002</v>
      </c>
      <c r="AY65" s="190">
        <v>1832311.81</v>
      </c>
      <c r="AZ65" s="190">
        <v>100000</v>
      </c>
      <c r="BA65" s="190">
        <v>-3923017.4</v>
      </c>
      <c r="BB65" s="190">
        <v>-497364.9</v>
      </c>
      <c r="BC65" s="190">
        <v>-499893.8</v>
      </c>
      <c r="BD65" s="190">
        <v>0</v>
      </c>
      <c r="BE65" s="190">
        <v>-126753.75</v>
      </c>
      <c r="BF65" s="190">
        <v>344265.81</v>
      </c>
      <c r="BG65" s="190">
        <v>344265.81</v>
      </c>
      <c r="BH65" s="190">
        <v>1026367.48</v>
      </c>
      <c r="BI65" s="190">
        <v>-554425.18000000005</v>
      </c>
      <c r="BJ65" s="190">
        <v>287254.11</v>
      </c>
      <c r="BK65" s="190">
        <v>52424.27</v>
      </c>
      <c r="BL65" s="190">
        <v>265460.88</v>
      </c>
      <c r="BM65" s="190">
        <v>178932.4</v>
      </c>
      <c r="BN65" s="190">
        <v>1871129.6000000001</v>
      </c>
      <c r="BO65" s="190">
        <v>1511721.55</v>
      </c>
      <c r="BP65" s="190">
        <v>-174029.22</v>
      </c>
      <c r="BQ65" s="190">
        <v>12349967.949999999</v>
      </c>
      <c r="BR65" s="190">
        <v>12720000</v>
      </c>
      <c r="BS65" s="190">
        <v>9766309.1799999997</v>
      </c>
      <c r="BT65" s="190">
        <v>5348519.25</v>
      </c>
      <c r="BU65" s="190">
        <v>2373601.7000000002</v>
      </c>
      <c r="BV65" s="190">
        <v>0</v>
      </c>
      <c r="BW65" s="190">
        <v>0</v>
      </c>
      <c r="BX65" s="190">
        <v>0</v>
      </c>
      <c r="BY65" s="190">
        <v>0</v>
      </c>
      <c r="BZ65" s="190">
        <v>0</v>
      </c>
      <c r="CA65" s="190">
        <v>0</v>
      </c>
      <c r="CB65" s="190">
        <v>0</v>
      </c>
      <c r="CC65" s="190">
        <v>0</v>
      </c>
      <c r="CD65" s="190">
        <v>0</v>
      </c>
      <c r="CE65" s="190">
        <v>7729000</v>
      </c>
      <c r="CF65" s="190">
        <v>2092581.44</v>
      </c>
      <c r="CG65" s="190">
        <v>0</v>
      </c>
      <c r="CH65" s="190">
        <v>0</v>
      </c>
      <c r="CI65" s="190">
        <v>0</v>
      </c>
      <c r="CJ65" s="190">
        <v>0</v>
      </c>
      <c r="CK65" s="190">
        <v>0</v>
      </c>
    </row>
    <row r="66" spans="1:89" x14ac:dyDescent="0.25">
      <c r="A66" s="22" t="s">
        <v>99</v>
      </c>
      <c r="B66" s="190">
        <v>-1618218.28</v>
      </c>
      <c r="C66" s="190">
        <v>2538090.69</v>
      </c>
      <c r="D66" s="190">
        <v>342772.47999999998</v>
      </c>
      <c r="E66" s="190">
        <v>-2525266.42</v>
      </c>
      <c r="F66" s="190">
        <v>3502450.8</v>
      </c>
      <c r="G66" s="190">
        <v>0</v>
      </c>
      <c r="H66" s="190">
        <v>0</v>
      </c>
      <c r="I66" s="190">
        <v>0</v>
      </c>
      <c r="J66" s="190">
        <v>0</v>
      </c>
      <c r="K66" s="190">
        <v>0</v>
      </c>
      <c r="L66" s="190">
        <v>0</v>
      </c>
      <c r="M66" s="190">
        <v>0</v>
      </c>
      <c r="N66" s="190">
        <v>0</v>
      </c>
      <c r="O66" s="190">
        <v>0</v>
      </c>
      <c r="P66" s="190">
        <v>0</v>
      </c>
      <c r="Q66" s="190">
        <v>0</v>
      </c>
      <c r="R66" s="190">
        <v>-352661.41</v>
      </c>
      <c r="S66" s="190">
        <v>-352661.41</v>
      </c>
      <c r="T66" s="190">
        <v>0</v>
      </c>
      <c r="U66" s="190">
        <v>-454672.64000000001</v>
      </c>
      <c r="V66" s="190">
        <v>-370446.19</v>
      </c>
      <c r="W66" s="190">
        <v>-214567.66</v>
      </c>
      <c r="X66" s="190">
        <v>-94225.82</v>
      </c>
      <c r="Y66" s="190">
        <v>-295093.96000000002</v>
      </c>
      <c r="Z66" s="190">
        <v>-96220.07</v>
      </c>
      <c r="AA66" s="190">
        <v>-96220.07</v>
      </c>
      <c r="AB66" s="190">
        <v>0</v>
      </c>
      <c r="AC66" s="190">
        <v>1521343.94</v>
      </c>
      <c r="AD66" s="190">
        <v>1521343.94</v>
      </c>
      <c r="AE66" s="190">
        <v>1521343.94</v>
      </c>
      <c r="AF66" s="190">
        <v>1521343.94</v>
      </c>
      <c r="AG66" s="190">
        <v>3344701.73</v>
      </c>
      <c r="AH66" s="190">
        <v>-499972.93</v>
      </c>
      <c r="AI66" s="190">
        <v>-499972.93</v>
      </c>
      <c r="AJ66" s="190">
        <v>0</v>
      </c>
      <c r="AK66" s="190">
        <v>-1033334.25</v>
      </c>
      <c r="AL66" s="190">
        <v>-1552451.92</v>
      </c>
      <c r="AM66" s="190">
        <v>-1552451.92</v>
      </c>
      <c r="AN66" s="190">
        <v>0</v>
      </c>
      <c r="AO66" s="190">
        <v>197844.17</v>
      </c>
      <c r="AP66" s="190">
        <v>0</v>
      </c>
      <c r="AQ66" s="190">
        <v>0</v>
      </c>
      <c r="AR66" s="190">
        <v>0</v>
      </c>
      <c r="AS66" s="190">
        <v>0</v>
      </c>
      <c r="AT66" s="190">
        <v>0</v>
      </c>
      <c r="AU66" s="190">
        <v>0</v>
      </c>
      <c r="AV66" s="190">
        <v>0</v>
      </c>
      <c r="AW66" s="190">
        <v>0</v>
      </c>
      <c r="AX66" s="190">
        <v>0</v>
      </c>
      <c r="AY66" s="190">
        <v>0</v>
      </c>
      <c r="AZ66" s="190">
        <v>0</v>
      </c>
      <c r="BA66" s="190">
        <v>0</v>
      </c>
      <c r="BB66" s="190">
        <v>0</v>
      </c>
      <c r="BC66" s="190">
        <v>0</v>
      </c>
      <c r="BD66" s="190">
        <v>0</v>
      </c>
      <c r="BE66" s="190">
        <v>0</v>
      </c>
      <c r="BF66" s="190">
        <v>0</v>
      </c>
      <c r="BG66" s="190">
        <v>0</v>
      </c>
      <c r="BH66" s="190">
        <v>0</v>
      </c>
      <c r="BI66" s="190">
        <v>0</v>
      </c>
      <c r="BJ66" s="190">
        <v>0</v>
      </c>
      <c r="BK66" s="190">
        <v>0</v>
      </c>
      <c r="BL66" s="190">
        <v>0</v>
      </c>
      <c r="BM66" s="190">
        <v>0</v>
      </c>
      <c r="BN66" s="190">
        <v>0</v>
      </c>
      <c r="BO66" s="190">
        <v>0</v>
      </c>
      <c r="BP66" s="190">
        <v>0</v>
      </c>
      <c r="BQ66" s="190">
        <v>0</v>
      </c>
      <c r="BR66" s="190">
        <v>0</v>
      </c>
      <c r="BS66" s="190">
        <v>0</v>
      </c>
      <c r="BT66" s="190">
        <v>0</v>
      </c>
      <c r="BU66" s="190">
        <v>0</v>
      </c>
      <c r="BV66" s="190">
        <v>0</v>
      </c>
      <c r="BW66" s="190">
        <v>0</v>
      </c>
      <c r="BX66" s="190">
        <v>0</v>
      </c>
      <c r="BY66" s="190">
        <v>0</v>
      </c>
      <c r="BZ66" s="190">
        <v>0</v>
      </c>
      <c r="CA66" s="190">
        <v>0</v>
      </c>
      <c r="CB66" s="190">
        <v>0</v>
      </c>
      <c r="CC66" s="190">
        <v>0</v>
      </c>
      <c r="CD66" s="190">
        <v>0</v>
      </c>
      <c r="CE66" s="190">
        <v>0</v>
      </c>
      <c r="CF66" s="190">
        <v>0</v>
      </c>
      <c r="CG66" s="190">
        <v>0</v>
      </c>
      <c r="CH66" s="190">
        <v>0</v>
      </c>
      <c r="CI66" s="190">
        <v>0</v>
      </c>
      <c r="CJ66" s="190">
        <v>0</v>
      </c>
      <c r="CK66" s="190">
        <v>0</v>
      </c>
    </row>
    <row r="67" spans="1:89" x14ac:dyDescent="0.25">
      <c r="A67" s="22" t="s">
        <v>100</v>
      </c>
      <c r="B67" s="4">
        <f>B65-B66</f>
        <v>62800487.630000003</v>
      </c>
      <c r="C67" s="4">
        <f t="shared" ref="C67:BN67" si="67">C65-C66</f>
        <v>75729025.469999999</v>
      </c>
      <c r="D67" s="4">
        <f t="shared" si="67"/>
        <v>21561926.579999998</v>
      </c>
      <c r="E67" s="4">
        <f t="shared" si="67"/>
        <v>47175371.539999999</v>
      </c>
      <c r="F67" s="4">
        <f t="shared" si="67"/>
        <v>43045326.400000006</v>
      </c>
      <c r="G67" s="4">
        <f t="shared" si="67"/>
        <v>49652189.100000001</v>
      </c>
      <c r="H67" s="4">
        <f t="shared" si="67"/>
        <v>26616724.899999999</v>
      </c>
      <c r="I67" s="4">
        <f t="shared" si="67"/>
        <v>40493287.659999996</v>
      </c>
      <c r="J67" s="4">
        <f t="shared" si="67"/>
        <v>42207125.490000002</v>
      </c>
      <c r="K67" s="4">
        <f t="shared" si="67"/>
        <v>26451500.899999999</v>
      </c>
      <c r="L67" s="4">
        <f t="shared" si="67"/>
        <v>10185437.220000001</v>
      </c>
      <c r="M67" s="4">
        <f t="shared" si="67"/>
        <v>148673437.25</v>
      </c>
      <c r="N67" s="4">
        <f t="shared" si="67"/>
        <v>93188502.299999997</v>
      </c>
      <c r="O67" s="4">
        <f t="shared" si="67"/>
        <v>79164642.849999994</v>
      </c>
      <c r="P67" s="4">
        <f t="shared" si="67"/>
        <v>44740853.899999999</v>
      </c>
      <c r="Q67" s="4">
        <f t="shared" si="67"/>
        <v>151024364.74000001</v>
      </c>
      <c r="R67" s="4">
        <f t="shared" si="67"/>
        <v>97458189.459999993</v>
      </c>
      <c r="S67" s="4">
        <f t="shared" si="67"/>
        <v>62133023.079999998</v>
      </c>
      <c r="T67" s="4">
        <f t="shared" si="67"/>
        <v>2373479.4500000002</v>
      </c>
      <c r="U67" s="4">
        <f t="shared" si="67"/>
        <v>39128924.43</v>
      </c>
      <c r="V67" s="4">
        <f t="shared" si="67"/>
        <v>19148690.27</v>
      </c>
      <c r="W67" s="4">
        <f t="shared" si="67"/>
        <v>13330871.720000001</v>
      </c>
      <c r="X67" s="4">
        <f t="shared" si="67"/>
        <v>4900933.34</v>
      </c>
      <c r="Y67" s="4">
        <f t="shared" si="67"/>
        <v>0</v>
      </c>
      <c r="Z67" s="4">
        <f t="shared" si="67"/>
        <v>0</v>
      </c>
      <c r="AA67" s="4">
        <f t="shared" si="67"/>
        <v>0</v>
      </c>
      <c r="AB67" s="4">
        <f t="shared" si="67"/>
        <v>0</v>
      </c>
      <c r="AC67" s="4">
        <f t="shared" si="67"/>
        <v>0</v>
      </c>
      <c r="AD67" s="4">
        <f t="shared" si="67"/>
        <v>0</v>
      </c>
      <c r="AE67" s="4">
        <f t="shared" si="67"/>
        <v>0</v>
      </c>
      <c r="AF67" s="4">
        <f t="shared" si="67"/>
        <v>0</v>
      </c>
      <c r="AG67" s="4">
        <f t="shared" si="67"/>
        <v>0</v>
      </c>
      <c r="AH67" s="4">
        <f t="shared" si="67"/>
        <v>0</v>
      </c>
      <c r="AI67" s="4">
        <f t="shared" si="67"/>
        <v>0</v>
      </c>
      <c r="AJ67" s="4">
        <f t="shared" si="67"/>
        <v>0</v>
      </c>
      <c r="AK67" s="4">
        <f t="shared" si="67"/>
        <v>0</v>
      </c>
      <c r="AL67" s="4">
        <f t="shared" si="67"/>
        <v>0</v>
      </c>
      <c r="AM67" s="4">
        <f t="shared" si="67"/>
        <v>0</v>
      </c>
      <c r="AN67" s="4">
        <f t="shared" si="67"/>
        <v>0</v>
      </c>
      <c r="AO67" s="4">
        <f t="shared" si="67"/>
        <v>-2607048.69</v>
      </c>
      <c r="AP67" s="4">
        <f t="shared" si="67"/>
        <v>0</v>
      </c>
      <c r="AQ67" s="4">
        <f t="shared" si="67"/>
        <v>0</v>
      </c>
      <c r="AR67" s="4">
        <f t="shared" si="67"/>
        <v>0</v>
      </c>
      <c r="AS67" s="4">
        <f t="shared" si="67"/>
        <v>3199582.46</v>
      </c>
      <c r="AT67" s="4">
        <f t="shared" si="67"/>
        <v>556604.28</v>
      </c>
      <c r="AU67" s="4">
        <f t="shared" si="67"/>
        <v>47918.79</v>
      </c>
      <c r="AV67" s="4">
        <f t="shared" si="67"/>
        <v>665864.48</v>
      </c>
      <c r="AW67" s="4">
        <f t="shared" si="67"/>
        <v>5051692.58</v>
      </c>
      <c r="AX67" s="4">
        <f t="shared" si="67"/>
        <v>2496157.7200000002</v>
      </c>
      <c r="AY67" s="4">
        <f t="shared" si="67"/>
        <v>1832311.81</v>
      </c>
      <c r="AZ67" s="4">
        <f t="shared" si="67"/>
        <v>100000</v>
      </c>
      <c r="BA67" s="4">
        <f t="shared" si="67"/>
        <v>-3923017.4</v>
      </c>
      <c r="BB67" s="4">
        <f t="shared" si="67"/>
        <v>-497364.9</v>
      </c>
      <c r="BC67" s="4">
        <f t="shared" si="67"/>
        <v>-499893.8</v>
      </c>
      <c r="BD67" s="4">
        <f t="shared" si="67"/>
        <v>0</v>
      </c>
      <c r="BE67" s="4">
        <f t="shared" si="67"/>
        <v>-126753.75</v>
      </c>
      <c r="BF67" s="4">
        <f t="shared" si="67"/>
        <v>344265.81</v>
      </c>
      <c r="BG67" s="4">
        <f t="shared" si="67"/>
        <v>344265.81</v>
      </c>
      <c r="BH67" s="4">
        <f t="shared" si="67"/>
        <v>1026367.48</v>
      </c>
      <c r="BI67" s="4">
        <f t="shared" si="67"/>
        <v>-554425.18000000005</v>
      </c>
      <c r="BJ67" s="4">
        <f t="shared" si="67"/>
        <v>287254.11</v>
      </c>
      <c r="BK67" s="4">
        <f t="shared" si="67"/>
        <v>52424.27</v>
      </c>
      <c r="BL67" s="4">
        <f t="shared" si="67"/>
        <v>265460.88</v>
      </c>
      <c r="BM67" s="4">
        <f t="shared" si="67"/>
        <v>178932.4</v>
      </c>
      <c r="BN67" s="4">
        <f t="shared" si="67"/>
        <v>1871129.6000000001</v>
      </c>
      <c r="BO67" s="4">
        <f t="shared" ref="BO67:CJ67" si="68">BO65-BO66</f>
        <v>1511721.55</v>
      </c>
      <c r="BP67" s="4">
        <f t="shared" si="68"/>
        <v>-174029.22</v>
      </c>
      <c r="BQ67" s="4">
        <f t="shared" si="68"/>
        <v>12349967.949999999</v>
      </c>
      <c r="BR67" s="4">
        <f t="shared" si="68"/>
        <v>12720000</v>
      </c>
      <c r="BS67" s="4">
        <f t="shared" si="68"/>
        <v>9766309.1799999997</v>
      </c>
      <c r="BT67" s="4">
        <f t="shared" si="68"/>
        <v>5348519.25</v>
      </c>
      <c r="BU67" s="4">
        <f t="shared" si="68"/>
        <v>2373601.7000000002</v>
      </c>
      <c r="BV67" s="4">
        <f t="shared" si="68"/>
        <v>0</v>
      </c>
      <c r="BW67" s="4">
        <f t="shared" si="68"/>
        <v>0</v>
      </c>
      <c r="BX67" s="4">
        <f t="shared" si="68"/>
        <v>0</v>
      </c>
      <c r="BY67" s="4">
        <f t="shared" si="68"/>
        <v>0</v>
      </c>
      <c r="BZ67" s="4">
        <f t="shared" si="68"/>
        <v>0</v>
      </c>
      <c r="CA67" s="4">
        <f t="shared" si="68"/>
        <v>0</v>
      </c>
      <c r="CB67" s="4">
        <f t="shared" si="68"/>
        <v>0</v>
      </c>
      <c r="CC67" s="4">
        <f t="shared" si="68"/>
        <v>0</v>
      </c>
      <c r="CD67" s="4">
        <f t="shared" si="68"/>
        <v>0</v>
      </c>
      <c r="CE67" s="4">
        <f t="shared" si="68"/>
        <v>7729000</v>
      </c>
      <c r="CF67" s="4">
        <f t="shared" si="68"/>
        <v>2092581.44</v>
      </c>
      <c r="CG67" s="4">
        <f t="shared" si="68"/>
        <v>0</v>
      </c>
      <c r="CH67" s="4">
        <f t="shared" si="68"/>
        <v>0</v>
      </c>
      <c r="CI67" s="4">
        <f t="shared" si="68"/>
        <v>0</v>
      </c>
      <c r="CJ67" s="4">
        <f t="shared" si="68"/>
        <v>0</v>
      </c>
      <c r="CK67" s="4"/>
    </row>
    <row r="68" spans="1:89" x14ac:dyDescent="0.25">
      <c r="A68" s="22" t="s">
        <v>101</v>
      </c>
      <c r="B68" s="190">
        <v>-367680813.02999997</v>
      </c>
      <c r="C68" s="190">
        <v>-158521317.81</v>
      </c>
      <c r="D68" s="190">
        <v>257430070.75</v>
      </c>
      <c r="E68" s="190">
        <v>265411287.66</v>
      </c>
      <c r="F68" s="190">
        <v>218299111.47</v>
      </c>
      <c r="G68" s="190">
        <v>65500627.649999999</v>
      </c>
      <c r="H68" s="190">
        <v>21619476.399999999</v>
      </c>
      <c r="I68" s="190">
        <v>-226063754.62</v>
      </c>
      <c r="J68" s="190">
        <v>-126303300.28</v>
      </c>
      <c r="K68" s="190">
        <v>-97563400.840000004</v>
      </c>
      <c r="L68" s="190">
        <v>-10047261.859999999</v>
      </c>
      <c r="M68" s="190">
        <v>-152896391.69999999</v>
      </c>
      <c r="N68" s="190">
        <v>-96964328.209999993</v>
      </c>
      <c r="O68" s="190">
        <v>-42185251.329999998</v>
      </c>
      <c r="P68" s="190">
        <v>-10127554.58</v>
      </c>
      <c r="Q68" s="190">
        <v>-82029433.480000004</v>
      </c>
      <c r="R68" s="190">
        <v>-57449365.170000002</v>
      </c>
      <c r="S68" s="190">
        <v>-31614289.52</v>
      </c>
      <c r="T68" s="190">
        <v>-18499396.5</v>
      </c>
      <c r="U68" s="190">
        <v>-86557861.840000004</v>
      </c>
      <c r="V68" s="190">
        <v>-55030844.810000002</v>
      </c>
      <c r="W68" s="190">
        <v>-42863671.969999999</v>
      </c>
      <c r="X68" s="190">
        <v>-29713029.460000001</v>
      </c>
      <c r="Y68" s="190">
        <v>-71724163.150000006</v>
      </c>
      <c r="Z68" s="190">
        <v>-52824240.060000002</v>
      </c>
      <c r="AA68" s="190">
        <v>-37039470</v>
      </c>
      <c r="AB68" s="190">
        <v>-9502452.3599999994</v>
      </c>
      <c r="AC68" s="190">
        <v>-79288134.049999997</v>
      </c>
      <c r="AD68" s="190">
        <v>-51545561.469999999</v>
      </c>
      <c r="AE68" s="190">
        <v>-35781853.07</v>
      </c>
      <c r="AF68" s="190">
        <v>-15277517.560000001</v>
      </c>
      <c r="AG68" s="190">
        <v>-19008798.25</v>
      </c>
      <c r="AH68" s="190">
        <v>-3967438.33</v>
      </c>
      <c r="AI68" s="190">
        <v>-2905952.06</v>
      </c>
      <c r="AJ68" s="190">
        <v>-1146716.1299999999</v>
      </c>
      <c r="AK68" s="190">
        <v>-9107075.1500000004</v>
      </c>
      <c r="AL68" s="190">
        <v>-6501831.8099999996</v>
      </c>
      <c r="AM68" s="190">
        <v>-5936051.0800000001</v>
      </c>
      <c r="AN68" s="190">
        <v>-2966845.65</v>
      </c>
      <c r="AO68" s="190">
        <v>-5500855.4900000002</v>
      </c>
      <c r="AP68" s="190">
        <v>-3207992.44</v>
      </c>
      <c r="AQ68" s="190">
        <v>0</v>
      </c>
      <c r="AR68" s="190">
        <v>-15614749.33</v>
      </c>
      <c r="AS68" s="190">
        <v>-92227613.010000005</v>
      </c>
      <c r="AT68" s="190">
        <v>-41018279.990000002</v>
      </c>
      <c r="AU68" s="190">
        <v>-36487207.520000003</v>
      </c>
      <c r="AV68" s="190">
        <v>-3376979.14</v>
      </c>
      <c r="AW68" s="190">
        <v>-50497352.530000001</v>
      </c>
      <c r="AX68" s="190">
        <v>-26367719.059999999</v>
      </c>
      <c r="AY68" s="190">
        <v>-24396518</v>
      </c>
      <c r="AZ68" s="190">
        <v>-2917708.8</v>
      </c>
      <c r="BA68" s="190">
        <v>-25225980.809999999</v>
      </c>
      <c r="BB68" s="190">
        <v>-7438048.8600000003</v>
      </c>
      <c r="BC68" s="190">
        <v>-5495968.9100000001</v>
      </c>
      <c r="BD68" s="190">
        <v>-6057952.7199999997</v>
      </c>
      <c r="BE68" s="190">
        <v>-26456599.109999999</v>
      </c>
      <c r="BF68" s="190">
        <v>-12780406.130000001</v>
      </c>
      <c r="BG68" s="190">
        <v>-11107770.039999999</v>
      </c>
      <c r="BH68" s="190">
        <v>-1735818.19</v>
      </c>
      <c r="BI68" s="190">
        <v>-28358707.260000002</v>
      </c>
      <c r="BJ68" s="190">
        <v>-19582453.850000001</v>
      </c>
      <c r="BK68" s="190">
        <v>-12127010.279999999</v>
      </c>
      <c r="BL68" s="190">
        <v>-2445731.69</v>
      </c>
      <c r="BM68" s="190">
        <v>-26693808.859999999</v>
      </c>
      <c r="BN68" s="190">
        <v>-21740886.899999999</v>
      </c>
      <c r="BO68" s="190">
        <v>-11645839.699999999</v>
      </c>
      <c r="BP68" s="190">
        <v>-7526726.1299999999</v>
      </c>
      <c r="BQ68" s="190">
        <v>-25420934.84</v>
      </c>
      <c r="BR68" s="190">
        <v>0</v>
      </c>
      <c r="BS68" s="190">
        <v>-16481097.720000001</v>
      </c>
      <c r="BT68" s="190">
        <v>-5451391.75</v>
      </c>
      <c r="BU68" s="190">
        <v>-14348624.140000001</v>
      </c>
      <c r="BV68" s="190">
        <v>-7438579.8600000003</v>
      </c>
      <c r="BW68" s="190">
        <v>-15086567.960000001</v>
      </c>
      <c r="BX68" s="190">
        <v>-9593131.2100000009</v>
      </c>
      <c r="BY68" s="190">
        <v>-42791521.079999998</v>
      </c>
      <c r="BZ68" s="190">
        <v>-3834295.55</v>
      </c>
      <c r="CA68" s="190">
        <v>11835075.34</v>
      </c>
      <c r="CB68" s="190">
        <v>16252757.800000001</v>
      </c>
      <c r="CC68" s="190">
        <v>12407743.33</v>
      </c>
      <c r="CD68" s="190">
        <v>0</v>
      </c>
      <c r="CE68" s="190">
        <v>0</v>
      </c>
      <c r="CF68" s="190">
        <v>0</v>
      </c>
      <c r="CG68" s="190">
        <v>0</v>
      </c>
      <c r="CH68" s="190">
        <v>0</v>
      </c>
      <c r="CI68" s="190">
        <v>0</v>
      </c>
      <c r="CJ68" s="190">
        <v>0</v>
      </c>
      <c r="CK68" s="190">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90">
        <v>33580866129.48</v>
      </c>
      <c r="C70" s="190">
        <v>30232786510.169998</v>
      </c>
      <c r="D70" s="190">
        <v>32443058820.540001</v>
      </c>
      <c r="E70" s="190">
        <v>30604121438.09</v>
      </c>
      <c r="F70" s="190">
        <v>27170454185.630001</v>
      </c>
      <c r="G70" s="190">
        <v>24236835572.119999</v>
      </c>
      <c r="H70" s="190">
        <v>25999847707.970001</v>
      </c>
      <c r="I70" s="190">
        <v>24486673925.150002</v>
      </c>
      <c r="J70" s="190">
        <v>21639291047.049999</v>
      </c>
      <c r="K70" s="190">
        <v>19160653329.950001</v>
      </c>
      <c r="L70" s="190">
        <v>20469670882.470001</v>
      </c>
      <c r="M70" s="190">
        <v>19297450879.700001</v>
      </c>
      <c r="N70" s="190">
        <v>17136143429.709999</v>
      </c>
      <c r="O70" s="190">
        <v>15539405639.969999</v>
      </c>
      <c r="P70" s="190">
        <v>15956580864.360001</v>
      </c>
      <c r="Q70" s="190">
        <v>14879156547.26</v>
      </c>
      <c r="R70" s="190">
        <v>12946611887.360001</v>
      </c>
      <c r="S70" s="190">
        <v>11744959399.780001</v>
      </c>
      <c r="T70" s="190">
        <v>11895859827.43</v>
      </c>
      <c r="U70" s="190">
        <v>11204403183</v>
      </c>
      <c r="V70" s="190">
        <v>9858290779.0799999</v>
      </c>
      <c r="W70" s="190">
        <v>9087351436.1000004</v>
      </c>
      <c r="X70" s="190">
        <v>9122687227.1299992</v>
      </c>
      <c r="Y70" s="190">
        <v>8671411571.3700008</v>
      </c>
      <c r="Z70" s="190">
        <v>7727861058.3900003</v>
      </c>
      <c r="AA70" s="190">
        <v>7125163692.9300003</v>
      </c>
      <c r="AB70" s="190">
        <v>7163621141.29</v>
      </c>
      <c r="AC70" s="190">
        <v>6787297413.4799995</v>
      </c>
      <c r="AD70" s="190">
        <v>6205225033.5799999</v>
      </c>
      <c r="AE70" s="190">
        <v>5879684582.3000002</v>
      </c>
      <c r="AF70" s="190">
        <v>5909607271.0699997</v>
      </c>
      <c r="AG70" s="190">
        <v>5642453866.9700003</v>
      </c>
      <c r="AH70" s="190">
        <v>5242642631.1300001</v>
      </c>
      <c r="AI70" s="190">
        <v>4959946029.7200003</v>
      </c>
      <c r="AJ70" s="190">
        <v>1703340737.1800001</v>
      </c>
      <c r="AK70" s="190">
        <v>1497322466.9200001</v>
      </c>
      <c r="AL70" s="190">
        <v>969553376.54999995</v>
      </c>
      <c r="AM70" s="190">
        <v>544711250.24000001</v>
      </c>
      <c r="AN70" s="190">
        <v>0</v>
      </c>
      <c r="AO70" s="190"/>
      <c r="AP70" s="190"/>
      <c r="AQ70" s="190"/>
      <c r="AR70" s="190">
        <v>10641944677.48</v>
      </c>
      <c r="AS70" s="190">
        <v>9626236984.1700001</v>
      </c>
      <c r="AT70" s="190">
        <v>9485588152.4899998</v>
      </c>
      <c r="AU70" s="190">
        <v>9304015150.3199997</v>
      </c>
      <c r="AV70" s="190">
        <v>9051649388.7700005</v>
      </c>
      <c r="AW70" s="190">
        <v>8295168514.6400003</v>
      </c>
      <c r="AX70" s="190">
        <v>8139685182.96</v>
      </c>
      <c r="AY70" s="190">
        <v>7938750364.1499996</v>
      </c>
      <c r="AZ70" s="190">
        <v>7934784508.5</v>
      </c>
      <c r="BA70" s="190">
        <v>7385968978.54</v>
      </c>
      <c r="BB70" s="190">
        <v>7360716151.5900002</v>
      </c>
      <c r="BC70" s="190">
        <v>7179425965.6499996</v>
      </c>
      <c r="BD70" s="190">
        <v>7003465589.3699999</v>
      </c>
      <c r="BE70" s="190">
        <v>6586961901.7700005</v>
      </c>
      <c r="BF70" s="190">
        <v>6433916281.1800003</v>
      </c>
      <c r="BG70" s="190">
        <v>6292714866.6599998</v>
      </c>
      <c r="BH70" s="190">
        <v>6409286809.8599997</v>
      </c>
      <c r="BI70" s="190">
        <v>6025892686.6599998</v>
      </c>
      <c r="BJ70" s="190">
        <v>5870405150.8400002</v>
      </c>
      <c r="BK70" s="190">
        <v>5711754634.1499996</v>
      </c>
      <c r="BL70" s="190">
        <v>5611611741.0699997</v>
      </c>
      <c r="BM70" s="190">
        <v>5322099955.71</v>
      </c>
      <c r="BN70" s="190">
        <v>5214293132.5200005</v>
      </c>
      <c r="BO70" s="190">
        <v>5075362101.0900002</v>
      </c>
      <c r="BP70" s="190">
        <v>4954980669.5600004</v>
      </c>
      <c r="BQ70" s="190">
        <v>4702243132.8000002</v>
      </c>
      <c r="BR70" s="190">
        <v>0</v>
      </c>
      <c r="BS70" s="190">
        <v>4385655821.6400003</v>
      </c>
      <c r="BT70" s="190">
        <v>4238623191.5</v>
      </c>
      <c r="BU70" s="190">
        <v>3191216198.9499998</v>
      </c>
      <c r="BV70" s="190">
        <v>2850312166.9000001</v>
      </c>
      <c r="BW70" s="190">
        <v>2420499366.4499998</v>
      </c>
      <c r="BX70" s="190">
        <v>2089698452.7</v>
      </c>
      <c r="BY70" s="190">
        <v>1764990217.6700001</v>
      </c>
      <c r="BZ70" s="190">
        <v>1864618529.46</v>
      </c>
      <c r="CA70" s="190">
        <v>392384778.43000001</v>
      </c>
      <c r="CB70" s="190">
        <v>264958379.21000001</v>
      </c>
      <c r="CC70" s="190">
        <v>225967479.94999999</v>
      </c>
      <c r="CD70" s="190">
        <v>0</v>
      </c>
      <c r="CE70" s="190">
        <v>1079738000</v>
      </c>
      <c r="CF70" s="190">
        <v>1004228352.76</v>
      </c>
      <c r="CG70" s="190">
        <v>492689900.37</v>
      </c>
      <c r="CH70" s="190">
        <v>0</v>
      </c>
      <c r="CI70" s="190">
        <v>0</v>
      </c>
      <c r="CJ70" s="190">
        <v>0</v>
      </c>
      <c r="CK70" s="190">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topLeftCell="I31" zoomScale="95" zoomScaleNormal="95" workbookViewId="0">
      <selection activeCell="A51" sqref="A51:AK51"/>
    </sheetView>
  </sheetViews>
  <sheetFormatPr defaultRowHeight="14.4" x14ac:dyDescent="0.25"/>
  <cols>
    <col min="1" max="1" width="77.5546875" style="17" bestFit="1" customWidth="1"/>
    <col min="2" max="2" width="22.5546875" hidden="1" customWidth="1"/>
    <col min="3" max="4" width="20.33203125" hidden="1" customWidth="1"/>
    <col min="5" max="5" width="22.5546875" bestFit="1" customWidth="1"/>
    <col min="6" max="8" width="21.5546875" hidden="1" customWidth="1"/>
    <col min="9" max="9" width="22.5546875" bestFit="1" customWidth="1"/>
    <col min="10" max="11" width="21.5546875" hidden="1" customWidth="1"/>
    <col min="12" max="12" width="20.33203125" hidden="1" customWidth="1"/>
    <col min="13" max="13" width="22.5546875" bestFit="1" customWidth="1"/>
    <col min="14" max="16" width="21.5546875" hidden="1" customWidth="1"/>
    <col min="17" max="17" width="22.5546875" bestFit="1" customWidth="1"/>
    <col min="18" max="20" width="20.33203125" hidden="1" customWidth="1"/>
    <col min="21" max="21" width="22.5546875" bestFit="1" customWidth="1"/>
    <col min="22" max="24" width="20.33203125" hidden="1" customWidth="1"/>
    <col min="25" max="25" width="22.5546875" bestFit="1" customWidth="1"/>
    <col min="26" max="28" width="20.33203125" hidden="1" customWidth="1"/>
    <col min="29" max="29" width="20.33203125" bestFit="1" customWidth="1"/>
    <col min="30" max="32" width="20.33203125" hidden="1" customWidth="1"/>
    <col min="33" max="33" width="20.33203125" bestFit="1" customWidth="1"/>
    <col min="34" max="35" width="20.33203125" hidden="1" customWidth="1"/>
    <col min="36" max="36" width="19.33203125" hidden="1" customWidth="1"/>
    <col min="37" max="37" width="20.33203125" bestFit="1" customWidth="1"/>
    <col min="38" max="39" width="18.109375" hidden="1" customWidth="1"/>
    <col min="40" max="40" width="20.33203125" hidden="1" customWidth="1"/>
    <col min="41" max="42" width="20.33203125" bestFit="1" customWidth="1"/>
    <col min="43" max="44" width="20.33203125" hidden="1" customWidth="1"/>
    <col min="45" max="45" width="20.33203125" bestFit="1" customWidth="1"/>
    <col min="46" max="48" width="20.33203125" hidden="1" customWidth="1"/>
    <col min="49" max="49" width="20.33203125" bestFit="1" customWidth="1"/>
    <col min="50" max="52" width="20.33203125" hidden="1" customWidth="1"/>
    <col min="53" max="53" width="20.33203125" bestFit="1" customWidth="1"/>
    <col min="54" max="56" width="20.33203125" hidden="1" customWidth="1"/>
    <col min="57" max="57" width="20.33203125" bestFit="1" customWidth="1"/>
    <col min="58" max="60" width="20.33203125" hidden="1" customWidth="1"/>
    <col min="61" max="61" width="20.33203125" bestFit="1" customWidth="1"/>
    <col min="62" max="64" width="20.33203125" hidden="1" customWidth="1"/>
    <col min="65" max="65" width="20.33203125" bestFit="1" customWidth="1"/>
    <col min="66" max="66" width="20.33203125" hidden="1" customWidth="1"/>
    <col min="67" max="67" width="20.33203125" bestFit="1" customWidth="1"/>
    <col min="68" max="68" width="20.33203125" hidden="1" customWidth="1"/>
    <col min="69" max="69" width="19.33203125" bestFit="1" customWidth="1"/>
    <col min="70" max="70" width="18.109375" hidden="1" customWidth="1"/>
    <col min="71" max="71" width="20.33203125" bestFit="1" customWidth="1"/>
    <col min="72" max="72" width="14.6640625" hidden="1" customWidth="1"/>
    <col min="73" max="73" width="20.33203125" bestFit="1" customWidth="1"/>
    <col min="74" max="74" width="12.21875" hidden="1" customWidth="1"/>
  </cols>
  <sheetData>
    <row r="1" spans="1:74" s="6" customFormat="1" x14ac:dyDescent="0.25">
      <c r="A1" s="104">
        <v>2415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39447</v>
      </c>
      <c r="AQ1" s="1">
        <v>25569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5" customFormat="1" x14ac:dyDescent="0.25">
      <c r="A2" s="46" t="s">
        <v>292</v>
      </c>
    </row>
    <row r="3" spans="1:74" s="26" customFormat="1" x14ac:dyDescent="0.25">
      <c r="A3" s="17" t="s">
        <v>320</v>
      </c>
      <c r="B3" s="190">
        <v>7061204.25</v>
      </c>
      <c r="C3" s="190">
        <v>6667459.9699999997</v>
      </c>
      <c r="D3" s="190">
        <v>8085072.8399999999</v>
      </c>
      <c r="E3" s="190">
        <v>23086294.460000001</v>
      </c>
      <c r="F3" s="190">
        <v>16707465.48</v>
      </c>
      <c r="G3" s="190">
        <v>11061674.710000001</v>
      </c>
      <c r="H3" s="190">
        <v>2082829.96</v>
      </c>
      <c r="I3" s="190">
        <v>19404765.149999999</v>
      </c>
      <c r="J3" s="190">
        <v>335458.21999999997</v>
      </c>
      <c r="K3" s="190">
        <v>368676.75</v>
      </c>
      <c r="L3" s="190">
        <v>241199.88</v>
      </c>
      <c r="M3" s="190">
        <v>13030975.34</v>
      </c>
      <c r="N3" s="190">
        <v>3438516.44</v>
      </c>
      <c r="O3" s="190">
        <v>2223659.1</v>
      </c>
      <c r="P3" s="190">
        <v>1183018.6399999999</v>
      </c>
      <c r="Q3" s="190">
        <v>5877980.4400000004</v>
      </c>
      <c r="R3" s="190">
        <v>1377510.14</v>
      </c>
      <c r="S3" s="190">
        <v>928430.92</v>
      </c>
      <c r="T3" s="190">
        <v>1948912.06</v>
      </c>
      <c r="U3" s="190">
        <v>1284827.77</v>
      </c>
      <c r="V3" s="190">
        <v>1390847.76</v>
      </c>
      <c r="W3" s="190">
        <v>936635.86</v>
      </c>
      <c r="X3" s="190">
        <v>28791.78</v>
      </c>
      <c r="Y3" s="190">
        <v>316036.92</v>
      </c>
      <c r="Z3" s="190">
        <v>957764.69</v>
      </c>
      <c r="AA3" s="190">
        <v>118384</v>
      </c>
      <c r="AB3" s="190">
        <v>39374</v>
      </c>
      <c r="AC3" s="190">
        <v>1869644.39</v>
      </c>
      <c r="AD3" s="190">
        <v>496138.39</v>
      </c>
      <c r="AE3" s="190">
        <v>544865.18999999994</v>
      </c>
      <c r="AF3" s="190">
        <v>41855.800000000003</v>
      </c>
      <c r="AG3" s="190">
        <v>1093139.1000000001</v>
      </c>
      <c r="AH3" s="190">
        <v>150424.6</v>
      </c>
      <c r="AI3" s="190">
        <v>175846.96</v>
      </c>
      <c r="AJ3" s="190">
        <v>50578.32</v>
      </c>
      <c r="AK3" s="190">
        <v>137474</v>
      </c>
      <c r="AL3" s="190">
        <v>12941.5</v>
      </c>
      <c r="AM3" s="190">
        <v>7111.5</v>
      </c>
      <c r="AN3" s="190">
        <v>0</v>
      </c>
      <c r="AO3" s="190">
        <v>46367.71</v>
      </c>
      <c r="AP3" s="190">
        <v>119796.93</v>
      </c>
      <c r="AQ3" s="190">
        <v>0</v>
      </c>
      <c r="AR3" s="190">
        <v>5100</v>
      </c>
      <c r="AS3" s="190">
        <v>1461877.56</v>
      </c>
      <c r="AT3" s="190">
        <v>915725.99</v>
      </c>
      <c r="AU3" s="190">
        <v>888021.74</v>
      </c>
      <c r="AV3" s="190">
        <v>464588.74</v>
      </c>
      <c r="AW3" s="190">
        <v>573336.46</v>
      </c>
      <c r="AX3" s="190">
        <v>488804.96</v>
      </c>
      <c r="AY3" s="190">
        <v>270000</v>
      </c>
      <c r="AZ3" s="190">
        <v>0</v>
      </c>
      <c r="BA3" s="190">
        <v>863329.02</v>
      </c>
      <c r="BB3" s="190">
        <v>813805.81</v>
      </c>
      <c r="BC3" s="190">
        <v>727743.76</v>
      </c>
      <c r="BD3" s="190">
        <v>17650.599999999999</v>
      </c>
      <c r="BE3" s="190">
        <v>8589013.4800000004</v>
      </c>
      <c r="BF3" s="190">
        <v>7499124.0300000003</v>
      </c>
      <c r="BG3" s="190">
        <v>7168613.4299999997</v>
      </c>
      <c r="BH3" s="190">
        <v>21398</v>
      </c>
      <c r="BI3" s="190">
        <v>6970503.7599999998</v>
      </c>
      <c r="BJ3" s="190">
        <v>0</v>
      </c>
      <c r="BK3" s="190">
        <v>211614.42</v>
      </c>
      <c r="BL3" s="190">
        <v>50000</v>
      </c>
      <c r="BM3" s="190">
        <v>27193335.649999999</v>
      </c>
      <c r="BN3" s="190">
        <v>40285.5</v>
      </c>
      <c r="BO3" s="190">
        <v>371490.58</v>
      </c>
      <c r="BP3" s="190">
        <v>0</v>
      </c>
      <c r="BQ3" s="190">
        <v>3580</v>
      </c>
      <c r="BR3" s="190">
        <v>1500</v>
      </c>
      <c r="BS3" s="190">
        <v>52101.23</v>
      </c>
      <c r="BT3" s="190">
        <v>1680</v>
      </c>
      <c r="BU3" s="190">
        <v>25980.76</v>
      </c>
      <c r="BV3" s="190">
        <v>0</v>
      </c>
    </row>
    <row r="4" spans="1:74" s="26" customFormat="1" x14ac:dyDescent="0.25">
      <c r="A4" s="17" t="s">
        <v>304</v>
      </c>
      <c r="B4" s="190">
        <v>2045279305.0699999</v>
      </c>
      <c r="C4" s="190">
        <v>1573966251.5899999</v>
      </c>
      <c r="D4" s="190">
        <v>822308036.27999997</v>
      </c>
      <c r="E4" s="190">
        <v>1692193203.99</v>
      </c>
      <c r="F4" s="190">
        <v>985865888</v>
      </c>
      <c r="G4" s="190">
        <v>510640894.91000003</v>
      </c>
      <c r="H4" s="190">
        <v>299372863.43000001</v>
      </c>
      <c r="I4" s="190">
        <v>911376475.87</v>
      </c>
      <c r="J4" s="190">
        <v>601694744.67999995</v>
      </c>
      <c r="K4" s="190">
        <v>352490075.76999998</v>
      </c>
      <c r="L4" s="190">
        <v>224745614.88</v>
      </c>
      <c r="M4" s="190">
        <v>1330084112.5</v>
      </c>
      <c r="N4" s="190">
        <v>955163382.77999997</v>
      </c>
      <c r="O4" s="190">
        <v>557738624.16999996</v>
      </c>
      <c r="P4" s="190">
        <v>187261618.88999999</v>
      </c>
      <c r="Q4" s="190">
        <v>610826390.46000004</v>
      </c>
      <c r="R4" s="190">
        <v>455391362.50999999</v>
      </c>
      <c r="S4" s="190">
        <v>375222357.49000001</v>
      </c>
      <c r="T4" s="190">
        <v>153518294.28999999</v>
      </c>
      <c r="U4" s="190">
        <v>390907928.58999997</v>
      </c>
      <c r="V4" s="190">
        <v>209740058.03</v>
      </c>
      <c r="W4" s="190">
        <v>120579336.25</v>
      </c>
      <c r="X4" s="190">
        <v>45030251.969999999</v>
      </c>
      <c r="Y4" s="190">
        <v>479038302.31999999</v>
      </c>
      <c r="Z4" s="190">
        <v>402014562.05000001</v>
      </c>
      <c r="AA4" s="190">
        <v>174337968.31</v>
      </c>
      <c r="AB4" s="190">
        <v>33888040.259999998</v>
      </c>
      <c r="AC4" s="190">
        <v>228403056.66</v>
      </c>
      <c r="AD4" s="190">
        <v>149038646.09</v>
      </c>
      <c r="AE4" s="190">
        <v>86128129.530000001</v>
      </c>
      <c r="AF4" s="190">
        <v>32173837.960000001</v>
      </c>
      <c r="AG4" s="190">
        <v>250745057.12</v>
      </c>
      <c r="AH4" s="190">
        <v>181103774.33000001</v>
      </c>
      <c r="AI4" s="190">
        <v>114188046.38</v>
      </c>
      <c r="AJ4" s="190">
        <v>67490125.140000001</v>
      </c>
      <c r="AK4" s="190">
        <v>223375989.71000001</v>
      </c>
      <c r="AL4" s="190">
        <v>73587697.939999998</v>
      </c>
      <c r="AM4" s="190">
        <v>43334751.530000001</v>
      </c>
      <c r="AN4" s="190">
        <v>7129912.4000000004</v>
      </c>
      <c r="AO4" s="190">
        <v>45606438.979999997</v>
      </c>
      <c r="AP4" s="190">
        <v>25707501.98</v>
      </c>
      <c r="AQ4" s="190">
        <v>0</v>
      </c>
      <c r="AR4" s="190">
        <v>4086163.05</v>
      </c>
      <c r="AS4" s="190">
        <v>248805213.50999999</v>
      </c>
      <c r="AT4" s="190">
        <v>180806493.18000001</v>
      </c>
      <c r="AU4" s="190">
        <v>102706016.8</v>
      </c>
      <c r="AV4" s="190">
        <v>39566827.240000002</v>
      </c>
      <c r="AW4" s="190">
        <v>251397575.99000001</v>
      </c>
      <c r="AX4" s="190">
        <v>231787598.30000001</v>
      </c>
      <c r="AY4" s="190">
        <v>193913936.41999999</v>
      </c>
      <c r="AZ4" s="190">
        <v>732516.47</v>
      </c>
      <c r="BA4" s="190">
        <v>117069771.09999999</v>
      </c>
      <c r="BB4" s="190">
        <v>72571280.939999998</v>
      </c>
      <c r="BC4" s="190">
        <v>69853888.430000007</v>
      </c>
      <c r="BD4" s="190">
        <v>48611645.549999997</v>
      </c>
      <c r="BE4" s="190">
        <v>683013865.38</v>
      </c>
      <c r="BF4" s="190">
        <v>111516381.05</v>
      </c>
      <c r="BG4" s="190">
        <v>99482044.859999999</v>
      </c>
      <c r="BH4" s="190">
        <v>66469318.329999998</v>
      </c>
      <c r="BI4" s="190">
        <v>1370837016.3299999</v>
      </c>
      <c r="BJ4" s="190">
        <v>869403485.79999995</v>
      </c>
      <c r="BK4" s="190">
        <v>102523951.22</v>
      </c>
      <c r="BL4" s="190">
        <v>18067034.449999999</v>
      </c>
      <c r="BM4" s="190">
        <v>1276551302.9200001</v>
      </c>
      <c r="BN4" s="190">
        <v>227870170.09</v>
      </c>
      <c r="BO4" s="190">
        <v>1825260201.4100001</v>
      </c>
      <c r="BP4" s="190">
        <v>1033022955.65</v>
      </c>
      <c r="BQ4" s="190">
        <v>508204018.88</v>
      </c>
      <c r="BR4" s="190">
        <v>378968057.27999997</v>
      </c>
      <c r="BS4" s="190">
        <v>94153230.329999998</v>
      </c>
      <c r="BT4" s="190">
        <v>6757461.4400000004</v>
      </c>
      <c r="BU4" s="190">
        <v>585117171</v>
      </c>
      <c r="BV4" s="190">
        <v>0</v>
      </c>
    </row>
    <row r="5" spans="1:74" s="47" customFormat="1" x14ac:dyDescent="0.25">
      <c r="A5" s="135" t="s">
        <v>295</v>
      </c>
      <c r="E5" s="47">
        <f>E4-E3</f>
        <v>1669106909.53</v>
      </c>
      <c r="F5" s="47">
        <f t="shared" ref="F5:AR5" si="0">F4-F3</f>
        <v>969158422.51999998</v>
      </c>
      <c r="G5" s="47">
        <f t="shared" si="0"/>
        <v>499579220.20000005</v>
      </c>
      <c r="H5" s="47">
        <f t="shared" si="0"/>
        <v>297290033.47000003</v>
      </c>
      <c r="I5" s="47">
        <f t="shared" si="0"/>
        <v>891971710.72000003</v>
      </c>
      <c r="J5" s="47">
        <f t="shared" si="0"/>
        <v>601359286.45999992</v>
      </c>
      <c r="K5" s="47">
        <f t="shared" si="0"/>
        <v>352121399.01999998</v>
      </c>
      <c r="L5" s="47">
        <f t="shared" si="0"/>
        <v>224504415</v>
      </c>
      <c r="M5" s="47">
        <f t="shared" si="0"/>
        <v>1317053137.1600001</v>
      </c>
      <c r="N5" s="47">
        <f t="shared" si="0"/>
        <v>951724866.33999991</v>
      </c>
      <c r="O5" s="47">
        <f t="shared" si="0"/>
        <v>555514965.06999993</v>
      </c>
      <c r="P5" s="47">
        <f t="shared" si="0"/>
        <v>186078600.25</v>
      </c>
      <c r="Q5" s="47">
        <f t="shared" si="0"/>
        <v>604948410.01999998</v>
      </c>
      <c r="R5" s="47">
        <f t="shared" si="0"/>
        <v>454013852.37</v>
      </c>
      <c r="S5" s="47">
        <f t="shared" si="0"/>
        <v>374293926.56999999</v>
      </c>
      <c r="T5" s="47">
        <f t="shared" si="0"/>
        <v>151569382.22999999</v>
      </c>
      <c r="U5" s="47">
        <f t="shared" si="0"/>
        <v>389623100.81999999</v>
      </c>
      <c r="V5" s="47">
        <f t="shared" si="0"/>
        <v>208349210.27000001</v>
      </c>
      <c r="W5" s="47">
        <f t="shared" si="0"/>
        <v>119642700.39</v>
      </c>
      <c r="X5" s="47">
        <f t="shared" si="0"/>
        <v>45001460.189999998</v>
      </c>
      <c r="Y5" s="47">
        <f t="shared" si="0"/>
        <v>478722265.39999998</v>
      </c>
      <c r="Z5" s="47">
        <f t="shared" si="0"/>
        <v>401056797.36000001</v>
      </c>
      <c r="AA5" s="47">
        <f t="shared" si="0"/>
        <v>174219584.31</v>
      </c>
      <c r="AB5" s="47">
        <f t="shared" si="0"/>
        <v>33848666.259999998</v>
      </c>
      <c r="AC5" s="47">
        <f t="shared" si="0"/>
        <v>226533412.27000001</v>
      </c>
      <c r="AD5" s="47">
        <f t="shared" si="0"/>
        <v>148542507.70000002</v>
      </c>
      <c r="AE5" s="47">
        <f t="shared" si="0"/>
        <v>85583264.340000004</v>
      </c>
      <c r="AF5" s="47">
        <f t="shared" si="0"/>
        <v>32131982.16</v>
      </c>
      <c r="AG5" s="47">
        <f t="shared" si="0"/>
        <v>249651918.02000001</v>
      </c>
      <c r="AH5" s="47">
        <f t="shared" si="0"/>
        <v>180953349.73000002</v>
      </c>
      <c r="AI5" s="47">
        <f t="shared" si="0"/>
        <v>114012199.42</v>
      </c>
      <c r="AJ5" s="47">
        <f t="shared" si="0"/>
        <v>67439546.820000008</v>
      </c>
      <c r="AK5" s="47">
        <f t="shared" si="0"/>
        <v>223238515.71000001</v>
      </c>
      <c r="AL5" s="47">
        <f t="shared" si="0"/>
        <v>73574756.439999998</v>
      </c>
      <c r="AM5" s="47">
        <f t="shared" si="0"/>
        <v>43327640.030000001</v>
      </c>
      <c r="AN5" s="47">
        <f t="shared" si="0"/>
        <v>7129912.4000000004</v>
      </c>
      <c r="AO5" s="47">
        <f t="shared" si="0"/>
        <v>45560071.269999996</v>
      </c>
      <c r="AP5" s="47">
        <f t="shared" si="0"/>
        <v>25587705.050000001</v>
      </c>
      <c r="AQ5" s="47">
        <f t="shared" si="0"/>
        <v>0</v>
      </c>
      <c r="AR5" s="47">
        <f t="shared" si="0"/>
        <v>4081063.05</v>
      </c>
    </row>
    <row r="6" spans="1:74" s="105" customFormat="1" x14ac:dyDescent="0.25">
      <c r="A6" s="136" t="s">
        <v>305</v>
      </c>
      <c r="B6" s="190">
        <v>0</v>
      </c>
      <c r="C6" s="190">
        <v>196191929.38999999</v>
      </c>
      <c r="D6" s="190">
        <v>0</v>
      </c>
      <c r="E6" s="190">
        <v>301861330.86000001</v>
      </c>
      <c r="F6" s="190">
        <v>0</v>
      </c>
      <c r="G6" s="190">
        <v>162308009.16</v>
      </c>
      <c r="H6" s="190">
        <v>0</v>
      </c>
      <c r="I6" s="190">
        <v>211545008.25</v>
      </c>
      <c r="J6" s="190">
        <v>0</v>
      </c>
      <c r="K6" s="190">
        <v>90317400.920000002</v>
      </c>
      <c r="L6" s="190">
        <v>0</v>
      </c>
      <c r="M6" s="190">
        <v>132614495.73</v>
      </c>
      <c r="N6" s="190">
        <v>0</v>
      </c>
      <c r="O6" s="190">
        <v>61441674.289999999</v>
      </c>
      <c r="P6" s="190">
        <v>0</v>
      </c>
      <c r="Q6" s="190">
        <v>96713691.319999993</v>
      </c>
      <c r="R6" s="190">
        <v>0</v>
      </c>
      <c r="S6" s="190">
        <v>35892279.280000001</v>
      </c>
      <c r="T6" s="190">
        <v>0</v>
      </c>
      <c r="U6" s="190">
        <v>66233752.909999996</v>
      </c>
      <c r="V6" s="190">
        <v>0</v>
      </c>
      <c r="W6" s="190">
        <v>31329083.129999999</v>
      </c>
      <c r="X6" s="190">
        <v>0</v>
      </c>
      <c r="Y6" s="190">
        <v>55492100.969999999</v>
      </c>
      <c r="Z6" s="190">
        <v>0</v>
      </c>
      <c r="AA6" s="190">
        <v>25489694</v>
      </c>
      <c r="AB6" s="190">
        <v>0</v>
      </c>
      <c r="AC6" s="190">
        <v>34602088.369999997</v>
      </c>
      <c r="AD6" s="190">
        <v>0</v>
      </c>
      <c r="AE6" s="190">
        <v>14298817.5</v>
      </c>
      <c r="AF6" s="190">
        <v>0</v>
      </c>
      <c r="AG6" s="190">
        <v>17916254.739999998</v>
      </c>
      <c r="AH6" s="190">
        <v>0</v>
      </c>
      <c r="AI6" s="190">
        <v>7032845.1799999997</v>
      </c>
      <c r="AJ6" s="190">
        <v>0</v>
      </c>
      <c r="AK6" s="190">
        <v>8222150.8200000003</v>
      </c>
      <c r="AL6" s="190">
        <v>0</v>
      </c>
      <c r="AM6" s="190">
        <v>3664783.35</v>
      </c>
      <c r="AN6" s="190">
        <v>0</v>
      </c>
      <c r="AO6" s="190">
        <v>7651305.4400000004</v>
      </c>
      <c r="AP6" s="190">
        <v>4748432.37</v>
      </c>
      <c r="AQ6" s="190">
        <v>0</v>
      </c>
      <c r="AR6" s="190">
        <v>0</v>
      </c>
      <c r="AS6" s="190">
        <v>466252820.24000001</v>
      </c>
      <c r="AT6" s="190">
        <v>0</v>
      </c>
      <c r="AU6" s="190">
        <v>0</v>
      </c>
      <c r="AV6" s="190">
        <v>0</v>
      </c>
      <c r="AW6" s="190">
        <v>467047308.91000003</v>
      </c>
      <c r="AX6" s="190">
        <v>322210774.50999999</v>
      </c>
      <c r="AY6" s="190">
        <v>214415246.97</v>
      </c>
      <c r="AZ6" s="190">
        <v>106891762.23999999</v>
      </c>
      <c r="BA6" s="190">
        <v>478234075.06999999</v>
      </c>
      <c r="BB6" s="190">
        <v>357766299.13</v>
      </c>
      <c r="BC6" s="190">
        <v>237335309.81999999</v>
      </c>
      <c r="BD6" s="190">
        <v>118623693.14</v>
      </c>
      <c r="BE6" s="190">
        <v>404552322.94</v>
      </c>
      <c r="BF6" s="190">
        <v>305788725.56</v>
      </c>
      <c r="BG6" s="190">
        <v>208996928.00999999</v>
      </c>
      <c r="BH6" s="190">
        <v>112312929.75</v>
      </c>
      <c r="BI6" s="190">
        <v>275750634.47000003</v>
      </c>
      <c r="BJ6" s="190">
        <v>202256946.52000001</v>
      </c>
      <c r="BK6" s="190">
        <v>113461866.70999999</v>
      </c>
      <c r="BL6" s="190">
        <v>56664861.82</v>
      </c>
      <c r="BM6" s="190">
        <v>233663769.53999999</v>
      </c>
      <c r="BN6" s="190">
        <v>102939387.53</v>
      </c>
      <c r="BO6" s="190">
        <v>165653982.56</v>
      </c>
      <c r="BP6" s="190">
        <v>49234570.869999997</v>
      </c>
      <c r="BQ6" s="190">
        <v>130519869.31</v>
      </c>
      <c r="BR6" s="190">
        <v>62414344.259999998</v>
      </c>
      <c r="BS6" s="190">
        <v>56928281.189999998</v>
      </c>
      <c r="BT6" s="190">
        <v>29633190.559999999</v>
      </c>
      <c r="BU6" s="190">
        <v>42460875.850000001</v>
      </c>
      <c r="BV6" s="190">
        <v>0</v>
      </c>
    </row>
    <row r="7" spans="1:74" s="26" customFormat="1" x14ac:dyDescent="0.25">
      <c r="A7" s="17" t="s">
        <v>306</v>
      </c>
      <c r="B7" s="190">
        <v>0</v>
      </c>
      <c r="C7" s="190">
        <v>27572243.920000002</v>
      </c>
      <c r="D7" s="190">
        <v>0</v>
      </c>
      <c r="E7" s="190">
        <v>39412000.700000003</v>
      </c>
      <c r="F7" s="190">
        <v>0</v>
      </c>
      <c r="G7" s="190">
        <v>21115783.510000002</v>
      </c>
      <c r="H7" s="190">
        <v>0</v>
      </c>
      <c r="I7" s="190">
        <v>29127775.780000001</v>
      </c>
      <c r="J7" s="190">
        <v>0</v>
      </c>
      <c r="K7" s="190">
        <v>16488748.289999999</v>
      </c>
      <c r="L7" s="190">
        <v>0</v>
      </c>
      <c r="M7" s="190">
        <v>22864330.359999999</v>
      </c>
      <c r="N7" s="190">
        <v>0</v>
      </c>
      <c r="O7" s="190">
        <v>9311049.4299999997</v>
      </c>
      <c r="P7" s="190">
        <v>0</v>
      </c>
      <c r="Q7" s="190">
        <v>12662696.57</v>
      </c>
      <c r="R7" s="190">
        <v>0</v>
      </c>
      <c r="S7" s="190">
        <v>5846929.1399999997</v>
      </c>
      <c r="T7" s="190">
        <v>0</v>
      </c>
      <c r="U7" s="190">
        <v>5441954.21</v>
      </c>
      <c r="V7" s="190">
        <v>0</v>
      </c>
      <c r="W7" s="190">
        <v>3044601.62</v>
      </c>
      <c r="X7" s="190">
        <v>0</v>
      </c>
      <c r="Y7" s="190">
        <v>4951166.1900000004</v>
      </c>
      <c r="Z7" s="190">
        <v>0</v>
      </c>
      <c r="AA7" s="190">
        <v>1968467.67</v>
      </c>
      <c r="AB7" s="190">
        <v>0</v>
      </c>
      <c r="AC7" s="190">
        <v>3289630.76</v>
      </c>
      <c r="AD7" s="190">
        <v>0</v>
      </c>
      <c r="AE7" s="190">
        <v>1647879.85</v>
      </c>
      <c r="AF7" s="190">
        <v>0</v>
      </c>
      <c r="AG7" s="190">
        <v>2025971.64</v>
      </c>
      <c r="AH7" s="190">
        <v>0</v>
      </c>
      <c r="AI7" s="190">
        <v>732223.4</v>
      </c>
      <c r="AJ7" s="190">
        <v>0</v>
      </c>
      <c r="AK7" s="190">
        <v>1076164.26</v>
      </c>
      <c r="AL7" s="190">
        <v>0</v>
      </c>
      <c r="AM7" s="190">
        <v>601253.18000000005</v>
      </c>
      <c r="AN7" s="190">
        <v>0</v>
      </c>
      <c r="AO7" s="190">
        <v>1075475.46</v>
      </c>
      <c r="AP7" s="190">
        <v>582581.89</v>
      </c>
      <c r="AQ7" s="190">
        <v>0</v>
      </c>
      <c r="AR7" s="190">
        <v>0</v>
      </c>
      <c r="AS7" s="190">
        <v>1586144.88</v>
      </c>
      <c r="AT7" s="190">
        <v>0</v>
      </c>
      <c r="AU7" s="190">
        <v>0</v>
      </c>
      <c r="AV7" s="190">
        <v>0</v>
      </c>
      <c r="AW7" s="190">
        <v>3799631.08</v>
      </c>
      <c r="AX7" s="190">
        <v>3384594.86</v>
      </c>
      <c r="AY7" s="190">
        <v>1952934.44</v>
      </c>
      <c r="AZ7" s="190">
        <v>567536.22</v>
      </c>
      <c r="BA7" s="190">
        <v>1586144.88</v>
      </c>
      <c r="BB7" s="190">
        <v>1189608.6599999999</v>
      </c>
      <c r="BC7" s="190">
        <v>793072.44</v>
      </c>
      <c r="BD7" s="190">
        <v>396536.22</v>
      </c>
      <c r="BE7" s="190">
        <v>2026799.88</v>
      </c>
      <c r="BF7" s="190">
        <v>1513263.66</v>
      </c>
      <c r="BG7" s="190">
        <v>968842.44</v>
      </c>
      <c r="BH7" s="190">
        <v>572304.69999999995</v>
      </c>
      <c r="BI7" s="190">
        <v>2294148.85</v>
      </c>
      <c r="BJ7" s="190">
        <v>1897612.63</v>
      </c>
      <c r="BK7" s="190">
        <v>1501076.41</v>
      </c>
      <c r="BL7" s="190">
        <v>397126.17</v>
      </c>
      <c r="BM7" s="190">
        <v>3779059.29</v>
      </c>
      <c r="BN7" s="190">
        <v>943096.31999999995</v>
      </c>
      <c r="BO7" s="190">
        <v>1696119.74</v>
      </c>
      <c r="BP7" s="190">
        <v>808679.94</v>
      </c>
      <c r="BQ7" s="190">
        <v>2290393.21</v>
      </c>
      <c r="BR7" s="190">
        <v>677235.94</v>
      </c>
      <c r="BS7" s="190">
        <v>16746446.949999999</v>
      </c>
      <c r="BT7" s="190">
        <v>1394056.95</v>
      </c>
      <c r="BU7" s="190">
        <v>2442875.52</v>
      </c>
      <c r="BV7" s="190">
        <v>0</v>
      </c>
    </row>
    <row r="8" spans="1:74" s="26" customFormat="1" x14ac:dyDescent="0.25">
      <c r="A8" s="17" t="s">
        <v>307</v>
      </c>
      <c r="B8" s="190">
        <v>0</v>
      </c>
      <c r="C8" s="190">
        <v>0</v>
      </c>
      <c r="D8" s="190">
        <v>0</v>
      </c>
      <c r="E8" s="190">
        <v>0</v>
      </c>
      <c r="F8" s="190">
        <v>0</v>
      </c>
      <c r="G8" s="190">
        <v>0</v>
      </c>
      <c r="H8" s="190">
        <v>0</v>
      </c>
      <c r="I8" s="190">
        <v>0</v>
      </c>
      <c r="J8" s="190">
        <v>0</v>
      </c>
      <c r="K8" s="190">
        <v>0</v>
      </c>
      <c r="L8" s="190">
        <v>0</v>
      </c>
      <c r="M8" s="190">
        <v>0</v>
      </c>
      <c r="N8" s="190">
        <v>0</v>
      </c>
      <c r="O8" s="190">
        <v>0</v>
      </c>
      <c r="P8" s="190">
        <v>0</v>
      </c>
      <c r="Q8" s="190">
        <v>0</v>
      </c>
      <c r="R8" s="190">
        <v>0</v>
      </c>
      <c r="S8" s="190">
        <v>317287.46999999997</v>
      </c>
      <c r="T8" s="190">
        <v>0</v>
      </c>
      <c r="U8" s="190">
        <v>607322.68999999994</v>
      </c>
      <c r="V8" s="190">
        <v>0</v>
      </c>
      <c r="W8" s="190">
        <v>331748.69</v>
      </c>
      <c r="X8" s="190">
        <v>0</v>
      </c>
      <c r="Y8" s="190">
        <v>456480</v>
      </c>
      <c r="Z8" s="190">
        <v>0</v>
      </c>
      <c r="AA8" s="190">
        <v>0</v>
      </c>
      <c r="AB8" s="190">
        <v>0</v>
      </c>
      <c r="AC8" s="190">
        <v>0</v>
      </c>
      <c r="AD8" s="190">
        <v>0</v>
      </c>
      <c r="AE8" s="190">
        <v>0</v>
      </c>
      <c r="AF8" s="190">
        <v>0</v>
      </c>
      <c r="AG8" s="190">
        <v>0</v>
      </c>
      <c r="AH8" s="190">
        <v>0</v>
      </c>
      <c r="AI8" s="190">
        <v>0</v>
      </c>
      <c r="AJ8" s="190">
        <v>0</v>
      </c>
      <c r="AK8" s="190">
        <v>192333.74</v>
      </c>
      <c r="AL8" s="190">
        <v>0</v>
      </c>
      <c r="AM8" s="190">
        <v>0</v>
      </c>
      <c r="AN8" s="190">
        <v>0</v>
      </c>
      <c r="AO8" s="190">
        <v>0</v>
      </c>
      <c r="AP8" s="190">
        <v>0</v>
      </c>
      <c r="AQ8" s="190">
        <v>0</v>
      </c>
      <c r="AR8" s="190">
        <v>0</v>
      </c>
      <c r="AS8" s="190">
        <v>820470.57</v>
      </c>
      <c r="AT8" s="190">
        <v>0</v>
      </c>
      <c r="AU8" s="190">
        <v>0</v>
      </c>
      <c r="AV8" s="190">
        <v>0</v>
      </c>
      <c r="AW8" s="190">
        <v>0</v>
      </c>
      <c r="AX8" s="190">
        <v>0</v>
      </c>
      <c r="AY8" s="190">
        <v>0</v>
      </c>
      <c r="AZ8" s="190">
        <v>0</v>
      </c>
      <c r="BA8" s="190">
        <v>0</v>
      </c>
      <c r="BB8" s="190">
        <v>0</v>
      </c>
      <c r="BC8" s="190">
        <v>0</v>
      </c>
      <c r="BD8" s="190">
        <v>0</v>
      </c>
      <c r="BE8" s="190">
        <v>0</v>
      </c>
      <c r="BF8" s="190">
        <v>0</v>
      </c>
      <c r="BG8" s="190">
        <v>0</v>
      </c>
      <c r="BH8" s="190">
        <v>0</v>
      </c>
      <c r="BI8" s="190">
        <v>0</v>
      </c>
      <c r="BJ8" s="190">
        <v>0</v>
      </c>
      <c r="BK8" s="190">
        <v>0</v>
      </c>
      <c r="BL8" s="190">
        <v>0</v>
      </c>
      <c r="BM8" s="190">
        <v>0</v>
      </c>
      <c r="BN8" s="190">
        <v>0</v>
      </c>
      <c r="BO8" s="190">
        <v>0</v>
      </c>
      <c r="BP8" s="190">
        <v>0</v>
      </c>
      <c r="BQ8" s="190">
        <v>0</v>
      </c>
      <c r="BR8" s="190">
        <v>0</v>
      </c>
      <c r="BS8" s="190">
        <v>0</v>
      </c>
      <c r="BT8" s="190">
        <v>0</v>
      </c>
      <c r="BU8" s="190">
        <v>0</v>
      </c>
      <c r="BV8" s="190">
        <v>0</v>
      </c>
    </row>
    <row r="9" spans="1:74" s="26" customFormat="1" x14ac:dyDescent="0.25">
      <c r="A9" s="17" t="s">
        <v>308</v>
      </c>
      <c r="B9" s="190">
        <v>0</v>
      </c>
      <c r="C9" s="190">
        <v>-3763578.84</v>
      </c>
      <c r="D9" s="190">
        <v>0</v>
      </c>
      <c r="E9" s="190">
        <v>-1585222.5</v>
      </c>
      <c r="F9" s="190">
        <v>0</v>
      </c>
      <c r="G9" s="190">
        <v>-2226974.5499999998</v>
      </c>
      <c r="H9" s="190">
        <v>0</v>
      </c>
      <c r="I9" s="190">
        <v>736149.02</v>
      </c>
      <c r="J9" s="190">
        <v>0</v>
      </c>
      <c r="K9" s="190">
        <v>299151.65000000002</v>
      </c>
      <c r="L9" s="190">
        <v>0</v>
      </c>
      <c r="M9" s="190">
        <v>-1679868.58</v>
      </c>
      <c r="N9" s="190">
        <v>0</v>
      </c>
      <c r="O9" s="190">
        <v>235695.32</v>
      </c>
      <c r="P9" s="190">
        <v>0</v>
      </c>
      <c r="Q9" s="190">
        <v>467280.37</v>
      </c>
      <c r="R9" s="190">
        <v>0</v>
      </c>
      <c r="S9" s="190">
        <v>103329.34</v>
      </c>
      <c r="T9" s="190">
        <v>0</v>
      </c>
      <c r="U9" s="190">
        <v>205710.43</v>
      </c>
      <c r="V9" s="190">
        <v>0</v>
      </c>
      <c r="W9" s="190">
        <v>127202.96</v>
      </c>
      <c r="X9" s="190">
        <v>0</v>
      </c>
      <c r="Y9" s="190">
        <v>98281.8</v>
      </c>
      <c r="Z9" s="190">
        <v>0</v>
      </c>
      <c r="AA9" s="190">
        <v>62879.44</v>
      </c>
      <c r="AB9" s="190">
        <v>0</v>
      </c>
      <c r="AC9" s="190">
        <v>-994268.3</v>
      </c>
      <c r="AD9" s="190">
        <v>0</v>
      </c>
      <c r="AE9" s="190">
        <v>-239750</v>
      </c>
      <c r="AF9" s="190">
        <v>0</v>
      </c>
      <c r="AG9" s="190">
        <v>195054.77</v>
      </c>
      <c r="AH9" s="190">
        <v>0</v>
      </c>
      <c r="AI9" s="190">
        <v>184655.52</v>
      </c>
      <c r="AJ9" s="190">
        <v>0</v>
      </c>
      <c r="AK9" s="190">
        <v>894764.74</v>
      </c>
      <c r="AL9" s="190">
        <v>0</v>
      </c>
      <c r="AM9" s="190">
        <v>6766.91</v>
      </c>
      <c r="AN9" s="190">
        <v>0</v>
      </c>
      <c r="AO9" s="190">
        <v>12283.16</v>
      </c>
      <c r="AP9" s="190">
        <v>12015.35</v>
      </c>
      <c r="AQ9" s="190">
        <v>0</v>
      </c>
      <c r="AR9" s="190">
        <v>0</v>
      </c>
      <c r="AS9" s="190">
        <v>-598305.26</v>
      </c>
      <c r="AT9" s="190">
        <v>0</v>
      </c>
      <c r="AU9" s="190">
        <v>0</v>
      </c>
      <c r="AV9" s="190">
        <v>0</v>
      </c>
      <c r="AW9" s="190">
        <v>269102.78999999998</v>
      </c>
      <c r="AX9" s="190">
        <v>146154.56</v>
      </c>
      <c r="AY9" s="190">
        <v>-125360.21</v>
      </c>
      <c r="AZ9" s="190">
        <v>0</v>
      </c>
      <c r="BA9" s="190">
        <v>-191319.73</v>
      </c>
      <c r="BB9" s="190">
        <v>-54708.43</v>
      </c>
      <c r="BC9" s="190">
        <v>-7534.17</v>
      </c>
      <c r="BD9" s="190">
        <v>-12970.6</v>
      </c>
      <c r="BE9" s="190">
        <v>2450780.61</v>
      </c>
      <c r="BF9" s="190">
        <v>461041.96</v>
      </c>
      <c r="BG9" s="190">
        <v>260575.46</v>
      </c>
      <c r="BH9" s="190">
        <v>-14558</v>
      </c>
      <c r="BI9" s="190">
        <v>3395525.08</v>
      </c>
      <c r="BJ9" s="190">
        <v>-15527.85</v>
      </c>
      <c r="BK9" s="190">
        <v>13728.15</v>
      </c>
      <c r="BL9" s="190">
        <v>-38776.370000000003</v>
      </c>
      <c r="BM9" s="190">
        <v>925739.38</v>
      </c>
      <c r="BN9" s="190">
        <v>510508.23</v>
      </c>
      <c r="BO9" s="190">
        <v>-49398.94</v>
      </c>
      <c r="BP9" s="190">
        <v>1595890.7</v>
      </c>
      <c r="BQ9" s="190">
        <v>-3580</v>
      </c>
      <c r="BR9" s="190">
        <v>-1500</v>
      </c>
      <c r="BS9" s="190">
        <v>169771.53</v>
      </c>
      <c r="BT9" s="190">
        <v>-1680</v>
      </c>
      <c r="BU9" s="190">
        <v>0</v>
      </c>
      <c r="BV9" s="190">
        <v>0</v>
      </c>
    </row>
    <row r="10" spans="1:74" s="26" customFormat="1" x14ac:dyDescent="0.25">
      <c r="A10" s="17" t="s">
        <v>309</v>
      </c>
      <c r="B10" s="190">
        <v>0</v>
      </c>
      <c r="C10" s="190">
        <v>415906.3</v>
      </c>
      <c r="D10" s="190">
        <v>0</v>
      </c>
      <c r="E10" s="190">
        <v>0</v>
      </c>
      <c r="F10" s="190">
        <v>0</v>
      </c>
      <c r="G10" s="190">
        <v>0</v>
      </c>
      <c r="H10" s="190">
        <v>0</v>
      </c>
      <c r="I10" s="190">
        <v>0</v>
      </c>
      <c r="J10" s="190">
        <v>0</v>
      </c>
      <c r="K10" s="190">
        <v>0</v>
      </c>
      <c r="L10" s="190">
        <v>0</v>
      </c>
      <c r="M10" s="190">
        <v>-35554.46</v>
      </c>
      <c r="N10" s="190">
        <v>0</v>
      </c>
      <c r="O10" s="190">
        <v>0</v>
      </c>
      <c r="P10" s="190">
        <v>0</v>
      </c>
      <c r="Q10" s="190">
        <v>0</v>
      </c>
      <c r="R10" s="190">
        <v>0</v>
      </c>
      <c r="S10" s="190">
        <v>0</v>
      </c>
      <c r="T10" s="190">
        <v>0</v>
      </c>
      <c r="U10" s="190">
        <v>0</v>
      </c>
      <c r="V10" s="190">
        <v>0</v>
      </c>
      <c r="W10" s="190">
        <v>0</v>
      </c>
      <c r="X10" s="190">
        <v>0</v>
      </c>
      <c r="Y10" s="190">
        <v>0</v>
      </c>
      <c r="Z10" s="190">
        <v>0</v>
      </c>
      <c r="AA10" s="190">
        <v>0</v>
      </c>
      <c r="AB10" s="190">
        <v>0</v>
      </c>
      <c r="AC10" s="190">
        <v>0</v>
      </c>
      <c r="AD10" s="190">
        <v>0</v>
      </c>
      <c r="AE10" s="190">
        <v>0</v>
      </c>
      <c r="AF10" s="190">
        <v>0</v>
      </c>
      <c r="AG10" s="190">
        <v>0</v>
      </c>
      <c r="AH10" s="190">
        <v>0</v>
      </c>
      <c r="AI10" s="190">
        <v>0</v>
      </c>
      <c r="AJ10" s="190">
        <v>0</v>
      </c>
      <c r="AK10" s="190">
        <v>0</v>
      </c>
      <c r="AL10" s="190">
        <v>0</v>
      </c>
      <c r="AM10" s="190">
        <v>0</v>
      </c>
      <c r="AN10" s="190">
        <v>0</v>
      </c>
      <c r="AO10" s="190">
        <v>0</v>
      </c>
      <c r="AP10" s="190">
        <v>11725.25</v>
      </c>
      <c r="AQ10" s="190">
        <v>0</v>
      </c>
      <c r="AR10" s="190">
        <v>0</v>
      </c>
      <c r="AS10" s="190">
        <v>577470.38</v>
      </c>
      <c r="AT10" s="190">
        <v>0</v>
      </c>
      <c r="AU10" s="190">
        <v>0</v>
      </c>
      <c r="AV10" s="190">
        <v>0</v>
      </c>
      <c r="AW10" s="190">
        <v>0</v>
      </c>
      <c r="AX10" s="190">
        <v>0</v>
      </c>
      <c r="AY10" s="190">
        <v>1108956.43</v>
      </c>
      <c r="AZ10" s="190">
        <v>0</v>
      </c>
      <c r="BA10" s="190">
        <v>0</v>
      </c>
      <c r="BB10" s="190">
        <v>0</v>
      </c>
      <c r="BC10" s="190">
        <v>0</v>
      </c>
      <c r="BD10" s="190">
        <v>0</v>
      </c>
      <c r="BE10" s="190">
        <v>10234174.27</v>
      </c>
      <c r="BF10" s="190">
        <v>6735200.1100000003</v>
      </c>
      <c r="BG10" s="190">
        <v>2122271.27</v>
      </c>
      <c r="BH10" s="190">
        <v>0</v>
      </c>
      <c r="BI10" s="190">
        <v>5443986.7300000004</v>
      </c>
      <c r="BJ10" s="190">
        <v>2732944.24</v>
      </c>
      <c r="BK10" s="190">
        <v>1676945.26</v>
      </c>
      <c r="BL10" s="190">
        <v>15909.78</v>
      </c>
      <c r="BM10" s="190">
        <v>4369433.5199999996</v>
      </c>
      <c r="BN10" s="190">
        <v>256577.04</v>
      </c>
      <c r="BO10" s="190">
        <v>2074884.19</v>
      </c>
      <c r="BP10" s="190">
        <v>0</v>
      </c>
      <c r="BQ10" s="190">
        <v>1025342.66</v>
      </c>
      <c r="BR10" s="190">
        <v>43944</v>
      </c>
      <c r="BS10" s="190">
        <v>0</v>
      </c>
      <c r="BT10" s="190">
        <v>7101</v>
      </c>
      <c r="BU10" s="190">
        <v>0</v>
      </c>
      <c r="BV10" s="190">
        <v>0</v>
      </c>
    </row>
    <row r="11" spans="1:74" s="47" customFormat="1" x14ac:dyDescent="0.25">
      <c r="A11" s="135" t="s">
        <v>296</v>
      </c>
      <c r="E11" s="47">
        <f>E5-E6-E7-E8-E9-E10</f>
        <v>1329418800.47</v>
      </c>
      <c r="F11" s="47">
        <f t="shared" ref="F11:BQ11" si="1">F5-F6-F7-F8-F9-F10</f>
        <v>969158422.51999998</v>
      </c>
      <c r="G11" s="47">
        <f t="shared" si="1"/>
        <v>318382402.0800001</v>
      </c>
      <c r="H11" s="47">
        <f t="shared" si="1"/>
        <v>297290033.47000003</v>
      </c>
      <c r="I11" s="47">
        <f t="shared" si="1"/>
        <v>650562777.67000008</v>
      </c>
      <c r="J11" s="47">
        <f t="shared" si="1"/>
        <v>601359286.45999992</v>
      </c>
      <c r="K11" s="47">
        <f t="shared" si="1"/>
        <v>245016098.15999997</v>
      </c>
      <c r="L11" s="47">
        <f t="shared" si="1"/>
        <v>224504415</v>
      </c>
      <c r="M11" s="47">
        <f t="shared" si="1"/>
        <v>1163289734.1100001</v>
      </c>
      <c r="N11" s="47">
        <f t="shared" si="1"/>
        <v>951724866.33999991</v>
      </c>
      <c r="O11" s="47">
        <f t="shared" si="1"/>
        <v>484526546.02999991</v>
      </c>
      <c r="P11" s="47">
        <f t="shared" si="1"/>
        <v>186078600.25</v>
      </c>
      <c r="Q11" s="47">
        <f t="shared" si="1"/>
        <v>495104741.75999999</v>
      </c>
      <c r="R11" s="47">
        <f t="shared" si="1"/>
        <v>454013852.37</v>
      </c>
      <c r="S11" s="47">
        <f t="shared" si="1"/>
        <v>332134101.33999997</v>
      </c>
      <c r="T11" s="47">
        <f t="shared" si="1"/>
        <v>151569382.22999999</v>
      </c>
      <c r="U11" s="47">
        <f t="shared" si="1"/>
        <v>317134360.57999998</v>
      </c>
      <c r="V11" s="47">
        <f t="shared" si="1"/>
        <v>208349210.27000001</v>
      </c>
      <c r="W11" s="47">
        <f t="shared" si="1"/>
        <v>84810063.99000001</v>
      </c>
      <c r="X11" s="47">
        <f t="shared" si="1"/>
        <v>45001460.189999998</v>
      </c>
      <c r="Y11" s="47">
        <f t="shared" si="1"/>
        <v>417724236.43999994</v>
      </c>
      <c r="Z11" s="47">
        <f t="shared" si="1"/>
        <v>401056797.36000001</v>
      </c>
      <c r="AA11" s="47">
        <f t="shared" si="1"/>
        <v>146698543.20000002</v>
      </c>
      <c r="AB11" s="47">
        <f t="shared" si="1"/>
        <v>33848666.259999998</v>
      </c>
      <c r="AC11" s="47">
        <f t="shared" si="1"/>
        <v>189635961.44000003</v>
      </c>
      <c r="AD11" s="47">
        <f t="shared" si="1"/>
        <v>148542507.70000002</v>
      </c>
      <c r="AE11" s="47">
        <f t="shared" si="1"/>
        <v>69876316.99000001</v>
      </c>
      <c r="AF11" s="47">
        <f t="shared" si="1"/>
        <v>32131982.16</v>
      </c>
      <c r="AG11" s="47">
        <f t="shared" si="1"/>
        <v>229514636.87</v>
      </c>
      <c r="AH11" s="47">
        <f t="shared" si="1"/>
        <v>180953349.73000002</v>
      </c>
      <c r="AI11" s="47">
        <f t="shared" si="1"/>
        <v>106062475.32000001</v>
      </c>
      <c r="AJ11" s="47">
        <f t="shared" si="1"/>
        <v>67439546.820000008</v>
      </c>
      <c r="AK11" s="47">
        <f t="shared" si="1"/>
        <v>212853102.15000001</v>
      </c>
      <c r="AL11" s="47">
        <f t="shared" si="1"/>
        <v>73574756.439999998</v>
      </c>
      <c r="AM11" s="47">
        <f t="shared" si="1"/>
        <v>39054836.590000004</v>
      </c>
      <c r="AN11" s="47">
        <f t="shared" si="1"/>
        <v>7129912.4000000004</v>
      </c>
      <c r="AO11" s="47">
        <f t="shared" si="1"/>
        <v>36821007.210000001</v>
      </c>
      <c r="AP11" s="47">
        <f t="shared" si="1"/>
        <v>20232950.189999998</v>
      </c>
      <c r="AQ11" s="47">
        <f t="shared" si="1"/>
        <v>0</v>
      </c>
      <c r="AR11" s="47">
        <f t="shared" si="1"/>
        <v>4081063.05</v>
      </c>
      <c r="AS11" s="47">
        <f t="shared" si="1"/>
        <v>-468638600.81</v>
      </c>
      <c r="AT11" s="47">
        <f t="shared" si="1"/>
        <v>0</v>
      </c>
      <c r="AU11" s="47">
        <f t="shared" si="1"/>
        <v>0</v>
      </c>
      <c r="AV11" s="47">
        <f t="shared" si="1"/>
        <v>0</v>
      </c>
      <c r="AW11" s="47">
        <f t="shared" si="1"/>
        <v>-471116042.78000003</v>
      </c>
      <c r="AX11" s="47">
        <f t="shared" si="1"/>
        <v>-325741523.93000001</v>
      </c>
      <c r="AY11" s="47">
        <f t="shared" si="1"/>
        <v>-217351777.63</v>
      </c>
      <c r="AZ11" s="47">
        <f t="shared" si="1"/>
        <v>-107459298.45999999</v>
      </c>
      <c r="BA11" s="47">
        <f t="shared" si="1"/>
        <v>-479628900.21999997</v>
      </c>
      <c r="BB11" s="47">
        <f t="shared" si="1"/>
        <v>-358901199.36000001</v>
      </c>
      <c r="BC11" s="47">
        <f t="shared" si="1"/>
        <v>-238120848.09</v>
      </c>
      <c r="BD11" s="47">
        <f t="shared" si="1"/>
        <v>-119007258.76000001</v>
      </c>
      <c r="BE11" s="47">
        <f t="shared" si="1"/>
        <v>-419264077.69999999</v>
      </c>
      <c r="BF11" s="47">
        <f t="shared" si="1"/>
        <v>-314498231.29000002</v>
      </c>
      <c r="BG11" s="47">
        <f t="shared" si="1"/>
        <v>-212348617.18000001</v>
      </c>
      <c r="BH11" s="47">
        <f t="shared" si="1"/>
        <v>-112870676.45</v>
      </c>
      <c r="BI11" s="47">
        <f t="shared" si="1"/>
        <v>-286884295.13000005</v>
      </c>
      <c r="BJ11" s="47">
        <f t="shared" si="1"/>
        <v>-206871975.54000002</v>
      </c>
      <c r="BK11" s="47">
        <f t="shared" si="1"/>
        <v>-116653616.53</v>
      </c>
      <c r="BL11" s="47">
        <f t="shared" si="1"/>
        <v>-57039121.400000006</v>
      </c>
      <c r="BM11" s="47">
        <f t="shared" si="1"/>
        <v>-242738001.72999999</v>
      </c>
      <c r="BN11" s="47">
        <f t="shared" si="1"/>
        <v>-104649569.12</v>
      </c>
      <c r="BO11" s="47">
        <f t="shared" si="1"/>
        <v>-169375587.55000001</v>
      </c>
      <c r="BP11" s="47">
        <f t="shared" si="1"/>
        <v>-51639141.509999998</v>
      </c>
      <c r="BQ11" s="47">
        <f t="shared" si="1"/>
        <v>-133832025.17999999</v>
      </c>
      <c r="BR11" s="47">
        <f t="shared" ref="BR11:BS11" si="2">BR5-BR6-BR7-BR8-BR9-BR10</f>
        <v>-63134024.199999996</v>
      </c>
      <c r="BS11" s="47">
        <f t="shared" si="2"/>
        <v>-73844499.670000002</v>
      </c>
    </row>
    <row r="12" spans="1:74" s="26" customFormat="1" x14ac:dyDescent="0.25">
      <c r="A12" s="17" t="s">
        <v>297</v>
      </c>
      <c r="E12" s="26">
        <f t="shared" ref="E12:Q12" si="3">I34</f>
        <v>4283326284.3000002</v>
      </c>
      <c r="F12" s="26">
        <f t="shared" si="3"/>
        <v>3984901716.6800003</v>
      </c>
      <c r="G12" s="26">
        <f t="shared" si="3"/>
        <v>3817213200.1000004</v>
      </c>
      <c r="H12" s="26">
        <f t="shared" si="3"/>
        <v>3646685613.7999997</v>
      </c>
      <c r="I12" s="26">
        <f t="shared" si="3"/>
        <v>3460191697.1599998</v>
      </c>
      <c r="J12" s="26">
        <f t="shared" si="3"/>
        <v>2934613811.8299999</v>
      </c>
      <c r="K12" s="26">
        <f t="shared" si="3"/>
        <v>2567522296.1799998</v>
      </c>
      <c r="L12" s="26">
        <f t="shared" si="3"/>
        <v>2212368295.9400001</v>
      </c>
      <c r="M12" s="26">
        <f t="shared" si="3"/>
        <v>2064168801.6099999</v>
      </c>
      <c r="N12" s="26">
        <f t="shared" si="3"/>
        <v>1966952054.8300002</v>
      </c>
      <c r="O12" s="26">
        <f t="shared" si="3"/>
        <v>1882986044.0400002</v>
      </c>
      <c r="P12" s="26">
        <f t="shared" si="3"/>
        <v>1679236453.6400001</v>
      </c>
      <c r="Q12" s="26">
        <f t="shared" si="3"/>
        <v>1563733048.0500002</v>
      </c>
      <c r="R12" s="193">
        <f t="shared" ref="R12" si="4">V34</f>
        <v>2139684358.8</v>
      </c>
      <c r="S12" s="193">
        <f t="shared" ref="S12" si="5">W34</f>
        <v>2370579718.79</v>
      </c>
      <c r="T12" s="193">
        <f t="shared" ref="T12" si="6">X34</f>
        <v>2193579187.8299999</v>
      </c>
      <c r="U12" s="193">
        <f t="shared" ref="U12" si="7">Y34</f>
        <v>1646799978.1299999</v>
      </c>
      <c r="V12" s="193">
        <f t="shared" ref="V12" si="8">Z34</f>
        <v>1027954996.25</v>
      </c>
      <c r="W12" s="193">
        <f t="shared" ref="W12" si="9">AA34</f>
        <v>1003623428.28</v>
      </c>
      <c r="X12" s="193">
        <f t="shared" ref="X12" si="10">AB34</f>
        <v>906872868.77999997</v>
      </c>
      <c r="Y12" s="193">
        <f t="shared" ref="Y12" si="11">AC34</f>
        <v>845811435.75</v>
      </c>
      <c r="Z12" s="193">
        <f t="shared" ref="Z12" si="12">AD34</f>
        <v>664777280.51999998</v>
      </c>
      <c r="AA12" s="193">
        <f t="shared" ref="AA12" si="13">AE34</f>
        <v>625454167.25</v>
      </c>
      <c r="AB12" s="193">
        <f t="shared" ref="AB12" si="14">AF34</f>
        <v>584718284.3499999</v>
      </c>
      <c r="AC12" s="193">
        <f t="shared" ref="AC12" si="15">AG34</f>
        <v>563848390.21000004</v>
      </c>
      <c r="AD12" s="193">
        <f t="shared" ref="AD12" si="16">AH34</f>
        <v>479935857.30000001</v>
      </c>
      <c r="AE12" s="193">
        <f t="shared" ref="AE12" si="17">AI34</f>
        <v>405267081.78000003</v>
      </c>
      <c r="AF12" s="193">
        <f t="shared" ref="AF12" si="18">AJ34</f>
        <v>348385014.68000001</v>
      </c>
      <c r="AG12" s="193">
        <f t="shared" ref="AG12" si="19">AK34</f>
        <v>323492336.07999998</v>
      </c>
      <c r="AH12" s="193">
        <f t="shared" ref="AH12" si="20">AL34</f>
        <v>107424032.09999999</v>
      </c>
      <c r="AI12" s="193">
        <f t="shared" ref="AI12" si="21">AM34</f>
        <v>55317778.590000004</v>
      </c>
      <c r="AJ12" s="193">
        <f t="shared" ref="AJ12" si="22">AN34</f>
        <v>0</v>
      </c>
      <c r="AK12" s="193">
        <f t="shared" ref="AK12" si="23">AO34</f>
        <v>0</v>
      </c>
      <c r="AL12" s="193">
        <f t="shared" ref="AL12" si="24">AP34</f>
        <v>0</v>
      </c>
      <c r="AM12" s="193">
        <f t="shared" ref="AM12" si="25">AQ34</f>
        <v>0</v>
      </c>
      <c r="AN12" s="193">
        <f t="shared" ref="AN12" si="26">AR34</f>
        <v>4983590367.6400003</v>
      </c>
      <c r="AO12" s="193">
        <f t="shared" ref="AO12" si="27">AS34</f>
        <v>5087759145.3900003</v>
      </c>
      <c r="AP12" s="193">
        <f t="shared" ref="AP12" si="28">AT34</f>
        <v>5119825755.0799999</v>
      </c>
      <c r="AQ12" s="193">
        <f t="shared" ref="AQ12" si="29">AU34</f>
        <v>5166324238.8199997</v>
      </c>
      <c r="AR12" s="193">
        <f t="shared" ref="AR12" si="30">AV34</f>
        <v>5229742144.5900002</v>
      </c>
      <c r="AS12" s="193">
        <f t="shared" ref="AS12" si="31">AW34</f>
        <v>5303368604.3599997</v>
      </c>
      <c r="AT12" s="193">
        <f t="shared" ref="AT12" si="32">AX34</f>
        <v>5412891640.3100004</v>
      </c>
      <c r="AU12" s="193">
        <f t="shared" ref="AU12" si="33">AY34</f>
        <v>5477269087.8599997</v>
      </c>
      <c r="AV12" s="193">
        <f t="shared" ref="AV12" si="34">AZ34</f>
        <v>5394582476.9899998</v>
      </c>
      <c r="AW12" s="193">
        <f t="shared" ref="AW12" si="35">BA34</f>
        <v>5501322858.9799995</v>
      </c>
      <c r="AX12" s="193">
        <f t="shared" ref="AX12" si="36">BB34</f>
        <v>5577867470.3299999</v>
      </c>
      <c r="AY12" s="193">
        <f t="shared" ref="AY12" si="37">BC34</f>
        <v>5696283898.6499996</v>
      </c>
      <c r="AZ12" s="193">
        <f t="shared" ref="AZ12" si="38">BD34</f>
        <v>5779603253.5100002</v>
      </c>
      <c r="BA12" s="193">
        <f t="shared" ref="BA12" si="39">BE34</f>
        <v>5840992847.29</v>
      </c>
      <c r="BB12" s="193">
        <f t="shared" ref="BB12" si="40">BF34</f>
        <v>5434316703.3800001</v>
      </c>
      <c r="BC12" s="193">
        <f t="shared" ref="BC12" si="41">BG34</f>
        <v>5519652065.3800001</v>
      </c>
      <c r="BD12" s="193">
        <f t="shared" ref="BD12" si="42">BH34</f>
        <v>5587811046.9799995</v>
      </c>
      <c r="BE12" s="193">
        <f t="shared" ref="BE12" si="43">BI34</f>
        <v>5587556850.7200003</v>
      </c>
      <c r="BF12" s="193">
        <f t="shared" ref="BF12" si="44">BJ34</f>
        <v>5175235607.8500004</v>
      </c>
      <c r="BG12" s="193">
        <f t="shared" ref="BG12" si="45">BK34</f>
        <v>4543535291.6599998</v>
      </c>
      <c r="BH12" s="193">
        <f t="shared" ref="BH12" si="46">BL34</f>
        <v>4478639735.0500002</v>
      </c>
      <c r="BI12" s="193">
        <f t="shared" ref="BI12" si="47">BM34</f>
        <v>4520776529.7700005</v>
      </c>
      <c r="BJ12" s="193">
        <f t="shared" ref="BJ12" si="48">BN34</f>
        <v>3620875395.5999999</v>
      </c>
      <c r="BK12" s="193">
        <f t="shared" ref="BK12" si="49">BO34</f>
        <v>3684993020.0500002</v>
      </c>
      <c r="BL12" s="193">
        <f t="shared" ref="BL12" si="50">BP34</f>
        <v>3523637936.8200002</v>
      </c>
      <c r="BM12" s="193">
        <f t="shared" ref="BM12" si="51">BQ34</f>
        <v>0</v>
      </c>
      <c r="BN12" s="193">
        <f t="shared" ref="BN12" si="52">BR34</f>
        <v>0</v>
      </c>
    </row>
    <row r="13" spans="1:74" s="220" customFormat="1" x14ac:dyDescent="0.25">
      <c r="A13" s="220" t="s">
        <v>351</v>
      </c>
      <c r="E13" s="220">
        <f>E11/E12</f>
        <v>0.31037065874314068</v>
      </c>
      <c r="F13" s="220">
        <f t="shared" ref="F13:AR13" si="53">F11/F12</f>
        <v>0.2432076099802655</v>
      </c>
      <c r="G13" s="220">
        <f t="shared" si="53"/>
        <v>8.340702638030785E-2</v>
      </c>
      <c r="H13" s="220">
        <f t="shared" si="53"/>
        <v>8.1523351600417043E-2</v>
      </c>
      <c r="I13" s="220">
        <f t="shared" si="53"/>
        <v>0.18801350751866103</v>
      </c>
      <c r="J13" s="220">
        <f t="shared" si="53"/>
        <v>0.20491939485727337</v>
      </c>
      <c r="K13" s="220">
        <f t="shared" si="53"/>
        <v>9.5429005046826193E-2</v>
      </c>
      <c r="L13" s="220">
        <f t="shared" si="53"/>
        <v>0.1014769626793136</v>
      </c>
      <c r="M13" s="220">
        <f t="shared" si="53"/>
        <v>0.56356327699685382</v>
      </c>
      <c r="N13" s="220">
        <f t="shared" si="53"/>
        <v>0.48385768428008563</v>
      </c>
      <c r="O13" s="220">
        <f t="shared" si="53"/>
        <v>0.25731818223699332</v>
      </c>
      <c r="P13" s="220">
        <f t="shared" si="53"/>
        <v>0.11081143447466636</v>
      </c>
      <c r="Q13" s="220">
        <f t="shared" si="53"/>
        <v>0.31661717604382883</v>
      </c>
      <c r="R13" s="220">
        <f t="shared" si="53"/>
        <v>0.21218730253495183</v>
      </c>
      <c r="S13" s="220">
        <f t="shared" si="53"/>
        <v>0.14010669993816074</v>
      </c>
      <c r="T13" s="220">
        <f t="shared" si="53"/>
        <v>6.9096836380883125E-2</v>
      </c>
      <c r="U13" s="220">
        <f t="shared" si="53"/>
        <v>0.19257612630048573</v>
      </c>
      <c r="V13" s="220">
        <f t="shared" si="53"/>
        <v>0.2026832021149389</v>
      </c>
      <c r="W13" s="220">
        <f t="shared" si="53"/>
        <v>8.4503870276670071E-2</v>
      </c>
      <c r="X13" s="220">
        <f t="shared" si="53"/>
        <v>4.9622677818710867E-2</v>
      </c>
      <c r="Y13" s="220">
        <f t="shared" si="53"/>
        <v>0.49387395202288142</v>
      </c>
      <c r="Z13" s="220">
        <f t="shared" si="53"/>
        <v>0.60329498181148222</v>
      </c>
      <c r="AA13" s="220">
        <f t="shared" si="53"/>
        <v>0.23454723124638358</v>
      </c>
      <c r="AB13" s="220">
        <f t="shared" si="53"/>
        <v>5.7888845219929722E-2</v>
      </c>
      <c r="AC13" s="220">
        <f t="shared" si="53"/>
        <v>0.33632438210805549</v>
      </c>
      <c r="AD13" s="220">
        <f t="shared" si="53"/>
        <v>0.30950491704383848</v>
      </c>
      <c r="AE13" s="220">
        <f t="shared" si="53"/>
        <v>0.17242041145580261</v>
      </c>
      <c r="AF13" s="220">
        <f t="shared" si="53"/>
        <v>9.2231240742412512E-2</v>
      </c>
      <c r="AG13" s="220">
        <f t="shared" si="53"/>
        <v>0.70949018344978909</v>
      </c>
      <c r="AH13" s="220">
        <f t="shared" si="53"/>
        <v>1.6844773575576859</v>
      </c>
      <c r="AI13" s="220">
        <f t="shared" si="53"/>
        <v>1.917330703138056</v>
      </c>
      <c r="AJ13" s="220" t="e">
        <f t="shared" si="53"/>
        <v>#DIV/0!</v>
      </c>
      <c r="AK13" s="220" t="e">
        <f t="shared" si="53"/>
        <v>#DIV/0!</v>
      </c>
      <c r="AL13" s="220" t="e">
        <f t="shared" si="53"/>
        <v>#DIV/0!</v>
      </c>
      <c r="AM13" s="220" t="e">
        <f t="shared" si="53"/>
        <v>#DIV/0!</v>
      </c>
      <c r="AN13" s="220">
        <f t="shared" si="53"/>
        <v>1.4306778595401289E-3</v>
      </c>
      <c r="AO13" s="220">
        <f t="shared" si="53"/>
        <v>7.237175769879629E-3</v>
      </c>
      <c r="AP13" s="220">
        <f t="shared" si="53"/>
        <v>3.9518825752857768E-3</v>
      </c>
      <c r="AQ13" s="220">
        <f t="shared" si="53"/>
        <v>0</v>
      </c>
      <c r="AR13" s="220">
        <f t="shared" si="53"/>
        <v>7.8035645681340682E-4</v>
      </c>
    </row>
    <row r="14" spans="1:74" s="48" customFormat="1" x14ac:dyDescent="0.25">
      <c r="A14" s="46" t="s">
        <v>293</v>
      </c>
    </row>
    <row r="15" spans="1:74" s="26" customFormat="1" x14ac:dyDescent="0.25">
      <c r="A15" s="17" t="s">
        <v>313</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1057598.29</v>
      </c>
      <c r="AP15" s="190">
        <v>0</v>
      </c>
      <c r="AQ15" s="190">
        <v>0</v>
      </c>
      <c r="AR15" s="190">
        <v>0</v>
      </c>
      <c r="AS15" s="190">
        <v>0</v>
      </c>
      <c r="AT15" s="190">
        <v>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c r="BU15" s="190">
        <v>0</v>
      </c>
      <c r="BV15" s="190">
        <v>0</v>
      </c>
    </row>
    <row r="16" spans="1:74" s="26" customFormat="1" x14ac:dyDescent="0.25">
      <c r="A16" s="17" t="s">
        <v>314</v>
      </c>
      <c r="B16" s="190">
        <v>31900000</v>
      </c>
      <c r="C16" s="190">
        <v>13500000</v>
      </c>
      <c r="D16" s="190">
        <v>0</v>
      </c>
      <c r="E16" s="190">
        <v>0</v>
      </c>
      <c r="F16" s="190">
        <v>98000000</v>
      </c>
      <c r="G16" s="190">
        <v>98000000</v>
      </c>
      <c r="H16" s="190">
        <v>45000000</v>
      </c>
      <c r="I16" s="190">
        <v>172473788.49000001</v>
      </c>
      <c r="J16" s="190">
        <v>172473788.49000001</v>
      </c>
      <c r="K16" s="190">
        <v>172473788.49000001</v>
      </c>
      <c r="L16" s="190">
        <v>0</v>
      </c>
      <c r="M16" s="190">
        <v>0</v>
      </c>
      <c r="N16" s="190">
        <v>0</v>
      </c>
      <c r="O16" s="190">
        <v>0</v>
      </c>
      <c r="P16" s="190">
        <v>0</v>
      </c>
      <c r="Q16" s="190">
        <v>0</v>
      </c>
      <c r="R16" s="190">
        <v>0</v>
      </c>
      <c r="S16" s="190">
        <v>0</v>
      </c>
      <c r="T16" s="190">
        <v>0</v>
      </c>
      <c r="U16" s="190">
        <v>24419188.300000001</v>
      </c>
      <c r="V16" s="190">
        <v>26919188.300000001</v>
      </c>
      <c r="W16" s="190">
        <v>26919188.300000001</v>
      </c>
      <c r="X16" s="190">
        <v>30369188.300000001</v>
      </c>
      <c r="Y16" s="190">
        <v>62173841.789999999</v>
      </c>
      <c r="Z16" s="190">
        <v>62173841.789999999</v>
      </c>
      <c r="AA16" s="190">
        <v>38698841.789999999</v>
      </c>
      <c r="AB16" s="190">
        <v>0</v>
      </c>
      <c r="AC16" s="190">
        <v>87565548.310000002</v>
      </c>
      <c r="AD16" s="190">
        <v>103619426.73999999</v>
      </c>
      <c r="AE16" s="190">
        <v>87565548.310000002</v>
      </c>
      <c r="AF16" s="190">
        <v>62582048.310000002</v>
      </c>
      <c r="AG16" s="190">
        <v>0</v>
      </c>
      <c r="AH16" s="190">
        <v>0</v>
      </c>
      <c r="AI16" s="190">
        <v>0</v>
      </c>
      <c r="AJ16" s="190">
        <v>0</v>
      </c>
      <c r="AK16" s="190">
        <v>20542480.57</v>
      </c>
      <c r="AL16" s="190">
        <v>0</v>
      </c>
      <c r="AM16" s="190">
        <v>0</v>
      </c>
      <c r="AN16" s="190">
        <v>0</v>
      </c>
      <c r="AO16" s="190">
        <v>0</v>
      </c>
      <c r="AP16" s="190">
        <v>0</v>
      </c>
      <c r="AQ16" s="190">
        <v>0</v>
      </c>
      <c r="AR16" s="190">
        <v>0</v>
      </c>
      <c r="AS16" s="190">
        <v>0</v>
      </c>
      <c r="AT16" s="190">
        <v>0</v>
      </c>
      <c r="AU16" s="190">
        <v>0</v>
      </c>
      <c r="AV16" s="190">
        <v>0</v>
      </c>
      <c r="AW16" s="190">
        <v>0</v>
      </c>
      <c r="AX16" s="190">
        <v>0</v>
      </c>
      <c r="AY16" s="190">
        <v>0</v>
      </c>
      <c r="AZ16" s="190">
        <v>0</v>
      </c>
      <c r="BA16" s="190">
        <v>0</v>
      </c>
      <c r="BB16" s="190">
        <v>0</v>
      </c>
      <c r="BC16" s="190">
        <v>0</v>
      </c>
      <c r="BD16" s="190">
        <v>0</v>
      </c>
      <c r="BE16" s="190">
        <v>0</v>
      </c>
      <c r="BF16" s="190">
        <v>0</v>
      </c>
      <c r="BG16" s="190">
        <v>0</v>
      </c>
      <c r="BH16" s="190">
        <v>0</v>
      </c>
      <c r="BI16" s="190">
        <v>0</v>
      </c>
      <c r="BJ16" s="190">
        <v>0</v>
      </c>
      <c r="BK16" s="190">
        <v>0</v>
      </c>
      <c r="BL16" s="190">
        <v>0</v>
      </c>
      <c r="BM16" s="190">
        <v>0</v>
      </c>
      <c r="BN16" s="190">
        <v>0</v>
      </c>
      <c r="BO16" s="190">
        <v>0</v>
      </c>
      <c r="BP16" s="190">
        <v>0</v>
      </c>
      <c r="BQ16" s="190">
        <v>0</v>
      </c>
      <c r="BR16" s="190">
        <v>0</v>
      </c>
      <c r="BS16" s="190">
        <v>0</v>
      </c>
      <c r="BT16" s="190">
        <v>0</v>
      </c>
      <c r="BU16" s="190">
        <v>0</v>
      </c>
      <c r="BV16" s="190">
        <v>0</v>
      </c>
    </row>
    <row r="17" spans="1:74" s="47" customFormat="1" x14ac:dyDescent="0.25">
      <c r="A17" s="135" t="s">
        <v>298</v>
      </c>
      <c r="E17" s="47">
        <f>E16-E15</f>
        <v>0</v>
      </c>
      <c r="F17" s="47">
        <f t="shared" ref="F17:AV17" si="54">F16-F15</f>
        <v>98000000</v>
      </c>
      <c r="G17" s="47">
        <f t="shared" si="54"/>
        <v>98000000</v>
      </c>
      <c r="H17" s="47">
        <f t="shared" si="54"/>
        <v>45000000</v>
      </c>
      <c r="I17" s="47">
        <f t="shared" si="54"/>
        <v>172473788.49000001</v>
      </c>
      <c r="J17" s="47">
        <f t="shared" si="54"/>
        <v>172473788.49000001</v>
      </c>
      <c r="K17" s="47">
        <f t="shared" si="54"/>
        <v>172473788.49000001</v>
      </c>
      <c r="L17" s="47">
        <f t="shared" si="54"/>
        <v>0</v>
      </c>
      <c r="M17" s="47">
        <f t="shared" si="54"/>
        <v>0</v>
      </c>
      <c r="N17" s="47">
        <f t="shared" si="54"/>
        <v>0</v>
      </c>
      <c r="O17" s="47">
        <f t="shared" si="54"/>
        <v>0</v>
      </c>
      <c r="P17" s="47">
        <f t="shared" si="54"/>
        <v>0</v>
      </c>
      <c r="Q17" s="47">
        <f t="shared" si="54"/>
        <v>0</v>
      </c>
      <c r="R17" s="47">
        <f t="shared" si="54"/>
        <v>0</v>
      </c>
      <c r="S17" s="47">
        <f t="shared" si="54"/>
        <v>0</v>
      </c>
      <c r="T17" s="47">
        <f t="shared" si="54"/>
        <v>0</v>
      </c>
      <c r="U17" s="47">
        <f t="shared" si="54"/>
        <v>24419188.300000001</v>
      </c>
      <c r="V17" s="47">
        <f t="shared" si="54"/>
        <v>26919188.300000001</v>
      </c>
      <c r="W17" s="47">
        <f t="shared" si="54"/>
        <v>26919188.300000001</v>
      </c>
      <c r="X17" s="47">
        <f t="shared" si="54"/>
        <v>30369188.300000001</v>
      </c>
      <c r="Y17" s="47">
        <f t="shared" si="54"/>
        <v>62173841.789999999</v>
      </c>
      <c r="Z17" s="47">
        <f t="shared" si="54"/>
        <v>62173841.789999999</v>
      </c>
      <c r="AA17" s="47">
        <f t="shared" si="54"/>
        <v>38698841.789999999</v>
      </c>
      <c r="AB17" s="47">
        <f t="shared" si="54"/>
        <v>0</v>
      </c>
      <c r="AC17" s="47">
        <f t="shared" si="54"/>
        <v>87565548.310000002</v>
      </c>
      <c r="AD17" s="47">
        <f t="shared" si="54"/>
        <v>103619426.73999999</v>
      </c>
      <c r="AE17" s="47">
        <f t="shared" si="54"/>
        <v>87565548.310000002</v>
      </c>
      <c r="AF17" s="47">
        <f t="shared" si="54"/>
        <v>62582048.310000002</v>
      </c>
      <c r="AG17" s="47">
        <f t="shared" si="54"/>
        <v>0</v>
      </c>
      <c r="AH17" s="47">
        <f t="shared" si="54"/>
        <v>0</v>
      </c>
      <c r="AI17" s="47">
        <f t="shared" si="54"/>
        <v>0</v>
      </c>
      <c r="AJ17" s="47">
        <f t="shared" si="54"/>
        <v>0</v>
      </c>
      <c r="AK17" s="47">
        <f t="shared" si="54"/>
        <v>20542480.57</v>
      </c>
      <c r="AL17" s="47">
        <f t="shared" si="54"/>
        <v>0</v>
      </c>
      <c r="AM17" s="47">
        <f t="shared" si="54"/>
        <v>0</v>
      </c>
      <c r="AN17" s="47">
        <f t="shared" si="54"/>
        <v>0</v>
      </c>
      <c r="AO17" s="47">
        <f t="shared" si="54"/>
        <v>-1057598.29</v>
      </c>
      <c r="AP17" s="47">
        <f t="shared" si="54"/>
        <v>0</v>
      </c>
      <c r="AQ17" s="47">
        <f t="shared" si="54"/>
        <v>0</v>
      </c>
      <c r="AR17" s="47">
        <f t="shared" si="54"/>
        <v>0</v>
      </c>
      <c r="AS17" s="47">
        <f t="shared" si="54"/>
        <v>0</v>
      </c>
      <c r="AT17" s="47">
        <f t="shared" si="54"/>
        <v>0</v>
      </c>
      <c r="AU17" s="47">
        <f t="shared" si="54"/>
        <v>0</v>
      </c>
      <c r="AV17" s="47">
        <f t="shared" si="54"/>
        <v>0</v>
      </c>
    </row>
    <row r="18" spans="1:74" s="48" customFormat="1" x14ac:dyDescent="0.25">
      <c r="A18" s="46" t="s">
        <v>294</v>
      </c>
    </row>
    <row r="19" spans="1:74" s="193" customFormat="1" x14ac:dyDescent="0.25">
      <c r="A19" s="193" t="s">
        <v>299</v>
      </c>
      <c r="E19" s="193">
        <f>E5+E17</f>
        <v>1669106909.53</v>
      </c>
      <c r="F19" s="193">
        <f t="shared" ref="F19:AS19" si="55">F5+F17</f>
        <v>1067158422.52</v>
      </c>
      <c r="G19" s="193">
        <f t="shared" si="55"/>
        <v>597579220.20000005</v>
      </c>
      <c r="H19" s="193">
        <f t="shared" si="55"/>
        <v>342290033.47000003</v>
      </c>
      <c r="I19" s="193">
        <f t="shared" si="55"/>
        <v>1064445499.21</v>
      </c>
      <c r="J19" s="193">
        <f t="shared" si="55"/>
        <v>773833074.94999993</v>
      </c>
      <c r="K19" s="193">
        <f t="shared" si="55"/>
        <v>524595187.50999999</v>
      </c>
      <c r="L19" s="193">
        <f t="shared" si="55"/>
        <v>224504415</v>
      </c>
      <c r="M19" s="193">
        <f t="shared" si="55"/>
        <v>1317053137.1600001</v>
      </c>
      <c r="N19" s="193">
        <f t="shared" si="55"/>
        <v>951724866.33999991</v>
      </c>
      <c r="O19" s="193">
        <f t="shared" si="55"/>
        <v>555514965.06999993</v>
      </c>
      <c r="P19" s="193">
        <f t="shared" si="55"/>
        <v>186078600.25</v>
      </c>
      <c r="Q19" s="193">
        <f t="shared" si="55"/>
        <v>604948410.01999998</v>
      </c>
      <c r="R19" s="193">
        <f t="shared" si="55"/>
        <v>454013852.37</v>
      </c>
      <c r="S19" s="193">
        <f t="shared" si="55"/>
        <v>374293926.56999999</v>
      </c>
      <c r="T19" s="193">
        <f t="shared" si="55"/>
        <v>151569382.22999999</v>
      </c>
      <c r="U19" s="193">
        <f t="shared" si="55"/>
        <v>414042289.12</v>
      </c>
      <c r="V19" s="193">
        <f t="shared" si="55"/>
        <v>235268398.57000002</v>
      </c>
      <c r="W19" s="193">
        <f t="shared" si="55"/>
        <v>146561888.69</v>
      </c>
      <c r="X19" s="193">
        <f t="shared" si="55"/>
        <v>75370648.489999995</v>
      </c>
      <c r="Y19" s="193">
        <f t="shared" si="55"/>
        <v>540896107.18999994</v>
      </c>
      <c r="Z19" s="193">
        <f t="shared" si="55"/>
        <v>463230639.15000004</v>
      </c>
      <c r="AA19" s="193">
        <f t="shared" si="55"/>
        <v>212918426.09999999</v>
      </c>
      <c r="AB19" s="193">
        <f t="shared" si="55"/>
        <v>33848666.259999998</v>
      </c>
      <c r="AC19" s="193">
        <f t="shared" si="55"/>
        <v>314098960.58000004</v>
      </c>
      <c r="AD19" s="193">
        <f t="shared" si="55"/>
        <v>252161934.44</v>
      </c>
      <c r="AE19" s="193">
        <f t="shared" si="55"/>
        <v>173148812.65000001</v>
      </c>
      <c r="AF19" s="193">
        <f t="shared" si="55"/>
        <v>94714030.469999999</v>
      </c>
      <c r="AG19" s="193">
        <f t="shared" si="55"/>
        <v>249651918.02000001</v>
      </c>
      <c r="AH19" s="193">
        <f t="shared" si="55"/>
        <v>180953349.73000002</v>
      </c>
      <c r="AI19" s="193">
        <f t="shared" si="55"/>
        <v>114012199.42</v>
      </c>
      <c r="AJ19" s="193">
        <f t="shared" si="55"/>
        <v>67439546.820000008</v>
      </c>
      <c r="AK19" s="193">
        <f t="shared" si="55"/>
        <v>243780996.28</v>
      </c>
      <c r="AL19" s="193">
        <f t="shared" si="55"/>
        <v>73574756.439999998</v>
      </c>
      <c r="AM19" s="193">
        <f t="shared" si="55"/>
        <v>43327640.030000001</v>
      </c>
      <c r="AN19" s="193">
        <f t="shared" si="55"/>
        <v>7129912.4000000004</v>
      </c>
      <c r="AO19" s="193">
        <f t="shared" si="55"/>
        <v>44502472.979999997</v>
      </c>
      <c r="AP19" s="193">
        <f t="shared" si="55"/>
        <v>25587705.050000001</v>
      </c>
      <c r="AQ19" s="193">
        <f t="shared" si="55"/>
        <v>0</v>
      </c>
      <c r="AR19" s="193">
        <f t="shared" si="55"/>
        <v>4081063.05</v>
      </c>
      <c r="AS19" s="193">
        <f t="shared" si="55"/>
        <v>0</v>
      </c>
    </row>
    <row r="20" spans="1:74" s="193" customFormat="1" x14ac:dyDescent="0.25">
      <c r="A20" s="193" t="s">
        <v>300</v>
      </c>
      <c r="B20" s="190">
        <v>2646271297.5</v>
      </c>
      <c r="C20" s="190">
        <v>-1621193358</v>
      </c>
      <c r="D20" s="190">
        <v>-3856064680.5300002</v>
      </c>
      <c r="E20" s="190">
        <v>7373160250.6800003</v>
      </c>
      <c r="F20" s="190">
        <v>95849570.760000005</v>
      </c>
      <c r="G20" s="190">
        <v>-1942800802.4200001</v>
      </c>
      <c r="H20" s="190">
        <v>-3034652490.3600001</v>
      </c>
      <c r="I20" s="190">
        <v>6213692160.5600004</v>
      </c>
      <c r="J20" s="190">
        <v>1954013323.9100001</v>
      </c>
      <c r="K20" s="190">
        <v>397807256.48000002</v>
      </c>
      <c r="L20" s="190">
        <v>-1432111768.75</v>
      </c>
      <c r="M20" s="190">
        <v>3216722169.1700001</v>
      </c>
      <c r="N20" s="190">
        <v>-685185464.41999996</v>
      </c>
      <c r="O20" s="190">
        <v>-1919159126.2</v>
      </c>
      <c r="P20" s="190">
        <v>-2610480167.9499998</v>
      </c>
      <c r="Q20" s="190">
        <v>3706420782.04</v>
      </c>
      <c r="R20" s="190">
        <v>332060450.81999999</v>
      </c>
      <c r="S20" s="190">
        <v>-242521748.16</v>
      </c>
      <c r="T20" s="190">
        <v>-971831568.29999995</v>
      </c>
      <c r="U20" s="190">
        <v>1863365811.6300001</v>
      </c>
      <c r="V20" s="190">
        <v>100634494.68000001</v>
      </c>
      <c r="W20" s="190">
        <v>-202269204.16</v>
      </c>
      <c r="X20" s="190">
        <v>-668663665.37</v>
      </c>
      <c r="Y20" s="190">
        <v>1436789861.4200001</v>
      </c>
      <c r="Z20" s="190">
        <v>116950668.23</v>
      </c>
      <c r="AA20" s="190">
        <v>-166218584.12</v>
      </c>
      <c r="AB20" s="190">
        <v>-520821438.00999999</v>
      </c>
      <c r="AC20" s="190">
        <v>1170461433.24</v>
      </c>
      <c r="AD20" s="190">
        <v>-25313659.199999999</v>
      </c>
      <c r="AE20" s="190">
        <v>-23340255.57</v>
      </c>
      <c r="AF20" s="190">
        <v>-189966007.61000001</v>
      </c>
      <c r="AG20" s="190">
        <v>663926032.74000001</v>
      </c>
      <c r="AH20" s="190">
        <v>-219647789.25999999</v>
      </c>
      <c r="AI20" s="190">
        <v>-205173007.93000001</v>
      </c>
      <c r="AJ20" s="190">
        <v>-319923618.54000002</v>
      </c>
      <c r="AK20" s="190">
        <v>654000395.26999998</v>
      </c>
      <c r="AL20" s="190">
        <v>242866241.19999999</v>
      </c>
      <c r="AM20" s="190">
        <v>168225609.65000001</v>
      </c>
      <c r="AN20" s="190">
        <v>-136892888.84</v>
      </c>
      <c r="AO20" s="190">
        <v>647042066.62</v>
      </c>
      <c r="AP20" s="190">
        <v>356650987.49000001</v>
      </c>
      <c r="AQ20" s="190">
        <v>0</v>
      </c>
      <c r="AR20" s="190">
        <v>1171946368.1099999</v>
      </c>
      <c r="AS20" s="190">
        <v>1665545943.71</v>
      </c>
      <c r="AT20" s="190">
        <v>2089846017.8800001</v>
      </c>
      <c r="AU20" s="190">
        <v>1599888081.8099999</v>
      </c>
      <c r="AV20" s="190">
        <v>1055798280.0700001</v>
      </c>
      <c r="AW20" s="190">
        <v>1336270367.45</v>
      </c>
      <c r="AX20" s="190">
        <v>1192408273.4000001</v>
      </c>
      <c r="AY20" s="190">
        <v>889923241.13999999</v>
      </c>
      <c r="AZ20" s="190">
        <v>788427165.83000004</v>
      </c>
      <c r="BA20" s="190">
        <v>1252717668.0899999</v>
      </c>
      <c r="BB20" s="190">
        <v>807940999.38999999</v>
      </c>
      <c r="BC20" s="190">
        <v>713289532.66999996</v>
      </c>
      <c r="BD20" s="190">
        <v>410809880.20999998</v>
      </c>
      <c r="BE20" s="190">
        <v>821693394.29999995</v>
      </c>
      <c r="BF20" s="190">
        <v>845972023.45000005</v>
      </c>
      <c r="BG20" s="190">
        <v>673455379.76999998</v>
      </c>
      <c r="BH20" s="190">
        <v>959479476.41999996</v>
      </c>
      <c r="BI20" s="190">
        <v>1044659243.4</v>
      </c>
      <c r="BJ20" s="190">
        <v>796479775.66999996</v>
      </c>
      <c r="BK20" s="190">
        <v>324143510.37</v>
      </c>
      <c r="BL20" s="190">
        <v>233531826.72</v>
      </c>
      <c r="BM20" s="190">
        <v>1053290717.92</v>
      </c>
      <c r="BN20" s="190">
        <v>513631576.39999998</v>
      </c>
      <c r="BO20" s="190">
        <v>1073187941.83</v>
      </c>
      <c r="BP20" s="190">
        <v>259841859.31999999</v>
      </c>
      <c r="BQ20" s="190">
        <v>1294995783.27</v>
      </c>
      <c r="BR20" s="190">
        <v>527169463.72000003</v>
      </c>
      <c r="BS20" s="190">
        <v>898446895.69000006</v>
      </c>
      <c r="BT20" s="190">
        <v>436278873.26999998</v>
      </c>
      <c r="BU20" s="190">
        <v>359005459.04000002</v>
      </c>
      <c r="BV20" s="190">
        <v>0</v>
      </c>
    </row>
    <row r="21" spans="1:74" s="221" customFormat="1" x14ac:dyDescent="0.25">
      <c r="A21" s="221" t="s">
        <v>667</v>
      </c>
      <c r="E21" s="221">
        <f>E20/E19</f>
        <v>4.4174283915439494</v>
      </c>
      <c r="F21" s="221">
        <f t="shared" ref="F21:AS21" si="56">F20/F19</f>
        <v>8.9817564793856705E-2</v>
      </c>
      <c r="G21" s="221">
        <f t="shared" si="56"/>
        <v>-3.2511184069783687</v>
      </c>
      <c r="H21" s="221">
        <f t="shared" si="56"/>
        <v>-8.8657343002245845</v>
      </c>
      <c r="I21" s="221">
        <f t="shared" si="56"/>
        <v>5.8374920699759816</v>
      </c>
      <c r="J21" s="221">
        <f t="shared" si="56"/>
        <v>2.5251095968420008</v>
      </c>
      <c r="K21" s="221">
        <f t="shared" si="56"/>
        <v>0.75831282091663654</v>
      </c>
      <c r="L21" s="221">
        <f t="shared" si="56"/>
        <v>-6.3789915612572701</v>
      </c>
      <c r="M21" s="221">
        <f t="shared" si="56"/>
        <v>2.4423632413998964</v>
      </c>
      <c r="N21" s="221">
        <f t="shared" si="56"/>
        <v>-0.71994069783527137</v>
      </c>
      <c r="O21" s="221">
        <f t="shared" si="56"/>
        <v>-3.4547388403085928</v>
      </c>
      <c r="P21" s="221">
        <f t="shared" si="56"/>
        <v>-14.028911247412502</v>
      </c>
      <c r="Q21" s="221">
        <f t="shared" si="56"/>
        <v>6.1268377941806031</v>
      </c>
      <c r="R21" s="221">
        <f t="shared" si="56"/>
        <v>0.73138836862930401</v>
      </c>
      <c r="S21" s="221">
        <f t="shared" si="56"/>
        <v>-0.64794465243518684</v>
      </c>
      <c r="T21" s="221">
        <f t="shared" si="56"/>
        <v>-6.4117934242503383</v>
      </c>
      <c r="U21" s="221">
        <f t="shared" si="56"/>
        <v>4.5004238953232845</v>
      </c>
      <c r="V21" s="221">
        <f t="shared" si="56"/>
        <v>0.42774335733856733</v>
      </c>
      <c r="W21" s="221">
        <f t="shared" si="56"/>
        <v>-1.3800941429448224</v>
      </c>
      <c r="X21" s="221">
        <f t="shared" si="56"/>
        <v>-8.8716719142826097</v>
      </c>
      <c r="Y21" s="221">
        <f t="shared" si="56"/>
        <v>2.6563139248389906</v>
      </c>
      <c r="Z21" s="221">
        <f t="shared" si="56"/>
        <v>0.25246747159168348</v>
      </c>
      <c r="AA21" s="221">
        <f t="shared" si="56"/>
        <v>-0.78066791665054491</v>
      </c>
      <c r="AB21" s="221">
        <f t="shared" si="56"/>
        <v>-15.386763957239596</v>
      </c>
      <c r="AC21" s="221">
        <f t="shared" si="56"/>
        <v>3.7264097629571338</v>
      </c>
      <c r="AD21" s="221">
        <f t="shared" si="56"/>
        <v>-0.10038652049611077</v>
      </c>
      <c r="AE21" s="221">
        <f t="shared" si="56"/>
        <v>-0.1347988196556657</v>
      </c>
      <c r="AF21" s="221">
        <f t="shared" si="56"/>
        <v>-2.0056796935715919</v>
      </c>
      <c r="AG21" s="221">
        <f t="shared" si="56"/>
        <v>2.659406897433938</v>
      </c>
      <c r="AH21" s="221">
        <f t="shared" si="56"/>
        <v>-1.2138365473075565</v>
      </c>
      <c r="AI21" s="221">
        <f t="shared" si="56"/>
        <v>-1.799570650980781</v>
      </c>
      <c r="AJ21" s="221">
        <f t="shared" si="56"/>
        <v>-4.7438577752293378</v>
      </c>
      <c r="AK21" s="221">
        <f t="shared" si="56"/>
        <v>2.682737396473815</v>
      </c>
      <c r="AL21" s="221">
        <f t="shared" si="56"/>
        <v>3.3009452283821927</v>
      </c>
      <c r="AM21" s="221">
        <f t="shared" si="56"/>
        <v>3.8826395698801228</v>
      </c>
      <c r="AN21" s="221">
        <f t="shared" si="56"/>
        <v>-19.199799543119212</v>
      </c>
      <c r="AO21" s="221">
        <f t="shared" si="56"/>
        <v>14.539463164458059</v>
      </c>
      <c r="AP21" s="221">
        <f t="shared" si="56"/>
        <v>13.938373402111731</v>
      </c>
      <c r="AQ21" s="221" t="e">
        <f t="shared" si="56"/>
        <v>#DIV/0!</v>
      </c>
      <c r="AR21" s="221">
        <f t="shared" si="56"/>
        <v>287.16693512245541</v>
      </c>
      <c r="AS21" s="221" t="e">
        <f t="shared" si="56"/>
        <v>#DIV/0!</v>
      </c>
    </row>
    <row r="22" spans="1:74" s="193" customFormat="1" x14ac:dyDescent="0.25">
      <c r="A22" s="193" t="s">
        <v>301</v>
      </c>
      <c r="E22" s="193">
        <f>I35</f>
        <v>13934376704.52</v>
      </c>
      <c r="F22" s="193">
        <f t="shared" ref="F22:Y22" si="57">J35</f>
        <v>12433800144.74</v>
      </c>
      <c r="G22" s="193">
        <f t="shared" si="57"/>
        <v>10273876308.09</v>
      </c>
      <c r="H22" s="193">
        <f t="shared" si="57"/>
        <v>9425032714.3999996</v>
      </c>
      <c r="I22" s="193">
        <f t="shared" si="57"/>
        <v>10168694380.710001</v>
      </c>
      <c r="J22" s="193">
        <f t="shared" si="57"/>
        <v>6902052459.75</v>
      </c>
      <c r="K22" s="193">
        <f t="shared" si="57"/>
        <v>6330184019.7399998</v>
      </c>
      <c r="L22" s="193">
        <f t="shared" si="57"/>
        <v>6237116316.2700005</v>
      </c>
      <c r="M22" s="193">
        <f t="shared" si="57"/>
        <v>7203296191.9299994</v>
      </c>
      <c r="N22" s="193">
        <f t="shared" si="57"/>
        <v>3503187327.3699999</v>
      </c>
      <c r="O22" s="193">
        <f t="shared" si="57"/>
        <v>4093778211.8600001</v>
      </c>
      <c r="P22" s="193">
        <f t="shared" si="57"/>
        <v>3763070125.4200001</v>
      </c>
      <c r="Q22" s="193">
        <f t="shared" si="57"/>
        <v>4592606345.6000004</v>
      </c>
      <c r="R22" s="193">
        <f t="shared" si="57"/>
        <v>5214045859.7299995</v>
      </c>
      <c r="S22" s="193">
        <f t="shared" si="57"/>
        <v>5526592322.7799997</v>
      </c>
      <c r="T22" s="193">
        <f t="shared" si="57"/>
        <v>5177822598.3100004</v>
      </c>
      <c r="U22" s="193">
        <f t="shared" si="57"/>
        <v>5834759469.1999998</v>
      </c>
      <c r="V22" s="193">
        <f t="shared" si="57"/>
        <v>4643066329.4399996</v>
      </c>
      <c r="W22" s="193">
        <f t="shared" si="57"/>
        <v>4592336693.79</v>
      </c>
      <c r="X22" s="193">
        <f t="shared" si="57"/>
        <v>4700147603.8900003</v>
      </c>
      <c r="Y22" s="193">
        <f t="shared" si="57"/>
        <v>5244489946.3900003</v>
      </c>
      <c r="Z22" s="193">
        <f t="shared" ref="Z22" si="58">AD35</f>
        <v>4128046202.0700002</v>
      </c>
      <c r="AA22" s="193">
        <f t="shared" ref="AA22" si="59">AE35</f>
        <v>4191087673.9699998</v>
      </c>
      <c r="AB22" s="193">
        <f t="shared" ref="AB22" si="60">AF35</f>
        <v>4380487688.2799997</v>
      </c>
      <c r="AC22" s="193">
        <f t="shared" ref="AC22" si="61">AG35</f>
        <v>4649956978.1499996</v>
      </c>
      <c r="AD22" s="193">
        <f t="shared" ref="AD22" si="62">AH35</f>
        <v>3813886974.6799998</v>
      </c>
      <c r="AE22" s="193">
        <f t="shared" ref="AE22" si="63">AI35</f>
        <v>4143895458.0500002</v>
      </c>
      <c r="AF22" s="193">
        <f t="shared" ref="AF22" si="64">AJ35</f>
        <v>762411039.29999995</v>
      </c>
      <c r="AG22" s="193">
        <f t="shared" ref="AG22" si="65">AK35</f>
        <v>1148562390.8499999</v>
      </c>
      <c r="AH22" s="193">
        <f t="shared" ref="AH22" si="66">AL35</f>
        <v>844381117.83000004</v>
      </c>
      <c r="AI22" s="193">
        <f t="shared" ref="AI22" si="67">AM35</f>
        <v>448714996.70999998</v>
      </c>
      <c r="AJ22" s="193">
        <f t="shared" ref="AJ22" si="68">AN35</f>
        <v>0</v>
      </c>
      <c r="AK22" s="193">
        <f t="shared" ref="AK22" si="69">AO35</f>
        <v>0</v>
      </c>
      <c r="AL22" s="193">
        <f t="shared" ref="AL22" si="70">AP35</f>
        <v>0</v>
      </c>
      <c r="AM22" s="193">
        <f t="shared" ref="AM22" si="71">AQ35</f>
        <v>0</v>
      </c>
      <c r="AN22" s="193">
        <f t="shared" ref="AN22" si="72">AR35</f>
        <v>0</v>
      </c>
      <c r="AO22" s="193">
        <f t="shared" ref="AO22" si="73">AS35</f>
        <v>0</v>
      </c>
      <c r="AP22" s="193">
        <f t="shared" ref="AP22" si="74">AT35</f>
        <v>0</v>
      </c>
      <c r="AQ22" s="193">
        <f t="shared" ref="AQ22" si="75">AU35</f>
        <v>0</v>
      </c>
      <c r="AR22" s="193">
        <f t="shared" ref="AR22" si="76">AV35</f>
        <v>0</v>
      </c>
      <c r="AS22" s="193">
        <f t="shared" ref="AS22" si="77">AW35</f>
        <v>0</v>
      </c>
    </row>
    <row r="23" spans="1:74" s="193" customFormat="1" x14ac:dyDescent="0.25">
      <c r="A23" s="193" t="s">
        <v>302</v>
      </c>
      <c r="E23" s="193">
        <f>E20+E22-E19</f>
        <v>19638430045.670002</v>
      </c>
      <c r="F23" s="193">
        <f t="shared" ref="F23:AS23" si="78">F20+F22-F19</f>
        <v>11462491292.98</v>
      </c>
      <c r="G23" s="193">
        <f t="shared" si="78"/>
        <v>7733496285.4700003</v>
      </c>
      <c r="H23" s="193">
        <f t="shared" si="78"/>
        <v>6048090190.5699987</v>
      </c>
      <c r="I23" s="193">
        <f t="shared" si="78"/>
        <v>15317941042.060001</v>
      </c>
      <c r="J23" s="193">
        <f t="shared" si="78"/>
        <v>8082232708.71</v>
      </c>
      <c r="K23" s="193">
        <f t="shared" si="78"/>
        <v>6203396088.7099991</v>
      </c>
      <c r="L23" s="193">
        <f t="shared" si="78"/>
        <v>4580500132.5200005</v>
      </c>
      <c r="M23" s="193">
        <f t="shared" si="78"/>
        <v>9102965223.9399986</v>
      </c>
      <c r="N23" s="193">
        <f t="shared" si="78"/>
        <v>1866276996.6099999</v>
      </c>
      <c r="O23" s="193">
        <f t="shared" si="78"/>
        <v>1619104120.5899999</v>
      </c>
      <c r="P23" s="193">
        <f t="shared" si="78"/>
        <v>966511357.22000027</v>
      </c>
      <c r="Q23" s="193">
        <f t="shared" si="78"/>
        <v>7694078717.6200008</v>
      </c>
      <c r="R23" s="193">
        <f t="shared" si="78"/>
        <v>5092092458.1799994</v>
      </c>
      <c r="S23" s="193">
        <f t="shared" si="78"/>
        <v>4909776648.0500002</v>
      </c>
      <c r="T23" s="193">
        <f t="shared" si="78"/>
        <v>4054421647.7800002</v>
      </c>
      <c r="U23" s="193">
        <f t="shared" si="78"/>
        <v>7284082991.71</v>
      </c>
      <c r="V23" s="193">
        <f t="shared" si="78"/>
        <v>4508432425.5500002</v>
      </c>
      <c r="W23" s="193">
        <f t="shared" si="78"/>
        <v>4243505600.9400001</v>
      </c>
      <c r="X23" s="193">
        <f t="shared" si="78"/>
        <v>3956113290.0300007</v>
      </c>
      <c r="Y23" s="193">
        <f t="shared" si="78"/>
        <v>6140383700.6200008</v>
      </c>
      <c r="Z23" s="193">
        <f t="shared" si="78"/>
        <v>3781766231.1500001</v>
      </c>
      <c r="AA23" s="193">
        <f t="shared" si="78"/>
        <v>3811950663.75</v>
      </c>
      <c r="AB23" s="193">
        <f t="shared" si="78"/>
        <v>3825817584.0099993</v>
      </c>
      <c r="AC23" s="193">
        <f t="shared" si="78"/>
        <v>5506319450.8099995</v>
      </c>
      <c r="AD23" s="193">
        <f t="shared" si="78"/>
        <v>3536411381.04</v>
      </c>
      <c r="AE23" s="193">
        <f t="shared" si="78"/>
        <v>3947406389.8299999</v>
      </c>
      <c r="AF23" s="193">
        <f t="shared" si="78"/>
        <v>477731001.21999991</v>
      </c>
      <c r="AG23" s="193">
        <f t="shared" si="78"/>
        <v>1562836505.5699999</v>
      </c>
      <c r="AH23" s="193">
        <f t="shared" si="78"/>
        <v>443779978.84000003</v>
      </c>
      <c r="AI23" s="193">
        <f t="shared" si="78"/>
        <v>129529789.35999997</v>
      </c>
      <c r="AJ23" s="193">
        <f t="shared" si="78"/>
        <v>-387363165.36000001</v>
      </c>
      <c r="AK23" s="193">
        <f t="shared" si="78"/>
        <v>410219398.99000001</v>
      </c>
      <c r="AL23" s="193">
        <f t="shared" si="78"/>
        <v>169291484.75999999</v>
      </c>
      <c r="AM23" s="193">
        <f t="shared" si="78"/>
        <v>124897969.62</v>
      </c>
      <c r="AN23" s="193">
        <f t="shared" si="78"/>
        <v>-144022801.24000001</v>
      </c>
      <c r="AO23" s="193">
        <f t="shared" si="78"/>
        <v>602539593.63999999</v>
      </c>
      <c r="AP23" s="193">
        <f t="shared" si="78"/>
        <v>331063282.44</v>
      </c>
      <c r="AQ23" s="193">
        <f t="shared" si="78"/>
        <v>0</v>
      </c>
      <c r="AR23" s="193">
        <f t="shared" si="78"/>
        <v>1167865305.0599999</v>
      </c>
      <c r="AS23" s="193">
        <f t="shared" si="78"/>
        <v>1665545943.71</v>
      </c>
    </row>
    <row r="24" spans="1:74" s="221" customFormat="1" x14ac:dyDescent="0.25">
      <c r="A24" s="221" t="s">
        <v>303</v>
      </c>
      <c r="B24" s="190">
        <v>-2606239170.9400001</v>
      </c>
      <c r="C24" s="190">
        <v>-2425626823.4499998</v>
      </c>
      <c r="D24" s="190">
        <v>1018223066.41</v>
      </c>
      <c r="E24" s="190">
        <v>-3401746652.8699999</v>
      </c>
      <c r="F24" s="190">
        <v>-2992526336.3000002</v>
      </c>
      <c r="G24" s="190">
        <v>-2109983475.3499999</v>
      </c>
      <c r="H24" s="190">
        <v>2324978732.0300002</v>
      </c>
      <c r="I24" s="190">
        <v>442795551.20999998</v>
      </c>
      <c r="J24" s="190">
        <v>-864916664.29999995</v>
      </c>
      <c r="K24" s="190">
        <v>-1288518254.29</v>
      </c>
      <c r="L24" s="190">
        <v>2010293010.4100001</v>
      </c>
      <c r="M24" s="190">
        <v>-118790781.04000001</v>
      </c>
      <c r="N24" s="190">
        <v>56378282.710000001</v>
      </c>
      <c r="O24" s="190">
        <v>509011096.12</v>
      </c>
      <c r="P24" s="190">
        <v>521753899.69999999</v>
      </c>
      <c r="Q24" s="190">
        <v>-119653023.31999999</v>
      </c>
      <c r="R24" s="190">
        <v>-328587451.38999999</v>
      </c>
      <c r="S24" s="190">
        <v>571143041.02999997</v>
      </c>
      <c r="T24" s="190">
        <v>440208611.63</v>
      </c>
      <c r="U24" s="190">
        <v>-419196975.88</v>
      </c>
      <c r="V24" s="190">
        <v>-487695892.44999999</v>
      </c>
      <c r="W24" s="190">
        <v>40430784.93</v>
      </c>
      <c r="X24" s="190">
        <v>85929778.280000001</v>
      </c>
      <c r="Y24" s="190">
        <v>-308485842.85000002</v>
      </c>
      <c r="Z24" s="190">
        <v>-308423842.85000002</v>
      </c>
      <c r="AA24" s="190">
        <v>-311737500</v>
      </c>
      <c r="AB24" s="190">
        <v>0</v>
      </c>
      <c r="AC24" s="190">
        <v>-325676906.56999999</v>
      </c>
      <c r="AD24" s="190">
        <v>-298915854.66000003</v>
      </c>
      <c r="AE24" s="190">
        <v>-300357446.37</v>
      </c>
      <c r="AF24" s="190">
        <v>116579.3</v>
      </c>
      <c r="AG24" s="190">
        <v>3090024300.4499998</v>
      </c>
      <c r="AH24" s="190">
        <v>3085699118.8000002</v>
      </c>
      <c r="AI24" s="190">
        <v>3336457921.75</v>
      </c>
      <c r="AJ24" s="190">
        <v>-1011066.15</v>
      </c>
      <c r="AK24" s="190">
        <v>-150073959.30000001</v>
      </c>
      <c r="AL24" s="190">
        <v>-178854970.40000001</v>
      </c>
      <c r="AM24" s="190">
        <v>-178854970.40000001</v>
      </c>
      <c r="AN24" s="190">
        <v>-121390000</v>
      </c>
      <c r="AO24" s="190">
        <v>-174808371.47</v>
      </c>
      <c r="AP24" s="190">
        <v>-106817050</v>
      </c>
      <c r="AQ24" s="190">
        <v>0</v>
      </c>
      <c r="AR24" s="190">
        <v>0</v>
      </c>
      <c r="AS24" s="190">
        <v>-147684288</v>
      </c>
      <c r="AT24" s="190">
        <v>-11287580.49</v>
      </c>
      <c r="AU24" s="190">
        <v>-11287580.49</v>
      </c>
      <c r="AV24" s="190">
        <v>0</v>
      </c>
      <c r="AW24" s="190">
        <v>-271140480</v>
      </c>
      <c r="AX24" s="190">
        <v>-265331306.06</v>
      </c>
      <c r="AY24" s="190">
        <v>-220552618.06</v>
      </c>
      <c r="AZ24" s="190">
        <v>0</v>
      </c>
      <c r="BA24" s="190">
        <v>0</v>
      </c>
      <c r="BB24" s="190">
        <v>0</v>
      </c>
      <c r="BC24" s="190">
        <v>0</v>
      </c>
      <c r="BD24" s="190">
        <v>0</v>
      </c>
      <c r="BE24" s="190">
        <v>-268690480</v>
      </c>
      <c r="BF24" s="190">
        <v>-271140480</v>
      </c>
      <c r="BG24" s="190">
        <v>-271140480</v>
      </c>
      <c r="BH24" s="190">
        <v>0</v>
      </c>
      <c r="BI24" s="190">
        <v>-15606000</v>
      </c>
      <c r="BJ24" s="190">
        <v>0</v>
      </c>
      <c r="BK24" s="190">
        <v>0</v>
      </c>
      <c r="BL24" s="190">
        <v>0</v>
      </c>
      <c r="BM24" s="190">
        <v>-5320000</v>
      </c>
      <c r="BN24" s="190">
        <v>-6120000</v>
      </c>
      <c r="BO24" s="190">
        <v>562994338.32000005</v>
      </c>
      <c r="BP24" s="190">
        <v>613134338.32000005</v>
      </c>
      <c r="BQ24" s="190">
        <v>0</v>
      </c>
      <c r="BR24" s="190">
        <v>4623692.53</v>
      </c>
      <c r="BS24" s="190">
        <v>-400000000</v>
      </c>
      <c r="BT24" s="190">
        <v>-237866348.78</v>
      </c>
      <c r="BU24" s="190">
        <v>1108113819.7</v>
      </c>
      <c r="BV24" s="190">
        <v>0</v>
      </c>
    </row>
    <row r="25" spans="1:74" s="242" customFormat="1" ht="138.6" customHeight="1" x14ac:dyDescent="0.25">
      <c r="A25" s="275" t="s">
        <v>743</v>
      </c>
      <c r="B25" s="276"/>
      <c r="C25" s="276"/>
      <c r="D25" s="276"/>
      <c r="E25" s="276"/>
      <c r="F25" s="276"/>
      <c r="G25" s="276"/>
      <c r="H25" s="276"/>
      <c r="I25" s="276"/>
      <c r="J25" s="276"/>
      <c r="K25" s="276"/>
      <c r="L25" s="276"/>
      <c r="M25" s="276"/>
      <c r="N25" s="276"/>
      <c r="O25" s="276"/>
      <c r="P25" s="276"/>
      <c r="Q25" s="276"/>
      <c r="R25" s="276"/>
      <c r="S25" s="276"/>
      <c r="T25" s="276"/>
      <c r="U25" s="276"/>
      <c r="V25" s="276"/>
      <c r="W25" s="276"/>
      <c r="X25" s="276"/>
      <c r="Y25" s="276"/>
      <c r="Z25" s="276"/>
      <c r="AA25" s="276"/>
      <c r="AB25" s="276"/>
      <c r="AC25" s="276"/>
      <c r="AD25" s="276"/>
      <c r="AE25" s="276"/>
      <c r="AF25" s="276"/>
      <c r="AG25" s="276"/>
      <c r="AH25" s="276"/>
      <c r="AI25" s="276"/>
      <c r="AJ25" s="276"/>
      <c r="AK25" s="276"/>
    </row>
    <row r="26" spans="1:74" s="26" customFormat="1" x14ac:dyDescent="0.25">
      <c r="A26" s="17" t="s">
        <v>631</v>
      </c>
      <c r="E26" s="26">
        <f>现金流量表!E15</f>
        <v>10300303620.25</v>
      </c>
      <c r="F26" s="26">
        <f>现金流量表!F15</f>
        <v>5173000000</v>
      </c>
      <c r="G26" s="26">
        <f>现金流量表!G15</f>
        <v>5173000000</v>
      </c>
      <c r="H26" s="26">
        <f>现金流量表!H15</f>
        <v>3370000000</v>
      </c>
      <c r="I26" s="26">
        <f>现金流量表!I15</f>
        <v>4989550266.4300003</v>
      </c>
      <c r="J26" s="26">
        <f>现金流量表!J15</f>
        <v>1447812000</v>
      </c>
      <c r="K26" s="26">
        <f>现金流量表!K15</f>
        <v>1200212000</v>
      </c>
      <c r="L26" s="26">
        <f>现金流量表!L15</f>
        <v>0</v>
      </c>
      <c r="M26" s="26">
        <f>现金流量表!M15</f>
        <v>2928000000</v>
      </c>
      <c r="N26" s="26">
        <f>现金流量表!N15</f>
        <v>3033000000</v>
      </c>
      <c r="O26" s="26">
        <f>现金流量表!O15</f>
        <v>2008000000</v>
      </c>
      <c r="P26" s="26">
        <f>现金流量表!P15</f>
        <v>1313000000</v>
      </c>
      <c r="Q26" s="26">
        <f>现金流量表!Q15</f>
        <v>4992499865</v>
      </c>
      <c r="R26" s="26">
        <f>现金流量表!R15</f>
        <v>4230550000</v>
      </c>
      <c r="S26" s="26">
        <f>现金流量表!S15</f>
        <v>2844550000</v>
      </c>
      <c r="T26" s="26">
        <f>现金流量表!T15</f>
        <v>732000000</v>
      </c>
      <c r="U26" s="26">
        <f>现金流量表!U15</f>
        <v>300000000</v>
      </c>
      <c r="V26" s="26">
        <f>现金流量表!V15</f>
        <v>1144000000</v>
      </c>
      <c r="W26" s="26">
        <f>现金流量表!W15</f>
        <v>844000000</v>
      </c>
      <c r="X26" s="26">
        <f>现金流量表!X15</f>
        <v>0</v>
      </c>
      <c r="Y26" s="26">
        <f>现金流量表!Y15</f>
        <v>0</v>
      </c>
      <c r="Z26" s="26">
        <f>现金流量表!Z15</f>
        <v>0</v>
      </c>
      <c r="AA26" s="26">
        <f>现金流量表!AA15</f>
        <v>0</v>
      </c>
      <c r="AB26" s="26">
        <f>现金流量表!AB15</f>
        <v>0</v>
      </c>
      <c r="AC26" s="26">
        <f>现金流量表!AC15</f>
        <v>0</v>
      </c>
      <c r="AD26" s="26">
        <f>现金流量表!AD15</f>
        <v>0</v>
      </c>
      <c r="AE26" s="26">
        <f>现金流量表!AE15</f>
        <v>0</v>
      </c>
      <c r="AF26" s="26">
        <f>现金流量表!AF15</f>
        <v>0</v>
      </c>
      <c r="AG26" s="26">
        <f>现金流量表!AG15</f>
        <v>0</v>
      </c>
      <c r="AH26" s="26">
        <f>现金流量表!AH15</f>
        <v>0</v>
      </c>
      <c r="AI26" s="26">
        <f>现金流量表!AI15</f>
        <v>0</v>
      </c>
      <c r="AJ26" s="26">
        <f>现金流量表!AJ15</f>
        <v>0</v>
      </c>
      <c r="AK26" s="26">
        <f>现金流量表!AK15</f>
        <v>4500000</v>
      </c>
      <c r="AL26" s="26">
        <f>现金流量表!AL15</f>
        <v>4500000</v>
      </c>
      <c r="AM26" s="26">
        <f>现金流量表!AM15</f>
        <v>0</v>
      </c>
      <c r="AN26" s="26">
        <f>现金流量表!AN15</f>
        <v>0</v>
      </c>
      <c r="AO26" s="26">
        <f>现金流量表!AO15</f>
        <v>0</v>
      </c>
      <c r="AP26" s="26">
        <f>现金流量表!AP15</f>
        <v>0</v>
      </c>
      <c r="AQ26" s="26">
        <f>现金流量表!AQ15</f>
        <v>0</v>
      </c>
      <c r="AR26" s="26">
        <f>现金流量表!AR15</f>
        <v>0</v>
      </c>
      <c r="AS26" s="26">
        <f>现金流量表!AS15</f>
        <v>0</v>
      </c>
      <c r="AT26" s="26">
        <f>现金流量表!AT15</f>
        <v>0</v>
      </c>
      <c r="AU26" s="26">
        <f>现金流量表!AU15</f>
        <v>0</v>
      </c>
      <c r="AV26" s="26">
        <f>现金流量表!AV15</f>
        <v>0</v>
      </c>
      <c r="AW26" s="26">
        <f>现金流量表!AW15</f>
        <v>0</v>
      </c>
      <c r="AX26" s="26">
        <f>现金流量表!AX15</f>
        <v>0</v>
      </c>
      <c r="AY26" s="26">
        <f>现金流量表!AY15</f>
        <v>0</v>
      </c>
      <c r="AZ26" s="26">
        <f>现金流量表!AZ15</f>
        <v>0</v>
      </c>
      <c r="BA26" s="26">
        <f>现金流量表!BA15</f>
        <v>0</v>
      </c>
      <c r="BB26" s="26">
        <f>现金流量表!BB15</f>
        <v>0</v>
      </c>
      <c r="BC26" s="26">
        <f>现金流量表!BC15</f>
        <v>0</v>
      </c>
      <c r="BD26" s="26">
        <f>现金流量表!BD15</f>
        <v>0</v>
      </c>
      <c r="BE26" s="26">
        <f>现金流量表!BE15</f>
        <v>0</v>
      </c>
      <c r="BF26" s="26">
        <f>现金流量表!BF15</f>
        <v>0</v>
      </c>
      <c r="BG26" s="26">
        <f>现金流量表!BG15</f>
        <v>0</v>
      </c>
      <c r="BH26" s="26">
        <f>现金流量表!BH15</f>
        <v>0</v>
      </c>
      <c r="BI26" s="26">
        <f>现金流量表!BI15</f>
        <v>0</v>
      </c>
      <c r="BJ26" s="26">
        <f>现金流量表!BJ15</f>
        <v>0</v>
      </c>
      <c r="BK26" s="26">
        <f>现金流量表!BK15</f>
        <v>0</v>
      </c>
      <c r="BL26" s="26">
        <f>现金流量表!BL15</f>
        <v>0</v>
      </c>
      <c r="BM26" s="26">
        <f>现金流量表!BM15</f>
        <v>0</v>
      </c>
      <c r="BN26" s="26">
        <f>现金流量表!BN15</f>
        <v>0</v>
      </c>
      <c r="BO26" s="26">
        <f>现金流量表!BO15</f>
        <v>0</v>
      </c>
      <c r="BP26" s="26">
        <f>现金流量表!BP15</f>
        <v>0</v>
      </c>
      <c r="BQ26" s="26">
        <f>现金流量表!BQ15</f>
        <v>0</v>
      </c>
      <c r="BR26" s="26">
        <f>现金流量表!BR15</f>
        <v>0</v>
      </c>
      <c r="BS26" s="26">
        <f>现金流量表!BS15</f>
        <v>0</v>
      </c>
      <c r="BT26" s="26">
        <f>现金流量表!BT15</f>
        <v>0</v>
      </c>
      <c r="BU26" s="26">
        <f>现金流量表!BU15</f>
        <v>0</v>
      </c>
      <c r="BV26" s="26">
        <f>现金流量表!BV15</f>
        <v>0</v>
      </c>
    </row>
    <row r="27" spans="1:74" s="26" customFormat="1" x14ac:dyDescent="0.25">
      <c r="A27" s="17" t="s">
        <v>632</v>
      </c>
      <c r="E27" s="26">
        <f>现金流量表!E22</f>
        <v>9921049145.7199993</v>
      </c>
      <c r="F27" s="26">
        <f>现金流量表!F22</f>
        <v>1506630800</v>
      </c>
      <c r="G27" s="26">
        <f>现金流量表!G22</f>
        <v>1453000000</v>
      </c>
      <c r="H27" s="26">
        <f>现金流量表!H22</f>
        <v>0</v>
      </c>
      <c r="I27" s="26">
        <f>现金流量表!I22</f>
        <v>7335420926.25</v>
      </c>
      <c r="J27" s="26">
        <f>现金流量表!J22</f>
        <v>0</v>
      </c>
      <c r="K27" s="26">
        <f>现金流量表!K22</f>
        <v>0</v>
      </c>
      <c r="L27" s="26">
        <f>现金流量表!L22</f>
        <v>1257822000</v>
      </c>
      <c r="M27" s="26">
        <f>现金流量表!M22</f>
        <v>1870817394.24</v>
      </c>
      <c r="N27" s="26">
        <f>现金流量表!N22</f>
        <v>1719000000</v>
      </c>
      <c r="O27" s="26">
        <f>现金流量表!O22</f>
        <v>984000000</v>
      </c>
      <c r="P27" s="26">
        <f>现金流量表!P22</f>
        <v>130000000</v>
      </c>
      <c r="Q27" s="26">
        <f>现金流量表!Q22</f>
        <v>5600747790.2799997</v>
      </c>
      <c r="R27" s="26">
        <f>现金流量表!R22</f>
        <v>4949411111.1099997</v>
      </c>
      <c r="S27" s="26">
        <f>现金流量表!S22</f>
        <v>3454411111.1100001</v>
      </c>
      <c r="T27" s="26">
        <f>现金流量表!T22</f>
        <v>887000000</v>
      </c>
      <c r="U27" s="26">
        <f>现金流量表!U22</f>
        <v>2252949865</v>
      </c>
      <c r="V27" s="26">
        <f>现金流量表!V22</f>
        <v>1439000000</v>
      </c>
      <c r="W27" s="26">
        <f>现金流量表!W22</f>
        <v>1439000000</v>
      </c>
      <c r="X27" s="26">
        <f>现金流量表!X22</f>
        <v>516500000</v>
      </c>
      <c r="Y27" s="26">
        <f>现金流量表!Y22</f>
        <v>300000000</v>
      </c>
      <c r="Z27" s="26">
        <f>现金流量表!Z22</f>
        <v>0</v>
      </c>
      <c r="AA27" s="26">
        <f>现金流量表!AA22</f>
        <v>0</v>
      </c>
      <c r="AB27" s="26">
        <f>现金流量表!AB22</f>
        <v>0</v>
      </c>
      <c r="AC27" s="26">
        <f>现金流量表!AC22</f>
        <v>19539560.260000002</v>
      </c>
      <c r="AD27" s="26">
        <f>现金流量表!AD22</f>
        <v>0</v>
      </c>
      <c r="AE27" s="26">
        <f>现金流量表!AE22</f>
        <v>0</v>
      </c>
      <c r="AF27" s="26">
        <f>现金流量表!AF22</f>
        <v>0</v>
      </c>
      <c r="AG27" s="26">
        <f>现金流量表!AG22</f>
        <v>0</v>
      </c>
      <c r="AH27" s="26">
        <f>现金流量表!AH22</f>
        <v>0</v>
      </c>
      <c r="AI27" s="26">
        <f>现金流量表!AI22</f>
        <v>0</v>
      </c>
      <c r="AJ27" s="26">
        <f>现金流量表!AJ22</f>
        <v>0</v>
      </c>
      <c r="AK27" s="26">
        <f>现金流量表!AK22</f>
        <v>0</v>
      </c>
      <c r="AL27" s="26">
        <f>现金流量表!AL22</f>
        <v>0</v>
      </c>
      <c r="AM27" s="26">
        <f>现金流量表!AM22</f>
        <v>0</v>
      </c>
      <c r="AN27" s="26">
        <f>现金流量表!AN22</f>
        <v>0</v>
      </c>
      <c r="AO27" s="26">
        <f>现金流量表!AO22</f>
        <v>11000000</v>
      </c>
      <c r="AP27" s="26">
        <f>现金流量表!AP22</f>
        <v>0</v>
      </c>
      <c r="AQ27" s="26">
        <f>现金流量表!AQ22</f>
        <v>0</v>
      </c>
      <c r="AR27" s="26">
        <f>现金流量表!AR22</f>
        <v>0</v>
      </c>
      <c r="AS27" s="26">
        <f>现金流量表!AS22</f>
        <v>0</v>
      </c>
      <c r="AT27" s="26">
        <f>现金流量表!AT22</f>
        <v>0</v>
      </c>
      <c r="AU27" s="26">
        <f>现金流量表!AU22</f>
        <v>0</v>
      </c>
      <c r="AV27" s="26">
        <f>现金流量表!AV22</f>
        <v>0</v>
      </c>
      <c r="AW27" s="26">
        <f>现金流量表!AW22</f>
        <v>0</v>
      </c>
      <c r="AX27" s="26">
        <f>现金流量表!AX22</f>
        <v>0</v>
      </c>
      <c r="AY27" s="26">
        <f>现金流量表!AY22</f>
        <v>0</v>
      </c>
      <c r="AZ27" s="26">
        <f>现金流量表!AZ22</f>
        <v>0</v>
      </c>
      <c r="BA27" s="26">
        <f>现金流量表!BA22</f>
        <v>0</v>
      </c>
      <c r="BB27" s="26">
        <f>现金流量表!BB22</f>
        <v>0</v>
      </c>
      <c r="BC27" s="26">
        <f>现金流量表!BC22</f>
        <v>0</v>
      </c>
      <c r="BD27" s="26">
        <f>现金流量表!BD22</f>
        <v>0</v>
      </c>
      <c r="BE27" s="26">
        <f>现金流量表!BE22</f>
        <v>0</v>
      </c>
      <c r="BF27" s="26">
        <f>现金流量表!BF22</f>
        <v>0</v>
      </c>
      <c r="BG27" s="26">
        <f>现金流量表!BG22</f>
        <v>0</v>
      </c>
      <c r="BH27" s="26">
        <f>现金流量表!BH22</f>
        <v>0</v>
      </c>
      <c r="BI27" s="26">
        <f>现金流量表!BI22</f>
        <v>0</v>
      </c>
      <c r="BJ27" s="26">
        <f>现金流量表!BJ22</f>
        <v>0</v>
      </c>
      <c r="BK27" s="26">
        <f>现金流量表!BK22</f>
        <v>0</v>
      </c>
      <c r="BL27" s="26">
        <f>现金流量表!BL22</f>
        <v>0</v>
      </c>
      <c r="BM27" s="26">
        <f>现金流量表!BM22</f>
        <v>0</v>
      </c>
      <c r="BN27" s="26">
        <f>现金流量表!BN22</f>
        <v>0</v>
      </c>
      <c r="BO27" s="26">
        <f>现金流量表!BO22</f>
        <v>0</v>
      </c>
      <c r="BP27" s="26">
        <f>现金流量表!BP22</f>
        <v>0</v>
      </c>
      <c r="BQ27" s="26">
        <f>现金流量表!BQ22</f>
        <v>0</v>
      </c>
      <c r="BR27" s="26">
        <f>现金流量表!BR22</f>
        <v>0</v>
      </c>
      <c r="BS27" s="26">
        <f>现金流量表!BS22</f>
        <v>0</v>
      </c>
      <c r="BT27" s="26">
        <f>现金流量表!BT22</f>
        <v>0</v>
      </c>
      <c r="BU27" s="26">
        <f>现金流量表!BU22</f>
        <v>0</v>
      </c>
      <c r="BV27" s="26">
        <f>现金流量表!BV22</f>
        <v>0</v>
      </c>
    </row>
    <row r="28" spans="1:74" s="26" customFormat="1" x14ac:dyDescent="0.25">
      <c r="A28" s="17" t="s">
        <v>633</v>
      </c>
      <c r="E28" s="26">
        <f>E27-E26</f>
        <v>-379254474.53000069</v>
      </c>
      <c r="F28" s="26">
        <f t="shared" ref="F28:BQ28" si="79">F27-F26</f>
        <v>-3666369200</v>
      </c>
      <c r="G28" s="26">
        <f t="shared" si="79"/>
        <v>-3720000000</v>
      </c>
      <c r="H28" s="26">
        <f t="shared" si="79"/>
        <v>-3370000000</v>
      </c>
      <c r="I28" s="26">
        <f t="shared" si="79"/>
        <v>2345870659.8199997</v>
      </c>
      <c r="J28" s="26">
        <f t="shared" si="79"/>
        <v>-1447812000</v>
      </c>
      <c r="K28" s="26">
        <f t="shared" si="79"/>
        <v>-1200212000</v>
      </c>
      <c r="L28" s="26">
        <f t="shared" si="79"/>
        <v>1257822000</v>
      </c>
      <c r="M28" s="26">
        <f t="shared" si="79"/>
        <v>-1057182605.76</v>
      </c>
      <c r="N28" s="26">
        <f t="shared" si="79"/>
        <v>-1314000000</v>
      </c>
      <c r="O28" s="26">
        <f t="shared" si="79"/>
        <v>-1024000000</v>
      </c>
      <c r="P28" s="26">
        <f t="shared" si="79"/>
        <v>-1183000000</v>
      </c>
      <c r="Q28" s="26">
        <f t="shared" si="79"/>
        <v>608247925.27999973</v>
      </c>
      <c r="R28" s="26">
        <f t="shared" si="79"/>
        <v>718861111.10999966</v>
      </c>
      <c r="S28" s="26">
        <f t="shared" si="79"/>
        <v>609861111.11000013</v>
      </c>
      <c r="T28" s="26">
        <f t="shared" si="79"/>
        <v>155000000</v>
      </c>
      <c r="U28" s="26">
        <f t="shared" si="79"/>
        <v>1952949865</v>
      </c>
      <c r="V28" s="26">
        <f t="shared" si="79"/>
        <v>295000000</v>
      </c>
      <c r="W28" s="26">
        <f t="shared" si="79"/>
        <v>595000000</v>
      </c>
      <c r="X28" s="26">
        <f t="shared" si="79"/>
        <v>516500000</v>
      </c>
      <c r="Y28" s="26">
        <f t="shared" si="79"/>
        <v>300000000</v>
      </c>
      <c r="Z28" s="26">
        <f t="shared" si="79"/>
        <v>0</v>
      </c>
      <c r="AA28" s="26">
        <f t="shared" si="79"/>
        <v>0</v>
      </c>
      <c r="AB28" s="26">
        <f t="shared" si="79"/>
        <v>0</v>
      </c>
      <c r="AC28" s="26">
        <f t="shared" si="79"/>
        <v>19539560.260000002</v>
      </c>
      <c r="AD28" s="26">
        <f t="shared" si="79"/>
        <v>0</v>
      </c>
      <c r="AE28" s="26">
        <f t="shared" si="79"/>
        <v>0</v>
      </c>
      <c r="AF28" s="26">
        <f t="shared" si="79"/>
        <v>0</v>
      </c>
      <c r="AG28" s="26">
        <f t="shared" si="79"/>
        <v>0</v>
      </c>
      <c r="AH28" s="26">
        <f t="shared" si="79"/>
        <v>0</v>
      </c>
      <c r="AI28" s="26">
        <f t="shared" si="79"/>
        <v>0</v>
      </c>
      <c r="AJ28" s="26">
        <f t="shared" si="79"/>
        <v>0</v>
      </c>
      <c r="AK28" s="26">
        <f t="shared" si="79"/>
        <v>-4500000</v>
      </c>
      <c r="AL28" s="26">
        <f t="shared" si="79"/>
        <v>-4500000</v>
      </c>
      <c r="AM28" s="26">
        <f t="shared" si="79"/>
        <v>0</v>
      </c>
      <c r="AN28" s="26">
        <f t="shared" si="79"/>
        <v>0</v>
      </c>
      <c r="AO28" s="26">
        <f t="shared" si="79"/>
        <v>11000000</v>
      </c>
      <c r="AP28" s="26">
        <f t="shared" si="79"/>
        <v>0</v>
      </c>
      <c r="AQ28" s="26">
        <f t="shared" si="79"/>
        <v>0</v>
      </c>
      <c r="AR28" s="26">
        <f t="shared" si="79"/>
        <v>0</v>
      </c>
      <c r="AS28" s="26">
        <f t="shared" si="79"/>
        <v>0</v>
      </c>
      <c r="AT28" s="26">
        <f t="shared" si="79"/>
        <v>0</v>
      </c>
      <c r="AU28" s="26">
        <f t="shared" si="79"/>
        <v>0</v>
      </c>
      <c r="AV28" s="26">
        <f t="shared" si="79"/>
        <v>0</v>
      </c>
      <c r="AW28" s="26">
        <f t="shared" si="79"/>
        <v>0</v>
      </c>
      <c r="AX28" s="26">
        <f t="shared" si="79"/>
        <v>0</v>
      </c>
      <c r="AY28" s="26">
        <f t="shared" si="79"/>
        <v>0</v>
      </c>
      <c r="AZ28" s="26">
        <f t="shared" si="79"/>
        <v>0</v>
      </c>
      <c r="BA28" s="26">
        <f t="shared" si="79"/>
        <v>0</v>
      </c>
      <c r="BB28" s="26">
        <f t="shared" si="79"/>
        <v>0</v>
      </c>
      <c r="BC28" s="26">
        <f t="shared" si="79"/>
        <v>0</v>
      </c>
      <c r="BD28" s="26">
        <f t="shared" si="79"/>
        <v>0</v>
      </c>
      <c r="BE28" s="26">
        <f t="shared" si="79"/>
        <v>0</v>
      </c>
      <c r="BF28" s="26">
        <f t="shared" si="79"/>
        <v>0</v>
      </c>
      <c r="BG28" s="26">
        <f t="shared" si="79"/>
        <v>0</v>
      </c>
      <c r="BH28" s="26">
        <f t="shared" si="79"/>
        <v>0</v>
      </c>
      <c r="BI28" s="26">
        <f t="shared" si="79"/>
        <v>0</v>
      </c>
      <c r="BJ28" s="26">
        <f t="shared" si="79"/>
        <v>0</v>
      </c>
      <c r="BK28" s="26">
        <f t="shared" si="79"/>
        <v>0</v>
      </c>
      <c r="BL28" s="26">
        <f t="shared" si="79"/>
        <v>0</v>
      </c>
      <c r="BM28" s="26">
        <f t="shared" si="79"/>
        <v>0</v>
      </c>
      <c r="BN28" s="26">
        <f t="shared" si="79"/>
        <v>0</v>
      </c>
      <c r="BO28" s="26">
        <f t="shared" si="79"/>
        <v>0</v>
      </c>
      <c r="BP28" s="26">
        <f t="shared" si="79"/>
        <v>0</v>
      </c>
      <c r="BQ28" s="26">
        <f t="shared" si="79"/>
        <v>0</v>
      </c>
      <c r="BR28" s="26">
        <f t="shared" ref="BR28:BV28" si="80">BR27-BR26</f>
        <v>0</v>
      </c>
      <c r="BS28" s="26">
        <f t="shared" si="80"/>
        <v>0</v>
      </c>
      <c r="BT28" s="26">
        <f t="shared" si="80"/>
        <v>0</v>
      </c>
      <c r="BU28" s="26">
        <f t="shared" si="80"/>
        <v>0</v>
      </c>
      <c r="BV28" s="26">
        <f t="shared" si="80"/>
        <v>0</v>
      </c>
    </row>
    <row r="29" spans="1:74" s="26" customFormat="1" ht="16.2" customHeight="1" x14ac:dyDescent="0.25">
      <c r="A29" s="181" t="s">
        <v>634</v>
      </c>
      <c r="E29" s="182">
        <f>POWER(E28/U28,1/5)-1</f>
        <v>-1.7205231247397379</v>
      </c>
    </row>
    <row r="30" spans="1:74" s="30" customFormat="1" ht="15" customHeight="1" thickBot="1" x14ac:dyDescent="0.3">
      <c r="A30" s="137"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39447</v>
      </c>
      <c r="AQ30" s="1">
        <v>25569</v>
      </c>
      <c r="AR30" s="1">
        <v>39538</v>
      </c>
      <c r="AS30" s="1">
        <v>39447</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36707</v>
      </c>
      <c r="BS30" s="1">
        <v>36525</v>
      </c>
      <c r="BT30" s="1">
        <v>36341</v>
      </c>
      <c r="BU30" s="1">
        <v>36160</v>
      </c>
      <c r="BV30" s="1">
        <v>25569</v>
      </c>
    </row>
    <row r="31" spans="1:74" s="51" customFormat="1" ht="17.399999999999999" customHeight="1" x14ac:dyDescent="0.25">
      <c r="A31" s="111" t="s">
        <v>310</v>
      </c>
      <c r="B31" s="190">
        <v>8702225513.7099991</v>
      </c>
      <c r="C31" s="190">
        <v>8288293982.5200005</v>
      </c>
      <c r="D31" s="190">
        <v>7653616300.5200005</v>
      </c>
      <c r="E31" s="190">
        <v>6917654245.0200005</v>
      </c>
      <c r="F31" s="190">
        <v>5813404640.6199999</v>
      </c>
      <c r="G31" s="190">
        <v>5419257417.0699997</v>
      </c>
      <c r="H31" s="190">
        <v>4987966753.6899996</v>
      </c>
      <c r="I31" s="190">
        <v>4815526698.7700005</v>
      </c>
      <c r="J31" s="190">
        <v>4289309631.1500001</v>
      </c>
      <c r="K31" s="190">
        <v>4121611114.5700002</v>
      </c>
      <c r="L31" s="190">
        <v>3820591900.8099999</v>
      </c>
      <c r="M31" s="190">
        <v>3634085410.75</v>
      </c>
      <c r="N31" s="190">
        <v>3053078325.4200001</v>
      </c>
      <c r="O31" s="190">
        <v>2685986809.77</v>
      </c>
      <c r="P31" s="190">
        <v>2330832809.5300002</v>
      </c>
      <c r="Q31" s="190">
        <v>2182633315.1999998</v>
      </c>
      <c r="R31" s="190">
        <v>2085416568.4200001</v>
      </c>
      <c r="S31" s="190">
        <v>2000846244.6300001</v>
      </c>
      <c r="T31" s="190">
        <v>1797096654.23</v>
      </c>
      <c r="U31" s="190">
        <v>1681593248.6400001</v>
      </c>
      <c r="V31" s="190">
        <v>2262803281.5799999</v>
      </c>
      <c r="W31" s="190">
        <v>2513999745.46</v>
      </c>
      <c r="X31" s="190">
        <v>2336999214.5</v>
      </c>
      <c r="Y31" s="190">
        <v>1777816243.8299999</v>
      </c>
      <c r="Z31" s="190">
        <v>1158971261.95</v>
      </c>
      <c r="AA31" s="190">
        <v>1134639693.98</v>
      </c>
      <c r="AB31" s="190">
        <v>976566262.85000002</v>
      </c>
      <c r="AC31" s="190">
        <v>915504829.82000005</v>
      </c>
      <c r="AD31" s="190">
        <v>734470674.59000003</v>
      </c>
      <c r="AE31" s="190">
        <v>695147561.32000005</v>
      </c>
      <c r="AF31" s="190">
        <v>655281678.41999996</v>
      </c>
      <c r="AG31" s="190">
        <v>563915739.85000002</v>
      </c>
      <c r="AH31" s="190">
        <v>480003206.94</v>
      </c>
      <c r="AI31" s="190">
        <v>405334431.42000002</v>
      </c>
      <c r="AJ31" s="190">
        <v>348452364.31999999</v>
      </c>
      <c r="AK31" s="190">
        <v>323492336.07999998</v>
      </c>
      <c r="AL31" s="190">
        <v>107424032.09999999</v>
      </c>
      <c r="AM31" s="190">
        <v>57568246.020000003</v>
      </c>
      <c r="AN31" s="190">
        <v>0</v>
      </c>
      <c r="AO31" s="190"/>
      <c r="AP31" s="190"/>
      <c r="AQ31" s="190"/>
      <c r="AR31" s="190">
        <v>4983590367.6400003</v>
      </c>
      <c r="AS31" s="190">
        <v>5087759145.3900003</v>
      </c>
      <c r="AT31" s="190">
        <v>5119825755.0799999</v>
      </c>
      <c r="AU31" s="190">
        <v>5166324238.8199997</v>
      </c>
      <c r="AV31" s="190">
        <v>5229742144.5900002</v>
      </c>
      <c r="AW31" s="190">
        <v>5303368604.3599997</v>
      </c>
      <c r="AX31" s="190">
        <v>5412891640.3100004</v>
      </c>
      <c r="AY31" s="190">
        <v>5477269087.8599997</v>
      </c>
      <c r="AZ31" s="190">
        <v>5394582476.9899998</v>
      </c>
      <c r="BA31" s="190">
        <v>5501322858.9799995</v>
      </c>
      <c r="BB31" s="190">
        <v>5577867470.3299999</v>
      </c>
      <c r="BC31" s="190">
        <v>5696283898.6499996</v>
      </c>
      <c r="BD31" s="190">
        <v>5779603253.5100002</v>
      </c>
      <c r="BE31" s="190">
        <v>5840992847.29</v>
      </c>
      <c r="BF31" s="190">
        <v>5434316703.3800001</v>
      </c>
      <c r="BG31" s="190">
        <v>5519652065.3800001</v>
      </c>
      <c r="BH31" s="190">
        <v>5587811046.9799995</v>
      </c>
      <c r="BI31" s="190">
        <v>5587556850.7200003</v>
      </c>
      <c r="BJ31" s="190">
        <v>5175235607.8500004</v>
      </c>
      <c r="BK31" s="190">
        <v>4543535291.6599998</v>
      </c>
      <c r="BL31" s="190">
        <v>4478639735.0500002</v>
      </c>
      <c r="BM31" s="190">
        <v>4520776529.7700005</v>
      </c>
      <c r="BN31" s="190">
        <v>3620875395.5999999</v>
      </c>
      <c r="BO31" s="190">
        <v>3684993020.0500002</v>
      </c>
      <c r="BP31" s="190">
        <v>3523637936.8200002</v>
      </c>
      <c r="BQ31" s="190">
        <v>3558533656.5999999</v>
      </c>
      <c r="BR31" s="190">
        <v>0</v>
      </c>
      <c r="BS31" s="190">
        <v>3540915525.1199999</v>
      </c>
      <c r="BT31" s="190">
        <v>1786934979.5599999</v>
      </c>
      <c r="BU31" s="190">
        <v>1665815375.1099999</v>
      </c>
      <c r="BV31" s="190">
        <v>1686369507.6900001</v>
      </c>
    </row>
    <row r="32" spans="1:74" s="54" customFormat="1" ht="15" customHeight="1" x14ac:dyDescent="0.25">
      <c r="A32" s="138" t="s">
        <v>311</v>
      </c>
      <c r="B32" s="190">
        <v>255885609.58000001</v>
      </c>
      <c r="C32" s="190">
        <v>246430417.72</v>
      </c>
      <c r="D32" s="190">
        <v>248964102.97</v>
      </c>
      <c r="E32" s="190">
        <v>248964102.97</v>
      </c>
      <c r="F32" s="190">
        <v>248364401.47</v>
      </c>
      <c r="G32" s="190">
        <v>248364401.47</v>
      </c>
      <c r="H32" s="190">
        <v>248364401.47</v>
      </c>
      <c r="I32" s="190">
        <v>248364401.47</v>
      </c>
      <c r="J32" s="190">
        <v>248364401.47</v>
      </c>
      <c r="K32" s="190">
        <v>248364401.47</v>
      </c>
      <c r="L32" s="190">
        <v>117872774.01000001</v>
      </c>
      <c r="M32" s="190">
        <v>117860200.59</v>
      </c>
      <c r="N32" s="190">
        <v>117860200.59</v>
      </c>
      <c r="O32" s="190">
        <v>117860200.59</v>
      </c>
      <c r="P32" s="190">
        <v>117860200.59</v>
      </c>
      <c r="Q32" s="190">
        <v>117860200.59</v>
      </c>
      <c r="R32" s="190">
        <v>117860200.59</v>
      </c>
      <c r="S32" s="190">
        <v>117860200.59</v>
      </c>
      <c r="T32" s="190">
        <v>117860200.59</v>
      </c>
      <c r="U32" s="190">
        <v>117860200.59</v>
      </c>
      <c r="V32" s="190">
        <v>123118922.78</v>
      </c>
      <c r="W32" s="190">
        <v>143420026.66999999</v>
      </c>
      <c r="X32" s="190">
        <v>143420026.66999999</v>
      </c>
      <c r="Y32" s="190">
        <v>131016265.7</v>
      </c>
      <c r="Z32" s="190">
        <v>131016265.7</v>
      </c>
      <c r="AA32" s="190">
        <v>131016265.7</v>
      </c>
      <c r="AB32" s="190">
        <v>69693394.069999993</v>
      </c>
      <c r="AC32" s="190">
        <v>69693394.069999993</v>
      </c>
      <c r="AD32" s="190">
        <v>69693394.069999993</v>
      </c>
      <c r="AE32" s="190">
        <v>69693394.069999993</v>
      </c>
      <c r="AF32" s="190">
        <v>70563394.069999993</v>
      </c>
      <c r="AG32" s="190">
        <v>67349.64</v>
      </c>
      <c r="AH32" s="190">
        <v>67349.64</v>
      </c>
      <c r="AI32" s="190">
        <v>67349.64</v>
      </c>
      <c r="AJ32" s="190">
        <v>67349.64</v>
      </c>
      <c r="AK32" s="190">
        <v>0</v>
      </c>
      <c r="AL32" s="190">
        <v>0</v>
      </c>
      <c r="AM32" s="190">
        <v>2250467.4300000002</v>
      </c>
      <c r="AN32" s="190">
        <v>0</v>
      </c>
      <c r="AO32" s="190"/>
      <c r="AP32" s="190"/>
      <c r="AQ32" s="190"/>
      <c r="AR32" s="190">
        <v>0</v>
      </c>
      <c r="AS32" s="190">
        <v>0</v>
      </c>
      <c r="AT32" s="190">
        <v>0</v>
      </c>
      <c r="AU32" s="190">
        <v>0</v>
      </c>
      <c r="AV32" s="190">
        <v>0</v>
      </c>
      <c r="AW32" s="190">
        <v>0</v>
      </c>
      <c r="AX32" s="190">
        <v>0</v>
      </c>
      <c r="AY32" s="190">
        <v>0</v>
      </c>
      <c r="AZ32" s="190">
        <v>0</v>
      </c>
      <c r="BA32" s="190">
        <v>0</v>
      </c>
      <c r="BB32" s="190">
        <v>0</v>
      </c>
      <c r="BC32" s="190">
        <v>0</v>
      </c>
      <c r="BD32" s="190">
        <v>0</v>
      </c>
      <c r="BE32" s="190">
        <v>0</v>
      </c>
      <c r="BF32" s="190">
        <v>0</v>
      </c>
      <c r="BG32" s="190">
        <v>0</v>
      </c>
      <c r="BH32" s="190">
        <v>0</v>
      </c>
      <c r="BI32" s="190">
        <v>0</v>
      </c>
      <c r="BJ32" s="190">
        <v>0</v>
      </c>
      <c r="BK32" s="190">
        <v>0</v>
      </c>
      <c r="BL32" s="190">
        <v>0</v>
      </c>
      <c r="BM32" s="190">
        <v>0</v>
      </c>
      <c r="BN32" s="190">
        <v>0</v>
      </c>
      <c r="BO32" s="190">
        <v>0</v>
      </c>
      <c r="BP32" s="190">
        <v>0</v>
      </c>
      <c r="BQ32" s="190">
        <v>0</v>
      </c>
      <c r="BR32" s="190">
        <v>0</v>
      </c>
      <c r="BS32" s="190">
        <v>0</v>
      </c>
      <c r="BT32" s="190">
        <v>0</v>
      </c>
      <c r="BU32" s="190">
        <v>0</v>
      </c>
      <c r="BV32" s="190">
        <v>0</v>
      </c>
    </row>
    <row r="33" spans="1:74" s="54" customFormat="1" ht="19.2" customHeight="1" x14ac:dyDescent="0.25">
      <c r="A33" s="138" t="s">
        <v>312</v>
      </c>
      <c r="B33" s="190">
        <v>287466813</v>
      </c>
      <c r="C33" s="190">
        <v>287466813</v>
      </c>
      <c r="D33" s="190">
        <v>287466813</v>
      </c>
      <c r="E33" s="190">
        <v>287466813</v>
      </c>
      <c r="F33" s="190">
        <v>287466813</v>
      </c>
      <c r="G33" s="190">
        <v>283836013</v>
      </c>
      <c r="H33" s="190">
        <v>283836013</v>
      </c>
      <c r="I33" s="190">
        <v>283836013</v>
      </c>
      <c r="J33" s="190">
        <v>56043513</v>
      </c>
      <c r="K33" s="190">
        <v>56033513</v>
      </c>
      <c r="L33" s="190">
        <v>56033513</v>
      </c>
      <c r="M33" s="190">
        <v>56033513</v>
      </c>
      <c r="N33" s="190">
        <v>604313</v>
      </c>
      <c r="O33" s="190">
        <v>604313</v>
      </c>
      <c r="P33" s="190">
        <v>604313</v>
      </c>
      <c r="Q33" s="190">
        <v>604313</v>
      </c>
      <c r="R33" s="190">
        <v>604313</v>
      </c>
      <c r="S33" s="190">
        <v>0</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c r="AJ33" s="190">
        <v>0</v>
      </c>
      <c r="AK33" s="190">
        <v>0</v>
      </c>
      <c r="AL33" s="190">
        <v>0</v>
      </c>
      <c r="AM33" s="190">
        <v>0</v>
      </c>
      <c r="AN33" s="190">
        <v>0</v>
      </c>
      <c r="AO33" s="190"/>
      <c r="AP33" s="190"/>
      <c r="AQ33" s="190"/>
      <c r="AR33" s="190">
        <v>0</v>
      </c>
      <c r="AS33" s="190">
        <v>0</v>
      </c>
      <c r="AT33" s="190">
        <v>0</v>
      </c>
      <c r="AU33" s="190">
        <v>0</v>
      </c>
      <c r="AV33" s="190">
        <v>0</v>
      </c>
      <c r="AW33" s="190">
        <v>0</v>
      </c>
      <c r="AX33" s="190">
        <v>0</v>
      </c>
      <c r="AY33" s="190">
        <v>0</v>
      </c>
      <c r="AZ33" s="190">
        <v>0</v>
      </c>
      <c r="BA33" s="190">
        <v>0</v>
      </c>
      <c r="BB33" s="190">
        <v>0</v>
      </c>
      <c r="BC33" s="190">
        <v>0</v>
      </c>
      <c r="BD33" s="190">
        <v>0</v>
      </c>
      <c r="BE33" s="190">
        <v>0</v>
      </c>
      <c r="BF33" s="190">
        <v>0</v>
      </c>
      <c r="BG33" s="190">
        <v>0</v>
      </c>
      <c r="BH33" s="190">
        <v>0</v>
      </c>
      <c r="BI33" s="190">
        <v>0</v>
      </c>
      <c r="BJ33" s="190">
        <v>0</v>
      </c>
      <c r="BK33" s="190">
        <v>0</v>
      </c>
      <c r="BL33" s="190">
        <v>0</v>
      </c>
      <c r="BM33" s="190">
        <v>0</v>
      </c>
      <c r="BN33" s="190">
        <v>0</v>
      </c>
      <c r="BO33" s="190">
        <v>0</v>
      </c>
      <c r="BP33" s="190">
        <v>0</v>
      </c>
      <c r="BQ33" s="190">
        <v>0</v>
      </c>
      <c r="BR33" s="190">
        <v>0</v>
      </c>
      <c r="BS33" s="190">
        <v>0</v>
      </c>
      <c r="BT33" s="190">
        <v>0</v>
      </c>
      <c r="BU33" s="190">
        <v>0</v>
      </c>
      <c r="BV33" s="190">
        <v>0</v>
      </c>
    </row>
    <row r="34" spans="1:74" s="44" customFormat="1" ht="15" thickBot="1" x14ac:dyDescent="0.3">
      <c r="A34" s="139" t="s">
        <v>315</v>
      </c>
      <c r="B34" s="49"/>
      <c r="C34" s="49"/>
      <c r="D34" s="49"/>
      <c r="E34" s="49">
        <f>E31-E32-E33</f>
        <v>6381223329.0500002</v>
      </c>
      <c r="F34" s="49">
        <f t="shared" ref="F34:BP34" si="81">F31-F32-F33</f>
        <v>5277573426.1499996</v>
      </c>
      <c r="G34" s="49">
        <f t="shared" si="81"/>
        <v>4887057002.5999994</v>
      </c>
      <c r="H34" s="49">
        <f t="shared" si="81"/>
        <v>4455766339.2199993</v>
      </c>
      <c r="I34" s="49">
        <f t="shared" si="81"/>
        <v>4283326284.3000002</v>
      </c>
      <c r="J34" s="49">
        <f t="shared" si="81"/>
        <v>3984901716.6800003</v>
      </c>
      <c r="K34" s="49">
        <f t="shared" si="81"/>
        <v>3817213200.1000004</v>
      </c>
      <c r="L34" s="49">
        <f t="shared" si="81"/>
        <v>3646685613.7999997</v>
      </c>
      <c r="M34" s="49">
        <f t="shared" si="81"/>
        <v>3460191697.1599998</v>
      </c>
      <c r="N34" s="49">
        <f t="shared" si="81"/>
        <v>2934613811.8299999</v>
      </c>
      <c r="O34" s="49">
        <f t="shared" si="81"/>
        <v>2567522296.1799998</v>
      </c>
      <c r="P34" s="49">
        <f t="shared" si="81"/>
        <v>2212368295.9400001</v>
      </c>
      <c r="Q34" s="49">
        <f t="shared" si="81"/>
        <v>2064168801.6099999</v>
      </c>
      <c r="R34" s="49">
        <f t="shared" si="81"/>
        <v>1966952054.8300002</v>
      </c>
      <c r="S34" s="49">
        <f t="shared" si="81"/>
        <v>1882986044.0400002</v>
      </c>
      <c r="T34" s="49">
        <f t="shared" si="81"/>
        <v>1679236453.6400001</v>
      </c>
      <c r="U34" s="49">
        <f t="shared" si="81"/>
        <v>1563733048.0500002</v>
      </c>
      <c r="V34" s="49">
        <f t="shared" si="81"/>
        <v>2139684358.8</v>
      </c>
      <c r="W34" s="49">
        <f t="shared" si="81"/>
        <v>2370579718.79</v>
      </c>
      <c r="X34" s="49">
        <f t="shared" si="81"/>
        <v>2193579187.8299999</v>
      </c>
      <c r="Y34" s="49">
        <f t="shared" si="81"/>
        <v>1646799978.1299999</v>
      </c>
      <c r="Z34" s="49">
        <f t="shared" si="81"/>
        <v>1027954996.25</v>
      </c>
      <c r="AA34" s="49">
        <f t="shared" si="81"/>
        <v>1003623428.28</v>
      </c>
      <c r="AB34" s="49">
        <f t="shared" si="81"/>
        <v>906872868.77999997</v>
      </c>
      <c r="AC34" s="49">
        <f t="shared" si="81"/>
        <v>845811435.75</v>
      </c>
      <c r="AD34" s="49">
        <f t="shared" si="81"/>
        <v>664777280.51999998</v>
      </c>
      <c r="AE34" s="49">
        <f t="shared" si="81"/>
        <v>625454167.25</v>
      </c>
      <c r="AF34" s="49">
        <f t="shared" si="81"/>
        <v>584718284.3499999</v>
      </c>
      <c r="AG34" s="49">
        <f t="shared" si="81"/>
        <v>563848390.21000004</v>
      </c>
      <c r="AH34" s="49">
        <f t="shared" si="81"/>
        <v>479935857.30000001</v>
      </c>
      <c r="AI34" s="49">
        <f t="shared" si="81"/>
        <v>405267081.78000003</v>
      </c>
      <c r="AJ34" s="49">
        <f t="shared" si="81"/>
        <v>348385014.68000001</v>
      </c>
      <c r="AK34" s="49">
        <f t="shared" si="81"/>
        <v>323492336.07999998</v>
      </c>
      <c r="AL34" s="49">
        <f t="shared" si="81"/>
        <v>107424032.09999999</v>
      </c>
      <c r="AM34" s="49">
        <f t="shared" si="81"/>
        <v>55317778.590000004</v>
      </c>
      <c r="AN34" s="49">
        <f t="shared" si="81"/>
        <v>0</v>
      </c>
      <c r="AO34" s="49">
        <f t="shared" si="81"/>
        <v>0</v>
      </c>
      <c r="AP34" s="49">
        <f t="shared" si="81"/>
        <v>0</v>
      </c>
      <c r="AQ34" s="49">
        <f t="shared" si="81"/>
        <v>0</v>
      </c>
      <c r="AR34" s="49">
        <f t="shared" si="81"/>
        <v>4983590367.6400003</v>
      </c>
      <c r="AS34" s="49">
        <f t="shared" si="81"/>
        <v>5087759145.3900003</v>
      </c>
      <c r="AT34" s="49">
        <f t="shared" si="81"/>
        <v>5119825755.0799999</v>
      </c>
      <c r="AU34" s="49">
        <f t="shared" si="81"/>
        <v>5166324238.8199997</v>
      </c>
      <c r="AV34" s="49">
        <f t="shared" si="81"/>
        <v>5229742144.5900002</v>
      </c>
      <c r="AW34" s="49">
        <f t="shared" si="81"/>
        <v>5303368604.3599997</v>
      </c>
      <c r="AX34" s="49">
        <f t="shared" si="81"/>
        <v>5412891640.3100004</v>
      </c>
      <c r="AY34" s="49">
        <f t="shared" si="81"/>
        <v>5477269087.8599997</v>
      </c>
      <c r="AZ34" s="49">
        <f t="shared" si="81"/>
        <v>5394582476.9899998</v>
      </c>
      <c r="BA34" s="49">
        <f t="shared" si="81"/>
        <v>5501322858.9799995</v>
      </c>
      <c r="BB34" s="49">
        <f t="shared" si="81"/>
        <v>5577867470.3299999</v>
      </c>
      <c r="BC34" s="49">
        <f t="shared" si="81"/>
        <v>5696283898.6499996</v>
      </c>
      <c r="BD34" s="49">
        <f t="shared" si="81"/>
        <v>5779603253.5100002</v>
      </c>
      <c r="BE34" s="49">
        <f t="shared" si="81"/>
        <v>5840992847.29</v>
      </c>
      <c r="BF34" s="49">
        <f t="shared" si="81"/>
        <v>5434316703.3800001</v>
      </c>
      <c r="BG34" s="49">
        <f t="shared" si="81"/>
        <v>5519652065.3800001</v>
      </c>
      <c r="BH34" s="49">
        <f t="shared" si="81"/>
        <v>5587811046.9799995</v>
      </c>
      <c r="BI34" s="49">
        <f t="shared" si="81"/>
        <v>5587556850.7200003</v>
      </c>
      <c r="BJ34" s="49">
        <f t="shared" si="81"/>
        <v>5175235607.8500004</v>
      </c>
      <c r="BK34" s="49">
        <f t="shared" si="81"/>
        <v>4543535291.6599998</v>
      </c>
      <c r="BL34" s="49">
        <f t="shared" si="81"/>
        <v>4478639735.0500002</v>
      </c>
      <c r="BM34" s="49">
        <f t="shared" si="81"/>
        <v>4520776529.7700005</v>
      </c>
      <c r="BN34" s="49">
        <f t="shared" si="81"/>
        <v>3620875395.5999999</v>
      </c>
      <c r="BO34" s="49">
        <f t="shared" si="81"/>
        <v>3684993020.0500002</v>
      </c>
      <c r="BP34" s="49">
        <f t="shared" si="81"/>
        <v>3523637936.8200002</v>
      </c>
      <c r="BQ34" s="49">
        <f>AP31-AP32-AP33</f>
        <v>0</v>
      </c>
      <c r="BR34" s="49">
        <f>AQ31-AQ32-AQ33</f>
        <v>0</v>
      </c>
      <c r="BS34" s="49">
        <f>AR31-AR32-AR33</f>
        <v>4983590367.6400003</v>
      </c>
      <c r="BT34" s="49"/>
      <c r="BU34" s="50"/>
    </row>
    <row r="35" spans="1:74" s="106" customFormat="1" ht="15" thickBot="1" x14ac:dyDescent="0.3">
      <c r="A35" s="140" t="s">
        <v>317</v>
      </c>
      <c r="B35" s="33">
        <f>SUM(B22:B31)</f>
        <v>6096029715.7699986</v>
      </c>
      <c r="C35" s="33">
        <f>SUM(C22:C31)</f>
        <v>5862710440.0700006</v>
      </c>
      <c r="D35" s="33">
        <f>SUM(D22:D31)</f>
        <v>8671882556.9300003</v>
      </c>
      <c r="E35" s="33">
        <f>资产资本表!E17</f>
        <v>16759998173.18</v>
      </c>
      <c r="F35" s="33">
        <f>资产资本表!F17</f>
        <v>13467903042.66</v>
      </c>
      <c r="G35" s="33">
        <f>资产资本表!G17</f>
        <v>13466486552.66</v>
      </c>
      <c r="H35" s="33">
        <f>资产资本表!H17</f>
        <v>16504776329.720001</v>
      </c>
      <c r="I35" s="33">
        <f>资产资本表!I17</f>
        <v>13934376704.52</v>
      </c>
      <c r="J35" s="33">
        <f>资产资本表!J17</f>
        <v>12433800144.74</v>
      </c>
      <c r="K35" s="33">
        <f>资产资本表!K17</f>
        <v>10273876308.09</v>
      </c>
      <c r="L35" s="33">
        <f>资产资本表!L17</f>
        <v>9425032714.3999996</v>
      </c>
      <c r="M35" s="33">
        <f>资产资本表!M17</f>
        <v>10168694380.710001</v>
      </c>
      <c r="N35" s="33">
        <f>资产资本表!N17</f>
        <v>6902052459.75</v>
      </c>
      <c r="O35" s="33">
        <f>资产资本表!O17</f>
        <v>6330184019.7399998</v>
      </c>
      <c r="P35" s="33">
        <f>资产资本表!P17</f>
        <v>6237116316.2700005</v>
      </c>
      <c r="Q35" s="33">
        <f>资产资本表!Q17</f>
        <v>7203296191.9299994</v>
      </c>
      <c r="R35" s="33">
        <f>资产资本表!R17</f>
        <v>3503187327.3699999</v>
      </c>
      <c r="S35" s="33">
        <f>资产资本表!S17</f>
        <v>4093778211.8600001</v>
      </c>
      <c r="T35" s="33">
        <f>资产资本表!T17</f>
        <v>3763070125.4200001</v>
      </c>
      <c r="U35" s="33">
        <f>资产资本表!U17</f>
        <v>4592606345.6000004</v>
      </c>
      <c r="V35" s="33">
        <f>资产资本表!V17</f>
        <v>5214045859.7299995</v>
      </c>
      <c r="W35" s="33">
        <f>资产资本表!W17</f>
        <v>5526592322.7799997</v>
      </c>
      <c r="X35" s="33">
        <f>资产资本表!X17</f>
        <v>5177822598.3100004</v>
      </c>
      <c r="Y35" s="33">
        <f>资产资本表!Y17</f>
        <v>5834759469.1999998</v>
      </c>
      <c r="Z35" s="33">
        <f>资产资本表!Z17</f>
        <v>4643066329.4399996</v>
      </c>
      <c r="AA35" s="33">
        <f>资产资本表!AA17</f>
        <v>4592336693.79</v>
      </c>
      <c r="AB35" s="33">
        <f>资产资本表!AB17</f>
        <v>4700147603.8900003</v>
      </c>
      <c r="AC35" s="33">
        <f>资产资本表!AC17</f>
        <v>5244489946.3900003</v>
      </c>
      <c r="AD35" s="33">
        <f>资产资本表!AD17</f>
        <v>4128046202.0700002</v>
      </c>
      <c r="AE35" s="33">
        <f>资产资本表!AE17</f>
        <v>4191087673.9699998</v>
      </c>
      <c r="AF35" s="33">
        <f>资产资本表!AF17</f>
        <v>4380487688.2799997</v>
      </c>
      <c r="AG35" s="33">
        <f>资产资本表!AG17</f>
        <v>4649956978.1499996</v>
      </c>
      <c r="AH35" s="33">
        <f>资产资本表!AH17</f>
        <v>3813886974.6799998</v>
      </c>
      <c r="AI35" s="33">
        <f>资产资本表!AI17</f>
        <v>4143895458.0500002</v>
      </c>
      <c r="AJ35" s="33">
        <f>资产资本表!AJ17</f>
        <v>762411039.29999995</v>
      </c>
      <c r="AK35" s="33">
        <f>资产资本表!AK17</f>
        <v>1148562390.8499999</v>
      </c>
      <c r="AL35" s="33">
        <f>资产资本表!AL17</f>
        <v>844381117.83000004</v>
      </c>
      <c r="AM35" s="33">
        <f>资产资本表!AM17</f>
        <v>448714996.70999998</v>
      </c>
      <c r="AN35" s="33">
        <f>资产资本表!AN17</f>
        <v>0</v>
      </c>
      <c r="AO35" s="33">
        <f>资产资本表!AO17</f>
        <v>0</v>
      </c>
      <c r="AP35" s="33">
        <f>资产资本表!AP17</f>
        <v>0</v>
      </c>
      <c r="AQ35" s="33">
        <f>资产资本表!AQ17</f>
        <v>0</v>
      </c>
      <c r="AR35" s="33">
        <f>资产资本表!AR17</f>
        <v>0</v>
      </c>
      <c r="AS35" s="33">
        <f>资产资本表!AS17</f>
        <v>0</v>
      </c>
      <c r="AT35" s="33">
        <f>资产资本表!AT17</f>
        <v>0</v>
      </c>
      <c r="AU35" s="33">
        <f>资产资本表!AU17</f>
        <v>0</v>
      </c>
      <c r="AV35" s="33">
        <f>资产资本表!AV17</f>
        <v>0</v>
      </c>
      <c r="AW35" s="33">
        <f>资产资本表!AW17</f>
        <v>0</v>
      </c>
      <c r="AX35" s="33">
        <f>资产资本表!AX17</f>
        <v>0</v>
      </c>
      <c r="AY35" s="33">
        <f>资产资本表!AY17</f>
        <v>0</v>
      </c>
      <c r="AZ35" s="33">
        <f>资产资本表!AZ17</f>
        <v>0</v>
      </c>
      <c r="BA35" s="33">
        <f>资产资本表!BA17</f>
        <v>0</v>
      </c>
      <c r="BB35" s="33">
        <f>资产资本表!BB17</f>
        <v>0</v>
      </c>
      <c r="BC35" s="33">
        <f>资产资本表!BC17</f>
        <v>0</v>
      </c>
      <c r="BD35" s="33">
        <f>资产资本表!BD17</f>
        <v>0</v>
      </c>
      <c r="BE35" s="33">
        <f>资产资本表!BE17</f>
        <v>0</v>
      </c>
      <c r="BF35" s="33">
        <f>资产资本表!BF17</f>
        <v>0</v>
      </c>
      <c r="BG35" s="33">
        <f>资产资本表!BG17</f>
        <v>0</v>
      </c>
      <c r="BH35" s="33">
        <f>资产资本表!BH17</f>
        <v>0</v>
      </c>
      <c r="BI35" s="33">
        <f>资产资本表!BI17</f>
        <v>0</v>
      </c>
      <c r="BJ35" s="33">
        <f>资产资本表!BJ17</f>
        <v>0</v>
      </c>
      <c r="BK35" s="33">
        <f>资产资本表!BK17</f>
        <v>0</v>
      </c>
      <c r="BL35" s="33">
        <f>资产资本表!BL17</f>
        <v>0</v>
      </c>
      <c r="BM35" s="33">
        <f>资产资本表!BM17</f>
        <v>0</v>
      </c>
      <c r="BN35" s="33">
        <f>资产资本表!BN17</f>
        <v>0</v>
      </c>
      <c r="BO35" s="33">
        <f>资产资本表!BO17</f>
        <v>0</v>
      </c>
      <c r="BP35" s="33">
        <f>资产资本表!BP17</f>
        <v>0</v>
      </c>
      <c r="BQ35" s="33">
        <f>资产资本表!BQ17</f>
        <v>0</v>
      </c>
      <c r="BR35" s="33">
        <f>资产资本表!BR17</f>
        <v>0</v>
      </c>
      <c r="BS35" s="33">
        <f>资产资本表!BS17</f>
        <v>0</v>
      </c>
      <c r="BT35" s="33">
        <f>资产资本表!BT17</f>
        <v>0</v>
      </c>
      <c r="BU35" s="33">
        <f>资产资本表!BU17</f>
        <v>0</v>
      </c>
      <c r="BV35" s="33">
        <f>资产资本表!BV17</f>
        <v>0</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39447</v>
      </c>
      <c r="AQ38" s="1">
        <v>25569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36707</v>
      </c>
      <c r="BS38" s="1">
        <v>36525</v>
      </c>
      <c r="BT38" s="1">
        <v>36341</v>
      </c>
      <c r="BU38" s="1">
        <v>36160</v>
      </c>
      <c r="BV38" s="1">
        <v>25569</v>
      </c>
    </row>
    <row r="39" spans="1:74" s="48" customFormat="1" x14ac:dyDescent="0.25">
      <c r="A39" s="46" t="s">
        <v>319</v>
      </c>
    </row>
    <row r="40" spans="1:74" s="193" customFormat="1" x14ac:dyDescent="0.25">
      <c r="A40" s="193" t="s">
        <v>744</v>
      </c>
      <c r="B40" s="190">
        <v>93009000</v>
      </c>
      <c r="C40" s="190">
        <v>12289000</v>
      </c>
      <c r="D40" s="190">
        <v>127400</v>
      </c>
      <c r="E40" s="190">
        <v>92089826.670000002</v>
      </c>
      <c r="F40" s="190">
        <v>62024653.200000003</v>
      </c>
      <c r="G40" s="190">
        <v>0</v>
      </c>
      <c r="H40" s="190">
        <v>0</v>
      </c>
      <c r="I40" s="190">
        <v>247269466.66</v>
      </c>
      <c r="J40" s="190">
        <v>97768537.959999993</v>
      </c>
      <c r="K40" s="190">
        <v>0</v>
      </c>
      <c r="L40" s="190">
        <v>5695283.1799999997</v>
      </c>
      <c r="M40" s="190">
        <v>0</v>
      </c>
      <c r="N40" s="190">
        <v>0</v>
      </c>
      <c r="O40" s="190">
        <v>0</v>
      </c>
      <c r="P40" s="190">
        <v>0</v>
      </c>
      <c r="Q40" s="190">
        <v>489418258.5</v>
      </c>
      <c r="R40" s="190">
        <v>0</v>
      </c>
      <c r="S40" s="190">
        <v>0</v>
      </c>
      <c r="T40" s="190">
        <v>0</v>
      </c>
      <c r="U40" s="190">
        <v>2450000</v>
      </c>
      <c r="V40" s="190">
        <v>0</v>
      </c>
      <c r="W40" s="190">
        <v>0</v>
      </c>
      <c r="X40" s="190">
        <v>0</v>
      </c>
      <c r="Y40" s="190">
        <v>91713657.150000006</v>
      </c>
      <c r="Z40" s="190">
        <v>91713657.150000006</v>
      </c>
      <c r="AA40" s="190">
        <v>0</v>
      </c>
      <c r="AB40" s="190">
        <v>0</v>
      </c>
      <c r="AC40" s="190">
        <v>2450000</v>
      </c>
      <c r="AD40" s="190">
        <v>2450000</v>
      </c>
      <c r="AE40" s="190">
        <v>0</v>
      </c>
      <c r="AF40" s="190">
        <v>0</v>
      </c>
      <c r="AG40" s="190">
        <v>3348000000</v>
      </c>
      <c r="AH40" s="190">
        <v>3337521050</v>
      </c>
      <c r="AI40" s="190">
        <v>3337521050</v>
      </c>
      <c r="AJ40" s="190">
        <v>0</v>
      </c>
      <c r="AK40" s="190">
        <v>1148263.2</v>
      </c>
      <c r="AL40" s="190">
        <v>1148229.6000000001</v>
      </c>
      <c r="AM40" s="190">
        <v>1148229.6000000001</v>
      </c>
      <c r="AN40" s="190">
        <v>0</v>
      </c>
      <c r="AO40" s="190">
        <v>26529315.600000001</v>
      </c>
      <c r="AP40" s="190">
        <v>0</v>
      </c>
      <c r="AQ40" s="190">
        <v>0</v>
      </c>
      <c r="AR40" s="190">
        <v>0</v>
      </c>
      <c r="AS40" s="190">
        <v>15000000</v>
      </c>
      <c r="AT40" s="190">
        <v>15000000</v>
      </c>
      <c r="AU40" s="190">
        <v>15000000</v>
      </c>
      <c r="AV40" s="190">
        <v>0</v>
      </c>
      <c r="AW40" s="190">
        <v>0</v>
      </c>
      <c r="AX40" s="190">
        <v>1000000</v>
      </c>
      <c r="AY40" s="190">
        <v>1000000</v>
      </c>
      <c r="AZ40" s="190">
        <v>0</v>
      </c>
      <c r="BA40" s="190">
        <v>0</v>
      </c>
      <c r="BB40" s="190">
        <v>0</v>
      </c>
      <c r="BC40" s="190">
        <v>0</v>
      </c>
      <c r="BD40" s="190">
        <v>0</v>
      </c>
      <c r="BE40" s="190">
        <v>2450000</v>
      </c>
      <c r="BF40" s="190">
        <v>0</v>
      </c>
      <c r="BG40" s="190">
        <v>0</v>
      </c>
      <c r="BH40" s="190">
        <v>0</v>
      </c>
      <c r="BI40" s="190">
        <v>0</v>
      </c>
      <c r="BJ40" s="190">
        <v>0</v>
      </c>
      <c r="BK40" s="190">
        <v>0</v>
      </c>
      <c r="BL40" s="190">
        <v>0</v>
      </c>
      <c r="BM40" s="190">
        <v>800000</v>
      </c>
      <c r="BN40" s="190">
        <v>0</v>
      </c>
      <c r="BO40" s="190">
        <v>615571049.24000001</v>
      </c>
      <c r="BP40" s="190">
        <v>614591049.24000001</v>
      </c>
      <c r="BQ40" s="190">
        <v>0</v>
      </c>
      <c r="BR40" s="190">
        <v>0</v>
      </c>
      <c r="BS40" s="190">
        <v>0</v>
      </c>
      <c r="BT40" s="190">
        <v>0</v>
      </c>
      <c r="BU40" s="190">
        <v>1165397962.47</v>
      </c>
      <c r="BV40" s="190">
        <v>0</v>
      </c>
    </row>
    <row r="41" spans="1:74" s="53" customFormat="1" ht="21.75" customHeight="1" x14ac:dyDescent="0.25">
      <c r="A41" s="141" t="s">
        <v>635</v>
      </c>
      <c r="B41" s="53">
        <v>1419647033.29</v>
      </c>
      <c r="C41" s="53">
        <v>682396282.87</v>
      </c>
      <c r="D41" s="53">
        <v>73246783.790000007</v>
      </c>
      <c r="E41" s="53">
        <v>3691546045.8000002</v>
      </c>
      <c r="I41" s="53">
        <v>2848140577.0999999</v>
      </c>
      <c r="M41" s="53">
        <v>1627651210.4000001</v>
      </c>
      <c r="Q41" s="53">
        <v>1004305805.5</v>
      </c>
      <c r="U41" s="53">
        <v>602583483.29999995</v>
      </c>
      <c r="Y41" s="53">
        <v>400000000</v>
      </c>
      <c r="AC41" s="53">
        <v>300000000</v>
      </c>
      <c r="AG41" s="53">
        <v>250000000</v>
      </c>
      <c r="AK41" s="53">
        <v>180000000</v>
      </c>
    </row>
    <row r="42" spans="1:74" s="26" customFormat="1" x14ac:dyDescent="0.25">
      <c r="A42" s="17" t="s">
        <v>322</v>
      </c>
      <c r="E42" s="26">
        <f>E40-E41</f>
        <v>-3599456219.1300001</v>
      </c>
      <c r="F42" s="26">
        <f t="shared" ref="F42:Y42" si="82">F40-F41</f>
        <v>62024653.200000003</v>
      </c>
      <c r="G42" s="26">
        <f t="shared" si="82"/>
        <v>0</v>
      </c>
      <c r="H42" s="26">
        <f t="shared" si="82"/>
        <v>0</v>
      </c>
      <c r="I42" s="26">
        <f>I40-I41</f>
        <v>-2600871110.4400001</v>
      </c>
      <c r="J42" s="26">
        <f t="shared" si="82"/>
        <v>97768537.959999993</v>
      </c>
      <c r="K42" s="26">
        <f t="shared" si="82"/>
        <v>0</v>
      </c>
      <c r="L42" s="26">
        <f t="shared" si="82"/>
        <v>5695283.1799999997</v>
      </c>
      <c r="M42" s="26">
        <f t="shared" si="82"/>
        <v>-1627651210.4000001</v>
      </c>
      <c r="N42" s="26">
        <f t="shared" si="82"/>
        <v>0</v>
      </c>
      <c r="O42" s="26">
        <f t="shared" si="82"/>
        <v>0</v>
      </c>
      <c r="P42" s="26">
        <f t="shared" si="82"/>
        <v>0</v>
      </c>
      <c r="Q42" s="26">
        <f t="shared" si="82"/>
        <v>-514887547</v>
      </c>
      <c r="R42" s="26">
        <f t="shared" si="82"/>
        <v>0</v>
      </c>
      <c r="S42" s="26">
        <f t="shared" si="82"/>
        <v>0</v>
      </c>
      <c r="T42" s="26">
        <f t="shared" si="82"/>
        <v>0</v>
      </c>
      <c r="U42" s="26">
        <f t="shared" si="82"/>
        <v>-600133483.29999995</v>
      </c>
      <c r="V42" s="26">
        <f t="shared" si="82"/>
        <v>0</v>
      </c>
      <c r="W42" s="26">
        <f t="shared" si="82"/>
        <v>0</v>
      </c>
      <c r="X42" s="26">
        <f t="shared" si="82"/>
        <v>0</v>
      </c>
      <c r="Y42" s="26">
        <f t="shared" si="82"/>
        <v>-308286342.85000002</v>
      </c>
      <c r="Z42" s="26">
        <f t="shared" ref="Z42:BQ42" si="83">Z40-Z41</f>
        <v>91713657.150000006</v>
      </c>
      <c r="AA42" s="26">
        <f t="shared" si="83"/>
        <v>0</v>
      </c>
      <c r="AB42" s="26">
        <f t="shared" si="83"/>
        <v>0</v>
      </c>
      <c r="AC42" s="26">
        <f t="shared" si="83"/>
        <v>-297550000</v>
      </c>
      <c r="AD42" s="26">
        <f t="shared" si="83"/>
        <v>2450000</v>
      </c>
      <c r="AE42" s="26">
        <f t="shared" si="83"/>
        <v>0</v>
      </c>
      <c r="AF42" s="26">
        <f t="shared" si="83"/>
        <v>0</v>
      </c>
      <c r="AG42" s="26">
        <f t="shared" si="83"/>
        <v>3098000000</v>
      </c>
      <c r="AH42" s="26">
        <f t="shared" si="83"/>
        <v>3337521050</v>
      </c>
      <c r="AI42" s="26">
        <f t="shared" si="83"/>
        <v>3337521050</v>
      </c>
      <c r="AJ42" s="26">
        <f t="shared" si="83"/>
        <v>0</v>
      </c>
      <c r="AK42" s="26">
        <f t="shared" si="83"/>
        <v>-178851736.80000001</v>
      </c>
      <c r="AL42" s="193">
        <f t="shared" si="83"/>
        <v>1148229.6000000001</v>
      </c>
      <c r="AM42" s="193">
        <f t="shared" si="83"/>
        <v>1148229.6000000001</v>
      </c>
      <c r="AN42" s="193">
        <f t="shared" si="83"/>
        <v>0</v>
      </c>
      <c r="AO42" s="193">
        <f t="shared" si="83"/>
        <v>26529315.600000001</v>
      </c>
      <c r="AP42" s="193">
        <f t="shared" si="83"/>
        <v>0</v>
      </c>
      <c r="AQ42" s="193">
        <f t="shared" si="83"/>
        <v>0</v>
      </c>
      <c r="AR42" s="193">
        <f t="shared" si="83"/>
        <v>0</v>
      </c>
      <c r="AS42" s="193">
        <f t="shared" si="83"/>
        <v>15000000</v>
      </c>
      <c r="AT42" s="193">
        <f t="shared" si="83"/>
        <v>15000000</v>
      </c>
      <c r="AU42" s="193">
        <f t="shared" si="83"/>
        <v>15000000</v>
      </c>
      <c r="AV42" s="193">
        <f t="shared" si="83"/>
        <v>0</v>
      </c>
      <c r="AW42" s="193">
        <f t="shared" si="83"/>
        <v>0</v>
      </c>
      <c r="AX42" s="193">
        <f t="shared" si="83"/>
        <v>1000000</v>
      </c>
      <c r="AY42" s="193">
        <f t="shared" si="83"/>
        <v>1000000</v>
      </c>
      <c r="AZ42" s="193">
        <f t="shared" si="83"/>
        <v>0</v>
      </c>
      <c r="BA42" s="26">
        <f t="shared" si="83"/>
        <v>0</v>
      </c>
      <c r="BB42" s="26">
        <f t="shared" si="83"/>
        <v>0</v>
      </c>
      <c r="BC42" s="26">
        <f t="shared" si="83"/>
        <v>0</v>
      </c>
      <c r="BD42" s="26">
        <f t="shared" si="83"/>
        <v>0</v>
      </c>
      <c r="BE42" s="26">
        <f t="shared" si="83"/>
        <v>2450000</v>
      </c>
      <c r="BF42" s="26">
        <f t="shared" si="83"/>
        <v>0</v>
      </c>
      <c r="BG42" s="26">
        <f t="shared" si="83"/>
        <v>0</v>
      </c>
      <c r="BH42" s="26">
        <f t="shared" si="83"/>
        <v>0</v>
      </c>
      <c r="BI42" s="26">
        <f t="shared" si="83"/>
        <v>0</v>
      </c>
      <c r="BJ42" s="26">
        <f t="shared" si="83"/>
        <v>0</v>
      </c>
      <c r="BK42" s="26">
        <f t="shared" si="83"/>
        <v>0</v>
      </c>
      <c r="BL42" s="26">
        <f t="shared" si="83"/>
        <v>0</v>
      </c>
      <c r="BM42" s="26">
        <f t="shared" si="83"/>
        <v>800000</v>
      </c>
      <c r="BN42" s="26">
        <f t="shared" si="83"/>
        <v>0</v>
      </c>
      <c r="BO42" s="26">
        <f t="shared" si="83"/>
        <v>615571049.24000001</v>
      </c>
      <c r="BP42" s="26">
        <f t="shared" si="83"/>
        <v>614591049.24000001</v>
      </c>
      <c r="BQ42" s="26">
        <f t="shared" si="83"/>
        <v>0</v>
      </c>
      <c r="BR42" s="26">
        <f t="shared" ref="BR42:BV42" si="84">BR40-BR41</f>
        <v>0</v>
      </c>
      <c r="BS42" s="26">
        <f t="shared" si="84"/>
        <v>0</v>
      </c>
      <c r="BT42" s="26">
        <f t="shared" si="84"/>
        <v>0</v>
      </c>
      <c r="BU42" s="26">
        <f t="shared" si="84"/>
        <v>1165397962.47</v>
      </c>
      <c r="BV42" s="26">
        <f t="shared" si="84"/>
        <v>0</v>
      </c>
    </row>
    <row r="43" spans="1:74" s="52" customFormat="1" ht="15" customHeight="1" x14ac:dyDescent="0.25">
      <c r="A43" s="142" t="s">
        <v>321</v>
      </c>
    </row>
    <row r="44" spans="1:74" s="193" customFormat="1" x14ac:dyDescent="0.25">
      <c r="A44" s="193" t="s">
        <v>324</v>
      </c>
      <c r="B44" s="190">
        <v>6848374132.1800003</v>
      </c>
      <c r="C44" s="190">
        <v>3982689336.9400001</v>
      </c>
      <c r="D44" s="190">
        <v>1419781375.02</v>
      </c>
      <c r="E44" s="190">
        <v>3550599109.3899999</v>
      </c>
      <c r="F44" s="190">
        <v>5437295986.4300003</v>
      </c>
      <c r="G44" s="190">
        <v>4938568095.0600004</v>
      </c>
      <c r="H44" s="190">
        <v>4362038129.8699999</v>
      </c>
      <c r="I44" s="190">
        <v>4668904940.1700001</v>
      </c>
      <c r="J44" s="190">
        <v>3878463176.04</v>
      </c>
      <c r="K44" s="190">
        <v>2645807093.4699998</v>
      </c>
      <c r="L44" s="190">
        <v>1862310638.4000001</v>
      </c>
      <c r="M44" s="190">
        <v>2790211998.6900001</v>
      </c>
      <c r="N44" s="190">
        <v>3413681126.0500002</v>
      </c>
      <c r="O44" s="190">
        <v>2846405329.23</v>
      </c>
      <c r="P44" s="190">
        <v>685951871.02999997</v>
      </c>
      <c r="Q44" s="190">
        <v>3375084617.54</v>
      </c>
      <c r="R44" s="190">
        <v>2606171006</v>
      </c>
      <c r="S44" s="190">
        <v>1739857722.3199999</v>
      </c>
      <c r="T44" s="190">
        <v>745249163.13</v>
      </c>
      <c r="U44" s="190">
        <v>594891409.22000003</v>
      </c>
      <c r="V44" s="190">
        <v>270624980.27999997</v>
      </c>
      <c r="W44" s="190">
        <v>128168250.59999999</v>
      </c>
      <c r="X44" s="190">
        <v>86004909.25</v>
      </c>
      <c r="Y44" s="190">
        <v>0</v>
      </c>
      <c r="Z44" s="190">
        <v>0</v>
      </c>
      <c r="AA44" s="190">
        <v>0</v>
      </c>
      <c r="AB44" s="190">
        <v>0</v>
      </c>
      <c r="AC44" s="190">
        <v>0</v>
      </c>
      <c r="AD44" s="190">
        <v>0</v>
      </c>
      <c r="AE44" s="190">
        <v>0</v>
      </c>
      <c r="AF44" s="190">
        <v>0</v>
      </c>
      <c r="AG44" s="190">
        <v>0</v>
      </c>
      <c r="AH44" s="190">
        <v>0</v>
      </c>
      <c r="AI44" s="190">
        <v>0</v>
      </c>
      <c r="AJ44" s="190">
        <v>0</v>
      </c>
      <c r="AK44" s="190">
        <v>56374000</v>
      </c>
      <c r="AL44" s="190">
        <v>27374000</v>
      </c>
      <c r="AM44" s="190">
        <v>27374000</v>
      </c>
      <c r="AN44" s="190">
        <v>0</v>
      </c>
      <c r="AO44" s="190">
        <v>0</v>
      </c>
      <c r="AP44" s="190">
        <v>45000000</v>
      </c>
      <c r="AQ44" s="190">
        <v>0</v>
      </c>
      <c r="AR44" s="190">
        <v>0</v>
      </c>
      <c r="AS44" s="190">
        <v>0</v>
      </c>
      <c r="AT44" s="190">
        <v>0</v>
      </c>
      <c r="AU44" s="190">
        <v>0</v>
      </c>
      <c r="AV44" s="190">
        <v>0</v>
      </c>
      <c r="AW44" s="190">
        <v>0</v>
      </c>
      <c r="AX44" s="190">
        <v>0</v>
      </c>
      <c r="AY44" s="190">
        <v>0</v>
      </c>
      <c r="AZ44" s="190">
        <v>0</v>
      </c>
      <c r="BA44" s="190">
        <v>0</v>
      </c>
      <c r="BB44" s="190">
        <v>0</v>
      </c>
      <c r="BC44" s="190">
        <v>0</v>
      </c>
      <c r="BD44" s="190">
        <v>0</v>
      </c>
      <c r="BE44" s="190">
        <v>0</v>
      </c>
      <c r="BF44" s="190">
        <v>0</v>
      </c>
      <c r="BG44" s="190">
        <v>0</v>
      </c>
      <c r="BH44" s="190">
        <v>0</v>
      </c>
      <c r="BI44" s="190">
        <v>0</v>
      </c>
      <c r="BJ44" s="190">
        <v>0</v>
      </c>
      <c r="BK44" s="190">
        <v>0</v>
      </c>
      <c r="BL44" s="190">
        <v>0</v>
      </c>
      <c r="BM44" s="190">
        <v>0</v>
      </c>
      <c r="BN44" s="190">
        <v>0</v>
      </c>
      <c r="BO44" s="190">
        <v>0</v>
      </c>
      <c r="BP44" s="190">
        <v>0</v>
      </c>
      <c r="BQ44" s="190">
        <v>0</v>
      </c>
      <c r="BR44" s="190">
        <v>0</v>
      </c>
      <c r="BS44" s="190">
        <v>0</v>
      </c>
      <c r="BT44" s="190">
        <v>0</v>
      </c>
      <c r="BU44" s="190">
        <v>0</v>
      </c>
      <c r="BV44" s="190">
        <v>0</v>
      </c>
    </row>
    <row r="45" spans="1:74" s="193" customFormat="1" x14ac:dyDescent="0.25">
      <c r="A45" s="193" t="s">
        <v>323</v>
      </c>
      <c r="E45" s="193">
        <f>股权价值增加表!E53</f>
        <v>144540387.41999999</v>
      </c>
      <c r="F45" s="193">
        <f>股权价值增加表!F53</f>
        <v>0</v>
      </c>
      <c r="G45" s="193">
        <f>股权价值增加表!G53</f>
        <v>0</v>
      </c>
      <c r="H45" s="193">
        <f>股权价值增加表!H53</f>
        <v>0</v>
      </c>
      <c r="I45" s="193">
        <f>股权价值增加表!I53</f>
        <v>143818481.09</v>
      </c>
      <c r="J45" s="193">
        <f>股权价值增加表!J53</f>
        <v>0</v>
      </c>
      <c r="K45" s="193">
        <f>股权价值增加表!K53</f>
        <v>0</v>
      </c>
      <c r="L45" s="193">
        <f>股权价值增加表!L53</f>
        <v>0</v>
      </c>
      <c r="M45" s="193">
        <f>股权价值增加表!M53</f>
        <v>44359075.380000003</v>
      </c>
      <c r="N45" s="193">
        <f>股权价值增加表!N53</f>
        <v>0</v>
      </c>
      <c r="O45" s="193">
        <f>股权价值增加表!O53</f>
        <v>0</v>
      </c>
      <c r="P45" s="193">
        <f>股权价值增加表!P53</f>
        <v>0</v>
      </c>
      <c r="Q45" s="193">
        <f>股权价值增加表!Q53</f>
        <v>26240984.809999999</v>
      </c>
      <c r="R45" s="193">
        <f>股权价值增加表!R53</f>
        <v>0</v>
      </c>
      <c r="S45" s="193">
        <f>股权价值增加表!S53</f>
        <v>0</v>
      </c>
      <c r="T45" s="193">
        <f>股权价值增加表!T53</f>
        <v>0</v>
      </c>
      <c r="U45" s="193">
        <f>股权价值增加表!U53</f>
        <v>2102309.64</v>
      </c>
      <c r="V45" s="193">
        <f>股权价值增加表!V53</f>
        <v>0</v>
      </c>
      <c r="W45" s="193">
        <f>股权价值增加表!W53</f>
        <v>0</v>
      </c>
      <c r="X45" s="193">
        <f>股权价值增加表!X53</f>
        <v>0</v>
      </c>
      <c r="Y45" s="193">
        <f>股权价值增加表!Y53</f>
        <v>199500</v>
      </c>
      <c r="Z45" s="193">
        <f>股权价值增加表!Z53</f>
        <v>0</v>
      </c>
      <c r="AA45" s="193">
        <f>股权价值增加表!AA53</f>
        <v>0</v>
      </c>
      <c r="AB45" s="193">
        <f>股权价值增加表!AB53</f>
        <v>0</v>
      </c>
      <c r="AC45" s="193">
        <f>股权价值增加表!AC53</f>
        <v>1439217.45</v>
      </c>
      <c r="AD45" s="193">
        <f>股权价值增加表!AD53</f>
        <v>0</v>
      </c>
      <c r="AE45" s="193">
        <f>股权价值增加表!AE53</f>
        <v>0</v>
      </c>
      <c r="AF45" s="193">
        <f>股权价值增加表!AF53</f>
        <v>0</v>
      </c>
      <c r="AG45" s="193">
        <f>股权价值增加表!AG53</f>
        <v>1999949.55</v>
      </c>
      <c r="AH45" s="193">
        <f>股权价值增加表!AH53</f>
        <v>0</v>
      </c>
      <c r="AI45" s="193">
        <f>股权价值增加表!AI53</f>
        <v>0</v>
      </c>
      <c r="AJ45" s="193">
        <f>股权价值增加表!AJ53</f>
        <v>0</v>
      </c>
      <c r="AK45" s="193">
        <f>股权价值增加表!AK53</f>
        <v>0</v>
      </c>
      <c r="AL45" s="193">
        <f>股权价值增加表!AL53</f>
        <v>0</v>
      </c>
      <c r="AM45" s="193">
        <f>股权价值增加表!AM53</f>
        <v>0</v>
      </c>
      <c r="AN45" s="193">
        <f>股权价值增加表!AN53</f>
        <v>0</v>
      </c>
      <c r="AO45" s="193">
        <f>股权价值增加表!AO53</f>
        <v>0</v>
      </c>
      <c r="AP45" s="193">
        <f>股权价值增加表!AP53</f>
        <v>0</v>
      </c>
      <c r="AQ45" s="193">
        <f>股权价值增加表!AQ53</f>
        <v>0</v>
      </c>
      <c r="AR45" s="193">
        <f>股权价值增加表!AR53</f>
        <v>0</v>
      </c>
      <c r="AS45" s="193">
        <f>股权价值增加表!AS53</f>
        <v>0</v>
      </c>
      <c r="AT45" s="193">
        <f>股权价值增加表!AT53</f>
        <v>0</v>
      </c>
      <c r="AU45" s="193">
        <f>股权价值增加表!AU53</f>
        <v>0</v>
      </c>
      <c r="AV45" s="193">
        <f>股权价值增加表!AV53</f>
        <v>0</v>
      </c>
      <c r="AW45" s="193">
        <f>股权价值增加表!AW53</f>
        <v>0</v>
      </c>
      <c r="AX45" s="193">
        <f>股权价值增加表!AX53</f>
        <v>0</v>
      </c>
      <c r="AY45" s="193">
        <f>股权价值增加表!AY53</f>
        <v>0</v>
      </c>
      <c r="AZ45" s="193">
        <f>股权价值增加表!AZ53</f>
        <v>0</v>
      </c>
      <c r="BA45" s="193">
        <f>股权价值增加表!BA53</f>
        <v>0</v>
      </c>
      <c r="BB45" s="193">
        <f>股权价值增加表!BB53</f>
        <v>0</v>
      </c>
      <c r="BC45" s="193">
        <f>股权价值增加表!BC53</f>
        <v>0</v>
      </c>
      <c r="BD45" s="193">
        <f>股权价值增加表!BD53</f>
        <v>0</v>
      </c>
      <c r="BE45" s="193">
        <f>股权价值增加表!BE53</f>
        <v>0</v>
      </c>
      <c r="BF45" s="193">
        <f>股权价值增加表!BF53</f>
        <v>0</v>
      </c>
      <c r="BG45" s="193">
        <f>股权价值增加表!BG53</f>
        <v>0</v>
      </c>
      <c r="BH45" s="193">
        <f>股权价值增加表!BH53</f>
        <v>0</v>
      </c>
      <c r="BI45" s="193">
        <f>股权价值增加表!BI53</f>
        <v>0</v>
      </c>
      <c r="BJ45" s="193">
        <f>股权价值增加表!BJ53</f>
        <v>0</v>
      </c>
      <c r="BK45" s="193">
        <f>股权价值增加表!BK53</f>
        <v>0</v>
      </c>
      <c r="BL45" s="193">
        <f>股权价值增加表!BL53</f>
        <v>0</v>
      </c>
      <c r="BM45" s="193">
        <f>股权价值增加表!BM53</f>
        <v>0</v>
      </c>
      <c r="BN45" s="193">
        <f>股权价值增加表!BN53</f>
        <v>0</v>
      </c>
      <c r="BO45" s="193">
        <f>股权价值增加表!BO53</f>
        <v>0</v>
      </c>
      <c r="BP45" s="193">
        <f>股权价值增加表!BP53</f>
        <v>0</v>
      </c>
      <c r="BQ45" s="193">
        <f>股权价值增加表!BQ53</f>
        <v>0</v>
      </c>
      <c r="BR45" s="193">
        <f>股权价值增加表!BR53</f>
        <v>0</v>
      </c>
      <c r="BS45" s="193">
        <f>股权价值增加表!BS53</f>
        <v>0</v>
      </c>
      <c r="BT45" s="193">
        <f>股权价值增加表!BT53</f>
        <v>0</v>
      </c>
      <c r="BU45" s="193">
        <f>股权价值增加表!BU53</f>
        <v>0</v>
      </c>
      <c r="BV45" s="193">
        <f>股权价值增加表!BV53</f>
        <v>0</v>
      </c>
    </row>
    <row r="46" spans="1:74" s="193" customFormat="1" x14ac:dyDescent="0.25">
      <c r="A46" s="193" t="s">
        <v>325</v>
      </c>
      <c r="B46" s="190">
        <v>0</v>
      </c>
      <c r="C46" s="190">
        <v>0</v>
      </c>
      <c r="D46" s="190">
        <v>0</v>
      </c>
      <c r="E46" s="190">
        <v>0</v>
      </c>
      <c r="F46" s="190">
        <v>0</v>
      </c>
      <c r="G46" s="190">
        <v>0</v>
      </c>
      <c r="H46" s="190">
        <v>0</v>
      </c>
      <c r="I46" s="190">
        <v>0</v>
      </c>
      <c r="J46" s="190">
        <v>0</v>
      </c>
      <c r="K46" s="190">
        <v>0</v>
      </c>
      <c r="L46" s="190">
        <v>0</v>
      </c>
      <c r="M46" s="190">
        <v>4668652.09</v>
      </c>
      <c r="N46" s="190">
        <v>0</v>
      </c>
      <c r="O46" s="190">
        <v>0</v>
      </c>
      <c r="P46" s="190">
        <v>0</v>
      </c>
      <c r="Q46" s="190">
        <v>0</v>
      </c>
      <c r="R46" s="190">
        <v>0</v>
      </c>
      <c r="S46" s="190">
        <v>0</v>
      </c>
      <c r="T46" s="190">
        <v>0</v>
      </c>
      <c r="U46" s="190">
        <v>0</v>
      </c>
      <c r="V46" s="190">
        <v>0</v>
      </c>
      <c r="W46" s="190">
        <v>0</v>
      </c>
      <c r="X46" s="190">
        <v>0</v>
      </c>
      <c r="Y46" s="190">
        <v>0</v>
      </c>
      <c r="Z46" s="190">
        <v>0</v>
      </c>
      <c r="AA46" s="190">
        <v>0</v>
      </c>
      <c r="AB46" s="190">
        <v>0</v>
      </c>
      <c r="AC46" s="190">
        <v>0</v>
      </c>
      <c r="AD46" s="190">
        <v>0</v>
      </c>
      <c r="AE46" s="190">
        <v>0</v>
      </c>
      <c r="AF46" s="190">
        <v>0</v>
      </c>
      <c r="AG46" s="190">
        <v>41325</v>
      </c>
      <c r="AH46" s="190">
        <v>0</v>
      </c>
      <c r="AI46" s="190">
        <v>0</v>
      </c>
      <c r="AJ46" s="190">
        <v>0</v>
      </c>
      <c r="AK46" s="190">
        <v>41325</v>
      </c>
      <c r="AL46" s="190">
        <v>0</v>
      </c>
      <c r="AM46" s="190">
        <v>38325</v>
      </c>
      <c r="AN46" s="190">
        <v>0</v>
      </c>
      <c r="AO46" s="190"/>
      <c r="AP46" s="190"/>
      <c r="AQ46" s="190"/>
      <c r="AR46" s="190">
        <v>0</v>
      </c>
      <c r="AS46" s="190">
        <v>0</v>
      </c>
      <c r="AT46" s="190">
        <v>0</v>
      </c>
      <c r="AU46" s="190">
        <v>0</v>
      </c>
      <c r="AV46" s="190">
        <v>0</v>
      </c>
      <c r="AW46" s="190">
        <v>0</v>
      </c>
      <c r="AX46" s="190">
        <v>0</v>
      </c>
      <c r="AY46" s="190">
        <v>0</v>
      </c>
      <c r="AZ46" s="190">
        <v>0</v>
      </c>
      <c r="BA46" s="190">
        <v>0</v>
      </c>
      <c r="BB46" s="190">
        <v>0</v>
      </c>
      <c r="BC46" s="190">
        <v>0</v>
      </c>
      <c r="BD46" s="190">
        <v>0</v>
      </c>
      <c r="BE46" s="190">
        <v>0</v>
      </c>
      <c r="BF46" s="190">
        <v>0</v>
      </c>
      <c r="BG46" s="190">
        <v>0</v>
      </c>
      <c r="BH46" s="190">
        <v>0</v>
      </c>
      <c r="BI46" s="190">
        <v>0</v>
      </c>
      <c r="BJ46" s="190">
        <v>0</v>
      </c>
      <c r="BK46" s="190">
        <v>0</v>
      </c>
      <c r="BL46" s="190">
        <v>0</v>
      </c>
      <c r="BM46" s="190">
        <v>0</v>
      </c>
      <c r="BN46" s="190">
        <v>0</v>
      </c>
      <c r="BO46" s="190">
        <v>0</v>
      </c>
      <c r="BP46" s="190">
        <v>0</v>
      </c>
      <c r="BQ46" s="190">
        <v>0</v>
      </c>
      <c r="BR46" s="190">
        <v>0</v>
      </c>
      <c r="BS46" s="190">
        <v>0</v>
      </c>
      <c r="BT46" s="190">
        <v>0</v>
      </c>
      <c r="BU46" s="190">
        <v>0</v>
      </c>
      <c r="BV46" s="190">
        <v>0</v>
      </c>
    </row>
    <row r="47" spans="1:74" s="193" customFormat="1" x14ac:dyDescent="0.25">
      <c r="A47" s="193" t="s">
        <v>326</v>
      </c>
      <c r="B47" s="190">
        <v>4796975777.0500002</v>
      </c>
      <c r="C47" s="190">
        <v>1726234534.3099999</v>
      </c>
      <c r="D47" s="190">
        <v>304081731.11000001</v>
      </c>
      <c r="E47" s="190">
        <v>3205532364.1300001</v>
      </c>
      <c r="F47" s="190">
        <v>4559910249.5299997</v>
      </c>
      <c r="G47" s="190">
        <v>2723867188.71</v>
      </c>
      <c r="H47" s="190">
        <v>1700387852.71</v>
      </c>
      <c r="I47" s="190">
        <v>5104870545.0600004</v>
      </c>
      <c r="J47" s="190">
        <v>4676886269.2200003</v>
      </c>
      <c r="K47" s="190">
        <v>3744679765.3699999</v>
      </c>
      <c r="L47" s="190">
        <v>2581972280.9899998</v>
      </c>
      <c r="M47" s="190">
        <v>1258504731.78</v>
      </c>
      <c r="N47" s="190">
        <v>1762089129.73</v>
      </c>
      <c r="O47" s="190">
        <v>745349201.28999996</v>
      </c>
      <c r="P47" s="190">
        <v>161894931.87</v>
      </c>
      <c r="Q47" s="190">
        <v>2948806426.6300001</v>
      </c>
      <c r="R47" s="190">
        <v>1926155594.5899999</v>
      </c>
      <c r="S47" s="190">
        <v>1056740892.29</v>
      </c>
      <c r="T47" s="190">
        <v>302212662.76999998</v>
      </c>
      <c r="U47" s="190">
        <v>414091611.01999998</v>
      </c>
      <c r="V47" s="190">
        <v>157329916.69999999</v>
      </c>
      <c r="W47" s="190">
        <v>86417085.930000007</v>
      </c>
      <c r="X47" s="190">
        <v>0</v>
      </c>
      <c r="Y47" s="190">
        <v>0</v>
      </c>
      <c r="Z47" s="190">
        <v>0</v>
      </c>
      <c r="AA47" s="190">
        <v>0</v>
      </c>
      <c r="AB47" s="190">
        <v>0</v>
      </c>
      <c r="AC47" s="190">
        <v>29646364.120000001</v>
      </c>
      <c r="AD47" s="190">
        <v>617666.18999999994</v>
      </c>
      <c r="AE47" s="190">
        <v>66195.73</v>
      </c>
      <c r="AF47" s="190">
        <v>0</v>
      </c>
      <c r="AG47" s="190">
        <v>27374000</v>
      </c>
      <c r="AH47" s="190">
        <v>27374000</v>
      </c>
      <c r="AI47" s="190">
        <v>27374000</v>
      </c>
      <c r="AJ47" s="190">
        <v>0</v>
      </c>
      <c r="AK47" s="190">
        <v>0</v>
      </c>
      <c r="AL47" s="190">
        <v>0</v>
      </c>
      <c r="AM47" s="190">
        <v>0</v>
      </c>
      <c r="AN47" s="190">
        <v>0</v>
      </c>
      <c r="AO47" s="190">
        <v>45000000</v>
      </c>
      <c r="AP47" s="190">
        <v>0</v>
      </c>
      <c r="AQ47" s="190">
        <v>0</v>
      </c>
      <c r="AR47" s="190">
        <v>0</v>
      </c>
      <c r="AS47" s="190">
        <v>0</v>
      </c>
      <c r="AT47" s="190">
        <v>0</v>
      </c>
      <c r="AU47" s="190">
        <v>0</v>
      </c>
      <c r="AV47" s="190">
        <v>0</v>
      </c>
      <c r="AW47" s="190">
        <v>0</v>
      </c>
      <c r="AX47" s="190">
        <v>0</v>
      </c>
      <c r="AY47" s="190">
        <v>0</v>
      </c>
      <c r="AZ47" s="190">
        <v>0</v>
      </c>
      <c r="BA47" s="190">
        <v>0</v>
      </c>
      <c r="BB47" s="190">
        <v>0</v>
      </c>
      <c r="BC47" s="190">
        <v>0</v>
      </c>
      <c r="BD47" s="190">
        <v>0</v>
      </c>
      <c r="BE47" s="190">
        <v>0</v>
      </c>
      <c r="BF47" s="190">
        <v>0</v>
      </c>
      <c r="BG47" s="190">
        <v>0</v>
      </c>
      <c r="BH47" s="190">
        <v>0</v>
      </c>
      <c r="BI47" s="190">
        <v>0</v>
      </c>
      <c r="BJ47" s="190">
        <v>0</v>
      </c>
      <c r="BK47" s="190">
        <v>0</v>
      </c>
      <c r="BL47" s="190">
        <v>0</v>
      </c>
      <c r="BM47" s="190">
        <v>0</v>
      </c>
      <c r="BN47" s="190">
        <v>0</v>
      </c>
      <c r="BO47" s="190">
        <v>0</v>
      </c>
      <c r="BP47" s="190">
        <v>0</v>
      </c>
      <c r="BQ47" s="190">
        <v>0</v>
      </c>
      <c r="BR47" s="190">
        <v>2814887.33</v>
      </c>
      <c r="BS47" s="190">
        <v>0</v>
      </c>
      <c r="BT47" s="190">
        <v>0</v>
      </c>
      <c r="BU47" s="190">
        <v>70000000</v>
      </c>
      <c r="BV47" s="190">
        <v>0</v>
      </c>
    </row>
    <row r="48" spans="1:74" s="193" customFormat="1" x14ac:dyDescent="0.25">
      <c r="A48" s="193" t="s">
        <v>599</v>
      </c>
      <c r="B48" s="190">
        <v>0</v>
      </c>
      <c r="C48" s="190">
        <v>0</v>
      </c>
      <c r="D48" s="190">
        <v>0</v>
      </c>
      <c r="E48" s="190">
        <v>0</v>
      </c>
      <c r="F48" s="190">
        <v>0</v>
      </c>
      <c r="G48" s="190">
        <v>0</v>
      </c>
      <c r="H48" s="190">
        <v>0</v>
      </c>
      <c r="I48" s="190">
        <v>2903120000</v>
      </c>
      <c r="J48" s="190">
        <v>2995200000</v>
      </c>
      <c r="K48" s="190">
        <v>2950000000</v>
      </c>
      <c r="L48" s="190">
        <v>2932480000</v>
      </c>
      <c r="M48" s="190">
        <v>0</v>
      </c>
      <c r="N48" s="190">
        <v>0</v>
      </c>
      <c r="O48" s="190">
        <v>0</v>
      </c>
      <c r="P48" s="190">
        <v>0</v>
      </c>
      <c r="Q48" s="190">
        <v>0</v>
      </c>
      <c r="R48" s="190">
        <v>0</v>
      </c>
      <c r="S48" s="190">
        <v>0</v>
      </c>
      <c r="T48" s="190">
        <v>0</v>
      </c>
      <c r="U48" s="190">
        <v>0</v>
      </c>
      <c r="V48" s="190">
        <v>0</v>
      </c>
      <c r="W48" s="190">
        <v>0</v>
      </c>
      <c r="X48" s="190">
        <v>0</v>
      </c>
      <c r="Y48" s="190">
        <v>0</v>
      </c>
      <c r="Z48" s="190">
        <v>0</v>
      </c>
      <c r="AA48" s="190">
        <v>0</v>
      </c>
      <c r="AB48" s="190">
        <v>0</v>
      </c>
      <c r="AC48" s="190">
        <v>0</v>
      </c>
      <c r="AD48" s="190">
        <v>0</v>
      </c>
      <c r="AE48" s="190">
        <v>0</v>
      </c>
      <c r="AF48" s="190">
        <v>0</v>
      </c>
      <c r="AG48" s="190">
        <v>0</v>
      </c>
      <c r="AH48" s="190">
        <v>0</v>
      </c>
      <c r="AI48" s="190">
        <v>0</v>
      </c>
      <c r="AJ48" s="190">
        <v>0</v>
      </c>
      <c r="AK48" s="190">
        <v>0</v>
      </c>
      <c r="AL48" s="190">
        <v>0</v>
      </c>
      <c r="AM48" s="190">
        <v>0</v>
      </c>
      <c r="AN48" s="190">
        <v>0</v>
      </c>
      <c r="AO48" s="190">
        <v>0</v>
      </c>
      <c r="AP48" s="190">
        <v>0</v>
      </c>
      <c r="AQ48" s="190">
        <v>0</v>
      </c>
      <c r="AR48" s="190">
        <v>0</v>
      </c>
      <c r="AS48" s="190">
        <v>0</v>
      </c>
      <c r="AT48" s="190">
        <v>0</v>
      </c>
      <c r="AU48" s="190">
        <v>0</v>
      </c>
      <c r="AV48" s="190">
        <v>0</v>
      </c>
      <c r="AW48" s="190">
        <v>0</v>
      </c>
      <c r="AX48" s="190">
        <v>0</v>
      </c>
      <c r="AY48" s="190">
        <v>0</v>
      </c>
      <c r="AZ48" s="190">
        <v>0</v>
      </c>
      <c r="BA48" s="190">
        <v>0</v>
      </c>
      <c r="BB48" s="190">
        <v>0</v>
      </c>
      <c r="BC48" s="190">
        <v>0</v>
      </c>
      <c r="BD48" s="190">
        <v>0</v>
      </c>
      <c r="BE48" s="190">
        <v>0</v>
      </c>
      <c r="BF48" s="190">
        <v>0</v>
      </c>
      <c r="BG48" s="190">
        <v>0</v>
      </c>
      <c r="BH48" s="190">
        <v>0</v>
      </c>
      <c r="BI48" s="190">
        <v>0</v>
      </c>
      <c r="BJ48" s="190">
        <v>0</v>
      </c>
      <c r="BK48" s="190">
        <v>0</v>
      </c>
      <c r="BL48" s="190">
        <v>0</v>
      </c>
      <c r="BM48" s="190">
        <v>0</v>
      </c>
      <c r="BN48" s="190">
        <v>0</v>
      </c>
      <c r="BO48" s="190">
        <v>0</v>
      </c>
      <c r="BP48" s="190">
        <v>0</v>
      </c>
      <c r="BQ48" s="190">
        <v>0</v>
      </c>
      <c r="BR48" s="190">
        <v>0</v>
      </c>
      <c r="BS48" s="190">
        <v>0</v>
      </c>
      <c r="BT48" s="190">
        <v>0</v>
      </c>
      <c r="BU48" s="190">
        <v>0</v>
      </c>
      <c r="BV48" s="190">
        <v>0</v>
      </c>
    </row>
    <row r="49" spans="1:74" s="193" customFormat="1" x14ac:dyDescent="0.25">
      <c r="A49" s="193" t="s">
        <v>600</v>
      </c>
      <c r="E49" s="193">
        <f>E44+E48-E45-E46-E47</f>
        <v>200526357.83999968</v>
      </c>
      <c r="F49" s="193">
        <f t="shared" ref="F49:BQ49" si="85">F44+F48-F45-F46-F47</f>
        <v>877385736.90000057</v>
      </c>
      <c r="G49" s="193">
        <f t="shared" si="85"/>
        <v>2214700906.3500004</v>
      </c>
      <c r="H49" s="193">
        <f t="shared" si="85"/>
        <v>2661650277.1599998</v>
      </c>
      <c r="I49" s="193">
        <f t="shared" si="85"/>
        <v>2323335914.0199995</v>
      </c>
      <c r="J49" s="193">
        <f t="shared" si="85"/>
        <v>2196776906.8199997</v>
      </c>
      <c r="K49" s="193">
        <f t="shared" si="85"/>
        <v>1851127328.0999994</v>
      </c>
      <c r="L49" s="193">
        <f t="shared" si="85"/>
        <v>2212818357.4099998</v>
      </c>
      <c r="M49" s="193">
        <f t="shared" si="85"/>
        <v>1482679539.4399998</v>
      </c>
      <c r="N49" s="193">
        <f t="shared" si="85"/>
        <v>1651591996.3200002</v>
      </c>
      <c r="O49" s="193">
        <f t="shared" si="85"/>
        <v>2101056127.9400001</v>
      </c>
      <c r="P49" s="193">
        <f t="shared" si="85"/>
        <v>524056939.15999997</v>
      </c>
      <c r="Q49" s="193">
        <f t="shared" si="85"/>
        <v>400037206.0999999</v>
      </c>
      <c r="R49" s="193">
        <f t="shared" si="85"/>
        <v>680015411.41000009</v>
      </c>
      <c r="S49" s="193">
        <f t="shared" si="85"/>
        <v>683116830.02999997</v>
      </c>
      <c r="T49" s="193">
        <f t="shared" si="85"/>
        <v>443036500.36000001</v>
      </c>
      <c r="U49" s="193">
        <f t="shared" si="85"/>
        <v>178697488.56000006</v>
      </c>
      <c r="V49" s="193">
        <f t="shared" si="85"/>
        <v>113295063.57999998</v>
      </c>
      <c r="W49" s="193">
        <f t="shared" si="85"/>
        <v>41751164.669999987</v>
      </c>
      <c r="X49" s="193">
        <f t="shared" si="85"/>
        <v>86004909.25</v>
      </c>
      <c r="Y49" s="193">
        <f t="shared" si="85"/>
        <v>-199500</v>
      </c>
      <c r="Z49" s="193">
        <f t="shared" si="85"/>
        <v>0</v>
      </c>
      <c r="AA49" s="193">
        <f t="shared" si="85"/>
        <v>0</v>
      </c>
      <c r="AB49" s="193">
        <f t="shared" si="85"/>
        <v>0</v>
      </c>
      <c r="AC49" s="193">
        <f t="shared" si="85"/>
        <v>-31085581.57</v>
      </c>
      <c r="AD49" s="193">
        <f t="shared" si="85"/>
        <v>-617666.18999999994</v>
      </c>
      <c r="AE49" s="193">
        <f t="shared" si="85"/>
        <v>-66195.73</v>
      </c>
      <c r="AF49" s="193">
        <f t="shared" si="85"/>
        <v>0</v>
      </c>
      <c r="AG49" s="193">
        <f t="shared" si="85"/>
        <v>-29415274.550000001</v>
      </c>
      <c r="AH49" s="193">
        <f t="shared" si="85"/>
        <v>-27374000</v>
      </c>
      <c r="AI49" s="193">
        <f t="shared" si="85"/>
        <v>-27374000</v>
      </c>
      <c r="AJ49" s="193">
        <f t="shared" si="85"/>
        <v>0</v>
      </c>
      <c r="AK49" s="193">
        <f t="shared" si="85"/>
        <v>56332675</v>
      </c>
      <c r="AL49" s="193">
        <f t="shared" si="85"/>
        <v>27374000</v>
      </c>
      <c r="AM49" s="193">
        <f t="shared" si="85"/>
        <v>27335675</v>
      </c>
      <c r="AN49" s="193">
        <f t="shared" si="85"/>
        <v>0</v>
      </c>
      <c r="AO49" s="193">
        <f t="shared" si="85"/>
        <v>-45000000</v>
      </c>
      <c r="AP49" s="193">
        <f t="shared" si="85"/>
        <v>45000000</v>
      </c>
      <c r="AQ49" s="193">
        <f t="shared" si="85"/>
        <v>0</v>
      </c>
      <c r="AR49" s="193">
        <f t="shared" si="85"/>
        <v>0</v>
      </c>
      <c r="AS49" s="193">
        <f t="shared" si="85"/>
        <v>0</v>
      </c>
      <c r="AT49" s="193">
        <f t="shared" si="85"/>
        <v>0</v>
      </c>
      <c r="AU49" s="193">
        <f t="shared" si="85"/>
        <v>0</v>
      </c>
      <c r="AV49" s="193">
        <f t="shared" si="85"/>
        <v>0</v>
      </c>
      <c r="AW49" s="193">
        <f t="shared" si="85"/>
        <v>0</v>
      </c>
      <c r="AX49" s="193">
        <f t="shared" si="85"/>
        <v>0</v>
      </c>
      <c r="AY49" s="193">
        <f t="shared" si="85"/>
        <v>0</v>
      </c>
      <c r="AZ49" s="193">
        <f t="shared" si="85"/>
        <v>0</v>
      </c>
      <c r="BA49" s="193">
        <f t="shared" si="85"/>
        <v>0</v>
      </c>
      <c r="BB49" s="193">
        <f t="shared" si="85"/>
        <v>0</v>
      </c>
      <c r="BC49" s="193">
        <f t="shared" si="85"/>
        <v>0</v>
      </c>
      <c r="BD49" s="193">
        <f t="shared" si="85"/>
        <v>0</v>
      </c>
      <c r="BE49" s="193">
        <f t="shared" si="85"/>
        <v>0</v>
      </c>
      <c r="BF49" s="193">
        <f t="shared" si="85"/>
        <v>0</v>
      </c>
      <c r="BG49" s="193">
        <f t="shared" si="85"/>
        <v>0</v>
      </c>
      <c r="BH49" s="193">
        <f t="shared" si="85"/>
        <v>0</v>
      </c>
      <c r="BI49" s="193">
        <f t="shared" si="85"/>
        <v>0</v>
      </c>
      <c r="BJ49" s="193">
        <f t="shared" si="85"/>
        <v>0</v>
      </c>
      <c r="BK49" s="193">
        <f t="shared" si="85"/>
        <v>0</v>
      </c>
      <c r="BL49" s="193">
        <f t="shared" si="85"/>
        <v>0</v>
      </c>
      <c r="BM49" s="193">
        <f t="shared" si="85"/>
        <v>0</v>
      </c>
      <c r="BN49" s="193">
        <f t="shared" si="85"/>
        <v>0</v>
      </c>
      <c r="BO49" s="193">
        <f t="shared" si="85"/>
        <v>0</v>
      </c>
      <c r="BP49" s="193">
        <f t="shared" si="85"/>
        <v>0</v>
      </c>
      <c r="BQ49" s="193">
        <f t="shared" si="85"/>
        <v>0</v>
      </c>
      <c r="BR49" s="193">
        <f t="shared" ref="BR49:BV49" si="86">BR44+BR48-BR45-BR46-BR47</f>
        <v>-2814887.33</v>
      </c>
      <c r="BS49" s="193">
        <f t="shared" si="86"/>
        <v>0</v>
      </c>
      <c r="BT49" s="193">
        <f t="shared" si="86"/>
        <v>0</v>
      </c>
      <c r="BU49" s="193">
        <f t="shared" si="86"/>
        <v>-70000000</v>
      </c>
      <c r="BV49" s="193">
        <f t="shared" si="86"/>
        <v>0</v>
      </c>
    </row>
    <row r="50" spans="1:74" s="26" customFormat="1" x14ac:dyDescent="0.25"/>
    <row r="51" spans="1:74" s="16" customFormat="1" ht="120" customHeight="1" x14ac:dyDescent="0.25">
      <c r="A51" s="277" t="s">
        <v>668</v>
      </c>
      <c r="B51" s="278"/>
      <c r="C51" s="278"/>
      <c r="D51" s="278"/>
      <c r="E51" s="278"/>
      <c r="F51" s="278"/>
      <c r="G51" s="278"/>
      <c r="H51" s="278"/>
      <c r="I51" s="278"/>
      <c r="J51" s="278"/>
      <c r="K51" s="278"/>
      <c r="L51" s="278"/>
      <c r="M51" s="278"/>
      <c r="N51" s="278"/>
      <c r="O51" s="278"/>
      <c r="P51" s="278"/>
      <c r="Q51" s="278"/>
      <c r="R51" s="278"/>
      <c r="S51" s="278"/>
      <c r="T51" s="278"/>
      <c r="U51" s="278"/>
      <c r="V51" s="278"/>
      <c r="W51" s="278"/>
      <c r="X51" s="278"/>
      <c r="Y51" s="278"/>
      <c r="Z51" s="278"/>
      <c r="AA51" s="278"/>
      <c r="AB51" s="278"/>
      <c r="AC51" s="278"/>
      <c r="AD51" s="278"/>
      <c r="AE51" s="278"/>
      <c r="AF51" s="278"/>
      <c r="AG51" s="278"/>
      <c r="AH51" s="278"/>
      <c r="AI51" s="278"/>
      <c r="AJ51" s="278"/>
      <c r="AK51" s="278"/>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workbookViewId="0">
      <selection activeCell="E9" sqref="E9"/>
    </sheetView>
  </sheetViews>
  <sheetFormatPr defaultRowHeight="14.4" x14ac:dyDescent="0.25"/>
  <cols>
    <col min="1" max="1" width="63.6640625" style="17" bestFit="1" customWidth="1"/>
    <col min="2" max="4" width="9.5546875" hidden="1" customWidth="1"/>
    <col min="5" max="5" width="20.44140625" bestFit="1" customWidth="1"/>
    <col min="6" max="8" width="20.44140625" hidden="1" customWidth="1"/>
    <col min="9" max="9" width="20.44140625" bestFit="1" customWidth="1"/>
    <col min="10" max="12" width="20.44140625" hidden="1" customWidth="1"/>
    <col min="13" max="13" width="20.44140625" bestFit="1" customWidth="1"/>
    <col min="14" max="16" width="20.44140625" hidden="1" customWidth="1"/>
    <col min="17" max="17" width="20.44140625" bestFit="1" customWidth="1"/>
    <col min="18" max="20" width="20.44140625" hidden="1" customWidth="1"/>
    <col min="21" max="21" width="20.44140625" bestFit="1" customWidth="1"/>
    <col min="22" max="22" width="20.44140625" hidden="1" customWidth="1"/>
    <col min="23"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39" width="17.21875" hidden="1" customWidth="1"/>
    <col min="40" max="40" width="9.5546875" hidden="1" customWidth="1"/>
    <col min="41" max="42" width="20.44140625" bestFit="1" customWidth="1"/>
    <col min="43" max="44" width="20.441406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6" width="19.33203125" hidden="1" customWidth="1"/>
    <col min="67" max="67" width="19.33203125" bestFit="1" customWidth="1"/>
    <col min="68" max="68" width="19.33203125" hidden="1" customWidth="1"/>
    <col min="69" max="69" width="19.33203125" bestFit="1" customWidth="1"/>
    <col min="70" max="70" width="19.33203125" hidden="1" customWidth="1"/>
    <col min="71" max="71" width="19.33203125" bestFit="1" customWidth="1"/>
    <col min="72" max="72" width="19.33203125" hidden="1" customWidth="1"/>
    <col min="73" max="73" width="19.33203125" bestFit="1" customWidth="1"/>
    <col min="74" max="74" width="9.5546875" hidden="1" customWidth="1"/>
  </cols>
  <sheetData>
    <row r="1" spans="1:74" x14ac:dyDescent="0.25">
      <c r="A1" s="17">
        <v>2415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39447</v>
      </c>
      <c r="AQ1" s="1">
        <v>25569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8" customFormat="1" x14ac:dyDescent="0.25">
      <c r="A2" s="46" t="s">
        <v>327</v>
      </c>
    </row>
    <row r="3" spans="1:74" s="26" customFormat="1" x14ac:dyDescent="0.25">
      <c r="A3" s="17" t="s">
        <v>328</v>
      </c>
      <c r="B3" s="26">
        <f>平均资本成本表!E53</f>
        <v>0</v>
      </c>
      <c r="E3" s="26">
        <f>股权价值增加表!E53</f>
        <v>144540387.41999999</v>
      </c>
      <c r="F3" s="26">
        <f>股权价值增加表!F53</f>
        <v>0</v>
      </c>
      <c r="G3" s="26">
        <f>股权价值增加表!G53</f>
        <v>0</v>
      </c>
      <c r="H3" s="26">
        <f>股权价值增加表!H53</f>
        <v>0</v>
      </c>
      <c r="I3" s="26">
        <f>股权价值增加表!I53</f>
        <v>143818481.09</v>
      </c>
      <c r="J3" s="26">
        <f>股权价值增加表!J53</f>
        <v>0</v>
      </c>
      <c r="K3" s="26">
        <f>股权价值增加表!K53</f>
        <v>0</v>
      </c>
      <c r="L3" s="26">
        <f>股权价值增加表!L53</f>
        <v>0</v>
      </c>
      <c r="M3" s="26">
        <f>股权价值增加表!M53</f>
        <v>44359075.380000003</v>
      </c>
      <c r="N3" s="26">
        <f>股权价值增加表!N53</f>
        <v>0</v>
      </c>
      <c r="O3" s="26">
        <f>股权价值增加表!O53</f>
        <v>0</v>
      </c>
      <c r="P3" s="26">
        <f>股权价值增加表!P53</f>
        <v>0</v>
      </c>
      <c r="Q3" s="26">
        <f>股权价值增加表!Q53</f>
        <v>26240984.809999999</v>
      </c>
      <c r="R3" s="26">
        <f>股权价值增加表!R53</f>
        <v>0</v>
      </c>
      <c r="S3" s="26">
        <f>股权价值增加表!S53</f>
        <v>0</v>
      </c>
      <c r="T3" s="26">
        <f>股权价值增加表!T53</f>
        <v>0</v>
      </c>
      <c r="U3" s="26">
        <f>股权价值增加表!U53</f>
        <v>2102309.64</v>
      </c>
      <c r="V3" s="26">
        <f>股权价值增加表!V53</f>
        <v>0</v>
      </c>
      <c r="W3" s="26">
        <f>股权价值增加表!W53</f>
        <v>0</v>
      </c>
      <c r="X3" s="26">
        <f>股权价值增加表!X53</f>
        <v>0</v>
      </c>
      <c r="Y3" s="26">
        <f>股权价值增加表!Y53</f>
        <v>199500</v>
      </c>
      <c r="Z3" s="26">
        <f>股权价值增加表!Z53</f>
        <v>0</v>
      </c>
      <c r="AA3" s="26">
        <f>股权价值增加表!AA53</f>
        <v>0</v>
      </c>
      <c r="AB3" s="26">
        <f>股权价值增加表!AB53</f>
        <v>0</v>
      </c>
      <c r="AC3" s="26">
        <f>股权价值增加表!AC53</f>
        <v>1439217.45</v>
      </c>
      <c r="AD3" s="26">
        <f>股权价值增加表!AD53</f>
        <v>0</v>
      </c>
      <c r="AE3" s="26">
        <f>股权价值增加表!AE53</f>
        <v>0</v>
      </c>
      <c r="AF3" s="26">
        <f>股权价值增加表!AF53</f>
        <v>0</v>
      </c>
      <c r="AG3" s="26">
        <f>股权价值增加表!AG53</f>
        <v>1999949.55</v>
      </c>
      <c r="AH3" s="26">
        <f>股权价值增加表!AH53</f>
        <v>0</v>
      </c>
      <c r="AI3" s="26">
        <f>股权价值增加表!AI53</f>
        <v>0</v>
      </c>
      <c r="AJ3" s="26">
        <f>股权价值增加表!AJ53</f>
        <v>0</v>
      </c>
      <c r="AK3" s="26">
        <f>股权价值增加表!AK53</f>
        <v>0</v>
      </c>
      <c r="AL3" s="26">
        <f>股权价值增加表!AL53</f>
        <v>0</v>
      </c>
      <c r="AM3" s="26">
        <f>股权价值增加表!AM53</f>
        <v>0</v>
      </c>
      <c r="AN3" s="26">
        <f>股权价值增加表!AN53</f>
        <v>0</v>
      </c>
      <c r="AO3" s="26">
        <f>股权价值增加表!AO53</f>
        <v>0</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329</v>
      </c>
      <c r="E4" s="26">
        <f>资产资本表!E89</f>
        <v>5272825801.8800001</v>
      </c>
      <c r="F4" s="26">
        <f>资产资本表!F89</f>
        <v>5848449273.0599995</v>
      </c>
      <c r="G4" s="26">
        <f>资产资本表!G89</f>
        <v>7123955732.0799999</v>
      </c>
      <c r="H4" s="26">
        <f>资产资本表!H89</f>
        <v>7448889161.8999996</v>
      </c>
      <c r="I4" s="26">
        <f>资产资本表!I89</f>
        <v>4801078753.9500008</v>
      </c>
      <c r="J4" s="26">
        <f>资产资本表!J89</f>
        <v>4412120835.5900002</v>
      </c>
      <c r="K4" s="26">
        <f>资产资本表!K89</f>
        <v>4067256018.0799999</v>
      </c>
      <c r="L4" s="26">
        <f>资产资本表!L89</f>
        <v>4380626294.1300001</v>
      </c>
      <c r="M4" s="26">
        <f>资产资本表!M89</f>
        <v>2169735897.8000002</v>
      </c>
      <c r="N4" s="26">
        <f>资产资本表!N89</f>
        <v>2139146086.8399999</v>
      </c>
      <c r="O4" s="26">
        <f>资产资本表!O89</f>
        <v>2724879718.79</v>
      </c>
      <c r="P4" s="26">
        <f>资产资本表!P89</f>
        <v>1139221412.9499998</v>
      </c>
      <c r="Q4" s="26">
        <f>资产资本表!Q89</f>
        <v>610077989.11000001</v>
      </c>
      <c r="R4" s="26">
        <f>资产资本表!R89</f>
        <v>877901119.61000001</v>
      </c>
      <c r="S4" s="26">
        <f>资产资本表!S89</f>
        <v>883427998.23000002</v>
      </c>
      <c r="T4" s="26">
        <f>资产资本表!T89</f>
        <v>646202298.55999994</v>
      </c>
      <c r="U4" s="26">
        <f>资产资本表!U89</f>
        <v>196569798.19999999</v>
      </c>
      <c r="V4" s="26">
        <f>资产资本表!V89</f>
        <v>129065063.58</v>
      </c>
      <c r="W4" s="26">
        <f>资产资本表!W89</f>
        <v>51136164.670000002</v>
      </c>
      <c r="X4" s="26">
        <f>资产资本表!X89</f>
        <v>89004909.25</v>
      </c>
      <c r="Y4" s="26">
        <f>资产资本表!Y89</f>
        <v>3000000</v>
      </c>
      <c r="Z4" s="26">
        <f>资产资本表!Z89</f>
        <v>3000000</v>
      </c>
      <c r="AA4" s="26">
        <f>资产资本表!AA89</f>
        <v>3000000</v>
      </c>
      <c r="AB4" s="26">
        <f>资产资本表!AB89</f>
        <v>3000000</v>
      </c>
      <c r="AC4" s="26">
        <f>资产资本表!AC89</f>
        <v>3000000</v>
      </c>
      <c r="AD4" s="26">
        <f>资产资本表!AD89</f>
        <v>29028697.93</v>
      </c>
      <c r="AE4" s="26">
        <f>资产资本表!AE89</f>
        <v>29580168.390000001</v>
      </c>
      <c r="AF4" s="26">
        <f>资产资本表!AF89</f>
        <v>29646364.120000001</v>
      </c>
      <c r="AG4" s="26">
        <f>资产资本表!AG89</f>
        <v>29041325</v>
      </c>
      <c r="AH4" s="26">
        <f>资产资本表!AH89</f>
        <v>30200000</v>
      </c>
      <c r="AI4" s="26">
        <f>资产资本表!AI89</f>
        <v>30200000</v>
      </c>
      <c r="AJ4" s="26">
        <f>资产资本表!AJ89</f>
        <v>57574000</v>
      </c>
      <c r="AK4" s="26">
        <f>资产资本表!AK89</f>
        <v>57615325</v>
      </c>
      <c r="AL4" s="26">
        <f>资产资本表!AL89</f>
        <v>2000000</v>
      </c>
      <c r="AM4" s="26">
        <f>资产资本表!AM89</f>
        <v>45038325</v>
      </c>
      <c r="AN4" s="26">
        <f>资产资本表!AN89</f>
        <v>0</v>
      </c>
      <c r="AO4" s="26">
        <f>资产资本表!AO89</f>
        <v>0</v>
      </c>
      <c r="AP4" s="26">
        <f>资产资本表!AP89</f>
        <v>0</v>
      </c>
      <c r="AQ4" s="26">
        <f>资产资本表!AQ89</f>
        <v>0</v>
      </c>
      <c r="AR4" s="26">
        <f>资产资本表!AR89</f>
        <v>0</v>
      </c>
      <c r="AS4" s="26">
        <f>资产资本表!AS89</f>
        <v>0</v>
      </c>
      <c r="AT4" s="26">
        <f>资产资本表!AT89</f>
        <v>0</v>
      </c>
      <c r="AU4" s="26">
        <f>资产资本表!AU89</f>
        <v>0</v>
      </c>
      <c r="AV4" s="26">
        <f>资产资本表!AV89</f>
        <v>0</v>
      </c>
      <c r="AW4" s="26">
        <f>资产资本表!AW89</f>
        <v>0</v>
      </c>
      <c r="AX4" s="26">
        <f>资产资本表!AX89</f>
        <v>0</v>
      </c>
      <c r="AY4" s="26">
        <f>资产资本表!AY89</f>
        <v>0</v>
      </c>
      <c r="AZ4" s="26">
        <f>资产资本表!AZ89</f>
        <v>0</v>
      </c>
      <c r="BA4" s="26">
        <f>资产资本表!BA89</f>
        <v>0</v>
      </c>
      <c r="BB4" s="26">
        <f>资产资本表!BB89</f>
        <v>0</v>
      </c>
      <c r="BC4" s="26">
        <f>资产资本表!BC89</f>
        <v>0</v>
      </c>
      <c r="BD4" s="26">
        <f>资产资本表!BD89</f>
        <v>0</v>
      </c>
      <c r="BE4" s="26">
        <f>资产资本表!BE89</f>
        <v>0</v>
      </c>
      <c r="BF4" s="26">
        <f>资产资本表!BF89</f>
        <v>0</v>
      </c>
      <c r="BG4" s="26">
        <f>资产资本表!BG89</f>
        <v>0</v>
      </c>
      <c r="BH4" s="26">
        <f>资产资本表!BH89</f>
        <v>0</v>
      </c>
      <c r="BI4" s="26">
        <f>资产资本表!BI89</f>
        <v>0</v>
      </c>
      <c r="BJ4" s="26">
        <f>资产资本表!BJ89</f>
        <v>0</v>
      </c>
      <c r="BK4" s="26">
        <f>资产资本表!BK89</f>
        <v>0</v>
      </c>
      <c r="BL4" s="26">
        <f>资产资本表!BL89</f>
        <v>0</v>
      </c>
      <c r="BM4" s="26">
        <f>资产资本表!BM89</f>
        <v>0</v>
      </c>
      <c r="BN4" s="26">
        <f>资产资本表!BN89</f>
        <v>0</v>
      </c>
      <c r="BO4" s="26">
        <f>资产资本表!BO89</f>
        <v>0</v>
      </c>
      <c r="BP4" s="26">
        <f>资产资本表!BP89</f>
        <v>0</v>
      </c>
      <c r="BQ4" s="26">
        <f>资产资本表!BQ89</f>
        <v>0</v>
      </c>
      <c r="BR4" s="26">
        <f>资产资本表!BR89</f>
        <v>0</v>
      </c>
      <c r="BS4" s="26">
        <f>资产资本表!BS89</f>
        <v>0</v>
      </c>
      <c r="BT4" s="26">
        <f>资产资本表!BT89</f>
        <v>0</v>
      </c>
      <c r="BU4" s="26">
        <f>资产资本表!BU89</f>
        <v>0</v>
      </c>
      <c r="BV4" s="26">
        <f>资产资本表!BV89</f>
        <v>0</v>
      </c>
    </row>
    <row r="5" spans="1:74" s="63" customFormat="1" x14ac:dyDescent="0.25">
      <c r="A5" s="63" t="s">
        <v>333</v>
      </c>
      <c r="E5" s="63">
        <f>IF(E4+I4=0,0,E3/((E4+I4)/2))</f>
        <v>2.8696000963469744E-2</v>
      </c>
      <c r="F5" s="63">
        <f t="shared" ref="F5:BQ5" si="0">IF(F4+J4=0,0,F3/((F4+J4)/2))</f>
        <v>0</v>
      </c>
      <c r="G5" s="63">
        <f t="shared" si="0"/>
        <v>0</v>
      </c>
      <c r="H5" s="63">
        <f t="shared" si="0"/>
        <v>0</v>
      </c>
      <c r="I5" s="63">
        <f t="shared" si="0"/>
        <v>4.1263034028280993E-2</v>
      </c>
      <c r="J5" s="63">
        <f t="shared" si="0"/>
        <v>0</v>
      </c>
      <c r="K5" s="63">
        <f t="shared" si="0"/>
        <v>0</v>
      </c>
      <c r="L5" s="63">
        <f t="shared" si="0"/>
        <v>0</v>
      </c>
      <c r="M5" s="63">
        <f t="shared" si="0"/>
        <v>3.1915140498351056E-2</v>
      </c>
      <c r="N5" s="63">
        <f t="shared" si="0"/>
        <v>0</v>
      </c>
      <c r="O5" s="63">
        <f t="shared" si="0"/>
        <v>0</v>
      </c>
      <c r="P5" s="63">
        <f t="shared" si="0"/>
        <v>0</v>
      </c>
      <c r="Q5" s="63">
        <f t="shared" si="0"/>
        <v>6.5061815634573653E-2</v>
      </c>
      <c r="R5" s="63">
        <f t="shared" si="0"/>
        <v>0</v>
      </c>
      <c r="S5" s="63">
        <f t="shared" si="0"/>
        <v>0</v>
      </c>
      <c r="T5" s="63">
        <f t="shared" si="0"/>
        <v>0</v>
      </c>
      <c r="U5" s="63">
        <f t="shared" si="0"/>
        <v>2.1068414749742432E-2</v>
      </c>
      <c r="V5" s="63">
        <f t="shared" si="0"/>
        <v>0</v>
      </c>
      <c r="W5" s="63">
        <f t="shared" si="0"/>
        <v>0</v>
      </c>
      <c r="X5" s="63">
        <f t="shared" si="0"/>
        <v>0</v>
      </c>
      <c r="Y5" s="63">
        <f t="shared" si="0"/>
        <v>6.6500000000000004E-2</v>
      </c>
      <c r="Z5" s="63">
        <f t="shared" si="0"/>
        <v>0</v>
      </c>
      <c r="AA5" s="63">
        <f t="shared" si="0"/>
        <v>0</v>
      </c>
      <c r="AB5" s="63">
        <f t="shared" si="0"/>
        <v>0</v>
      </c>
      <c r="AC5" s="63">
        <f t="shared" si="0"/>
        <v>8.9835077045034809E-2</v>
      </c>
      <c r="AD5" s="63">
        <f t="shared" si="0"/>
        <v>0</v>
      </c>
      <c r="AE5" s="63">
        <f t="shared" si="0"/>
        <v>0</v>
      </c>
      <c r="AF5" s="63">
        <f t="shared" si="0"/>
        <v>0</v>
      </c>
      <c r="AG5" s="63">
        <f t="shared" si="0"/>
        <v>4.6158016724625286E-2</v>
      </c>
      <c r="AH5" s="63">
        <f t="shared" si="0"/>
        <v>0</v>
      </c>
      <c r="AI5" s="63">
        <f t="shared" si="0"/>
        <v>0</v>
      </c>
      <c r="AJ5" s="63">
        <f t="shared" si="0"/>
        <v>0</v>
      </c>
      <c r="AK5" s="63">
        <f t="shared" si="0"/>
        <v>0</v>
      </c>
      <c r="AL5" s="63">
        <f t="shared" si="0"/>
        <v>0</v>
      </c>
      <c r="AM5" s="63">
        <f t="shared" si="0"/>
        <v>0</v>
      </c>
      <c r="AN5" s="63">
        <f t="shared" si="0"/>
        <v>0</v>
      </c>
      <c r="AO5" s="63">
        <f t="shared" si="0"/>
        <v>0</v>
      </c>
      <c r="AP5" s="63">
        <f t="shared" si="0"/>
        <v>0</v>
      </c>
      <c r="AQ5" s="63">
        <f t="shared" si="0"/>
        <v>0</v>
      </c>
      <c r="AR5" s="63">
        <f t="shared" si="0"/>
        <v>0</v>
      </c>
      <c r="AS5" s="63">
        <f t="shared" si="0"/>
        <v>0</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347</v>
      </c>
      <c r="E6" s="63">
        <f>股权价值增加表!E41</f>
        <v>0.13656453141020719</v>
      </c>
      <c r="F6" s="63">
        <f>股权价值增加表!F41</f>
        <v>0.11544627492769785</v>
      </c>
      <c r="G6" s="63">
        <f>股权价值增加表!G41</f>
        <v>0.17789406041223799</v>
      </c>
      <c r="H6" s="63">
        <f>股权价值增加表!H41</f>
        <v>0.17676240408574012</v>
      </c>
      <c r="I6" s="63">
        <f>股权价值增加表!I41</f>
        <v>0.10363312225432755</v>
      </c>
      <c r="J6" s="63">
        <f>股权价值增加表!J41</f>
        <v>9.3070411642179052E-2</v>
      </c>
      <c r="K6" s="63">
        <f>股权价值增加表!K41</f>
        <v>0.14268143850016118</v>
      </c>
      <c r="L6" s="63">
        <f>股权价值增加表!L41</f>
        <v>0.17657252022205899</v>
      </c>
      <c r="M6" s="63">
        <f>股权价值增加表!M41</f>
        <v>0.12756936955923173</v>
      </c>
      <c r="N6" s="63">
        <f>股权价值增加表!N41</f>
        <v>0.14792367156679184</v>
      </c>
      <c r="O6" s="63">
        <f>股权价值增加表!O41</f>
        <v>0.15340182632370725</v>
      </c>
      <c r="P6" s="63">
        <f>股权价值增加表!P41</f>
        <v>0.15221649797327153</v>
      </c>
      <c r="Q6" s="63">
        <f>股权价值增加表!Q41</f>
        <v>0.10152937655648291</v>
      </c>
      <c r="R6" s="63">
        <f>股权价值增加表!R41</f>
        <v>0.12062638981283656</v>
      </c>
      <c r="S6" s="63">
        <f>股权价值增加表!S41</f>
        <v>0.10527511578537527</v>
      </c>
      <c r="T6" s="63">
        <f>股权价值增加表!T41</f>
        <v>0.11152480896945366</v>
      </c>
      <c r="U6" s="63">
        <f>股权价值增加表!U41</f>
        <v>9.2010069156137395E-2</v>
      </c>
      <c r="V6" s="63">
        <f>股权价值增加表!V41</f>
        <v>0.1336466084175689</v>
      </c>
      <c r="W6" s="63">
        <f>股权价值增加表!W41</f>
        <v>0.11731734941954726</v>
      </c>
      <c r="X6" s="63">
        <f>股权价值增加表!X41</f>
        <v>0.14817781975944502</v>
      </c>
      <c r="Y6" s="63">
        <f>股权价值增加表!Y41</f>
        <v>7.5037780436206333E-2</v>
      </c>
      <c r="Z6" s="63">
        <f>股权价值增加表!Z41</f>
        <v>0.1437301677672938</v>
      </c>
      <c r="AA6" s="63">
        <f>股权价值增加表!AA41</f>
        <v>0.13497281357983382</v>
      </c>
      <c r="AB6" s="63">
        <f>股权价值增加表!AB41</f>
        <v>0.14096594847630872</v>
      </c>
      <c r="AC6" s="63">
        <f>股权价值增加表!AC41</f>
        <v>0.14370460398363591</v>
      </c>
      <c r="AD6" s="63">
        <f>股权价值增加表!AD41</f>
        <v>0.14016909334736827</v>
      </c>
      <c r="AE6" s="63">
        <f>股权价值增加表!AE41</f>
        <v>0.12774230075322254</v>
      </c>
      <c r="AF6" s="63">
        <f>股权价值增加表!AF41</f>
        <v>0.151369505870944</v>
      </c>
      <c r="AG6" s="63">
        <f>股权价值增加表!AG41</f>
        <v>7.9840044876765853E-2</v>
      </c>
      <c r="AH6" s="63">
        <f>股权价值增加表!AH41</f>
        <v>0.12688559507106978</v>
      </c>
      <c r="AI6" s="63">
        <f>股权价值增加表!AI41</f>
        <v>0.1232741050813511</v>
      </c>
      <c r="AJ6" s="63">
        <f>股权价值增加表!AJ41</f>
        <v>0.14415512095093869</v>
      </c>
      <c r="AK6" s="63">
        <f>股权价值增加表!AK41</f>
        <v>7.8504657817983853E-2</v>
      </c>
      <c r="AL6" s="63">
        <f>股权价值增加表!AL41</f>
        <v>0.11145125078301803</v>
      </c>
      <c r="AM6" s="63">
        <f>股权价值增加表!AM41</f>
        <v>0.16096647236071837</v>
      </c>
      <c r="AN6" s="63">
        <f>股权价值增加表!AN41</f>
        <v>8.3942603894867782E-2</v>
      </c>
      <c r="AO6" s="63">
        <f>股权价值增加表!AO41</f>
        <v>9.2652970357805065E-2</v>
      </c>
      <c r="AP6" s="63">
        <f>股权价值增加表!AP41</f>
        <v>6.6146660955993405E-2</v>
      </c>
      <c r="AQ6" s="63" t="e">
        <f>股权价值增加表!AQ41</f>
        <v>#DIV/0!</v>
      </c>
      <c r="AR6" s="63">
        <f>股权价值增加表!AR41</f>
        <v>21.506440938812048</v>
      </c>
      <c r="AS6" s="63">
        <f>股权价值增加表!AS41</f>
        <v>7.3937250836614146</v>
      </c>
      <c r="AT6" s="63">
        <f>股权价值增加表!AT41</f>
        <v>15.592366512196667</v>
      </c>
      <c r="AU6" s="63">
        <f>股权价值增加表!AU41</f>
        <v>15.376416082794156</v>
      </c>
      <c r="AV6" s="63">
        <f>股权价值增加表!AV41</f>
        <v>92.644454630179325</v>
      </c>
      <c r="AW6" s="63">
        <f>股权价值增加表!AW41</f>
        <v>10.916220541131098</v>
      </c>
      <c r="AX6" s="63">
        <f>股权价值增加表!AX41</f>
        <v>18.231369460204579</v>
      </c>
      <c r="AY6" s="63">
        <f>股权价值增加表!AY41</f>
        <v>16.021387764306059</v>
      </c>
      <c r="AZ6" s="63">
        <f>股权价值增加表!AZ41</f>
        <v>93.098322439196252</v>
      </c>
      <c r="BA6" s="63">
        <f>股权价值增加表!BA41</f>
        <v>18.631308838172576</v>
      </c>
      <c r="BB6" s="63">
        <f>股权价值增加表!BB41</f>
        <v>55.304324722487436</v>
      </c>
      <c r="BC6" s="63">
        <f>股权价值增加表!BC41</f>
        <v>67.277250227328935</v>
      </c>
      <c r="BD6" s="63">
        <f>股权价值增加表!BD41</f>
        <v>39.372760490940244</v>
      </c>
      <c r="BE6" s="63">
        <f>股权价值增加表!BE41</f>
        <v>16.764297507062913</v>
      </c>
      <c r="BF6" s="63">
        <f>股权价值增加表!BF41</f>
        <v>27.049077122304052</v>
      </c>
      <c r="BG6" s="63">
        <f>股权价值增加表!BG41</f>
        <v>24.303157252166653</v>
      </c>
      <c r="BH6" s="63">
        <f>股权价值增加表!BH41</f>
        <v>70.000749015543192</v>
      </c>
      <c r="BI6" s="63">
        <f>股权价值增加表!BI41</f>
        <v>13.790967082937895</v>
      </c>
      <c r="BJ6" s="63">
        <f>股权价值增加表!BJ41</f>
        <v>15.67040258955069</v>
      </c>
      <c r="BK6" s="63">
        <f>股权价值增加表!BK41</f>
        <v>20.530470057823827</v>
      </c>
      <c r="BL6" s="63">
        <f>股权价值增加表!BL41</f>
        <v>76.496332781702776</v>
      </c>
      <c r="BM6" s="63">
        <f>股权价值增加表!BM41</f>
        <v>9.3062959249435355</v>
      </c>
      <c r="BN6" s="63">
        <f>股权价值增加表!BN41</f>
        <v>8.0800067537645504</v>
      </c>
      <c r="BO6" s="63">
        <f>股权价值增加表!BO41</f>
        <v>9.6301249443167141</v>
      </c>
      <c r="BP6" s="63">
        <f>股权价值增加表!BP41</f>
        <v>16.511200920697274</v>
      </c>
      <c r="BQ6" s="63">
        <f>股权价值增加表!BQ41</f>
        <v>3.0916829946917983</v>
      </c>
      <c r="BR6" s="63">
        <f>股权价值增加表!BR41</f>
        <v>12.625</v>
      </c>
      <c r="BS6" s="63">
        <f>股权价值增加表!BS41</f>
        <v>6.8283566880658215</v>
      </c>
      <c r="BT6" s="63">
        <f>股权价值增加表!BT41</f>
        <v>12.853075776272602</v>
      </c>
      <c r="BU6" s="63">
        <f>股权价值增加表!BU41</f>
        <v>14.285141378045161</v>
      </c>
    </row>
    <row r="7" spans="1:74" s="63" customFormat="1" x14ac:dyDescent="0.25">
      <c r="A7" s="63" t="s">
        <v>330</v>
      </c>
      <c r="E7" s="63">
        <f>E5*(1-E6)</f>
        <v>2.4777145038546645E-2</v>
      </c>
      <c r="F7" s="63">
        <f t="shared" ref="F7:BQ7" si="2">F5*(1-F6)</f>
        <v>0</v>
      </c>
      <c r="G7" s="63">
        <f t="shared" si="2"/>
        <v>0</v>
      </c>
      <c r="H7" s="63">
        <f t="shared" si="2"/>
        <v>0</v>
      </c>
      <c r="I7" s="63">
        <f t="shared" si="2"/>
        <v>3.6986816978243672E-2</v>
      </c>
      <c r="J7" s="63">
        <f t="shared" si="2"/>
        <v>0</v>
      </c>
      <c r="K7" s="63">
        <f t="shared" si="2"/>
        <v>0</v>
      </c>
      <c r="L7" s="63">
        <f t="shared" si="2"/>
        <v>0</v>
      </c>
      <c r="M7" s="63">
        <f t="shared" si="2"/>
        <v>2.7843746145582108E-2</v>
      </c>
      <c r="N7" s="63">
        <f t="shared" si="2"/>
        <v>0</v>
      </c>
      <c r="O7" s="63">
        <f t="shared" si="2"/>
        <v>0</v>
      </c>
      <c r="P7" s="63">
        <f t="shared" si="2"/>
        <v>0</v>
      </c>
      <c r="Q7" s="63">
        <f t="shared" si="2"/>
        <v>5.8456130055562563E-2</v>
      </c>
      <c r="R7" s="63">
        <f t="shared" si="2"/>
        <v>0</v>
      </c>
      <c r="S7" s="63">
        <f t="shared" si="2"/>
        <v>0</v>
      </c>
      <c r="T7" s="63">
        <f t="shared" si="2"/>
        <v>0</v>
      </c>
      <c r="U7" s="63">
        <f t="shared" si="2"/>
        <v>1.9129908451608446E-2</v>
      </c>
      <c r="V7" s="63">
        <f t="shared" si="2"/>
        <v>0</v>
      </c>
      <c r="W7" s="63">
        <f t="shared" si="2"/>
        <v>0</v>
      </c>
      <c r="X7" s="63">
        <f t="shared" si="2"/>
        <v>0</v>
      </c>
      <c r="Y7" s="63">
        <f t="shared" si="2"/>
        <v>6.1509987600992279E-2</v>
      </c>
      <c r="Z7" s="63">
        <f t="shared" si="2"/>
        <v>0</v>
      </c>
      <c r="AA7" s="63">
        <f t="shared" si="2"/>
        <v>0</v>
      </c>
      <c r="AB7" s="63">
        <f t="shared" si="2"/>
        <v>0</v>
      </c>
      <c r="AC7" s="63">
        <f t="shared" si="2"/>
        <v>7.6925362874438658E-2</v>
      </c>
      <c r="AD7" s="63">
        <f t="shared" si="2"/>
        <v>0</v>
      </c>
      <c r="AE7" s="63">
        <f t="shared" si="2"/>
        <v>0</v>
      </c>
      <c r="AF7" s="63">
        <f t="shared" si="2"/>
        <v>0</v>
      </c>
      <c r="AG7" s="63">
        <f t="shared" si="2"/>
        <v>4.2472758597908694E-2</v>
      </c>
      <c r="AH7" s="63">
        <f t="shared" si="2"/>
        <v>0</v>
      </c>
      <c r="AI7" s="63">
        <f t="shared" si="2"/>
        <v>0</v>
      </c>
      <c r="AJ7" s="63">
        <f t="shared" si="2"/>
        <v>0</v>
      </c>
      <c r="AK7" s="63">
        <f t="shared" si="2"/>
        <v>0</v>
      </c>
      <c r="AL7" s="63">
        <f t="shared" si="2"/>
        <v>0</v>
      </c>
      <c r="AM7" s="63">
        <f t="shared" si="2"/>
        <v>0</v>
      </c>
      <c r="AN7" s="63">
        <f t="shared" si="2"/>
        <v>0</v>
      </c>
      <c r="AO7" s="63">
        <f t="shared" si="2"/>
        <v>0</v>
      </c>
      <c r="AP7" s="63">
        <f t="shared" si="2"/>
        <v>0</v>
      </c>
      <c r="AQ7" s="63" t="e">
        <f t="shared" si="2"/>
        <v>#DIV/0!</v>
      </c>
      <c r="AR7" s="63">
        <f t="shared" si="2"/>
        <v>0</v>
      </c>
      <c r="AS7" s="63">
        <f t="shared" si="2"/>
        <v>0</v>
      </c>
      <c r="AT7" s="63">
        <f t="shared" si="2"/>
        <v>0</v>
      </c>
      <c r="AU7" s="63">
        <f t="shared" si="2"/>
        <v>0</v>
      </c>
      <c r="AV7" s="63">
        <f t="shared" si="2"/>
        <v>0</v>
      </c>
      <c r="AW7" s="63">
        <f t="shared" si="2"/>
        <v>0</v>
      </c>
      <c r="AX7" s="63">
        <f t="shared" si="2"/>
        <v>0</v>
      </c>
      <c r="AY7" s="63">
        <f t="shared" si="2"/>
        <v>0</v>
      </c>
      <c r="AZ7" s="63">
        <f t="shared" si="2"/>
        <v>0</v>
      </c>
      <c r="BA7" s="63">
        <f t="shared" si="2"/>
        <v>0</v>
      </c>
      <c r="BB7" s="63">
        <f t="shared" si="2"/>
        <v>0</v>
      </c>
      <c r="BC7" s="63">
        <f t="shared" si="2"/>
        <v>0</v>
      </c>
      <c r="BD7" s="63">
        <f t="shared" si="2"/>
        <v>0</v>
      </c>
      <c r="BE7" s="63">
        <f t="shared" si="2"/>
        <v>0</v>
      </c>
      <c r="BF7" s="63">
        <f t="shared" si="2"/>
        <v>0</v>
      </c>
      <c r="BG7" s="63">
        <f t="shared" si="2"/>
        <v>0</v>
      </c>
      <c r="BH7" s="63">
        <f t="shared" si="2"/>
        <v>0</v>
      </c>
      <c r="BI7" s="63">
        <f t="shared" si="2"/>
        <v>0</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331</v>
      </c>
      <c r="E8" s="26">
        <f>资产资本表!E107</f>
        <v>30604121438.09</v>
      </c>
      <c r="F8" s="26">
        <f>资产资本表!F107</f>
        <v>27170454185.630001</v>
      </c>
      <c r="G8" s="26">
        <f>资产资本表!G107</f>
        <v>24236835572.120003</v>
      </c>
      <c r="H8" s="26">
        <f>资产资本表!H107</f>
        <v>25999847707.969997</v>
      </c>
      <c r="I8" s="26">
        <f>资产资本表!I107</f>
        <v>24486673925.150002</v>
      </c>
      <c r="J8" s="26">
        <f>资产资本表!J107</f>
        <v>21639291047.049999</v>
      </c>
      <c r="K8" s="26">
        <f>资产资本表!K107</f>
        <v>19160653329.950001</v>
      </c>
      <c r="L8" s="26">
        <f>资产资本表!L107</f>
        <v>20469670882.470001</v>
      </c>
      <c r="M8" s="26">
        <f>资产资本表!M107</f>
        <v>19297450879.699997</v>
      </c>
      <c r="N8" s="26">
        <f>资产资本表!N107</f>
        <v>17136143429.710001</v>
      </c>
      <c r="O8" s="26">
        <f>资产资本表!O107</f>
        <v>15539405639.969999</v>
      </c>
      <c r="P8" s="26">
        <f>资产资本表!P107</f>
        <v>15956580864.360001</v>
      </c>
      <c r="Q8" s="26">
        <f>资产资本表!Q107</f>
        <v>14879156547.259998</v>
      </c>
      <c r="R8" s="26">
        <f>资产资本表!R107</f>
        <v>12946611887.359999</v>
      </c>
      <c r="S8" s="26">
        <f>资产资本表!S107</f>
        <v>11744959399.780001</v>
      </c>
      <c r="T8" s="26">
        <f>资产资本表!T107</f>
        <v>11895859827.43</v>
      </c>
      <c r="U8" s="26">
        <f>资产资本表!U107</f>
        <v>11204403183</v>
      </c>
      <c r="V8" s="26">
        <f>资产资本表!V107</f>
        <v>9858290779.0799999</v>
      </c>
      <c r="W8" s="26">
        <f>资产资本表!W107</f>
        <v>9087351436.0999985</v>
      </c>
      <c r="X8" s="26">
        <f>资产资本表!X107</f>
        <v>9122687227.1300011</v>
      </c>
      <c r="Y8" s="26">
        <f>资产资本表!Y107</f>
        <v>8671411571.3700008</v>
      </c>
      <c r="Z8" s="26">
        <f>资产资本表!Z107</f>
        <v>7727861058.3900003</v>
      </c>
      <c r="AA8" s="26">
        <f>资产资本表!AA107</f>
        <v>7125163692.9300003</v>
      </c>
      <c r="AB8" s="26">
        <f>资产资本表!AB107</f>
        <v>7163621141.29</v>
      </c>
      <c r="AC8" s="26">
        <f>资产资本表!AC107</f>
        <v>6787297413.4799995</v>
      </c>
      <c r="AD8" s="26">
        <f>资产资本表!AD107</f>
        <v>6205225033.5799999</v>
      </c>
      <c r="AE8" s="26">
        <f>资产资本表!AE107</f>
        <v>5879684582.3000002</v>
      </c>
      <c r="AF8" s="26">
        <f>资产资本表!AF107</f>
        <v>5909607271.0699997</v>
      </c>
      <c r="AG8" s="26">
        <f>资产资本表!AG107</f>
        <v>5642453866.9700003</v>
      </c>
      <c r="AH8" s="26">
        <f>资产资本表!AH107</f>
        <v>5242642631.1299992</v>
      </c>
      <c r="AI8" s="26">
        <f>资产资本表!AI107</f>
        <v>4959946029.7200003</v>
      </c>
      <c r="AJ8" s="26">
        <f>资产资本表!AJ107</f>
        <v>1703340737.1800001</v>
      </c>
      <c r="AK8" s="26">
        <f>资产资本表!AK107</f>
        <v>1497322466.9200001</v>
      </c>
      <c r="AL8" s="26">
        <f>资产资本表!AL107</f>
        <v>969553376.54999995</v>
      </c>
      <c r="AM8" s="26">
        <f>资产资本表!AM107</f>
        <v>544711250.24000001</v>
      </c>
      <c r="AN8" s="26">
        <f>资产资本表!AN107</f>
        <v>0</v>
      </c>
      <c r="AO8" s="26">
        <f>资产资本表!AO107</f>
        <v>11455936876.719999</v>
      </c>
      <c r="AP8" s="26">
        <f>资产资本表!AP107</f>
        <v>11230323337.110001</v>
      </c>
      <c r="AQ8" s="26">
        <f>资产资本表!AQ107</f>
        <v>10934383750.469999</v>
      </c>
      <c r="AR8" s="26">
        <f>资产资本表!AR107</f>
        <v>10641944677.480001</v>
      </c>
      <c r="AS8" s="26">
        <f>资产资本表!AS107</f>
        <v>9626236984.1700001</v>
      </c>
      <c r="AT8" s="26">
        <f>资产资本表!AT107</f>
        <v>9485588152.4899998</v>
      </c>
      <c r="AU8" s="26">
        <f>资产资本表!AU107</f>
        <v>9304015150.3199997</v>
      </c>
      <c r="AV8" s="26">
        <f>资产资本表!AV107</f>
        <v>9051649388.7700005</v>
      </c>
      <c r="AW8" s="26">
        <f>资产资本表!AW107</f>
        <v>8295168514.6399994</v>
      </c>
      <c r="AX8" s="26">
        <f>资产资本表!AX107</f>
        <v>8139685182.96</v>
      </c>
      <c r="AY8" s="26">
        <f>资产资本表!AY107</f>
        <v>7938750364.1499996</v>
      </c>
      <c r="AZ8" s="26">
        <f>资产资本表!AZ107</f>
        <v>7934784508.5</v>
      </c>
      <c r="BA8" s="26">
        <f>资产资本表!BA107</f>
        <v>7385968978.54</v>
      </c>
      <c r="BB8" s="26">
        <f>资产资本表!BB107</f>
        <v>7360716151.5900002</v>
      </c>
      <c r="BC8" s="26">
        <f>资产资本表!BC107</f>
        <v>7179425965.6500006</v>
      </c>
      <c r="BD8" s="26">
        <f>资产资本表!BD107</f>
        <v>7003465589.3699999</v>
      </c>
      <c r="BE8" s="26">
        <f>资产资本表!BE107</f>
        <v>6586961901.7700005</v>
      </c>
      <c r="BF8" s="26">
        <f>资产资本表!BF107</f>
        <v>6433916281.1799994</v>
      </c>
      <c r="BG8" s="26">
        <f>资产资本表!BG107</f>
        <v>6292714866.6600008</v>
      </c>
      <c r="BH8" s="26">
        <f>资产资本表!BH107</f>
        <v>6409286809.8599997</v>
      </c>
      <c r="BI8" s="26">
        <f>资产资本表!BI107</f>
        <v>6025892686.6600008</v>
      </c>
      <c r="BJ8" s="26">
        <f>资产资本表!BJ107</f>
        <v>5870405150.8400002</v>
      </c>
      <c r="BK8" s="26">
        <f>资产资本表!BK107</f>
        <v>5711754634.1499996</v>
      </c>
      <c r="BL8" s="26">
        <f>资产资本表!BL107</f>
        <v>5611611741.0699997</v>
      </c>
      <c r="BM8" s="26">
        <f>资产资本表!BM107</f>
        <v>5322099955.71</v>
      </c>
      <c r="BN8" s="26">
        <f>资产资本表!BN107</f>
        <v>5214293132.5199995</v>
      </c>
      <c r="BO8" s="26">
        <f>资产资本表!BO107</f>
        <v>5075362101.0900002</v>
      </c>
      <c r="BP8" s="26">
        <f>资产资本表!BP107</f>
        <v>4954980669.5600004</v>
      </c>
      <c r="BQ8" s="26">
        <f>资产资本表!BQ107</f>
        <v>4702243132.8000002</v>
      </c>
      <c r="BR8" s="26">
        <f>资产资本表!BR107</f>
        <v>4561780000</v>
      </c>
      <c r="BS8" s="26">
        <f>资产资本表!BS107</f>
        <v>4385655821.6400003</v>
      </c>
      <c r="BT8" s="26">
        <f>资产资本表!BT107</f>
        <v>4238623191.5</v>
      </c>
      <c r="BU8" s="26">
        <f>资产资本表!BU107</f>
        <v>3191216198.9499998</v>
      </c>
    </row>
    <row r="9" spans="1:74" s="63" customFormat="1" x14ac:dyDescent="0.25">
      <c r="A9" s="63" t="s">
        <v>742</v>
      </c>
      <c r="E9" s="63">
        <f>股东权益回报率分析表!E14</f>
        <v>0.22917563280743952</v>
      </c>
      <c r="F9" s="63">
        <f>股东权益回报率分析表!F14</f>
        <v>0.18680640160091277</v>
      </c>
      <c r="G9" s="63">
        <f>股东权益回报率分析表!G14</f>
        <v>0.1084281063887307</v>
      </c>
      <c r="H9" s="63">
        <f>股东权益回报率分析表!H14</f>
        <v>5.7045570145218452E-2</v>
      </c>
      <c r="I9" s="63">
        <f>股东权益回报率分析表!I14</f>
        <v>0.31434109950042344</v>
      </c>
      <c r="J9" s="63">
        <f>股东权益回报率分析表!J14</f>
        <v>0.22852292116493078</v>
      </c>
      <c r="K9" s="63">
        <f>股东权益回报率分析表!K14</f>
        <v>0.13563839852201859</v>
      </c>
      <c r="L9" s="63">
        <f>股东权益回报率分析表!L14</f>
        <v>5.5570238518302E-2</v>
      </c>
      <c r="M9" s="63">
        <f>股东权益回报率分析表!M14</f>
        <v>0.30748650713975773</v>
      </c>
      <c r="N9" s="63">
        <f>股东权益回报率分析表!N14</f>
        <v>0.21989707113135254</v>
      </c>
      <c r="O9" s="63">
        <f>股东权益回报率分析表!O14</f>
        <v>0.14202563896222872</v>
      </c>
      <c r="P9" s="63">
        <f>股东权益回报率分析表!P14</f>
        <v>6.4841272499106803E-2</v>
      </c>
      <c r="Q9" s="63">
        <f>股东权益回报率分析表!Q14</f>
        <v>0.3126246316587476</v>
      </c>
      <c r="R9" s="63">
        <f>股东权益回报率分析表!R14</f>
        <v>0.20942455226275275</v>
      </c>
      <c r="S9" s="63">
        <f>股东权益回报率分析表!S14</f>
        <v>0.12948521131954591</v>
      </c>
      <c r="T9" s="63">
        <f>股东权益回报率分析表!T14</f>
        <v>5.8125823140216297E-2</v>
      </c>
      <c r="U9" s="63">
        <f>股东权益回报率分析表!U14</f>
        <v>0.27206759341319936</v>
      </c>
      <c r="V9" s="63">
        <f>股东权益回报率分析表!V14</f>
        <v>0.17863380997819817</v>
      </c>
      <c r="W9" s="63">
        <f>股东权益回报率分析表!W14</f>
        <v>0.10895195434247595</v>
      </c>
      <c r="X9" s="63">
        <f>股东权益回报率分析表!X14</f>
        <v>4.9467404123858305E-2</v>
      </c>
      <c r="Y9" s="63">
        <f>股东权益回报率分析表!Y14</f>
        <v>0.24617855211002701</v>
      </c>
      <c r="Z9" s="63">
        <f>股东权益回报率分析表!Z14</f>
        <v>0.1608263041117525</v>
      </c>
      <c r="AA9" s="63">
        <f>股东权益回报率分析表!AA14</f>
        <v>0.10271478045145727</v>
      </c>
      <c r="AB9" s="63">
        <f>股东权益回报率分析表!AB14</f>
        <v>4.87277917418091E-2</v>
      </c>
      <c r="AC9" s="63">
        <f>股东权益回报率分析表!AC14</f>
        <v>0.21499142370745628</v>
      </c>
      <c r="AD9" s="63">
        <f>股东权益回报率分析表!AD14</f>
        <v>0.14084315868811959</v>
      </c>
      <c r="AE9" s="63">
        <f>股东权益回报率分析表!AE14</f>
        <v>9.0367684715521715E-2</v>
      </c>
      <c r="AF9" s="63">
        <f>股东权益回报率分析表!AF14</f>
        <v>4.4208719690893537E-2</v>
      </c>
      <c r="AG9" s="63">
        <f>股东权益回报率分析表!AG14</f>
        <v>0.18490644194673167</v>
      </c>
      <c r="AH9" s="63">
        <f>股东权益回报率分析表!AH14</f>
        <v>0.12547512065269525</v>
      </c>
      <c r="AI9" s="63">
        <f>股东权益回报率分析表!AI14</f>
        <v>7.5630785702556616E-2</v>
      </c>
      <c r="AJ9" s="63">
        <f>股东权益回报率分析表!AJ14</f>
        <v>0.12094953508895562</v>
      </c>
      <c r="AK9" s="63">
        <f>股东权益回报率分析表!AK14</f>
        <v>0.47187295652042721</v>
      </c>
      <c r="AL9" s="63">
        <f>股东权益回报率分析表!AL14</f>
        <v>0.48921135990241099</v>
      </c>
      <c r="AM9" s="63">
        <f>股东权益回报率分析表!AM14</f>
        <v>0.45395070460000919</v>
      </c>
      <c r="AN9" s="63" t="e">
        <f>股东权益回报率分析表!AN14</f>
        <v>#DIV/0!</v>
      </c>
      <c r="AO9" s="63" t="e">
        <f>股东权益回报率分析表!AO14</f>
        <v>#DIV/0!</v>
      </c>
      <c r="AP9" s="63" t="e">
        <f>股东权益回报率分析表!AP14</f>
        <v>#DIV/0!</v>
      </c>
      <c r="AQ9" s="63" t="e">
        <f>股东权益回报率分析表!AQ14</f>
        <v>#DIV/0!</v>
      </c>
      <c r="AR9" s="63" t="e">
        <f>股东权益回报率分析表!AR14</f>
        <v>#DIV/0!</v>
      </c>
      <c r="AS9" s="63" t="e">
        <f>股东权益回报率分析表!AS14</f>
        <v>#DIV/0!</v>
      </c>
      <c r="AT9" s="63" t="e">
        <f>股东权益回报率分析表!AT14</f>
        <v>#DIV/0!</v>
      </c>
      <c r="AU9" s="63" t="e">
        <f>股东权益回报率分析表!AU14</f>
        <v>#DIV/0!</v>
      </c>
      <c r="AV9" s="63" t="e">
        <f>股东权益回报率分析表!AV14</f>
        <v>#DIV/0!</v>
      </c>
      <c r="AW9" s="63" t="e">
        <f>股东权益回报率分析表!AW14</f>
        <v>#DIV/0!</v>
      </c>
      <c r="AX9" s="63" t="e">
        <f>股东权益回报率分析表!AX14</f>
        <v>#DIV/0!</v>
      </c>
      <c r="AY9" s="63" t="e">
        <f>股东权益回报率分析表!AY14</f>
        <v>#DIV/0!</v>
      </c>
      <c r="AZ9" s="63" t="e">
        <f>股东权益回报率分析表!AZ14</f>
        <v>#DIV/0!</v>
      </c>
      <c r="BA9" s="63" t="e">
        <f>股东权益回报率分析表!BA14</f>
        <v>#DIV/0!</v>
      </c>
      <c r="BB9" s="63" t="e">
        <f>股东权益回报率分析表!BB14</f>
        <v>#DIV/0!</v>
      </c>
      <c r="BC9" s="63" t="e">
        <f>股东权益回报率分析表!BC14</f>
        <v>#DIV/0!</v>
      </c>
      <c r="BD9" s="63" t="e">
        <f>股东权益回报率分析表!BD14</f>
        <v>#DIV/0!</v>
      </c>
      <c r="BE9" s="63" t="e">
        <f>股东权益回报率分析表!BE14</f>
        <v>#DIV/0!</v>
      </c>
      <c r="BF9" s="63" t="e">
        <f>股东权益回报率分析表!BF14</f>
        <v>#DIV/0!</v>
      </c>
      <c r="BG9" s="63" t="e">
        <f>股东权益回报率分析表!BG14</f>
        <v>#DIV/0!</v>
      </c>
      <c r="BH9" s="63" t="e">
        <f>股东权益回报率分析表!BH14</f>
        <v>#DIV/0!</v>
      </c>
      <c r="BI9" s="63" t="e">
        <f>股东权益回报率分析表!BI14</f>
        <v>#DIV/0!</v>
      </c>
      <c r="BJ9" s="63" t="e">
        <f>股东权益回报率分析表!BJ14</f>
        <v>#DIV/0!</v>
      </c>
      <c r="BK9" s="63" t="e">
        <f>股东权益回报率分析表!BK14</f>
        <v>#DIV/0!</v>
      </c>
      <c r="BL9" s="63" t="e">
        <f>股东权益回报率分析表!BL14</f>
        <v>#DIV/0!</v>
      </c>
      <c r="BM9" s="63" t="e">
        <f>股东权益回报率分析表!BM14</f>
        <v>#DIV/0!</v>
      </c>
      <c r="BN9" s="63" t="e">
        <f>股东权益回报率分析表!BN14</f>
        <v>#DIV/0!</v>
      </c>
      <c r="BO9" s="63" t="e">
        <f>股东权益回报率分析表!BO14</f>
        <v>#DIV/0!</v>
      </c>
      <c r="BP9" s="63" t="e">
        <f>股东权益回报率分析表!BP14</f>
        <v>#DIV/0!</v>
      </c>
      <c r="BQ9" s="63" t="e">
        <f>股东权益回报率分析表!BQ14</f>
        <v>#DIV/0!</v>
      </c>
      <c r="BR9" s="63" t="e">
        <f>股东权益回报率分析表!BR14</f>
        <v>#DIV/0!</v>
      </c>
      <c r="BS9" s="63" t="e">
        <f>股东权益回报率分析表!BS14</f>
        <v>#DIV/0!</v>
      </c>
      <c r="BT9" s="63" t="e">
        <f>股东权益回报率分析表!BT14</f>
        <v>#DIV/0!</v>
      </c>
      <c r="BU9" s="63" t="e">
        <f>股东权益回报率分析表!BU14</f>
        <v>#DIV/0!</v>
      </c>
      <c r="BV9" s="63" t="e">
        <f>股东权益回报率分析表!BV14</f>
        <v>#DIV/0!</v>
      </c>
    </row>
    <row r="10" spans="1:74" s="26" customFormat="1" x14ac:dyDescent="0.25">
      <c r="A10" s="17" t="s">
        <v>332</v>
      </c>
      <c r="E10" s="26">
        <f>资产资本表!E70</f>
        <v>36034873017.620003</v>
      </c>
      <c r="F10" s="26">
        <f>资产资本表!F70</f>
        <v>33159067805.639999</v>
      </c>
      <c r="G10" s="26">
        <f>资产资本表!G70</f>
        <v>31499749380.510006</v>
      </c>
      <c r="H10" s="26">
        <f>资产资本表!H70</f>
        <v>33502837129.93</v>
      </c>
      <c r="I10" s="26">
        <f>资产资本表!I70</f>
        <v>29349791722.800003</v>
      </c>
      <c r="J10" s="26">
        <f>资产资本表!J70</f>
        <v>26139535378.93</v>
      </c>
      <c r="K10" s="26">
        <f>资产资本表!K70</f>
        <v>23313241435.349998</v>
      </c>
      <c r="L10" s="26">
        <f>资产资本表!L70</f>
        <v>24937421251.739998</v>
      </c>
      <c r="M10" s="26">
        <f>资产资本表!M70</f>
        <v>21553149133.57</v>
      </c>
      <c r="N10" s="26">
        <f>资产资本表!N70</f>
        <v>19348530609.649998</v>
      </c>
      <c r="O10" s="26">
        <f>资产资本表!O70</f>
        <v>18334118403.900002</v>
      </c>
      <c r="P10" s="26">
        <f>资产资本表!P70</f>
        <v>17136865721.080002</v>
      </c>
      <c r="Q10" s="26">
        <f>资产资本表!Q70</f>
        <v>15530297980.139999</v>
      </c>
      <c r="R10" s="26">
        <f>资产资本表!R70</f>
        <v>13866340129.929998</v>
      </c>
      <c r="S10" s="26">
        <f>资产资本表!S70</f>
        <v>13671437969.689999</v>
      </c>
      <c r="T10" s="26">
        <f>资产资本表!T70</f>
        <v>12575613347.049999</v>
      </c>
      <c r="U10" s="26">
        <f>资产资本表!U70</f>
        <v>11434524202.260002</v>
      </c>
      <c r="V10" s="26">
        <f>资产资本表!V70</f>
        <v>10012346475.620001</v>
      </c>
      <c r="W10" s="26">
        <f>资产资本表!W70</f>
        <v>9763822698.1699982</v>
      </c>
      <c r="X10" s="26">
        <f>资产资本表!X70</f>
        <v>9231699415.7299995</v>
      </c>
      <c r="Y10" s="26">
        <f>资产资本表!Y70</f>
        <v>8694418850.7199993</v>
      </c>
      <c r="Z10" s="26">
        <f>资产资本表!Z70</f>
        <v>7752388390.8999996</v>
      </c>
      <c r="AA10" s="26">
        <f>资产资本表!AA70</f>
        <v>7238091025.4400005</v>
      </c>
      <c r="AB10" s="26">
        <f>资产资本表!AB70</f>
        <v>7184997976.1100006</v>
      </c>
      <c r="AC10" s="26">
        <f>资产资本表!AC70</f>
        <v>6808674248.3000002</v>
      </c>
      <c r="AD10" s="26">
        <f>资产资本表!AD70</f>
        <v>6246321054.8999996</v>
      </c>
      <c r="AE10" s="26">
        <f>资产资本表!AE70</f>
        <v>5921332074.0799999</v>
      </c>
      <c r="AF10" s="26">
        <f>资产资本表!AF70</f>
        <v>5950806431.4099998</v>
      </c>
      <c r="AG10" s="26">
        <f>资产资本表!AG70</f>
        <v>5683047988.1899986</v>
      </c>
      <c r="AH10" s="26">
        <f>资产资本表!AH70</f>
        <v>5284395427.3499994</v>
      </c>
      <c r="AI10" s="26">
        <f>资产资本表!AI70</f>
        <v>5251698825.9400005</v>
      </c>
      <c r="AJ10" s="26">
        <f>资产资本表!AJ70</f>
        <v>1771366322.9200001</v>
      </c>
      <c r="AK10" s="26">
        <f>资产资本表!AK70</f>
        <v>1565389377.6600001</v>
      </c>
      <c r="AL10" s="26">
        <f>资产资本表!AL70</f>
        <v>977899102.31999993</v>
      </c>
      <c r="AM10" s="26">
        <f>资产资本表!AM70</f>
        <v>623005502.38</v>
      </c>
      <c r="AN10" s="26">
        <f>资产资本表!AN70</f>
        <v>0</v>
      </c>
      <c r="AO10" s="26">
        <f>资产资本表!AO70</f>
        <v>0</v>
      </c>
      <c r="AP10" s="26">
        <f>资产资本表!AP70</f>
        <v>0</v>
      </c>
      <c r="AQ10" s="26">
        <f>资产资本表!AQ70</f>
        <v>0</v>
      </c>
      <c r="AR10" s="26">
        <f>资产资本表!AR70</f>
        <v>0</v>
      </c>
      <c r="AS10" s="26">
        <f>资产资本表!AS70</f>
        <v>0</v>
      </c>
      <c r="AT10" s="26">
        <f>资产资本表!AT70</f>
        <v>0</v>
      </c>
      <c r="AU10" s="26">
        <f>资产资本表!AU70</f>
        <v>0</v>
      </c>
      <c r="AV10" s="26">
        <f>资产资本表!AV70</f>
        <v>0</v>
      </c>
      <c r="AW10" s="26">
        <f>资产资本表!AW70</f>
        <v>0</v>
      </c>
      <c r="AX10" s="26">
        <f>资产资本表!AX70</f>
        <v>0</v>
      </c>
      <c r="AY10" s="26">
        <f>资产资本表!AY70</f>
        <v>0</v>
      </c>
      <c r="AZ10" s="26">
        <f>资产资本表!AZ70</f>
        <v>0</v>
      </c>
      <c r="BA10" s="26">
        <f>资产资本表!BA70</f>
        <v>0</v>
      </c>
      <c r="BB10" s="26">
        <f>资产资本表!BB70</f>
        <v>0</v>
      </c>
      <c r="BC10" s="26">
        <f>资产资本表!BC70</f>
        <v>0</v>
      </c>
      <c r="BD10" s="26">
        <f>资产资本表!BD70</f>
        <v>0</v>
      </c>
      <c r="BE10" s="26">
        <f>资产资本表!BE70</f>
        <v>0</v>
      </c>
      <c r="BF10" s="26">
        <f>资产资本表!BF70</f>
        <v>0</v>
      </c>
      <c r="BG10" s="26">
        <f>资产资本表!BG70</f>
        <v>0</v>
      </c>
      <c r="BH10" s="26">
        <f>资产资本表!BH70</f>
        <v>0</v>
      </c>
      <c r="BI10" s="26">
        <f>资产资本表!BI70</f>
        <v>0</v>
      </c>
      <c r="BJ10" s="26">
        <f>资产资本表!BJ70</f>
        <v>0</v>
      </c>
      <c r="BK10" s="26">
        <f>资产资本表!BK70</f>
        <v>0</v>
      </c>
      <c r="BL10" s="26">
        <f>资产资本表!BL70</f>
        <v>0</v>
      </c>
      <c r="BM10" s="26">
        <f>资产资本表!BM70</f>
        <v>0</v>
      </c>
      <c r="BN10" s="26">
        <f>资产资本表!BN70</f>
        <v>0</v>
      </c>
      <c r="BO10" s="26">
        <f>资产资本表!BO70</f>
        <v>0</v>
      </c>
      <c r="BP10" s="26">
        <f>资产资本表!BP70</f>
        <v>0</v>
      </c>
      <c r="BQ10" s="26">
        <f>资产资本表!BQ70</f>
        <v>0</v>
      </c>
      <c r="BR10" s="26">
        <f>资产资本表!BR70</f>
        <v>0</v>
      </c>
      <c r="BS10" s="26">
        <f>资产资本表!BS70</f>
        <v>0</v>
      </c>
      <c r="BT10" s="26">
        <f>资产资本表!BT70</f>
        <v>0</v>
      </c>
      <c r="BU10" s="26">
        <f>资产资本表!BU70</f>
        <v>0</v>
      </c>
    </row>
    <row r="11" spans="1:74" s="63" customFormat="1" x14ac:dyDescent="0.25">
      <c r="A11" s="17" t="s">
        <v>348</v>
      </c>
      <c r="E11" s="63">
        <f>E4/E10</f>
        <v>0.14632563848086108</v>
      </c>
      <c r="F11" s="63">
        <f t="shared" ref="F11:BQ11" si="3">F4/F10</f>
        <v>0.1763755636117503</v>
      </c>
      <c r="G11" s="63">
        <f t="shared" si="3"/>
        <v>0.22615912418934481</v>
      </c>
      <c r="H11" s="63">
        <f t="shared" si="3"/>
        <v>0.22233607061431465</v>
      </c>
      <c r="I11" s="63">
        <f t="shared" si="3"/>
        <v>0.16358135687281028</v>
      </c>
      <c r="J11" s="63">
        <f t="shared" si="3"/>
        <v>0.16879109638446094</v>
      </c>
      <c r="K11" s="63">
        <f t="shared" si="3"/>
        <v>0.17446119748551125</v>
      </c>
      <c r="L11" s="63">
        <f t="shared" si="3"/>
        <v>0.17566476701452616</v>
      </c>
      <c r="M11" s="63">
        <f t="shared" si="3"/>
        <v>0.10066908943809695</v>
      </c>
      <c r="N11" s="63">
        <f t="shared" si="3"/>
        <v>0.11055858090707467</v>
      </c>
      <c r="O11" s="63">
        <f t="shared" si="3"/>
        <v>0.14862343848561424</v>
      </c>
      <c r="P11" s="63">
        <f t="shared" si="3"/>
        <v>6.6477816392565142E-2</v>
      </c>
      <c r="Q11" s="63">
        <f t="shared" si="3"/>
        <v>3.9283083292423755E-2</v>
      </c>
      <c r="R11" s="63">
        <f t="shared" si="3"/>
        <v>6.3311667778513658E-2</v>
      </c>
      <c r="S11" s="63">
        <f t="shared" si="3"/>
        <v>6.4618513443032641E-2</v>
      </c>
      <c r="T11" s="63">
        <f t="shared" si="3"/>
        <v>5.1385350418044359E-2</v>
      </c>
      <c r="U11" s="63">
        <f t="shared" si="3"/>
        <v>1.7190903156350704E-2</v>
      </c>
      <c r="V11" s="63">
        <f t="shared" si="3"/>
        <v>1.2890591021222907E-2</v>
      </c>
      <c r="W11" s="63">
        <f t="shared" si="3"/>
        <v>5.2373098376299158E-3</v>
      </c>
      <c r="X11" s="63">
        <f t="shared" si="3"/>
        <v>9.6412269552823074E-3</v>
      </c>
      <c r="Y11" s="63">
        <f t="shared" si="3"/>
        <v>3.4504893903881397E-4</v>
      </c>
      <c r="Z11" s="63">
        <f t="shared" si="3"/>
        <v>3.8697751566749356E-4</v>
      </c>
      <c r="AA11" s="63">
        <f t="shared" si="3"/>
        <v>4.1447392543915006E-4</v>
      </c>
      <c r="AB11" s="63">
        <f t="shared" si="3"/>
        <v>4.1753665205960394E-4</v>
      </c>
      <c r="AC11" s="63">
        <f t="shared" si="3"/>
        <v>4.4061441193915898E-4</v>
      </c>
      <c r="AD11" s="63">
        <f t="shared" si="3"/>
        <v>4.6473272306789444E-3</v>
      </c>
      <c r="AE11" s="63">
        <f t="shared" si="3"/>
        <v>4.9955260100145431E-3</v>
      </c>
      <c r="AF11" s="63">
        <f t="shared" si="3"/>
        <v>4.9819069838195887E-3</v>
      </c>
      <c r="AG11" s="63">
        <f t="shared" si="3"/>
        <v>5.1101671251678818E-3</v>
      </c>
      <c r="AH11" s="63">
        <f t="shared" si="3"/>
        <v>5.7149394694606705E-3</v>
      </c>
      <c r="AI11" s="63">
        <f t="shared" si="3"/>
        <v>5.7505201651761716E-3</v>
      </c>
      <c r="AJ11" s="63">
        <f t="shared" si="3"/>
        <v>3.250259376337946E-2</v>
      </c>
      <c r="AK11" s="63">
        <f t="shared" si="3"/>
        <v>3.6805746750450959E-2</v>
      </c>
      <c r="AL11" s="63">
        <f t="shared" si="3"/>
        <v>2.0452007730195625E-3</v>
      </c>
      <c r="AM11" s="63">
        <f t="shared" si="3"/>
        <v>7.2292018012593787E-2</v>
      </c>
      <c r="AN11" s="63" t="e">
        <f t="shared" si="3"/>
        <v>#DIV/0!</v>
      </c>
      <c r="AO11" s="63" t="e">
        <f t="shared" si="3"/>
        <v>#DIV/0!</v>
      </c>
      <c r="AP11" s="63" t="e">
        <f t="shared" si="3"/>
        <v>#DIV/0!</v>
      </c>
      <c r="AQ11" s="63" t="e">
        <f t="shared" si="3"/>
        <v>#DIV/0!</v>
      </c>
      <c r="AR11" s="63" t="e">
        <f t="shared" si="3"/>
        <v>#DIV/0!</v>
      </c>
      <c r="AS11" s="63" t="e">
        <f t="shared" si="3"/>
        <v>#DIV/0!</v>
      </c>
      <c r="AT11" s="63" t="e">
        <f t="shared" si="3"/>
        <v>#DIV/0!</v>
      </c>
      <c r="AU11" s="63" t="e">
        <f t="shared" si="3"/>
        <v>#DIV/0!</v>
      </c>
      <c r="AV11" s="63" t="e">
        <f t="shared" si="3"/>
        <v>#DIV/0!</v>
      </c>
      <c r="AW11" s="63" t="e">
        <f t="shared" si="3"/>
        <v>#DIV/0!</v>
      </c>
      <c r="AX11" s="63" t="e">
        <f t="shared" si="3"/>
        <v>#DIV/0!</v>
      </c>
      <c r="AY11" s="63" t="e">
        <f t="shared" si="3"/>
        <v>#DIV/0!</v>
      </c>
      <c r="AZ11" s="63" t="e">
        <f t="shared" si="3"/>
        <v>#DIV/0!</v>
      </c>
      <c r="BA11" s="63" t="e">
        <f t="shared" si="3"/>
        <v>#DIV/0!</v>
      </c>
      <c r="BB11" s="63" t="e">
        <f t="shared" si="3"/>
        <v>#DIV/0!</v>
      </c>
      <c r="BC11" s="63" t="e">
        <f t="shared" si="3"/>
        <v>#DIV/0!</v>
      </c>
      <c r="BD11" s="63" t="e">
        <f t="shared" si="3"/>
        <v>#DIV/0!</v>
      </c>
      <c r="BE11" s="63" t="e">
        <f t="shared" si="3"/>
        <v>#DIV/0!</v>
      </c>
      <c r="BF11" s="63" t="e">
        <f t="shared" si="3"/>
        <v>#DIV/0!</v>
      </c>
      <c r="BG11" s="63" t="e">
        <f t="shared" si="3"/>
        <v>#DIV/0!</v>
      </c>
      <c r="BH11" s="63" t="e">
        <f t="shared" si="3"/>
        <v>#DIV/0!</v>
      </c>
      <c r="BI11" s="63" t="e">
        <f t="shared" si="3"/>
        <v>#DIV/0!</v>
      </c>
      <c r="BJ11" s="63" t="e">
        <f t="shared" si="3"/>
        <v>#DIV/0!</v>
      </c>
      <c r="BK11" s="63" t="e">
        <f t="shared" si="3"/>
        <v>#DIV/0!</v>
      </c>
      <c r="BL11" s="63" t="e">
        <f t="shared" si="3"/>
        <v>#DIV/0!</v>
      </c>
      <c r="BM11" s="63" t="e">
        <f t="shared" si="3"/>
        <v>#DIV/0!</v>
      </c>
      <c r="BN11" s="63" t="e">
        <f t="shared" si="3"/>
        <v>#DIV/0!</v>
      </c>
      <c r="BO11" s="63" t="e">
        <f t="shared" si="3"/>
        <v>#DIV/0!</v>
      </c>
      <c r="BP11" s="63" t="e">
        <f t="shared" si="3"/>
        <v>#DIV/0!</v>
      </c>
      <c r="BQ11" s="63" t="e">
        <f t="shared" si="3"/>
        <v>#DIV/0!</v>
      </c>
      <c r="BR11" s="63" t="e">
        <f>BR4/BR10</f>
        <v>#DIV/0!</v>
      </c>
      <c r="BS11" s="63" t="e">
        <f>BS4/BS10</f>
        <v>#DIV/0!</v>
      </c>
      <c r="BT11" s="63" t="e">
        <f>BT4/BT10</f>
        <v>#DIV/0!</v>
      </c>
      <c r="BU11" s="63" t="e">
        <f>BU4/BU10</f>
        <v>#DIV/0!</v>
      </c>
      <c r="BV11" s="63" t="e">
        <f>BV4/BV10*100</f>
        <v>#DIV/0!</v>
      </c>
    </row>
    <row r="12" spans="1:74" s="63" customFormat="1" x14ac:dyDescent="0.25">
      <c r="A12" s="17" t="s">
        <v>349</v>
      </c>
      <c r="E12" s="63">
        <f>E8/E10</f>
        <v>0.84929177974695447</v>
      </c>
      <c r="F12" s="63">
        <f t="shared" ref="F12:BQ12" si="4">F8/F10</f>
        <v>0.81939740721566967</v>
      </c>
      <c r="G12" s="63">
        <f t="shared" si="4"/>
        <v>0.76942947321086241</v>
      </c>
      <c r="H12" s="63">
        <f t="shared" si="4"/>
        <v>0.77604913300739076</v>
      </c>
      <c r="I12" s="63">
        <f t="shared" si="4"/>
        <v>0.83430486173187557</v>
      </c>
      <c r="J12" s="63">
        <f t="shared" si="4"/>
        <v>0.82783763113450504</v>
      </c>
      <c r="K12" s="63">
        <f t="shared" si="4"/>
        <v>0.82187856129249337</v>
      </c>
      <c r="L12" s="63">
        <f t="shared" si="4"/>
        <v>0.82084152470423299</v>
      </c>
      <c r="M12" s="63">
        <f t="shared" si="4"/>
        <v>0.89534252095176892</v>
      </c>
      <c r="N12" s="63">
        <f t="shared" si="4"/>
        <v>0.88565606223158988</v>
      </c>
      <c r="O12" s="63">
        <f t="shared" si="4"/>
        <v>0.84756764943028207</v>
      </c>
      <c r="P12" s="63">
        <f t="shared" si="4"/>
        <v>0.93112597858147794</v>
      </c>
      <c r="Q12" s="63">
        <f t="shared" si="4"/>
        <v>0.95807283068794469</v>
      </c>
      <c r="R12" s="63">
        <f t="shared" si="4"/>
        <v>0.93367188212953189</v>
      </c>
      <c r="S12" s="63">
        <f t="shared" si="4"/>
        <v>0.8590873488084384</v>
      </c>
      <c r="T12" s="63">
        <f t="shared" si="4"/>
        <v>0.9459466905620586</v>
      </c>
      <c r="U12" s="63">
        <f t="shared" si="4"/>
        <v>0.97987489333272659</v>
      </c>
      <c r="V12" s="63">
        <f t="shared" si="4"/>
        <v>0.98461342734042157</v>
      </c>
      <c r="W12" s="63">
        <f t="shared" si="4"/>
        <v>0.93071655610903414</v>
      </c>
      <c r="X12" s="63">
        <f t="shared" si="4"/>
        <v>0.98819153617434174</v>
      </c>
      <c r="Y12" s="63">
        <f t="shared" si="4"/>
        <v>0.99735378755670445</v>
      </c>
      <c r="Z12" s="63">
        <f t="shared" si="4"/>
        <v>0.99683615793310998</v>
      </c>
      <c r="AA12" s="63">
        <f t="shared" si="4"/>
        <v>0.98439818840173599</v>
      </c>
      <c r="AB12" s="63">
        <f t="shared" si="4"/>
        <v>0.99702479598587523</v>
      </c>
      <c r="AC12" s="63">
        <f t="shared" si="4"/>
        <v>0.99686035283222163</v>
      </c>
      <c r="AD12" s="63">
        <f t="shared" si="4"/>
        <v>0.99342076384502176</v>
      </c>
      <c r="AE12" s="63">
        <f t="shared" si="4"/>
        <v>0.99296653333085183</v>
      </c>
      <c r="AF12" s="63">
        <f t="shared" si="4"/>
        <v>0.993076709717436</v>
      </c>
      <c r="AG12" s="63">
        <f t="shared" si="4"/>
        <v>0.99285698074266526</v>
      </c>
      <c r="AH12" s="63">
        <f t="shared" si="4"/>
        <v>0.992098850891456</v>
      </c>
      <c r="AI12" s="63">
        <f t="shared" si="4"/>
        <v>0.94444601530100514</v>
      </c>
      <c r="AJ12" s="63">
        <f t="shared" si="4"/>
        <v>0.96159711017432936</v>
      </c>
      <c r="AK12" s="63">
        <f t="shared" si="4"/>
        <v>0.95651758488245986</v>
      </c>
      <c r="AL12" s="63">
        <f t="shared" si="4"/>
        <v>0.99146565760189342</v>
      </c>
      <c r="AM12" s="63">
        <f t="shared" si="4"/>
        <v>0.87432815305659262</v>
      </c>
      <c r="AN12" s="63" t="e">
        <f t="shared" si="4"/>
        <v>#DIV/0!</v>
      </c>
      <c r="AO12" s="63" t="e">
        <f t="shared" si="4"/>
        <v>#DIV/0!</v>
      </c>
      <c r="AP12" s="63" t="e">
        <f t="shared" si="4"/>
        <v>#DIV/0!</v>
      </c>
      <c r="AQ12" s="63" t="e">
        <f t="shared" si="4"/>
        <v>#DIV/0!</v>
      </c>
      <c r="AR12" s="63" t="e">
        <f t="shared" si="4"/>
        <v>#DIV/0!</v>
      </c>
      <c r="AS12" s="63" t="e">
        <f t="shared" si="4"/>
        <v>#DIV/0!</v>
      </c>
      <c r="AT12" s="63" t="e">
        <f t="shared" si="4"/>
        <v>#DIV/0!</v>
      </c>
      <c r="AU12" s="63" t="e">
        <f t="shared" si="4"/>
        <v>#DIV/0!</v>
      </c>
      <c r="AV12" s="63" t="e">
        <f t="shared" si="4"/>
        <v>#DIV/0!</v>
      </c>
      <c r="AW12" s="63" t="e">
        <f t="shared" si="4"/>
        <v>#DIV/0!</v>
      </c>
      <c r="AX12" s="63" t="e">
        <f t="shared" si="4"/>
        <v>#DIV/0!</v>
      </c>
      <c r="AY12" s="63" t="e">
        <f t="shared" si="4"/>
        <v>#DIV/0!</v>
      </c>
      <c r="AZ12" s="63" t="e">
        <f t="shared" si="4"/>
        <v>#DIV/0!</v>
      </c>
      <c r="BA12" s="63" t="e">
        <f t="shared" si="4"/>
        <v>#DIV/0!</v>
      </c>
      <c r="BB12" s="63" t="e">
        <f t="shared" si="4"/>
        <v>#DIV/0!</v>
      </c>
      <c r="BC12" s="63" t="e">
        <f t="shared" si="4"/>
        <v>#DIV/0!</v>
      </c>
      <c r="BD12" s="63" t="e">
        <f t="shared" si="4"/>
        <v>#DIV/0!</v>
      </c>
      <c r="BE12" s="63" t="e">
        <f t="shared" si="4"/>
        <v>#DIV/0!</v>
      </c>
      <c r="BF12" s="63" t="e">
        <f t="shared" si="4"/>
        <v>#DIV/0!</v>
      </c>
      <c r="BG12" s="63" t="e">
        <f t="shared" si="4"/>
        <v>#DIV/0!</v>
      </c>
      <c r="BH12" s="63" t="e">
        <f t="shared" si="4"/>
        <v>#DIV/0!</v>
      </c>
      <c r="BI12" s="63" t="e">
        <f t="shared" si="4"/>
        <v>#DIV/0!</v>
      </c>
      <c r="BJ12" s="63" t="e">
        <f t="shared" si="4"/>
        <v>#DIV/0!</v>
      </c>
      <c r="BK12" s="63" t="e">
        <f t="shared" si="4"/>
        <v>#DIV/0!</v>
      </c>
      <c r="BL12" s="63" t="e">
        <f t="shared" si="4"/>
        <v>#DIV/0!</v>
      </c>
      <c r="BM12" s="63" t="e">
        <f t="shared" si="4"/>
        <v>#DIV/0!</v>
      </c>
      <c r="BN12" s="63" t="e">
        <f t="shared" si="4"/>
        <v>#DIV/0!</v>
      </c>
      <c r="BO12" s="63" t="e">
        <f t="shared" si="4"/>
        <v>#DIV/0!</v>
      </c>
      <c r="BP12" s="63" t="e">
        <f t="shared" si="4"/>
        <v>#DIV/0!</v>
      </c>
      <c r="BQ12" s="63" t="e">
        <f t="shared" si="4"/>
        <v>#DIV/0!</v>
      </c>
      <c r="BR12" s="63" t="e">
        <f>BR8/BR10</f>
        <v>#DIV/0!</v>
      </c>
      <c r="BS12" s="63" t="e">
        <f>BS8/BS10</f>
        <v>#DIV/0!</v>
      </c>
      <c r="BT12" s="63" t="e">
        <f>BT8/BT10</f>
        <v>#DIV/0!</v>
      </c>
      <c r="BU12" s="63" t="e">
        <f>BU8/BU10</f>
        <v>#DIV/0!</v>
      </c>
      <c r="BV12" s="63" t="e">
        <f>BV8/BV10*100</f>
        <v>#DIV/0!</v>
      </c>
    </row>
    <row r="13" spans="1:74" s="63" customFormat="1" x14ac:dyDescent="0.25">
      <c r="A13" s="63" t="s">
        <v>350</v>
      </c>
      <c r="E13" s="63">
        <f>E5*E11*(1-E6)+E9*E12</f>
        <v>0.19826251262916306</v>
      </c>
      <c r="F13" s="63">
        <f t="shared" ref="F13:J13" si="5">F5*F11*(1-F6)+F9*F12</f>
        <v>0.15306868112307706</v>
      </c>
      <c r="G13" s="63">
        <f t="shared" si="5"/>
        <v>8.3427780779932403E-2</v>
      </c>
      <c r="H13" s="63">
        <f t="shared" si="5"/>
        <v>4.4270165253109076E-2</v>
      </c>
      <c r="I13" s="63">
        <f t="shared" si="5"/>
        <v>0.26830666126305391</v>
      </c>
      <c r="J13" s="63">
        <f t="shared" si="5"/>
        <v>0.18917987371711353</v>
      </c>
      <c r="K13" s="63">
        <f t="shared" ref="K13" si="6">K5*K11*(1-K6)+K9*K12</f>
        <v>0.1114782918332945</v>
      </c>
      <c r="L13" s="63">
        <f t="shared" ref="L13" si="7">L5*L11*(1-L6)+L9*L12</f>
        <v>4.5614359313540909E-2</v>
      </c>
      <c r="M13" s="63">
        <f t="shared" ref="M13" si="8">M5*M11*(1-M6)+M9*M12</f>
        <v>0.27810874903218608</v>
      </c>
      <c r="N13" s="63">
        <f t="shared" ref="N13:O13" si="9">N5*N11*(1-N6)+N9*N12</f>
        <v>0.1947531741144535</v>
      </c>
      <c r="O13" s="63">
        <f t="shared" si="9"/>
        <v>0.12037633697405008</v>
      </c>
      <c r="P13" s="63">
        <f t="shared" ref="P13" si="10">P5*P11*(1-P6)+P9*P12</f>
        <v>6.0375393308199098E-2</v>
      </c>
      <c r="Q13" s="63">
        <f t="shared" ref="Q13" si="11">Q5*Q11*(1-Q6)+Q9*Q12</f>
        <v>0.30181350282199776</v>
      </c>
      <c r="R13" s="63">
        <f t="shared" ref="R13" si="12">R5*R11*(1-R6)+R9*R12</f>
        <v>0.19553381587529889</v>
      </c>
      <c r="S13" s="63">
        <f t="shared" ref="S13:T13" si="13">S5*S11*(1-S6)+S9*S12</f>
        <v>0.1112391069024091</v>
      </c>
      <c r="T13" s="63">
        <f t="shared" si="13"/>
        <v>5.498393003568313E-2</v>
      </c>
      <c r="U13" s="63">
        <f t="shared" ref="U13" si="14">U5*U11*(1-U6)+U9*U12</f>
        <v>0.26692106447863179</v>
      </c>
      <c r="V13" s="63">
        <f t="shared" ref="V13" si="15">V5*V11*(1-V6)+V9*V12</f>
        <v>0.1758852478815113</v>
      </c>
      <c r="W13" s="63">
        <f t="shared" ref="W13" si="16">W5*W11*(1-W6)+W9*W12</f>
        <v>0.10140338772697795</v>
      </c>
      <c r="X13" s="63">
        <f t="shared" ref="X13:Y13" si="17">X5*X11*(1-X6)+X9*X12</f>
        <v>4.8883270071712503E-2</v>
      </c>
      <c r="Y13" s="63">
        <f t="shared" si="17"/>
        <v>0.24554833531812301</v>
      </c>
      <c r="Z13" s="63">
        <f t="shared" ref="Z13" si="18">Z5*Z11*(1-Z6)+Z9*Z12</f>
        <v>0.16031747508534128</v>
      </c>
      <c r="AA13" s="63">
        <f t="shared" ref="AA13" si="19">AA5*AA11*(1-AA6)+AA9*AA12</f>
        <v>0.10111224379849658</v>
      </c>
      <c r="AB13" s="63">
        <f t="shared" ref="AB13" si="20">AB5*AB11*(1-AB6)+AB9*AB12</f>
        <v>4.8582816620219432E-2</v>
      </c>
      <c r="AC13" s="63">
        <f t="shared" ref="AC13:AD13" si="21">AC5*AC11*(1-AC6)+AC9*AC12</f>
        <v>0.21435032091644265</v>
      </c>
      <c r="AD13" s="63">
        <f t="shared" si="21"/>
        <v>0.13991651828629736</v>
      </c>
      <c r="AE13" s="63">
        <f t="shared" ref="AE13" si="22">AE5*AE11*(1-AE6)+AE9*AE12</f>
        <v>8.9732086617107007E-2</v>
      </c>
      <c r="AF13" s="63">
        <f t="shared" ref="AF13" si="23">AF5*AF11*(1-AF6)+AF9*AF12</f>
        <v>4.3902649891452976E-2</v>
      </c>
      <c r="AG13" s="63">
        <f t="shared" ref="AG13" si="24">AG5*AG11*(1-AG6)+AG9*AG12</f>
        <v>0.18380269456580314</v>
      </c>
      <c r="AH13" s="63">
        <f t="shared" ref="AH13:AI13" si="25">AH5*AH11*(1-AH6)+AH9*AH12</f>
        <v>0.12448372301500576</v>
      </c>
      <c r="AI13" s="63">
        <f t="shared" si="25"/>
        <v>7.1429194190863826E-2</v>
      </c>
      <c r="AJ13" s="63">
        <f t="shared" ref="AJ13" si="26">AJ5*AJ11*(1-AJ6)+AJ9*AJ12</f>
        <v>0.11630472341846837</v>
      </c>
      <c r="AK13" s="63">
        <f t="shared" ref="AK13" si="27">AK5*AK11*(1-AK6)+AK9*AK12</f>
        <v>0.45135478074226504</v>
      </c>
      <c r="AL13" s="63">
        <f t="shared" ref="AL13" si="28">AL5*AL11*(1-AL6)+AL9*AL12</f>
        <v>0.48503626265196048</v>
      </c>
      <c r="AM13" s="63">
        <f t="shared" ref="AM13:AN13" si="29">AM5*AM11*(1-AM6)+AM9*AM12</f>
        <v>0.39690188113166491</v>
      </c>
      <c r="AN13" s="63" t="e">
        <f t="shared" si="29"/>
        <v>#DIV/0!</v>
      </c>
      <c r="AO13" s="63" t="e">
        <f t="shared" ref="AO13" si="30">AO5*AO11*(1-AO6)+AO9*AO12</f>
        <v>#DIV/0!</v>
      </c>
      <c r="AP13" s="63" t="e">
        <f t="shared" ref="AP13" si="31">AP5*AP11*(1-AP6)+AP9*AP12</f>
        <v>#DIV/0!</v>
      </c>
      <c r="AQ13" s="63" t="e">
        <f t="shared" ref="AQ13" si="32">AQ5*AQ11*(1-AQ6)+AQ9*AQ12</f>
        <v>#DIV/0!</v>
      </c>
      <c r="AR13" s="63" t="e">
        <f t="shared" ref="AR13:AS13" si="33">AR5*AR11*(1-AR6)+AR9*AR12</f>
        <v>#DIV/0!</v>
      </c>
      <c r="AS13" s="63" t="e">
        <f t="shared" si="33"/>
        <v>#DIV/0!</v>
      </c>
      <c r="AT13" s="63" t="e">
        <f t="shared" ref="AT13" si="34">AT5*AT11*(1-AT6)+AT9*AT12</f>
        <v>#DIV/0!</v>
      </c>
      <c r="AU13" s="63" t="e">
        <f t="shared" ref="AU13" si="35">AU5*AU11*(1-AU6)+AU9*AU12</f>
        <v>#DIV/0!</v>
      </c>
      <c r="AV13" s="63" t="e">
        <f t="shared" ref="AV13" si="36">AV5*AV11*(1-AV6)+AV9*AV12</f>
        <v>#DIV/0!</v>
      </c>
      <c r="AW13" s="63" t="e">
        <f t="shared" ref="AW13:AX13" si="37">AW5*AW11*(1-AW6)+AW9*AW12</f>
        <v>#DIV/0!</v>
      </c>
      <c r="AX13" s="63" t="e">
        <f t="shared" si="37"/>
        <v>#DIV/0!</v>
      </c>
      <c r="AY13" s="63" t="e">
        <f t="shared" ref="AY13" si="38">AY5*AY11*(1-AY6)+AY9*AY12</f>
        <v>#DIV/0!</v>
      </c>
      <c r="AZ13" s="63" t="e">
        <f t="shared" ref="AZ13" si="39">AZ5*AZ11*(1-AZ6)+AZ9*AZ12</f>
        <v>#DIV/0!</v>
      </c>
      <c r="BA13" s="63" t="e">
        <f t="shared" ref="BA13" si="40">BA5*BA11*(1-BA6)+BA9*BA12</f>
        <v>#DIV/0!</v>
      </c>
      <c r="BB13" s="63" t="e">
        <f t="shared" ref="BB13:BC13" si="41">BB5*BB11*(1-BB6)+BB9*BB12</f>
        <v>#DIV/0!</v>
      </c>
      <c r="BC13" s="63" t="e">
        <f t="shared" si="41"/>
        <v>#DIV/0!</v>
      </c>
      <c r="BD13" s="63" t="e">
        <f t="shared" ref="BD13" si="42">BD5*BD11*(1-BD6)+BD9*BD12</f>
        <v>#DIV/0!</v>
      </c>
      <c r="BE13" s="63" t="e">
        <f t="shared" ref="BE13" si="43">BE5*BE11*(1-BE6)+BE9*BE12</f>
        <v>#DIV/0!</v>
      </c>
      <c r="BF13" s="63" t="e">
        <f t="shared" ref="BF13" si="44">BF5*BF11*(1-BF6)+BF9*BF12</f>
        <v>#DIV/0!</v>
      </c>
      <c r="BG13" s="63" t="e">
        <f t="shared" ref="BG13:BH13" si="45">BG5*BG11*(1-BG6)+BG9*BG12</f>
        <v>#DIV/0!</v>
      </c>
      <c r="BH13" s="63" t="e">
        <f t="shared" si="45"/>
        <v>#DIV/0!</v>
      </c>
      <c r="BI13" s="63" t="e">
        <f t="shared" ref="BI13" si="46">BI5*BI11*(1-BI6)+BI9*BI12</f>
        <v>#DIV/0!</v>
      </c>
      <c r="BJ13" s="63" t="e">
        <f t="shared" ref="BJ13" si="47">BJ5*BJ11*(1-BJ6)+BJ9*BJ12</f>
        <v>#DIV/0!</v>
      </c>
      <c r="BK13" s="63" t="e">
        <f t="shared" ref="BK13" si="48">BK5*BK11*(1-BK6)+BK9*BK12</f>
        <v>#DIV/0!</v>
      </c>
      <c r="BL13" s="63" t="e">
        <f t="shared" ref="BL13:BM13" si="49">BL5*BL11*(1-BL6)+BL9*BL12</f>
        <v>#DIV/0!</v>
      </c>
      <c r="BM13" s="63" t="e">
        <f t="shared" si="49"/>
        <v>#DIV/0!</v>
      </c>
      <c r="BN13" s="63" t="e">
        <f t="shared" ref="BN13" si="50">BN5*BN11*(1-BN6)+BN9*BN12</f>
        <v>#DIV/0!</v>
      </c>
      <c r="BO13" s="63" t="e">
        <f t="shared" ref="BO13" si="51">BO5*BO11*(1-BO6)+BO9*BO12</f>
        <v>#DIV/0!</v>
      </c>
      <c r="BP13" s="63" t="e">
        <f t="shared" ref="BP13" si="52">BP5*BP11*(1-BP6)+BP9*BP12</f>
        <v>#DIV/0!</v>
      </c>
      <c r="BQ13" s="63" t="e">
        <f t="shared" ref="BQ13:BR13" si="53">BQ5*BQ11*(1-BQ6)+BQ9*BQ12</f>
        <v>#DIV/0!</v>
      </c>
      <c r="BR13" s="63" t="e">
        <f t="shared" si="53"/>
        <v>#DIV/0!</v>
      </c>
      <c r="BS13" s="63" t="e">
        <f t="shared" ref="BS13" si="54">BS5*BS11*(1-BS6)+BS9*BS12</f>
        <v>#DIV/0!</v>
      </c>
      <c r="BT13" s="63" t="e">
        <f t="shared" ref="BT13" si="55">BT5*BT11*(1-BT6)+BT9*BT12</f>
        <v>#DIV/0!</v>
      </c>
      <c r="BU13" s="63" t="e">
        <f t="shared" ref="BU13" si="56">BU5*BU11*(1-BU6)+BU9*BU12</f>
        <v>#DIV/0!</v>
      </c>
      <c r="BV13" s="63" t="e">
        <f t="shared" ref="BV13" si="57">BV5*BV11*(1-BV6)+BV9*BV12</f>
        <v>#DIV/0!</v>
      </c>
    </row>
    <row r="14" spans="1:74" s="16" customFormat="1" ht="56.4" customHeight="1" x14ac:dyDescent="0.25">
      <c r="A14" s="279" t="s">
        <v>669</v>
      </c>
      <c r="B14" s="278"/>
      <c r="C14" s="278"/>
      <c r="D14" s="278"/>
      <c r="E14" s="278"/>
      <c r="F14" s="278"/>
      <c r="G14" s="278"/>
      <c r="H14" s="278"/>
      <c r="I14" s="278"/>
      <c r="J14" s="278"/>
      <c r="K14" s="278"/>
      <c r="L14" s="278"/>
      <c r="M14" s="278"/>
      <c r="N14" s="278"/>
      <c r="O14" s="278"/>
      <c r="P14" s="278"/>
      <c r="Q14" s="278"/>
      <c r="R14" s="278"/>
      <c r="S14" s="278"/>
      <c r="T14" s="278"/>
      <c r="U14" s="278"/>
      <c r="V14" s="278"/>
      <c r="W14" s="278"/>
      <c r="X14" s="278"/>
      <c r="Y14" s="278"/>
      <c r="Z14" s="278"/>
      <c r="AA14" s="278"/>
      <c r="AB14" s="278"/>
      <c r="AC14" s="278"/>
      <c r="AD14" s="278"/>
      <c r="AE14" s="278"/>
      <c r="AF14" s="278"/>
      <c r="AG14" s="278"/>
    </row>
    <row r="16" spans="1:74" s="45" customFormat="1" x14ac:dyDescent="0.25">
      <c r="A16" s="46" t="s">
        <v>334</v>
      </c>
      <c r="E16" s="45">
        <f>(股东权益回报率分析表!E14+股东权益回报率分析表!I14+股东权益回报率分析表!M14)/3</f>
        <v>0.28366774648254017</v>
      </c>
    </row>
  </sheetData>
  <mergeCells count="1">
    <mergeCell ref="A14:AG14"/>
  </mergeCells>
  <phoneticPr fontId="1"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workbookViewId="0">
      <selection activeCell="E45" sqref="E45"/>
    </sheetView>
  </sheetViews>
  <sheetFormatPr defaultRowHeight="14.4" x14ac:dyDescent="0.25"/>
  <cols>
    <col min="1" max="1" width="37.33203125" style="17" bestFit="1" customWidth="1"/>
    <col min="2" max="4" width="9.5546875" hidden="1" customWidth="1"/>
    <col min="5" max="5" width="22.6640625" bestFit="1" customWidth="1"/>
    <col min="6" max="8" width="22.6640625" hidden="1" customWidth="1"/>
    <col min="9" max="9" width="22.6640625" bestFit="1" customWidth="1"/>
    <col min="10" max="12" width="22.6640625" hidden="1" customWidth="1"/>
    <col min="13" max="13" width="22.6640625" bestFit="1" customWidth="1"/>
    <col min="14" max="16" width="22.6640625" hidden="1" customWidth="1"/>
    <col min="17" max="17" width="22.6640625" bestFit="1" customWidth="1"/>
    <col min="18" max="20" width="22.6640625" hidden="1" customWidth="1"/>
    <col min="21" max="21" width="22.6640625" bestFit="1" customWidth="1"/>
    <col min="22" max="22" width="22.6640625" hidden="1" customWidth="1"/>
    <col min="23" max="24" width="21.44140625" hidden="1" customWidth="1"/>
    <col min="25" max="25" width="21.44140625" bestFit="1" customWidth="1"/>
    <col min="26" max="28" width="21.44140625" hidden="1" customWidth="1"/>
    <col min="29" max="29" width="21.44140625" bestFit="1" customWidth="1"/>
    <col min="30" max="32" width="21.44140625" hidden="1" customWidth="1"/>
    <col min="33" max="33" width="21.44140625" bestFit="1" customWidth="1"/>
    <col min="34" max="36" width="21.44140625" hidden="1" customWidth="1"/>
    <col min="37" max="37" width="21.44140625" bestFit="1" customWidth="1"/>
    <col min="38" max="39" width="19" bestFit="1" customWidth="1"/>
    <col min="40" max="40" width="9.5546875" hidden="1" customWidth="1"/>
    <col min="41" max="90" width="8.5546875" bestFit="1" customWidth="1"/>
  </cols>
  <sheetData>
    <row r="1" spans="1:90" s="26" customFormat="1" x14ac:dyDescent="0.25">
      <c r="A1" s="17">
        <v>2415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39813</v>
      </c>
      <c r="AM1" s="1">
        <v>39447</v>
      </c>
      <c r="AN1" s="1">
        <v>25569</v>
      </c>
      <c r="AO1" s="190"/>
      <c r="AP1" s="190"/>
      <c r="AQ1" s="190"/>
      <c r="AR1" s="190"/>
      <c r="AS1" s="190"/>
      <c r="AT1" s="190"/>
      <c r="AU1" s="190"/>
      <c r="AV1" s="190"/>
      <c r="AW1" s="190"/>
      <c r="AX1" s="190"/>
      <c r="AY1" s="190"/>
      <c r="AZ1" s="190"/>
      <c r="BA1" s="190"/>
      <c r="BB1" s="190"/>
      <c r="BC1" s="190"/>
      <c r="BD1" s="190"/>
      <c r="BE1" s="190"/>
      <c r="BF1" s="190"/>
      <c r="BG1" s="190"/>
      <c r="BH1" s="190"/>
      <c r="BI1" s="190"/>
      <c r="BJ1" s="190"/>
      <c r="BK1" s="190"/>
      <c r="BL1" s="190"/>
      <c r="BM1" s="190"/>
      <c r="BN1" s="190"/>
      <c r="BO1" s="190"/>
      <c r="BP1" s="190"/>
      <c r="BQ1" s="190"/>
      <c r="BR1" s="190"/>
      <c r="BS1" s="190"/>
      <c r="BT1" s="190"/>
      <c r="BU1" s="190"/>
      <c r="BV1" s="190"/>
      <c r="BW1" s="190"/>
      <c r="BX1" s="190"/>
      <c r="BY1" s="190"/>
      <c r="BZ1" s="190"/>
      <c r="CA1" s="190"/>
      <c r="CB1" s="190"/>
      <c r="CC1" s="190"/>
      <c r="CD1" s="190"/>
      <c r="CE1" s="190"/>
      <c r="CF1" s="190"/>
      <c r="CG1" s="190"/>
      <c r="CH1" s="190"/>
      <c r="CI1" s="190"/>
      <c r="CJ1" s="190"/>
      <c r="CK1" s="190"/>
      <c r="CL1" s="190"/>
    </row>
    <row r="2" spans="1:90" s="26" customFormat="1" x14ac:dyDescent="0.25">
      <c r="A2" s="41" t="s">
        <v>553</v>
      </c>
      <c r="E2" s="26">
        <f>资产资本表!E17</f>
        <v>16759998173.18</v>
      </c>
      <c r="F2" s="26">
        <f>资产资本表!F17</f>
        <v>13467903042.66</v>
      </c>
      <c r="G2" s="26">
        <f>资产资本表!G17</f>
        <v>13466486552.66</v>
      </c>
      <c r="H2" s="26">
        <f>资产资本表!H17</f>
        <v>16504776329.720001</v>
      </c>
      <c r="I2" s="26">
        <f>资产资本表!I17</f>
        <v>13934376704.52</v>
      </c>
      <c r="J2" s="26">
        <f>资产资本表!J17</f>
        <v>12433800144.74</v>
      </c>
      <c r="K2" s="26">
        <f>资产资本表!K17</f>
        <v>10273876308.09</v>
      </c>
      <c r="L2" s="26">
        <f>资产资本表!L17</f>
        <v>9425032714.3999996</v>
      </c>
      <c r="M2" s="26">
        <f>资产资本表!M17</f>
        <v>10168694380.710001</v>
      </c>
      <c r="N2" s="26">
        <f>资产资本表!N17</f>
        <v>6902052459.75</v>
      </c>
      <c r="O2" s="26">
        <f>资产资本表!O17</f>
        <v>6330184019.7399998</v>
      </c>
      <c r="P2" s="26">
        <f>资产资本表!P17</f>
        <v>6237116316.2700005</v>
      </c>
      <c r="Q2" s="26">
        <f>资产资本表!Q17</f>
        <v>7203296191.9299994</v>
      </c>
      <c r="R2" s="26">
        <f>资产资本表!R17</f>
        <v>3503187327.3699999</v>
      </c>
      <c r="S2" s="26">
        <f>资产资本表!S17</f>
        <v>4093778211.8600001</v>
      </c>
      <c r="T2" s="26">
        <f>资产资本表!T17</f>
        <v>3763070125.4200001</v>
      </c>
      <c r="U2" s="26">
        <f>资产资本表!U17</f>
        <v>4592606345.6000004</v>
      </c>
      <c r="V2" s="26">
        <f>资产资本表!V17</f>
        <v>5214045859.7299995</v>
      </c>
      <c r="W2" s="26">
        <f>资产资本表!W17</f>
        <v>5526592322.7799997</v>
      </c>
      <c r="X2" s="26">
        <f>资产资本表!X17</f>
        <v>5177822598.3100004</v>
      </c>
      <c r="Y2" s="26">
        <f>资产资本表!Y17</f>
        <v>5834759469.1999998</v>
      </c>
      <c r="Z2" s="26">
        <f>资产资本表!Z17</f>
        <v>4643066329.4399996</v>
      </c>
      <c r="AA2" s="26">
        <f>资产资本表!AA17</f>
        <v>4592336693.79</v>
      </c>
      <c r="AB2" s="26">
        <f>资产资本表!AB17</f>
        <v>4700147603.8900003</v>
      </c>
      <c r="AC2" s="26">
        <f>资产资本表!AC17</f>
        <v>5244489946.3900003</v>
      </c>
      <c r="AD2" s="26">
        <f>资产资本表!AD17</f>
        <v>4128046202.0700002</v>
      </c>
      <c r="AE2" s="26">
        <f>资产资本表!AE17</f>
        <v>4191087673.9699998</v>
      </c>
      <c r="AF2" s="26">
        <f>资产资本表!AF17</f>
        <v>4380487688.2799997</v>
      </c>
      <c r="AG2" s="26">
        <f>资产资本表!AG17</f>
        <v>4649956978.1499996</v>
      </c>
      <c r="AH2" s="26">
        <f>资产资本表!AH17</f>
        <v>3813886974.6799998</v>
      </c>
      <c r="AI2" s="26">
        <f>资产资本表!AI17</f>
        <v>4143895458.0500002</v>
      </c>
      <c r="AJ2" s="26">
        <f>资产资本表!AJ17</f>
        <v>762411039.29999995</v>
      </c>
      <c r="AK2" s="26">
        <f>资产资本表!AK17</f>
        <v>1148562390.8499999</v>
      </c>
      <c r="AL2" s="26">
        <f>资产资本表!AL17</f>
        <v>844381117.83000004</v>
      </c>
      <c r="AM2" s="26">
        <f>资产资本表!AM17</f>
        <v>448714996.70999998</v>
      </c>
      <c r="AN2" s="26">
        <f>资产资本表!AN17</f>
        <v>0</v>
      </c>
      <c r="AO2" s="26">
        <f>资产资本表!AO17</f>
        <v>0</v>
      </c>
      <c r="AP2" s="26">
        <f>资产资本表!AP17</f>
        <v>0</v>
      </c>
      <c r="AQ2" s="26">
        <f>资产资本表!AQ17</f>
        <v>0</v>
      </c>
      <c r="AR2" s="26">
        <f>资产资本表!AR17</f>
        <v>0</v>
      </c>
      <c r="AS2" s="26">
        <f>资产资本表!AS17</f>
        <v>0</v>
      </c>
      <c r="AT2" s="26">
        <f>资产资本表!AT17</f>
        <v>0</v>
      </c>
      <c r="AU2" s="26">
        <f>资产资本表!AU17</f>
        <v>0</v>
      </c>
      <c r="AV2" s="26">
        <f>资产资本表!AV17</f>
        <v>0</v>
      </c>
      <c r="AW2" s="26">
        <f>资产资本表!AW17</f>
        <v>0</v>
      </c>
      <c r="AX2" s="26">
        <f>资产资本表!AX17</f>
        <v>0</v>
      </c>
      <c r="AY2" s="26">
        <f>资产资本表!AY17</f>
        <v>0</v>
      </c>
      <c r="AZ2" s="26">
        <f>资产资本表!AZ17</f>
        <v>0</v>
      </c>
      <c r="BA2" s="26">
        <f>资产资本表!BA17</f>
        <v>0</v>
      </c>
      <c r="BB2" s="26">
        <f>资产资本表!BB17</f>
        <v>0</v>
      </c>
      <c r="BC2" s="26">
        <f>资产资本表!BC17</f>
        <v>0</v>
      </c>
      <c r="BD2" s="26">
        <f>资产资本表!BD17</f>
        <v>0</v>
      </c>
      <c r="BE2" s="26">
        <f>资产资本表!BE17</f>
        <v>0</v>
      </c>
      <c r="BF2" s="26">
        <f>资产资本表!BF17</f>
        <v>0</v>
      </c>
      <c r="BG2" s="26">
        <f>资产资本表!BG17</f>
        <v>0</v>
      </c>
      <c r="BH2" s="26">
        <f>资产资本表!BH17</f>
        <v>0</v>
      </c>
      <c r="BI2" s="26">
        <f>资产资本表!BI17</f>
        <v>0</v>
      </c>
      <c r="BJ2" s="26">
        <f>资产资本表!BJ17</f>
        <v>0</v>
      </c>
      <c r="BK2" s="26">
        <f>资产资本表!BK17</f>
        <v>0</v>
      </c>
      <c r="BL2" s="26">
        <f>资产资本表!BL17</f>
        <v>0</v>
      </c>
      <c r="BM2" s="26">
        <f>资产资本表!BM17</f>
        <v>0</v>
      </c>
      <c r="BN2" s="26">
        <f>资产资本表!BN17</f>
        <v>0</v>
      </c>
      <c r="BO2" s="26">
        <f>资产资本表!BO17</f>
        <v>0</v>
      </c>
      <c r="BP2" s="26">
        <f>资产资本表!BP17</f>
        <v>0</v>
      </c>
      <c r="BQ2" s="26">
        <f>资产资本表!BQ17</f>
        <v>0</v>
      </c>
      <c r="BR2" s="26">
        <f>资产资本表!BR17</f>
        <v>0</v>
      </c>
      <c r="BS2" s="26">
        <f>资产资本表!BS17</f>
        <v>0</v>
      </c>
      <c r="BT2" s="26">
        <f>资产资本表!BT17</f>
        <v>0</v>
      </c>
      <c r="BU2" s="26">
        <f>资产资本表!BU17</f>
        <v>0</v>
      </c>
      <c r="BV2" s="26">
        <f>资产资本表!BV17</f>
        <v>0</v>
      </c>
      <c r="BW2" s="26">
        <f>资产资本表!BW17</f>
        <v>0</v>
      </c>
      <c r="BX2" s="26">
        <f>资产资本表!BX17</f>
        <v>0</v>
      </c>
      <c r="BY2" s="26">
        <f>资产资本表!BY17</f>
        <v>0</v>
      </c>
      <c r="BZ2" s="26">
        <f>资产资本表!BZ17</f>
        <v>0</v>
      </c>
      <c r="CA2" s="26">
        <f>资产资本表!CA17</f>
        <v>0</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41" t="s">
        <v>554</v>
      </c>
      <c r="E3" s="26">
        <f>资产资本表!E19</f>
        <v>130474733.58</v>
      </c>
      <c r="F3" s="26">
        <f>资产资本表!F19</f>
        <v>124385439.20999999</v>
      </c>
      <c r="G3" s="26">
        <f>资产资本表!G19</f>
        <v>129122297.95</v>
      </c>
      <c r="H3" s="26">
        <f>资产资本表!H19</f>
        <v>80000000</v>
      </c>
      <c r="I3" s="26">
        <f>资产资本表!I19</f>
        <v>35000000</v>
      </c>
      <c r="J3" s="26">
        <f>资产资本表!J19</f>
        <v>0</v>
      </c>
      <c r="K3" s="26">
        <f>资产资本表!K19</f>
        <v>0</v>
      </c>
      <c r="L3" s="26">
        <f>资产资本表!L19</f>
        <v>0</v>
      </c>
      <c r="M3" s="26">
        <f>资产资本表!M19</f>
        <v>0</v>
      </c>
      <c r="N3" s="26">
        <f>资产资本表!N19</f>
        <v>0</v>
      </c>
      <c r="O3" s="26">
        <f>资产资本表!O19</f>
        <v>0</v>
      </c>
      <c r="P3" s="26">
        <f>资产资本表!P19</f>
        <v>0</v>
      </c>
      <c r="Q3" s="26">
        <f>资产资本表!Q19</f>
        <v>0</v>
      </c>
      <c r="R3" s="26">
        <f>资产资本表!R19</f>
        <v>51079.89</v>
      </c>
      <c r="S3" s="26">
        <f>资产资本表!S19</f>
        <v>655392.89</v>
      </c>
      <c r="T3" s="26">
        <f>资产资本表!T19</f>
        <v>1008054.3</v>
      </c>
      <c r="U3" s="26">
        <f>资产资本表!U19</f>
        <v>1008054.3</v>
      </c>
      <c r="V3" s="26">
        <f>资产资本表!V19</f>
        <v>1092280.75</v>
      </c>
      <c r="W3" s="26">
        <f>资产资本表!W19</f>
        <v>1248159.28</v>
      </c>
      <c r="X3" s="26">
        <f>资产资本表!X19</f>
        <v>1368501.12</v>
      </c>
      <c r="Y3" s="26">
        <f>资产资本表!Y19</f>
        <v>1462726.94</v>
      </c>
      <c r="Z3" s="26">
        <f>资产资本表!Z19</f>
        <v>1661600.83</v>
      </c>
      <c r="AA3" s="26">
        <f>资产资本表!AA19</f>
        <v>1661600.83</v>
      </c>
      <c r="AB3" s="26">
        <f>资产资本表!AB19</f>
        <v>604313</v>
      </c>
      <c r="AC3" s="26">
        <f>资产资本表!AC19</f>
        <v>604313</v>
      </c>
      <c r="AD3" s="26">
        <f>资产资本表!AD19</f>
        <v>604313</v>
      </c>
      <c r="AE3" s="26">
        <f>资产资本表!AE19</f>
        <v>604313</v>
      </c>
      <c r="AF3" s="26">
        <f>资产资本表!AF19</f>
        <v>604313</v>
      </c>
      <c r="AG3" s="26">
        <f>资产资本表!AG19</f>
        <v>14009211.65</v>
      </c>
      <c r="AH3" s="26">
        <f>资产资本表!AH19</f>
        <v>10164536.99</v>
      </c>
      <c r="AI3" s="26">
        <f>资产资本表!AI19</f>
        <v>10164536.99</v>
      </c>
      <c r="AJ3" s="26">
        <f>资产资本表!AJ19</f>
        <v>10664509.92</v>
      </c>
      <c r="AK3" s="26">
        <f>资产资本表!AK19</f>
        <v>10664509.92</v>
      </c>
      <c r="AL3" s="26">
        <f>资产资本表!AL19</f>
        <v>16197844.17</v>
      </c>
      <c r="AM3" s="26">
        <f>资产资本表!AM19</f>
        <v>0</v>
      </c>
      <c r="AN3" s="26">
        <f>资产资本表!AN19</f>
        <v>0</v>
      </c>
      <c r="AO3" s="26">
        <f>资产资本表!AO19</f>
        <v>0</v>
      </c>
      <c r="AP3" s="26">
        <f>资产资本表!AP19</f>
        <v>0</v>
      </c>
      <c r="AQ3" s="26">
        <f>资产资本表!AQ19</f>
        <v>0</v>
      </c>
      <c r="AR3" s="26">
        <f>资产资本表!AR19</f>
        <v>0</v>
      </c>
      <c r="AS3" s="26">
        <f>资产资本表!AS19</f>
        <v>0</v>
      </c>
      <c r="AT3" s="26">
        <f>资产资本表!AT19</f>
        <v>0</v>
      </c>
      <c r="AU3" s="26">
        <f>资产资本表!AU19</f>
        <v>0</v>
      </c>
      <c r="AV3" s="26">
        <f>资产资本表!AV19</f>
        <v>0</v>
      </c>
      <c r="AW3" s="26">
        <f>资产资本表!AW19</f>
        <v>0</v>
      </c>
      <c r="AX3" s="26">
        <f>资产资本表!AX19</f>
        <v>0</v>
      </c>
      <c r="AY3" s="26">
        <f>资产资本表!AY19</f>
        <v>0</v>
      </c>
      <c r="AZ3" s="26">
        <f>资产资本表!AZ19</f>
        <v>0</v>
      </c>
      <c r="BA3" s="26">
        <f>资产资本表!BA19</f>
        <v>0</v>
      </c>
      <c r="BB3" s="26">
        <f>资产资本表!BB19</f>
        <v>0</v>
      </c>
      <c r="BC3" s="26">
        <f>资产资本表!BC19</f>
        <v>0</v>
      </c>
      <c r="BD3" s="26">
        <f>资产资本表!BD19</f>
        <v>0</v>
      </c>
      <c r="BE3" s="26">
        <f>资产资本表!BE19</f>
        <v>0</v>
      </c>
      <c r="BF3" s="26">
        <f>资产资本表!BF19</f>
        <v>0</v>
      </c>
      <c r="BG3" s="26">
        <f>资产资本表!BG19</f>
        <v>0</v>
      </c>
      <c r="BH3" s="26">
        <f>资产资本表!BH19</f>
        <v>0</v>
      </c>
      <c r="BI3" s="26">
        <f>资产资本表!BI19</f>
        <v>0</v>
      </c>
      <c r="BJ3" s="26">
        <f>资产资本表!BJ19</f>
        <v>0</v>
      </c>
      <c r="BK3" s="26">
        <f>资产资本表!BK19</f>
        <v>0</v>
      </c>
      <c r="BL3" s="26">
        <f>资产资本表!BL19</f>
        <v>0</v>
      </c>
      <c r="BM3" s="26">
        <f>资产资本表!BM19</f>
        <v>0</v>
      </c>
      <c r="BN3" s="26">
        <f>资产资本表!BN19</f>
        <v>0</v>
      </c>
      <c r="BO3" s="26">
        <f>资产资本表!BO19</f>
        <v>0</v>
      </c>
      <c r="BP3" s="26">
        <f>资产资本表!BP19</f>
        <v>0</v>
      </c>
      <c r="BQ3" s="26">
        <f>资产资本表!BQ19</f>
        <v>0</v>
      </c>
      <c r="BR3" s="26">
        <f>资产资本表!BR19</f>
        <v>0</v>
      </c>
      <c r="BS3" s="26">
        <f>资产资本表!BS19</f>
        <v>0</v>
      </c>
      <c r="BT3" s="26">
        <f>资产资本表!BT19</f>
        <v>0</v>
      </c>
      <c r="BU3" s="26">
        <f>资产资本表!BU19</f>
        <v>0</v>
      </c>
      <c r="BV3" s="26">
        <f>资产资本表!BV19</f>
        <v>0</v>
      </c>
      <c r="BW3" s="26">
        <f>资产资本表!BW19</f>
        <v>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559</v>
      </c>
      <c r="E4" s="26">
        <f>资产资本表!E50</f>
        <v>12668063093.030005</v>
      </c>
      <c r="F4" s="26">
        <f>资产资本表!F50</f>
        <v>14299510589.690001</v>
      </c>
      <c r="G4" s="26">
        <f>资产资本表!G50</f>
        <v>13068983769.770006</v>
      </c>
      <c r="H4" s="26">
        <f>资产资本表!H50</f>
        <v>12481601220.809998</v>
      </c>
      <c r="I4" s="26">
        <f>资产资本表!I50</f>
        <v>11135313251.660002</v>
      </c>
      <c r="J4" s="26">
        <f>资产资本表!J50</f>
        <v>9557304346.7800026</v>
      </c>
      <c r="K4" s="26">
        <f>资产资本表!K50</f>
        <v>9082305646.5499973</v>
      </c>
      <c r="L4" s="26">
        <f>资产资本表!L50</f>
        <v>11854189305.5</v>
      </c>
      <c r="M4" s="26">
        <f>资产资本表!M50</f>
        <v>7912306120.9000015</v>
      </c>
      <c r="N4" s="26">
        <f>资产资本表!N50</f>
        <v>9458413446.579998</v>
      </c>
      <c r="O4" s="26">
        <f>资产资本表!O50</f>
        <v>9386164083.9899998</v>
      </c>
      <c r="P4" s="26">
        <f>资产资本表!P50</f>
        <v>8647148858.7200012</v>
      </c>
      <c r="Q4" s="26">
        <f>资产资本表!Q50</f>
        <v>6232294623.1800003</v>
      </c>
      <c r="R4" s="26">
        <f>资产资本表!R50</f>
        <v>8370661298.3799992</v>
      </c>
      <c r="S4" s="26">
        <f>资产资本表!S50</f>
        <v>7671693616.789999</v>
      </c>
      <c r="T4" s="26">
        <f>资产资本表!T50</f>
        <v>7091197137.9099998</v>
      </c>
      <c r="U4" s="26">
        <f>资产资本表!U50</f>
        <v>5254111890.960001</v>
      </c>
      <c r="V4" s="26">
        <f>资产资本表!V50</f>
        <v>3305255057.9100008</v>
      </c>
      <c r="W4" s="26">
        <f>资产资本表!W50</f>
        <v>2796437386.019999</v>
      </c>
      <c r="X4" s="26">
        <f>资产资本表!X50</f>
        <v>2709102513.9800005</v>
      </c>
      <c r="Y4" s="26">
        <f>资产资本表!Y50</f>
        <v>1553573354.7200003</v>
      </c>
      <c r="Z4" s="26">
        <f>资产资本表!Z50</f>
        <v>2113203971.3199999</v>
      </c>
      <c r="AA4" s="26">
        <f>资产资本表!AA50</f>
        <v>1666015751.1700001</v>
      </c>
      <c r="AB4" s="26">
        <f>资产资本表!AB50</f>
        <v>1652215606.3299997</v>
      </c>
      <c r="AC4" s="26">
        <f>资产资本表!AC50</f>
        <v>757038413.9599998</v>
      </c>
      <c r="AD4" s="26">
        <f>资产资本表!AD50</f>
        <v>1388708922.1499996</v>
      </c>
      <c r="AE4" s="26">
        <f>资产资本表!AE50</f>
        <v>1035677611.7900001</v>
      </c>
      <c r="AF4" s="26">
        <f>资产资本表!AF50</f>
        <v>915037064.71000004</v>
      </c>
      <c r="AG4" s="26">
        <f>资产资本表!AG50</f>
        <v>469175270.18999994</v>
      </c>
      <c r="AH4" s="26">
        <f>资产资本表!AH50</f>
        <v>990505245.7299999</v>
      </c>
      <c r="AI4" s="26">
        <f>资产资本表!AI50</f>
        <v>702468936.47000003</v>
      </c>
      <c r="AJ4" s="26">
        <f>资产资本表!AJ50</f>
        <v>660502919.30000007</v>
      </c>
      <c r="AK4" s="26">
        <f>资产资本表!AK50</f>
        <v>93334650.730000019</v>
      </c>
      <c r="AL4" s="26">
        <f>资产资本表!AL50</f>
        <v>26093952.389999986</v>
      </c>
      <c r="AM4" s="26">
        <f>资产资本表!AM50</f>
        <v>116722259.65000001</v>
      </c>
      <c r="AN4" s="26">
        <f>资产资本表!AN50</f>
        <v>0</v>
      </c>
      <c r="AO4" s="26">
        <f>资产资本表!AO50</f>
        <v>0</v>
      </c>
      <c r="AP4" s="26">
        <f>资产资本表!AP50</f>
        <v>0</v>
      </c>
      <c r="AQ4" s="26">
        <f>资产资本表!AQ50</f>
        <v>0</v>
      </c>
      <c r="AR4" s="26">
        <f>资产资本表!AR50</f>
        <v>0</v>
      </c>
      <c r="AS4" s="26">
        <f>资产资本表!AS50</f>
        <v>0</v>
      </c>
      <c r="AT4" s="26">
        <f>资产资本表!AT50</f>
        <v>0</v>
      </c>
      <c r="AU4" s="26">
        <f>资产资本表!AU50</f>
        <v>0</v>
      </c>
      <c r="AV4" s="26">
        <f>资产资本表!AV50</f>
        <v>0</v>
      </c>
      <c r="AW4" s="26">
        <f>资产资本表!AW50</f>
        <v>0</v>
      </c>
      <c r="AX4" s="26">
        <f>资产资本表!AX50</f>
        <v>0</v>
      </c>
      <c r="AY4" s="26">
        <f>资产资本表!AY50</f>
        <v>0</v>
      </c>
      <c r="AZ4" s="26">
        <f>资产资本表!AZ50</f>
        <v>0</v>
      </c>
      <c r="BA4" s="26">
        <f>资产资本表!BA50</f>
        <v>0</v>
      </c>
      <c r="BB4" s="26">
        <f>资产资本表!BB50</f>
        <v>0</v>
      </c>
      <c r="BC4" s="26">
        <f>资产资本表!BC50</f>
        <v>0</v>
      </c>
      <c r="BD4" s="26">
        <f>资产资本表!BD50</f>
        <v>0</v>
      </c>
      <c r="BE4" s="26">
        <f>资产资本表!BE50</f>
        <v>0</v>
      </c>
      <c r="BF4" s="26">
        <f>资产资本表!BF50</f>
        <v>0</v>
      </c>
      <c r="BG4" s="26">
        <f>资产资本表!BG50</f>
        <v>0</v>
      </c>
      <c r="BH4" s="26">
        <f>资产资本表!BH50</f>
        <v>0</v>
      </c>
      <c r="BI4" s="26">
        <f>资产资本表!BI50</f>
        <v>0</v>
      </c>
      <c r="BJ4" s="26">
        <f>资产资本表!BJ50</f>
        <v>0</v>
      </c>
      <c r="BK4" s="26">
        <f>资产资本表!BK50</f>
        <v>0</v>
      </c>
      <c r="BL4" s="26">
        <f>资产资本表!BL50</f>
        <v>0</v>
      </c>
      <c r="BM4" s="26">
        <f>资产资本表!BM50</f>
        <v>0</v>
      </c>
      <c r="BN4" s="26">
        <f>资产资本表!BN50</f>
        <v>0</v>
      </c>
      <c r="BO4" s="26">
        <f>资产资本表!BO50</f>
        <v>0</v>
      </c>
      <c r="BP4" s="26">
        <f>资产资本表!BP50</f>
        <v>0</v>
      </c>
      <c r="BQ4" s="26">
        <f>资产资本表!BQ50</f>
        <v>0</v>
      </c>
      <c r="BR4" s="26">
        <f>资产资本表!BR50</f>
        <v>0</v>
      </c>
      <c r="BS4" s="26">
        <f>资产资本表!BS50</f>
        <v>0</v>
      </c>
      <c r="BT4" s="26">
        <f>资产资本表!BT50</f>
        <v>0</v>
      </c>
      <c r="BU4" s="26">
        <f>资产资本表!BU50</f>
        <v>0</v>
      </c>
      <c r="BV4" s="26">
        <f>资产资本表!BV50</f>
        <v>0</v>
      </c>
      <c r="BW4" s="26">
        <f>资产资本表!BW50</f>
        <v>0</v>
      </c>
      <c r="BX4" s="26">
        <f>资产资本表!BX50</f>
        <v>0</v>
      </c>
      <c r="BY4" s="26">
        <f>资产资本表!BY50</f>
        <v>0</v>
      </c>
      <c r="BZ4" s="26">
        <f>资产资本表!BZ50</f>
        <v>0</v>
      </c>
      <c r="CA4" s="26">
        <f>资产资本表!CA50</f>
        <v>0</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335</v>
      </c>
      <c r="E5" s="26">
        <f>资产资本表!E33</f>
        <v>28204153542.020004</v>
      </c>
      <c r="F5" s="26">
        <f>资产资本表!F33</f>
        <v>25444851516.549999</v>
      </c>
      <c r="G5" s="26">
        <f>资产资本表!G33</f>
        <v>23094168850.430004</v>
      </c>
      <c r="H5" s="26">
        <f>资产资本表!H33</f>
        <v>21636583141.329998</v>
      </c>
      <c r="I5" s="26">
        <f>资产资本表!I33</f>
        <v>23124529343.690002</v>
      </c>
      <c r="J5" s="26">
        <f>资产资本表!J33</f>
        <v>19912090168.790005</v>
      </c>
      <c r="K5" s="26">
        <f>资产资本表!K33</f>
        <v>17727399328.649998</v>
      </c>
      <c r="L5" s="26">
        <f>资产资本表!L33</f>
        <v>18073012958.279999</v>
      </c>
      <c r="M5" s="26">
        <f>资产资本表!M33</f>
        <v>16675599423.5</v>
      </c>
      <c r="N5" s="26">
        <f>资产资本表!N33</f>
        <v>15564107619.589998</v>
      </c>
      <c r="O5" s="26">
        <f>资产资本表!O33</f>
        <v>14254439780.470001</v>
      </c>
      <c r="P5" s="26">
        <f>资产资本表!P33</f>
        <v>12928156709.01</v>
      </c>
      <c r="Q5" s="26">
        <f>资产资本表!Q33</f>
        <v>11992516954.33</v>
      </c>
      <c r="R5" s="26">
        <f>资产资本表!R33</f>
        <v>11879170969.129999</v>
      </c>
      <c r="S5" s="26">
        <f>资产资本表!S33</f>
        <v>10599406179.57</v>
      </c>
      <c r="T5" s="26">
        <f>资产资本表!T33</f>
        <v>9107024872.1900005</v>
      </c>
      <c r="U5" s="26">
        <f>资产资本表!U33</f>
        <v>7891115722.8900003</v>
      </c>
      <c r="V5" s="26">
        <f>资产资本表!V33</f>
        <v>5533335437.2400007</v>
      </c>
      <c r="W5" s="26">
        <f>资产资本表!W33</f>
        <v>4426450813.1699991</v>
      </c>
      <c r="X5" s="26">
        <f>资产资本表!X33</f>
        <v>3877681384.0700002</v>
      </c>
      <c r="Y5" s="26">
        <f>资产资本表!Y33</f>
        <v>3448640743.71</v>
      </c>
      <c r="Z5" s="26">
        <f>资产资本表!Z33</f>
        <v>3504000273.3400002</v>
      </c>
      <c r="AA5" s="26">
        <f>资产资本表!AA33</f>
        <v>2849722976.02</v>
      </c>
      <c r="AB5" s="26">
        <f>资产资本表!AB33</f>
        <v>2585127085.8399997</v>
      </c>
      <c r="AC5" s="26">
        <f>资产资本表!AC33</f>
        <v>2265017473.6499996</v>
      </c>
      <c r="AD5" s="26">
        <f>资产资本表!AD33</f>
        <v>2325661099.3599997</v>
      </c>
      <c r="AE5" s="26">
        <f>资产资本表!AE33</f>
        <v>1899135947.1100001</v>
      </c>
      <c r="AF5" s="26">
        <f>资产资本表!AF33</f>
        <v>1598341034.6700001</v>
      </c>
      <c r="AG5" s="26">
        <f>资产资本表!AG33</f>
        <v>1335470003.0699999</v>
      </c>
      <c r="AH5" s="26">
        <f>资产资本表!AH33</f>
        <v>1480052944.05</v>
      </c>
      <c r="AI5" s="26">
        <f>资产资本表!AI33</f>
        <v>1275048521.9400001</v>
      </c>
      <c r="AJ5" s="26">
        <f>资产资本表!AJ33</f>
        <v>1069198218.34</v>
      </c>
      <c r="AK5" s="26">
        <f>资产资本表!AK33</f>
        <v>725022431.72000003</v>
      </c>
      <c r="AL5" s="26">
        <f>资产资本表!AL33</f>
        <v>417714082.44</v>
      </c>
      <c r="AM5" s="26">
        <f>资产资本表!AM33</f>
        <v>365584354.30000001</v>
      </c>
      <c r="AN5" s="26">
        <f>资产资本表!AN33</f>
        <v>0</v>
      </c>
      <c r="AO5" s="26">
        <f>资产资本表!AO33</f>
        <v>0</v>
      </c>
      <c r="AP5" s="26">
        <f>资产资本表!AP33</f>
        <v>0</v>
      </c>
      <c r="AQ5" s="26">
        <f>资产资本表!AQ33</f>
        <v>0</v>
      </c>
      <c r="AR5" s="26">
        <f>资产资本表!AR33</f>
        <v>0</v>
      </c>
      <c r="AS5" s="26">
        <f>资产资本表!AS33</f>
        <v>0</v>
      </c>
      <c r="AT5" s="26">
        <f>资产资本表!AT33</f>
        <v>0</v>
      </c>
      <c r="AU5" s="26">
        <f>资产资本表!AU33</f>
        <v>0</v>
      </c>
      <c r="AV5" s="26">
        <f>资产资本表!AV33</f>
        <v>0</v>
      </c>
      <c r="AW5" s="26">
        <f>资产资本表!AW33</f>
        <v>0</v>
      </c>
      <c r="AX5" s="26">
        <f>资产资本表!AX33</f>
        <v>0</v>
      </c>
      <c r="AY5" s="26">
        <f>资产资本表!AY33</f>
        <v>0</v>
      </c>
      <c r="AZ5" s="26">
        <f>资产资本表!AZ33</f>
        <v>0</v>
      </c>
      <c r="BA5" s="26">
        <f>资产资本表!BA33</f>
        <v>0</v>
      </c>
      <c r="BB5" s="26">
        <f>资产资本表!BB33</f>
        <v>0</v>
      </c>
      <c r="BC5" s="26">
        <f>资产资本表!BC33</f>
        <v>0</v>
      </c>
      <c r="BD5" s="26">
        <f>资产资本表!BD33</f>
        <v>0</v>
      </c>
      <c r="BE5" s="26">
        <f>资产资本表!BE33</f>
        <v>0</v>
      </c>
      <c r="BF5" s="26">
        <f>资产资本表!BF33</f>
        <v>0</v>
      </c>
      <c r="BG5" s="26">
        <f>资产资本表!BG33</f>
        <v>0</v>
      </c>
      <c r="BH5" s="26">
        <f>资产资本表!BH33</f>
        <v>0</v>
      </c>
      <c r="BI5" s="26">
        <f>资产资本表!BI33</f>
        <v>0</v>
      </c>
      <c r="BJ5" s="26">
        <f>资产资本表!BJ33</f>
        <v>0</v>
      </c>
      <c r="BK5" s="26">
        <f>资产资本表!BK33</f>
        <v>0</v>
      </c>
      <c r="BL5" s="26">
        <f>资产资本表!BL33</f>
        <v>0</v>
      </c>
      <c r="BM5" s="26">
        <f>资产资本表!BM33</f>
        <v>0</v>
      </c>
      <c r="BN5" s="26">
        <f>资产资本表!BN33</f>
        <v>0</v>
      </c>
      <c r="BO5" s="26">
        <f>资产资本表!BO33</f>
        <v>0</v>
      </c>
      <c r="BP5" s="26">
        <f>资产资本表!BP33</f>
        <v>0</v>
      </c>
      <c r="BQ5" s="26">
        <f>资产资本表!BQ33</f>
        <v>0</v>
      </c>
      <c r="BR5" s="26">
        <f>资产资本表!BR33</f>
        <v>0</v>
      </c>
      <c r="BS5" s="26">
        <f>资产资本表!BS33</f>
        <v>0</v>
      </c>
      <c r="BT5" s="26">
        <f>资产资本表!BT33</f>
        <v>0</v>
      </c>
      <c r="BU5" s="26">
        <f>资产资本表!BU33</f>
        <v>0</v>
      </c>
      <c r="BV5" s="26">
        <f>资产资本表!BV33</f>
        <v>0</v>
      </c>
      <c r="BW5" s="26">
        <f>资产资本表!BW33</f>
        <v>0</v>
      </c>
      <c r="BX5" s="26">
        <f>资产资本表!BX33</f>
        <v>0</v>
      </c>
      <c r="BY5" s="26">
        <f>资产资本表!BY33</f>
        <v>0</v>
      </c>
      <c r="BZ5" s="26">
        <f>资产资本表!BZ33</f>
        <v>0</v>
      </c>
      <c r="CA5" s="26">
        <f>资产资本表!CA33</f>
        <v>0</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336</v>
      </c>
      <c r="E6" s="26">
        <f>资产资本表!E49</f>
        <v>15536090448.99</v>
      </c>
      <c r="F6" s="26">
        <f>资产资本表!F49</f>
        <v>11145340926.859999</v>
      </c>
      <c r="G6" s="26">
        <f>资产资本表!G49</f>
        <v>10025185080.659998</v>
      </c>
      <c r="H6" s="26">
        <f>资产资本表!H49</f>
        <v>9154981920.5200005</v>
      </c>
      <c r="I6" s="26">
        <f>资产资本表!I49</f>
        <v>11989216092.030001</v>
      </c>
      <c r="J6" s="26">
        <f>资产资本表!J49</f>
        <v>10354785822.010002</v>
      </c>
      <c r="K6" s="26">
        <f>资产资本表!K49</f>
        <v>8645093682.1000004</v>
      </c>
      <c r="L6" s="26">
        <f>资产资本表!L49</f>
        <v>6218823652.7799997</v>
      </c>
      <c r="M6" s="26">
        <f>资产资本表!M49</f>
        <v>8763293302.5999985</v>
      </c>
      <c r="N6" s="26">
        <f>资产资本表!N49</f>
        <v>6105694173.0100002</v>
      </c>
      <c r="O6" s="26">
        <f>资产资本表!O49</f>
        <v>4868275696.4800014</v>
      </c>
      <c r="P6" s="26">
        <f>资产资本表!P49</f>
        <v>4281007850.2899995</v>
      </c>
      <c r="Q6" s="26">
        <f>资产资本表!Q49</f>
        <v>5760222331.1499996</v>
      </c>
      <c r="R6" s="26">
        <f>资产资本表!R49</f>
        <v>3508509670.75</v>
      </c>
      <c r="S6" s="26">
        <f>资产资本表!S49</f>
        <v>2927712562.7800002</v>
      </c>
      <c r="T6" s="26">
        <f>资产资本表!T49</f>
        <v>2015827734.2800002</v>
      </c>
      <c r="U6" s="26">
        <f>资产资本表!U49</f>
        <v>2637003831.9299998</v>
      </c>
      <c r="V6" s="26">
        <f>资产资本表!V49</f>
        <v>2228080379.3299999</v>
      </c>
      <c r="W6" s="26">
        <f>资产资本表!W49</f>
        <v>1630013427.1500001</v>
      </c>
      <c r="X6" s="26">
        <f>资产资本表!X49</f>
        <v>1168578870.0899999</v>
      </c>
      <c r="Y6" s="26">
        <f>资产资本表!Y49</f>
        <v>1895067388.9899998</v>
      </c>
      <c r="Z6" s="26">
        <f>资产资本表!Z49</f>
        <v>1390796302.0200002</v>
      </c>
      <c r="AA6" s="26">
        <f>资产资本表!AA49</f>
        <v>1183707224.8499999</v>
      </c>
      <c r="AB6" s="26">
        <f>资产资本表!AB49</f>
        <v>932911479.50999999</v>
      </c>
      <c r="AC6" s="26">
        <f>资产资本表!AC49</f>
        <v>1507979059.6899998</v>
      </c>
      <c r="AD6" s="26">
        <f>资产资本表!AD49</f>
        <v>936952177.21000016</v>
      </c>
      <c r="AE6" s="26">
        <f>资产资本表!AE49</f>
        <v>863458335.32000005</v>
      </c>
      <c r="AF6" s="26">
        <f>资产资本表!AF49</f>
        <v>683303969.96000004</v>
      </c>
      <c r="AG6" s="26">
        <f>资产资本表!AG49</f>
        <v>866294732.88</v>
      </c>
      <c r="AH6" s="26">
        <f>资产资本表!AH49</f>
        <v>489547698.32000005</v>
      </c>
      <c r="AI6" s="26">
        <f>资产资本表!AI49</f>
        <v>572579585.47000003</v>
      </c>
      <c r="AJ6" s="26">
        <f>资产资本表!AJ49</f>
        <v>408695299.03999996</v>
      </c>
      <c r="AK6" s="26">
        <f>资产资本表!AK49</f>
        <v>631687780.99000001</v>
      </c>
      <c r="AL6" s="26">
        <f>资产资本表!AL49</f>
        <v>391620130.05000001</v>
      </c>
      <c r="AM6" s="26">
        <f>资产资本表!AM49</f>
        <v>248862094.65000001</v>
      </c>
      <c r="AN6" s="26">
        <f>资产资本表!AN49</f>
        <v>0</v>
      </c>
      <c r="AO6" s="26">
        <f>资产资本表!AO49</f>
        <v>0</v>
      </c>
      <c r="AP6" s="26">
        <f>资产资本表!AP49</f>
        <v>0</v>
      </c>
      <c r="AQ6" s="26">
        <f>资产资本表!AQ49</f>
        <v>0</v>
      </c>
      <c r="AR6" s="26">
        <f>资产资本表!AR49</f>
        <v>0</v>
      </c>
      <c r="AS6" s="26">
        <f>资产资本表!AS49</f>
        <v>0</v>
      </c>
      <c r="AT6" s="26">
        <f>资产资本表!AT49</f>
        <v>0</v>
      </c>
      <c r="AU6" s="26">
        <f>资产资本表!AU49</f>
        <v>0</v>
      </c>
      <c r="AV6" s="26">
        <f>资产资本表!AV49</f>
        <v>0</v>
      </c>
      <c r="AW6" s="26">
        <f>资产资本表!AW49</f>
        <v>0</v>
      </c>
      <c r="AX6" s="26">
        <f>资产资本表!AX49</f>
        <v>0</v>
      </c>
      <c r="AY6" s="26">
        <f>资产资本表!AY49</f>
        <v>0</v>
      </c>
      <c r="AZ6" s="26">
        <f>资产资本表!AZ49</f>
        <v>0</v>
      </c>
      <c r="BA6" s="26">
        <f>资产资本表!BA49</f>
        <v>0</v>
      </c>
      <c r="BB6" s="26">
        <f>资产资本表!BB49</f>
        <v>0</v>
      </c>
      <c r="BC6" s="26">
        <f>资产资本表!BC49</f>
        <v>0</v>
      </c>
      <c r="BD6" s="26">
        <f>资产资本表!BD49</f>
        <v>0</v>
      </c>
      <c r="BE6" s="26">
        <f>资产资本表!BE49</f>
        <v>0</v>
      </c>
      <c r="BF6" s="26">
        <f>资产资本表!BF49</f>
        <v>0</v>
      </c>
      <c r="BG6" s="26">
        <f>资产资本表!BG49</f>
        <v>0</v>
      </c>
      <c r="BH6" s="26">
        <f>资产资本表!BH49</f>
        <v>0</v>
      </c>
      <c r="BI6" s="26">
        <f>资产资本表!BI49</f>
        <v>0</v>
      </c>
      <c r="BJ6" s="26">
        <f>资产资本表!BJ49</f>
        <v>0</v>
      </c>
      <c r="BK6" s="26">
        <f>资产资本表!BK49</f>
        <v>0</v>
      </c>
      <c r="BL6" s="26">
        <f>资产资本表!BL49</f>
        <v>0</v>
      </c>
      <c r="BM6" s="26">
        <f>资产资本表!BM49</f>
        <v>0</v>
      </c>
      <c r="BN6" s="26">
        <f>资产资本表!BN49</f>
        <v>0</v>
      </c>
      <c r="BO6" s="26">
        <f>资产资本表!BO49</f>
        <v>0</v>
      </c>
      <c r="BP6" s="26">
        <f>资产资本表!BP49</f>
        <v>0</v>
      </c>
      <c r="BQ6" s="26">
        <f>资产资本表!BQ49</f>
        <v>0</v>
      </c>
      <c r="BR6" s="26">
        <f>资产资本表!BR49</f>
        <v>0</v>
      </c>
      <c r="BS6" s="26">
        <f>资产资本表!BS49</f>
        <v>0</v>
      </c>
      <c r="BT6" s="26">
        <f>资产资本表!BT49</f>
        <v>0</v>
      </c>
      <c r="BU6" s="26">
        <f>资产资本表!BU49</f>
        <v>0</v>
      </c>
      <c r="BV6" s="26">
        <f>资产资本表!BV49</f>
        <v>0</v>
      </c>
      <c r="BW6" s="26">
        <f>资产资本表!BW49</f>
        <v>0</v>
      </c>
      <c r="BX6" s="26">
        <f>资产资本表!BX49</f>
        <v>0</v>
      </c>
      <c r="BY6" s="26">
        <f>资产资本表!BY49</f>
        <v>0</v>
      </c>
      <c r="BZ6" s="26">
        <f>资产资本表!BZ49</f>
        <v>0</v>
      </c>
      <c r="CA6" s="26">
        <f>资产资本表!CA49</f>
        <v>0</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337</v>
      </c>
      <c r="E7" s="26">
        <f>资产资本表!E68</f>
        <v>6476337017.8299999</v>
      </c>
      <c r="F7" s="26">
        <f>资产资本表!F68</f>
        <v>5267268734.0800009</v>
      </c>
      <c r="G7" s="26">
        <f>资产资本表!G68</f>
        <v>4835156760.1300001</v>
      </c>
      <c r="H7" s="26">
        <f>资产资本表!H68</f>
        <v>4436459579.3999996</v>
      </c>
      <c r="I7" s="26">
        <f>资产资本表!I68</f>
        <v>4245101766.6200004</v>
      </c>
      <c r="J7" s="26">
        <f>资产资本表!J68</f>
        <v>4148430887.4099998</v>
      </c>
      <c r="K7" s="26">
        <f>资产资本表!K68</f>
        <v>3957059480.7099996</v>
      </c>
      <c r="L7" s="26">
        <f>资产资本表!L68</f>
        <v>3658199231.8400002</v>
      </c>
      <c r="M7" s="26">
        <f>资产资本表!M68</f>
        <v>3472148631.96</v>
      </c>
      <c r="N7" s="26">
        <f>资产资本表!N68</f>
        <v>2988064703.3200006</v>
      </c>
      <c r="O7" s="26">
        <f>资产资本表!O68</f>
        <v>2617770300.1699996</v>
      </c>
      <c r="P7" s="26">
        <f>资产资本表!P68</f>
        <v>2252600546.0900002</v>
      </c>
      <c r="Q7" s="26">
        <f>资产资本表!Q68</f>
        <v>2094707165.0299997</v>
      </c>
      <c r="R7" s="26">
        <f>资产资本表!R68</f>
        <v>1992440424.29</v>
      </c>
      <c r="S7" s="26">
        <f>资产资本表!S68</f>
        <v>1905310748.1499996</v>
      </c>
      <c r="T7" s="26">
        <f>资产资本表!T68</f>
        <v>1720338029.4200001</v>
      </c>
      <c r="U7" s="26">
        <f>资产资本表!U68</f>
        <v>1586797911.3999999</v>
      </c>
      <c r="V7" s="26">
        <f>资产资本表!V68</f>
        <v>1491953277.23</v>
      </c>
      <c r="W7" s="26">
        <f>资产资本表!W68</f>
        <v>1439544830.0899999</v>
      </c>
      <c r="X7" s="26">
        <f>资产资本表!X68</f>
        <v>1343405802.3199999</v>
      </c>
      <c r="Y7" s="26">
        <f>资产资本表!Y68</f>
        <v>1304623299.8600001</v>
      </c>
      <c r="Z7" s="26">
        <f>资产资本表!Z68</f>
        <v>994456489.31000006</v>
      </c>
      <c r="AA7" s="26">
        <f>资产资本表!AA68</f>
        <v>978076979.64999998</v>
      </c>
      <c r="AB7" s="26">
        <f>资产资本表!AB68</f>
        <v>832030452.88999999</v>
      </c>
      <c r="AC7" s="26">
        <f>资产资本表!AC68</f>
        <v>806541574.94999993</v>
      </c>
      <c r="AD7" s="26">
        <f>资产资本表!AD68</f>
        <v>728961617.67999995</v>
      </c>
      <c r="AE7" s="26">
        <f>资产资本表!AE68</f>
        <v>693962475.32000005</v>
      </c>
      <c r="AF7" s="26">
        <f>资产资本表!AF68</f>
        <v>654677365.41999996</v>
      </c>
      <c r="AG7" s="26">
        <f>资产资本表!AG68</f>
        <v>549906528.19999993</v>
      </c>
      <c r="AH7" s="26">
        <f>资产资本表!AH68</f>
        <v>469838669.94999993</v>
      </c>
      <c r="AI7" s="26">
        <f>资产资本表!AI68</f>
        <v>395169894.42999995</v>
      </c>
      <c r="AJ7" s="26">
        <f>资产资本表!AJ68</f>
        <v>337787854.40000004</v>
      </c>
      <c r="AK7" s="26">
        <f>资产资本表!AK68</f>
        <v>312827826.16000003</v>
      </c>
      <c r="AL7" s="26">
        <f>资产资本表!AL68</f>
        <v>91226187.930000007</v>
      </c>
      <c r="AM7" s="26">
        <f>资产资本表!AM68</f>
        <v>57568246.020000003</v>
      </c>
      <c r="AN7" s="26">
        <f>资产资本表!AN68</f>
        <v>0</v>
      </c>
      <c r="AO7" s="26">
        <f>资产资本表!AO68</f>
        <v>0</v>
      </c>
      <c r="AP7" s="26">
        <f>资产资本表!AP68</f>
        <v>0</v>
      </c>
      <c r="AQ7" s="26">
        <f>资产资本表!AQ68</f>
        <v>0</v>
      </c>
      <c r="AR7" s="26">
        <f>资产资本表!AR68</f>
        <v>0</v>
      </c>
      <c r="AS7" s="26">
        <f>资产资本表!AS68</f>
        <v>0</v>
      </c>
      <c r="AT7" s="26">
        <f>资产资本表!AT68</f>
        <v>0</v>
      </c>
      <c r="AU7" s="26">
        <f>资产资本表!AU68</f>
        <v>0</v>
      </c>
      <c r="AV7" s="26">
        <f>资产资本表!AV68</f>
        <v>0</v>
      </c>
      <c r="AW7" s="26">
        <f>资产资本表!AW68</f>
        <v>0</v>
      </c>
      <c r="AX7" s="26">
        <f>资产资本表!AX68</f>
        <v>0</v>
      </c>
      <c r="AY7" s="26">
        <f>资产资本表!AY68</f>
        <v>0</v>
      </c>
      <c r="AZ7" s="26">
        <f>资产资本表!AZ68</f>
        <v>0</v>
      </c>
      <c r="BA7" s="26">
        <f>资产资本表!BA68</f>
        <v>0</v>
      </c>
      <c r="BB7" s="26">
        <f>资产资本表!BB68</f>
        <v>0</v>
      </c>
      <c r="BC7" s="26">
        <f>资产资本表!BC68</f>
        <v>0</v>
      </c>
      <c r="BD7" s="26">
        <f>资产资本表!BD68</f>
        <v>0</v>
      </c>
      <c r="BE7" s="26">
        <f>资产资本表!BE68</f>
        <v>0</v>
      </c>
      <c r="BF7" s="26">
        <f>资产资本表!BF68</f>
        <v>0</v>
      </c>
      <c r="BG7" s="26">
        <f>资产资本表!BG68</f>
        <v>0</v>
      </c>
      <c r="BH7" s="26">
        <f>资产资本表!BH68</f>
        <v>0</v>
      </c>
      <c r="BI7" s="26">
        <f>资产资本表!BI68</f>
        <v>0</v>
      </c>
      <c r="BJ7" s="26">
        <f>资产资本表!BJ68</f>
        <v>0</v>
      </c>
      <c r="BK7" s="26">
        <f>资产资本表!BK68</f>
        <v>0</v>
      </c>
      <c r="BL7" s="26">
        <f>资产资本表!BL68</f>
        <v>0</v>
      </c>
      <c r="BM7" s="26">
        <f>资产资本表!BM68</f>
        <v>0</v>
      </c>
      <c r="BN7" s="26">
        <f>资产资本表!BN68</f>
        <v>0</v>
      </c>
      <c r="BO7" s="26">
        <f>资产资本表!BO68</f>
        <v>0</v>
      </c>
      <c r="BP7" s="26">
        <f>资产资本表!BP68</f>
        <v>0</v>
      </c>
      <c r="BQ7" s="26">
        <f>资产资本表!BQ68</f>
        <v>0</v>
      </c>
      <c r="BR7" s="26">
        <f>资产资本表!BR68</f>
        <v>0</v>
      </c>
      <c r="BS7" s="26">
        <f>资产资本表!BS68</f>
        <v>0</v>
      </c>
      <c r="BT7" s="26">
        <f>资产资本表!BT68</f>
        <v>0</v>
      </c>
      <c r="BU7" s="26">
        <f>资产资本表!BU68</f>
        <v>0</v>
      </c>
      <c r="BV7" s="26">
        <f>资产资本表!BV68</f>
        <v>0</v>
      </c>
      <c r="BW7" s="26">
        <f>资产资本表!BW68</f>
        <v>0</v>
      </c>
      <c r="BX7" s="26">
        <f>资产资本表!BX68</f>
        <v>0</v>
      </c>
      <c r="BY7" s="26">
        <f>资产资本表!BY68</f>
        <v>0</v>
      </c>
      <c r="BZ7" s="26">
        <f>资产资本表!BZ68</f>
        <v>0</v>
      </c>
      <c r="CA7" s="26">
        <f>资产资本表!CA68</f>
        <v>0</v>
      </c>
      <c r="CB7" s="26">
        <f>资产资本表!CB68</f>
        <v>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41" t="s">
        <v>638</v>
      </c>
      <c r="E8" s="26">
        <f>资产资本表!E69</f>
        <v>19144400110.860004</v>
      </c>
      <c r="F8" s="26">
        <f>资产资本表!F69</f>
        <v>19566779323.77</v>
      </c>
      <c r="G8" s="26">
        <f>资产资本表!G69</f>
        <v>17904140529.900005</v>
      </c>
      <c r="H8" s="26">
        <f>资产资本表!H69</f>
        <v>16918060800.209997</v>
      </c>
      <c r="I8" s="26">
        <f>资产资本表!I69</f>
        <v>15380415018.280003</v>
      </c>
      <c r="J8" s="26">
        <f>资产资本表!J69</f>
        <v>13705735234.190002</v>
      </c>
      <c r="K8" s="26">
        <f>资产资本表!K69</f>
        <v>13039365127.259996</v>
      </c>
      <c r="L8" s="26">
        <f>资产资本表!L69</f>
        <v>15512388537.34</v>
      </c>
      <c r="M8" s="26">
        <f>资产资本表!M69</f>
        <v>11384454752.860001</v>
      </c>
      <c r="N8" s="26">
        <f>资产资本表!N69</f>
        <v>12446478149.899998</v>
      </c>
      <c r="O8" s="26">
        <f>资产资本表!O69</f>
        <v>12003934384.16</v>
      </c>
      <c r="P8" s="26">
        <f>资产资本表!P69</f>
        <v>10899749404.810001</v>
      </c>
      <c r="Q8" s="26">
        <f>资产资本表!Q69</f>
        <v>8327001788.21</v>
      </c>
      <c r="R8" s="26">
        <f>资产资本表!R69</f>
        <v>10363101722.669998</v>
      </c>
      <c r="S8" s="26">
        <f>资产资本表!S69</f>
        <v>9577004364.9399986</v>
      </c>
      <c r="T8" s="26">
        <f>资产资本表!T69</f>
        <v>8811535167.3299999</v>
      </c>
      <c r="U8" s="26">
        <f>资产资本表!U69</f>
        <v>6840909802.3600006</v>
      </c>
      <c r="V8" s="26">
        <f>资产资本表!V69</f>
        <v>4797208335.1400013</v>
      </c>
      <c r="W8" s="26">
        <f>资产资本表!W69</f>
        <v>4235982216.1099987</v>
      </c>
      <c r="X8" s="26">
        <f>资产资本表!X69</f>
        <v>4052508316.3000002</v>
      </c>
      <c r="Y8" s="26">
        <f>资产资本表!Y69</f>
        <v>2858196654.5800004</v>
      </c>
      <c r="Z8" s="26">
        <f>资产资本表!Z69</f>
        <v>3107660460.6300001</v>
      </c>
      <c r="AA8" s="26">
        <f>资产资本表!AA69</f>
        <v>2644092730.8200002</v>
      </c>
      <c r="AB8" s="26">
        <f>资产资本表!AB69</f>
        <v>2484246059.2199998</v>
      </c>
      <c r="AC8" s="26">
        <f>资产资本表!AC69</f>
        <v>1563579988.9099998</v>
      </c>
      <c r="AD8" s="26">
        <f>资产资本表!AD69</f>
        <v>2117670539.8299994</v>
      </c>
      <c r="AE8" s="26">
        <f>资产资本表!AE69</f>
        <v>1729640087.1100001</v>
      </c>
      <c r="AF8" s="26">
        <f>资产资本表!AF69</f>
        <v>1569714430.1300001</v>
      </c>
      <c r="AG8" s="26">
        <f>资产资本表!AG69</f>
        <v>1019081798.3899999</v>
      </c>
      <c r="AH8" s="26">
        <f>资产资本表!AH69</f>
        <v>1460343915.6799998</v>
      </c>
      <c r="AI8" s="26">
        <f>资产资本表!AI69</f>
        <v>1097638830.9000001</v>
      </c>
      <c r="AJ8" s="26">
        <f>资产资本表!AJ69</f>
        <v>998290773.70000005</v>
      </c>
      <c r="AK8" s="26">
        <f>资产资本表!AK69</f>
        <v>406162476.89000005</v>
      </c>
      <c r="AL8" s="26">
        <f>资产资本表!AL69</f>
        <v>117320140.31999999</v>
      </c>
      <c r="AM8" s="26">
        <f>资产资本表!AM69</f>
        <v>174290505.67000002</v>
      </c>
      <c r="AN8" s="26">
        <f>资产资本表!AN69</f>
        <v>0</v>
      </c>
      <c r="AO8" s="26">
        <f>资产资本表!AO69</f>
        <v>0</v>
      </c>
      <c r="AP8" s="26">
        <f>资产资本表!AP69</f>
        <v>0</v>
      </c>
      <c r="AQ8" s="26">
        <f>资产资本表!AQ69</f>
        <v>0</v>
      </c>
      <c r="AR8" s="26">
        <f>资产资本表!AR69</f>
        <v>0</v>
      </c>
      <c r="AS8" s="26">
        <f>资产资本表!AS69</f>
        <v>0</v>
      </c>
      <c r="AT8" s="26">
        <f>资产资本表!AT69</f>
        <v>0</v>
      </c>
      <c r="AU8" s="26">
        <f>资产资本表!AU69</f>
        <v>0</v>
      </c>
      <c r="AV8" s="26">
        <f>资产资本表!AV69</f>
        <v>0</v>
      </c>
      <c r="AW8" s="26">
        <f>资产资本表!AW69</f>
        <v>0</v>
      </c>
      <c r="AX8" s="26">
        <f>资产资本表!AX69</f>
        <v>0</v>
      </c>
      <c r="AY8" s="26">
        <f>资产资本表!AY69</f>
        <v>0</v>
      </c>
      <c r="AZ8" s="26">
        <f>资产资本表!AZ69</f>
        <v>0</v>
      </c>
      <c r="BA8" s="26">
        <f>资产资本表!BA69</f>
        <v>0</v>
      </c>
      <c r="BB8" s="26">
        <f>资产资本表!BB69</f>
        <v>0</v>
      </c>
      <c r="BC8" s="26">
        <f>资产资本表!BC69</f>
        <v>0</v>
      </c>
      <c r="BD8" s="26">
        <f>资产资本表!BD69</f>
        <v>0</v>
      </c>
      <c r="BE8" s="26">
        <f>资产资本表!BE69</f>
        <v>0</v>
      </c>
      <c r="BF8" s="26">
        <f>资产资本表!BF69</f>
        <v>0</v>
      </c>
      <c r="BG8" s="26">
        <f>资产资本表!BG69</f>
        <v>0</v>
      </c>
      <c r="BH8" s="26">
        <f>资产资本表!BH69</f>
        <v>0</v>
      </c>
      <c r="BI8" s="26">
        <f>资产资本表!BI69</f>
        <v>0</v>
      </c>
      <c r="BJ8" s="26">
        <f>资产资本表!BJ69</f>
        <v>0</v>
      </c>
      <c r="BK8" s="26">
        <f>资产资本表!BK69</f>
        <v>0</v>
      </c>
      <c r="BL8" s="26">
        <f>资产资本表!BL69</f>
        <v>0</v>
      </c>
      <c r="BM8" s="26">
        <f>资产资本表!BM69</f>
        <v>0</v>
      </c>
      <c r="BN8" s="26">
        <f>资产资本表!BN69</f>
        <v>0</v>
      </c>
      <c r="BO8" s="26">
        <f>资产资本表!BO69</f>
        <v>0</v>
      </c>
      <c r="BP8" s="26">
        <f>资产资本表!BP69</f>
        <v>0</v>
      </c>
      <c r="BQ8" s="26">
        <f>资产资本表!BQ69</f>
        <v>0</v>
      </c>
      <c r="BR8" s="26">
        <f>资产资本表!BR69</f>
        <v>0</v>
      </c>
      <c r="BS8" s="26">
        <f>资产资本表!BS69</f>
        <v>0</v>
      </c>
      <c r="BT8" s="26">
        <f>资产资本表!BT69</f>
        <v>0</v>
      </c>
      <c r="BU8" s="26">
        <f>资产资本表!BU69</f>
        <v>0</v>
      </c>
      <c r="BV8" s="26">
        <f>资产资本表!BV69</f>
        <v>0</v>
      </c>
      <c r="BW8" s="26">
        <f>资产资本表!BW69</f>
        <v>0</v>
      </c>
      <c r="BX8" s="26">
        <f>资产资本表!BX69</f>
        <v>0</v>
      </c>
      <c r="BY8" s="26">
        <f>资产资本表!BY69</f>
        <v>0</v>
      </c>
      <c r="BZ8" s="26">
        <f>资产资本表!BZ69</f>
        <v>0</v>
      </c>
      <c r="CA8" s="26">
        <f>资产资本表!CA69</f>
        <v>0</v>
      </c>
      <c r="CB8" s="26">
        <f>资产资本表!CB69</f>
        <v>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640</v>
      </c>
      <c r="E9" s="48">
        <f>资产资本表!E70</f>
        <v>36034873017.620003</v>
      </c>
      <c r="F9" s="48">
        <f>资产资本表!F70</f>
        <v>33159067805.639999</v>
      </c>
      <c r="G9" s="48">
        <f>资产资本表!G70</f>
        <v>31499749380.510006</v>
      </c>
      <c r="H9" s="48">
        <f>资产资本表!H70</f>
        <v>33502837129.93</v>
      </c>
      <c r="I9" s="48">
        <f>资产资本表!I70</f>
        <v>29349791722.800003</v>
      </c>
      <c r="J9" s="48">
        <f>资产资本表!J70</f>
        <v>26139535378.93</v>
      </c>
      <c r="K9" s="48">
        <f>资产资本表!K70</f>
        <v>23313241435.349998</v>
      </c>
      <c r="L9" s="48">
        <f>资产资本表!L70</f>
        <v>24937421251.739998</v>
      </c>
      <c r="M9" s="48">
        <f>资产资本表!M70</f>
        <v>21553149133.57</v>
      </c>
      <c r="N9" s="48">
        <f>资产资本表!N70</f>
        <v>19348530609.649998</v>
      </c>
      <c r="O9" s="48">
        <f>资产资本表!O70</f>
        <v>18334118403.900002</v>
      </c>
      <c r="P9" s="48">
        <f>资产资本表!P70</f>
        <v>17136865721.080002</v>
      </c>
      <c r="Q9" s="48">
        <f>资产资本表!Q70</f>
        <v>15530297980.139999</v>
      </c>
      <c r="R9" s="48">
        <f>资产资本表!R70</f>
        <v>13866340129.929998</v>
      </c>
      <c r="S9" s="48">
        <f>资产资本表!S70</f>
        <v>13671437969.689999</v>
      </c>
      <c r="T9" s="48">
        <f>资产资本表!T70</f>
        <v>12575613347.049999</v>
      </c>
      <c r="U9" s="48">
        <f>资产资本表!U70</f>
        <v>11434524202.260002</v>
      </c>
      <c r="V9" s="48">
        <f>资产资本表!V70</f>
        <v>10012346475.620001</v>
      </c>
      <c r="W9" s="48">
        <f>资产资本表!W70</f>
        <v>9763822698.1699982</v>
      </c>
      <c r="X9" s="48">
        <f>资产资本表!X70</f>
        <v>9231699415.7299995</v>
      </c>
      <c r="Y9" s="48">
        <f>资产资本表!Y70</f>
        <v>8694418850.7199993</v>
      </c>
      <c r="Z9" s="48">
        <f>资产资本表!Z70</f>
        <v>7752388390.8999996</v>
      </c>
      <c r="AA9" s="48">
        <f>资产资本表!AA70</f>
        <v>7238091025.4400005</v>
      </c>
      <c r="AB9" s="48">
        <f>资产资本表!AB70</f>
        <v>7184997976.1100006</v>
      </c>
      <c r="AC9" s="48">
        <f>资产资本表!AC70</f>
        <v>6808674248.3000002</v>
      </c>
      <c r="AD9" s="48">
        <f>资产资本表!AD70</f>
        <v>6246321054.8999996</v>
      </c>
      <c r="AE9" s="48">
        <f>资产资本表!AE70</f>
        <v>5921332074.0799999</v>
      </c>
      <c r="AF9" s="48">
        <f>资产资本表!AF70</f>
        <v>5950806431.4099998</v>
      </c>
      <c r="AG9" s="48">
        <f>资产资本表!AG70</f>
        <v>5683047988.1899986</v>
      </c>
      <c r="AH9" s="48">
        <f>资产资本表!AH70</f>
        <v>5284395427.3499994</v>
      </c>
      <c r="AI9" s="48">
        <f>资产资本表!AI70</f>
        <v>5251698825.9400005</v>
      </c>
      <c r="AJ9" s="48">
        <f>资产资本表!AJ70</f>
        <v>1771366322.9200001</v>
      </c>
      <c r="AK9" s="48">
        <f>资产资本表!AK70</f>
        <v>1565389377.6600001</v>
      </c>
      <c r="AL9" s="48">
        <f>资产资本表!AL70</f>
        <v>977899102.31999993</v>
      </c>
      <c r="AM9" s="48">
        <f>资产资本表!AM70</f>
        <v>623005502.38</v>
      </c>
      <c r="AN9" s="48">
        <f>资产资本表!AN70</f>
        <v>0</v>
      </c>
      <c r="AO9" s="48">
        <f>资产资本表!AO70</f>
        <v>0</v>
      </c>
      <c r="AP9" s="48">
        <f>资产资本表!AP70</f>
        <v>0</v>
      </c>
      <c r="AQ9" s="48">
        <f>资产资本表!AQ70</f>
        <v>0</v>
      </c>
      <c r="AR9" s="48">
        <f>资产资本表!AR70</f>
        <v>0</v>
      </c>
      <c r="AS9" s="48">
        <f>资产资本表!AS70</f>
        <v>0</v>
      </c>
      <c r="AT9" s="48">
        <f>资产资本表!AT70</f>
        <v>0</v>
      </c>
      <c r="AU9" s="48">
        <f>资产资本表!AU70</f>
        <v>0</v>
      </c>
      <c r="AV9" s="48">
        <f>资产资本表!AV70</f>
        <v>0</v>
      </c>
      <c r="AW9" s="48">
        <f>资产资本表!AW70</f>
        <v>0</v>
      </c>
      <c r="AX9" s="48">
        <f>资产资本表!AX70</f>
        <v>0</v>
      </c>
      <c r="AY9" s="48">
        <f>资产资本表!AY70</f>
        <v>0</v>
      </c>
      <c r="AZ9" s="48">
        <f>资产资本表!AZ70</f>
        <v>0</v>
      </c>
      <c r="BA9" s="48">
        <f>资产资本表!BA70</f>
        <v>0</v>
      </c>
      <c r="BB9" s="48">
        <f>资产资本表!BB70</f>
        <v>0</v>
      </c>
      <c r="BC9" s="48">
        <f>资产资本表!BC70</f>
        <v>0</v>
      </c>
      <c r="BD9" s="48">
        <f>资产资本表!BD70</f>
        <v>0</v>
      </c>
      <c r="BE9" s="48">
        <f>资产资本表!BE70</f>
        <v>0</v>
      </c>
      <c r="BF9" s="48">
        <f>资产资本表!BF70</f>
        <v>0</v>
      </c>
      <c r="BG9" s="48">
        <f>资产资本表!BG70</f>
        <v>0</v>
      </c>
      <c r="BH9" s="48">
        <f>资产资本表!BH70</f>
        <v>0</v>
      </c>
      <c r="BI9" s="48">
        <f>资产资本表!BI70</f>
        <v>0</v>
      </c>
      <c r="BJ9" s="48">
        <f>资产资本表!BJ70</f>
        <v>0</v>
      </c>
      <c r="BK9" s="48">
        <f>资产资本表!BK70</f>
        <v>0</v>
      </c>
      <c r="BL9" s="48">
        <f>资产资本表!BL70</f>
        <v>0</v>
      </c>
      <c r="BM9" s="48">
        <f>资产资本表!BM70</f>
        <v>0</v>
      </c>
      <c r="BN9" s="48">
        <f>资产资本表!BN70</f>
        <v>0</v>
      </c>
      <c r="BO9" s="48">
        <f>资产资本表!BO70</f>
        <v>0</v>
      </c>
      <c r="BP9" s="48">
        <f>资产资本表!BP70</f>
        <v>0</v>
      </c>
      <c r="BQ9" s="48">
        <f>资产资本表!BQ70</f>
        <v>0</v>
      </c>
      <c r="BR9" s="48">
        <f>资产资本表!BR70</f>
        <v>0</v>
      </c>
      <c r="BS9" s="48">
        <f>资产资本表!BS70</f>
        <v>0</v>
      </c>
      <c r="BT9" s="48">
        <f>资产资本表!BT70</f>
        <v>0</v>
      </c>
      <c r="BU9" s="48">
        <f>资产资本表!BU70</f>
        <v>0</v>
      </c>
      <c r="BV9" s="48">
        <f>资产资本表!BV70</f>
        <v>0</v>
      </c>
      <c r="BW9" s="48">
        <f>资产资本表!BW70</f>
        <v>0</v>
      </c>
      <c r="BX9" s="48">
        <f>资产资本表!BX70</f>
        <v>0</v>
      </c>
      <c r="BY9" s="48">
        <f>资产资本表!BY70</f>
        <v>0</v>
      </c>
      <c r="BZ9" s="48">
        <f>资产资本表!BZ70</f>
        <v>0</v>
      </c>
      <c r="CA9" s="48">
        <f>资产资本表!CA70</f>
        <v>0</v>
      </c>
      <c r="CB9" s="48">
        <f>资产资本表!CB70</f>
        <v>0</v>
      </c>
      <c r="CC9" s="48">
        <f>资产资本表!CC70</f>
        <v>0</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340</v>
      </c>
      <c r="E10" s="26">
        <f>资产资本表!E72</f>
        <v>1659468763.2600002</v>
      </c>
      <c r="F10" s="26">
        <f>资产资本表!F72</f>
        <v>1402525527.95</v>
      </c>
      <c r="G10" s="26">
        <f>资产资本表!G72</f>
        <v>2697707556.2800002</v>
      </c>
      <c r="H10" s="26">
        <f>资产资本表!H72</f>
        <v>2649007645.04</v>
      </c>
      <c r="I10" s="26">
        <f>资产资本表!I72</f>
        <v>117421640.84999999</v>
      </c>
      <c r="J10" s="26">
        <f>资产资本表!J72</f>
        <v>460892586.11000001</v>
      </c>
      <c r="K10" s="26">
        <f>资产资本表!K72</f>
        <v>448533744</v>
      </c>
      <c r="L10" s="26">
        <f>资产资本表!L72</f>
        <v>1278777959.1300001</v>
      </c>
      <c r="M10" s="26">
        <f>资产资本表!M72</f>
        <v>1486981962.8000002</v>
      </c>
      <c r="N10" s="26">
        <f>资产资本表!N72</f>
        <v>946978327.06999993</v>
      </c>
      <c r="O10" s="26">
        <f>资产资本表!O72</f>
        <v>1582860710.71</v>
      </c>
      <c r="P10" s="26">
        <f>资产资本表!P72</f>
        <v>538205068.76999998</v>
      </c>
      <c r="Q10" s="26">
        <f>资产资本表!Q72</f>
        <v>362317989.11000001</v>
      </c>
      <c r="R10" s="26">
        <f>资产资本表!R72</f>
        <v>865131119.61000001</v>
      </c>
      <c r="S10" s="26">
        <f>资产资本表!S72</f>
        <v>870657998.23000002</v>
      </c>
      <c r="T10" s="26">
        <f>资产资本表!T72</f>
        <v>626836298.55999994</v>
      </c>
      <c r="U10" s="26">
        <f>资产资本表!U72</f>
        <v>183799798.19999999</v>
      </c>
      <c r="V10" s="26">
        <f>资产资本表!V72</f>
        <v>113295063.58</v>
      </c>
      <c r="W10" s="26">
        <f>资产资本表!W72</f>
        <v>41751164.670000002</v>
      </c>
      <c r="X10" s="26">
        <f>资产资本表!X72</f>
        <v>86004909.25</v>
      </c>
      <c r="Y10" s="26">
        <f>资产资本表!Y72</f>
        <v>0</v>
      </c>
      <c r="Z10" s="26">
        <f>资产资本表!Z72</f>
        <v>0</v>
      </c>
      <c r="AA10" s="26">
        <f>资产资本表!AA72</f>
        <v>0</v>
      </c>
      <c r="AB10" s="26">
        <f>资产资本表!AB72</f>
        <v>0</v>
      </c>
      <c r="AC10" s="26">
        <f>资产资本表!AC72</f>
        <v>0</v>
      </c>
      <c r="AD10" s="26">
        <f>资产资本表!AD72</f>
        <v>29028697.93</v>
      </c>
      <c r="AE10" s="26">
        <f>资产资本表!AE72</f>
        <v>29580168.390000001</v>
      </c>
      <c r="AF10" s="26">
        <f>资产资本表!AF72</f>
        <v>29646364.120000001</v>
      </c>
      <c r="AG10" s="26">
        <f>资产资本表!AG72</f>
        <v>29041325</v>
      </c>
      <c r="AH10" s="26">
        <f>资产资本表!AH72</f>
        <v>0</v>
      </c>
      <c r="AI10" s="26">
        <f>资产资本表!AI72</f>
        <v>0</v>
      </c>
      <c r="AJ10" s="26">
        <f>资产资本表!AJ72</f>
        <v>27374000</v>
      </c>
      <c r="AK10" s="26">
        <f>资产资本表!AK72</f>
        <v>27415325</v>
      </c>
      <c r="AL10" s="26">
        <f>资产资本表!AL72</f>
        <v>0</v>
      </c>
      <c r="AM10" s="26">
        <f>资产资本表!AM72</f>
        <v>45038325</v>
      </c>
      <c r="AN10" s="26">
        <f>资产资本表!AN72</f>
        <v>0</v>
      </c>
      <c r="AO10" s="26">
        <f>资产资本表!AO72</f>
        <v>0</v>
      </c>
      <c r="AP10" s="26">
        <f>资产资本表!AP72</f>
        <v>0</v>
      </c>
      <c r="AQ10" s="26">
        <f>资产资本表!AQ72</f>
        <v>0</v>
      </c>
      <c r="AR10" s="26">
        <f>资产资本表!AR72</f>
        <v>0</v>
      </c>
      <c r="AS10" s="26">
        <f>资产资本表!AS72</f>
        <v>0</v>
      </c>
      <c r="AT10" s="26">
        <f>资产资本表!AT72</f>
        <v>0</v>
      </c>
      <c r="AU10" s="26">
        <f>资产资本表!AU72</f>
        <v>0</v>
      </c>
      <c r="AV10" s="26">
        <f>资产资本表!AV72</f>
        <v>0</v>
      </c>
      <c r="AW10" s="26">
        <f>资产资本表!AW72</f>
        <v>0</v>
      </c>
      <c r="AX10" s="26">
        <f>资产资本表!AX72</f>
        <v>0</v>
      </c>
      <c r="AY10" s="26">
        <f>资产资本表!AY72</f>
        <v>0</v>
      </c>
      <c r="AZ10" s="26">
        <f>资产资本表!AZ72</f>
        <v>0</v>
      </c>
      <c r="BA10" s="26">
        <f>资产资本表!BA72</f>
        <v>0</v>
      </c>
      <c r="BB10" s="26">
        <f>资产资本表!BB72</f>
        <v>0</v>
      </c>
      <c r="BC10" s="26">
        <f>资产资本表!BC72</f>
        <v>0</v>
      </c>
      <c r="BD10" s="26">
        <f>资产资本表!BD72</f>
        <v>0</v>
      </c>
      <c r="BE10" s="26">
        <f>资产资本表!BE72</f>
        <v>0</v>
      </c>
      <c r="BF10" s="26">
        <f>资产资本表!BF72</f>
        <v>0</v>
      </c>
      <c r="BG10" s="26">
        <f>资产资本表!BG72</f>
        <v>0</v>
      </c>
      <c r="BH10" s="26">
        <f>资产资本表!BH72</f>
        <v>0</v>
      </c>
      <c r="BI10" s="26">
        <f>资产资本表!BI72</f>
        <v>0</v>
      </c>
      <c r="BJ10" s="26">
        <f>资产资本表!BJ72</f>
        <v>0</v>
      </c>
      <c r="BK10" s="26">
        <f>资产资本表!BK72</f>
        <v>0</v>
      </c>
      <c r="BL10" s="26">
        <f>资产资本表!BL72</f>
        <v>0</v>
      </c>
      <c r="BM10" s="26">
        <f>资产资本表!BM72</f>
        <v>0</v>
      </c>
      <c r="BN10" s="26">
        <f>资产资本表!BN72</f>
        <v>0</v>
      </c>
      <c r="BO10" s="26">
        <f>资产资本表!BO72</f>
        <v>0</v>
      </c>
      <c r="BP10" s="26">
        <f>资产资本表!BP72</f>
        <v>0</v>
      </c>
      <c r="BQ10" s="26">
        <f>资产资本表!BQ72</f>
        <v>0</v>
      </c>
      <c r="BR10" s="26">
        <f>资产资本表!BR72</f>
        <v>0</v>
      </c>
      <c r="BS10" s="26">
        <f>资产资本表!BS72</f>
        <v>0</v>
      </c>
      <c r="BT10" s="26">
        <f>资产资本表!BT72</f>
        <v>0</v>
      </c>
      <c r="BU10" s="26">
        <f>资产资本表!BU72</f>
        <v>0</v>
      </c>
      <c r="BV10" s="26">
        <f>资产资本表!BV72</f>
        <v>0</v>
      </c>
      <c r="BW10" s="26">
        <f>资产资本表!BW72</f>
        <v>0</v>
      </c>
      <c r="BX10" s="26">
        <f>资产资本表!BX72</f>
        <v>0</v>
      </c>
      <c r="BY10" s="26">
        <f>资产资本表!BY72</f>
        <v>0</v>
      </c>
      <c r="BZ10" s="26">
        <f>资产资本表!BZ72</f>
        <v>0</v>
      </c>
      <c r="CA10" s="26">
        <f>资产资本表!CA72</f>
        <v>0</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341</v>
      </c>
      <c r="E11" s="26">
        <f>资产资本表!E81</f>
        <v>3613357038.6199999</v>
      </c>
      <c r="F11" s="26">
        <f>资产资本表!F81</f>
        <v>4445923745.1099997</v>
      </c>
      <c r="G11" s="26">
        <f>资产资本表!G81</f>
        <v>4426248175.8000002</v>
      </c>
      <c r="H11" s="26">
        <f>资产资本表!H81</f>
        <v>4799881516.8599997</v>
      </c>
      <c r="I11" s="26">
        <f>资产资本表!I81</f>
        <v>4683657113.1000004</v>
      </c>
      <c r="J11" s="26">
        <f>资产资本表!J81</f>
        <v>3951228249.48</v>
      </c>
      <c r="K11" s="26">
        <f>资产资本表!K81</f>
        <v>3618722274.0799999</v>
      </c>
      <c r="L11" s="26">
        <f>资产资本表!L81</f>
        <v>3101848335</v>
      </c>
      <c r="M11" s="26">
        <f>资产资本表!M81</f>
        <v>682753935</v>
      </c>
      <c r="N11" s="26">
        <f>资产资本表!N81</f>
        <v>1192167759.77</v>
      </c>
      <c r="O11" s="26">
        <f>资产资本表!O81</f>
        <v>1142019008.0799999</v>
      </c>
      <c r="P11" s="26">
        <f>资产资本表!P81</f>
        <v>601016344.17999995</v>
      </c>
      <c r="Q11" s="26">
        <f>资产资本表!Q81</f>
        <v>247760000</v>
      </c>
      <c r="R11" s="26">
        <f>资产资本表!R81</f>
        <v>12770000</v>
      </c>
      <c r="S11" s="26">
        <f>资产资本表!S81</f>
        <v>12770000</v>
      </c>
      <c r="T11" s="26">
        <f>资产资本表!T81</f>
        <v>19366000</v>
      </c>
      <c r="U11" s="26">
        <f>资产资本表!U81</f>
        <v>12770000</v>
      </c>
      <c r="V11" s="26">
        <f>资产资本表!V81</f>
        <v>15770000</v>
      </c>
      <c r="W11" s="26">
        <f>资产资本表!W81</f>
        <v>9385000</v>
      </c>
      <c r="X11" s="26">
        <f>资产资本表!X81</f>
        <v>3000000</v>
      </c>
      <c r="Y11" s="26">
        <f>资产资本表!Y81</f>
        <v>3000000</v>
      </c>
      <c r="Z11" s="26">
        <f>资产资本表!Z81</f>
        <v>3000000</v>
      </c>
      <c r="AA11" s="26">
        <f>资产资本表!AA81</f>
        <v>3000000</v>
      </c>
      <c r="AB11" s="26">
        <f>资产资本表!AB81</f>
        <v>3000000</v>
      </c>
      <c r="AC11" s="26">
        <f>资产资本表!AC81</f>
        <v>3000000</v>
      </c>
      <c r="AD11" s="26">
        <f>资产资本表!AD81</f>
        <v>0</v>
      </c>
      <c r="AE11" s="26">
        <f>资产资本表!AE81</f>
        <v>0</v>
      </c>
      <c r="AF11" s="26">
        <f>资产资本表!AF81</f>
        <v>0</v>
      </c>
      <c r="AG11" s="26">
        <f>资产资本表!AG81</f>
        <v>0</v>
      </c>
      <c r="AH11" s="26">
        <f>资产资本表!AH81</f>
        <v>30200000</v>
      </c>
      <c r="AI11" s="26">
        <f>资产资本表!AI81</f>
        <v>30200000</v>
      </c>
      <c r="AJ11" s="26">
        <f>资产资本表!AJ81</f>
        <v>30200000</v>
      </c>
      <c r="AK11" s="26">
        <f>资产资本表!AK81</f>
        <v>30200000</v>
      </c>
      <c r="AL11" s="26">
        <f>资产资本表!AL81</f>
        <v>2000000</v>
      </c>
      <c r="AM11" s="26">
        <f>资产资本表!AM81</f>
        <v>0</v>
      </c>
      <c r="AN11" s="26">
        <f>资产资本表!AN81</f>
        <v>0</v>
      </c>
      <c r="AO11" s="26">
        <f>资产资本表!AO81</f>
        <v>0</v>
      </c>
      <c r="AP11" s="26">
        <f>资产资本表!AP81</f>
        <v>0</v>
      </c>
      <c r="AQ11" s="26">
        <f>资产资本表!AQ81</f>
        <v>0</v>
      </c>
      <c r="AR11" s="26">
        <f>资产资本表!AR81</f>
        <v>0</v>
      </c>
      <c r="AS11" s="26">
        <f>资产资本表!AS81</f>
        <v>0</v>
      </c>
      <c r="AT11" s="26">
        <f>资产资本表!AT81</f>
        <v>0</v>
      </c>
      <c r="AU11" s="26">
        <f>资产资本表!AU81</f>
        <v>0</v>
      </c>
      <c r="AV11" s="26">
        <f>资产资本表!AV81</f>
        <v>0</v>
      </c>
      <c r="AW11" s="26">
        <f>资产资本表!AW81</f>
        <v>0</v>
      </c>
      <c r="AX11" s="26">
        <f>资产资本表!AX81</f>
        <v>0</v>
      </c>
      <c r="AY11" s="26">
        <f>资产资本表!AY81</f>
        <v>0</v>
      </c>
      <c r="AZ11" s="26">
        <f>资产资本表!AZ81</f>
        <v>0</v>
      </c>
      <c r="BA11" s="26">
        <f>资产资本表!BA81</f>
        <v>0</v>
      </c>
      <c r="BB11" s="26">
        <f>资产资本表!BB81</f>
        <v>0</v>
      </c>
      <c r="BC11" s="26">
        <f>资产资本表!BC81</f>
        <v>0</v>
      </c>
      <c r="BD11" s="26">
        <f>资产资本表!BD81</f>
        <v>0</v>
      </c>
      <c r="BE11" s="26">
        <f>资产资本表!BE81</f>
        <v>0</v>
      </c>
      <c r="BF11" s="26">
        <f>资产资本表!BF81</f>
        <v>0</v>
      </c>
      <c r="BG11" s="26">
        <f>资产资本表!BG81</f>
        <v>0</v>
      </c>
      <c r="BH11" s="26">
        <f>资产资本表!BH81</f>
        <v>0</v>
      </c>
      <c r="BI11" s="26">
        <f>资产资本表!BI81</f>
        <v>0</v>
      </c>
      <c r="BJ11" s="26">
        <f>资产资本表!BJ81</f>
        <v>0</v>
      </c>
      <c r="BK11" s="26">
        <f>资产资本表!BK81</f>
        <v>0</v>
      </c>
      <c r="BL11" s="26">
        <f>资产资本表!BL81</f>
        <v>0</v>
      </c>
      <c r="BM11" s="26">
        <f>资产资本表!BM81</f>
        <v>0</v>
      </c>
      <c r="BN11" s="26">
        <f>资产资本表!BN81</f>
        <v>0</v>
      </c>
      <c r="BO11" s="26">
        <f>资产资本表!BO81</f>
        <v>0</v>
      </c>
      <c r="BP11" s="26">
        <f>资产资本表!BP81</f>
        <v>0</v>
      </c>
      <c r="BQ11" s="26">
        <f>资产资本表!BQ81</f>
        <v>0</v>
      </c>
      <c r="BR11" s="26">
        <f>资产资本表!BR81</f>
        <v>0</v>
      </c>
      <c r="BS11" s="26">
        <f>资产资本表!BS81</f>
        <v>0</v>
      </c>
      <c r="BT11" s="26">
        <f>资产资本表!BT81</f>
        <v>0</v>
      </c>
      <c r="BU11" s="26">
        <f>资产资本表!BU81</f>
        <v>0</v>
      </c>
      <c r="BV11" s="26">
        <f>资产资本表!BV81</f>
        <v>0</v>
      </c>
      <c r="BW11" s="26">
        <f>资产资本表!BW81</f>
        <v>0</v>
      </c>
      <c r="BX11" s="26">
        <f>资产资本表!BX81</f>
        <v>0</v>
      </c>
      <c r="BY11" s="26">
        <f>资产资本表!BY81</f>
        <v>0</v>
      </c>
      <c r="BZ11" s="26">
        <f>资产资本表!BZ81</f>
        <v>0</v>
      </c>
      <c r="CA11" s="26">
        <f>资产资本表!CA81</f>
        <v>0</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41" t="s">
        <v>639</v>
      </c>
      <c r="E12" s="26">
        <f>资产资本表!E89</f>
        <v>5272825801.8800001</v>
      </c>
      <c r="F12" s="26">
        <f>资产资本表!F89</f>
        <v>5848449273.0599995</v>
      </c>
      <c r="G12" s="26">
        <f>资产资本表!G89</f>
        <v>7123955732.0799999</v>
      </c>
      <c r="H12" s="26">
        <f>资产资本表!H89</f>
        <v>7448889161.8999996</v>
      </c>
      <c r="I12" s="26">
        <f>资产资本表!I89</f>
        <v>4801078753.9500008</v>
      </c>
      <c r="J12" s="26">
        <f>资产资本表!J89</f>
        <v>4412120835.5900002</v>
      </c>
      <c r="K12" s="26">
        <f>资产资本表!K89</f>
        <v>4067256018.0799999</v>
      </c>
      <c r="L12" s="26">
        <f>资产资本表!L89</f>
        <v>4380626294.1300001</v>
      </c>
      <c r="M12" s="26">
        <f>资产资本表!M89</f>
        <v>2169735897.8000002</v>
      </c>
      <c r="N12" s="26">
        <f>资产资本表!N89</f>
        <v>2139146086.8399999</v>
      </c>
      <c r="O12" s="26">
        <f>资产资本表!O89</f>
        <v>2724879718.79</v>
      </c>
      <c r="P12" s="26">
        <f>资产资本表!P89</f>
        <v>1139221412.9499998</v>
      </c>
      <c r="Q12" s="26">
        <f>资产资本表!Q89</f>
        <v>610077989.11000001</v>
      </c>
      <c r="R12" s="26">
        <f>资产资本表!R89</f>
        <v>877901119.61000001</v>
      </c>
      <c r="S12" s="26">
        <f>资产资本表!S89</f>
        <v>883427998.23000002</v>
      </c>
      <c r="T12" s="26">
        <f>资产资本表!T89</f>
        <v>646202298.55999994</v>
      </c>
      <c r="U12" s="26">
        <f>资产资本表!U89</f>
        <v>196569798.19999999</v>
      </c>
      <c r="V12" s="26">
        <f>资产资本表!V89</f>
        <v>129065063.58</v>
      </c>
      <c r="W12" s="26">
        <f>资产资本表!W89</f>
        <v>51136164.670000002</v>
      </c>
      <c r="X12" s="26">
        <f>资产资本表!X89</f>
        <v>89004909.25</v>
      </c>
      <c r="Y12" s="26">
        <f>资产资本表!Y89</f>
        <v>3000000</v>
      </c>
      <c r="Z12" s="26">
        <f>资产资本表!Z89</f>
        <v>3000000</v>
      </c>
      <c r="AA12" s="26">
        <f>资产资本表!AA89</f>
        <v>3000000</v>
      </c>
      <c r="AB12" s="26">
        <f>资产资本表!AB89</f>
        <v>3000000</v>
      </c>
      <c r="AC12" s="26">
        <f>资产资本表!AC89</f>
        <v>3000000</v>
      </c>
      <c r="AD12" s="26">
        <f>资产资本表!AD89</f>
        <v>29028697.93</v>
      </c>
      <c r="AE12" s="26">
        <f>资产资本表!AE89</f>
        <v>29580168.390000001</v>
      </c>
      <c r="AF12" s="26">
        <f>资产资本表!AF89</f>
        <v>29646364.120000001</v>
      </c>
      <c r="AG12" s="26">
        <f>资产资本表!AG89</f>
        <v>29041325</v>
      </c>
      <c r="AH12" s="26">
        <f>资产资本表!AH89</f>
        <v>30200000</v>
      </c>
      <c r="AI12" s="26">
        <f>资产资本表!AI89</f>
        <v>30200000</v>
      </c>
      <c r="AJ12" s="26">
        <f>资产资本表!AJ89</f>
        <v>57574000</v>
      </c>
      <c r="AK12" s="26">
        <f>资产资本表!AK89</f>
        <v>57615325</v>
      </c>
      <c r="AL12" s="26">
        <f>资产资本表!AL89</f>
        <v>2000000</v>
      </c>
      <c r="AM12" s="26">
        <f>资产资本表!AM89</f>
        <v>45038325</v>
      </c>
      <c r="AN12" s="26">
        <f>资产资本表!AN89</f>
        <v>0</v>
      </c>
      <c r="AO12" s="26">
        <f>资产资本表!AO89</f>
        <v>0</v>
      </c>
      <c r="AP12" s="26">
        <f>资产资本表!AP89</f>
        <v>0</v>
      </c>
      <c r="AQ12" s="26">
        <f>资产资本表!AQ89</f>
        <v>0</v>
      </c>
      <c r="AR12" s="26">
        <f>资产资本表!AR89</f>
        <v>0</v>
      </c>
      <c r="AS12" s="26">
        <f>资产资本表!AS89</f>
        <v>0</v>
      </c>
      <c r="AT12" s="26">
        <f>资产资本表!AT89</f>
        <v>0</v>
      </c>
      <c r="AU12" s="26">
        <f>资产资本表!AU89</f>
        <v>0</v>
      </c>
      <c r="AV12" s="26">
        <f>资产资本表!AV89</f>
        <v>0</v>
      </c>
      <c r="AW12" s="26">
        <f>资产资本表!AW89</f>
        <v>0</v>
      </c>
      <c r="AX12" s="26">
        <f>资产资本表!AX89</f>
        <v>0</v>
      </c>
      <c r="AY12" s="26">
        <f>资产资本表!AY89</f>
        <v>0</v>
      </c>
      <c r="AZ12" s="26">
        <f>资产资本表!AZ89</f>
        <v>0</v>
      </c>
      <c r="BA12" s="26">
        <f>资产资本表!BA89</f>
        <v>0</v>
      </c>
      <c r="BB12" s="26">
        <f>资产资本表!BB89</f>
        <v>0</v>
      </c>
      <c r="BC12" s="26">
        <f>资产资本表!BC89</f>
        <v>0</v>
      </c>
      <c r="BD12" s="26">
        <f>资产资本表!BD89</f>
        <v>0</v>
      </c>
      <c r="BE12" s="26">
        <f>资产资本表!BE89</f>
        <v>0</v>
      </c>
      <c r="BF12" s="26">
        <f>资产资本表!BF89</f>
        <v>0</v>
      </c>
      <c r="BG12" s="26">
        <f>资产资本表!BG89</f>
        <v>0</v>
      </c>
      <c r="BH12" s="26">
        <f>资产资本表!BH89</f>
        <v>0</v>
      </c>
      <c r="BI12" s="26">
        <f>资产资本表!BI89</f>
        <v>0</v>
      </c>
      <c r="BJ12" s="26">
        <f>资产资本表!BJ89</f>
        <v>0</v>
      </c>
      <c r="BK12" s="26">
        <f>资产资本表!BK89</f>
        <v>0</v>
      </c>
      <c r="BL12" s="26">
        <f>资产资本表!BL89</f>
        <v>0</v>
      </c>
      <c r="BM12" s="26">
        <f>资产资本表!BM89</f>
        <v>0</v>
      </c>
      <c r="BN12" s="26">
        <f>资产资本表!BN89</f>
        <v>0</v>
      </c>
      <c r="BO12" s="26">
        <f>资产资本表!BO89</f>
        <v>0</v>
      </c>
      <c r="BP12" s="26">
        <f>资产资本表!BP89</f>
        <v>0</v>
      </c>
      <c r="BQ12" s="26">
        <f>资产资本表!BQ89</f>
        <v>0</v>
      </c>
      <c r="BR12" s="26">
        <f>资产资本表!BR89</f>
        <v>0</v>
      </c>
      <c r="BS12" s="26">
        <f>资产资本表!BS89</f>
        <v>0</v>
      </c>
      <c r="BT12" s="26">
        <f>资产资本表!BT89</f>
        <v>0</v>
      </c>
      <c r="BU12" s="26">
        <f>资产资本表!BU89</f>
        <v>0</v>
      </c>
      <c r="BV12" s="26">
        <f>资产资本表!BV89</f>
        <v>0</v>
      </c>
      <c r="BW12" s="26">
        <f>资产资本表!BW89</f>
        <v>0</v>
      </c>
      <c r="BX12" s="26">
        <f>资产资本表!BX89</f>
        <v>0</v>
      </c>
      <c r="BY12" s="26">
        <f>资产资本表!BY89</f>
        <v>0</v>
      </c>
      <c r="BZ12" s="26">
        <f>资产资本表!BZ89</f>
        <v>0</v>
      </c>
      <c r="CA12" s="26">
        <f>资产资本表!CA89</f>
        <v>0</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41" t="s">
        <v>346</v>
      </c>
      <c r="E13" s="26">
        <f>E9-E12</f>
        <v>30762047215.740002</v>
      </c>
      <c r="F13" s="26">
        <f t="shared" ref="F13:BQ13" si="0">F9-F12</f>
        <v>27310618532.580002</v>
      </c>
      <c r="G13" s="26">
        <f t="shared" si="0"/>
        <v>24375793648.430008</v>
      </c>
      <c r="H13" s="26">
        <f t="shared" si="0"/>
        <v>26053947968.029999</v>
      </c>
      <c r="I13" s="26">
        <f t="shared" si="0"/>
        <v>24548712968.850002</v>
      </c>
      <c r="J13" s="26">
        <f t="shared" si="0"/>
        <v>21727414543.34</v>
      </c>
      <c r="K13" s="26">
        <f t="shared" si="0"/>
        <v>19245985417.269997</v>
      </c>
      <c r="L13" s="26">
        <f t="shared" si="0"/>
        <v>20556794957.609997</v>
      </c>
      <c r="M13" s="26">
        <f t="shared" si="0"/>
        <v>19383413235.77</v>
      </c>
      <c r="N13" s="26">
        <f t="shared" si="0"/>
        <v>17209384522.809998</v>
      </c>
      <c r="O13" s="26">
        <f t="shared" si="0"/>
        <v>15609238685.110001</v>
      </c>
      <c r="P13" s="26">
        <f t="shared" si="0"/>
        <v>15997644308.130001</v>
      </c>
      <c r="Q13" s="26">
        <f t="shared" si="0"/>
        <v>14920219991.029999</v>
      </c>
      <c r="R13" s="26">
        <f t="shared" si="0"/>
        <v>12988439010.319998</v>
      </c>
      <c r="S13" s="26">
        <f t="shared" si="0"/>
        <v>12788009971.459999</v>
      </c>
      <c r="T13" s="26">
        <f t="shared" si="0"/>
        <v>11929411048.49</v>
      </c>
      <c r="U13" s="26">
        <f t="shared" si="0"/>
        <v>11237954404.060001</v>
      </c>
      <c r="V13" s="26">
        <f t="shared" si="0"/>
        <v>9883281412.0400009</v>
      </c>
      <c r="W13" s="26">
        <f t="shared" si="0"/>
        <v>9712686533.4999981</v>
      </c>
      <c r="X13" s="26">
        <f t="shared" si="0"/>
        <v>9142694506.4799995</v>
      </c>
      <c r="Y13" s="26">
        <f t="shared" si="0"/>
        <v>8691418850.7199993</v>
      </c>
      <c r="Z13" s="26">
        <f t="shared" si="0"/>
        <v>7749388390.8999996</v>
      </c>
      <c r="AA13" s="26">
        <f t="shared" si="0"/>
        <v>7235091025.4400005</v>
      </c>
      <c r="AB13" s="26">
        <f t="shared" si="0"/>
        <v>7181997976.1100006</v>
      </c>
      <c r="AC13" s="26">
        <f t="shared" si="0"/>
        <v>6805674248.3000002</v>
      </c>
      <c r="AD13" s="26">
        <f t="shared" si="0"/>
        <v>6217292356.9699993</v>
      </c>
      <c r="AE13" s="26">
        <f t="shared" si="0"/>
        <v>5891751905.6899996</v>
      </c>
      <c r="AF13" s="26">
        <f t="shared" si="0"/>
        <v>5921160067.29</v>
      </c>
      <c r="AG13" s="26">
        <f t="shared" si="0"/>
        <v>5654006663.1899986</v>
      </c>
      <c r="AH13" s="26">
        <f t="shared" si="0"/>
        <v>5254195427.3499994</v>
      </c>
      <c r="AI13" s="26">
        <f t="shared" si="0"/>
        <v>5221498825.9400005</v>
      </c>
      <c r="AJ13" s="26">
        <f t="shared" si="0"/>
        <v>1713792322.9200001</v>
      </c>
      <c r="AK13" s="26">
        <f t="shared" si="0"/>
        <v>1507774052.6600001</v>
      </c>
      <c r="AL13" s="26">
        <f t="shared" si="0"/>
        <v>975899102.31999993</v>
      </c>
      <c r="AM13" s="26">
        <f t="shared" si="0"/>
        <v>577967177.38</v>
      </c>
      <c r="AN13" s="26">
        <f t="shared" si="0"/>
        <v>0</v>
      </c>
      <c r="AO13" s="26">
        <f t="shared" si="0"/>
        <v>0</v>
      </c>
      <c r="AP13" s="26">
        <f t="shared" si="0"/>
        <v>0</v>
      </c>
      <c r="AQ13" s="26">
        <f t="shared" si="0"/>
        <v>0</v>
      </c>
      <c r="AR13" s="26">
        <f t="shared" si="0"/>
        <v>0</v>
      </c>
      <c r="AS13" s="26">
        <f t="shared" si="0"/>
        <v>0</v>
      </c>
      <c r="AT13" s="26">
        <f t="shared" si="0"/>
        <v>0</v>
      </c>
      <c r="AU13" s="26">
        <f t="shared" si="0"/>
        <v>0</v>
      </c>
      <c r="AV13" s="26">
        <f t="shared" si="0"/>
        <v>0</v>
      </c>
      <c r="AW13" s="26">
        <f t="shared" si="0"/>
        <v>0</v>
      </c>
      <c r="AX13" s="26">
        <f t="shared" si="0"/>
        <v>0</v>
      </c>
      <c r="AY13" s="26">
        <f t="shared" si="0"/>
        <v>0</v>
      </c>
      <c r="AZ13" s="26">
        <f t="shared" si="0"/>
        <v>0</v>
      </c>
      <c r="BA13" s="26">
        <f t="shared" si="0"/>
        <v>0</v>
      </c>
      <c r="BB13" s="26">
        <f t="shared" si="0"/>
        <v>0</v>
      </c>
      <c r="BC13" s="26">
        <f t="shared" si="0"/>
        <v>0</v>
      </c>
      <c r="BD13" s="26">
        <f t="shared" si="0"/>
        <v>0</v>
      </c>
      <c r="BE13" s="26">
        <f t="shared" si="0"/>
        <v>0</v>
      </c>
      <c r="BF13" s="26">
        <f t="shared" si="0"/>
        <v>0</v>
      </c>
      <c r="BG13" s="26">
        <f t="shared" si="0"/>
        <v>0</v>
      </c>
      <c r="BH13" s="26">
        <f t="shared" si="0"/>
        <v>0</v>
      </c>
      <c r="BI13" s="26">
        <f t="shared" si="0"/>
        <v>0</v>
      </c>
      <c r="BJ13" s="26">
        <f t="shared" si="0"/>
        <v>0</v>
      </c>
      <c r="BK13" s="26">
        <f t="shared" si="0"/>
        <v>0</v>
      </c>
      <c r="BL13" s="26">
        <f t="shared" si="0"/>
        <v>0</v>
      </c>
      <c r="BM13" s="26">
        <f t="shared" si="0"/>
        <v>0</v>
      </c>
      <c r="BN13" s="26">
        <f t="shared" si="0"/>
        <v>0</v>
      </c>
      <c r="BO13" s="26">
        <f t="shared" si="0"/>
        <v>0</v>
      </c>
      <c r="BP13" s="26">
        <f t="shared" si="0"/>
        <v>0</v>
      </c>
      <c r="BQ13" s="26">
        <f t="shared" si="0"/>
        <v>0</v>
      </c>
      <c r="BR13" s="26">
        <f t="shared" ref="BR13:CL13" si="1">BR9-BR12</f>
        <v>0</v>
      </c>
      <c r="BS13" s="26">
        <f t="shared" si="1"/>
        <v>0</v>
      </c>
      <c r="BT13" s="26">
        <f t="shared" si="1"/>
        <v>0</v>
      </c>
      <c r="BU13" s="26">
        <f t="shared" si="1"/>
        <v>0</v>
      </c>
      <c r="BV13" s="26">
        <f t="shared" si="1"/>
        <v>0</v>
      </c>
      <c r="BW13" s="26">
        <f t="shared" si="1"/>
        <v>0</v>
      </c>
      <c r="BX13" s="26">
        <f t="shared" si="1"/>
        <v>0</v>
      </c>
      <c r="BY13" s="26">
        <f t="shared" si="1"/>
        <v>0</v>
      </c>
      <c r="BZ13" s="26">
        <f t="shared" si="1"/>
        <v>0</v>
      </c>
      <c r="CA13" s="26">
        <f t="shared" si="1"/>
        <v>0</v>
      </c>
      <c r="CB13" s="26">
        <f t="shared" si="1"/>
        <v>0</v>
      </c>
      <c r="CC13" s="26">
        <f t="shared" si="1"/>
        <v>0</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641</v>
      </c>
      <c r="E14" s="48">
        <f>E9</f>
        <v>36034873017.620003</v>
      </c>
      <c r="F14" s="48">
        <f t="shared" ref="F14:BQ14" si="2">F9</f>
        <v>33159067805.639999</v>
      </c>
      <c r="G14" s="48">
        <f t="shared" si="2"/>
        <v>31499749380.510006</v>
      </c>
      <c r="H14" s="48">
        <f t="shared" si="2"/>
        <v>33502837129.93</v>
      </c>
      <c r="I14" s="48">
        <f t="shared" si="2"/>
        <v>29349791722.800003</v>
      </c>
      <c r="J14" s="48">
        <f t="shared" si="2"/>
        <v>26139535378.93</v>
      </c>
      <c r="K14" s="48">
        <f t="shared" si="2"/>
        <v>23313241435.349998</v>
      </c>
      <c r="L14" s="48">
        <f t="shared" si="2"/>
        <v>24937421251.739998</v>
      </c>
      <c r="M14" s="48">
        <f t="shared" si="2"/>
        <v>21553149133.57</v>
      </c>
      <c r="N14" s="48">
        <f t="shared" si="2"/>
        <v>19348530609.649998</v>
      </c>
      <c r="O14" s="48">
        <f t="shared" si="2"/>
        <v>18334118403.900002</v>
      </c>
      <c r="P14" s="48">
        <f t="shared" si="2"/>
        <v>17136865721.080002</v>
      </c>
      <c r="Q14" s="48">
        <f t="shared" si="2"/>
        <v>15530297980.139999</v>
      </c>
      <c r="R14" s="48">
        <f t="shared" si="2"/>
        <v>13866340129.929998</v>
      </c>
      <c r="S14" s="48">
        <f t="shared" si="2"/>
        <v>13671437969.689999</v>
      </c>
      <c r="T14" s="48">
        <f t="shared" si="2"/>
        <v>12575613347.049999</v>
      </c>
      <c r="U14" s="48">
        <f t="shared" si="2"/>
        <v>11434524202.260002</v>
      </c>
      <c r="V14" s="48">
        <f t="shared" si="2"/>
        <v>10012346475.620001</v>
      </c>
      <c r="W14" s="48">
        <f t="shared" si="2"/>
        <v>9763822698.1699982</v>
      </c>
      <c r="X14" s="48">
        <f t="shared" si="2"/>
        <v>9231699415.7299995</v>
      </c>
      <c r="Y14" s="48">
        <f t="shared" si="2"/>
        <v>8694418850.7199993</v>
      </c>
      <c r="Z14" s="48">
        <f t="shared" si="2"/>
        <v>7752388390.8999996</v>
      </c>
      <c r="AA14" s="48">
        <f t="shared" si="2"/>
        <v>7238091025.4400005</v>
      </c>
      <c r="AB14" s="48">
        <f t="shared" si="2"/>
        <v>7184997976.1100006</v>
      </c>
      <c r="AC14" s="48">
        <f t="shared" si="2"/>
        <v>6808674248.3000002</v>
      </c>
      <c r="AD14" s="48">
        <f t="shared" si="2"/>
        <v>6246321054.8999996</v>
      </c>
      <c r="AE14" s="48">
        <f t="shared" si="2"/>
        <v>5921332074.0799999</v>
      </c>
      <c r="AF14" s="48">
        <f t="shared" si="2"/>
        <v>5950806431.4099998</v>
      </c>
      <c r="AG14" s="48">
        <f t="shared" si="2"/>
        <v>5683047988.1899986</v>
      </c>
      <c r="AH14" s="48">
        <f t="shared" si="2"/>
        <v>5284395427.3499994</v>
      </c>
      <c r="AI14" s="48">
        <f t="shared" si="2"/>
        <v>5251698825.9400005</v>
      </c>
      <c r="AJ14" s="48">
        <f t="shared" si="2"/>
        <v>1771366322.9200001</v>
      </c>
      <c r="AK14" s="48">
        <f t="shared" si="2"/>
        <v>1565389377.6600001</v>
      </c>
      <c r="AL14" s="48">
        <f t="shared" si="2"/>
        <v>977899102.31999993</v>
      </c>
      <c r="AM14" s="48">
        <f t="shared" si="2"/>
        <v>623005502.38</v>
      </c>
      <c r="AN14" s="48">
        <f t="shared" si="2"/>
        <v>0</v>
      </c>
      <c r="AO14" s="48">
        <f t="shared" si="2"/>
        <v>0</v>
      </c>
      <c r="AP14" s="48">
        <f t="shared" si="2"/>
        <v>0</v>
      </c>
      <c r="AQ14" s="48">
        <f t="shared" si="2"/>
        <v>0</v>
      </c>
      <c r="AR14" s="48">
        <f t="shared" si="2"/>
        <v>0</v>
      </c>
      <c r="AS14" s="48">
        <f t="shared" si="2"/>
        <v>0</v>
      </c>
      <c r="AT14" s="48">
        <f t="shared" si="2"/>
        <v>0</v>
      </c>
      <c r="AU14" s="48">
        <f t="shared" si="2"/>
        <v>0</v>
      </c>
      <c r="AV14" s="48">
        <f t="shared" si="2"/>
        <v>0</v>
      </c>
      <c r="AW14" s="48">
        <f t="shared" si="2"/>
        <v>0</v>
      </c>
      <c r="AX14" s="48">
        <f t="shared" si="2"/>
        <v>0</v>
      </c>
      <c r="AY14" s="48">
        <f t="shared" si="2"/>
        <v>0</v>
      </c>
      <c r="AZ14" s="48">
        <f t="shared" si="2"/>
        <v>0</v>
      </c>
      <c r="BA14" s="48">
        <f t="shared" si="2"/>
        <v>0</v>
      </c>
      <c r="BB14" s="48">
        <f t="shared" si="2"/>
        <v>0</v>
      </c>
      <c r="BC14" s="48">
        <f t="shared" si="2"/>
        <v>0</v>
      </c>
      <c r="BD14" s="48">
        <f t="shared" si="2"/>
        <v>0</v>
      </c>
      <c r="BE14" s="48">
        <f t="shared" si="2"/>
        <v>0</v>
      </c>
      <c r="BF14" s="48">
        <f t="shared" si="2"/>
        <v>0</v>
      </c>
      <c r="BG14" s="48">
        <f t="shared" si="2"/>
        <v>0</v>
      </c>
      <c r="BH14" s="48">
        <f t="shared" si="2"/>
        <v>0</v>
      </c>
      <c r="BI14" s="48">
        <f t="shared" si="2"/>
        <v>0</v>
      </c>
      <c r="BJ14" s="48">
        <f t="shared" si="2"/>
        <v>0</v>
      </c>
      <c r="BK14" s="48">
        <f t="shared" si="2"/>
        <v>0</v>
      </c>
      <c r="BL14" s="48">
        <f t="shared" si="2"/>
        <v>0</v>
      </c>
      <c r="BM14" s="48">
        <f t="shared" si="2"/>
        <v>0</v>
      </c>
      <c r="BN14" s="48">
        <f t="shared" si="2"/>
        <v>0</v>
      </c>
      <c r="BO14" s="48">
        <f t="shared" si="2"/>
        <v>0</v>
      </c>
      <c r="BP14" s="48">
        <f t="shared" si="2"/>
        <v>0</v>
      </c>
      <c r="BQ14" s="48">
        <f t="shared" si="2"/>
        <v>0</v>
      </c>
      <c r="BR14" s="48">
        <f t="shared" ref="BR14:CL14" si="3">BR9</f>
        <v>0</v>
      </c>
      <c r="BS14" s="48">
        <f t="shared" si="3"/>
        <v>0</v>
      </c>
      <c r="BT14" s="48">
        <f t="shared" si="3"/>
        <v>0</v>
      </c>
      <c r="BU14" s="48">
        <f t="shared" si="3"/>
        <v>0</v>
      </c>
      <c r="BV14" s="48">
        <f t="shared" si="3"/>
        <v>0</v>
      </c>
      <c r="BW14" s="48">
        <f t="shared" si="3"/>
        <v>0</v>
      </c>
      <c r="BX14" s="48">
        <f t="shared" si="3"/>
        <v>0</v>
      </c>
      <c r="BY14" s="48">
        <f t="shared" si="3"/>
        <v>0</v>
      </c>
      <c r="BZ14" s="48">
        <f t="shared" si="3"/>
        <v>0</v>
      </c>
      <c r="CA14" s="48">
        <f t="shared" si="3"/>
        <v>0</v>
      </c>
      <c r="CB14" s="48">
        <f t="shared" si="3"/>
        <v>0</v>
      </c>
      <c r="CC14" s="48">
        <f t="shared" si="3"/>
        <v>0</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x14ac:dyDescent="0.25">
      <c r="A15" s="46" t="s">
        <v>344</v>
      </c>
      <c r="E15" s="58">
        <f>E11+E13-E3-E4-E7</f>
        <v>15100529409.919992</v>
      </c>
      <c r="F15" s="58">
        <f t="shared" ref="F15:BQ15" si="4">F11+F13-F3-F4-F7</f>
        <v>12065377514.709999</v>
      </c>
      <c r="G15" s="58">
        <f t="shared" si="4"/>
        <v>10768778996.380001</v>
      </c>
      <c r="H15" s="58">
        <f t="shared" si="4"/>
        <v>13855768684.680002</v>
      </c>
      <c r="I15" s="58">
        <f t="shared" si="4"/>
        <v>13816955063.67</v>
      </c>
      <c r="J15" s="58">
        <f t="shared" si="4"/>
        <v>11972907558.629997</v>
      </c>
      <c r="K15" s="58">
        <f t="shared" si="4"/>
        <v>9825342564.0900021</v>
      </c>
      <c r="L15" s="58">
        <f t="shared" si="4"/>
        <v>8146254755.2699966</v>
      </c>
      <c r="M15" s="58">
        <f t="shared" si="4"/>
        <v>8681712417.9099998</v>
      </c>
      <c r="N15" s="58">
        <f t="shared" si="4"/>
        <v>5955074132.6799994</v>
      </c>
      <c r="O15" s="58">
        <f t="shared" si="4"/>
        <v>4747323309.0300007</v>
      </c>
      <c r="P15" s="58">
        <f t="shared" si="4"/>
        <v>5698911247.5</v>
      </c>
      <c r="Q15" s="58">
        <f t="shared" si="4"/>
        <v>6840978202.8199987</v>
      </c>
      <c r="R15" s="58">
        <f t="shared" si="4"/>
        <v>2638056207.7599993</v>
      </c>
      <c r="S15" s="58">
        <f t="shared" si="4"/>
        <v>3223120213.6300011</v>
      </c>
      <c r="T15" s="58">
        <f t="shared" si="4"/>
        <v>3136233826.8600006</v>
      </c>
      <c r="U15" s="58">
        <f t="shared" si="4"/>
        <v>4408806547.4000015</v>
      </c>
      <c r="V15" s="58">
        <f t="shared" si="4"/>
        <v>5100750796.1499996</v>
      </c>
      <c r="W15" s="58">
        <f t="shared" si="4"/>
        <v>5484841158.1099987</v>
      </c>
      <c r="X15" s="58">
        <f t="shared" si="4"/>
        <v>5091817689.0599985</v>
      </c>
      <c r="Y15" s="58">
        <f t="shared" si="4"/>
        <v>5834759469.1999989</v>
      </c>
      <c r="Z15" s="58">
        <f t="shared" si="4"/>
        <v>4643066329.4399996</v>
      </c>
      <c r="AA15" s="58">
        <f t="shared" si="4"/>
        <v>4592336693.7900009</v>
      </c>
      <c r="AB15" s="58">
        <f t="shared" si="4"/>
        <v>4700147603.8900003</v>
      </c>
      <c r="AC15" s="58">
        <f t="shared" si="4"/>
        <v>5244489946.3900003</v>
      </c>
      <c r="AD15" s="58">
        <f t="shared" si="4"/>
        <v>4099017504.1399999</v>
      </c>
      <c r="AE15" s="58">
        <f t="shared" si="4"/>
        <v>4161507505.5799994</v>
      </c>
      <c r="AF15" s="58">
        <f t="shared" si="4"/>
        <v>4350841324.1599998</v>
      </c>
      <c r="AG15" s="58">
        <f t="shared" si="4"/>
        <v>4620915653.1499996</v>
      </c>
      <c r="AH15" s="58">
        <f t="shared" si="4"/>
        <v>3813886974.6799998</v>
      </c>
      <c r="AI15" s="58">
        <f t="shared" si="4"/>
        <v>4143895458.0500007</v>
      </c>
      <c r="AJ15" s="58">
        <f t="shared" si="4"/>
        <v>735037039.29999995</v>
      </c>
      <c r="AK15" s="58">
        <f t="shared" si="4"/>
        <v>1121147065.8499999</v>
      </c>
      <c r="AL15" s="58">
        <f t="shared" si="4"/>
        <v>844381117.82999992</v>
      </c>
      <c r="AM15" s="58">
        <f t="shared" si="4"/>
        <v>403676671.71000004</v>
      </c>
      <c r="AN15" s="58">
        <f t="shared" si="4"/>
        <v>0</v>
      </c>
      <c r="AO15" s="58">
        <f t="shared" si="4"/>
        <v>0</v>
      </c>
      <c r="AP15" s="58">
        <f t="shared" si="4"/>
        <v>0</v>
      </c>
      <c r="AQ15" s="58">
        <f t="shared" si="4"/>
        <v>0</v>
      </c>
      <c r="AR15" s="58">
        <f t="shared" si="4"/>
        <v>0</v>
      </c>
      <c r="AS15" s="58">
        <f t="shared" si="4"/>
        <v>0</v>
      </c>
      <c r="AT15" s="58">
        <f t="shared" si="4"/>
        <v>0</v>
      </c>
      <c r="AU15" s="58">
        <f t="shared" si="4"/>
        <v>0</v>
      </c>
      <c r="AV15" s="58">
        <f t="shared" si="4"/>
        <v>0</v>
      </c>
      <c r="AW15" s="58">
        <f t="shared" si="4"/>
        <v>0</v>
      </c>
      <c r="AX15" s="58">
        <f t="shared" si="4"/>
        <v>0</v>
      </c>
      <c r="AY15" s="58">
        <f t="shared" si="4"/>
        <v>0</v>
      </c>
      <c r="AZ15" s="58">
        <f t="shared" si="4"/>
        <v>0</v>
      </c>
      <c r="BA15" s="58">
        <f t="shared" si="4"/>
        <v>0</v>
      </c>
      <c r="BB15" s="58">
        <f t="shared" si="4"/>
        <v>0</v>
      </c>
      <c r="BC15" s="58">
        <f t="shared" si="4"/>
        <v>0</v>
      </c>
      <c r="BD15" s="58">
        <f t="shared" si="4"/>
        <v>0</v>
      </c>
      <c r="BE15" s="58">
        <f t="shared" si="4"/>
        <v>0</v>
      </c>
      <c r="BF15" s="58">
        <f t="shared" si="4"/>
        <v>0</v>
      </c>
      <c r="BG15" s="58">
        <f t="shared" si="4"/>
        <v>0</v>
      </c>
      <c r="BH15" s="58">
        <f t="shared" si="4"/>
        <v>0</v>
      </c>
      <c r="BI15" s="58">
        <f t="shared" si="4"/>
        <v>0</v>
      </c>
      <c r="BJ15" s="58">
        <f t="shared" si="4"/>
        <v>0</v>
      </c>
      <c r="BK15" s="58">
        <f t="shared" si="4"/>
        <v>0</v>
      </c>
      <c r="BL15" s="58">
        <f t="shared" si="4"/>
        <v>0</v>
      </c>
      <c r="BM15" s="58">
        <f t="shared" si="4"/>
        <v>0</v>
      </c>
      <c r="BN15" s="58">
        <f t="shared" si="4"/>
        <v>0</v>
      </c>
      <c r="BO15" s="58">
        <f t="shared" si="4"/>
        <v>0</v>
      </c>
      <c r="BP15" s="58">
        <f t="shared" si="4"/>
        <v>0</v>
      </c>
      <c r="BQ15" s="58">
        <f t="shared" si="4"/>
        <v>0</v>
      </c>
      <c r="BR15" s="58">
        <f t="shared" ref="BR15:CL15" si="5">BR11+BR13-BR3-BR4-BR7</f>
        <v>0</v>
      </c>
      <c r="BS15" s="58">
        <f t="shared" si="5"/>
        <v>0</v>
      </c>
      <c r="BT15" s="58">
        <f t="shared" si="5"/>
        <v>0</v>
      </c>
      <c r="BU15" s="58">
        <f t="shared" si="5"/>
        <v>0</v>
      </c>
      <c r="BV15" s="58">
        <f t="shared" si="5"/>
        <v>0</v>
      </c>
      <c r="BW15" s="58">
        <f t="shared" si="5"/>
        <v>0</v>
      </c>
      <c r="BX15" s="58">
        <f t="shared" si="5"/>
        <v>0</v>
      </c>
      <c r="BY15" s="58">
        <f t="shared" si="5"/>
        <v>0</v>
      </c>
      <c r="BZ15" s="58">
        <f t="shared" si="5"/>
        <v>0</v>
      </c>
      <c r="CA15" s="58">
        <f t="shared" si="5"/>
        <v>0</v>
      </c>
      <c r="CB15" s="58">
        <f t="shared" si="5"/>
        <v>0</v>
      </c>
      <c r="CC15" s="58">
        <f t="shared" si="5"/>
        <v>0</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x14ac:dyDescent="0.25">
      <c r="A16" s="46" t="s">
        <v>345</v>
      </c>
      <c r="E16" s="58">
        <f>E10-E2</f>
        <v>-15100529409.92</v>
      </c>
      <c r="F16" s="58">
        <f t="shared" ref="F16:BQ16" si="6">F10-F2</f>
        <v>-12065377514.709999</v>
      </c>
      <c r="G16" s="58">
        <f t="shared" si="6"/>
        <v>-10768778996.379999</v>
      </c>
      <c r="H16" s="58">
        <f t="shared" si="6"/>
        <v>-13855768684.68</v>
      </c>
      <c r="I16" s="58">
        <f t="shared" si="6"/>
        <v>-13816955063.67</v>
      </c>
      <c r="J16" s="58">
        <f t="shared" si="6"/>
        <v>-11972907558.629999</v>
      </c>
      <c r="K16" s="58">
        <f t="shared" si="6"/>
        <v>-9825342564.0900002</v>
      </c>
      <c r="L16" s="58">
        <f t="shared" si="6"/>
        <v>-8146254755.2699995</v>
      </c>
      <c r="M16" s="58">
        <f t="shared" si="6"/>
        <v>-8681712417.9099998</v>
      </c>
      <c r="N16" s="58">
        <f t="shared" si="6"/>
        <v>-5955074132.6800003</v>
      </c>
      <c r="O16" s="58">
        <f t="shared" si="6"/>
        <v>-4747323309.0299997</v>
      </c>
      <c r="P16" s="58">
        <f t="shared" si="6"/>
        <v>-5698911247.5</v>
      </c>
      <c r="Q16" s="58">
        <f t="shared" si="6"/>
        <v>-6840978202.8199997</v>
      </c>
      <c r="R16" s="58">
        <f t="shared" si="6"/>
        <v>-2638056207.7599998</v>
      </c>
      <c r="S16" s="58">
        <f t="shared" si="6"/>
        <v>-3223120213.6300001</v>
      </c>
      <c r="T16" s="58">
        <f t="shared" si="6"/>
        <v>-3136233826.8600001</v>
      </c>
      <c r="U16" s="58">
        <f t="shared" si="6"/>
        <v>-4408806547.4000006</v>
      </c>
      <c r="V16" s="58">
        <f t="shared" si="6"/>
        <v>-5100750796.1499996</v>
      </c>
      <c r="W16" s="58">
        <f t="shared" si="6"/>
        <v>-5484841158.1099997</v>
      </c>
      <c r="X16" s="58">
        <f t="shared" si="6"/>
        <v>-5091817689.0600004</v>
      </c>
      <c r="Y16" s="58">
        <f t="shared" si="6"/>
        <v>-5834759469.1999998</v>
      </c>
      <c r="Z16" s="58">
        <f t="shared" si="6"/>
        <v>-4643066329.4399996</v>
      </c>
      <c r="AA16" s="58">
        <f t="shared" si="6"/>
        <v>-4592336693.79</v>
      </c>
      <c r="AB16" s="58">
        <f t="shared" si="6"/>
        <v>-4700147603.8900003</v>
      </c>
      <c r="AC16" s="58">
        <f t="shared" si="6"/>
        <v>-5244489946.3900003</v>
      </c>
      <c r="AD16" s="58">
        <f t="shared" si="6"/>
        <v>-4099017504.1400003</v>
      </c>
      <c r="AE16" s="58">
        <f t="shared" si="6"/>
        <v>-4161507505.5799999</v>
      </c>
      <c r="AF16" s="58">
        <f t="shared" si="6"/>
        <v>-4350841324.1599998</v>
      </c>
      <c r="AG16" s="58">
        <f t="shared" si="6"/>
        <v>-4620915653.1499996</v>
      </c>
      <c r="AH16" s="58">
        <f t="shared" si="6"/>
        <v>-3813886974.6799998</v>
      </c>
      <c r="AI16" s="58">
        <f t="shared" si="6"/>
        <v>-4143895458.0500002</v>
      </c>
      <c r="AJ16" s="58">
        <f t="shared" si="6"/>
        <v>-735037039.29999995</v>
      </c>
      <c r="AK16" s="58">
        <f t="shared" si="6"/>
        <v>-1121147065.8499999</v>
      </c>
      <c r="AL16" s="58">
        <f t="shared" si="6"/>
        <v>-844381117.83000004</v>
      </c>
      <c r="AM16" s="58">
        <f t="shared" si="6"/>
        <v>-403676671.70999998</v>
      </c>
      <c r="AN16" s="58">
        <f t="shared" si="6"/>
        <v>0</v>
      </c>
      <c r="AO16" s="58">
        <f t="shared" si="6"/>
        <v>0</v>
      </c>
      <c r="AP16" s="58">
        <f t="shared" si="6"/>
        <v>0</v>
      </c>
      <c r="AQ16" s="58">
        <f t="shared" si="6"/>
        <v>0</v>
      </c>
      <c r="AR16" s="58">
        <f t="shared" si="6"/>
        <v>0</v>
      </c>
      <c r="AS16" s="58">
        <f t="shared" si="6"/>
        <v>0</v>
      </c>
      <c r="AT16" s="58">
        <f t="shared" si="6"/>
        <v>0</v>
      </c>
      <c r="AU16" s="58">
        <f t="shared" si="6"/>
        <v>0</v>
      </c>
      <c r="AV16" s="58">
        <f t="shared" si="6"/>
        <v>0</v>
      </c>
      <c r="AW16" s="58">
        <f t="shared" si="6"/>
        <v>0</v>
      </c>
      <c r="AX16" s="58">
        <f t="shared" si="6"/>
        <v>0</v>
      </c>
      <c r="AY16" s="58">
        <f t="shared" si="6"/>
        <v>0</v>
      </c>
      <c r="AZ16" s="58">
        <f t="shared" si="6"/>
        <v>0</v>
      </c>
      <c r="BA16" s="58">
        <f t="shared" si="6"/>
        <v>0</v>
      </c>
      <c r="BB16" s="58">
        <f t="shared" si="6"/>
        <v>0</v>
      </c>
      <c r="BC16" s="58">
        <f t="shared" si="6"/>
        <v>0</v>
      </c>
      <c r="BD16" s="58">
        <f t="shared" si="6"/>
        <v>0</v>
      </c>
      <c r="BE16" s="58">
        <f t="shared" si="6"/>
        <v>0</v>
      </c>
      <c r="BF16" s="58">
        <f t="shared" si="6"/>
        <v>0</v>
      </c>
      <c r="BG16" s="58">
        <f t="shared" si="6"/>
        <v>0</v>
      </c>
      <c r="BH16" s="58">
        <f t="shared" si="6"/>
        <v>0</v>
      </c>
      <c r="BI16" s="58">
        <f t="shared" si="6"/>
        <v>0</v>
      </c>
      <c r="BJ16" s="58">
        <f t="shared" si="6"/>
        <v>0</v>
      </c>
      <c r="BK16" s="58">
        <f t="shared" si="6"/>
        <v>0</v>
      </c>
      <c r="BL16" s="58">
        <f t="shared" si="6"/>
        <v>0</v>
      </c>
      <c r="BM16" s="58">
        <f t="shared" si="6"/>
        <v>0</v>
      </c>
      <c r="BN16" s="58">
        <f t="shared" si="6"/>
        <v>0</v>
      </c>
      <c r="BO16" s="58">
        <f t="shared" si="6"/>
        <v>0</v>
      </c>
      <c r="BP16" s="58">
        <f t="shared" si="6"/>
        <v>0</v>
      </c>
      <c r="BQ16" s="58">
        <f t="shared" si="6"/>
        <v>0</v>
      </c>
      <c r="BR16" s="58">
        <f t="shared" ref="BR16:CL16" si="7">BR10-BR2</f>
        <v>0</v>
      </c>
      <c r="BS16" s="58">
        <f t="shared" si="7"/>
        <v>0</v>
      </c>
      <c r="BT16" s="58">
        <f t="shared" si="7"/>
        <v>0</v>
      </c>
      <c r="BU16" s="58">
        <f t="shared" si="7"/>
        <v>0</v>
      </c>
      <c r="BV16" s="58">
        <f t="shared" si="7"/>
        <v>0</v>
      </c>
      <c r="BW16" s="58">
        <f t="shared" si="7"/>
        <v>0</v>
      </c>
      <c r="BX16" s="58">
        <f t="shared" si="7"/>
        <v>0</v>
      </c>
      <c r="BY16" s="58">
        <f t="shared" si="7"/>
        <v>0</v>
      </c>
      <c r="BZ16" s="58">
        <f t="shared" si="7"/>
        <v>0</v>
      </c>
      <c r="CA16" s="58">
        <f t="shared" si="7"/>
        <v>0</v>
      </c>
      <c r="CB16" s="58">
        <f t="shared" si="7"/>
        <v>0</v>
      </c>
      <c r="CC16" s="58">
        <f t="shared" si="7"/>
        <v>0</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x14ac:dyDescent="0.25">
      <c r="A17" s="66" t="s">
        <v>666</v>
      </c>
      <c r="E17" s="59">
        <f>(E11+E13-E7-E3)/E4</f>
        <v>2.1920156458826239</v>
      </c>
      <c r="F17" s="59">
        <f t="shared" ref="F17:BQ17" si="8">(F11+F13-F7-F3)/F4</f>
        <v>1.8437615706518782</v>
      </c>
      <c r="G17" s="59">
        <f t="shared" si="8"/>
        <v>1.8239951312273694</v>
      </c>
      <c r="H17" s="59">
        <f t="shared" si="8"/>
        <v>2.1100954468549209</v>
      </c>
      <c r="I17" s="59">
        <f t="shared" si="8"/>
        <v>2.2408232037486897</v>
      </c>
      <c r="J17" s="59">
        <f t="shared" si="8"/>
        <v>2.2527494285210086</v>
      </c>
      <c r="K17" s="59">
        <f t="shared" si="8"/>
        <v>2.0818114855914649</v>
      </c>
      <c r="L17" s="59">
        <f t="shared" si="8"/>
        <v>1.6872047126403129</v>
      </c>
      <c r="M17" s="59">
        <f t="shared" si="8"/>
        <v>2.0972417251372071</v>
      </c>
      <c r="N17" s="59">
        <f t="shared" si="8"/>
        <v>1.6296060292049566</v>
      </c>
      <c r="O17" s="59">
        <f t="shared" si="8"/>
        <v>1.5057788534857941</v>
      </c>
      <c r="P17" s="59">
        <f t="shared" si="8"/>
        <v>1.6590509011248344</v>
      </c>
      <c r="Q17" s="59">
        <f t="shared" si="8"/>
        <v>2.0976660470087696</v>
      </c>
      <c r="R17" s="59">
        <f t="shared" si="8"/>
        <v>1.3151550533134762</v>
      </c>
      <c r="S17" s="59">
        <f t="shared" si="8"/>
        <v>1.420131508716145</v>
      </c>
      <c r="T17" s="59">
        <f t="shared" si="8"/>
        <v>1.4422714198838855</v>
      </c>
      <c r="U17" s="59">
        <f t="shared" si="8"/>
        <v>1.8391154659240516</v>
      </c>
      <c r="V17" s="59">
        <f t="shared" si="8"/>
        <v>2.5432245641506825</v>
      </c>
      <c r="W17" s="59">
        <f t="shared" si="8"/>
        <v>2.9613674118111555</v>
      </c>
      <c r="X17" s="59">
        <f t="shared" si="8"/>
        <v>2.8795219681736963</v>
      </c>
      <c r="Y17" s="59">
        <f t="shared" si="8"/>
        <v>4.7557025881482078</v>
      </c>
      <c r="Z17" s="59">
        <f t="shared" si="8"/>
        <v>3.1971690345346722</v>
      </c>
      <c r="AA17" s="59">
        <f t="shared" si="8"/>
        <v>3.7564785570394044</v>
      </c>
      <c r="AB17" s="59">
        <f t="shared" si="8"/>
        <v>3.8447543927576437</v>
      </c>
      <c r="AC17" s="59">
        <f t="shared" si="8"/>
        <v>7.9276404600878125</v>
      </c>
      <c r="AD17" s="59">
        <f t="shared" si="8"/>
        <v>3.9516750693830778</v>
      </c>
      <c r="AE17" s="59">
        <f t="shared" si="8"/>
        <v>5.01814952665387</v>
      </c>
      <c r="AF17" s="59">
        <f t="shared" si="8"/>
        <v>5.7548252327231131</v>
      </c>
      <c r="AG17" s="59">
        <f t="shared" si="8"/>
        <v>10.849017940094512</v>
      </c>
      <c r="AH17" s="59">
        <f t="shared" si="8"/>
        <v>4.8504460134072032</v>
      </c>
      <c r="AI17" s="59">
        <f t="shared" si="8"/>
        <v>6.8990444173569117</v>
      </c>
      <c r="AJ17" s="59">
        <f t="shared" si="8"/>
        <v>2.1128444974611025</v>
      </c>
      <c r="AK17" s="59">
        <f t="shared" si="8"/>
        <v>13.012120440598983</v>
      </c>
      <c r="AL17" s="59">
        <f t="shared" si="8"/>
        <v>33.359264905901838</v>
      </c>
      <c r="AM17" s="59">
        <f t="shared" si="8"/>
        <v>4.4584377728845652</v>
      </c>
      <c r="AN17" s="59" t="e">
        <f t="shared" si="8"/>
        <v>#DIV/0!</v>
      </c>
      <c r="AO17" s="59" t="e">
        <f t="shared" si="8"/>
        <v>#DIV/0!</v>
      </c>
      <c r="AP17" s="59" t="e">
        <f t="shared" si="8"/>
        <v>#DIV/0!</v>
      </c>
      <c r="AQ17" s="59" t="e">
        <f t="shared" si="8"/>
        <v>#DIV/0!</v>
      </c>
      <c r="AR17" s="59" t="e">
        <f t="shared" si="8"/>
        <v>#DIV/0!</v>
      </c>
      <c r="AS17" s="59" t="e">
        <f t="shared" si="8"/>
        <v>#DIV/0!</v>
      </c>
      <c r="AT17" s="59" t="e">
        <f t="shared" si="8"/>
        <v>#DIV/0!</v>
      </c>
      <c r="AU17" s="59" t="e">
        <f t="shared" si="8"/>
        <v>#DIV/0!</v>
      </c>
      <c r="AV17" s="59" t="e">
        <f t="shared" si="8"/>
        <v>#DIV/0!</v>
      </c>
      <c r="AW17" s="59" t="e">
        <f t="shared" si="8"/>
        <v>#DIV/0!</v>
      </c>
      <c r="AX17" s="59" t="e">
        <f t="shared" si="8"/>
        <v>#DIV/0!</v>
      </c>
      <c r="AY17" s="59" t="e">
        <f t="shared" si="8"/>
        <v>#DIV/0!</v>
      </c>
      <c r="AZ17" s="59" t="e">
        <f t="shared" si="8"/>
        <v>#DIV/0!</v>
      </c>
      <c r="BA17" s="59" t="e">
        <f t="shared" si="8"/>
        <v>#DIV/0!</v>
      </c>
      <c r="BB17" s="59" t="e">
        <f t="shared" si="8"/>
        <v>#DIV/0!</v>
      </c>
      <c r="BC17" s="59" t="e">
        <f t="shared" si="8"/>
        <v>#DIV/0!</v>
      </c>
      <c r="BD17" s="59" t="e">
        <f t="shared" si="8"/>
        <v>#DIV/0!</v>
      </c>
      <c r="BE17" s="59" t="e">
        <f t="shared" si="8"/>
        <v>#DIV/0!</v>
      </c>
      <c r="BF17" s="59" t="e">
        <f t="shared" si="8"/>
        <v>#DIV/0!</v>
      </c>
      <c r="BG17" s="59" t="e">
        <f t="shared" si="8"/>
        <v>#DIV/0!</v>
      </c>
      <c r="BH17" s="59" t="e">
        <f t="shared" si="8"/>
        <v>#DIV/0!</v>
      </c>
      <c r="BI17" s="59" t="e">
        <f t="shared" si="8"/>
        <v>#DIV/0!</v>
      </c>
      <c r="BJ17" s="59" t="e">
        <f t="shared" si="8"/>
        <v>#DIV/0!</v>
      </c>
      <c r="BK17" s="59" t="e">
        <f t="shared" si="8"/>
        <v>#DIV/0!</v>
      </c>
      <c r="BL17" s="59" t="e">
        <f t="shared" si="8"/>
        <v>#DIV/0!</v>
      </c>
      <c r="BM17" s="59" t="e">
        <f t="shared" si="8"/>
        <v>#DIV/0!</v>
      </c>
      <c r="BN17" s="59" t="e">
        <f t="shared" si="8"/>
        <v>#DIV/0!</v>
      </c>
      <c r="BO17" s="59" t="e">
        <f t="shared" si="8"/>
        <v>#DIV/0!</v>
      </c>
      <c r="BP17" s="59" t="e">
        <f t="shared" si="8"/>
        <v>#DIV/0!</v>
      </c>
      <c r="BQ17" s="59" t="e">
        <f t="shared" si="8"/>
        <v>#DIV/0!</v>
      </c>
      <c r="BR17" s="59" t="e">
        <f t="shared" ref="BR17:CL17" si="9">(BR11+BR13-BR7-BR3)/BR4</f>
        <v>#DIV/0!</v>
      </c>
      <c r="BS17" s="59" t="e">
        <f t="shared" si="9"/>
        <v>#DIV/0!</v>
      </c>
      <c r="BT17" s="59" t="e">
        <f t="shared" si="9"/>
        <v>#DIV/0!</v>
      </c>
      <c r="BU17" s="59" t="e">
        <f t="shared" si="9"/>
        <v>#DIV/0!</v>
      </c>
      <c r="BV17" s="59" t="e">
        <f t="shared" si="9"/>
        <v>#DIV/0!</v>
      </c>
      <c r="BW17" s="59" t="e">
        <f t="shared" si="9"/>
        <v>#DIV/0!</v>
      </c>
      <c r="BX17" s="59" t="e">
        <f t="shared" si="9"/>
        <v>#DIV/0!</v>
      </c>
      <c r="BY17" s="59" t="e">
        <f t="shared" si="9"/>
        <v>#DIV/0!</v>
      </c>
      <c r="BZ17" s="59" t="e">
        <f t="shared" si="9"/>
        <v>#DIV/0!</v>
      </c>
      <c r="CA17" s="59" t="e">
        <f t="shared" si="9"/>
        <v>#DIV/0!</v>
      </c>
      <c r="CB17" s="59" t="e">
        <f t="shared" si="9"/>
        <v>#DIV/0!</v>
      </c>
      <c r="CC17" s="59" t="e">
        <f t="shared" si="9"/>
        <v>#DIV/0!</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7" t="s">
        <v>745</v>
      </c>
      <c r="B18" s="279"/>
      <c r="C18" s="279"/>
      <c r="D18" s="279"/>
      <c r="E18" s="279"/>
      <c r="F18" s="279"/>
      <c r="G18" s="279"/>
      <c r="H18" s="279"/>
      <c r="I18" s="279"/>
      <c r="J18" s="279"/>
      <c r="K18" s="279"/>
      <c r="L18" s="279"/>
      <c r="M18" s="279"/>
      <c r="N18" s="279"/>
      <c r="O18" s="279"/>
      <c r="P18" s="279"/>
      <c r="Q18" s="279"/>
      <c r="R18" s="279"/>
      <c r="S18" s="279"/>
      <c r="T18" s="279"/>
      <c r="U18" s="279"/>
      <c r="V18" s="279"/>
      <c r="W18" s="279"/>
      <c r="X18" s="279"/>
      <c r="Y18" s="279"/>
      <c r="Z18" s="279"/>
      <c r="AA18" s="279"/>
      <c r="AB18" s="279"/>
      <c r="AC18" s="279"/>
      <c r="AD18" s="279"/>
      <c r="AE18" s="279"/>
      <c r="AF18" s="279"/>
      <c r="AG18" s="279"/>
    </row>
    <row r="19" spans="1:90" x14ac:dyDescent="0.25">
      <c r="A19" s="113" t="s">
        <v>575</v>
      </c>
      <c r="B19" s="114"/>
      <c r="C19" s="114"/>
      <c r="D19" s="114"/>
      <c r="E19" s="114" t="s">
        <v>568</v>
      </c>
      <c r="F19" s="114"/>
      <c r="G19" s="114"/>
      <c r="H19" s="114"/>
      <c r="I19" s="114" t="s">
        <v>603</v>
      </c>
      <c r="M19" s="114" t="s">
        <v>570</v>
      </c>
      <c r="N19" s="63"/>
      <c r="O19" s="63"/>
      <c r="P19" s="63"/>
      <c r="Q19" s="63"/>
      <c r="R19" s="63"/>
      <c r="S19" s="63"/>
      <c r="T19" s="63"/>
      <c r="U19" s="63"/>
    </row>
    <row r="20" spans="1:90" s="63" customFormat="1" ht="14.25" customHeight="1" x14ac:dyDescent="0.25">
      <c r="A20" s="113" t="s">
        <v>576</v>
      </c>
      <c r="B20" s="115"/>
      <c r="C20" s="115"/>
      <c r="D20" s="115"/>
      <c r="E20" s="115">
        <f>POWER(E9/U9,1/5)-1</f>
        <v>0.25805891487935328</v>
      </c>
      <c r="F20" s="115"/>
      <c r="G20" s="115"/>
      <c r="H20" s="115"/>
      <c r="I20" s="115">
        <f>POWER(E9/Y9,1/6)-1</f>
        <v>0.26740010744840403</v>
      </c>
      <c r="M20" s="115">
        <f>POWER(E9/AC9,1/7)-1</f>
        <v>0.26876170768716601</v>
      </c>
    </row>
    <row r="21" spans="1:90" s="63" customFormat="1" ht="14.25" customHeight="1" x14ac:dyDescent="0.25">
      <c r="A21" s="113" t="s">
        <v>574</v>
      </c>
      <c r="B21" s="115"/>
      <c r="C21" s="115"/>
      <c r="D21" s="115"/>
      <c r="E21" s="115">
        <f>POWER(E4/U4,1/5)-1</f>
        <v>0.19245549742015311</v>
      </c>
      <c r="F21" s="115"/>
      <c r="G21" s="115"/>
      <c r="H21" s="115"/>
      <c r="I21" s="115">
        <f>POWER(E4/Y4,1/6)-1</f>
        <v>0.41871907819469167</v>
      </c>
      <c r="M21" s="115">
        <f>POWER(E4/AC4,1/7)-1</f>
        <v>0.49554298500344918</v>
      </c>
    </row>
    <row r="22" spans="1:90" s="63" customFormat="1" ht="14.25" customHeight="1" x14ac:dyDescent="0.25">
      <c r="A22" s="113" t="s">
        <v>577</v>
      </c>
      <c r="B22" s="115"/>
      <c r="C22" s="115"/>
      <c r="D22" s="115"/>
      <c r="E22" s="115">
        <f>POWER(E5/U5,1/5)-1</f>
        <v>0.29013432936543571</v>
      </c>
      <c r="F22" s="115"/>
      <c r="G22" s="115"/>
      <c r="H22" s="115"/>
      <c r="I22" s="115">
        <f>POWER(E5/Y5,1/6)-1</f>
        <v>0.4194197787884788</v>
      </c>
      <c r="M22" s="115">
        <f>POWER(E5/AC5,1/7)-1</f>
        <v>0.43371580670964849</v>
      </c>
    </row>
    <row r="23" spans="1:90" s="63" customFormat="1" ht="14.25" customHeight="1" x14ac:dyDescent="0.25">
      <c r="A23" s="113" t="s">
        <v>578</v>
      </c>
      <c r="B23" s="115"/>
      <c r="C23" s="115"/>
      <c r="D23" s="115"/>
      <c r="E23" s="115">
        <f>POWER(E6/U6,1/5)-1</f>
        <v>0.4257592439218163</v>
      </c>
      <c r="F23" s="115"/>
      <c r="G23" s="115"/>
      <c r="H23" s="115"/>
      <c r="I23" s="115">
        <f>POWER(E6/Y6,1/6)-1</f>
        <v>0.41999292471982819</v>
      </c>
      <c r="M23" s="115">
        <f>POWER(E6/AC6,1/7)-1</f>
        <v>0.39542542889011556</v>
      </c>
    </row>
    <row r="24" spans="1:90" s="63" customFormat="1" ht="14.25" customHeight="1" x14ac:dyDescent="0.25">
      <c r="A24" s="113" t="s">
        <v>579</v>
      </c>
      <c r="B24" s="115"/>
      <c r="C24" s="115"/>
      <c r="D24" s="115"/>
      <c r="E24" s="115">
        <f>POWER(E7/U7,1/5)-1</f>
        <v>0.32483430185890971</v>
      </c>
      <c r="F24" s="115"/>
      <c r="G24" s="115"/>
      <c r="H24" s="115"/>
      <c r="I24" s="115">
        <f>POWER(E7/Y7,1/6)-1</f>
        <v>0.30609284910210777</v>
      </c>
      <c r="M24" s="115">
        <f>POWER(E7/AC7,1/7)-1</f>
        <v>0.34661435646903116</v>
      </c>
    </row>
    <row r="25" spans="1:90" s="107" customFormat="1" x14ac:dyDescent="0.25">
      <c r="A25" s="143" t="s">
        <v>555</v>
      </c>
      <c r="B25" s="108"/>
      <c r="C25" s="108"/>
      <c r="D25" s="108"/>
      <c r="E25" s="108">
        <f>(E2-I2)/I2</f>
        <v>0.20278061434519934</v>
      </c>
      <c r="F25" s="108">
        <f t="shared" ref="F25:BQ25" si="10">(F2-J2)/J2</f>
        <v>8.3168692264807512E-2</v>
      </c>
      <c r="G25" s="108">
        <f t="shared" si="10"/>
        <v>0.31075030970112322</v>
      </c>
      <c r="H25" s="108">
        <f t="shared" si="10"/>
        <v>0.7511638240261217</v>
      </c>
      <c r="I25" s="108">
        <f t="shared" si="10"/>
        <v>0.3703211231280088</v>
      </c>
      <c r="J25" s="107">
        <f t="shared" si="10"/>
        <v>0.80146416116784569</v>
      </c>
      <c r="K25" s="107">
        <f t="shared" si="10"/>
        <v>0.62299804809023229</v>
      </c>
      <c r="L25" s="107">
        <f t="shared" si="10"/>
        <v>0.51112024154721514</v>
      </c>
      <c r="M25" s="108">
        <f t="shared" si="10"/>
        <v>0.41167239410510403</v>
      </c>
      <c r="N25" s="108">
        <f t="shared" si="10"/>
        <v>0.97022077746886604</v>
      </c>
      <c r="O25" s="108">
        <f t="shared" si="10"/>
        <v>0.54629383717001445</v>
      </c>
      <c r="P25" s="108">
        <f t="shared" si="10"/>
        <v>0.65745418192914207</v>
      </c>
      <c r="Q25" s="108">
        <f t="shared" si="10"/>
        <v>0.5684549577890996</v>
      </c>
      <c r="R25" s="108">
        <f t="shared" si="10"/>
        <v>-0.3281249491059508</v>
      </c>
      <c r="S25" s="108">
        <f t="shared" si="10"/>
        <v>-0.2592581517211065</v>
      </c>
      <c r="T25" s="108">
        <f t="shared" si="10"/>
        <v>-0.27323309094285386</v>
      </c>
      <c r="U25" s="108">
        <f t="shared" si="10"/>
        <v>-0.21288848840418614</v>
      </c>
      <c r="V25" s="107">
        <f t="shared" si="10"/>
        <v>0.12297466583012735</v>
      </c>
      <c r="W25" s="107">
        <f t="shared" si="10"/>
        <v>0.20343796443613324</v>
      </c>
      <c r="X25" s="107">
        <f t="shared" si="10"/>
        <v>0.10162978584431268</v>
      </c>
      <c r="Y25" s="107">
        <f t="shared" si="10"/>
        <v>0.11255041554923877</v>
      </c>
      <c r="Z25" s="107">
        <f t="shared" si="10"/>
        <v>0.12476123138150529</v>
      </c>
      <c r="AA25" s="107">
        <f t="shared" si="10"/>
        <v>9.57386366102711E-2</v>
      </c>
      <c r="AB25" s="107">
        <f t="shared" si="10"/>
        <v>7.2973590695221247E-2</v>
      </c>
      <c r="AC25" s="107">
        <f t="shared" si="10"/>
        <v>0.12785773525081895</v>
      </c>
      <c r="AD25" s="107">
        <f t="shared" si="10"/>
        <v>8.23724534774289E-2</v>
      </c>
      <c r="AE25" s="107">
        <f t="shared" si="10"/>
        <v>1.1388370290163381E-2</v>
      </c>
      <c r="AF25" s="107">
        <f t="shared" si="10"/>
        <v>4.7455722208612041</v>
      </c>
      <c r="AG25" s="107">
        <f t="shared" si="10"/>
        <v>3.0485018621485365</v>
      </c>
      <c r="AH25" s="107">
        <f t="shared" si="10"/>
        <v>3.5167838244434226</v>
      </c>
      <c r="AI25" s="107">
        <f t="shared" si="10"/>
        <v>8.2350277758337516</v>
      </c>
      <c r="AJ25" s="107" t="e">
        <f t="shared" si="10"/>
        <v>#DIV/0!</v>
      </c>
      <c r="AK25" s="107" t="e">
        <f t="shared" si="10"/>
        <v>#DIV/0!</v>
      </c>
      <c r="AL25" s="107" t="e">
        <f t="shared" si="10"/>
        <v>#DIV/0!</v>
      </c>
      <c r="AM25" s="107" t="e">
        <f t="shared" si="10"/>
        <v>#DIV/0!</v>
      </c>
      <c r="AN25" s="107" t="e">
        <f t="shared" si="10"/>
        <v>#DIV/0!</v>
      </c>
      <c r="AO25" s="107" t="e">
        <f t="shared" si="10"/>
        <v>#DIV/0!</v>
      </c>
      <c r="AP25" s="107" t="e">
        <f t="shared" si="10"/>
        <v>#DIV/0!</v>
      </c>
      <c r="AQ25" s="107" t="e">
        <f t="shared" si="10"/>
        <v>#DIV/0!</v>
      </c>
      <c r="AR25" s="107" t="e">
        <f t="shared" si="10"/>
        <v>#DIV/0!</v>
      </c>
      <c r="AS25" s="107" t="e">
        <f t="shared" si="10"/>
        <v>#DIV/0!</v>
      </c>
      <c r="AT25" s="107" t="e">
        <f t="shared" si="10"/>
        <v>#DIV/0!</v>
      </c>
      <c r="AU25" s="107" t="e">
        <f t="shared" si="10"/>
        <v>#DIV/0!</v>
      </c>
      <c r="AV25" s="107" t="e">
        <f t="shared" si="10"/>
        <v>#DIV/0!</v>
      </c>
      <c r="AW25" s="107" t="e">
        <f t="shared" si="10"/>
        <v>#DIV/0!</v>
      </c>
      <c r="AX25" s="107" t="e">
        <f t="shared" si="10"/>
        <v>#DIV/0!</v>
      </c>
      <c r="AY25" s="107" t="e">
        <f t="shared" si="10"/>
        <v>#DIV/0!</v>
      </c>
      <c r="AZ25" s="107" t="e">
        <f t="shared" si="10"/>
        <v>#DIV/0!</v>
      </c>
      <c r="BA25" s="107" t="e">
        <f t="shared" si="10"/>
        <v>#DIV/0!</v>
      </c>
      <c r="BB25" s="107" t="e">
        <f t="shared" si="10"/>
        <v>#DIV/0!</v>
      </c>
      <c r="BC25" s="107" t="e">
        <f t="shared" si="10"/>
        <v>#DIV/0!</v>
      </c>
      <c r="BD25" s="107" t="e">
        <f t="shared" si="10"/>
        <v>#DIV/0!</v>
      </c>
      <c r="BE25" s="107" t="e">
        <f t="shared" si="10"/>
        <v>#DIV/0!</v>
      </c>
      <c r="BF25" s="107" t="e">
        <f t="shared" si="10"/>
        <v>#DIV/0!</v>
      </c>
      <c r="BG25" s="107" t="e">
        <f t="shared" si="10"/>
        <v>#DIV/0!</v>
      </c>
      <c r="BH25" s="107" t="e">
        <f t="shared" si="10"/>
        <v>#DIV/0!</v>
      </c>
      <c r="BI25" s="107" t="e">
        <f t="shared" si="10"/>
        <v>#DIV/0!</v>
      </c>
      <c r="BJ25" s="107" t="e">
        <f t="shared" si="10"/>
        <v>#DIV/0!</v>
      </c>
      <c r="BK25" s="107" t="e">
        <f t="shared" si="10"/>
        <v>#DIV/0!</v>
      </c>
      <c r="BL25" s="107" t="e">
        <f t="shared" si="10"/>
        <v>#DIV/0!</v>
      </c>
      <c r="BM25" s="107" t="e">
        <f t="shared" si="10"/>
        <v>#DIV/0!</v>
      </c>
      <c r="BN25" s="107" t="e">
        <f t="shared" si="10"/>
        <v>#DIV/0!</v>
      </c>
      <c r="BO25" s="107" t="e">
        <f t="shared" si="10"/>
        <v>#DIV/0!</v>
      </c>
      <c r="BP25" s="107" t="e">
        <f t="shared" si="10"/>
        <v>#DIV/0!</v>
      </c>
      <c r="BQ25" s="107" t="e">
        <f t="shared" si="10"/>
        <v>#DIV/0!</v>
      </c>
      <c r="BR25" s="107" t="e">
        <f t="shared" ref="BR25:CK25" si="11">(BR2-BV2)/BV2</f>
        <v>#DIV/0!</v>
      </c>
      <c r="BS25" s="107" t="e">
        <f t="shared" si="11"/>
        <v>#DIV/0!</v>
      </c>
      <c r="BT25" s="107" t="e">
        <f t="shared" si="11"/>
        <v>#DIV/0!</v>
      </c>
      <c r="BU25" s="107" t="e">
        <f t="shared" si="11"/>
        <v>#DIV/0!</v>
      </c>
      <c r="BV25" s="107" t="e">
        <f t="shared" si="11"/>
        <v>#DIV/0!</v>
      </c>
      <c r="BW25" s="107" t="e">
        <f t="shared" si="11"/>
        <v>#DIV/0!</v>
      </c>
      <c r="BX25" s="107" t="e">
        <f t="shared" si="11"/>
        <v>#DIV/0!</v>
      </c>
      <c r="BY25" s="107" t="e">
        <f t="shared" si="11"/>
        <v>#DIV/0!</v>
      </c>
      <c r="BZ25" s="107" t="e">
        <f t="shared" si="11"/>
        <v>#DIV/0!</v>
      </c>
      <c r="CA25" s="107" t="e">
        <f t="shared" si="11"/>
        <v>#DIV/0!</v>
      </c>
      <c r="CB25" s="107" t="e">
        <f t="shared" si="11"/>
        <v>#DIV/0!</v>
      </c>
      <c r="CC25" s="107" t="e">
        <f t="shared" si="11"/>
        <v>#DIV/0!</v>
      </c>
      <c r="CD25" s="107" t="e">
        <f t="shared" si="11"/>
        <v>#DIV/0!</v>
      </c>
      <c r="CE25" s="107" t="e">
        <f t="shared" si="11"/>
        <v>#DIV/0!</v>
      </c>
      <c r="CF25" s="107" t="e">
        <f t="shared" si="11"/>
        <v>#DIV/0!</v>
      </c>
      <c r="CG25" s="107" t="e">
        <f t="shared" si="11"/>
        <v>#DIV/0!</v>
      </c>
      <c r="CH25" s="107" t="e">
        <f t="shared" si="11"/>
        <v>#DIV/0!</v>
      </c>
      <c r="CI25" s="107" t="e">
        <f t="shared" si="11"/>
        <v>#DIV/0!</v>
      </c>
      <c r="CJ25" s="107" t="e">
        <f t="shared" si="11"/>
        <v>#DIV/0!</v>
      </c>
      <c r="CK25" s="107" t="e">
        <f t="shared" si="11"/>
        <v>#DIV/0!</v>
      </c>
    </row>
    <row r="26" spans="1:90" s="108" customFormat="1" x14ac:dyDescent="0.25">
      <c r="A26" s="143" t="s">
        <v>563</v>
      </c>
      <c r="E26" s="108">
        <f>E2/E9</f>
        <v>0.46510495999208462</v>
      </c>
      <c r="F26" s="108">
        <f t="shared" ref="F26:BQ26" si="12">F2/F9</f>
        <v>0.40616048441413827</v>
      </c>
      <c r="G26" s="108">
        <f t="shared" si="12"/>
        <v>0.4275109109595705</v>
      </c>
      <c r="H26" s="108">
        <f t="shared" si="12"/>
        <v>0.49263816869334154</v>
      </c>
      <c r="I26" s="108">
        <f t="shared" si="12"/>
        <v>0.47476918528506157</v>
      </c>
      <c r="J26" s="108">
        <f t="shared" si="12"/>
        <v>0.47567028122322219</v>
      </c>
      <c r="K26" s="108">
        <f t="shared" si="12"/>
        <v>0.44068845323720895</v>
      </c>
      <c r="L26" s="108">
        <f t="shared" si="12"/>
        <v>0.37794736750265917</v>
      </c>
      <c r="M26" s="108">
        <f t="shared" si="12"/>
        <v>0.47179622419406925</v>
      </c>
      <c r="N26" s="108">
        <f t="shared" si="12"/>
        <v>0.35672230615319339</v>
      </c>
      <c r="O26" s="108">
        <f t="shared" si="12"/>
        <v>0.34526797963699496</v>
      </c>
      <c r="P26" s="108">
        <f t="shared" si="12"/>
        <v>0.36395898863802989</v>
      </c>
      <c r="Q26" s="108">
        <f t="shared" si="12"/>
        <v>0.46382214952613965</v>
      </c>
      <c r="R26" s="108">
        <f t="shared" si="12"/>
        <v>0.25263965073296418</v>
      </c>
      <c r="S26" s="108">
        <f t="shared" si="12"/>
        <v>0.29944020672412319</v>
      </c>
      <c r="T26" s="108">
        <f t="shared" si="12"/>
        <v>0.29923551413122484</v>
      </c>
      <c r="U26" s="108">
        <f t="shared" si="12"/>
        <v>0.40164385193152896</v>
      </c>
      <c r="V26" s="108">
        <f t="shared" si="12"/>
        <v>0.52076162889749844</v>
      </c>
      <c r="W26" s="108">
        <f t="shared" si="12"/>
        <v>0.56602751746156055</v>
      </c>
      <c r="X26" s="108">
        <f t="shared" si="12"/>
        <v>0.56087426216319913</v>
      </c>
      <c r="Y26" s="108">
        <f t="shared" si="12"/>
        <v>0.6710925214647111</v>
      </c>
      <c r="Z26" s="108">
        <f t="shared" si="12"/>
        <v>0.59892075774869313</v>
      </c>
      <c r="AA26" s="108">
        <f t="shared" si="12"/>
        <v>0.63446793880446317</v>
      </c>
      <c r="AB26" s="108">
        <f t="shared" si="12"/>
        <v>0.65416129823806679</v>
      </c>
      <c r="AC26" s="108">
        <f t="shared" si="12"/>
        <v>0.77026595121648711</v>
      </c>
      <c r="AD26" s="108">
        <f t="shared" si="12"/>
        <v>0.66087640481299081</v>
      </c>
      <c r="AE26" s="108">
        <f t="shared" si="12"/>
        <v>0.70779473630875045</v>
      </c>
      <c r="AF26" s="108">
        <f t="shared" si="12"/>
        <v>0.73611664885595607</v>
      </c>
      <c r="AG26" s="108">
        <f t="shared" si="12"/>
        <v>0.81821532878362524</v>
      </c>
      <c r="AH26" s="108">
        <f t="shared" si="12"/>
        <v>0.72172626502187687</v>
      </c>
      <c r="AI26" s="108">
        <f t="shared" si="12"/>
        <v>0.78905809251319459</v>
      </c>
      <c r="AJ26" s="108">
        <f t="shared" si="12"/>
        <v>0.43040845331371508</v>
      </c>
      <c r="AK26" s="108">
        <f t="shared" si="12"/>
        <v>0.73372312808645213</v>
      </c>
      <c r="AL26" s="108">
        <f t="shared" si="12"/>
        <v>0.86346445745451916</v>
      </c>
      <c r="AM26" s="108">
        <f t="shared" si="12"/>
        <v>0.72024242963476726</v>
      </c>
      <c r="AN26" s="108" t="e">
        <f t="shared" si="12"/>
        <v>#DIV/0!</v>
      </c>
      <c r="AO26" s="108" t="e">
        <f t="shared" si="12"/>
        <v>#DIV/0!</v>
      </c>
      <c r="AP26" s="108" t="e">
        <f t="shared" si="12"/>
        <v>#DIV/0!</v>
      </c>
      <c r="AQ26" s="108" t="e">
        <f t="shared" si="12"/>
        <v>#DIV/0!</v>
      </c>
      <c r="AR26" s="108" t="e">
        <f t="shared" si="12"/>
        <v>#DIV/0!</v>
      </c>
      <c r="AS26" s="108" t="e">
        <f t="shared" si="12"/>
        <v>#DIV/0!</v>
      </c>
      <c r="AT26" s="108" t="e">
        <f t="shared" si="12"/>
        <v>#DIV/0!</v>
      </c>
      <c r="AU26" s="108" t="e">
        <f t="shared" si="12"/>
        <v>#DIV/0!</v>
      </c>
      <c r="AV26" s="108" t="e">
        <f t="shared" si="12"/>
        <v>#DIV/0!</v>
      </c>
      <c r="AW26" s="108" t="e">
        <f t="shared" si="12"/>
        <v>#DIV/0!</v>
      </c>
      <c r="AX26" s="108" t="e">
        <f t="shared" si="12"/>
        <v>#DIV/0!</v>
      </c>
      <c r="AY26" s="108" t="e">
        <f t="shared" si="12"/>
        <v>#DIV/0!</v>
      </c>
      <c r="AZ26" s="108" t="e">
        <f t="shared" si="12"/>
        <v>#DIV/0!</v>
      </c>
      <c r="BA26" s="108" t="e">
        <f t="shared" si="12"/>
        <v>#DIV/0!</v>
      </c>
      <c r="BB26" s="108" t="e">
        <f t="shared" si="12"/>
        <v>#DIV/0!</v>
      </c>
      <c r="BC26" s="108" t="e">
        <f t="shared" si="12"/>
        <v>#DIV/0!</v>
      </c>
      <c r="BD26" s="108" t="e">
        <f t="shared" si="12"/>
        <v>#DIV/0!</v>
      </c>
      <c r="BE26" s="108" t="e">
        <f t="shared" si="12"/>
        <v>#DIV/0!</v>
      </c>
      <c r="BF26" s="108" t="e">
        <f t="shared" si="12"/>
        <v>#DIV/0!</v>
      </c>
      <c r="BG26" s="108" t="e">
        <f t="shared" si="12"/>
        <v>#DIV/0!</v>
      </c>
      <c r="BH26" s="108" t="e">
        <f t="shared" si="12"/>
        <v>#DIV/0!</v>
      </c>
      <c r="BI26" s="108" t="e">
        <f t="shared" si="12"/>
        <v>#DIV/0!</v>
      </c>
      <c r="BJ26" s="108" t="e">
        <f t="shared" si="12"/>
        <v>#DIV/0!</v>
      </c>
      <c r="BK26" s="108" t="e">
        <f t="shared" si="12"/>
        <v>#DIV/0!</v>
      </c>
      <c r="BL26" s="108" t="e">
        <f t="shared" si="12"/>
        <v>#DIV/0!</v>
      </c>
      <c r="BM26" s="108" t="e">
        <f t="shared" si="12"/>
        <v>#DIV/0!</v>
      </c>
      <c r="BN26" s="108" t="e">
        <f t="shared" si="12"/>
        <v>#DIV/0!</v>
      </c>
      <c r="BO26" s="108" t="e">
        <f t="shared" si="12"/>
        <v>#DIV/0!</v>
      </c>
      <c r="BP26" s="108" t="e">
        <f t="shared" si="12"/>
        <v>#DIV/0!</v>
      </c>
      <c r="BQ26" s="108" t="e">
        <f t="shared" si="12"/>
        <v>#DIV/0!</v>
      </c>
      <c r="BR26" s="108" t="e">
        <f t="shared" ref="BR26:CK26" si="13">BR2/BR9</f>
        <v>#DIV/0!</v>
      </c>
      <c r="BS26" s="108" t="e">
        <f t="shared" si="13"/>
        <v>#DIV/0!</v>
      </c>
      <c r="BT26" s="108" t="e">
        <f t="shared" si="13"/>
        <v>#DIV/0!</v>
      </c>
      <c r="BU26" s="108" t="e">
        <f t="shared" si="13"/>
        <v>#DIV/0!</v>
      </c>
      <c r="BV26" s="108" t="e">
        <f t="shared" si="13"/>
        <v>#DIV/0!</v>
      </c>
      <c r="BW26" s="108" t="e">
        <f t="shared" si="13"/>
        <v>#DIV/0!</v>
      </c>
      <c r="BX26" s="108" t="e">
        <f t="shared" si="13"/>
        <v>#DIV/0!</v>
      </c>
      <c r="BY26" s="108" t="e">
        <f t="shared" si="13"/>
        <v>#DIV/0!</v>
      </c>
      <c r="BZ26" s="108" t="e">
        <f t="shared" si="13"/>
        <v>#DIV/0!</v>
      </c>
      <c r="CA26" s="108" t="e">
        <f t="shared" si="13"/>
        <v>#DIV/0!</v>
      </c>
      <c r="CB26" s="108" t="e">
        <f t="shared" si="13"/>
        <v>#DIV/0!</v>
      </c>
      <c r="CC26" s="108" t="e">
        <f t="shared" si="13"/>
        <v>#DIV/0!</v>
      </c>
      <c r="CD26" s="108" t="e">
        <f t="shared" si="13"/>
        <v>#DIV/0!</v>
      </c>
      <c r="CE26" s="108" t="e">
        <f t="shared" si="13"/>
        <v>#DIV/0!</v>
      </c>
      <c r="CF26" s="108" t="e">
        <f t="shared" si="13"/>
        <v>#DIV/0!</v>
      </c>
      <c r="CG26" s="108" t="e">
        <f t="shared" si="13"/>
        <v>#DIV/0!</v>
      </c>
      <c r="CH26" s="108" t="e">
        <f t="shared" si="13"/>
        <v>#DIV/0!</v>
      </c>
      <c r="CI26" s="108" t="e">
        <f t="shared" si="13"/>
        <v>#DIV/0!</v>
      </c>
      <c r="CJ26" s="108" t="e">
        <f t="shared" si="13"/>
        <v>#DIV/0!</v>
      </c>
      <c r="CK26" s="108" t="e">
        <f t="shared" si="13"/>
        <v>#DIV/0!</v>
      </c>
    </row>
    <row r="27" spans="1:90" s="109" customFormat="1" x14ac:dyDescent="0.25">
      <c r="A27" s="144" t="s">
        <v>556</v>
      </c>
      <c r="E27" s="109">
        <f>(E3-I3)/I3</f>
        <v>2.7278495308571427</v>
      </c>
      <c r="F27" s="109" t="e">
        <f t="shared" ref="F27:BQ27" si="14">(F3-J3)/J3</f>
        <v>#DIV/0!</v>
      </c>
      <c r="G27" s="109" t="e">
        <f t="shared" si="14"/>
        <v>#DIV/0!</v>
      </c>
      <c r="H27" s="109" t="e">
        <f t="shared" si="14"/>
        <v>#DIV/0!</v>
      </c>
      <c r="I27" s="109" t="e">
        <f t="shared" si="14"/>
        <v>#DIV/0!</v>
      </c>
      <c r="J27" s="109" t="e">
        <f t="shared" si="14"/>
        <v>#DIV/0!</v>
      </c>
      <c r="K27" s="109" t="e">
        <f t="shared" si="14"/>
        <v>#DIV/0!</v>
      </c>
      <c r="L27" s="109" t="e">
        <f t="shared" si="14"/>
        <v>#DIV/0!</v>
      </c>
      <c r="M27" s="109" t="e">
        <f t="shared" si="14"/>
        <v>#DIV/0!</v>
      </c>
      <c r="N27" s="109">
        <f t="shared" si="14"/>
        <v>-1</v>
      </c>
      <c r="O27" s="109">
        <f t="shared" si="14"/>
        <v>-1</v>
      </c>
      <c r="P27" s="109">
        <f t="shared" si="14"/>
        <v>-1</v>
      </c>
      <c r="Q27" s="109">
        <f t="shared" si="14"/>
        <v>-1</v>
      </c>
      <c r="R27" s="109">
        <f t="shared" si="14"/>
        <v>-0.95323556695474121</v>
      </c>
      <c r="S27" s="109">
        <f t="shared" si="14"/>
        <v>-0.47491245668581655</v>
      </c>
      <c r="T27" s="109">
        <f t="shared" si="14"/>
        <v>-0.26338803434811953</v>
      </c>
      <c r="U27" s="109">
        <f t="shared" si="14"/>
        <v>-0.3108390414960156</v>
      </c>
      <c r="V27" s="109">
        <f t="shared" si="14"/>
        <v>-0.34263348315732367</v>
      </c>
      <c r="W27" s="109">
        <f t="shared" si="14"/>
        <v>-0.24882122260374656</v>
      </c>
      <c r="X27" s="109">
        <f t="shared" si="14"/>
        <v>1.2645568107917589</v>
      </c>
      <c r="Y27" s="109">
        <f t="shared" si="14"/>
        <v>1.4204790232876008</v>
      </c>
      <c r="Z27" s="109">
        <f t="shared" si="14"/>
        <v>1.7495698917613887</v>
      </c>
      <c r="AA27" s="109">
        <f t="shared" si="14"/>
        <v>1.7495698917613887</v>
      </c>
      <c r="AB27" s="109">
        <f t="shared" si="14"/>
        <v>0</v>
      </c>
      <c r="AC27" s="109">
        <f t="shared" si="14"/>
        <v>-0.9568631686708795</v>
      </c>
      <c r="AD27" s="109">
        <f t="shared" si="14"/>
        <v>-0.94054692303303822</v>
      </c>
      <c r="AE27" s="109">
        <f t="shared" si="14"/>
        <v>-0.94054692303303822</v>
      </c>
      <c r="AF27" s="109">
        <f t="shared" si="14"/>
        <v>-0.94333419870830781</v>
      </c>
      <c r="AG27" s="109">
        <f t="shared" si="14"/>
        <v>0.31362920144388601</v>
      </c>
      <c r="AH27" s="109">
        <f t="shared" si="14"/>
        <v>-0.37247593671596607</v>
      </c>
      <c r="AI27" s="109" t="e">
        <f t="shared" si="14"/>
        <v>#DIV/0!</v>
      </c>
      <c r="AJ27" s="109" t="e">
        <f t="shared" si="14"/>
        <v>#DIV/0!</v>
      </c>
      <c r="AK27" s="109" t="e">
        <f t="shared" si="14"/>
        <v>#DIV/0!</v>
      </c>
      <c r="AL27" s="109" t="e">
        <f t="shared" si="14"/>
        <v>#DIV/0!</v>
      </c>
      <c r="AM27" s="109" t="e">
        <f t="shared" si="14"/>
        <v>#DIV/0!</v>
      </c>
      <c r="AN27" s="109" t="e">
        <f t="shared" si="14"/>
        <v>#DIV/0!</v>
      </c>
      <c r="AO27" s="109" t="e">
        <f t="shared" si="14"/>
        <v>#DIV/0!</v>
      </c>
      <c r="AP27" s="109" t="e">
        <f t="shared" si="14"/>
        <v>#DIV/0!</v>
      </c>
      <c r="AQ27" s="109" t="e">
        <f t="shared" si="14"/>
        <v>#DIV/0!</v>
      </c>
      <c r="AR27" s="109" t="e">
        <f t="shared" si="14"/>
        <v>#DIV/0!</v>
      </c>
      <c r="AS27" s="109" t="e">
        <f t="shared" si="14"/>
        <v>#DIV/0!</v>
      </c>
      <c r="AT27" s="109" t="e">
        <f t="shared" si="14"/>
        <v>#DIV/0!</v>
      </c>
      <c r="AU27" s="109" t="e">
        <f t="shared" si="14"/>
        <v>#DIV/0!</v>
      </c>
      <c r="AV27" s="109" t="e">
        <f t="shared" si="14"/>
        <v>#DIV/0!</v>
      </c>
      <c r="AW27" s="109" t="e">
        <f t="shared" si="14"/>
        <v>#DIV/0!</v>
      </c>
      <c r="AX27" s="109" t="e">
        <f t="shared" si="14"/>
        <v>#DIV/0!</v>
      </c>
      <c r="AY27" s="109" t="e">
        <f t="shared" si="14"/>
        <v>#DIV/0!</v>
      </c>
      <c r="AZ27" s="109" t="e">
        <f t="shared" si="14"/>
        <v>#DIV/0!</v>
      </c>
      <c r="BA27" s="109" t="e">
        <f t="shared" si="14"/>
        <v>#DIV/0!</v>
      </c>
      <c r="BB27" s="109" t="e">
        <f t="shared" si="14"/>
        <v>#DIV/0!</v>
      </c>
      <c r="BC27" s="109" t="e">
        <f t="shared" si="14"/>
        <v>#DIV/0!</v>
      </c>
      <c r="BD27" s="109" t="e">
        <f t="shared" si="14"/>
        <v>#DIV/0!</v>
      </c>
      <c r="BE27" s="109" t="e">
        <f t="shared" si="14"/>
        <v>#DIV/0!</v>
      </c>
      <c r="BF27" s="109" t="e">
        <f t="shared" si="14"/>
        <v>#DIV/0!</v>
      </c>
      <c r="BG27" s="109" t="e">
        <f t="shared" si="14"/>
        <v>#DIV/0!</v>
      </c>
      <c r="BH27" s="109" t="e">
        <f t="shared" si="14"/>
        <v>#DIV/0!</v>
      </c>
      <c r="BI27" s="109" t="e">
        <f t="shared" si="14"/>
        <v>#DIV/0!</v>
      </c>
      <c r="BJ27" s="109" t="e">
        <f t="shared" si="14"/>
        <v>#DIV/0!</v>
      </c>
      <c r="BK27" s="109" t="e">
        <f t="shared" si="14"/>
        <v>#DIV/0!</v>
      </c>
      <c r="BL27" s="109" t="e">
        <f t="shared" si="14"/>
        <v>#DIV/0!</v>
      </c>
      <c r="BM27" s="109" t="e">
        <f t="shared" si="14"/>
        <v>#DIV/0!</v>
      </c>
      <c r="BN27" s="109" t="e">
        <f t="shared" si="14"/>
        <v>#DIV/0!</v>
      </c>
      <c r="BO27" s="109" t="e">
        <f t="shared" si="14"/>
        <v>#DIV/0!</v>
      </c>
      <c r="BP27" s="109" t="e">
        <f t="shared" si="14"/>
        <v>#DIV/0!</v>
      </c>
      <c r="BQ27" s="109" t="e">
        <f t="shared" si="14"/>
        <v>#DIV/0!</v>
      </c>
      <c r="BR27" s="109" t="e">
        <f t="shared" ref="BR27:CL27" si="15">(BR3-BV3)/BV3</f>
        <v>#DIV/0!</v>
      </c>
      <c r="BS27" s="109" t="e">
        <f t="shared" si="15"/>
        <v>#DIV/0!</v>
      </c>
      <c r="BT27" s="109" t="e">
        <f t="shared" si="15"/>
        <v>#DIV/0!</v>
      </c>
      <c r="BU27" s="109" t="e">
        <f t="shared" si="15"/>
        <v>#DIV/0!</v>
      </c>
      <c r="BV27" s="109" t="e">
        <f t="shared" si="15"/>
        <v>#DIV/0!</v>
      </c>
      <c r="BW27" s="109" t="e">
        <f t="shared" si="15"/>
        <v>#DIV/0!</v>
      </c>
      <c r="BX27" s="109" t="e">
        <f t="shared" si="15"/>
        <v>#DIV/0!</v>
      </c>
      <c r="BY27" s="109" t="e">
        <f t="shared" si="15"/>
        <v>#DIV/0!</v>
      </c>
      <c r="BZ27" s="109" t="e">
        <f t="shared" si="15"/>
        <v>#DIV/0!</v>
      </c>
      <c r="CA27" s="109" t="e">
        <f t="shared" si="15"/>
        <v>#DIV/0!</v>
      </c>
      <c r="CB27" s="109" t="e">
        <f t="shared" si="15"/>
        <v>#DIV/0!</v>
      </c>
      <c r="CC27" s="109" t="e">
        <f t="shared" si="15"/>
        <v>#DIV/0!</v>
      </c>
      <c r="CD27" s="109" t="e">
        <f t="shared" si="15"/>
        <v>#DIV/0!</v>
      </c>
      <c r="CE27" s="109" t="e">
        <f t="shared" si="15"/>
        <v>#DIV/0!</v>
      </c>
      <c r="CF27" s="109" t="e">
        <f t="shared" si="15"/>
        <v>#DIV/0!</v>
      </c>
      <c r="CG27" s="109" t="e">
        <f t="shared" si="15"/>
        <v>#DIV/0!</v>
      </c>
      <c r="CH27" s="109" t="e">
        <f t="shared" si="15"/>
        <v>#DIV/0!</v>
      </c>
      <c r="CI27" s="109" t="e">
        <f t="shared" si="15"/>
        <v>#DIV/0!</v>
      </c>
      <c r="CJ27" s="109" t="e">
        <f t="shared" si="15"/>
        <v>#DIV/0!</v>
      </c>
      <c r="CK27" s="109" t="e">
        <f t="shared" si="15"/>
        <v>#DIV/0!</v>
      </c>
      <c r="CL27" s="109" t="e">
        <f t="shared" si="15"/>
        <v>#DIV/0!</v>
      </c>
    </row>
    <row r="28" spans="1:90" s="109" customFormat="1" x14ac:dyDescent="0.25">
      <c r="A28" s="144" t="s">
        <v>564</v>
      </c>
      <c r="E28" s="109">
        <f>E3/E9</f>
        <v>3.6207907133792771E-3</v>
      </c>
      <c r="F28" s="109">
        <f t="shared" ref="F28:BQ28" si="16">F3/F9</f>
        <v>3.7511741867738324E-3</v>
      </c>
      <c r="G28" s="109">
        <f t="shared" si="16"/>
        <v>4.0991531834184206E-3</v>
      </c>
      <c r="H28" s="109">
        <f t="shared" si="16"/>
        <v>2.3878574727789672E-3</v>
      </c>
      <c r="I28" s="109">
        <f t="shared" si="16"/>
        <v>1.1925127214041081E-3</v>
      </c>
      <c r="J28" s="109">
        <f t="shared" si="16"/>
        <v>0</v>
      </c>
      <c r="K28" s="109">
        <f t="shared" si="16"/>
        <v>0</v>
      </c>
      <c r="L28" s="109">
        <f t="shared" si="16"/>
        <v>0</v>
      </c>
      <c r="M28" s="109">
        <f t="shared" si="16"/>
        <v>0</v>
      </c>
      <c r="N28" s="109">
        <f t="shared" si="16"/>
        <v>0</v>
      </c>
      <c r="O28" s="109">
        <f t="shared" si="16"/>
        <v>0</v>
      </c>
      <c r="P28" s="109">
        <f t="shared" si="16"/>
        <v>0</v>
      </c>
      <c r="Q28" s="109">
        <f t="shared" si="16"/>
        <v>0</v>
      </c>
      <c r="R28" s="109">
        <f t="shared" si="16"/>
        <v>3.68373265918567E-6</v>
      </c>
      <c r="S28" s="109">
        <f t="shared" si="16"/>
        <v>4.7938840921710379E-5</v>
      </c>
      <c r="T28" s="109">
        <f t="shared" si="16"/>
        <v>8.0159454030643407E-5</v>
      </c>
      <c r="U28" s="109">
        <f t="shared" si="16"/>
        <v>8.8158832162055415E-5</v>
      </c>
      <c r="V28" s="109">
        <f t="shared" si="16"/>
        <v>1.0909338312049993E-4</v>
      </c>
      <c r="W28" s="109">
        <f t="shared" si="16"/>
        <v>1.2783510296985817E-4</v>
      </c>
      <c r="X28" s="109">
        <f t="shared" si="16"/>
        <v>1.4823934991516245E-4</v>
      </c>
      <c r="Y28" s="109">
        <f t="shared" si="16"/>
        <v>1.6823745958349695E-4</v>
      </c>
      <c r="Z28" s="109">
        <f t="shared" si="16"/>
        <v>2.143340537414818E-4</v>
      </c>
      <c r="AA28" s="109">
        <f t="shared" si="16"/>
        <v>2.2956340617434997E-4</v>
      </c>
      <c r="AB28" s="109">
        <f t="shared" si="16"/>
        <v>8.4107608938698483E-5</v>
      </c>
      <c r="AC28" s="109">
        <f t="shared" si="16"/>
        <v>8.875633904072967E-5</v>
      </c>
      <c r="AD28" s="109">
        <f t="shared" si="16"/>
        <v>9.6747028320924938E-5</v>
      </c>
      <c r="AE28" s="109">
        <f t="shared" si="16"/>
        <v>1.0205693456128153E-4</v>
      </c>
      <c r="AF28" s="109">
        <f t="shared" si="16"/>
        <v>1.0155144634015805E-4</v>
      </c>
      <c r="AG28" s="109">
        <f t="shared" si="16"/>
        <v>2.4650876922230271E-3</v>
      </c>
      <c r="AH28" s="109">
        <f t="shared" si="16"/>
        <v>1.9235004514219856E-3</v>
      </c>
      <c r="AI28" s="109">
        <f t="shared" si="16"/>
        <v>1.9354759910819243E-3</v>
      </c>
      <c r="AJ28" s="109">
        <f t="shared" si="16"/>
        <v>6.0204994201426059E-3</v>
      </c>
      <c r="AK28" s="109">
        <f t="shared" si="16"/>
        <v>6.8126883139718823E-3</v>
      </c>
      <c r="AL28" s="109">
        <f t="shared" si="16"/>
        <v>1.6563921708867207E-2</v>
      </c>
      <c r="AM28" s="109">
        <f t="shared" si="16"/>
        <v>0</v>
      </c>
      <c r="AN28" s="109" t="e">
        <f t="shared" si="16"/>
        <v>#DIV/0!</v>
      </c>
      <c r="AO28" s="109" t="e">
        <f t="shared" si="16"/>
        <v>#DIV/0!</v>
      </c>
      <c r="AP28" s="109" t="e">
        <f t="shared" si="16"/>
        <v>#DIV/0!</v>
      </c>
      <c r="AQ28" s="109" t="e">
        <f t="shared" si="16"/>
        <v>#DIV/0!</v>
      </c>
      <c r="AR28" s="109" t="e">
        <f t="shared" si="16"/>
        <v>#DIV/0!</v>
      </c>
      <c r="AS28" s="109" t="e">
        <f t="shared" si="16"/>
        <v>#DIV/0!</v>
      </c>
      <c r="AT28" s="109" t="e">
        <f t="shared" si="16"/>
        <v>#DIV/0!</v>
      </c>
      <c r="AU28" s="109" t="e">
        <f t="shared" si="16"/>
        <v>#DIV/0!</v>
      </c>
      <c r="AV28" s="109" t="e">
        <f t="shared" si="16"/>
        <v>#DIV/0!</v>
      </c>
      <c r="AW28" s="109" t="e">
        <f t="shared" si="16"/>
        <v>#DIV/0!</v>
      </c>
      <c r="AX28" s="109" t="e">
        <f t="shared" si="16"/>
        <v>#DIV/0!</v>
      </c>
      <c r="AY28" s="109" t="e">
        <f t="shared" si="16"/>
        <v>#DIV/0!</v>
      </c>
      <c r="AZ28" s="109" t="e">
        <f t="shared" si="16"/>
        <v>#DIV/0!</v>
      </c>
      <c r="BA28" s="109" t="e">
        <f t="shared" si="16"/>
        <v>#DIV/0!</v>
      </c>
      <c r="BB28" s="109" t="e">
        <f t="shared" si="16"/>
        <v>#DIV/0!</v>
      </c>
      <c r="BC28" s="109" t="e">
        <f t="shared" si="16"/>
        <v>#DIV/0!</v>
      </c>
      <c r="BD28" s="109" t="e">
        <f t="shared" si="16"/>
        <v>#DIV/0!</v>
      </c>
      <c r="BE28" s="109" t="e">
        <f t="shared" si="16"/>
        <v>#DIV/0!</v>
      </c>
      <c r="BF28" s="109" t="e">
        <f t="shared" si="16"/>
        <v>#DIV/0!</v>
      </c>
      <c r="BG28" s="109" t="e">
        <f t="shared" si="16"/>
        <v>#DIV/0!</v>
      </c>
      <c r="BH28" s="109" t="e">
        <f t="shared" si="16"/>
        <v>#DIV/0!</v>
      </c>
      <c r="BI28" s="109" t="e">
        <f t="shared" si="16"/>
        <v>#DIV/0!</v>
      </c>
      <c r="BJ28" s="109" t="e">
        <f t="shared" si="16"/>
        <v>#DIV/0!</v>
      </c>
      <c r="BK28" s="109" t="e">
        <f t="shared" si="16"/>
        <v>#DIV/0!</v>
      </c>
      <c r="BL28" s="109" t="e">
        <f t="shared" si="16"/>
        <v>#DIV/0!</v>
      </c>
      <c r="BM28" s="109" t="e">
        <f t="shared" si="16"/>
        <v>#DIV/0!</v>
      </c>
      <c r="BN28" s="109" t="e">
        <f t="shared" si="16"/>
        <v>#DIV/0!</v>
      </c>
      <c r="BO28" s="109" t="e">
        <f t="shared" si="16"/>
        <v>#DIV/0!</v>
      </c>
      <c r="BP28" s="109" t="e">
        <f t="shared" si="16"/>
        <v>#DIV/0!</v>
      </c>
      <c r="BQ28" s="109" t="e">
        <f t="shared" si="16"/>
        <v>#DIV/0!</v>
      </c>
      <c r="BR28" s="109" t="e">
        <f t="shared" ref="BR28:CK28" si="17">BR3/BR9</f>
        <v>#DIV/0!</v>
      </c>
      <c r="BS28" s="109" t="e">
        <f t="shared" si="17"/>
        <v>#DIV/0!</v>
      </c>
      <c r="BT28" s="109" t="e">
        <f t="shared" si="17"/>
        <v>#DIV/0!</v>
      </c>
      <c r="BU28" s="109" t="e">
        <f t="shared" si="17"/>
        <v>#DIV/0!</v>
      </c>
      <c r="BV28" s="109" t="e">
        <f t="shared" si="17"/>
        <v>#DIV/0!</v>
      </c>
      <c r="BW28" s="109" t="e">
        <f t="shared" si="17"/>
        <v>#DIV/0!</v>
      </c>
      <c r="BX28" s="109" t="e">
        <f t="shared" si="17"/>
        <v>#DIV/0!</v>
      </c>
      <c r="BY28" s="109" t="e">
        <f t="shared" si="17"/>
        <v>#DIV/0!</v>
      </c>
      <c r="BZ28" s="109" t="e">
        <f t="shared" si="17"/>
        <v>#DIV/0!</v>
      </c>
      <c r="CA28" s="109" t="e">
        <f t="shared" si="17"/>
        <v>#DIV/0!</v>
      </c>
      <c r="CB28" s="109" t="e">
        <f t="shared" si="17"/>
        <v>#DIV/0!</v>
      </c>
      <c r="CC28" s="109" t="e">
        <f t="shared" si="17"/>
        <v>#DIV/0!</v>
      </c>
      <c r="CD28" s="109" t="e">
        <f t="shared" si="17"/>
        <v>#DIV/0!</v>
      </c>
      <c r="CE28" s="109" t="e">
        <f t="shared" si="17"/>
        <v>#DIV/0!</v>
      </c>
      <c r="CF28" s="109" t="e">
        <f t="shared" si="17"/>
        <v>#DIV/0!</v>
      </c>
      <c r="CG28" s="109" t="e">
        <f t="shared" si="17"/>
        <v>#DIV/0!</v>
      </c>
      <c r="CH28" s="109" t="e">
        <f t="shared" si="17"/>
        <v>#DIV/0!</v>
      </c>
      <c r="CI28" s="109" t="e">
        <f t="shared" si="17"/>
        <v>#DIV/0!</v>
      </c>
      <c r="CJ28" s="109" t="e">
        <f t="shared" si="17"/>
        <v>#DIV/0!</v>
      </c>
      <c r="CK28" s="109" t="e">
        <f t="shared" si="17"/>
        <v>#DIV/0!</v>
      </c>
    </row>
    <row r="29" spans="1:90" s="108" customFormat="1" x14ac:dyDescent="0.25">
      <c r="A29" s="143" t="s">
        <v>573</v>
      </c>
      <c r="E29" s="108">
        <f>(E4-I4)/I4</f>
        <v>0.13764766259642561</v>
      </c>
      <c r="F29" s="108">
        <f t="shared" ref="F29:BQ29" si="18">(F4-J4)/J4</f>
        <v>0.49618658890021822</v>
      </c>
      <c r="G29" s="108">
        <f t="shared" si="18"/>
        <v>0.43895000656957495</v>
      </c>
      <c r="H29" s="108">
        <f t="shared" si="18"/>
        <v>5.2927441863856235E-2</v>
      </c>
      <c r="I29" s="108">
        <f t="shared" si="18"/>
        <v>0.40734105600977338</v>
      </c>
      <c r="J29" s="108">
        <f t="shared" si="18"/>
        <v>1.0455337013816186E-2</v>
      </c>
      <c r="K29" s="108">
        <f t="shared" si="18"/>
        <v>-3.2373015719839637E-2</v>
      </c>
      <c r="L29" s="108">
        <f t="shared" si="18"/>
        <v>0.37087836686724074</v>
      </c>
      <c r="M29" s="108">
        <f t="shared" si="18"/>
        <v>0.26956548098215277</v>
      </c>
      <c r="N29" s="108">
        <f t="shared" si="18"/>
        <v>0.12994817367780906</v>
      </c>
      <c r="O29" s="108">
        <f t="shared" si="18"/>
        <v>0.22348004923551312</v>
      </c>
      <c r="P29" s="108">
        <f t="shared" si="18"/>
        <v>0.21942017554296758</v>
      </c>
      <c r="Q29" s="108">
        <f t="shared" si="18"/>
        <v>0.18617470516815954</v>
      </c>
      <c r="R29" s="108">
        <f t="shared" si="18"/>
        <v>1.5325311214175972</v>
      </c>
      <c r="S29" s="108">
        <f t="shared" si="18"/>
        <v>1.7433811517262896</v>
      </c>
      <c r="T29" s="108">
        <f t="shared" si="18"/>
        <v>1.617544777769288</v>
      </c>
      <c r="U29" s="108">
        <f t="shared" si="18"/>
        <v>2.3819528862265709</v>
      </c>
      <c r="V29" s="108">
        <f t="shared" si="18"/>
        <v>0.56409655800778824</v>
      </c>
      <c r="W29" s="108">
        <f t="shared" si="18"/>
        <v>0.67851797562906169</v>
      </c>
      <c r="X29" s="108">
        <f t="shared" si="18"/>
        <v>0.63967856471082574</v>
      </c>
      <c r="Y29" s="108">
        <f t="shared" si="18"/>
        <v>1.0521724209388503</v>
      </c>
      <c r="Z29" s="108">
        <f t="shared" si="18"/>
        <v>0.52170403575166557</v>
      </c>
      <c r="AA29" s="108">
        <f t="shared" si="18"/>
        <v>0.60862389242011627</v>
      </c>
      <c r="AB29" s="108">
        <f t="shared" si="18"/>
        <v>0.80562697408725348</v>
      </c>
      <c r="AC29" s="108">
        <f t="shared" si="18"/>
        <v>0.61355139978589479</v>
      </c>
      <c r="AD29" s="108">
        <f t="shared" si="18"/>
        <v>0.40202076479314819</v>
      </c>
      <c r="AE29" s="108">
        <f t="shared" si="18"/>
        <v>0.47433937363040996</v>
      </c>
      <c r="AF29" s="108">
        <f t="shared" si="18"/>
        <v>0.38536414900293681</v>
      </c>
      <c r="AG29" s="108">
        <f t="shared" si="18"/>
        <v>4.0268069416924019</v>
      </c>
      <c r="AH29" s="108">
        <f t="shared" si="18"/>
        <v>36.9591880496261</v>
      </c>
      <c r="AI29" s="108">
        <f t="shared" si="18"/>
        <v>5.0182945273369715</v>
      </c>
      <c r="AJ29" s="108" t="e">
        <f t="shared" si="18"/>
        <v>#DIV/0!</v>
      </c>
      <c r="AK29" s="108" t="e">
        <f t="shared" si="18"/>
        <v>#DIV/0!</v>
      </c>
      <c r="AL29" s="108" t="e">
        <f t="shared" si="18"/>
        <v>#DIV/0!</v>
      </c>
      <c r="AM29" s="108" t="e">
        <f t="shared" si="18"/>
        <v>#DIV/0!</v>
      </c>
      <c r="AN29" s="108" t="e">
        <f t="shared" si="18"/>
        <v>#DIV/0!</v>
      </c>
      <c r="AO29" s="108" t="e">
        <f t="shared" si="18"/>
        <v>#DIV/0!</v>
      </c>
      <c r="AP29" s="108" t="e">
        <f t="shared" si="18"/>
        <v>#DIV/0!</v>
      </c>
      <c r="AQ29" s="108" t="e">
        <f t="shared" si="18"/>
        <v>#DIV/0!</v>
      </c>
      <c r="AR29" s="108" t="e">
        <f t="shared" si="18"/>
        <v>#DIV/0!</v>
      </c>
      <c r="AS29" s="108" t="e">
        <f t="shared" si="18"/>
        <v>#DIV/0!</v>
      </c>
      <c r="AT29" s="108" t="e">
        <f t="shared" si="18"/>
        <v>#DIV/0!</v>
      </c>
      <c r="AU29" s="108" t="e">
        <f t="shared" si="18"/>
        <v>#DIV/0!</v>
      </c>
      <c r="AV29" s="108" t="e">
        <f t="shared" si="18"/>
        <v>#DIV/0!</v>
      </c>
      <c r="AW29" s="108" t="e">
        <f t="shared" si="18"/>
        <v>#DIV/0!</v>
      </c>
      <c r="AX29" s="108" t="e">
        <f t="shared" si="18"/>
        <v>#DIV/0!</v>
      </c>
      <c r="AY29" s="108" t="e">
        <f t="shared" si="18"/>
        <v>#DIV/0!</v>
      </c>
      <c r="AZ29" s="108" t="e">
        <f t="shared" si="18"/>
        <v>#DIV/0!</v>
      </c>
      <c r="BA29" s="108" t="e">
        <f t="shared" si="18"/>
        <v>#DIV/0!</v>
      </c>
      <c r="BB29" s="108" t="e">
        <f t="shared" si="18"/>
        <v>#DIV/0!</v>
      </c>
      <c r="BC29" s="108" t="e">
        <f t="shared" si="18"/>
        <v>#DIV/0!</v>
      </c>
      <c r="BD29" s="108" t="e">
        <f t="shared" si="18"/>
        <v>#DIV/0!</v>
      </c>
      <c r="BE29" s="108" t="e">
        <f t="shared" si="18"/>
        <v>#DIV/0!</v>
      </c>
      <c r="BF29" s="108" t="e">
        <f t="shared" si="18"/>
        <v>#DIV/0!</v>
      </c>
      <c r="BG29" s="108" t="e">
        <f t="shared" si="18"/>
        <v>#DIV/0!</v>
      </c>
      <c r="BH29" s="108" t="e">
        <f t="shared" si="18"/>
        <v>#DIV/0!</v>
      </c>
      <c r="BI29" s="108" t="e">
        <f t="shared" si="18"/>
        <v>#DIV/0!</v>
      </c>
      <c r="BJ29" s="108" t="e">
        <f t="shared" si="18"/>
        <v>#DIV/0!</v>
      </c>
      <c r="BK29" s="108" t="e">
        <f t="shared" si="18"/>
        <v>#DIV/0!</v>
      </c>
      <c r="BL29" s="108" t="e">
        <f t="shared" si="18"/>
        <v>#DIV/0!</v>
      </c>
      <c r="BM29" s="108" t="e">
        <f t="shared" si="18"/>
        <v>#DIV/0!</v>
      </c>
      <c r="BN29" s="108" t="e">
        <f t="shared" si="18"/>
        <v>#DIV/0!</v>
      </c>
      <c r="BO29" s="108" t="e">
        <f t="shared" si="18"/>
        <v>#DIV/0!</v>
      </c>
      <c r="BP29" s="108" t="e">
        <f t="shared" si="18"/>
        <v>#DIV/0!</v>
      </c>
      <c r="BQ29" s="108" t="e">
        <f t="shared" si="18"/>
        <v>#DIV/0!</v>
      </c>
      <c r="BR29" s="108" t="e">
        <f t="shared" ref="BR29:CK29" si="19">(BR4-BV4)/BV4</f>
        <v>#DIV/0!</v>
      </c>
      <c r="BS29" s="108" t="e">
        <f t="shared" si="19"/>
        <v>#DIV/0!</v>
      </c>
      <c r="BT29" s="108" t="e">
        <f t="shared" si="19"/>
        <v>#DIV/0!</v>
      </c>
      <c r="BU29" s="108" t="e">
        <f t="shared" si="19"/>
        <v>#DIV/0!</v>
      </c>
      <c r="BV29" s="108" t="e">
        <f t="shared" si="19"/>
        <v>#DIV/0!</v>
      </c>
      <c r="BW29" s="108" t="e">
        <f t="shared" si="19"/>
        <v>#DIV/0!</v>
      </c>
      <c r="BX29" s="108" t="e">
        <f t="shared" si="19"/>
        <v>#DIV/0!</v>
      </c>
      <c r="BY29" s="108" t="e">
        <f t="shared" si="19"/>
        <v>#DIV/0!</v>
      </c>
      <c r="BZ29" s="108" t="e">
        <f t="shared" si="19"/>
        <v>#DIV/0!</v>
      </c>
      <c r="CA29" s="108" t="e">
        <f t="shared" si="19"/>
        <v>#DIV/0!</v>
      </c>
      <c r="CB29" s="108" t="e">
        <f t="shared" si="19"/>
        <v>#DIV/0!</v>
      </c>
      <c r="CC29" s="108" t="e">
        <f t="shared" si="19"/>
        <v>#DIV/0!</v>
      </c>
      <c r="CD29" s="108" t="e">
        <f t="shared" si="19"/>
        <v>#DIV/0!</v>
      </c>
      <c r="CE29" s="108" t="e">
        <f t="shared" si="19"/>
        <v>#DIV/0!</v>
      </c>
      <c r="CF29" s="108" t="e">
        <f t="shared" si="19"/>
        <v>#DIV/0!</v>
      </c>
      <c r="CG29" s="108" t="e">
        <f t="shared" si="19"/>
        <v>#DIV/0!</v>
      </c>
      <c r="CH29" s="108" t="e">
        <f t="shared" si="19"/>
        <v>#DIV/0!</v>
      </c>
      <c r="CI29" s="108" t="e">
        <f t="shared" si="19"/>
        <v>#DIV/0!</v>
      </c>
      <c r="CJ29" s="108" t="e">
        <f t="shared" si="19"/>
        <v>#DIV/0!</v>
      </c>
      <c r="CK29" s="108" t="e">
        <f t="shared" si="19"/>
        <v>#DIV/0!</v>
      </c>
    </row>
    <row r="30" spans="1:90" s="108" customFormat="1" x14ac:dyDescent="0.25">
      <c r="A30" s="143" t="s">
        <v>557</v>
      </c>
      <c r="E30" s="108">
        <f>(E5-I5)/I5</f>
        <v>0.21966389554717924</v>
      </c>
      <c r="F30" s="108">
        <f t="shared" ref="F30:BQ30" si="20">(F5-J5)/J5</f>
        <v>0.27785939601820331</v>
      </c>
      <c r="G30" s="108">
        <f t="shared" si="20"/>
        <v>0.30273868277489208</v>
      </c>
      <c r="H30" s="108">
        <f t="shared" si="20"/>
        <v>0.1971763198132041</v>
      </c>
      <c r="I30" s="108">
        <f t="shared" si="20"/>
        <v>0.38672852210049385</v>
      </c>
      <c r="J30" s="108">
        <f t="shared" si="20"/>
        <v>0.27935957881243079</v>
      </c>
      <c r="K30" s="108">
        <f t="shared" si="20"/>
        <v>0.24364055000872753</v>
      </c>
      <c r="L30" s="108">
        <f t="shared" si="20"/>
        <v>0.39795744784594095</v>
      </c>
      <c r="M30" s="108">
        <f t="shared" si="20"/>
        <v>0.39050038344779103</v>
      </c>
      <c r="N30" s="108">
        <f t="shared" si="20"/>
        <v>0.31020149975414274</v>
      </c>
      <c r="O30" s="108">
        <f t="shared" si="20"/>
        <v>0.34483380851513706</v>
      </c>
      <c r="P30" s="108">
        <f t="shared" si="20"/>
        <v>0.41958069626981459</v>
      </c>
      <c r="Q30" s="108">
        <f t="shared" si="20"/>
        <v>0.51974921867422874</v>
      </c>
      <c r="R30" s="108">
        <f t="shared" si="20"/>
        <v>1.1468373106719278</v>
      </c>
      <c r="S30" s="108">
        <f t="shared" si="20"/>
        <v>1.394560930855401</v>
      </c>
      <c r="T30" s="108">
        <f t="shared" si="20"/>
        <v>1.3485748235022088</v>
      </c>
      <c r="U30" s="108">
        <f t="shared" si="20"/>
        <v>1.2881814341730613</v>
      </c>
      <c r="V30" s="108">
        <f t="shared" si="20"/>
        <v>0.57914811803528932</v>
      </c>
      <c r="W30" s="108">
        <f t="shared" si="20"/>
        <v>0.55329161831445794</v>
      </c>
      <c r="X30" s="108">
        <f t="shared" si="20"/>
        <v>0.4999964238934132</v>
      </c>
      <c r="Y30" s="108">
        <f t="shared" si="20"/>
        <v>0.5225669487452701</v>
      </c>
      <c r="Z30" s="108">
        <f t="shared" si="20"/>
        <v>0.50666847990202379</v>
      </c>
      <c r="AA30" s="108">
        <f t="shared" si="20"/>
        <v>0.50053658894538355</v>
      </c>
      <c r="AB30" s="108">
        <f t="shared" si="20"/>
        <v>0.61738141595903873</v>
      </c>
      <c r="AC30" s="108">
        <f t="shared" si="20"/>
        <v>0.69604518891711609</v>
      </c>
      <c r="AD30" s="108">
        <f t="shared" si="20"/>
        <v>0.57133642327421563</v>
      </c>
      <c r="AE30" s="108">
        <f t="shared" si="20"/>
        <v>0.48946170630467012</v>
      </c>
      <c r="AF30" s="108">
        <f t="shared" si="20"/>
        <v>0.49489683695089653</v>
      </c>
      <c r="AG30" s="108">
        <f t="shared" si="20"/>
        <v>0.84197059931209361</v>
      </c>
      <c r="AH30" s="108">
        <f t="shared" si="20"/>
        <v>2.543220126562511</v>
      </c>
      <c r="AI30" s="108">
        <f t="shared" si="20"/>
        <v>2.4876999164293832</v>
      </c>
      <c r="AJ30" s="108" t="e">
        <f t="shared" si="20"/>
        <v>#DIV/0!</v>
      </c>
      <c r="AK30" s="108" t="e">
        <f t="shared" si="20"/>
        <v>#DIV/0!</v>
      </c>
      <c r="AL30" s="108" t="e">
        <f t="shared" si="20"/>
        <v>#DIV/0!</v>
      </c>
      <c r="AM30" s="108" t="e">
        <f t="shared" si="20"/>
        <v>#DIV/0!</v>
      </c>
      <c r="AN30" s="108" t="e">
        <f t="shared" si="20"/>
        <v>#DIV/0!</v>
      </c>
      <c r="AO30" s="108" t="e">
        <f t="shared" si="20"/>
        <v>#DIV/0!</v>
      </c>
      <c r="AP30" s="108" t="e">
        <f t="shared" si="20"/>
        <v>#DIV/0!</v>
      </c>
      <c r="AQ30" s="108" t="e">
        <f t="shared" si="20"/>
        <v>#DIV/0!</v>
      </c>
      <c r="AR30" s="108" t="e">
        <f t="shared" si="20"/>
        <v>#DIV/0!</v>
      </c>
      <c r="AS30" s="108" t="e">
        <f t="shared" si="20"/>
        <v>#DIV/0!</v>
      </c>
      <c r="AT30" s="108" t="e">
        <f t="shared" si="20"/>
        <v>#DIV/0!</v>
      </c>
      <c r="AU30" s="108" t="e">
        <f t="shared" si="20"/>
        <v>#DIV/0!</v>
      </c>
      <c r="AV30" s="108" t="e">
        <f t="shared" si="20"/>
        <v>#DIV/0!</v>
      </c>
      <c r="AW30" s="108" t="e">
        <f t="shared" si="20"/>
        <v>#DIV/0!</v>
      </c>
      <c r="AX30" s="108" t="e">
        <f t="shared" si="20"/>
        <v>#DIV/0!</v>
      </c>
      <c r="AY30" s="108" t="e">
        <f t="shared" si="20"/>
        <v>#DIV/0!</v>
      </c>
      <c r="AZ30" s="108" t="e">
        <f t="shared" si="20"/>
        <v>#DIV/0!</v>
      </c>
      <c r="BA30" s="108" t="e">
        <f t="shared" si="20"/>
        <v>#DIV/0!</v>
      </c>
      <c r="BB30" s="108" t="e">
        <f t="shared" si="20"/>
        <v>#DIV/0!</v>
      </c>
      <c r="BC30" s="108" t="e">
        <f t="shared" si="20"/>
        <v>#DIV/0!</v>
      </c>
      <c r="BD30" s="108" t="e">
        <f t="shared" si="20"/>
        <v>#DIV/0!</v>
      </c>
      <c r="BE30" s="108" t="e">
        <f t="shared" si="20"/>
        <v>#DIV/0!</v>
      </c>
      <c r="BF30" s="108" t="e">
        <f t="shared" si="20"/>
        <v>#DIV/0!</v>
      </c>
      <c r="BG30" s="108" t="e">
        <f t="shared" si="20"/>
        <v>#DIV/0!</v>
      </c>
      <c r="BH30" s="108" t="e">
        <f t="shared" si="20"/>
        <v>#DIV/0!</v>
      </c>
      <c r="BI30" s="108" t="e">
        <f t="shared" si="20"/>
        <v>#DIV/0!</v>
      </c>
      <c r="BJ30" s="108" t="e">
        <f t="shared" si="20"/>
        <v>#DIV/0!</v>
      </c>
      <c r="BK30" s="108" t="e">
        <f t="shared" si="20"/>
        <v>#DIV/0!</v>
      </c>
      <c r="BL30" s="108" t="e">
        <f t="shared" si="20"/>
        <v>#DIV/0!</v>
      </c>
      <c r="BM30" s="108" t="e">
        <f t="shared" si="20"/>
        <v>#DIV/0!</v>
      </c>
      <c r="BN30" s="108" t="e">
        <f t="shared" si="20"/>
        <v>#DIV/0!</v>
      </c>
      <c r="BO30" s="108" t="e">
        <f t="shared" si="20"/>
        <v>#DIV/0!</v>
      </c>
      <c r="BP30" s="108" t="e">
        <f t="shared" si="20"/>
        <v>#DIV/0!</v>
      </c>
      <c r="BQ30" s="108" t="e">
        <f t="shared" si="20"/>
        <v>#DIV/0!</v>
      </c>
      <c r="BR30" s="108" t="e">
        <f t="shared" ref="BR30:CK30" si="21">(BR5-BV5)/BV5</f>
        <v>#DIV/0!</v>
      </c>
      <c r="BS30" s="108" t="e">
        <f t="shared" si="21"/>
        <v>#DIV/0!</v>
      </c>
      <c r="BT30" s="108" t="e">
        <f t="shared" si="21"/>
        <v>#DIV/0!</v>
      </c>
      <c r="BU30" s="108" t="e">
        <f t="shared" si="21"/>
        <v>#DIV/0!</v>
      </c>
      <c r="BV30" s="108" t="e">
        <f t="shared" si="21"/>
        <v>#DIV/0!</v>
      </c>
      <c r="BW30" s="108" t="e">
        <f t="shared" si="21"/>
        <v>#DIV/0!</v>
      </c>
      <c r="BX30" s="108" t="e">
        <f t="shared" si="21"/>
        <v>#DIV/0!</v>
      </c>
      <c r="BY30" s="108" t="e">
        <f t="shared" si="21"/>
        <v>#DIV/0!</v>
      </c>
      <c r="BZ30" s="108" t="e">
        <f t="shared" si="21"/>
        <v>#DIV/0!</v>
      </c>
      <c r="CA30" s="108" t="e">
        <f t="shared" si="21"/>
        <v>#DIV/0!</v>
      </c>
      <c r="CB30" s="108" t="e">
        <f t="shared" si="21"/>
        <v>#DIV/0!</v>
      </c>
      <c r="CC30" s="108" t="e">
        <f t="shared" si="21"/>
        <v>#DIV/0!</v>
      </c>
      <c r="CD30" s="108" t="e">
        <f t="shared" si="21"/>
        <v>#DIV/0!</v>
      </c>
      <c r="CE30" s="108" t="e">
        <f t="shared" si="21"/>
        <v>#DIV/0!</v>
      </c>
      <c r="CF30" s="108" t="e">
        <f t="shared" si="21"/>
        <v>#DIV/0!</v>
      </c>
      <c r="CG30" s="108" t="e">
        <f t="shared" si="21"/>
        <v>#DIV/0!</v>
      </c>
      <c r="CH30" s="108" t="e">
        <f t="shared" si="21"/>
        <v>#DIV/0!</v>
      </c>
      <c r="CI30" s="108" t="e">
        <f t="shared" si="21"/>
        <v>#DIV/0!</v>
      </c>
      <c r="CJ30" s="108" t="e">
        <f t="shared" si="21"/>
        <v>#DIV/0!</v>
      </c>
      <c r="CK30" s="108" t="e">
        <f t="shared" si="21"/>
        <v>#DIV/0!</v>
      </c>
    </row>
    <row r="31" spans="1:90" s="108" customFormat="1" x14ac:dyDescent="0.25">
      <c r="A31" s="143" t="s">
        <v>558</v>
      </c>
      <c r="E31" s="108">
        <f>(E6-I6)/I6</f>
        <v>0.29583872120862292</v>
      </c>
      <c r="F31" s="108">
        <f t="shared" ref="F31:BQ31" si="22">(F6-J6)/J6</f>
        <v>7.6346833091381044E-2</v>
      </c>
      <c r="G31" s="108">
        <f t="shared" si="22"/>
        <v>0.15963868632418987</v>
      </c>
      <c r="H31" s="108">
        <f t="shared" si="22"/>
        <v>0.47214046123135367</v>
      </c>
      <c r="I31" s="108">
        <f t="shared" si="22"/>
        <v>0.36811763318168261</v>
      </c>
      <c r="J31" s="108">
        <f t="shared" si="22"/>
        <v>0.6959227777544047</v>
      </c>
      <c r="K31" s="108">
        <f t="shared" si="22"/>
        <v>0.7758019925516586</v>
      </c>
      <c r="L31" s="108">
        <f t="shared" si="22"/>
        <v>0.45265411096098102</v>
      </c>
      <c r="M31" s="108">
        <f t="shared" si="22"/>
        <v>0.52134636456826666</v>
      </c>
      <c r="N31" s="108">
        <f t="shared" si="22"/>
        <v>0.74025291248657454</v>
      </c>
      <c r="O31" s="108">
        <f t="shared" si="22"/>
        <v>0.66282570166565313</v>
      </c>
      <c r="P31" s="108">
        <f t="shared" si="22"/>
        <v>1.1236972671273724</v>
      </c>
      <c r="Q31" s="108">
        <f t="shared" si="22"/>
        <v>1.1843814792389376</v>
      </c>
      <c r="R31" s="108">
        <f t="shared" si="22"/>
        <v>0.57467823122477946</v>
      </c>
      <c r="S31" s="108">
        <f t="shared" si="22"/>
        <v>0.79612788092118025</v>
      </c>
      <c r="T31" s="108">
        <f t="shared" si="22"/>
        <v>0.72502497338904315</v>
      </c>
      <c r="U31" s="108">
        <f t="shared" si="22"/>
        <v>0.39150926624061877</v>
      </c>
      <c r="V31" s="108">
        <f t="shared" si="22"/>
        <v>0.6020177621222631</v>
      </c>
      <c r="W31" s="108">
        <f t="shared" si="22"/>
        <v>0.37704103931321059</v>
      </c>
      <c r="X31" s="108">
        <f t="shared" si="22"/>
        <v>0.25261495410452151</v>
      </c>
      <c r="Y31" s="108">
        <f t="shared" si="22"/>
        <v>0.25669343802398353</v>
      </c>
      <c r="Z31" s="108">
        <f t="shared" si="22"/>
        <v>0.48438344650783544</v>
      </c>
      <c r="AA31" s="108">
        <f t="shared" si="22"/>
        <v>0.37089095840543912</v>
      </c>
      <c r="AB31" s="108">
        <f t="shared" si="22"/>
        <v>0.36529497928222449</v>
      </c>
      <c r="AC31" s="108">
        <f t="shared" si="22"/>
        <v>0.74072287693210137</v>
      </c>
      <c r="AD31" s="108">
        <f t="shared" si="22"/>
        <v>0.91391396676028813</v>
      </c>
      <c r="AE31" s="108">
        <f t="shared" si="22"/>
        <v>0.50801453148427078</v>
      </c>
      <c r="AF31" s="108">
        <f t="shared" si="22"/>
        <v>0.67191541367135588</v>
      </c>
      <c r="AG31" s="108">
        <f t="shared" si="22"/>
        <v>0.37139700806356735</v>
      </c>
      <c r="AH31" s="108">
        <f t="shared" si="22"/>
        <v>0.25005754494156662</v>
      </c>
      <c r="AI31" s="108">
        <f t="shared" si="22"/>
        <v>1.3007906699301748</v>
      </c>
      <c r="AJ31" s="108" t="e">
        <f t="shared" si="22"/>
        <v>#DIV/0!</v>
      </c>
      <c r="AK31" s="108" t="e">
        <f t="shared" si="22"/>
        <v>#DIV/0!</v>
      </c>
      <c r="AL31" s="108" t="e">
        <f t="shared" si="22"/>
        <v>#DIV/0!</v>
      </c>
      <c r="AM31" s="108" t="e">
        <f t="shared" si="22"/>
        <v>#DIV/0!</v>
      </c>
      <c r="AN31" s="108" t="e">
        <f t="shared" si="22"/>
        <v>#DIV/0!</v>
      </c>
      <c r="AO31" s="108" t="e">
        <f t="shared" si="22"/>
        <v>#DIV/0!</v>
      </c>
      <c r="AP31" s="108" t="e">
        <f t="shared" si="22"/>
        <v>#DIV/0!</v>
      </c>
      <c r="AQ31" s="108" t="e">
        <f t="shared" si="22"/>
        <v>#DIV/0!</v>
      </c>
      <c r="AR31" s="108" t="e">
        <f t="shared" si="22"/>
        <v>#DIV/0!</v>
      </c>
      <c r="AS31" s="108" t="e">
        <f t="shared" si="22"/>
        <v>#DIV/0!</v>
      </c>
      <c r="AT31" s="108" t="e">
        <f t="shared" si="22"/>
        <v>#DIV/0!</v>
      </c>
      <c r="AU31" s="108" t="e">
        <f t="shared" si="22"/>
        <v>#DIV/0!</v>
      </c>
      <c r="AV31" s="108" t="e">
        <f t="shared" si="22"/>
        <v>#DIV/0!</v>
      </c>
      <c r="AW31" s="108" t="e">
        <f t="shared" si="22"/>
        <v>#DIV/0!</v>
      </c>
      <c r="AX31" s="108" t="e">
        <f t="shared" si="22"/>
        <v>#DIV/0!</v>
      </c>
      <c r="AY31" s="108" t="e">
        <f t="shared" si="22"/>
        <v>#DIV/0!</v>
      </c>
      <c r="AZ31" s="108" t="e">
        <f t="shared" si="22"/>
        <v>#DIV/0!</v>
      </c>
      <c r="BA31" s="108" t="e">
        <f t="shared" si="22"/>
        <v>#DIV/0!</v>
      </c>
      <c r="BB31" s="108" t="e">
        <f t="shared" si="22"/>
        <v>#DIV/0!</v>
      </c>
      <c r="BC31" s="108" t="e">
        <f t="shared" si="22"/>
        <v>#DIV/0!</v>
      </c>
      <c r="BD31" s="108" t="e">
        <f t="shared" si="22"/>
        <v>#DIV/0!</v>
      </c>
      <c r="BE31" s="108" t="e">
        <f t="shared" si="22"/>
        <v>#DIV/0!</v>
      </c>
      <c r="BF31" s="108" t="e">
        <f t="shared" si="22"/>
        <v>#DIV/0!</v>
      </c>
      <c r="BG31" s="108" t="e">
        <f t="shared" si="22"/>
        <v>#DIV/0!</v>
      </c>
      <c r="BH31" s="108" t="e">
        <f t="shared" si="22"/>
        <v>#DIV/0!</v>
      </c>
      <c r="BI31" s="108" t="e">
        <f t="shared" si="22"/>
        <v>#DIV/0!</v>
      </c>
      <c r="BJ31" s="108" t="e">
        <f t="shared" si="22"/>
        <v>#DIV/0!</v>
      </c>
      <c r="BK31" s="108" t="e">
        <f t="shared" si="22"/>
        <v>#DIV/0!</v>
      </c>
      <c r="BL31" s="108" t="e">
        <f t="shared" si="22"/>
        <v>#DIV/0!</v>
      </c>
      <c r="BM31" s="108" t="e">
        <f t="shared" si="22"/>
        <v>#DIV/0!</v>
      </c>
      <c r="BN31" s="108" t="e">
        <f t="shared" si="22"/>
        <v>#DIV/0!</v>
      </c>
      <c r="BO31" s="108" t="e">
        <f t="shared" si="22"/>
        <v>#DIV/0!</v>
      </c>
      <c r="BP31" s="108" t="e">
        <f t="shared" si="22"/>
        <v>#DIV/0!</v>
      </c>
      <c r="BQ31" s="108" t="e">
        <f t="shared" si="22"/>
        <v>#DIV/0!</v>
      </c>
      <c r="BR31" s="108" t="e">
        <f t="shared" ref="BR31:CK31" si="23">(BR6-BV6)/BV6</f>
        <v>#DIV/0!</v>
      </c>
      <c r="BS31" s="108" t="e">
        <f t="shared" si="23"/>
        <v>#DIV/0!</v>
      </c>
      <c r="BT31" s="108" t="e">
        <f t="shared" si="23"/>
        <v>#DIV/0!</v>
      </c>
      <c r="BU31" s="108" t="e">
        <f t="shared" si="23"/>
        <v>#DIV/0!</v>
      </c>
      <c r="BV31" s="108" t="e">
        <f t="shared" si="23"/>
        <v>#DIV/0!</v>
      </c>
      <c r="BW31" s="108" t="e">
        <f t="shared" si="23"/>
        <v>#DIV/0!</v>
      </c>
      <c r="BX31" s="108" t="e">
        <f t="shared" si="23"/>
        <v>#DIV/0!</v>
      </c>
      <c r="BY31" s="108" t="e">
        <f t="shared" si="23"/>
        <v>#DIV/0!</v>
      </c>
      <c r="BZ31" s="108" t="e">
        <f t="shared" si="23"/>
        <v>#DIV/0!</v>
      </c>
      <c r="CA31" s="108" t="e">
        <f t="shared" si="23"/>
        <v>#DIV/0!</v>
      </c>
      <c r="CB31" s="108" t="e">
        <f t="shared" si="23"/>
        <v>#DIV/0!</v>
      </c>
      <c r="CC31" s="108" t="e">
        <f t="shared" si="23"/>
        <v>#DIV/0!</v>
      </c>
      <c r="CD31" s="108" t="e">
        <f t="shared" si="23"/>
        <v>#DIV/0!</v>
      </c>
      <c r="CE31" s="108" t="e">
        <f t="shared" si="23"/>
        <v>#DIV/0!</v>
      </c>
      <c r="CF31" s="108" t="e">
        <f t="shared" si="23"/>
        <v>#DIV/0!</v>
      </c>
      <c r="CG31" s="108" t="e">
        <f t="shared" si="23"/>
        <v>#DIV/0!</v>
      </c>
      <c r="CH31" s="108" t="e">
        <f t="shared" si="23"/>
        <v>#DIV/0!</v>
      </c>
      <c r="CI31" s="108" t="e">
        <f t="shared" si="23"/>
        <v>#DIV/0!</v>
      </c>
      <c r="CJ31" s="108" t="e">
        <f t="shared" si="23"/>
        <v>#DIV/0!</v>
      </c>
      <c r="CK31" s="108" t="e">
        <f t="shared" si="23"/>
        <v>#DIV/0!</v>
      </c>
    </row>
    <row r="32" spans="1:90" s="109" customFormat="1" x14ac:dyDescent="0.25">
      <c r="A32" s="144" t="s">
        <v>560</v>
      </c>
      <c r="E32" s="109">
        <f>(E7-I7)/I7</f>
        <v>0.52560229975040984</v>
      </c>
      <c r="F32" s="109">
        <f t="shared" ref="F32:BQ32" si="24">(F7-J7)/J7</f>
        <v>0.26970145508884874</v>
      </c>
      <c r="G32" s="109">
        <f t="shared" si="24"/>
        <v>0.2219065151030904</v>
      </c>
      <c r="H32" s="109">
        <f t="shared" si="24"/>
        <v>0.21274411212659686</v>
      </c>
      <c r="I32" s="109">
        <f t="shared" si="24"/>
        <v>0.22261522088807428</v>
      </c>
      <c r="J32" s="109">
        <f t="shared" si="24"/>
        <v>0.38833368728619938</v>
      </c>
      <c r="K32" s="109">
        <f t="shared" si="24"/>
        <v>0.51161447604972277</v>
      </c>
      <c r="L32" s="109">
        <f t="shared" si="24"/>
        <v>0.62398932122688067</v>
      </c>
      <c r="M32" s="109">
        <f t="shared" si="24"/>
        <v>0.6575818758467239</v>
      </c>
      <c r="N32" s="109">
        <f t="shared" si="24"/>
        <v>0.49970090291898606</v>
      </c>
      <c r="O32" s="109">
        <f t="shared" si="24"/>
        <v>0.37393351856739226</v>
      </c>
      <c r="P32" s="109">
        <f t="shared" si="24"/>
        <v>0.30939414671281124</v>
      </c>
      <c r="Q32" s="109">
        <f t="shared" si="24"/>
        <v>0.32008439762936275</v>
      </c>
      <c r="R32" s="109">
        <f t="shared" si="24"/>
        <v>0.33545765453809495</v>
      </c>
      <c r="S32" s="109">
        <f t="shared" si="24"/>
        <v>0.32355082545840558</v>
      </c>
      <c r="T32" s="109">
        <f t="shared" si="24"/>
        <v>0.2805795735354541</v>
      </c>
      <c r="U32" s="109">
        <f t="shared" si="24"/>
        <v>0.2162881895258808</v>
      </c>
      <c r="V32" s="109">
        <f t="shared" si="24"/>
        <v>0.50027004023593458</v>
      </c>
      <c r="W32" s="109">
        <f t="shared" si="24"/>
        <v>0.47181138094583713</v>
      </c>
      <c r="X32" s="109">
        <f t="shared" si="24"/>
        <v>0.61461133742614005</v>
      </c>
      <c r="Y32" s="109">
        <f t="shared" si="24"/>
        <v>0.61755244909833429</v>
      </c>
      <c r="Z32" s="109">
        <f t="shared" si="24"/>
        <v>0.36420967193714066</v>
      </c>
      <c r="AA32" s="109">
        <f t="shared" si="24"/>
        <v>0.40940903065254214</v>
      </c>
      <c r="AB32" s="109">
        <f t="shared" si="24"/>
        <v>0.27090151093924164</v>
      </c>
      <c r="AC32" s="109">
        <f t="shared" si="24"/>
        <v>0.46668848902383342</v>
      </c>
      <c r="AD32" s="109">
        <f t="shared" si="24"/>
        <v>0.55151473112584748</v>
      </c>
      <c r="AE32" s="109">
        <f t="shared" si="24"/>
        <v>0.75611170056611676</v>
      </c>
      <c r="AF32" s="109">
        <f t="shared" si="24"/>
        <v>0.93813175012724759</v>
      </c>
      <c r="AG32" s="109">
        <f t="shared" si="24"/>
        <v>0.75785682159470935</v>
      </c>
      <c r="AH32" s="109">
        <f t="shared" si="24"/>
        <v>4.15026091313295</v>
      </c>
      <c r="AI32" s="109">
        <f t="shared" si="24"/>
        <v>5.8643726663604188</v>
      </c>
      <c r="AJ32" s="109" t="e">
        <f t="shared" si="24"/>
        <v>#DIV/0!</v>
      </c>
      <c r="AK32" s="109" t="e">
        <f t="shared" si="24"/>
        <v>#DIV/0!</v>
      </c>
      <c r="AL32" s="109" t="e">
        <f t="shared" si="24"/>
        <v>#DIV/0!</v>
      </c>
      <c r="AM32" s="109" t="e">
        <f t="shared" si="24"/>
        <v>#DIV/0!</v>
      </c>
      <c r="AN32" s="109" t="e">
        <f t="shared" si="24"/>
        <v>#DIV/0!</v>
      </c>
      <c r="AO32" s="109" t="e">
        <f t="shared" si="24"/>
        <v>#DIV/0!</v>
      </c>
      <c r="AP32" s="109" t="e">
        <f t="shared" si="24"/>
        <v>#DIV/0!</v>
      </c>
      <c r="AQ32" s="109" t="e">
        <f t="shared" si="24"/>
        <v>#DIV/0!</v>
      </c>
      <c r="AR32" s="109" t="e">
        <f t="shared" si="24"/>
        <v>#DIV/0!</v>
      </c>
      <c r="AS32" s="109" t="e">
        <f t="shared" si="24"/>
        <v>#DIV/0!</v>
      </c>
      <c r="AT32" s="109" t="e">
        <f t="shared" si="24"/>
        <v>#DIV/0!</v>
      </c>
      <c r="AU32" s="109" t="e">
        <f t="shared" si="24"/>
        <v>#DIV/0!</v>
      </c>
      <c r="AV32" s="109" t="e">
        <f t="shared" si="24"/>
        <v>#DIV/0!</v>
      </c>
      <c r="AW32" s="109" t="e">
        <f t="shared" si="24"/>
        <v>#DIV/0!</v>
      </c>
      <c r="AX32" s="109" t="e">
        <f t="shared" si="24"/>
        <v>#DIV/0!</v>
      </c>
      <c r="AY32" s="109" t="e">
        <f t="shared" si="24"/>
        <v>#DIV/0!</v>
      </c>
      <c r="AZ32" s="109" t="e">
        <f t="shared" si="24"/>
        <v>#DIV/0!</v>
      </c>
      <c r="BA32" s="109" t="e">
        <f t="shared" si="24"/>
        <v>#DIV/0!</v>
      </c>
      <c r="BB32" s="109" t="e">
        <f t="shared" si="24"/>
        <v>#DIV/0!</v>
      </c>
      <c r="BC32" s="109" t="e">
        <f t="shared" si="24"/>
        <v>#DIV/0!</v>
      </c>
      <c r="BD32" s="109" t="e">
        <f t="shared" si="24"/>
        <v>#DIV/0!</v>
      </c>
      <c r="BE32" s="109" t="e">
        <f t="shared" si="24"/>
        <v>#DIV/0!</v>
      </c>
      <c r="BF32" s="109" t="e">
        <f t="shared" si="24"/>
        <v>#DIV/0!</v>
      </c>
      <c r="BG32" s="109" t="e">
        <f t="shared" si="24"/>
        <v>#DIV/0!</v>
      </c>
      <c r="BH32" s="109" t="e">
        <f t="shared" si="24"/>
        <v>#DIV/0!</v>
      </c>
      <c r="BI32" s="109" t="e">
        <f t="shared" si="24"/>
        <v>#DIV/0!</v>
      </c>
      <c r="BJ32" s="109" t="e">
        <f t="shared" si="24"/>
        <v>#DIV/0!</v>
      </c>
      <c r="BK32" s="109" t="e">
        <f t="shared" si="24"/>
        <v>#DIV/0!</v>
      </c>
      <c r="BL32" s="109" t="e">
        <f t="shared" si="24"/>
        <v>#DIV/0!</v>
      </c>
      <c r="BM32" s="109" t="e">
        <f t="shared" si="24"/>
        <v>#DIV/0!</v>
      </c>
      <c r="BN32" s="109" t="e">
        <f t="shared" si="24"/>
        <v>#DIV/0!</v>
      </c>
      <c r="BO32" s="109" t="e">
        <f t="shared" si="24"/>
        <v>#DIV/0!</v>
      </c>
      <c r="BP32" s="109" t="e">
        <f t="shared" si="24"/>
        <v>#DIV/0!</v>
      </c>
      <c r="BQ32" s="109" t="e">
        <f t="shared" si="24"/>
        <v>#DIV/0!</v>
      </c>
      <c r="BR32" s="109" t="e">
        <f t="shared" ref="BR32:CK32" si="25">(BR7-BV7)/BV7</f>
        <v>#DIV/0!</v>
      </c>
      <c r="BS32" s="109" t="e">
        <f t="shared" si="25"/>
        <v>#DIV/0!</v>
      </c>
      <c r="BT32" s="109" t="e">
        <f t="shared" si="25"/>
        <v>#DIV/0!</v>
      </c>
      <c r="BU32" s="109" t="e">
        <f t="shared" si="25"/>
        <v>#DIV/0!</v>
      </c>
      <c r="BV32" s="109" t="e">
        <f t="shared" si="25"/>
        <v>#DIV/0!</v>
      </c>
      <c r="BW32" s="109" t="e">
        <f t="shared" si="25"/>
        <v>#DIV/0!</v>
      </c>
      <c r="BX32" s="109" t="e">
        <f t="shared" si="25"/>
        <v>#DIV/0!</v>
      </c>
      <c r="BY32" s="109" t="e">
        <f t="shared" si="25"/>
        <v>#DIV/0!</v>
      </c>
      <c r="BZ32" s="109" t="e">
        <f t="shared" si="25"/>
        <v>#DIV/0!</v>
      </c>
      <c r="CA32" s="109" t="e">
        <f t="shared" si="25"/>
        <v>#DIV/0!</v>
      </c>
      <c r="CB32" s="109" t="e">
        <f t="shared" si="25"/>
        <v>#DIV/0!</v>
      </c>
      <c r="CC32" s="109" t="e">
        <f t="shared" si="25"/>
        <v>#DIV/0!</v>
      </c>
      <c r="CD32" s="109" t="e">
        <f t="shared" si="25"/>
        <v>#DIV/0!</v>
      </c>
      <c r="CE32" s="109" t="e">
        <f t="shared" si="25"/>
        <v>#DIV/0!</v>
      </c>
      <c r="CF32" s="109" t="e">
        <f t="shared" si="25"/>
        <v>#DIV/0!</v>
      </c>
      <c r="CG32" s="109" t="e">
        <f t="shared" si="25"/>
        <v>#DIV/0!</v>
      </c>
      <c r="CH32" s="109" t="e">
        <f t="shared" si="25"/>
        <v>#DIV/0!</v>
      </c>
      <c r="CI32" s="109" t="e">
        <f t="shared" si="25"/>
        <v>#DIV/0!</v>
      </c>
      <c r="CJ32" s="109" t="e">
        <f t="shared" si="25"/>
        <v>#DIV/0!</v>
      </c>
      <c r="CK32" s="109" t="e">
        <f t="shared" si="25"/>
        <v>#DIV/0!</v>
      </c>
    </row>
    <row r="33" spans="1:89" s="109" customFormat="1" x14ac:dyDescent="0.25">
      <c r="A33" s="144" t="s">
        <v>567</v>
      </c>
      <c r="E33" s="109">
        <f>E7/E9</f>
        <v>0.17972415261913813</v>
      </c>
      <c r="F33" s="109">
        <f t="shared" ref="F33:BQ33" si="26">F7/F9</f>
        <v>0.15884851663966545</v>
      </c>
      <c r="G33" s="109">
        <f t="shared" si="26"/>
        <v>0.15349826126304611</v>
      </c>
      <c r="H33" s="109">
        <f t="shared" si="26"/>
        <v>0.13242041449190153</v>
      </c>
      <c r="I33" s="109">
        <f t="shared" si="26"/>
        <v>0.14463822458141154</v>
      </c>
      <c r="J33" s="109">
        <f t="shared" si="26"/>
        <v>0.15870331386050107</v>
      </c>
      <c r="K33" s="109">
        <f t="shared" si="26"/>
        <v>0.1697344185999759</v>
      </c>
      <c r="L33" s="109">
        <f t="shared" si="26"/>
        <v>0.14669516927636417</v>
      </c>
      <c r="M33" s="109">
        <f t="shared" si="26"/>
        <v>0.16109704481893888</v>
      </c>
      <c r="N33" s="109">
        <f t="shared" si="26"/>
        <v>0.15443367579705075</v>
      </c>
      <c r="O33" s="109">
        <f t="shared" si="26"/>
        <v>0.14278135673069245</v>
      </c>
      <c r="P33" s="109">
        <f t="shared" si="26"/>
        <v>0.13144763941979679</v>
      </c>
      <c r="Q33" s="109">
        <f t="shared" si="26"/>
        <v>0.13487874912050571</v>
      </c>
      <c r="R33" s="109">
        <f t="shared" si="26"/>
        <v>0.14368899115559619</v>
      </c>
      <c r="S33" s="109">
        <f t="shared" si="26"/>
        <v>0.13936432673535384</v>
      </c>
      <c r="T33" s="109">
        <f t="shared" si="26"/>
        <v>0.13679953271015277</v>
      </c>
      <c r="U33" s="109">
        <f t="shared" si="26"/>
        <v>0.13877253511662282</v>
      </c>
      <c r="V33" s="109">
        <f t="shared" si="26"/>
        <v>0.14901135122150402</v>
      </c>
      <c r="W33" s="109">
        <f t="shared" si="26"/>
        <v>0.14743660086738458</v>
      </c>
      <c r="X33" s="109">
        <f t="shared" si="26"/>
        <v>0.14552096443163598</v>
      </c>
      <c r="Y33" s="109">
        <f t="shared" si="26"/>
        <v>0.15005296182066982</v>
      </c>
      <c r="Z33" s="109">
        <f t="shared" si="26"/>
        <v>0.12827743389086707</v>
      </c>
      <c r="AA33" s="109">
        <f t="shared" si="26"/>
        <v>0.1351291350457344</v>
      </c>
      <c r="AB33" s="109">
        <f t="shared" si="26"/>
        <v>0.11580106990377555</v>
      </c>
      <c r="AC33" s="109">
        <f t="shared" si="26"/>
        <v>0.11845794725035912</v>
      </c>
      <c r="AD33" s="109">
        <f t="shared" si="26"/>
        <v>0.11670255359483284</v>
      </c>
      <c r="AE33" s="109">
        <f t="shared" si="26"/>
        <v>0.11719702030523618</v>
      </c>
      <c r="AF33" s="109">
        <f t="shared" si="26"/>
        <v>0.11001489847904176</v>
      </c>
      <c r="AG33" s="109">
        <f t="shared" si="26"/>
        <v>9.6762605091979939E-2</v>
      </c>
      <c r="AH33" s="109">
        <f t="shared" si="26"/>
        <v>8.891058142967416E-2</v>
      </c>
      <c r="AI33" s="109">
        <f t="shared" si="26"/>
        <v>7.5246107502988532E-2</v>
      </c>
      <c r="AJ33" s="109">
        <f t="shared" si="26"/>
        <v>0.19069339302057822</v>
      </c>
      <c r="AK33" s="109">
        <f t="shared" si="26"/>
        <v>0.19984026378639813</v>
      </c>
      <c r="AL33" s="109">
        <f t="shared" si="26"/>
        <v>9.3287935037031949E-2</v>
      </c>
      <c r="AM33" s="109">
        <f t="shared" si="26"/>
        <v>9.2404073158388347E-2</v>
      </c>
      <c r="AN33" s="109" t="e">
        <f t="shared" si="26"/>
        <v>#DIV/0!</v>
      </c>
      <c r="AO33" s="109" t="e">
        <f t="shared" si="26"/>
        <v>#DIV/0!</v>
      </c>
      <c r="AP33" s="109" t="e">
        <f t="shared" si="26"/>
        <v>#DIV/0!</v>
      </c>
      <c r="AQ33" s="109" t="e">
        <f t="shared" si="26"/>
        <v>#DIV/0!</v>
      </c>
      <c r="AR33" s="109" t="e">
        <f t="shared" si="26"/>
        <v>#DIV/0!</v>
      </c>
      <c r="AS33" s="109" t="e">
        <f t="shared" si="26"/>
        <v>#DIV/0!</v>
      </c>
      <c r="AT33" s="109" t="e">
        <f t="shared" si="26"/>
        <v>#DIV/0!</v>
      </c>
      <c r="AU33" s="109" t="e">
        <f t="shared" si="26"/>
        <v>#DIV/0!</v>
      </c>
      <c r="AV33" s="109" t="e">
        <f t="shared" si="26"/>
        <v>#DIV/0!</v>
      </c>
      <c r="AW33" s="109" t="e">
        <f t="shared" si="26"/>
        <v>#DIV/0!</v>
      </c>
      <c r="AX33" s="109" t="e">
        <f t="shared" si="26"/>
        <v>#DIV/0!</v>
      </c>
      <c r="AY33" s="109" t="e">
        <f t="shared" si="26"/>
        <v>#DIV/0!</v>
      </c>
      <c r="AZ33" s="109" t="e">
        <f t="shared" si="26"/>
        <v>#DIV/0!</v>
      </c>
      <c r="BA33" s="109" t="e">
        <f t="shared" si="26"/>
        <v>#DIV/0!</v>
      </c>
      <c r="BB33" s="109" t="e">
        <f t="shared" si="26"/>
        <v>#DIV/0!</v>
      </c>
      <c r="BC33" s="109" t="e">
        <f t="shared" si="26"/>
        <v>#DIV/0!</v>
      </c>
      <c r="BD33" s="109" t="e">
        <f t="shared" si="26"/>
        <v>#DIV/0!</v>
      </c>
      <c r="BE33" s="109" t="e">
        <f t="shared" si="26"/>
        <v>#DIV/0!</v>
      </c>
      <c r="BF33" s="109" t="e">
        <f t="shared" si="26"/>
        <v>#DIV/0!</v>
      </c>
      <c r="BG33" s="109" t="e">
        <f t="shared" si="26"/>
        <v>#DIV/0!</v>
      </c>
      <c r="BH33" s="109" t="e">
        <f t="shared" si="26"/>
        <v>#DIV/0!</v>
      </c>
      <c r="BI33" s="109" t="e">
        <f t="shared" si="26"/>
        <v>#DIV/0!</v>
      </c>
      <c r="BJ33" s="109" t="e">
        <f t="shared" si="26"/>
        <v>#DIV/0!</v>
      </c>
      <c r="BK33" s="109" t="e">
        <f t="shared" si="26"/>
        <v>#DIV/0!</v>
      </c>
      <c r="BL33" s="109" t="e">
        <f t="shared" si="26"/>
        <v>#DIV/0!</v>
      </c>
      <c r="BM33" s="109" t="e">
        <f t="shared" si="26"/>
        <v>#DIV/0!</v>
      </c>
      <c r="BN33" s="109" t="e">
        <f t="shared" si="26"/>
        <v>#DIV/0!</v>
      </c>
      <c r="BO33" s="109" t="e">
        <f t="shared" si="26"/>
        <v>#DIV/0!</v>
      </c>
      <c r="BP33" s="109" t="e">
        <f t="shared" si="26"/>
        <v>#DIV/0!</v>
      </c>
      <c r="BQ33" s="109" t="e">
        <f t="shared" si="26"/>
        <v>#DIV/0!</v>
      </c>
      <c r="BR33" s="109" t="e">
        <f t="shared" ref="BR33:CK33" si="27">BR7/BR9</f>
        <v>#DIV/0!</v>
      </c>
      <c r="BS33" s="109" t="e">
        <f t="shared" si="27"/>
        <v>#DIV/0!</v>
      </c>
      <c r="BT33" s="109" t="e">
        <f t="shared" si="27"/>
        <v>#DIV/0!</v>
      </c>
      <c r="BU33" s="109" t="e">
        <f t="shared" si="27"/>
        <v>#DIV/0!</v>
      </c>
      <c r="BV33" s="109" t="e">
        <f t="shared" si="27"/>
        <v>#DIV/0!</v>
      </c>
      <c r="BW33" s="109" t="e">
        <f t="shared" si="27"/>
        <v>#DIV/0!</v>
      </c>
      <c r="BX33" s="109" t="e">
        <f t="shared" si="27"/>
        <v>#DIV/0!</v>
      </c>
      <c r="BY33" s="109" t="e">
        <f t="shared" si="27"/>
        <v>#DIV/0!</v>
      </c>
      <c r="BZ33" s="109" t="e">
        <f t="shared" si="27"/>
        <v>#DIV/0!</v>
      </c>
      <c r="CA33" s="109" t="e">
        <f t="shared" si="27"/>
        <v>#DIV/0!</v>
      </c>
      <c r="CB33" s="109" t="e">
        <f t="shared" si="27"/>
        <v>#DIV/0!</v>
      </c>
      <c r="CC33" s="109" t="e">
        <f t="shared" si="27"/>
        <v>#DIV/0!</v>
      </c>
      <c r="CD33" s="109" t="e">
        <f t="shared" si="27"/>
        <v>#DIV/0!</v>
      </c>
      <c r="CE33" s="109" t="e">
        <f t="shared" si="27"/>
        <v>#DIV/0!</v>
      </c>
      <c r="CF33" s="109" t="e">
        <f t="shared" si="27"/>
        <v>#DIV/0!</v>
      </c>
      <c r="CG33" s="109" t="e">
        <f t="shared" si="27"/>
        <v>#DIV/0!</v>
      </c>
      <c r="CH33" s="109" t="e">
        <f t="shared" si="27"/>
        <v>#DIV/0!</v>
      </c>
      <c r="CI33" s="109" t="e">
        <f t="shared" si="27"/>
        <v>#DIV/0!</v>
      </c>
      <c r="CJ33" s="109" t="e">
        <f t="shared" si="27"/>
        <v>#DIV/0!</v>
      </c>
      <c r="CK33" s="109" t="e">
        <f t="shared" si="27"/>
        <v>#DIV/0!</v>
      </c>
    </row>
    <row r="34" spans="1:89" s="108" customFormat="1" x14ac:dyDescent="0.25">
      <c r="A34" s="143" t="s">
        <v>561</v>
      </c>
      <c r="E34" s="108">
        <f>(E10-I10)/I10</f>
        <v>13.132563224694543</v>
      </c>
      <c r="F34" s="108">
        <f t="shared" ref="F34:BQ34" si="28">(F10-J10)/J10</f>
        <v>2.0430637641354097</v>
      </c>
      <c r="G34" s="108">
        <f t="shared" si="28"/>
        <v>5.0145030164776188</v>
      </c>
      <c r="H34" s="108">
        <f t="shared" si="28"/>
        <v>1.071514938247933</v>
      </c>
      <c r="I34" s="108">
        <f t="shared" si="28"/>
        <v>-0.92103358091251231</v>
      </c>
      <c r="J34" s="108">
        <f t="shared" si="28"/>
        <v>-0.51330186453577498</v>
      </c>
      <c r="K34" s="108">
        <f t="shared" si="28"/>
        <v>-0.71663094486765799</v>
      </c>
      <c r="L34" s="108">
        <f t="shared" si="28"/>
        <v>1.3760050459065472</v>
      </c>
      <c r="M34" s="108">
        <f t="shared" si="28"/>
        <v>3.1040798621471462</v>
      </c>
      <c r="N34" s="108">
        <f t="shared" si="28"/>
        <v>9.4606708283591204E-2</v>
      </c>
      <c r="O34" s="108">
        <f t="shared" si="28"/>
        <v>0.81800513396519536</v>
      </c>
      <c r="P34" s="108">
        <f t="shared" si="28"/>
        <v>-0.14139453952109682</v>
      </c>
      <c r="Q34" s="108">
        <f t="shared" si="28"/>
        <v>0.97126434663299888</v>
      </c>
      <c r="R34" s="108">
        <f t="shared" si="28"/>
        <v>6.6360883896685658</v>
      </c>
      <c r="S34" s="108">
        <f t="shared" si="28"/>
        <v>19.853502054652981</v>
      </c>
      <c r="T34" s="108">
        <f t="shared" si="28"/>
        <v>6.2883781173224129</v>
      </c>
      <c r="U34" s="108" t="e">
        <f t="shared" si="28"/>
        <v>#DIV/0!</v>
      </c>
      <c r="V34" s="108" t="e">
        <f t="shared" si="28"/>
        <v>#DIV/0!</v>
      </c>
      <c r="W34" s="108" t="e">
        <f t="shared" si="28"/>
        <v>#DIV/0!</v>
      </c>
      <c r="X34" s="108" t="e">
        <f t="shared" si="28"/>
        <v>#DIV/0!</v>
      </c>
      <c r="Y34" s="108" t="e">
        <f t="shared" si="28"/>
        <v>#DIV/0!</v>
      </c>
      <c r="Z34" s="108">
        <f t="shared" si="28"/>
        <v>-1</v>
      </c>
      <c r="AA34" s="108">
        <f t="shared" si="28"/>
        <v>-1</v>
      </c>
      <c r="AB34" s="108">
        <f t="shared" si="28"/>
        <v>-1</v>
      </c>
      <c r="AC34" s="108">
        <f t="shared" si="28"/>
        <v>-1</v>
      </c>
      <c r="AD34" s="108" t="e">
        <f t="shared" si="28"/>
        <v>#DIV/0!</v>
      </c>
      <c r="AE34" s="108" t="e">
        <f t="shared" si="28"/>
        <v>#DIV/0!</v>
      </c>
      <c r="AF34" s="108">
        <f t="shared" si="28"/>
        <v>8.3011767370497591E-2</v>
      </c>
      <c r="AG34" s="108">
        <f t="shared" si="28"/>
        <v>5.9309893280491841E-2</v>
      </c>
      <c r="AH34" s="108" t="e">
        <f t="shared" si="28"/>
        <v>#DIV/0!</v>
      </c>
      <c r="AI34" s="108">
        <f t="shared" si="28"/>
        <v>-1</v>
      </c>
      <c r="AJ34" s="108" t="e">
        <f t="shared" si="28"/>
        <v>#DIV/0!</v>
      </c>
      <c r="AK34" s="108" t="e">
        <f t="shared" si="28"/>
        <v>#DIV/0!</v>
      </c>
      <c r="AL34" s="108" t="e">
        <f t="shared" si="28"/>
        <v>#DIV/0!</v>
      </c>
      <c r="AM34" s="108" t="e">
        <f t="shared" si="28"/>
        <v>#DIV/0!</v>
      </c>
      <c r="AN34" s="108" t="e">
        <f t="shared" si="28"/>
        <v>#DIV/0!</v>
      </c>
      <c r="AO34" s="108" t="e">
        <f t="shared" si="28"/>
        <v>#DIV/0!</v>
      </c>
      <c r="AP34" s="108" t="e">
        <f t="shared" si="28"/>
        <v>#DIV/0!</v>
      </c>
      <c r="AQ34" s="108" t="e">
        <f t="shared" si="28"/>
        <v>#DIV/0!</v>
      </c>
      <c r="AR34" s="108" t="e">
        <f t="shared" si="28"/>
        <v>#DIV/0!</v>
      </c>
      <c r="AS34" s="108" t="e">
        <f t="shared" si="28"/>
        <v>#DIV/0!</v>
      </c>
      <c r="AT34" s="108" t="e">
        <f t="shared" si="28"/>
        <v>#DIV/0!</v>
      </c>
      <c r="AU34" s="108" t="e">
        <f t="shared" si="28"/>
        <v>#DIV/0!</v>
      </c>
      <c r="AV34" s="108" t="e">
        <f t="shared" si="28"/>
        <v>#DIV/0!</v>
      </c>
      <c r="AW34" s="108" t="e">
        <f t="shared" si="28"/>
        <v>#DIV/0!</v>
      </c>
      <c r="AX34" s="108" t="e">
        <f t="shared" si="28"/>
        <v>#DIV/0!</v>
      </c>
      <c r="AY34" s="108" t="e">
        <f t="shared" si="28"/>
        <v>#DIV/0!</v>
      </c>
      <c r="AZ34" s="108" t="e">
        <f t="shared" si="28"/>
        <v>#DIV/0!</v>
      </c>
      <c r="BA34" s="108" t="e">
        <f t="shared" si="28"/>
        <v>#DIV/0!</v>
      </c>
      <c r="BB34" s="108" t="e">
        <f t="shared" si="28"/>
        <v>#DIV/0!</v>
      </c>
      <c r="BC34" s="108" t="e">
        <f t="shared" si="28"/>
        <v>#DIV/0!</v>
      </c>
      <c r="BD34" s="108" t="e">
        <f t="shared" si="28"/>
        <v>#DIV/0!</v>
      </c>
      <c r="BE34" s="108" t="e">
        <f t="shared" si="28"/>
        <v>#DIV/0!</v>
      </c>
      <c r="BF34" s="108" t="e">
        <f t="shared" si="28"/>
        <v>#DIV/0!</v>
      </c>
      <c r="BG34" s="108" t="e">
        <f t="shared" si="28"/>
        <v>#DIV/0!</v>
      </c>
      <c r="BH34" s="108" t="e">
        <f t="shared" si="28"/>
        <v>#DIV/0!</v>
      </c>
      <c r="BI34" s="108" t="e">
        <f t="shared" si="28"/>
        <v>#DIV/0!</v>
      </c>
      <c r="BJ34" s="108" t="e">
        <f t="shared" si="28"/>
        <v>#DIV/0!</v>
      </c>
      <c r="BK34" s="108" t="e">
        <f t="shared" si="28"/>
        <v>#DIV/0!</v>
      </c>
      <c r="BL34" s="108" t="e">
        <f t="shared" si="28"/>
        <v>#DIV/0!</v>
      </c>
      <c r="BM34" s="108" t="e">
        <f t="shared" si="28"/>
        <v>#DIV/0!</v>
      </c>
      <c r="BN34" s="108" t="e">
        <f t="shared" si="28"/>
        <v>#DIV/0!</v>
      </c>
      <c r="BO34" s="108" t="e">
        <f t="shared" si="28"/>
        <v>#DIV/0!</v>
      </c>
      <c r="BP34" s="108" t="e">
        <f t="shared" si="28"/>
        <v>#DIV/0!</v>
      </c>
      <c r="BQ34" s="108" t="e">
        <f t="shared" si="28"/>
        <v>#DIV/0!</v>
      </c>
      <c r="BR34" s="108" t="e">
        <f t="shared" ref="BR34:CK34" si="29">(BR10-BV10)/BV10</f>
        <v>#DIV/0!</v>
      </c>
      <c r="BS34" s="108" t="e">
        <f t="shared" si="29"/>
        <v>#DIV/0!</v>
      </c>
      <c r="BT34" s="108" t="e">
        <f t="shared" si="29"/>
        <v>#DIV/0!</v>
      </c>
      <c r="BU34" s="108" t="e">
        <f t="shared" si="29"/>
        <v>#DIV/0!</v>
      </c>
      <c r="BV34" s="108" t="e">
        <f t="shared" si="29"/>
        <v>#DIV/0!</v>
      </c>
      <c r="BW34" s="108" t="e">
        <f t="shared" si="29"/>
        <v>#DIV/0!</v>
      </c>
      <c r="BX34" s="108" t="e">
        <f t="shared" si="29"/>
        <v>#DIV/0!</v>
      </c>
      <c r="BY34" s="108" t="e">
        <f t="shared" si="29"/>
        <v>#DIV/0!</v>
      </c>
      <c r="BZ34" s="108" t="e">
        <f t="shared" si="29"/>
        <v>#DIV/0!</v>
      </c>
      <c r="CA34" s="108" t="e">
        <f t="shared" si="29"/>
        <v>#DIV/0!</v>
      </c>
      <c r="CB34" s="108" t="e">
        <f t="shared" si="29"/>
        <v>#DIV/0!</v>
      </c>
      <c r="CC34" s="108" t="e">
        <f t="shared" si="29"/>
        <v>#DIV/0!</v>
      </c>
      <c r="CD34" s="108" t="e">
        <f t="shared" si="29"/>
        <v>#DIV/0!</v>
      </c>
      <c r="CE34" s="108" t="e">
        <f t="shared" si="29"/>
        <v>#DIV/0!</v>
      </c>
      <c r="CF34" s="108" t="e">
        <f t="shared" si="29"/>
        <v>#DIV/0!</v>
      </c>
      <c r="CG34" s="108" t="e">
        <f t="shared" si="29"/>
        <v>#DIV/0!</v>
      </c>
      <c r="CH34" s="108" t="e">
        <f t="shared" si="29"/>
        <v>#DIV/0!</v>
      </c>
      <c r="CI34" s="108" t="e">
        <f t="shared" si="29"/>
        <v>#DIV/0!</v>
      </c>
      <c r="CJ34" s="108" t="e">
        <f t="shared" si="29"/>
        <v>#DIV/0!</v>
      </c>
      <c r="CK34" s="108" t="e">
        <f t="shared" si="29"/>
        <v>#DIV/0!</v>
      </c>
    </row>
    <row r="35" spans="1:89" s="108" customFormat="1" x14ac:dyDescent="0.25">
      <c r="A35" s="143" t="s">
        <v>565</v>
      </c>
      <c r="E35" s="108">
        <f>E10/E12</f>
        <v>0.3147209533583159</v>
      </c>
      <c r="F35" s="108">
        <f t="shared" ref="F35:BQ35" si="30">F10/F12</f>
        <v>0.23981152310075127</v>
      </c>
      <c r="G35" s="108">
        <f t="shared" si="30"/>
        <v>0.3786811229233093</v>
      </c>
      <c r="H35" s="108">
        <f t="shared" si="30"/>
        <v>0.3556245216520732</v>
      </c>
      <c r="I35" s="108">
        <f t="shared" si="30"/>
        <v>2.4457345290033718E-2</v>
      </c>
      <c r="J35" s="108">
        <f t="shared" si="30"/>
        <v>0.10446055384345979</v>
      </c>
      <c r="K35" s="108">
        <f t="shared" si="30"/>
        <v>0.11027920101566069</v>
      </c>
      <c r="L35" s="108">
        <f t="shared" si="30"/>
        <v>0.29191669712697271</v>
      </c>
      <c r="M35" s="108">
        <f t="shared" si="30"/>
        <v>0.68532855280116023</v>
      </c>
      <c r="N35" s="108">
        <f t="shared" si="30"/>
        <v>0.44268988120811326</v>
      </c>
      <c r="O35" s="108">
        <f t="shared" si="30"/>
        <v>0.58089195636601509</v>
      </c>
      <c r="P35" s="108">
        <f t="shared" si="30"/>
        <v>0.47243236709914416</v>
      </c>
      <c r="Q35" s="108">
        <f t="shared" si="30"/>
        <v>0.59388798740069337</v>
      </c>
      <c r="R35" s="108">
        <f t="shared" si="30"/>
        <v>0.98545394268813213</v>
      </c>
      <c r="S35" s="108">
        <f t="shared" si="30"/>
        <v>0.98554494534293069</v>
      </c>
      <c r="T35" s="108">
        <f t="shared" si="30"/>
        <v>0.97003105677099066</v>
      </c>
      <c r="U35" s="108">
        <f t="shared" si="30"/>
        <v>0.93503579839357032</v>
      </c>
      <c r="V35" s="108">
        <f t="shared" si="30"/>
        <v>0.87781356501463248</v>
      </c>
      <c r="W35" s="108">
        <f t="shared" si="30"/>
        <v>0.81647039701618673</v>
      </c>
      <c r="X35" s="108">
        <f t="shared" si="30"/>
        <v>0.96629399405853555</v>
      </c>
      <c r="Y35" s="108">
        <f t="shared" si="30"/>
        <v>0</v>
      </c>
      <c r="Z35" s="108">
        <f t="shared" si="30"/>
        <v>0</v>
      </c>
      <c r="AA35" s="108">
        <f t="shared" si="30"/>
        <v>0</v>
      </c>
      <c r="AB35" s="108">
        <f t="shared" si="30"/>
        <v>0</v>
      </c>
      <c r="AC35" s="108">
        <f t="shared" si="30"/>
        <v>0</v>
      </c>
      <c r="AD35" s="108">
        <f t="shared" si="30"/>
        <v>1</v>
      </c>
      <c r="AE35" s="108">
        <f t="shared" si="30"/>
        <v>1</v>
      </c>
      <c r="AF35" s="108">
        <f t="shared" si="30"/>
        <v>1</v>
      </c>
      <c r="AG35" s="108">
        <f t="shared" si="30"/>
        <v>1</v>
      </c>
      <c r="AH35" s="108">
        <f t="shared" si="30"/>
        <v>0</v>
      </c>
      <c r="AI35" s="108">
        <f t="shared" si="30"/>
        <v>0</v>
      </c>
      <c r="AJ35" s="108">
        <f t="shared" si="30"/>
        <v>0.47545767186577276</v>
      </c>
      <c r="AK35" s="108">
        <f t="shared" si="30"/>
        <v>0.47583390356645561</v>
      </c>
      <c r="AL35" s="108">
        <f t="shared" si="30"/>
        <v>0</v>
      </c>
      <c r="AM35" s="108">
        <f t="shared" si="30"/>
        <v>1</v>
      </c>
      <c r="AN35" s="108" t="e">
        <f t="shared" si="30"/>
        <v>#DIV/0!</v>
      </c>
      <c r="AO35" s="108" t="e">
        <f t="shared" si="30"/>
        <v>#DIV/0!</v>
      </c>
      <c r="AP35" s="108" t="e">
        <f t="shared" si="30"/>
        <v>#DIV/0!</v>
      </c>
      <c r="AQ35" s="108" t="e">
        <f t="shared" si="30"/>
        <v>#DIV/0!</v>
      </c>
      <c r="AR35" s="108" t="e">
        <f t="shared" si="30"/>
        <v>#DIV/0!</v>
      </c>
      <c r="AS35" s="108" t="e">
        <f t="shared" si="30"/>
        <v>#DIV/0!</v>
      </c>
      <c r="AT35" s="108" t="e">
        <f t="shared" si="30"/>
        <v>#DIV/0!</v>
      </c>
      <c r="AU35" s="108" t="e">
        <f t="shared" si="30"/>
        <v>#DIV/0!</v>
      </c>
      <c r="AV35" s="108" t="e">
        <f t="shared" si="30"/>
        <v>#DIV/0!</v>
      </c>
      <c r="AW35" s="108" t="e">
        <f t="shared" si="30"/>
        <v>#DIV/0!</v>
      </c>
      <c r="AX35" s="108" t="e">
        <f t="shared" si="30"/>
        <v>#DIV/0!</v>
      </c>
      <c r="AY35" s="108" t="e">
        <f t="shared" si="30"/>
        <v>#DIV/0!</v>
      </c>
      <c r="AZ35" s="108" t="e">
        <f t="shared" si="30"/>
        <v>#DIV/0!</v>
      </c>
      <c r="BA35" s="108" t="e">
        <f t="shared" si="30"/>
        <v>#DIV/0!</v>
      </c>
      <c r="BB35" s="108" t="e">
        <f t="shared" si="30"/>
        <v>#DIV/0!</v>
      </c>
      <c r="BC35" s="108" t="e">
        <f t="shared" si="30"/>
        <v>#DIV/0!</v>
      </c>
      <c r="BD35" s="108" t="e">
        <f t="shared" si="30"/>
        <v>#DIV/0!</v>
      </c>
      <c r="BE35" s="108" t="e">
        <f t="shared" si="30"/>
        <v>#DIV/0!</v>
      </c>
      <c r="BF35" s="108" t="e">
        <f t="shared" si="30"/>
        <v>#DIV/0!</v>
      </c>
      <c r="BG35" s="108" t="e">
        <f t="shared" si="30"/>
        <v>#DIV/0!</v>
      </c>
      <c r="BH35" s="108" t="e">
        <f t="shared" si="30"/>
        <v>#DIV/0!</v>
      </c>
      <c r="BI35" s="108" t="e">
        <f t="shared" si="30"/>
        <v>#DIV/0!</v>
      </c>
      <c r="BJ35" s="108" t="e">
        <f t="shared" si="30"/>
        <v>#DIV/0!</v>
      </c>
      <c r="BK35" s="108" t="e">
        <f t="shared" si="30"/>
        <v>#DIV/0!</v>
      </c>
      <c r="BL35" s="108" t="e">
        <f t="shared" si="30"/>
        <v>#DIV/0!</v>
      </c>
      <c r="BM35" s="108" t="e">
        <f t="shared" si="30"/>
        <v>#DIV/0!</v>
      </c>
      <c r="BN35" s="108" t="e">
        <f t="shared" si="30"/>
        <v>#DIV/0!</v>
      </c>
      <c r="BO35" s="108" t="e">
        <f t="shared" si="30"/>
        <v>#DIV/0!</v>
      </c>
      <c r="BP35" s="108" t="e">
        <f t="shared" si="30"/>
        <v>#DIV/0!</v>
      </c>
      <c r="BQ35" s="108" t="e">
        <f t="shared" si="30"/>
        <v>#DIV/0!</v>
      </c>
      <c r="BR35" s="108" t="e">
        <f t="shared" ref="BR35:CK35" si="31">BR10/BR12</f>
        <v>#DIV/0!</v>
      </c>
      <c r="BS35" s="108" t="e">
        <f t="shared" si="31"/>
        <v>#DIV/0!</v>
      </c>
      <c r="BT35" s="108" t="e">
        <f t="shared" si="31"/>
        <v>#DIV/0!</v>
      </c>
      <c r="BU35" s="108" t="e">
        <f t="shared" si="31"/>
        <v>#DIV/0!</v>
      </c>
      <c r="BV35" s="108" t="e">
        <f t="shared" si="31"/>
        <v>#DIV/0!</v>
      </c>
      <c r="BW35" s="108" t="e">
        <f t="shared" si="31"/>
        <v>#DIV/0!</v>
      </c>
      <c r="BX35" s="108" t="e">
        <f t="shared" si="31"/>
        <v>#DIV/0!</v>
      </c>
      <c r="BY35" s="108" t="e">
        <f t="shared" si="31"/>
        <v>#DIV/0!</v>
      </c>
      <c r="BZ35" s="108" t="e">
        <f t="shared" si="31"/>
        <v>#DIV/0!</v>
      </c>
      <c r="CA35" s="108" t="e">
        <f t="shared" si="31"/>
        <v>#DIV/0!</v>
      </c>
      <c r="CB35" s="108" t="e">
        <f t="shared" si="31"/>
        <v>#DIV/0!</v>
      </c>
      <c r="CC35" s="108" t="e">
        <f t="shared" si="31"/>
        <v>#DIV/0!</v>
      </c>
      <c r="CD35" s="108" t="e">
        <f t="shared" si="31"/>
        <v>#DIV/0!</v>
      </c>
      <c r="CE35" s="108" t="e">
        <f t="shared" si="31"/>
        <v>#DIV/0!</v>
      </c>
      <c r="CF35" s="108" t="e">
        <f t="shared" si="31"/>
        <v>#DIV/0!</v>
      </c>
      <c r="CG35" s="108" t="e">
        <f t="shared" si="31"/>
        <v>#DIV/0!</v>
      </c>
      <c r="CH35" s="108" t="e">
        <f t="shared" si="31"/>
        <v>#DIV/0!</v>
      </c>
      <c r="CI35" s="108" t="e">
        <f t="shared" si="31"/>
        <v>#DIV/0!</v>
      </c>
      <c r="CJ35" s="108" t="e">
        <f t="shared" si="31"/>
        <v>#DIV/0!</v>
      </c>
      <c r="CK35" s="108" t="e">
        <f t="shared" si="31"/>
        <v>#DIV/0!</v>
      </c>
    </row>
    <row r="36" spans="1:89" s="108" customFormat="1" x14ac:dyDescent="0.25">
      <c r="A36" s="143" t="s">
        <v>562</v>
      </c>
      <c r="E36" s="108">
        <f>(E11-I11)/I11</f>
        <v>-0.22851802525987958</v>
      </c>
      <c r="F36" s="108">
        <f t="shared" ref="F36:BQ36" si="32">(F11-J11)/J11</f>
        <v>0.12520043500273714</v>
      </c>
      <c r="G36" s="108">
        <f t="shared" si="32"/>
        <v>0.22315221798149745</v>
      </c>
      <c r="H36" s="108">
        <f t="shared" si="32"/>
        <v>0.54742624347556945</v>
      </c>
      <c r="I36" s="108">
        <f t="shared" si="32"/>
        <v>5.8599489113160521</v>
      </c>
      <c r="J36" s="108">
        <f t="shared" si="32"/>
        <v>2.3143223485948776</v>
      </c>
      <c r="K36" s="108">
        <f t="shared" si="32"/>
        <v>2.1687058170458262</v>
      </c>
      <c r="L36" s="108">
        <f t="shared" si="32"/>
        <v>4.1610049627386161</v>
      </c>
      <c r="M36" s="108">
        <f t="shared" si="32"/>
        <v>1.7557068735873427</v>
      </c>
      <c r="N36" s="108">
        <f t="shared" si="32"/>
        <v>92.356911493343773</v>
      </c>
      <c r="O36" s="108">
        <f t="shared" si="32"/>
        <v>88.429836184808138</v>
      </c>
      <c r="P36" s="108">
        <f t="shared" si="32"/>
        <v>30.034614488278425</v>
      </c>
      <c r="Q36" s="108">
        <f t="shared" si="32"/>
        <v>18.401722787783868</v>
      </c>
      <c r="R36" s="108">
        <f t="shared" si="32"/>
        <v>-0.19023462270133165</v>
      </c>
      <c r="S36" s="108">
        <f t="shared" si="32"/>
        <v>0.36068193926478426</v>
      </c>
      <c r="T36" s="108">
        <f t="shared" si="32"/>
        <v>5.4553333333333329</v>
      </c>
      <c r="U36" s="108">
        <f t="shared" si="32"/>
        <v>3.2566666666666668</v>
      </c>
      <c r="V36" s="108">
        <f t="shared" si="32"/>
        <v>4.2566666666666668</v>
      </c>
      <c r="W36" s="108">
        <f t="shared" si="32"/>
        <v>2.1283333333333334</v>
      </c>
      <c r="X36" s="108">
        <f t="shared" si="32"/>
        <v>0</v>
      </c>
      <c r="Y36" s="108">
        <f t="shared" si="32"/>
        <v>0</v>
      </c>
      <c r="Z36" s="108" t="e">
        <f t="shared" si="32"/>
        <v>#DIV/0!</v>
      </c>
      <c r="AA36" s="108" t="e">
        <f t="shared" si="32"/>
        <v>#DIV/0!</v>
      </c>
      <c r="AB36" s="108" t="e">
        <f t="shared" si="32"/>
        <v>#DIV/0!</v>
      </c>
      <c r="AC36" s="108" t="e">
        <f t="shared" si="32"/>
        <v>#DIV/0!</v>
      </c>
      <c r="AD36" s="108">
        <f t="shared" si="32"/>
        <v>-1</v>
      </c>
      <c r="AE36" s="108">
        <f t="shared" si="32"/>
        <v>-1</v>
      </c>
      <c r="AF36" s="108">
        <f t="shared" si="32"/>
        <v>-1</v>
      </c>
      <c r="AG36" s="108">
        <f t="shared" si="32"/>
        <v>-1</v>
      </c>
      <c r="AH36" s="108">
        <f t="shared" si="32"/>
        <v>14.1</v>
      </c>
      <c r="AI36" s="108" t="e">
        <f t="shared" si="32"/>
        <v>#DIV/0!</v>
      </c>
      <c r="AJ36" s="108" t="e">
        <f t="shared" si="32"/>
        <v>#DIV/0!</v>
      </c>
      <c r="AK36" s="108" t="e">
        <f t="shared" si="32"/>
        <v>#DIV/0!</v>
      </c>
      <c r="AL36" s="108" t="e">
        <f t="shared" si="32"/>
        <v>#DIV/0!</v>
      </c>
      <c r="AM36" s="108" t="e">
        <f t="shared" si="32"/>
        <v>#DIV/0!</v>
      </c>
      <c r="AN36" s="108" t="e">
        <f t="shared" si="32"/>
        <v>#DIV/0!</v>
      </c>
      <c r="AO36" s="108" t="e">
        <f t="shared" si="32"/>
        <v>#DIV/0!</v>
      </c>
      <c r="AP36" s="108" t="e">
        <f t="shared" si="32"/>
        <v>#DIV/0!</v>
      </c>
      <c r="AQ36" s="108" t="e">
        <f t="shared" si="32"/>
        <v>#DIV/0!</v>
      </c>
      <c r="AR36" s="108" t="e">
        <f t="shared" si="32"/>
        <v>#DIV/0!</v>
      </c>
      <c r="AS36" s="108" t="e">
        <f t="shared" si="32"/>
        <v>#DIV/0!</v>
      </c>
      <c r="AT36" s="108" t="e">
        <f t="shared" si="32"/>
        <v>#DIV/0!</v>
      </c>
      <c r="AU36" s="108" t="e">
        <f t="shared" si="32"/>
        <v>#DIV/0!</v>
      </c>
      <c r="AV36" s="108" t="e">
        <f t="shared" si="32"/>
        <v>#DIV/0!</v>
      </c>
      <c r="AW36" s="108" t="e">
        <f t="shared" si="32"/>
        <v>#DIV/0!</v>
      </c>
      <c r="AX36" s="108" t="e">
        <f t="shared" si="32"/>
        <v>#DIV/0!</v>
      </c>
      <c r="AY36" s="108" t="e">
        <f t="shared" si="32"/>
        <v>#DIV/0!</v>
      </c>
      <c r="AZ36" s="108" t="e">
        <f t="shared" si="32"/>
        <v>#DIV/0!</v>
      </c>
      <c r="BA36" s="108" t="e">
        <f t="shared" si="32"/>
        <v>#DIV/0!</v>
      </c>
      <c r="BB36" s="108" t="e">
        <f t="shared" si="32"/>
        <v>#DIV/0!</v>
      </c>
      <c r="BC36" s="108" t="e">
        <f t="shared" si="32"/>
        <v>#DIV/0!</v>
      </c>
      <c r="BD36" s="108" t="e">
        <f t="shared" si="32"/>
        <v>#DIV/0!</v>
      </c>
      <c r="BE36" s="108" t="e">
        <f t="shared" si="32"/>
        <v>#DIV/0!</v>
      </c>
      <c r="BF36" s="108" t="e">
        <f t="shared" si="32"/>
        <v>#DIV/0!</v>
      </c>
      <c r="BG36" s="108" t="e">
        <f t="shared" si="32"/>
        <v>#DIV/0!</v>
      </c>
      <c r="BH36" s="108" t="e">
        <f t="shared" si="32"/>
        <v>#DIV/0!</v>
      </c>
      <c r="BI36" s="108" t="e">
        <f t="shared" si="32"/>
        <v>#DIV/0!</v>
      </c>
      <c r="BJ36" s="108" t="e">
        <f t="shared" si="32"/>
        <v>#DIV/0!</v>
      </c>
      <c r="BK36" s="108" t="e">
        <f t="shared" si="32"/>
        <v>#DIV/0!</v>
      </c>
      <c r="BL36" s="108" t="e">
        <f t="shared" si="32"/>
        <v>#DIV/0!</v>
      </c>
      <c r="BM36" s="108" t="e">
        <f t="shared" si="32"/>
        <v>#DIV/0!</v>
      </c>
      <c r="BN36" s="108" t="e">
        <f t="shared" si="32"/>
        <v>#DIV/0!</v>
      </c>
      <c r="BO36" s="108" t="e">
        <f t="shared" si="32"/>
        <v>#DIV/0!</v>
      </c>
      <c r="BP36" s="108" t="e">
        <f t="shared" si="32"/>
        <v>#DIV/0!</v>
      </c>
      <c r="BQ36" s="108" t="e">
        <f t="shared" si="32"/>
        <v>#DIV/0!</v>
      </c>
      <c r="BR36" s="108" t="e">
        <f t="shared" ref="BR36:CK36" si="33">(BR11-BV11)/BV11</f>
        <v>#DIV/0!</v>
      </c>
      <c r="BS36" s="108" t="e">
        <f t="shared" si="33"/>
        <v>#DIV/0!</v>
      </c>
      <c r="BT36" s="108" t="e">
        <f t="shared" si="33"/>
        <v>#DIV/0!</v>
      </c>
      <c r="BU36" s="108" t="e">
        <f t="shared" si="33"/>
        <v>#DIV/0!</v>
      </c>
      <c r="BV36" s="108" t="e">
        <f t="shared" si="33"/>
        <v>#DIV/0!</v>
      </c>
      <c r="BW36" s="108" t="e">
        <f t="shared" si="33"/>
        <v>#DIV/0!</v>
      </c>
      <c r="BX36" s="108" t="e">
        <f t="shared" si="33"/>
        <v>#DIV/0!</v>
      </c>
      <c r="BY36" s="108" t="e">
        <f t="shared" si="33"/>
        <v>#DIV/0!</v>
      </c>
      <c r="BZ36" s="108" t="e">
        <f t="shared" si="33"/>
        <v>#DIV/0!</v>
      </c>
      <c r="CA36" s="108" t="e">
        <f t="shared" si="33"/>
        <v>#DIV/0!</v>
      </c>
      <c r="CB36" s="108" t="e">
        <f t="shared" si="33"/>
        <v>#DIV/0!</v>
      </c>
      <c r="CC36" s="108" t="e">
        <f t="shared" si="33"/>
        <v>#DIV/0!</v>
      </c>
      <c r="CD36" s="108" t="e">
        <f t="shared" si="33"/>
        <v>#DIV/0!</v>
      </c>
      <c r="CE36" s="108" t="e">
        <f t="shared" si="33"/>
        <v>#DIV/0!</v>
      </c>
      <c r="CF36" s="108" t="e">
        <f t="shared" si="33"/>
        <v>#DIV/0!</v>
      </c>
      <c r="CG36" s="108" t="e">
        <f t="shared" si="33"/>
        <v>#DIV/0!</v>
      </c>
      <c r="CH36" s="108" t="e">
        <f t="shared" si="33"/>
        <v>#DIV/0!</v>
      </c>
      <c r="CI36" s="108" t="e">
        <f t="shared" si="33"/>
        <v>#DIV/0!</v>
      </c>
      <c r="CJ36" s="108" t="e">
        <f t="shared" si="33"/>
        <v>#DIV/0!</v>
      </c>
      <c r="CK36" s="108" t="e">
        <f t="shared" si="33"/>
        <v>#DIV/0!</v>
      </c>
    </row>
    <row r="37" spans="1:89" s="110" customFormat="1" x14ac:dyDescent="0.25">
      <c r="A37" s="143" t="s">
        <v>566</v>
      </c>
      <c r="B37" s="108"/>
      <c r="C37" s="108"/>
      <c r="D37" s="108"/>
      <c r="E37" s="108">
        <f>E11/E12</f>
        <v>0.68527904664168404</v>
      </c>
      <c r="F37" s="108">
        <f t="shared" ref="F37:BQ37" si="34">F11/F12</f>
        <v>0.76018847689924873</v>
      </c>
      <c r="G37" s="108">
        <f t="shared" si="34"/>
        <v>0.62131887707669076</v>
      </c>
      <c r="H37" s="108">
        <f t="shared" si="34"/>
        <v>0.64437547834792674</v>
      </c>
      <c r="I37" s="108">
        <f t="shared" si="34"/>
        <v>0.97554265470996615</v>
      </c>
      <c r="J37" s="108">
        <f t="shared" si="34"/>
        <v>0.89553944615654013</v>
      </c>
      <c r="K37" s="108">
        <f t="shared" si="34"/>
        <v>0.88972079898433931</v>
      </c>
      <c r="L37" s="108">
        <f t="shared" si="34"/>
        <v>0.70808330287302734</v>
      </c>
      <c r="M37" s="108">
        <f t="shared" si="34"/>
        <v>0.31467144719883977</v>
      </c>
      <c r="N37" s="108">
        <f t="shared" si="34"/>
        <v>0.55731011879188674</v>
      </c>
      <c r="O37" s="110">
        <f t="shared" si="34"/>
        <v>0.41910804363398496</v>
      </c>
      <c r="P37" s="110">
        <f t="shared" si="34"/>
        <v>0.52756763290085595</v>
      </c>
      <c r="Q37" s="110">
        <f t="shared" si="34"/>
        <v>0.40611201259930668</v>
      </c>
      <c r="R37" s="110">
        <f t="shared" si="34"/>
        <v>1.4546057311867835E-2</v>
      </c>
      <c r="S37" s="110">
        <f t="shared" si="34"/>
        <v>1.4455054657069333E-2</v>
      </c>
      <c r="T37" s="110">
        <f t="shared" si="34"/>
        <v>2.9968943229009368E-2</v>
      </c>
      <c r="U37" s="110">
        <f t="shared" si="34"/>
        <v>6.4964201606429697E-2</v>
      </c>
      <c r="V37" s="110">
        <f t="shared" si="34"/>
        <v>0.12218643498536756</v>
      </c>
      <c r="W37" s="110">
        <f t="shared" si="34"/>
        <v>0.18352960298381329</v>
      </c>
      <c r="X37" s="110">
        <f t="shared" si="34"/>
        <v>3.3706005941464404E-2</v>
      </c>
      <c r="Y37" s="110">
        <f t="shared" si="34"/>
        <v>1</v>
      </c>
      <c r="Z37" s="110">
        <f t="shared" si="34"/>
        <v>1</v>
      </c>
      <c r="AA37" s="110">
        <f t="shared" si="34"/>
        <v>1</v>
      </c>
      <c r="AB37" s="110">
        <f t="shared" si="34"/>
        <v>1</v>
      </c>
      <c r="AC37" s="110">
        <f t="shared" si="34"/>
        <v>1</v>
      </c>
      <c r="AD37" s="110">
        <f t="shared" si="34"/>
        <v>0</v>
      </c>
      <c r="AE37" s="110">
        <f t="shared" si="34"/>
        <v>0</v>
      </c>
      <c r="AF37" s="110">
        <f t="shared" si="34"/>
        <v>0</v>
      </c>
      <c r="AG37" s="110">
        <f t="shared" si="34"/>
        <v>0</v>
      </c>
      <c r="AH37" s="110">
        <f t="shared" si="34"/>
        <v>1</v>
      </c>
      <c r="AI37" s="110">
        <f t="shared" si="34"/>
        <v>1</v>
      </c>
      <c r="AJ37" s="110">
        <f t="shared" si="34"/>
        <v>0.5245423281342273</v>
      </c>
      <c r="AK37" s="110">
        <f t="shared" si="34"/>
        <v>0.52416609643354439</v>
      </c>
      <c r="AL37" s="110">
        <f t="shared" si="34"/>
        <v>1</v>
      </c>
      <c r="AM37" s="110">
        <f t="shared" si="34"/>
        <v>0</v>
      </c>
      <c r="AN37" s="110" t="e">
        <f t="shared" si="34"/>
        <v>#DIV/0!</v>
      </c>
      <c r="AO37" s="110" t="e">
        <f t="shared" si="34"/>
        <v>#DIV/0!</v>
      </c>
      <c r="AP37" s="110" t="e">
        <f t="shared" si="34"/>
        <v>#DIV/0!</v>
      </c>
      <c r="AQ37" s="110" t="e">
        <f t="shared" si="34"/>
        <v>#DIV/0!</v>
      </c>
      <c r="AR37" s="110" t="e">
        <f t="shared" si="34"/>
        <v>#DIV/0!</v>
      </c>
      <c r="AS37" s="110" t="e">
        <f t="shared" si="34"/>
        <v>#DIV/0!</v>
      </c>
      <c r="AT37" s="110" t="e">
        <f t="shared" si="34"/>
        <v>#DIV/0!</v>
      </c>
      <c r="AU37" s="110" t="e">
        <f t="shared" si="34"/>
        <v>#DIV/0!</v>
      </c>
      <c r="AV37" s="110" t="e">
        <f t="shared" si="34"/>
        <v>#DIV/0!</v>
      </c>
      <c r="AW37" s="110" t="e">
        <f t="shared" si="34"/>
        <v>#DIV/0!</v>
      </c>
      <c r="AX37" s="110" t="e">
        <f t="shared" si="34"/>
        <v>#DIV/0!</v>
      </c>
      <c r="AY37" s="110" t="e">
        <f t="shared" si="34"/>
        <v>#DIV/0!</v>
      </c>
      <c r="AZ37" s="110" t="e">
        <f t="shared" si="34"/>
        <v>#DIV/0!</v>
      </c>
      <c r="BA37" s="110" t="e">
        <f t="shared" si="34"/>
        <v>#DIV/0!</v>
      </c>
      <c r="BB37" s="110" t="e">
        <f t="shared" si="34"/>
        <v>#DIV/0!</v>
      </c>
      <c r="BC37" s="110" t="e">
        <f t="shared" si="34"/>
        <v>#DIV/0!</v>
      </c>
      <c r="BD37" s="110" t="e">
        <f t="shared" si="34"/>
        <v>#DIV/0!</v>
      </c>
      <c r="BE37" s="110" t="e">
        <f t="shared" si="34"/>
        <v>#DIV/0!</v>
      </c>
      <c r="BF37" s="110" t="e">
        <f t="shared" si="34"/>
        <v>#DIV/0!</v>
      </c>
      <c r="BG37" s="110" t="e">
        <f t="shared" si="34"/>
        <v>#DIV/0!</v>
      </c>
      <c r="BH37" s="110" t="e">
        <f t="shared" si="34"/>
        <v>#DIV/0!</v>
      </c>
      <c r="BI37" s="110" t="e">
        <f t="shared" si="34"/>
        <v>#DIV/0!</v>
      </c>
      <c r="BJ37" s="110" t="e">
        <f t="shared" si="34"/>
        <v>#DIV/0!</v>
      </c>
      <c r="BK37" s="110" t="e">
        <f t="shared" si="34"/>
        <v>#DIV/0!</v>
      </c>
      <c r="BL37" s="110" t="e">
        <f t="shared" si="34"/>
        <v>#DIV/0!</v>
      </c>
      <c r="BM37" s="110" t="e">
        <f t="shared" si="34"/>
        <v>#DIV/0!</v>
      </c>
      <c r="BN37" s="110" t="e">
        <f t="shared" si="34"/>
        <v>#DIV/0!</v>
      </c>
      <c r="BO37" s="110" t="e">
        <f t="shared" si="34"/>
        <v>#DIV/0!</v>
      </c>
      <c r="BP37" s="110" t="e">
        <f t="shared" si="34"/>
        <v>#DIV/0!</v>
      </c>
      <c r="BQ37" s="110" t="e">
        <f t="shared" si="34"/>
        <v>#DIV/0!</v>
      </c>
      <c r="BR37" s="110" t="e">
        <f t="shared" ref="BR37:CK37" si="35">BR11/BR12</f>
        <v>#DIV/0!</v>
      </c>
      <c r="BS37" s="110" t="e">
        <f t="shared" si="35"/>
        <v>#DIV/0!</v>
      </c>
      <c r="BT37" s="110" t="e">
        <f t="shared" si="35"/>
        <v>#DIV/0!</v>
      </c>
      <c r="BU37" s="110" t="e">
        <f t="shared" si="35"/>
        <v>#DIV/0!</v>
      </c>
      <c r="BV37" s="110" t="e">
        <f t="shared" si="35"/>
        <v>#DIV/0!</v>
      </c>
      <c r="BW37" s="110" t="e">
        <f t="shared" si="35"/>
        <v>#DIV/0!</v>
      </c>
      <c r="BX37" s="110" t="e">
        <f t="shared" si="35"/>
        <v>#DIV/0!</v>
      </c>
      <c r="BY37" s="110" t="e">
        <f t="shared" si="35"/>
        <v>#DIV/0!</v>
      </c>
      <c r="BZ37" s="110" t="e">
        <f t="shared" si="35"/>
        <v>#DIV/0!</v>
      </c>
      <c r="CA37" s="110" t="e">
        <f t="shared" si="35"/>
        <v>#DIV/0!</v>
      </c>
      <c r="CB37" s="110" t="e">
        <f t="shared" si="35"/>
        <v>#DIV/0!</v>
      </c>
      <c r="CC37" s="110" t="e">
        <f t="shared" si="35"/>
        <v>#DIV/0!</v>
      </c>
      <c r="CD37" s="110" t="e">
        <f t="shared" si="35"/>
        <v>#DIV/0!</v>
      </c>
      <c r="CE37" s="110" t="e">
        <f t="shared" si="35"/>
        <v>#DIV/0!</v>
      </c>
      <c r="CF37" s="110" t="e">
        <f t="shared" si="35"/>
        <v>#DIV/0!</v>
      </c>
      <c r="CG37" s="110" t="e">
        <f t="shared" si="35"/>
        <v>#DIV/0!</v>
      </c>
      <c r="CH37" s="110" t="e">
        <f t="shared" si="35"/>
        <v>#DIV/0!</v>
      </c>
      <c r="CI37" s="110" t="e">
        <f t="shared" si="35"/>
        <v>#DIV/0!</v>
      </c>
      <c r="CJ37" s="110" t="e">
        <f t="shared" si="35"/>
        <v>#DIV/0!</v>
      </c>
      <c r="CK37" s="110" t="e">
        <f t="shared" si="35"/>
        <v>#DIV/0!</v>
      </c>
    </row>
    <row r="38" spans="1:89" s="189" customFormat="1" x14ac:dyDescent="0.25">
      <c r="A38" s="186" t="s">
        <v>636</v>
      </c>
      <c r="B38" s="187"/>
      <c r="C38" s="187"/>
      <c r="D38" s="187"/>
      <c r="E38" s="188">
        <f>E1</f>
        <v>43100</v>
      </c>
      <c r="F38" s="188">
        <f t="shared" ref="F38:U38" si="36">F1</f>
        <v>43008</v>
      </c>
      <c r="G38" s="188">
        <f t="shared" si="36"/>
        <v>42916</v>
      </c>
      <c r="H38" s="188">
        <f t="shared" si="36"/>
        <v>42825</v>
      </c>
      <c r="I38" s="188">
        <f t="shared" si="36"/>
        <v>42735</v>
      </c>
      <c r="J38" s="188">
        <f t="shared" si="36"/>
        <v>42643</v>
      </c>
      <c r="K38" s="188">
        <f t="shared" si="36"/>
        <v>42551</v>
      </c>
      <c r="L38" s="188">
        <f t="shared" si="36"/>
        <v>42460</v>
      </c>
      <c r="M38" s="188">
        <f t="shared" si="36"/>
        <v>42369</v>
      </c>
      <c r="N38" s="188">
        <f t="shared" si="36"/>
        <v>42277</v>
      </c>
      <c r="O38" s="188">
        <f t="shared" si="36"/>
        <v>42185</v>
      </c>
      <c r="P38" s="188">
        <f t="shared" si="36"/>
        <v>42094</v>
      </c>
      <c r="Q38" s="188">
        <f t="shared" si="36"/>
        <v>42004</v>
      </c>
      <c r="R38" s="188">
        <f t="shared" si="36"/>
        <v>41912</v>
      </c>
      <c r="S38" s="188">
        <f t="shared" si="36"/>
        <v>41820</v>
      </c>
      <c r="T38" s="188">
        <f t="shared" si="36"/>
        <v>41729</v>
      </c>
      <c r="U38" s="188">
        <f t="shared" si="36"/>
        <v>41639</v>
      </c>
    </row>
    <row r="39" spans="1:89" s="225" customFormat="1" x14ac:dyDescent="0.25">
      <c r="A39" s="222" t="s">
        <v>553</v>
      </c>
      <c r="B39" s="223"/>
      <c r="C39" s="223"/>
      <c r="D39" s="223"/>
      <c r="E39" s="224">
        <f>E2/E9</f>
        <v>0.46510495999208462</v>
      </c>
      <c r="F39" s="224">
        <f t="shared" ref="F39:U39" si="37">F2/F9</f>
        <v>0.40616048441413827</v>
      </c>
      <c r="G39" s="224">
        <f t="shared" si="37"/>
        <v>0.4275109109595705</v>
      </c>
      <c r="H39" s="224">
        <f t="shared" si="37"/>
        <v>0.49263816869334154</v>
      </c>
      <c r="I39" s="224">
        <f t="shared" si="37"/>
        <v>0.47476918528506157</v>
      </c>
      <c r="J39" s="224">
        <f t="shared" si="37"/>
        <v>0.47567028122322219</v>
      </c>
      <c r="K39" s="224">
        <f t="shared" si="37"/>
        <v>0.44068845323720895</v>
      </c>
      <c r="L39" s="224">
        <f t="shared" si="37"/>
        <v>0.37794736750265917</v>
      </c>
      <c r="M39" s="224">
        <f t="shared" si="37"/>
        <v>0.47179622419406925</v>
      </c>
      <c r="N39" s="224">
        <f t="shared" si="37"/>
        <v>0.35672230615319339</v>
      </c>
      <c r="O39" s="224">
        <f t="shared" si="37"/>
        <v>0.34526797963699496</v>
      </c>
      <c r="P39" s="224">
        <f t="shared" si="37"/>
        <v>0.36395898863802989</v>
      </c>
      <c r="Q39" s="224">
        <f t="shared" si="37"/>
        <v>0.46382214952613965</v>
      </c>
      <c r="R39" s="224">
        <f t="shared" si="37"/>
        <v>0.25263965073296418</v>
      </c>
      <c r="S39" s="224">
        <f t="shared" si="37"/>
        <v>0.29944020672412319</v>
      </c>
      <c r="T39" s="224">
        <f t="shared" si="37"/>
        <v>0.29923551413122484</v>
      </c>
      <c r="U39" s="224">
        <f t="shared" si="37"/>
        <v>0.40164385193152896</v>
      </c>
    </row>
    <row r="40" spans="1:89" s="225" customFormat="1" x14ac:dyDescent="0.25">
      <c r="A40" s="222" t="s">
        <v>554</v>
      </c>
      <c r="B40" s="223"/>
      <c r="C40" s="223"/>
      <c r="D40" s="223"/>
      <c r="E40" s="224">
        <f>E3/E9</f>
        <v>3.6207907133792771E-3</v>
      </c>
      <c r="F40" s="224">
        <f t="shared" ref="F40:U40" si="38">F3/F9</f>
        <v>3.7511741867738324E-3</v>
      </c>
      <c r="G40" s="224">
        <f t="shared" si="38"/>
        <v>4.0991531834184206E-3</v>
      </c>
      <c r="H40" s="224">
        <f t="shared" si="38"/>
        <v>2.3878574727789672E-3</v>
      </c>
      <c r="I40" s="224">
        <f t="shared" si="38"/>
        <v>1.1925127214041081E-3</v>
      </c>
      <c r="J40" s="224">
        <f t="shared" si="38"/>
        <v>0</v>
      </c>
      <c r="K40" s="224">
        <f t="shared" si="38"/>
        <v>0</v>
      </c>
      <c r="L40" s="224">
        <f t="shared" si="38"/>
        <v>0</v>
      </c>
      <c r="M40" s="224">
        <f t="shared" si="38"/>
        <v>0</v>
      </c>
      <c r="N40" s="224">
        <f t="shared" si="38"/>
        <v>0</v>
      </c>
      <c r="O40" s="224">
        <f t="shared" si="38"/>
        <v>0</v>
      </c>
      <c r="P40" s="224">
        <f t="shared" si="38"/>
        <v>0</v>
      </c>
      <c r="Q40" s="224">
        <f t="shared" si="38"/>
        <v>0</v>
      </c>
      <c r="R40" s="224">
        <f t="shared" si="38"/>
        <v>3.68373265918567E-6</v>
      </c>
      <c r="S40" s="224">
        <f t="shared" si="38"/>
        <v>4.7938840921710379E-5</v>
      </c>
      <c r="T40" s="224">
        <f t="shared" si="38"/>
        <v>8.0159454030643407E-5</v>
      </c>
      <c r="U40" s="224">
        <f t="shared" si="38"/>
        <v>8.8158832162055415E-5</v>
      </c>
    </row>
    <row r="41" spans="1:89" x14ac:dyDescent="0.25">
      <c r="A41" s="184" t="s">
        <v>559</v>
      </c>
      <c r="B41" s="64"/>
      <c r="C41" s="64"/>
      <c r="D41" s="64"/>
      <c r="E41" s="90">
        <f>E4/E9</f>
        <v>0.35155009667539805</v>
      </c>
      <c r="F41" s="90">
        <f t="shared" ref="F41:U41" si="39">F4/F9</f>
        <v>0.43123982475942246</v>
      </c>
      <c r="G41" s="90">
        <f t="shared" si="39"/>
        <v>0.41489167459396492</v>
      </c>
      <c r="H41" s="90">
        <f t="shared" si="39"/>
        <v>0.37255355934197792</v>
      </c>
      <c r="I41" s="90">
        <f t="shared" si="39"/>
        <v>0.37940007741212278</v>
      </c>
      <c r="J41" s="90">
        <f t="shared" si="39"/>
        <v>0.36562640491627679</v>
      </c>
      <c r="K41" s="90">
        <f t="shared" si="39"/>
        <v>0.38957712816281509</v>
      </c>
      <c r="L41" s="90">
        <f t="shared" si="39"/>
        <v>0.47535746322097677</v>
      </c>
      <c r="M41" s="90">
        <f t="shared" si="39"/>
        <v>0.36710673098699198</v>
      </c>
      <c r="N41" s="214">
        <f t="shared" si="39"/>
        <v>0.48884401804975591</v>
      </c>
      <c r="O41" s="214">
        <f t="shared" si="39"/>
        <v>0.51195066363231245</v>
      </c>
      <c r="P41" s="214">
        <f t="shared" si="39"/>
        <v>0.50459337194217335</v>
      </c>
      <c r="Q41" s="214">
        <f t="shared" si="39"/>
        <v>0.40129910135335461</v>
      </c>
      <c r="R41" s="214">
        <f t="shared" si="39"/>
        <v>0.60366767437878055</v>
      </c>
      <c r="S41" s="214">
        <f t="shared" si="39"/>
        <v>0.5611475276996013</v>
      </c>
      <c r="T41" s="214">
        <f t="shared" si="39"/>
        <v>0.56388479370459177</v>
      </c>
      <c r="U41" s="214">
        <f t="shared" si="39"/>
        <v>0.45949545411968606</v>
      </c>
    </row>
    <row r="42" spans="1:89" x14ac:dyDescent="0.25">
      <c r="A42" s="184" t="s">
        <v>335</v>
      </c>
      <c r="B42" s="64"/>
      <c r="C42" s="64"/>
      <c r="D42" s="64"/>
      <c r="E42" s="90">
        <f>E5/E9</f>
        <v>0.78269052115790705</v>
      </c>
      <c r="F42" s="90">
        <f t="shared" ref="F42:U42" si="40">F5/F9</f>
        <v>0.76735726304772978</v>
      </c>
      <c r="G42" s="90">
        <f t="shared" si="40"/>
        <v>0.73315405057537286</v>
      </c>
      <c r="H42" s="90">
        <f t="shared" si="40"/>
        <v>0.64581345924285327</v>
      </c>
      <c r="I42" s="90">
        <f t="shared" si="40"/>
        <v>0.78789415482379777</v>
      </c>
      <c r="J42" s="90">
        <f t="shared" si="40"/>
        <v>0.76176144220376307</v>
      </c>
      <c r="K42" s="90">
        <f t="shared" si="40"/>
        <v>0.76040045215547947</v>
      </c>
      <c r="L42" s="90">
        <f t="shared" si="40"/>
        <v>0.72473463778934089</v>
      </c>
      <c r="M42" s="90">
        <f t="shared" si="40"/>
        <v>0.77369665658402575</v>
      </c>
      <c r="N42" s="214">
        <f t="shared" si="40"/>
        <v>0.80440773170792956</v>
      </c>
      <c r="O42" s="214">
        <f t="shared" si="40"/>
        <v>0.77748160377527731</v>
      </c>
      <c r="P42" s="214">
        <f t="shared" si="40"/>
        <v>0.75440613933895262</v>
      </c>
      <c r="Q42" s="214">
        <f t="shared" si="40"/>
        <v>0.7722013427988258</v>
      </c>
      <c r="R42" s="214">
        <f t="shared" si="40"/>
        <v>0.85669115699024534</v>
      </c>
      <c r="S42" s="214">
        <f t="shared" si="40"/>
        <v>0.77529563481685038</v>
      </c>
      <c r="T42" s="214">
        <f t="shared" si="40"/>
        <v>0.72418136760910645</v>
      </c>
      <c r="U42" s="214">
        <f t="shared" si="40"/>
        <v>0.69011316809582191</v>
      </c>
    </row>
    <row r="43" spans="1:89" x14ac:dyDescent="0.25">
      <c r="A43" s="184" t="s">
        <v>336</v>
      </c>
      <c r="B43" s="64"/>
      <c r="C43" s="64"/>
      <c r="D43" s="64"/>
      <c r="E43" s="90">
        <f>E6/E9</f>
        <v>0.43114042448250905</v>
      </c>
      <c r="F43" s="90">
        <f t="shared" ref="F43:U43" si="41">F6/F9</f>
        <v>0.33611743828830726</v>
      </c>
      <c r="G43" s="90">
        <f t="shared" si="41"/>
        <v>0.31826237598140794</v>
      </c>
      <c r="H43" s="90">
        <f t="shared" si="41"/>
        <v>0.27325989990087529</v>
      </c>
      <c r="I43" s="90">
        <f t="shared" si="41"/>
        <v>0.40849407741167493</v>
      </c>
      <c r="J43" s="90">
        <f t="shared" si="41"/>
        <v>0.39613503728748628</v>
      </c>
      <c r="K43" s="90">
        <f t="shared" si="41"/>
        <v>0.37082332399266438</v>
      </c>
      <c r="L43" s="90">
        <f t="shared" si="41"/>
        <v>0.24937717456836417</v>
      </c>
      <c r="M43" s="90">
        <f t="shared" si="41"/>
        <v>0.40658992559703372</v>
      </c>
      <c r="N43" s="214">
        <f t="shared" si="41"/>
        <v>0.31556371365817365</v>
      </c>
      <c r="O43" s="214">
        <f t="shared" si="41"/>
        <v>0.26553094014296486</v>
      </c>
      <c r="P43" s="214">
        <f t="shared" si="41"/>
        <v>0.24981276739677932</v>
      </c>
      <c r="Q43" s="214">
        <f t="shared" si="41"/>
        <v>0.37090224144547118</v>
      </c>
      <c r="R43" s="214">
        <f t="shared" si="41"/>
        <v>0.25302348261146484</v>
      </c>
      <c r="S43" s="214">
        <f t="shared" si="41"/>
        <v>0.21414810711724908</v>
      </c>
      <c r="T43" s="214">
        <f t="shared" si="41"/>
        <v>0.16029657390451457</v>
      </c>
      <c r="U43" s="214">
        <f t="shared" si="41"/>
        <v>0.23061771397613581</v>
      </c>
    </row>
    <row r="44" spans="1:89" x14ac:dyDescent="0.25">
      <c r="A44" s="184" t="s">
        <v>337</v>
      </c>
      <c r="B44" s="64"/>
      <c r="C44" s="64"/>
      <c r="D44" s="64"/>
      <c r="E44" s="90">
        <f>E7/E9</f>
        <v>0.17972415261913813</v>
      </c>
      <c r="F44" s="90">
        <f t="shared" ref="F44:U44" si="42">F7/F9</f>
        <v>0.15884851663966545</v>
      </c>
      <c r="G44" s="90">
        <f t="shared" si="42"/>
        <v>0.15349826126304611</v>
      </c>
      <c r="H44" s="90">
        <f t="shared" si="42"/>
        <v>0.13242041449190153</v>
      </c>
      <c r="I44" s="90">
        <f t="shared" si="42"/>
        <v>0.14463822458141154</v>
      </c>
      <c r="J44" s="90">
        <f t="shared" si="42"/>
        <v>0.15870331386050107</v>
      </c>
      <c r="K44" s="90">
        <f t="shared" si="42"/>
        <v>0.1697344185999759</v>
      </c>
      <c r="L44" s="90">
        <f t="shared" si="42"/>
        <v>0.14669516927636417</v>
      </c>
      <c r="M44" s="90">
        <f t="shared" si="42"/>
        <v>0.16109704481893888</v>
      </c>
      <c r="N44" s="214">
        <f t="shared" si="42"/>
        <v>0.15443367579705075</v>
      </c>
      <c r="O44" s="214">
        <f t="shared" si="42"/>
        <v>0.14278135673069245</v>
      </c>
      <c r="P44" s="214">
        <f t="shared" si="42"/>
        <v>0.13144763941979679</v>
      </c>
      <c r="Q44" s="214">
        <f t="shared" si="42"/>
        <v>0.13487874912050571</v>
      </c>
      <c r="R44" s="214">
        <f t="shared" si="42"/>
        <v>0.14368899115559619</v>
      </c>
      <c r="S44" s="214">
        <f t="shared" si="42"/>
        <v>0.13936432673535384</v>
      </c>
      <c r="T44" s="214">
        <f t="shared" si="42"/>
        <v>0.13679953271015277</v>
      </c>
      <c r="U44" s="214">
        <f t="shared" si="42"/>
        <v>0.13877253511662282</v>
      </c>
    </row>
    <row r="45" spans="1:89" s="225" customFormat="1" x14ac:dyDescent="0.25">
      <c r="A45" s="222" t="s">
        <v>338</v>
      </c>
      <c r="B45" s="223"/>
      <c r="C45" s="223"/>
      <c r="D45" s="223"/>
      <c r="E45" s="224">
        <f>E8/E9</f>
        <v>0.53127424929453615</v>
      </c>
      <c r="F45" s="224">
        <f t="shared" ref="F45:U45" si="43">F8/F9</f>
        <v>0.59008834139908795</v>
      </c>
      <c r="G45" s="224">
        <f t="shared" si="43"/>
        <v>0.56838993585701103</v>
      </c>
      <c r="H45" s="224">
        <f t="shared" si="43"/>
        <v>0.50497397383387943</v>
      </c>
      <c r="I45" s="224">
        <f t="shared" si="43"/>
        <v>0.52403830199353429</v>
      </c>
      <c r="J45" s="224">
        <f t="shared" si="43"/>
        <v>0.52432971877677781</v>
      </c>
      <c r="K45" s="224">
        <f t="shared" si="43"/>
        <v>0.55931154676279093</v>
      </c>
      <c r="L45" s="224">
        <f t="shared" si="43"/>
        <v>0.62205263249734088</v>
      </c>
      <c r="M45" s="224">
        <f t="shared" si="43"/>
        <v>0.52820377580593081</v>
      </c>
      <c r="N45" s="224">
        <f t="shared" si="43"/>
        <v>0.64327769384680666</v>
      </c>
      <c r="O45" s="224">
        <f t="shared" si="43"/>
        <v>0.65473202036300493</v>
      </c>
      <c r="P45" s="224">
        <f t="shared" si="43"/>
        <v>0.63604101136197011</v>
      </c>
      <c r="Q45" s="224">
        <f t="shared" si="43"/>
        <v>0.53617785047386035</v>
      </c>
      <c r="R45" s="224">
        <f t="shared" si="43"/>
        <v>0.74735666553437663</v>
      </c>
      <c r="S45" s="224">
        <f t="shared" si="43"/>
        <v>0.70051185443495512</v>
      </c>
      <c r="T45" s="224">
        <f t="shared" si="43"/>
        <v>0.70068432641474454</v>
      </c>
      <c r="U45" s="224">
        <f t="shared" si="43"/>
        <v>0.59826798923630886</v>
      </c>
    </row>
    <row r="46" spans="1:89" x14ac:dyDescent="0.25">
      <c r="A46" s="185" t="s">
        <v>339</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14">
        <f t="shared" si="44"/>
        <v>1</v>
      </c>
      <c r="O46" s="214">
        <f t="shared" si="44"/>
        <v>1</v>
      </c>
      <c r="P46" s="214">
        <f t="shared" si="44"/>
        <v>1</v>
      </c>
      <c r="Q46" s="214">
        <f t="shared" si="44"/>
        <v>1</v>
      </c>
      <c r="R46" s="214">
        <f t="shared" si="44"/>
        <v>1</v>
      </c>
      <c r="S46" s="214">
        <f t="shared" si="44"/>
        <v>1</v>
      </c>
      <c r="T46" s="214">
        <f t="shared" si="44"/>
        <v>1</v>
      </c>
      <c r="U46" s="214">
        <f t="shared" si="44"/>
        <v>1</v>
      </c>
    </row>
    <row r="47" spans="1:89" x14ac:dyDescent="0.25">
      <c r="A47" s="184" t="s">
        <v>340</v>
      </c>
      <c r="B47" s="64"/>
      <c r="C47" s="64"/>
      <c r="D47" s="64"/>
      <c r="E47" s="90">
        <f>E10/E14</f>
        <v>4.6051744443460878E-2</v>
      </c>
      <c r="F47" s="90">
        <f t="shared" ref="F47:U47" si="45">F10/F14</f>
        <v>4.2296892547487287E-2</v>
      </c>
      <c r="G47" s="90">
        <f t="shared" si="45"/>
        <v>8.5642191107373256E-2</v>
      </c>
      <c r="H47" s="90">
        <f t="shared" si="45"/>
        <v>7.9068158758217225E-2</v>
      </c>
      <c r="I47" s="90">
        <f t="shared" si="45"/>
        <v>4.0007657280505511E-3</v>
      </c>
      <c r="J47" s="90">
        <f t="shared" si="45"/>
        <v>1.7632011412165593E-2</v>
      </c>
      <c r="K47" s="90">
        <f t="shared" si="45"/>
        <v>1.9239441466937575E-2</v>
      </c>
      <c r="L47" s="90">
        <f t="shared" si="45"/>
        <v>5.1279478588459659E-2</v>
      </c>
      <c r="M47" s="90">
        <f t="shared" si="45"/>
        <v>6.8991401376421554E-2</v>
      </c>
      <c r="N47" s="214">
        <f t="shared" si="45"/>
        <v>4.8943165048290466E-2</v>
      </c>
      <c r="O47" s="214">
        <f t="shared" si="45"/>
        <v>8.6334159943752556E-2</v>
      </c>
      <c r="P47" s="214">
        <f t="shared" si="45"/>
        <v>3.1406272157921834E-2</v>
      </c>
      <c r="Q47" s="214">
        <f t="shared" si="45"/>
        <v>2.3329751275431347E-2</v>
      </c>
      <c r="R47" s="214">
        <f t="shared" si="45"/>
        <v>6.2390732630497464E-2</v>
      </c>
      <c r="S47" s="214">
        <f t="shared" si="45"/>
        <v>6.3684449299355031E-2</v>
      </c>
      <c r="T47" s="214">
        <f t="shared" si="45"/>
        <v>4.984538576856324E-2</v>
      </c>
      <c r="U47" s="214">
        <f t="shared" si="45"/>
        <v>1.6074109857904927E-2</v>
      </c>
    </row>
    <row r="48" spans="1:89" x14ac:dyDescent="0.25">
      <c r="A48" s="184" t="s">
        <v>341</v>
      </c>
      <c r="B48" s="64"/>
      <c r="C48" s="64"/>
      <c r="D48" s="64"/>
      <c r="E48" s="90">
        <f>E11/E14</f>
        <v>0.10027389403740021</v>
      </c>
      <c r="F48" s="90">
        <f t="shared" ref="F48:U48" si="46">F11/F14</f>
        <v>0.13407867106426302</v>
      </c>
      <c r="G48" s="90">
        <f t="shared" si="46"/>
        <v>0.14051693308197158</v>
      </c>
      <c r="H48" s="90">
        <f t="shared" si="46"/>
        <v>0.14326791185609744</v>
      </c>
      <c r="I48" s="90">
        <f t="shared" si="46"/>
        <v>0.15958059114475973</v>
      </c>
      <c r="J48" s="90">
        <f t="shared" si="46"/>
        <v>0.15115908497229533</v>
      </c>
      <c r="K48" s="90">
        <f t="shared" si="46"/>
        <v>0.15522175601857369</v>
      </c>
      <c r="L48" s="90">
        <f t="shared" si="46"/>
        <v>0.1243852884260665</v>
      </c>
      <c r="M48" s="90">
        <f t="shared" si="46"/>
        <v>3.1677688061675403E-2</v>
      </c>
      <c r="N48" s="214">
        <f t="shared" si="46"/>
        <v>6.1615415858784196E-2</v>
      </c>
      <c r="O48" s="214">
        <f t="shared" si="46"/>
        <v>6.2289278541861691E-2</v>
      </c>
      <c r="P48" s="214">
        <f t="shared" si="46"/>
        <v>3.5071544234643315E-2</v>
      </c>
      <c r="Q48" s="214">
        <f t="shared" si="46"/>
        <v>1.5953332016992408E-2</v>
      </c>
      <c r="R48" s="214">
        <f t="shared" si="46"/>
        <v>9.2093514801619588E-4</v>
      </c>
      <c r="S48" s="214">
        <f t="shared" si="46"/>
        <v>9.3406414367760624E-4</v>
      </c>
      <c r="T48" s="214">
        <f t="shared" si="46"/>
        <v>1.5399646494811243E-3</v>
      </c>
      <c r="U48" s="214">
        <f t="shared" si="46"/>
        <v>1.1167932984457757E-3</v>
      </c>
    </row>
    <row r="49" spans="1:21" x14ac:dyDescent="0.25">
      <c r="A49" s="184" t="s">
        <v>342</v>
      </c>
      <c r="B49" s="64"/>
      <c r="C49" s="64"/>
      <c r="D49" s="64"/>
      <c r="E49" s="90">
        <f>E12/E14</f>
        <v>0.14632563848086108</v>
      </c>
      <c r="F49" s="90">
        <f t="shared" ref="F49:U49" si="47">F12/F14</f>
        <v>0.1763755636117503</v>
      </c>
      <c r="G49" s="90">
        <f t="shared" si="47"/>
        <v>0.22615912418934481</v>
      </c>
      <c r="H49" s="90">
        <f t="shared" si="47"/>
        <v>0.22233607061431465</v>
      </c>
      <c r="I49" s="90">
        <f t="shared" si="47"/>
        <v>0.16358135687281028</v>
      </c>
      <c r="J49" s="90">
        <f t="shared" si="47"/>
        <v>0.16879109638446094</v>
      </c>
      <c r="K49" s="90">
        <f t="shared" si="47"/>
        <v>0.17446119748551125</v>
      </c>
      <c r="L49" s="90">
        <f t="shared" si="47"/>
        <v>0.17566476701452616</v>
      </c>
      <c r="M49" s="90">
        <f t="shared" si="47"/>
        <v>0.10066908943809695</v>
      </c>
      <c r="N49" s="214">
        <f t="shared" si="47"/>
        <v>0.11055858090707467</v>
      </c>
      <c r="O49" s="214">
        <f t="shared" si="47"/>
        <v>0.14862343848561424</v>
      </c>
      <c r="P49" s="214">
        <f t="shared" si="47"/>
        <v>6.6477816392565142E-2</v>
      </c>
      <c r="Q49" s="214">
        <f t="shared" si="47"/>
        <v>3.9283083292423755E-2</v>
      </c>
      <c r="R49" s="214">
        <f t="shared" si="47"/>
        <v>6.3311667778513658E-2</v>
      </c>
      <c r="S49" s="214">
        <f t="shared" si="47"/>
        <v>6.4618513443032641E-2</v>
      </c>
      <c r="T49" s="214">
        <f t="shared" si="47"/>
        <v>5.1385350418044359E-2</v>
      </c>
      <c r="U49" s="214">
        <f t="shared" si="47"/>
        <v>1.7190903156350704E-2</v>
      </c>
    </row>
    <row r="50" spans="1:21" x14ac:dyDescent="0.25">
      <c r="A50" s="184" t="s">
        <v>346</v>
      </c>
      <c r="B50" s="64"/>
      <c r="C50" s="64"/>
      <c r="D50" s="64"/>
      <c r="E50" s="90">
        <f>E13/E14</f>
        <v>0.85367436151913889</v>
      </c>
      <c r="F50" s="90">
        <f t="shared" ref="F50:U50" si="48">F13/F14</f>
        <v>0.82362443638824978</v>
      </c>
      <c r="G50" s="90">
        <f t="shared" si="48"/>
        <v>0.77384087581065519</v>
      </c>
      <c r="H50" s="90">
        <f t="shared" si="48"/>
        <v>0.77766392938568529</v>
      </c>
      <c r="I50" s="90">
        <f t="shared" si="48"/>
        <v>0.83641864312718972</v>
      </c>
      <c r="J50" s="90">
        <f t="shared" si="48"/>
        <v>0.83120890361553912</v>
      </c>
      <c r="K50" s="90">
        <f t="shared" si="48"/>
        <v>0.82553880251448863</v>
      </c>
      <c r="L50" s="90">
        <f t="shared" si="48"/>
        <v>0.82433523298547384</v>
      </c>
      <c r="M50" s="90">
        <f t="shared" si="48"/>
        <v>0.89933091056190306</v>
      </c>
      <c r="N50" s="214">
        <f t="shared" si="48"/>
        <v>0.88944141909292529</v>
      </c>
      <c r="O50" s="214">
        <f t="shared" si="48"/>
        <v>0.85137656151438568</v>
      </c>
      <c r="P50" s="214">
        <f t="shared" si="48"/>
        <v>0.93352218360743477</v>
      </c>
      <c r="Q50" s="214">
        <f t="shared" si="48"/>
        <v>0.9607169167075762</v>
      </c>
      <c r="R50" s="214">
        <f t="shared" si="48"/>
        <v>0.93668833222148629</v>
      </c>
      <c r="S50" s="214">
        <f t="shared" si="48"/>
        <v>0.9353814865569674</v>
      </c>
      <c r="T50" s="214">
        <f t="shared" si="48"/>
        <v>0.94861464958195563</v>
      </c>
      <c r="U50" s="214">
        <f t="shared" si="48"/>
        <v>0.98280909684364925</v>
      </c>
    </row>
    <row r="51" spans="1:21" x14ac:dyDescent="0.25">
      <c r="A51" s="185" t="s">
        <v>343</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14">
        <f t="shared" si="49"/>
        <v>1</v>
      </c>
      <c r="O51" s="214">
        <f t="shared" si="49"/>
        <v>1</v>
      </c>
      <c r="P51" s="214">
        <f t="shared" si="49"/>
        <v>1</v>
      </c>
      <c r="Q51" s="214">
        <f t="shared" si="49"/>
        <v>1</v>
      </c>
      <c r="R51" s="214">
        <f t="shared" si="49"/>
        <v>1</v>
      </c>
      <c r="S51" s="214">
        <f t="shared" si="49"/>
        <v>1</v>
      </c>
      <c r="T51" s="214">
        <f t="shared" si="49"/>
        <v>1</v>
      </c>
      <c r="U51" s="214">
        <f t="shared" si="49"/>
        <v>1</v>
      </c>
    </row>
    <row r="54" spans="1:21" s="9" customFormat="1" x14ac:dyDescent="0.25">
      <c r="A54" s="229" t="s">
        <v>642</v>
      </c>
      <c r="B54" s="230"/>
      <c r="C54" s="230"/>
      <c r="D54" s="230"/>
      <c r="E54" s="231">
        <f>E1</f>
        <v>43100</v>
      </c>
      <c r="F54" s="231">
        <f t="shared" ref="F54:U54" si="50">F1</f>
        <v>43008</v>
      </c>
      <c r="G54" s="231">
        <f t="shared" si="50"/>
        <v>42916</v>
      </c>
      <c r="H54" s="231">
        <f t="shared" si="50"/>
        <v>42825</v>
      </c>
      <c r="I54" s="231">
        <f t="shared" si="50"/>
        <v>42735</v>
      </c>
      <c r="J54" s="231">
        <f t="shared" si="50"/>
        <v>42643</v>
      </c>
      <c r="K54" s="231">
        <f t="shared" si="50"/>
        <v>42551</v>
      </c>
      <c r="L54" s="231">
        <f t="shared" si="50"/>
        <v>42460</v>
      </c>
      <c r="M54" s="231">
        <f t="shared" si="50"/>
        <v>42369</v>
      </c>
      <c r="N54" s="231">
        <f t="shared" si="50"/>
        <v>42277</v>
      </c>
      <c r="O54" s="231">
        <f t="shared" si="50"/>
        <v>42185</v>
      </c>
      <c r="P54" s="231">
        <f t="shared" si="50"/>
        <v>42094</v>
      </c>
      <c r="Q54" s="231">
        <f t="shared" si="50"/>
        <v>42004</v>
      </c>
      <c r="R54" s="231">
        <f t="shared" si="50"/>
        <v>41912</v>
      </c>
      <c r="S54" s="231">
        <f t="shared" si="50"/>
        <v>41820</v>
      </c>
      <c r="T54" s="231">
        <f t="shared" si="50"/>
        <v>41729</v>
      </c>
      <c r="U54" s="231">
        <f t="shared" si="50"/>
        <v>41639</v>
      </c>
    </row>
    <row r="55" spans="1:21" x14ac:dyDescent="0.25">
      <c r="A55" s="184" t="s">
        <v>646</v>
      </c>
      <c r="B55" s="64"/>
      <c r="C55" s="64"/>
      <c r="D55" s="64"/>
      <c r="E55" s="214">
        <f>E2/E9</f>
        <v>0.46510495999208462</v>
      </c>
      <c r="F55" s="214">
        <f t="shared" ref="F55:U55" si="51">F2/F9</f>
        <v>0.40616048441413827</v>
      </c>
      <c r="G55" s="214">
        <f t="shared" si="51"/>
        <v>0.4275109109595705</v>
      </c>
      <c r="H55" s="214">
        <f t="shared" si="51"/>
        <v>0.49263816869334154</v>
      </c>
      <c r="I55" s="214">
        <f t="shared" si="51"/>
        <v>0.47476918528506157</v>
      </c>
      <c r="J55" s="214">
        <f t="shared" si="51"/>
        <v>0.47567028122322219</v>
      </c>
      <c r="K55" s="214">
        <f t="shared" si="51"/>
        <v>0.44068845323720895</v>
      </c>
      <c r="L55" s="214">
        <f t="shared" si="51"/>
        <v>0.37794736750265917</v>
      </c>
      <c r="M55" s="214">
        <f t="shared" si="51"/>
        <v>0.47179622419406925</v>
      </c>
      <c r="N55" s="214">
        <f t="shared" si="51"/>
        <v>0.35672230615319339</v>
      </c>
      <c r="O55" s="214">
        <f t="shared" si="51"/>
        <v>0.34526797963699496</v>
      </c>
      <c r="P55" s="214">
        <f t="shared" si="51"/>
        <v>0.36395898863802989</v>
      </c>
      <c r="Q55" s="214">
        <f t="shared" si="51"/>
        <v>0.46382214952613965</v>
      </c>
      <c r="R55" s="214">
        <f t="shared" si="51"/>
        <v>0.25263965073296418</v>
      </c>
      <c r="S55" s="214">
        <f t="shared" si="51"/>
        <v>0.29944020672412319</v>
      </c>
      <c r="T55" s="214">
        <f t="shared" si="51"/>
        <v>0.29923551413122484</v>
      </c>
      <c r="U55" s="214">
        <f t="shared" si="51"/>
        <v>0.40164385193152896</v>
      </c>
    </row>
    <row r="56" spans="1:21" x14ac:dyDescent="0.25">
      <c r="A56" s="184" t="s">
        <v>647</v>
      </c>
      <c r="B56" s="64"/>
      <c r="C56" s="64"/>
      <c r="D56" s="64"/>
      <c r="E56" s="214">
        <f>E4/E9</f>
        <v>0.35155009667539805</v>
      </c>
      <c r="F56" s="214">
        <f t="shared" ref="F56:U56" si="52">F4/F9</f>
        <v>0.43123982475942246</v>
      </c>
      <c r="G56" s="214">
        <f t="shared" si="52"/>
        <v>0.41489167459396492</v>
      </c>
      <c r="H56" s="214">
        <f t="shared" si="52"/>
        <v>0.37255355934197792</v>
      </c>
      <c r="I56" s="214">
        <f t="shared" si="52"/>
        <v>0.37940007741212278</v>
      </c>
      <c r="J56" s="214">
        <f t="shared" si="52"/>
        <v>0.36562640491627679</v>
      </c>
      <c r="K56" s="214">
        <f t="shared" si="52"/>
        <v>0.38957712816281509</v>
      </c>
      <c r="L56" s="214">
        <f t="shared" si="52"/>
        <v>0.47535746322097677</v>
      </c>
      <c r="M56" s="214">
        <f t="shared" si="52"/>
        <v>0.36710673098699198</v>
      </c>
      <c r="N56" s="214">
        <f t="shared" si="52"/>
        <v>0.48884401804975591</v>
      </c>
      <c r="O56" s="214">
        <f t="shared" si="52"/>
        <v>0.51195066363231245</v>
      </c>
      <c r="P56" s="214">
        <f t="shared" si="52"/>
        <v>0.50459337194217335</v>
      </c>
      <c r="Q56" s="214">
        <f t="shared" si="52"/>
        <v>0.40129910135335461</v>
      </c>
      <c r="R56" s="214">
        <f t="shared" si="52"/>
        <v>0.60366767437878055</v>
      </c>
      <c r="S56" s="214">
        <f t="shared" si="52"/>
        <v>0.5611475276996013</v>
      </c>
      <c r="T56" s="214">
        <f t="shared" si="52"/>
        <v>0.56388479370459177</v>
      </c>
      <c r="U56" s="214">
        <f t="shared" si="52"/>
        <v>0.45949545411968606</v>
      </c>
    </row>
    <row r="57" spans="1:21" x14ac:dyDescent="0.25">
      <c r="A57" s="184" t="s">
        <v>648</v>
      </c>
      <c r="B57" s="64"/>
      <c r="C57" s="64"/>
      <c r="D57" s="64"/>
      <c r="E57" s="214">
        <f>E5/E9</f>
        <v>0.78269052115790705</v>
      </c>
      <c r="F57" s="214">
        <f t="shared" ref="F57:U57" si="53">F5/F9</f>
        <v>0.76735726304772978</v>
      </c>
      <c r="G57" s="214">
        <f t="shared" si="53"/>
        <v>0.73315405057537286</v>
      </c>
      <c r="H57" s="214">
        <f t="shared" si="53"/>
        <v>0.64581345924285327</v>
      </c>
      <c r="I57" s="214">
        <f t="shared" si="53"/>
        <v>0.78789415482379777</v>
      </c>
      <c r="J57" s="214">
        <f t="shared" si="53"/>
        <v>0.76176144220376307</v>
      </c>
      <c r="K57" s="214">
        <f t="shared" si="53"/>
        <v>0.76040045215547947</v>
      </c>
      <c r="L57" s="214">
        <f t="shared" si="53"/>
        <v>0.72473463778934089</v>
      </c>
      <c r="M57" s="214">
        <f t="shared" si="53"/>
        <v>0.77369665658402575</v>
      </c>
      <c r="N57" s="214">
        <f t="shared" si="53"/>
        <v>0.80440773170792956</v>
      </c>
      <c r="O57" s="214">
        <f t="shared" si="53"/>
        <v>0.77748160377527731</v>
      </c>
      <c r="P57" s="214">
        <f t="shared" si="53"/>
        <v>0.75440613933895262</v>
      </c>
      <c r="Q57" s="214">
        <f t="shared" si="53"/>
        <v>0.7722013427988258</v>
      </c>
      <c r="R57" s="214">
        <f t="shared" si="53"/>
        <v>0.85669115699024534</v>
      </c>
      <c r="S57" s="214">
        <f t="shared" si="53"/>
        <v>0.77529563481685038</v>
      </c>
      <c r="T57" s="214">
        <f t="shared" si="53"/>
        <v>0.72418136760910645</v>
      </c>
      <c r="U57" s="214">
        <f t="shared" si="53"/>
        <v>0.69011316809582191</v>
      </c>
    </row>
    <row r="58" spans="1:21" x14ac:dyDescent="0.25">
      <c r="A58" s="184" t="s">
        <v>649</v>
      </c>
      <c r="B58" s="64"/>
      <c r="C58" s="64"/>
      <c r="D58" s="64"/>
      <c r="E58" s="214">
        <f>E6/E9</f>
        <v>0.43114042448250905</v>
      </c>
      <c r="F58" s="214">
        <f t="shared" ref="F58:U58" si="54">F6/F9</f>
        <v>0.33611743828830726</v>
      </c>
      <c r="G58" s="214">
        <f t="shared" si="54"/>
        <v>0.31826237598140794</v>
      </c>
      <c r="H58" s="214">
        <f t="shared" si="54"/>
        <v>0.27325989990087529</v>
      </c>
      <c r="I58" s="214">
        <f t="shared" si="54"/>
        <v>0.40849407741167493</v>
      </c>
      <c r="J58" s="214">
        <f t="shared" si="54"/>
        <v>0.39613503728748628</v>
      </c>
      <c r="K58" s="214">
        <f t="shared" si="54"/>
        <v>0.37082332399266438</v>
      </c>
      <c r="L58" s="214">
        <f t="shared" si="54"/>
        <v>0.24937717456836417</v>
      </c>
      <c r="M58" s="214">
        <f t="shared" si="54"/>
        <v>0.40658992559703372</v>
      </c>
      <c r="N58" s="214">
        <f t="shared" si="54"/>
        <v>0.31556371365817365</v>
      </c>
      <c r="O58" s="214">
        <f t="shared" si="54"/>
        <v>0.26553094014296486</v>
      </c>
      <c r="P58" s="214">
        <f t="shared" si="54"/>
        <v>0.24981276739677932</v>
      </c>
      <c r="Q58" s="214">
        <f t="shared" si="54"/>
        <v>0.37090224144547118</v>
      </c>
      <c r="R58" s="214">
        <f t="shared" si="54"/>
        <v>0.25302348261146484</v>
      </c>
      <c r="S58" s="214">
        <f t="shared" si="54"/>
        <v>0.21414810711724908</v>
      </c>
      <c r="T58" s="214">
        <f t="shared" si="54"/>
        <v>0.16029657390451457</v>
      </c>
      <c r="U58" s="214">
        <f t="shared" si="54"/>
        <v>0.23061771397613581</v>
      </c>
    </row>
    <row r="59" spans="1:21" s="225" customFormat="1" x14ac:dyDescent="0.25">
      <c r="A59" s="227" t="s">
        <v>643</v>
      </c>
      <c r="B59" s="223"/>
      <c r="C59" s="223"/>
      <c r="D59" s="223"/>
      <c r="E59" s="224">
        <f>E55+E56</f>
        <v>0.81665505666748262</v>
      </c>
      <c r="F59" s="224">
        <f t="shared" ref="F59:U59" si="55">F55+F56</f>
        <v>0.83740030917356068</v>
      </c>
      <c r="G59" s="224">
        <f t="shared" si="55"/>
        <v>0.84240258555353542</v>
      </c>
      <c r="H59" s="224">
        <f t="shared" si="55"/>
        <v>0.86519172803531941</v>
      </c>
      <c r="I59" s="224">
        <f t="shared" si="55"/>
        <v>0.85416926269718441</v>
      </c>
      <c r="J59" s="224">
        <f t="shared" si="55"/>
        <v>0.84129668613949904</v>
      </c>
      <c r="K59" s="224">
        <f t="shared" si="55"/>
        <v>0.83026558140002404</v>
      </c>
      <c r="L59" s="224">
        <f t="shared" si="55"/>
        <v>0.85330483072363594</v>
      </c>
      <c r="M59" s="224">
        <f t="shared" si="55"/>
        <v>0.83890295518106117</v>
      </c>
      <c r="N59" s="224">
        <f t="shared" si="55"/>
        <v>0.8455663242029493</v>
      </c>
      <c r="O59" s="224">
        <f t="shared" si="55"/>
        <v>0.85721864326930741</v>
      </c>
      <c r="P59" s="224">
        <f t="shared" si="55"/>
        <v>0.86855236058020324</v>
      </c>
      <c r="Q59" s="224">
        <f t="shared" si="55"/>
        <v>0.86512125087949432</v>
      </c>
      <c r="R59" s="224">
        <f t="shared" si="55"/>
        <v>0.85630732511174479</v>
      </c>
      <c r="S59" s="224">
        <f t="shared" si="55"/>
        <v>0.86058773442372449</v>
      </c>
      <c r="T59" s="224">
        <f t="shared" si="55"/>
        <v>0.86312030783581661</v>
      </c>
      <c r="U59" s="224">
        <f t="shared" si="55"/>
        <v>0.86113930605121503</v>
      </c>
    </row>
    <row r="60" spans="1:21" x14ac:dyDescent="0.25">
      <c r="A60" s="184" t="s">
        <v>650</v>
      </c>
      <c r="B60" s="64"/>
      <c r="C60" s="64"/>
      <c r="D60" s="64"/>
      <c r="E60" s="214">
        <f>E3/E9</f>
        <v>3.6207907133792771E-3</v>
      </c>
      <c r="F60" s="214">
        <f t="shared" ref="F60:U60" si="56">F3/F9</f>
        <v>3.7511741867738324E-3</v>
      </c>
      <c r="G60" s="214">
        <f t="shared" si="56"/>
        <v>4.0991531834184206E-3</v>
      </c>
      <c r="H60" s="214">
        <f t="shared" si="56"/>
        <v>2.3878574727789672E-3</v>
      </c>
      <c r="I60" s="214">
        <f t="shared" si="56"/>
        <v>1.1925127214041081E-3</v>
      </c>
      <c r="J60" s="214">
        <f t="shared" si="56"/>
        <v>0</v>
      </c>
      <c r="K60" s="214">
        <f t="shared" si="56"/>
        <v>0</v>
      </c>
      <c r="L60" s="214">
        <f t="shared" si="56"/>
        <v>0</v>
      </c>
      <c r="M60" s="214">
        <f t="shared" si="56"/>
        <v>0</v>
      </c>
      <c r="N60" s="214">
        <f t="shared" si="56"/>
        <v>0</v>
      </c>
      <c r="O60" s="214">
        <f t="shared" si="56"/>
        <v>0</v>
      </c>
      <c r="P60" s="214">
        <f t="shared" si="56"/>
        <v>0</v>
      </c>
      <c r="Q60" s="214">
        <f t="shared" si="56"/>
        <v>0</v>
      </c>
      <c r="R60" s="214">
        <f t="shared" si="56"/>
        <v>3.68373265918567E-6</v>
      </c>
      <c r="S60" s="214">
        <f t="shared" si="56"/>
        <v>4.7938840921710379E-5</v>
      </c>
      <c r="T60" s="214">
        <f t="shared" si="56"/>
        <v>8.0159454030643407E-5</v>
      </c>
      <c r="U60" s="214">
        <f t="shared" si="56"/>
        <v>8.8158832162055415E-5</v>
      </c>
    </row>
    <row r="61" spans="1:21" x14ac:dyDescent="0.25">
      <c r="A61" s="184" t="s">
        <v>651</v>
      </c>
      <c r="B61" s="64"/>
      <c r="C61" s="64"/>
      <c r="D61" s="64"/>
      <c r="E61" s="214">
        <f>E7/E9</f>
        <v>0.17972415261913813</v>
      </c>
      <c r="F61" s="214">
        <f t="shared" ref="F61:U61" si="57">F7/F9</f>
        <v>0.15884851663966545</v>
      </c>
      <c r="G61" s="214">
        <f t="shared" si="57"/>
        <v>0.15349826126304611</v>
      </c>
      <c r="H61" s="214">
        <f t="shared" si="57"/>
        <v>0.13242041449190153</v>
      </c>
      <c r="I61" s="214">
        <f t="shared" si="57"/>
        <v>0.14463822458141154</v>
      </c>
      <c r="J61" s="214">
        <f t="shared" si="57"/>
        <v>0.15870331386050107</v>
      </c>
      <c r="K61" s="214">
        <f t="shared" si="57"/>
        <v>0.1697344185999759</v>
      </c>
      <c r="L61" s="214">
        <f t="shared" si="57"/>
        <v>0.14669516927636417</v>
      </c>
      <c r="M61" s="214">
        <f t="shared" si="57"/>
        <v>0.16109704481893888</v>
      </c>
      <c r="N61" s="214">
        <f t="shared" si="57"/>
        <v>0.15443367579705075</v>
      </c>
      <c r="O61" s="214">
        <f t="shared" si="57"/>
        <v>0.14278135673069245</v>
      </c>
      <c r="P61" s="214">
        <f t="shared" si="57"/>
        <v>0.13144763941979679</v>
      </c>
      <c r="Q61" s="214">
        <f t="shared" si="57"/>
        <v>0.13487874912050571</v>
      </c>
      <c r="R61" s="214">
        <f t="shared" si="57"/>
        <v>0.14368899115559619</v>
      </c>
      <c r="S61" s="214">
        <f t="shared" si="57"/>
        <v>0.13936432673535384</v>
      </c>
      <c r="T61" s="214">
        <f t="shared" si="57"/>
        <v>0.13679953271015277</v>
      </c>
      <c r="U61" s="214">
        <f t="shared" si="57"/>
        <v>0.13877253511662282</v>
      </c>
    </row>
    <row r="62" spans="1:21" s="225" customFormat="1" x14ac:dyDescent="0.25">
      <c r="A62" s="227" t="s">
        <v>644</v>
      </c>
      <c r="B62" s="223"/>
      <c r="C62" s="223"/>
      <c r="D62" s="223"/>
      <c r="E62" s="224">
        <f>E60+E61</f>
        <v>0.18334494333251741</v>
      </c>
      <c r="F62" s="224">
        <f t="shared" ref="F62:M62" si="58">F60+F61</f>
        <v>0.1625996908264393</v>
      </c>
      <c r="G62" s="224">
        <f t="shared" si="58"/>
        <v>0.15759741444646452</v>
      </c>
      <c r="H62" s="224">
        <f t="shared" si="58"/>
        <v>0.13480827196468051</v>
      </c>
      <c r="I62" s="224">
        <f t="shared" si="58"/>
        <v>0.14583073730281565</v>
      </c>
      <c r="J62" s="224">
        <f t="shared" si="58"/>
        <v>0.15870331386050107</v>
      </c>
      <c r="K62" s="224">
        <f t="shared" si="58"/>
        <v>0.1697344185999759</v>
      </c>
      <c r="L62" s="224">
        <f t="shared" si="58"/>
        <v>0.14669516927636417</v>
      </c>
      <c r="M62" s="224">
        <f t="shared" si="58"/>
        <v>0.16109704481893888</v>
      </c>
      <c r="N62" s="224">
        <f t="shared" ref="N62" si="59">N60+N61</f>
        <v>0.15443367579705075</v>
      </c>
      <c r="O62" s="224">
        <f t="shared" ref="O62" si="60">O60+O61</f>
        <v>0.14278135673069245</v>
      </c>
      <c r="P62" s="224">
        <f t="shared" ref="P62" si="61">P60+P61</f>
        <v>0.13144763941979679</v>
      </c>
      <c r="Q62" s="224">
        <f t="shared" ref="Q62" si="62">Q60+Q61</f>
        <v>0.13487874912050571</v>
      </c>
      <c r="R62" s="224">
        <f t="shared" ref="R62" si="63">R60+R61</f>
        <v>0.14369267488825538</v>
      </c>
      <c r="S62" s="224">
        <f t="shared" ref="S62" si="64">S60+S61</f>
        <v>0.13941226557627556</v>
      </c>
      <c r="T62" s="224">
        <f t="shared" ref="T62" si="65">T60+T61</f>
        <v>0.13687969216418341</v>
      </c>
      <c r="U62" s="224">
        <f t="shared" ref="U62" si="66">U60+U61</f>
        <v>0.13886069394878489</v>
      </c>
    </row>
    <row r="63" spans="1:21" x14ac:dyDescent="0.25">
      <c r="A63" s="226" t="s">
        <v>645</v>
      </c>
      <c r="B63" s="64"/>
      <c r="C63" s="64"/>
      <c r="D63" s="64"/>
      <c r="E63" s="214">
        <v>1</v>
      </c>
      <c r="F63" s="214">
        <v>1</v>
      </c>
      <c r="G63" s="214">
        <v>1</v>
      </c>
      <c r="H63" s="214">
        <v>1</v>
      </c>
      <c r="I63" s="214">
        <v>1</v>
      </c>
      <c r="J63" s="214">
        <v>1</v>
      </c>
      <c r="K63" s="214">
        <v>1</v>
      </c>
      <c r="L63" s="214">
        <v>1</v>
      </c>
      <c r="M63" s="214">
        <v>1</v>
      </c>
      <c r="N63" s="214">
        <v>1</v>
      </c>
      <c r="O63" s="214">
        <v>1</v>
      </c>
      <c r="P63" s="214">
        <v>1</v>
      </c>
      <c r="Q63" s="214">
        <v>1</v>
      </c>
      <c r="R63" s="214">
        <v>1</v>
      </c>
      <c r="S63" s="214">
        <v>1</v>
      </c>
      <c r="T63" s="214">
        <v>1</v>
      </c>
      <c r="U63" s="214">
        <v>1</v>
      </c>
    </row>
    <row r="64" spans="1:21" ht="42.6" customHeight="1" x14ac:dyDescent="0.25">
      <c r="A64" s="281" t="s">
        <v>701</v>
      </c>
      <c r="B64" s="282"/>
      <c r="C64" s="282"/>
      <c r="D64" s="282"/>
      <c r="E64" s="282"/>
      <c r="F64" s="282"/>
      <c r="G64" s="282"/>
      <c r="H64" s="282"/>
      <c r="I64" s="282"/>
      <c r="J64" s="282"/>
      <c r="K64" s="282"/>
      <c r="L64" s="282"/>
      <c r="M64" s="282"/>
      <c r="N64" s="282"/>
      <c r="O64" s="282"/>
      <c r="P64" s="282"/>
      <c r="Q64" s="282"/>
      <c r="R64" s="282"/>
      <c r="S64" s="282"/>
      <c r="T64" s="282"/>
      <c r="U64" s="282"/>
    </row>
    <row r="66" spans="1:21" s="9" customFormat="1" x14ac:dyDescent="0.25">
      <c r="A66" s="232" t="s">
        <v>652</v>
      </c>
      <c r="E66" s="233">
        <f>E1</f>
        <v>43100</v>
      </c>
      <c r="F66" s="233">
        <f t="shared" ref="F66:U66" si="67">F1</f>
        <v>43008</v>
      </c>
      <c r="G66" s="233">
        <f t="shared" si="67"/>
        <v>42916</v>
      </c>
      <c r="H66" s="233">
        <f t="shared" si="67"/>
        <v>42825</v>
      </c>
      <c r="I66" s="233">
        <f t="shared" si="67"/>
        <v>42735</v>
      </c>
      <c r="J66" s="233">
        <f t="shared" si="67"/>
        <v>42643</v>
      </c>
      <c r="K66" s="233">
        <f t="shared" si="67"/>
        <v>42551</v>
      </c>
      <c r="L66" s="233">
        <f t="shared" si="67"/>
        <v>42460</v>
      </c>
      <c r="M66" s="233">
        <f t="shared" si="67"/>
        <v>42369</v>
      </c>
      <c r="N66" s="233">
        <f t="shared" si="67"/>
        <v>42277</v>
      </c>
      <c r="O66" s="233">
        <f t="shared" si="67"/>
        <v>42185</v>
      </c>
      <c r="P66" s="233">
        <f t="shared" si="67"/>
        <v>42094</v>
      </c>
      <c r="Q66" s="233">
        <f t="shared" si="67"/>
        <v>42004</v>
      </c>
      <c r="R66" s="233">
        <f t="shared" si="67"/>
        <v>41912</v>
      </c>
      <c r="S66" s="233">
        <f t="shared" si="67"/>
        <v>41820</v>
      </c>
      <c r="T66" s="233">
        <f t="shared" si="67"/>
        <v>41729</v>
      </c>
      <c r="U66" s="233">
        <f t="shared" si="67"/>
        <v>41639</v>
      </c>
    </row>
    <row r="67" spans="1:21" x14ac:dyDescent="0.25">
      <c r="A67" s="17" t="s">
        <v>653</v>
      </c>
      <c r="E67" s="193">
        <f>E10</f>
        <v>1659468763.2600002</v>
      </c>
      <c r="F67" s="193">
        <f t="shared" ref="F67:U67" si="68">F10</f>
        <v>1402525527.95</v>
      </c>
      <c r="G67" s="193">
        <f t="shared" si="68"/>
        <v>2697707556.2800002</v>
      </c>
      <c r="H67" s="193">
        <f t="shared" si="68"/>
        <v>2649007645.04</v>
      </c>
      <c r="I67" s="193">
        <f t="shared" si="68"/>
        <v>117421640.84999999</v>
      </c>
      <c r="J67" s="193">
        <f t="shared" si="68"/>
        <v>460892586.11000001</v>
      </c>
      <c r="K67" s="193">
        <f t="shared" si="68"/>
        <v>448533744</v>
      </c>
      <c r="L67" s="193">
        <f t="shared" si="68"/>
        <v>1278777959.1300001</v>
      </c>
      <c r="M67" s="193">
        <f t="shared" si="68"/>
        <v>1486981962.8000002</v>
      </c>
      <c r="N67" s="193">
        <f t="shared" si="68"/>
        <v>946978327.06999993</v>
      </c>
      <c r="O67" s="193">
        <f t="shared" si="68"/>
        <v>1582860710.71</v>
      </c>
      <c r="P67" s="193">
        <f t="shared" si="68"/>
        <v>538205068.76999998</v>
      </c>
      <c r="Q67" s="193">
        <f t="shared" si="68"/>
        <v>362317989.11000001</v>
      </c>
      <c r="R67" s="193">
        <f t="shared" si="68"/>
        <v>865131119.61000001</v>
      </c>
      <c r="S67" s="193">
        <f t="shared" si="68"/>
        <v>870657998.23000002</v>
      </c>
      <c r="T67" s="193">
        <f t="shared" si="68"/>
        <v>626836298.55999994</v>
      </c>
      <c r="U67" s="193">
        <f t="shared" si="68"/>
        <v>183799798.19999999</v>
      </c>
    </row>
    <row r="68" spans="1:21" x14ac:dyDescent="0.25">
      <c r="A68" s="17" t="s">
        <v>654</v>
      </c>
      <c r="E68" s="193">
        <f>E11</f>
        <v>3613357038.6199999</v>
      </c>
      <c r="F68" s="193">
        <f t="shared" ref="F68:U68" si="69">F11</f>
        <v>4445923745.1099997</v>
      </c>
      <c r="G68" s="193">
        <f t="shared" si="69"/>
        <v>4426248175.8000002</v>
      </c>
      <c r="H68" s="193">
        <f t="shared" si="69"/>
        <v>4799881516.8599997</v>
      </c>
      <c r="I68" s="193">
        <f t="shared" si="69"/>
        <v>4683657113.1000004</v>
      </c>
      <c r="J68" s="193">
        <f t="shared" si="69"/>
        <v>3951228249.48</v>
      </c>
      <c r="K68" s="193">
        <f t="shared" si="69"/>
        <v>3618722274.0799999</v>
      </c>
      <c r="L68" s="193">
        <f t="shared" si="69"/>
        <v>3101848335</v>
      </c>
      <c r="M68" s="193">
        <f t="shared" si="69"/>
        <v>682753935</v>
      </c>
      <c r="N68" s="193">
        <f t="shared" si="69"/>
        <v>1192167759.77</v>
      </c>
      <c r="O68" s="193">
        <f t="shared" si="69"/>
        <v>1142019008.0799999</v>
      </c>
      <c r="P68" s="193">
        <f t="shared" si="69"/>
        <v>601016344.17999995</v>
      </c>
      <c r="Q68" s="193">
        <f t="shared" si="69"/>
        <v>247760000</v>
      </c>
      <c r="R68" s="193">
        <f t="shared" si="69"/>
        <v>12770000</v>
      </c>
      <c r="S68" s="193">
        <f t="shared" si="69"/>
        <v>12770000</v>
      </c>
      <c r="T68" s="193">
        <f t="shared" si="69"/>
        <v>19366000</v>
      </c>
      <c r="U68" s="193">
        <f t="shared" si="69"/>
        <v>12770000</v>
      </c>
    </row>
    <row r="69" spans="1:21" x14ac:dyDescent="0.25">
      <c r="A69" s="17" t="s">
        <v>655</v>
      </c>
      <c r="E69" s="193">
        <f>E12</f>
        <v>5272825801.8800001</v>
      </c>
      <c r="F69" s="193">
        <f t="shared" ref="F69:U69" si="70">F12</f>
        <v>5848449273.0599995</v>
      </c>
      <c r="G69" s="193">
        <f t="shared" si="70"/>
        <v>7123955732.0799999</v>
      </c>
      <c r="H69" s="193">
        <f t="shared" si="70"/>
        <v>7448889161.8999996</v>
      </c>
      <c r="I69" s="193">
        <f t="shared" si="70"/>
        <v>4801078753.9500008</v>
      </c>
      <c r="J69" s="193">
        <f t="shared" si="70"/>
        <v>4412120835.5900002</v>
      </c>
      <c r="K69" s="193">
        <f t="shared" si="70"/>
        <v>4067256018.0799999</v>
      </c>
      <c r="L69" s="193">
        <f t="shared" si="70"/>
        <v>4380626294.1300001</v>
      </c>
      <c r="M69" s="193">
        <f t="shared" si="70"/>
        <v>2169735897.8000002</v>
      </c>
      <c r="N69" s="193">
        <f t="shared" si="70"/>
        <v>2139146086.8399999</v>
      </c>
      <c r="O69" s="193">
        <f t="shared" si="70"/>
        <v>2724879718.79</v>
      </c>
      <c r="P69" s="193">
        <f t="shared" si="70"/>
        <v>1139221412.9499998</v>
      </c>
      <c r="Q69" s="193">
        <f t="shared" si="70"/>
        <v>610077989.11000001</v>
      </c>
      <c r="R69" s="193">
        <f t="shared" si="70"/>
        <v>877901119.61000001</v>
      </c>
      <c r="S69" s="193">
        <f t="shared" si="70"/>
        <v>883427998.23000002</v>
      </c>
      <c r="T69" s="193">
        <f t="shared" si="70"/>
        <v>646202298.55999994</v>
      </c>
      <c r="U69" s="193">
        <f t="shared" si="70"/>
        <v>196569798.19999999</v>
      </c>
    </row>
    <row r="70" spans="1:21" s="234" customFormat="1" x14ac:dyDescent="0.25">
      <c r="A70" s="234" t="s">
        <v>658</v>
      </c>
      <c r="E70" s="234">
        <f>E69/E74</f>
        <v>0.14632563848086108</v>
      </c>
      <c r="F70" s="234">
        <f t="shared" ref="F70:U70" si="71">F69/F74</f>
        <v>0.1763755636117503</v>
      </c>
      <c r="G70" s="234">
        <f t="shared" si="71"/>
        <v>0.22615912418934481</v>
      </c>
      <c r="H70" s="234">
        <f t="shared" si="71"/>
        <v>0.22233607061431465</v>
      </c>
      <c r="I70" s="234">
        <f t="shared" si="71"/>
        <v>0.16358135687281028</v>
      </c>
      <c r="J70" s="234">
        <f t="shared" si="71"/>
        <v>0.16879109638446094</v>
      </c>
      <c r="K70" s="234">
        <f t="shared" si="71"/>
        <v>0.17446119748551125</v>
      </c>
      <c r="L70" s="234">
        <f t="shared" si="71"/>
        <v>0.17566476701452616</v>
      </c>
      <c r="M70" s="234">
        <f t="shared" si="71"/>
        <v>0.10066908943809695</v>
      </c>
      <c r="N70" s="234">
        <f t="shared" si="71"/>
        <v>0.11055858090707467</v>
      </c>
      <c r="O70" s="234">
        <f t="shared" si="71"/>
        <v>0.14862343848561424</v>
      </c>
      <c r="P70" s="234">
        <f t="shared" si="71"/>
        <v>6.6477816392565142E-2</v>
      </c>
      <c r="Q70" s="234">
        <f t="shared" si="71"/>
        <v>3.9283083292423755E-2</v>
      </c>
      <c r="R70" s="234">
        <f t="shared" si="71"/>
        <v>6.3311667778513658E-2</v>
      </c>
      <c r="S70" s="234">
        <f t="shared" si="71"/>
        <v>6.4618513443032641E-2</v>
      </c>
      <c r="T70" s="234">
        <f t="shared" si="71"/>
        <v>5.1385350418044359E-2</v>
      </c>
      <c r="U70" s="234">
        <f t="shared" si="71"/>
        <v>1.7190903156350704E-2</v>
      </c>
    </row>
    <row r="71" spans="1:21" x14ac:dyDescent="0.25">
      <c r="A71" s="17" t="s">
        <v>656</v>
      </c>
      <c r="E71" s="193">
        <f>E13</f>
        <v>30762047215.740002</v>
      </c>
      <c r="F71" s="193">
        <f t="shared" ref="F71:U71" si="72">F13</f>
        <v>27310618532.580002</v>
      </c>
      <c r="G71" s="193">
        <f t="shared" si="72"/>
        <v>24375793648.430008</v>
      </c>
      <c r="H71" s="193">
        <f t="shared" si="72"/>
        <v>26053947968.029999</v>
      </c>
      <c r="I71" s="193">
        <f t="shared" si="72"/>
        <v>24548712968.850002</v>
      </c>
      <c r="J71" s="193">
        <f t="shared" si="72"/>
        <v>21727414543.34</v>
      </c>
      <c r="K71" s="193">
        <f t="shared" si="72"/>
        <v>19245985417.269997</v>
      </c>
      <c r="L71" s="193">
        <f t="shared" si="72"/>
        <v>20556794957.609997</v>
      </c>
      <c r="M71" s="193">
        <f t="shared" si="72"/>
        <v>19383413235.77</v>
      </c>
      <c r="N71" s="193">
        <f t="shared" si="72"/>
        <v>17209384522.809998</v>
      </c>
      <c r="O71" s="193">
        <f t="shared" si="72"/>
        <v>15609238685.110001</v>
      </c>
      <c r="P71" s="193">
        <f t="shared" si="72"/>
        <v>15997644308.130001</v>
      </c>
      <c r="Q71" s="193">
        <f t="shared" si="72"/>
        <v>14920219991.029999</v>
      </c>
      <c r="R71" s="193">
        <f t="shared" si="72"/>
        <v>12988439010.319998</v>
      </c>
      <c r="S71" s="193">
        <f t="shared" si="72"/>
        <v>12788009971.459999</v>
      </c>
      <c r="T71" s="193">
        <f t="shared" si="72"/>
        <v>11929411048.49</v>
      </c>
      <c r="U71" s="193">
        <f t="shared" si="72"/>
        <v>11237954404.060001</v>
      </c>
    </row>
    <row r="72" spans="1:21" s="234" customFormat="1" x14ac:dyDescent="0.25">
      <c r="A72" s="234" t="s">
        <v>659</v>
      </c>
      <c r="E72" s="234">
        <f>E71/E74</f>
        <v>0.85367436151913889</v>
      </c>
      <c r="F72" s="234">
        <f t="shared" ref="F72:U72" si="73">F71/F74</f>
        <v>0.82362443638824978</v>
      </c>
      <c r="G72" s="234">
        <f t="shared" si="73"/>
        <v>0.77384087581065519</v>
      </c>
      <c r="H72" s="234">
        <f t="shared" si="73"/>
        <v>0.77766392938568529</v>
      </c>
      <c r="I72" s="234">
        <f t="shared" si="73"/>
        <v>0.83641864312718972</v>
      </c>
      <c r="J72" s="234">
        <f t="shared" si="73"/>
        <v>0.83120890361553912</v>
      </c>
      <c r="K72" s="234">
        <f t="shared" si="73"/>
        <v>0.82553880251448863</v>
      </c>
      <c r="L72" s="234">
        <f t="shared" si="73"/>
        <v>0.82433523298547384</v>
      </c>
      <c r="M72" s="234">
        <f t="shared" si="73"/>
        <v>0.89933091056190306</v>
      </c>
      <c r="N72" s="234">
        <f t="shared" si="73"/>
        <v>0.88944141909292529</v>
      </c>
      <c r="O72" s="234">
        <f t="shared" si="73"/>
        <v>0.85137656151438568</v>
      </c>
      <c r="P72" s="234">
        <f t="shared" si="73"/>
        <v>0.93352218360743477</v>
      </c>
      <c r="Q72" s="234">
        <f t="shared" si="73"/>
        <v>0.9607169167075762</v>
      </c>
      <c r="R72" s="234">
        <f t="shared" si="73"/>
        <v>0.93668833222148629</v>
      </c>
      <c r="S72" s="234">
        <f t="shared" si="73"/>
        <v>0.9353814865569674</v>
      </c>
      <c r="T72" s="234">
        <f t="shared" si="73"/>
        <v>0.94861464958195563</v>
      </c>
      <c r="U72" s="234">
        <f t="shared" si="73"/>
        <v>0.98280909684364925</v>
      </c>
    </row>
    <row r="73" spans="1:21" s="236" customFormat="1" x14ac:dyDescent="0.25">
      <c r="A73" s="235" t="s">
        <v>660</v>
      </c>
      <c r="E73" s="237">
        <f>E74/E71</f>
        <v>1.1714068561464939</v>
      </c>
      <c r="F73" s="237">
        <f t="shared" ref="F73:U73" si="74">F74/F71</f>
        <v>1.2141456176132785</v>
      </c>
      <c r="G73" s="237">
        <f t="shared" si="74"/>
        <v>1.2922553347319969</v>
      </c>
      <c r="H73" s="237">
        <f t="shared" si="74"/>
        <v>1.2859025116285756</v>
      </c>
      <c r="I73" s="237">
        <f t="shared" si="74"/>
        <v>1.1955735422888407</v>
      </c>
      <c r="J73" s="237">
        <f t="shared" si="74"/>
        <v>1.203066997538482</v>
      </c>
      <c r="K73" s="237">
        <f t="shared" si="74"/>
        <v>1.2113300997531844</v>
      </c>
      <c r="L73" s="237">
        <f t="shared" si="74"/>
        <v>1.2130987006079137</v>
      </c>
      <c r="M73" s="237">
        <f t="shared" si="74"/>
        <v>1.1119377620137605</v>
      </c>
      <c r="N73" s="237">
        <f t="shared" si="74"/>
        <v>1.1243011383704451</v>
      </c>
      <c r="O73" s="237">
        <f t="shared" si="74"/>
        <v>1.174568393357283</v>
      </c>
      <c r="P73" s="237">
        <f t="shared" si="74"/>
        <v>1.0712118228788878</v>
      </c>
      <c r="Q73" s="237">
        <f t="shared" si="74"/>
        <v>1.0408893427494217</v>
      </c>
      <c r="R73" s="237">
        <f t="shared" si="74"/>
        <v>1.0675909644655883</v>
      </c>
      <c r="S73" s="237">
        <f t="shared" si="74"/>
        <v>1.0690825234107273</v>
      </c>
      <c r="T73" s="237">
        <f t="shared" si="74"/>
        <v>1.0541688349855121</v>
      </c>
      <c r="U73" s="237">
        <f t="shared" si="74"/>
        <v>1.0174915995502691</v>
      </c>
    </row>
    <row r="74" spans="1:21" x14ac:dyDescent="0.25">
      <c r="A74" s="17" t="s">
        <v>657</v>
      </c>
      <c r="E74" s="193">
        <f>E14</f>
        <v>36034873017.620003</v>
      </c>
      <c r="F74" s="193">
        <f t="shared" ref="F74:U74" si="75">F14</f>
        <v>33159067805.639999</v>
      </c>
      <c r="G74" s="193">
        <f t="shared" si="75"/>
        <v>31499749380.510006</v>
      </c>
      <c r="H74" s="193">
        <f t="shared" si="75"/>
        <v>33502837129.93</v>
      </c>
      <c r="I74" s="193">
        <f t="shared" si="75"/>
        <v>29349791722.800003</v>
      </c>
      <c r="J74" s="193">
        <f t="shared" si="75"/>
        <v>26139535378.93</v>
      </c>
      <c r="K74" s="193">
        <f t="shared" si="75"/>
        <v>23313241435.349998</v>
      </c>
      <c r="L74" s="193">
        <f t="shared" si="75"/>
        <v>24937421251.739998</v>
      </c>
      <c r="M74" s="193">
        <f t="shared" si="75"/>
        <v>21553149133.57</v>
      </c>
      <c r="N74" s="193">
        <f t="shared" si="75"/>
        <v>19348530609.649998</v>
      </c>
      <c r="O74" s="193">
        <f t="shared" si="75"/>
        <v>18334118403.900002</v>
      </c>
      <c r="P74" s="193">
        <f t="shared" si="75"/>
        <v>17136865721.080002</v>
      </c>
      <c r="Q74" s="193">
        <f t="shared" si="75"/>
        <v>15530297980.139999</v>
      </c>
      <c r="R74" s="193">
        <f t="shared" si="75"/>
        <v>13866340129.929998</v>
      </c>
      <c r="S74" s="193">
        <f t="shared" si="75"/>
        <v>13671437969.689999</v>
      </c>
      <c r="T74" s="193">
        <f t="shared" si="75"/>
        <v>12575613347.049999</v>
      </c>
      <c r="U74" s="193">
        <f t="shared" si="75"/>
        <v>11434524202.260002</v>
      </c>
    </row>
    <row r="75" spans="1:21" ht="83.4" customHeight="1" x14ac:dyDescent="0.25">
      <c r="A75" s="279" t="s">
        <v>702</v>
      </c>
      <c r="B75" s="278"/>
      <c r="C75" s="278"/>
      <c r="D75" s="278"/>
      <c r="E75" s="278"/>
      <c r="F75" s="278"/>
      <c r="G75" s="278"/>
      <c r="H75" s="278"/>
      <c r="I75" s="278"/>
      <c r="J75" s="278"/>
      <c r="K75" s="278"/>
      <c r="L75" s="278"/>
      <c r="M75" s="278"/>
      <c r="N75" s="278"/>
      <c r="O75" s="278"/>
      <c r="P75" s="278"/>
      <c r="Q75" s="278"/>
      <c r="R75" s="278"/>
      <c r="S75" s="278"/>
      <c r="T75" s="278"/>
      <c r="U75" s="278"/>
    </row>
    <row r="77" spans="1:21" s="238" customFormat="1" x14ac:dyDescent="0.25">
      <c r="A77" s="239" t="s">
        <v>661</v>
      </c>
      <c r="B77" s="240"/>
      <c r="C77" s="240"/>
      <c r="D77" s="240"/>
      <c r="E77" s="241">
        <f>E1</f>
        <v>43100</v>
      </c>
      <c r="F77" s="241">
        <f t="shared" ref="F77:U77" si="76">F1</f>
        <v>43008</v>
      </c>
      <c r="G77" s="241">
        <f t="shared" si="76"/>
        <v>42916</v>
      </c>
      <c r="H77" s="241">
        <f t="shared" si="76"/>
        <v>42825</v>
      </c>
      <c r="I77" s="241">
        <f t="shared" si="76"/>
        <v>42735</v>
      </c>
      <c r="J77" s="241">
        <f t="shared" si="76"/>
        <v>42643</v>
      </c>
      <c r="K77" s="241">
        <f t="shared" si="76"/>
        <v>42551</v>
      </c>
      <c r="L77" s="241">
        <f t="shared" si="76"/>
        <v>42460</v>
      </c>
      <c r="M77" s="241">
        <f t="shared" si="76"/>
        <v>42369</v>
      </c>
      <c r="N77" s="241">
        <f t="shared" si="76"/>
        <v>42277</v>
      </c>
      <c r="O77" s="241">
        <f t="shared" si="76"/>
        <v>42185</v>
      </c>
      <c r="P77" s="241">
        <f t="shared" si="76"/>
        <v>42094</v>
      </c>
      <c r="Q77" s="241">
        <f t="shared" si="76"/>
        <v>42004</v>
      </c>
      <c r="R77" s="241">
        <f t="shared" si="76"/>
        <v>41912</v>
      </c>
      <c r="S77" s="241">
        <f t="shared" si="76"/>
        <v>41820</v>
      </c>
      <c r="T77" s="241">
        <f t="shared" si="76"/>
        <v>41729</v>
      </c>
      <c r="U77" s="241">
        <f t="shared" si="76"/>
        <v>41639</v>
      </c>
    </row>
    <row r="78" spans="1:21" x14ac:dyDescent="0.25">
      <c r="A78" s="184" t="s">
        <v>653</v>
      </c>
      <c r="B78" s="64"/>
      <c r="C78" s="64"/>
      <c r="D78" s="64"/>
      <c r="E78" s="89">
        <f>E10</f>
        <v>1659468763.2600002</v>
      </c>
      <c r="F78" s="89">
        <f t="shared" ref="F78:U78" si="77">F10</f>
        <v>1402525527.95</v>
      </c>
      <c r="G78" s="89">
        <f t="shared" si="77"/>
        <v>2697707556.2800002</v>
      </c>
      <c r="H78" s="89">
        <f t="shared" si="77"/>
        <v>2649007645.04</v>
      </c>
      <c r="I78" s="89">
        <f t="shared" si="77"/>
        <v>117421640.84999999</v>
      </c>
      <c r="J78" s="89">
        <f t="shared" si="77"/>
        <v>460892586.11000001</v>
      </c>
      <c r="K78" s="89">
        <f t="shared" si="77"/>
        <v>448533744</v>
      </c>
      <c r="L78" s="89">
        <f t="shared" si="77"/>
        <v>1278777959.1300001</v>
      </c>
      <c r="M78" s="89">
        <f t="shared" si="77"/>
        <v>1486981962.8000002</v>
      </c>
      <c r="N78" s="89">
        <f t="shared" si="77"/>
        <v>946978327.06999993</v>
      </c>
      <c r="O78" s="89">
        <f t="shared" si="77"/>
        <v>1582860710.71</v>
      </c>
      <c r="P78" s="89">
        <f t="shared" si="77"/>
        <v>538205068.76999998</v>
      </c>
      <c r="Q78" s="89">
        <f t="shared" si="77"/>
        <v>362317989.11000001</v>
      </c>
      <c r="R78" s="89">
        <f t="shared" si="77"/>
        <v>865131119.61000001</v>
      </c>
      <c r="S78" s="89">
        <f t="shared" si="77"/>
        <v>870657998.23000002</v>
      </c>
      <c r="T78" s="89">
        <f t="shared" si="77"/>
        <v>626836298.55999994</v>
      </c>
      <c r="U78" s="89">
        <f t="shared" si="77"/>
        <v>183799798.19999999</v>
      </c>
    </row>
    <row r="79" spans="1:21" x14ac:dyDescent="0.25">
      <c r="A79" s="184" t="s">
        <v>662</v>
      </c>
      <c r="B79" s="64"/>
      <c r="C79" s="64"/>
      <c r="D79" s="64"/>
      <c r="E79" s="89">
        <f>E78</f>
        <v>1659468763.2600002</v>
      </c>
      <c r="F79" s="89">
        <f t="shared" ref="F79:U79" si="78">F78</f>
        <v>1402525527.95</v>
      </c>
      <c r="G79" s="89">
        <f t="shared" si="78"/>
        <v>2697707556.2800002</v>
      </c>
      <c r="H79" s="89">
        <f t="shared" si="78"/>
        <v>2649007645.04</v>
      </c>
      <c r="I79" s="89">
        <f t="shared" si="78"/>
        <v>117421640.84999999</v>
      </c>
      <c r="J79" s="89">
        <f t="shared" si="78"/>
        <v>460892586.11000001</v>
      </c>
      <c r="K79" s="89">
        <f t="shared" si="78"/>
        <v>448533744</v>
      </c>
      <c r="L79" s="89">
        <f t="shared" si="78"/>
        <v>1278777959.1300001</v>
      </c>
      <c r="M79" s="89">
        <f t="shared" si="78"/>
        <v>1486981962.8000002</v>
      </c>
      <c r="N79" s="89">
        <f t="shared" si="78"/>
        <v>946978327.06999993</v>
      </c>
      <c r="O79" s="89">
        <f t="shared" si="78"/>
        <v>1582860710.71</v>
      </c>
      <c r="P79" s="89">
        <f t="shared" si="78"/>
        <v>538205068.76999998</v>
      </c>
      <c r="Q79" s="89">
        <f t="shared" si="78"/>
        <v>362317989.11000001</v>
      </c>
      <c r="R79" s="89">
        <f t="shared" si="78"/>
        <v>865131119.61000001</v>
      </c>
      <c r="S79" s="89">
        <f t="shared" si="78"/>
        <v>870657998.23000002</v>
      </c>
      <c r="T79" s="89">
        <f t="shared" si="78"/>
        <v>626836298.55999994</v>
      </c>
      <c r="U79" s="89">
        <f t="shared" si="78"/>
        <v>183799798.19999999</v>
      </c>
    </row>
    <row r="80" spans="1:21" s="220" customFormat="1" x14ac:dyDescent="0.25">
      <c r="A80" s="224" t="s">
        <v>663</v>
      </c>
      <c r="B80" s="224"/>
      <c r="C80" s="224"/>
      <c r="D80" s="224"/>
      <c r="E80" s="224">
        <f>E79/E85</f>
        <v>4.6051744443460878E-2</v>
      </c>
      <c r="F80" s="224">
        <f t="shared" ref="F80:U80" si="79">F79/F85</f>
        <v>4.2296892547487287E-2</v>
      </c>
      <c r="G80" s="224">
        <f t="shared" si="79"/>
        <v>8.5642191107373256E-2</v>
      </c>
      <c r="H80" s="224">
        <f t="shared" si="79"/>
        <v>7.9068158758217225E-2</v>
      </c>
      <c r="I80" s="224">
        <f t="shared" si="79"/>
        <v>4.0007657280505511E-3</v>
      </c>
      <c r="J80" s="224">
        <f t="shared" si="79"/>
        <v>1.7632011412165593E-2</v>
      </c>
      <c r="K80" s="224">
        <f t="shared" si="79"/>
        <v>1.9239441466937575E-2</v>
      </c>
      <c r="L80" s="224">
        <f t="shared" si="79"/>
        <v>5.1279478588459659E-2</v>
      </c>
      <c r="M80" s="224">
        <f t="shared" si="79"/>
        <v>6.8991401376421554E-2</v>
      </c>
      <c r="N80" s="224">
        <f t="shared" si="79"/>
        <v>4.8943165048290466E-2</v>
      </c>
      <c r="O80" s="224">
        <f t="shared" si="79"/>
        <v>8.6334159943752556E-2</v>
      </c>
      <c r="P80" s="224">
        <f t="shared" si="79"/>
        <v>3.1406272157921834E-2</v>
      </c>
      <c r="Q80" s="224">
        <f t="shared" si="79"/>
        <v>2.3329751275431347E-2</v>
      </c>
      <c r="R80" s="224">
        <f t="shared" si="79"/>
        <v>6.2390732630497464E-2</v>
      </c>
      <c r="S80" s="224">
        <f t="shared" si="79"/>
        <v>6.3684449299355031E-2</v>
      </c>
      <c r="T80" s="224">
        <f t="shared" si="79"/>
        <v>4.984538576856324E-2</v>
      </c>
      <c r="U80" s="224">
        <f t="shared" si="79"/>
        <v>1.6074109857904927E-2</v>
      </c>
    </row>
    <row r="81" spans="1:21" x14ac:dyDescent="0.25">
      <c r="A81" s="184" t="s">
        <v>654</v>
      </c>
      <c r="B81" s="64"/>
      <c r="C81" s="64"/>
      <c r="D81" s="64"/>
      <c r="E81" s="89">
        <f>E11</f>
        <v>3613357038.6199999</v>
      </c>
      <c r="F81" s="89">
        <f t="shared" ref="F81:U81" si="80">F11</f>
        <v>4445923745.1099997</v>
      </c>
      <c r="G81" s="89">
        <f t="shared" si="80"/>
        <v>4426248175.8000002</v>
      </c>
      <c r="H81" s="89">
        <f t="shared" si="80"/>
        <v>4799881516.8599997</v>
      </c>
      <c r="I81" s="89">
        <f t="shared" si="80"/>
        <v>4683657113.1000004</v>
      </c>
      <c r="J81" s="89">
        <f t="shared" si="80"/>
        <v>3951228249.48</v>
      </c>
      <c r="K81" s="89">
        <f t="shared" si="80"/>
        <v>3618722274.0799999</v>
      </c>
      <c r="L81" s="89">
        <f t="shared" si="80"/>
        <v>3101848335</v>
      </c>
      <c r="M81" s="89">
        <f t="shared" si="80"/>
        <v>682753935</v>
      </c>
      <c r="N81" s="89">
        <f t="shared" si="80"/>
        <v>1192167759.77</v>
      </c>
      <c r="O81" s="89">
        <f t="shared" si="80"/>
        <v>1142019008.0799999</v>
      </c>
      <c r="P81" s="89">
        <f t="shared" si="80"/>
        <v>601016344.17999995</v>
      </c>
      <c r="Q81" s="89">
        <f t="shared" si="80"/>
        <v>247760000</v>
      </c>
      <c r="R81" s="89">
        <f t="shared" si="80"/>
        <v>12770000</v>
      </c>
      <c r="S81" s="89">
        <f t="shared" si="80"/>
        <v>12770000</v>
      </c>
      <c r="T81" s="89">
        <f t="shared" si="80"/>
        <v>19366000</v>
      </c>
      <c r="U81" s="89">
        <f t="shared" si="80"/>
        <v>12770000</v>
      </c>
    </row>
    <row r="82" spans="1:21" x14ac:dyDescent="0.25">
      <c r="A82" s="184" t="s">
        <v>656</v>
      </c>
      <c r="B82" s="64"/>
      <c r="C82" s="64"/>
      <c r="D82" s="64"/>
      <c r="E82" s="89">
        <f>E13</f>
        <v>30762047215.740002</v>
      </c>
      <c r="F82" s="89">
        <f t="shared" ref="F82:U82" si="81">F13</f>
        <v>27310618532.580002</v>
      </c>
      <c r="G82" s="89">
        <f t="shared" si="81"/>
        <v>24375793648.430008</v>
      </c>
      <c r="H82" s="89">
        <f t="shared" si="81"/>
        <v>26053947968.029999</v>
      </c>
      <c r="I82" s="89">
        <f t="shared" si="81"/>
        <v>24548712968.850002</v>
      </c>
      <c r="J82" s="89">
        <f t="shared" si="81"/>
        <v>21727414543.34</v>
      </c>
      <c r="K82" s="89">
        <f t="shared" si="81"/>
        <v>19245985417.269997</v>
      </c>
      <c r="L82" s="89">
        <f t="shared" si="81"/>
        <v>20556794957.609997</v>
      </c>
      <c r="M82" s="89">
        <f t="shared" si="81"/>
        <v>19383413235.77</v>
      </c>
      <c r="N82" s="89">
        <f t="shared" si="81"/>
        <v>17209384522.809998</v>
      </c>
      <c r="O82" s="89">
        <f t="shared" si="81"/>
        <v>15609238685.110001</v>
      </c>
      <c r="P82" s="89">
        <f t="shared" si="81"/>
        <v>15997644308.130001</v>
      </c>
      <c r="Q82" s="89">
        <f t="shared" si="81"/>
        <v>14920219991.029999</v>
      </c>
      <c r="R82" s="89">
        <f t="shared" si="81"/>
        <v>12988439010.319998</v>
      </c>
      <c r="S82" s="89">
        <f t="shared" si="81"/>
        <v>12788009971.459999</v>
      </c>
      <c r="T82" s="89">
        <f t="shared" si="81"/>
        <v>11929411048.49</v>
      </c>
      <c r="U82" s="89">
        <f t="shared" si="81"/>
        <v>11237954404.060001</v>
      </c>
    </row>
    <row r="83" spans="1:21" x14ac:dyDescent="0.25">
      <c r="A83" s="184" t="s">
        <v>664</v>
      </c>
      <c r="B83" s="64"/>
      <c r="C83" s="64"/>
      <c r="D83" s="64"/>
      <c r="E83" s="89">
        <f>E81+E82</f>
        <v>34375404254.360001</v>
      </c>
      <c r="F83" s="89">
        <f t="shared" ref="F83:U83" si="82">F81+F82</f>
        <v>31756542277.690002</v>
      </c>
      <c r="G83" s="89">
        <f t="shared" si="82"/>
        <v>28802041824.230007</v>
      </c>
      <c r="H83" s="89">
        <f t="shared" si="82"/>
        <v>30853829484.889999</v>
      </c>
      <c r="I83" s="89">
        <f t="shared" si="82"/>
        <v>29232370081.950005</v>
      </c>
      <c r="J83" s="89">
        <f t="shared" si="82"/>
        <v>25678642792.82</v>
      </c>
      <c r="K83" s="89">
        <f t="shared" si="82"/>
        <v>22864707691.349998</v>
      </c>
      <c r="L83" s="89">
        <f t="shared" si="82"/>
        <v>23658643292.609997</v>
      </c>
      <c r="M83" s="89">
        <f t="shared" si="82"/>
        <v>20066167170.77</v>
      </c>
      <c r="N83" s="89">
        <f t="shared" si="82"/>
        <v>18401552282.579998</v>
      </c>
      <c r="O83" s="89">
        <f t="shared" si="82"/>
        <v>16751257693.190001</v>
      </c>
      <c r="P83" s="89">
        <f t="shared" si="82"/>
        <v>16598660652.310001</v>
      </c>
      <c r="Q83" s="89">
        <f t="shared" si="82"/>
        <v>15167979991.029999</v>
      </c>
      <c r="R83" s="89">
        <f t="shared" si="82"/>
        <v>13001209010.319998</v>
      </c>
      <c r="S83" s="89">
        <f t="shared" si="82"/>
        <v>12800779971.459999</v>
      </c>
      <c r="T83" s="89">
        <f t="shared" si="82"/>
        <v>11948777048.49</v>
      </c>
      <c r="U83" s="89">
        <f t="shared" si="82"/>
        <v>11250724404.060001</v>
      </c>
    </row>
    <row r="84" spans="1:21" s="220" customFormat="1" x14ac:dyDescent="0.25">
      <c r="A84" s="224" t="s">
        <v>665</v>
      </c>
      <c r="B84" s="224"/>
      <c r="C84" s="224"/>
      <c r="D84" s="224"/>
      <c r="E84" s="224">
        <f>E83/E85</f>
        <v>0.95394825555653906</v>
      </c>
      <c r="F84" s="224">
        <f t="shared" ref="F84:U84" si="83">F83/F85</f>
        <v>0.95770310745251286</v>
      </c>
      <c r="G84" s="224">
        <f t="shared" si="83"/>
        <v>0.91435780889262674</v>
      </c>
      <c r="H84" s="224">
        <f t="shared" si="83"/>
        <v>0.92093184124178273</v>
      </c>
      <c r="I84" s="224">
        <f t="shared" si="83"/>
        <v>0.99599923427194947</v>
      </c>
      <c r="J84" s="224">
        <f t="shared" si="83"/>
        <v>0.98236798858783436</v>
      </c>
      <c r="K84" s="224">
        <f t="shared" si="83"/>
        <v>0.98076055853306243</v>
      </c>
      <c r="L84" s="224">
        <f t="shared" si="83"/>
        <v>0.94872052141154029</v>
      </c>
      <c r="M84" s="224">
        <f t="shared" si="83"/>
        <v>0.93100859862357854</v>
      </c>
      <c r="N84" s="224">
        <f t="shared" si="83"/>
        <v>0.95105683495170956</v>
      </c>
      <c r="O84" s="224">
        <f t="shared" si="83"/>
        <v>0.9136658400562474</v>
      </c>
      <c r="P84" s="224">
        <f t="shared" si="83"/>
        <v>0.96859372784207809</v>
      </c>
      <c r="Q84" s="224">
        <f t="shared" si="83"/>
        <v>0.97667024872456865</v>
      </c>
      <c r="R84" s="224">
        <f t="shared" si="83"/>
        <v>0.93760926736950245</v>
      </c>
      <c r="S84" s="224">
        <f t="shared" si="83"/>
        <v>0.93631555070064498</v>
      </c>
      <c r="T84" s="224">
        <f t="shared" si="83"/>
        <v>0.95015461423143677</v>
      </c>
      <c r="U84" s="224">
        <f t="shared" si="83"/>
        <v>0.98392589014209497</v>
      </c>
    </row>
    <row r="85" spans="1:21" x14ac:dyDescent="0.25">
      <c r="A85" s="184" t="s">
        <v>657</v>
      </c>
      <c r="B85" s="64"/>
      <c r="C85" s="64"/>
      <c r="D85" s="64"/>
      <c r="E85" s="89">
        <f>E14</f>
        <v>36034873017.620003</v>
      </c>
      <c r="F85" s="89">
        <f t="shared" ref="F85:U85" si="84">F14</f>
        <v>33159067805.639999</v>
      </c>
      <c r="G85" s="89">
        <f t="shared" si="84"/>
        <v>31499749380.510006</v>
      </c>
      <c r="H85" s="89">
        <f t="shared" si="84"/>
        <v>33502837129.93</v>
      </c>
      <c r="I85" s="89">
        <f t="shared" si="84"/>
        <v>29349791722.800003</v>
      </c>
      <c r="J85" s="89">
        <f t="shared" si="84"/>
        <v>26139535378.93</v>
      </c>
      <c r="K85" s="89">
        <f t="shared" si="84"/>
        <v>23313241435.349998</v>
      </c>
      <c r="L85" s="89">
        <f t="shared" si="84"/>
        <v>24937421251.739998</v>
      </c>
      <c r="M85" s="89">
        <f t="shared" si="84"/>
        <v>21553149133.57</v>
      </c>
      <c r="N85" s="89">
        <f t="shared" si="84"/>
        <v>19348530609.649998</v>
      </c>
      <c r="O85" s="89">
        <f t="shared" si="84"/>
        <v>18334118403.900002</v>
      </c>
      <c r="P85" s="89">
        <f t="shared" si="84"/>
        <v>17136865721.080002</v>
      </c>
      <c r="Q85" s="89">
        <f t="shared" si="84"/>
        <v>15530297980.139999</v>
      </c>
      <c r="R85" s="89">
        <f t="shared" si="84"/>
        <v>13866340129.929998</v>
      </c>
      <c r="S85" s="89">
        <f t="shared" si="84"/>
        <v>13671437969.689999</v>
      </c>
      <c r="T85" s="89">
        <f t="shared" si="84"/>
        <v>12575613347.049999</v>
      </c>
      <c r="U85" s="89">
        <f t="shared" si="84"/>
        <v>11434524202.260002</v>
      </c>
    </row>
    <row r="87" spans="1:21" s="56" customFormat="1" ht="85.8" customHeight="1" x14ac:dyDescent="0.25">
      <c r="A87" s="277" t="s">
        <v>703</v>
      </c>
      <c r="B87" s="280"/>
      <c r="C87" s="280"/>
      <c r="D87" s="280"/>
      <c r="E87" s="280"/>
      <c r="F87" s="280"/>
      <c r="G87" s="280"/>
      <c r="H87" s="280"/>
      <c r="I87" s="280"/>
      <c r="J87" s="280"/>
      <c r="K87" s="280"/>
      <c r="L87" s="280"/>
      <c r="M87" s="280"/>
      <c r="N87" s="280"/>
      <c r="O87" s="280"/>
      <c r="P87" s="280"/>
      <c r="Q87" s="280"/>
      <c r="R87" s="280"/>
      <c r="S87" s="280"/>
      <c r="T87" s="280"/>
      <c r="U87" s="280"/>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zoomScaleNormal="100" workbookViewId="0">
      <selection activeCell="A35" sqref="A35:AG35"/>
    </sheetView>
  </sheetViews>
  <sheetFormatPr defaultRowHeight="14.4" x14ac:dyDescent="0.25"/>
  <cols>
    <col min="1" max="1" width="47.88671875" style="17" bestFit="1" customWidth="1"/>
    <col min="2" max="4" width="10.5546875" hidden="1" customWidth="1"/>
    <col min="5" max="5" width="20.44140625" bestFit="1" customWidth="1"/>
    <col min="6" max="7" width="20.44140625" hidden="1" customWidth="1"/>
    <col min="8" max="8" width="19.33203125" hidden="1" customWidth="1"/>
    <col min="9" max="9" width="21.5546875" bestFit="1" customWidth="1"/>
    <col min="10" max="11" width="20.44140625" hidden="1" customWidth="1"/>
    <col min="12" max="12" width="19.33203125" hidden="1" customWidth="1"/>
    <col min="13" max="13" width="21.5546875" bestFit="1" customWidth="1"/>
    <col min="14" max="14" width="20.44140625" hidden="1" customWidth="1"/>
    <col min="15" max="16" width="19.33203125" hidden="1" customWidth="1"/>
    <col min="17" max="17" width="20.44140625" bestFit="1" customWidth="1"/>
    <col min="18" max="18" width="20.44140625" hidden="1" customWidth="1"/>
    <col min="19" max="20" width="19.33203125" hidden="1" customWidth="1"/>
    <col min="21" max="21" width="20.44140625" bestFit="1" customWidth="1"/>
    <col min="22" max="24" width="19.33203125" hidden="1" customWidth="1"/>
    <col min="25" max="25" width="19.33203125" bestFit="1" customWidth="1"/>
    <col min="26" max="28" width="19.33203125" hidden="1" customWidth="1"/>
    <col min="29" max="29" width="19.33203125" bestFit="1" customWidth="1"/>
    <col min="30" max="31" width="19.33203125" hidden="1" customWidth="1"/>
    <col min="32" max="32" width="18.33203125" hidden="1" customWidth="1"/>
    <col min="33" max="33" width="19.33203125" bestFit="1" customWidth="1"/>
    <col min="34" max="35" width="19.33203125" hidden="1" customWidth="1"/>
    <col min="36" max="36" width="17.21875" hidden="1" customWidth="1"/>
    <col min="37" max="37" width="19.33203125" bestFit="1" customWidth="1"/>
    <col min="38" max="38" width="19.33203125" hidden="1" customWidth="1"/>
    <col min="39" max="40" width="17.21875" hidden="1" customWidth="1"/>
    <col min="41" max="42" width="19.33203125" bestFit="1" customWidth="1"/>
    <col min="43" max="43" width="9.5546875" hidden="1" customWidth="1"/>
    <col min="44" max="51" width="20.44140625" bestFit="1" customWidth="1"/>
    <col min="52" max="81" width="18.33203125" bestFit="1" customWidth="1"/>
    <col min="82" max="82" width="9.5546875" bestFit="1" customWidth="1"/>
    <col min="83" max="83" width="18.33203125" bestFit="1" customWidth="1"/>
    <col min="84" max="85" width="17.21875" bestFit="1" customWidth="1"/>
    <col min="86" max="86" width="16.109375" bestFit="1" customWidth="1"/>
    <col min="87" max="87" width="17.21875" bestFit="1" customWidth="1"/>
    <col min="88" max="88" width="16.109375" bestFit="1" customWidth="1"/>
    <col min="89" max="89" width="9.33203125" bestFit="1" customWidth="1"/>
  </cols>
  <sheetData>
    <row r="1" spans="1:89" s="26" customFormat="1" x14ac:dyDescent="0.25">
      <c r="A1" s="17">
        <v>2415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39447</v>
      </c>
      <c r="AQ1" s="1">
        <v>25569</v>
      </c>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352</v>
      </c>
      <c r="E2" s="26">
        <f>股权价值增加表!E4</f>
        <v>41905476572.07</v>
      </c>
      <c r="F2" s="26">
        <f>股权价值增加表!F4</f>
        <v>27729742158.18</v>
      </c>
      <c r="G2" s="26">
        <f>股权价值增加表!G4</f>
        <v>16447539736.52</v>
      </c>
      <c r="H2" s="26">
        <f>股权价值增加表!H4</f>
        <v>7043724101.7299995</v>
      </c>
      <c r="I2" s="26">
        <f>股权价值增加表!I4</f>
        <v>31924020872.439999</v>
      </c>
      <c r="J2" s="26">
        <f>股权价值增加表!J4</f>
        <v>21136468968.82</v>
      </c>
      <c r="K2" s="26">
        <f>股权价值增加表!K4</f>
        <v>12548198726.120001</v>
      </c>
      <c r="L2" s="26">
        <f>股权价值增加表!L4</f>
        <v>5199710391.8999996</v>
      </c>
      <c r="M2" s="26">
        <f>股权价值增加表!M4</f>
        <v>25271390273.419998</v>
      </c>
      <c r="N2" s="26">
        <f>股权价值增加表!N4</f>
        <v>16677638479.4</v>
      </c>
      <c r="O2" s="26">
        <f>股权价值增加表!O4</f>
        <v>9796381650.8199997</v>
      </c>
      <c r="P2" s="26">
        <f>股权价值增加表!P4</f>
        <v>4287946779.6999998</v>
      </c>
      <c r="Q2" s="26">
        <f>股权价值增加表!Q4</f>
        <v>17233114021.700001</v>
      </c>
      <c r="R2" s="26">
        <f>股权价值增加表!R4</f>
        <v>10669807845.58</v>
      </c>
      <c r="S2" s="26">
        <f>股权价值增加表!S4</f>
        <v>6016055310.8500004</v>
      </c>
      <c r="T2" s="26">
        <f>股权价值增加表!T4</f>
        <v>2594659242.4200001</v>
      </c>
      <c r="U2" s="26">
        <f>股权价值增加表!U4</f>
        <v>10745907038.84</v>
      </c>
      <c r="V2" s="26">
        <f>股权价值增加表!V4</f>
        <v>6860396812.6999998</v>
      </c>
      <c r="W2" s="26">
        <f>股权价值增加表!W4</f>
        <v>3908594584.9000001</v>
      </c>
      <c r="X2" s="26">
        <f>股权价值增加表!X4</f>
        <v>1697327735.97</v>
      </c>
      <c r="Y2" s="26">
        <f>股权价值增加表!Y4</f>
        <v>7213789489.1800003</v>
      </c>
      <c r="Z2" s="26">
        <f>股权价值增加表!Z4</f>
        <v>4797847375.2799997</v>
      </c>
      <c r="AA2" s="26">
        <f>股权价值增加表!AA4</f>
        <v>2818679482.4899998</v>
      </c>
      <c r="AB2" s="26">
        <f>股权价值增加表!AB4</f>
        <v>1292678630.79</v>
      </c>
      <c r="AC2" s="26">
        <f>股权价值增加表!AC4</f>
        <v>5231639749.7700005</v>
      </c>
      <c r="AD2" s="26">
        <f>股权价值增加表!AD4</f>
        <v>3453156822.0599999</v>
      </c>
      <c r="AE2" s="26">
        <f>股权价值增加表!AE4</f>
        <v>2081678941.6300001</v>
      </c>
      <c r="AF2" s="26">
        <f>股权价值增加表!AF4</f>
        <v>929912689.30999994</v>
      </c>
      <c r="AG2" s="26">
        <f>股权价值增加表!AG4</f>
        <v>3605477285.21</v>
      </c>
      <c r="AH2" s="26">
        <f>股权价值增加表!AH4</f>
        <v>2393076338.48</v>
      </c>
      <c r="AI2" s="26">
        <f>股权价值增加表!AI4</f>
        <v>1402304573.3699999</v>
      </c>
      <c r="AJ2" s="26">
        <f>股权价值增加表!AJ4</f>
        <v>687305082.01999998</v>
      </c>
      <c r="AK2" s="26">
        <f>股权价值增加表!AK4</f>
        <v>2101513184.72</v>
      </c>
      <c r="AL2" s="26">
        <f>股权价值增加表!AL4</f>
        <v>1436572728.3599999</v>
      </c>
      <c r="AM2" s="26">
        <f>股权价值增加表!AM4</f>
        <v>836803532.27999997</v>
      </c>
      <c r="AN2" s="26">
        <f>股权价值增加表!AN4</f>
        <v>403065660.05000001</v>
      </c>
      <c r="AO2" s="26">
        <f>股权价值增加表!AO4</f>
        <v>1742471409.9100001</v>
      </c>
      <c r="AP2" s="26">
        <f>股权价值增加表!AP4</f>
        <v>1184513897.96</v>
      </c>
      <c r="AQ2" s="26">
        <f>股权价值增加表!AQ4</f>
        <v>0</v>
      </c>
      <c r="AR2" s="26">
        <f>股权价值增加表!AR4</f>
        <v>0</v>
      </c>
      <c r="AS2" s="26">
        <f>股权价值增加表!AS4</f>
        <v>0</v>
      </c>
      <c r="AT2" s="26">
        <f>股权价值增加表!AT4</f>
        <v>0</v>
      </c>
      <c r="AU2" s="26">
        <f>股权价值增加表!AU4</f>
        <v>0</v>
      </c>
      <c r="AV2" s="26">
        <f>股权价值增加表!AV4</f>
        <v>0</v>
      </c>
      <c r="AW2" s="26">
        <f>股权价值增加表!AW4</f>
        <v>0</v>
      </c>
      <c r="AX2" s="26">
        <f>股权价值增加表!AX4</f>
        <v>0</v>
      </c>
      <c r="AY2" s="26">
        <f>股权价值增加表!AY4</f>
        <v>0</v>
      </c>
      <c r="AZ2" s="26">
        <f>股权价值增加表!AZ4</f>
        <v>0</v>
      </c>
      <c r="BA2" s="26">
        <f>股权价值增加表!BA4</f>
        <v>0</v>
      </c>
      <c r="BB2" s="26">
        <f>股权价值增加表!BB4</f>
        <v>0</v>
      </c>
      <c r="BC2" s="26">
        <f>股权价值增加表!BC4</f>
        <v>0</v>
      </c>
      <c r="BD2" s="26">
        <f>股权价值增加表!BD4</f>
        <v>0</v>
      </c>
      <c r="BE2" s="26">
        <f>股权价值增加表!BE4</f>
        <v>0</v>
      </c>
      <c r="BF2" s="26">
        <f>股权价值增加表!BF4</f>
        <v>0</v>
      </c>
      <c r="BG2" s="26">
        <f>股权价值增加表!BG4</f>
        <v>0</v>
      </c>
      <c r="BH2" s="26">
        <f>股权价值增加表!BH4</f>
        <v>0</v>
      </c>
      <c r="BI2" s="26">
        <f>股权价值增加表!BI4</f>
        <v>0</v>
      </c>
      <c r="BJ2" s="26">
        <f>股权价值增加表!BJ4</f>
        <v>0</v>
      </c>
      <c r="BK2" s="26">
        <f>股权价值增加表!BK4</f>
        <v>0</v>
      </c>
      <c r="BL2" s="26">
        <f>股权价值增加表!BL4</f>
        <v>0</v>
      </c>
      <c r="BM2" s="26">
        <f>股权价值增加表!BM4</f>
        <v>0</v>
      </c>
      <c r="BN2" s="26">
        <f>股权价值增加表!BN4</f>
        <v>0</v>
      </c>
      <c r="BO2" s="26">
        <f>股权价值增加表!BO4</f>
        <v>0</v>
      </c>
      <c r="BP2" s="26">
        <f>股权价值增加表!BP4</f>
        <v>0</v>
      </c>
      <c r="BQ2" s="26">
        <f>股权价值增加表!BQ4</f>
        <v>0</v>
      </c>
      <c r="BR2" s="26">
        <f>股权价值增加表!BR4</f>
        <v>0</v>
      </c>
      <c r="BS2" s="26">
        <f>股权价值增加表!BS4</f>
        <v>0</v>
      </c>
      <c r="BT2" s="26">
        <f>股权价值增加表!BT4</f>
        <v>0</v>
      </c>
      <c r="BU2" s="26">
        <f>股权价值增加表!BU4</f>
        <v>0</v>
      </c>
      <c r="BV2" s="26">
        <f>股权价值增加表!BV4</f>
        <v>0</v>
      </c>
      <c r="BW2" s="26">
        <f>股权价值增加表!BW4</f>
        <v>0</v>
      </c>
      <c r="BX2" s="26">
        <f>股权价值增加表!BX4</f>
        <v>0</v>
      </c>
      <c r="BY2" s="26">
        <f>股权价值增加表!BY4</f>
        <v>0</v>
      </c>
      <c r="BZ2" s="26">
        <f>股权价值增加表!BZ4</f>
        <v>0</v>
      </c>
      <c r="CA2" s="26">
        <f>股权价值增加表!CA4</f>
        <v>0</v>
      </c>
      <c r="CB2" s="26">
        <f>股权价值增加表!CB4</f>
        <v>0</v>
      </c>
      <c r="CC2" s="26">
        <f>股权价值增加表!CC4</f>
        <v>0</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6" customFormat="1" x14ac:dyDescent="0.25">
      <c r="A3" s="46" t="s">
        <v>373</v>
      </c>
      <c r="E3" s="66">
        <f>(E2-I2)/I2</f>
        <v>0.31266286096959012</v>
      </c>
      <c r="F3" s="66">
        <f t="shared" ref="F3:BQ3" si="0">(F2-J2)/J2</f>
        <v>0.31193825227317939</v>
      </c>
      <c r="G3" s="66">
        <f t="shared" si="0"/>
        <v>0.31074906410935571</v>
      </c>
      <c r="H3" s="66">
        <f t="shared" si="0"/>
        <v>0.35463777226950294</v>
      </c>
      <c r="I3" s="66">
        <f t="shared" si="0"/>
        <v>0.26324751139699343</v>
      </c>
      <c r="J3" s="66">
        <f t="shared" si="0"/>
        <v>0.26735382799714053</v>
      </c>
      <c r="K3" s="66">
        <f t="shared" si="0"/>
        <v>0.28090137495507456</v>
      </c>
      <c r="L3" s="66">
        <f t="shared" si="0"/>
        <v>0.21263407850966612</v>
      </c>
      <c r="M3" s="66">
        <f t="shared" si="0"/>
        <v>0.46644362949134849</v>
      </c>
      <c r="N3" s="66">
        <f t="shared" si="0"/>
        <v>0.56306830645584327</v>
      </c>
      <c r="O3" s="66">
        <f t="shared" si="0"/>
        <v>0.62837293619161927</v>
      </c>
      <c r="P3" s="66">
        <f t="shared" si="0"/>
        <v>0.65260497779303595</v>
      </c>
      <c r="Q3" s="66">
        <f t="shared" si="0"/>
        <v>0.60369096432833858</v>
      </c>
      <c r="R3" s="66">
        <f t="shared" si="0"/>
        <v>0.55527561114657387</v>
      </c>
      <c r="S3" s="66">
        <f t="shared" si="0"/>
        <v>0.53918631880925016</v>
      </c>
      <c r="T3" s="66">
        <f t="shared" si="0"/>
        <v>0.52867309443758492</v>
      </c>
      <c r="U3" s="66">
        <f t="shared" si="0"/>
        <v>0.48963413126455119</v>
      </c>
      <c r="V3" s="66">
        <f t="shared" si="0"/>
        <v>0.42989058969380634</v>
      </c>
      <c r="W3" s="66">
        <f t="shared" si="0"/>
        <v>0.38667578530325758</v>
      </c>
      <c r="X3" s="66">
        <f t="shared" si="0"/>
        <v>0.31303148016975046</v>
      </c>
      <c r="Y3" s="66">
        <f t="shared" si="0"/>
        <v>0.37887733754931069</v>
      </c>
      <c r="Z3" s="66">
        <f t="shared" si="0"/>
        <v>0.38940906032116351</v>
      </c>
      <c r="AA3" s="66">
        <f t="shared" si="0"/>
        <v>0.35404140673244844</v>
      </c>
      <c r="AB3" s="66">
        <f t="shared" si="0"/>
        <v>0.39010752907262103</v>
      </c>
      <c r="AC3" s="66">
        <f t="shared" si="0"/>
        <v>0.45102557468068616</v>
      </c>
      <c r="AD3" s="66">
        <f t="shared" si="0"/>
        <v>0.44297813092470201</v>
      </c>
      <c r="AE3" s="66">
        <f t="shared" si="0"/>
        <v>0.48446990843603732</v>
      </c>
      <c r="AF3" s="66">
        <f t="shared" si="0"/>
        <v>0.35298386937133153</v>
      </c>
      <c r="AG3" s="66">
        <f t="shared" si="0"/>
        <v>0.71565770389890948</v>
      </c>
      <c r="AH3" s="66">
        <f t="shared" si="0"/>
        <v>0.66582331074316747</v>
      </c>
      <c r="AI3" s="66">
        <f t="shared" si="0"/>
        <v>0.67578711044539375</v>
      </c>
      <c r="AJ3" s="66">
        <f t="shared" si="0"/>
        <v>0.70519384344163749</v>
      </c>
      <c r="AK3" s="66">
        <f t="shared" si="0"/>
        <v>0.20605317985019031</v>
      </c>
      <c r="AL3" s="66">
        <f t="shared" si="0"/>
        <v>0.21279516503276322</v>
      </c>
      <c r="AM3" s="66" t="e">
        <f t="shared" si="0"/>
        <v>#DIV/0!</v>
      </c>
      <c r="AN3" s="66" t="e">
        <f t="shared" si="0"/>
        <v>#DIV/0!</v>
      </c>
      <c r="AO3" s="66" t="e">
        <f t="shared" si="0"/>
        <v>#DIV/0!</v>
      </c>
      <c r="AP3" s="66" t="e">
        <f t="shared" si="0"/>
        <v>#DIV/0!</v>
      </c>
      <c r="AQ3" s="66" t="e">
        <f t="shared" si="0"/>
        <v>#DIV/0!</v>
      </c>
      <c r="AR3" s="66" t="e">
        <f t="shared" si="0"/>
        <v>#DIV/0!</v>
      </c>
      <c r="AS3" s="66" t="e">
        <f t="shared" si="0"/>
        <v>#DIV/0!</v>
      </c>
      <c r="AT3" s="66" t="e">
        <f t="shared" si="0"/>
        <v>#DIV/0!</v>
      </c>
      <c r="AU3" s="66" t="e">
        <f t="shared" si="0"/>
        <v>#DIV/0!</v>
      </c>
      <c r="AV3" s="66" t="e">
        <f t="shared" si="0"/>
        <v>#DIV/0!</v>
      </c>
      <c r="AW3" s="66" t="e">
        <f t="shared" si="0"/>
        <v>#DIV/0!</v>
      </c>
      <c r="AX3" s="66" t="e">
        <f t="shared" si="0"/>
        <v>#DIV/0!</v>
      </c>
      <c r="AY3" s="66" t="e">
        <f t="shared" si="0"/>
        <v>#DIV/0!</v>
      </c>
      <c r="AZ3" s="66" t="e">
        <f t="shared" si="0"/>
        <v>#DIV/0!</v>
      </c>
      <c r="BA3" s="66" t="e">
        <f t="shared" si="0"/>
        <v>#DIV/0!</v>
      </c>
      <c r="BB3" s="66" t="e">
        <f t="shared" si="0"/>
        <v>#DIV/0!</v>
      </c>
      <c r="BC3" s="66" t="e">
        <f t="shared" si="0"/>
        <v>#DIV/0!</v>
      </c>
      <c r="BD3" s="66" t="e">
        <f t="shared" si="0"/>
        <v>#DIV/0!</v>
      </c>
      <c r="BE3" s="66" t="e">
        <f t="shared" si="0"/>
        <v>#DIV/0!</v>
      </c>
      <c r="BF3" s="66" t="e">
        <f t="shared" si="0"/>
        <v>#DIV/0!</v>
      </c>
      <c r="BG3" s="66" t="e">
        <f t="shared" si="0"/>
        <v>#DIV/0!</v>
      </c>
      <c r="BH3" s="66" t="e">
        <f t="shared" si="0"/>
        <v>#DIV/0!</v>
      </c>
      <c r="BI3" s="66" t="e">
        <f t="shared" si="0"/>
        <v>#DIV/0!</v>
      </c>
      <c r="BJ3" s="66" t="e">
        <f t="shared" si="0"/>
        <v>#DIV/0!</v>
      </c>
      <c r="BK3" s="66" t="e">
        <f t="shared" si="0"/>
        <v>#DIV/0!</v>
      </c>
      <c r="BL3" s="66" t="e">
        <f t="shared" si="0"/>
        <v>#DIV/0!</v>
      </c>
      <c r="BM3" s="66" t="e">
        <f t="shared" si="0"/>
        <v>#DIV/0!</v>
      </c>
      <c r="BN3" s="66" t="e">
        <f t="shared" si="0"/>
        <v>#DIV/0!</v>
      </c>
      <c r="BO3" s="66" t="e">
        <f t="shared" si="0"/>
        <v>#DIV/0!</v>
      </c>
      <c r="BP3" s="66" t="e">
        <f t="shared" si="0"/>
        <v>#DIV/0!</v>
      </c>
      <c r="BQ3" s="66" t="e">
        <f t="shared" si="0"/>
        <v>#DIV/0!</v>
      </c>
      <c r="BR3" s="66" t="e">
        <f t="shared" ref="BR3:CJ3" si="1">(BR2-BV2)/BV2</f>
        <v>#DIV/0!</v>
      </c>
      <c r="BS3" s="66" t="e">
        <f t="shared" si="1"/>
        <v>#DIV/0!</v>
      </c>
      <c r="BT3" s="66" t="e">
        <f t="shared" si="1"/>
        <v>#DIV/0!</v>
      </c>
      <c r="BU3" s="66" t="e">
        <f t="shared" si="1"/>
        <v>#DIV/0!</v>
      </c>
      <c r="BV3" s="66" t="e">
        <f t="shared" si="1"/>
        <v>#DIV/0!</v>
      </c>
      <c r="BW3" s="66" t="e">
        <f t="shared" si="1"/>
        <v>#DIV/0!</v>
      </c>
      <c r="BX3" s="66" t="e">
        <f t="shared" si="1"/>
        <v>#DIV/0!</v>
      </c>
      <c r="BY3" s="66" t="e">
        <f t="shared" si="1"/>
        <v>#DIV/0!</v>
      </c>
      <c r="BZ3" s="66" t="e">
        <f t="shared" si="1"/>
        <v>#DIV/0!</v>
      </c>
      <c r="CA3" s="66" t="e">
        <f t="shared" si="1"/>
        <v>#DIV/0!</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x14ac:dyDescent="0.25">
      <c r="A4" s="17" t="s">
        <v>353</v>
      </c>
      <c r="E4" s="26">
        <f>股权价值增加表!E5</f>
        <v>23467310590.759998</v>
      </c>
      <c r="F4" s="26">
        <f>股权价值增加表!F5</f>
        <v>15477663755.389999</v>
      </c>
      <c r="G4" s="26">
        <f>股权价值增加表!G5</f>
        <v>9420695024.8400002</v>
      </c>
      <c r="H4" s="26">
        <f>股权价值增加表!H5</f>
        <v>4030635978.6399999</v>
      </c>
      <c r="I4" s="26">
        <f>股权价值增加表!I5</f>
        <v>18649694075.439999</v>
      </c>
      <c r="J4" s="26">
        <f>股权价值增加表!J5</f>
        <v>12354272045.639999</v>
      </c>
      <c r="K4" s="26">
        <f>股权价值增加表!K5</f>
        <v>7516381723.1400003</v>
      </c>
      <c r="L4" s="26">
        <f>股权价值增加表!L5</f>
        <v>3023844618.0300002</v>
      </c>
      <c r="M4" s="26">
        <f>股权价值增加表!M5</f>
        <v>15136793517.440001</v>
      </c>
      <c r="N4" s="26">
        <f>股权价值增加表!N5</f>
        <v>9726052589.9899998</v>
      </c>
      <c r="O4" s="26">
        <f>股权价值增加表!O5</f>
        <v>5589497558.5900002</v>
      </c>
      <c r="P4" s="26">
        <f>股权价值增加表!P5</f>
        <v>2391396043.4099998</v>
      </c>
      <c r="Q4" s="26">
        <f>股权价值增加表!Q5</f>
        <v>9578266693.2800007</v>
      </c>
      <c r="R4" s="26">
        <f>股权价值增加表!R5</f>
        <v>5677915233.6400003</v>
      </c>
      <c r="S4" s="26">
        <f>股权价值增加表!S5</f>
        <v>3147587830.75</v>
      </c>
      <c r="T4" s="26">
        <f>股权价值增加表!T5</f>
        <v>1375389877.0699999</v>
      </c>
      <c r="U4" s="26">
        <f>股权价值增加表!U5</f>
        <v>5628838417.1000004</v>
      </c>
      <c r="V4" s="26">
        <f>股权价值增加表!V5</f>
        <v>3551297173.46</v>
      </c>
      <c r="W4" s="26">
        <f>股权价值增加表!W5</f>
        <v>2033786330.8299999</v>
      </c>
      <c r="X4" s="26">
        <f>股权价值增加表!X5</f>
        <v>882546175.61000001</v>
      </c>
      <c r="Y4" s="26">
        <f>股权价值增加表!Y5</f>
        <v>3664922810.8099999</v>
      </c>
      <c r="Z4" s="26">
        <f>股权价值增加表!Z5</f>
        <v>2427344631.4699998</v>
      </c>
      <c r="AA4" s="26">
        <f>股权价值增加表!AA5</f>
        <v>1420922224.6400001</v>
      </c>
      <c r="AB4" s="26">
        <f>股权价值增加表!AB5</f>
        <v>661465729.58000004</v>
      </c>
      <c r="AC4" s="26">
        <f>股权价值增加表!AC5</f>
        <v>2634180308.6399999</v>
      </c>
      <c r="AD4" s="26">
        <f>股权价值增加表!AD5</f>
        <v>1699824066.8800001</v>
      </c>
      <c r="AE4" s="26">
        <f>股权价值增加表!AE5</f>
        <v>1021856726.88</v>
      </c>
      <c r="AF4" s="26">
        <f>股权价值增加表!AF5</f>
        <v>468282079.42000002</v>
      </c>
      <c r="AG4" s="26">
        <f>股权价值增加表!AG5</f>
        <v>1743763633.1199999</v>
      </c>
      <c r="AH4" s="26">
        <f>股权价值增加表!AH5</f>
        <v>1199655803.52</v>
      </c>
      <c r="AI4" s="26">
        <f>股权价值增加表!AI5</f>
        <v>702050596.73000002</v>
      </c>
      <c r="AJ4" s="26">
        <f>股权价值增加表!AJ5</f>
        <v>339155124.04000002</v>
      </c>
      <c r="AK4" s="26">
        <f>股权价值增加表!AK5</f>
        <v>1007090667.39</v>
      </c>
      <c r="AL4" s="26">
        <f>股权价值增加表!AL5</f>
        <v>674382814.25</v>
      </c>
      <c r="AM4" s="26">
        <f>股权价值增加表!AM5</f>
        <v>389447580.93000001</v>
      </c>
      <c r="AN4" s="26">
        <f>股权价值增加表!AN5</f>
        <v>182379908.43000001</v>
      </c>
      <c r="AO4" s="26">
        <f>股权价值增加表!AO5</f>
        <v>856519516.38</v>
      </c>
      <c r="AP4" s="26">
        <f>股权价值增加表!AP5</f>
        <v>609529706.07000005</v>
      </c>
      <c r="AQ4" s="26">
        <f>股权价值增加表!AQ5</f>
        <v>0</v>
      </c>
      <c r="AR4" s="26">
        <f>股权价值增加表!AR5</f>
        <v>0</v>
      </c>
      <c r="AS4" s="26">
        <f>股权价值增加表!AS5</f>
        <v>0</v>
      </c>
      <c r="AT4" s="26">
        <f>股权价值增加表!AT5</f>
        <v>0</v>
      </c>
      <c r="AU4" s="26">
        <f>股权价值增加表!AU5</f>
        <v>0</v>
      </c>
      <c r="AV4" s="26">
        <f>股权价值增加表!AV5</f>
        <v>0</v>
      </c>
      <c r="AW4" s="26">
        <f>股权价值增加表!AW5</f>
        <v>0</v>
      </c>
      <c r="AX4" s="26">
        <f>股权价值增加表!AX5</f>
        <v>0</v>
      </c>
      <c r="AY4" s="26">
        <f>股权价值增加表!AY5</f>
        <v>0</v>
      </c>
      <c r="AZ4" s="26">
        <f>股权价值增加表!AZ5</f>
        <v>0</v>
      </c>
      <c r="BA4" s="26">
        <f>股权价值增加表!BA5</f>
        <v>0</v>
      </c>
      <c r="BB4" s="26">
        <f>股权价值增加表!BB5</f>
        <v>0</v>
      </c>
      <c r="BC4" s="26">
        <f>股权价值增加表!BC5</f>
        <v>0</v>
      </c>
      <c r="BD4" s="26">
        <f>股权价值增加表!BD5</f>
        <v>0</v>
      </c>
      <c r="BE4" s="26">
        <f>股权价值增加表!BE5</f>
        <v>0</v>
      </c>
      <c r="BF4" s="26">
        <f>股权价值增加表!BF5</f>
        <v>0</v>
      </c>
      <c r="BG4" s="26">
        <f>股权价值增加表!BG5</f>
        <v>0</v>
      </c>
      <c r="BH4" s="26">
        <f>股权价值增加表!BH5</f>
        <v>0</v>
      </c>
      <c r="BI4" s="26">
        <f>股权价值增加表!BI5</f>
        <v>0</v>
      </c>
      <c r="BJ4" s="26">
        <f>股权价值增加表!BJ5</f>
        <v>0</v>
      </c>
      <c r="BK4" s="26">
        <f>股权价值增加表!BK5</f>
        <v>0</v>
      </c>
      <c r="BL4" s="26">
        <f>股权价值增加表!BL5</f>
        <v>0</v>
      </c>
      <c r="BM4" s="26">
        <f>股权价值增加表!BM5</f>
        <v>0</v>
      </c>
      <c r="BN4" s="26">
        <f>股权价值增加表!BN5</f>
        <v>0</v>
      </c>
      <c r="BO4" s="26">
        <f>股权价值增加表!BO5</f>
        <v>0</v>
      </c>
      <c r="BP4" s="26">
        <f>股权价值增加表!BP5</f>
        <v>0</v>
      </c>
      <c r="BQ4" s="26">
        <f>股权价值增加表!BQ5</f>
        <v>0</v>
      </c>
      <c r="BR4" s="26">
        <f>股权价值增加表!BR5</f>
        <v>0</v>
      </c>
      <c r="BS4" s="26">
        <f>股权价值增加表!BS5</f>
        <v>0</v>
      </c>
      <c r="BT4" s="26">
        <f>股权价值增加表!BT5</f>
        <v>0</v>
      </c>
      <c r="BU4" s="26">
        <f>股权价值增加表!BU5</f>
        <v>0</v>
      </c>
      <c r="BV4" s="26">
        <f>股权价值增加表!BV5</f>
        <v>0</v>
      </c>
      <c r="BW4" s="26">
        <f>股权价值增加表!BW5</f>
        <v>0</v>
      </c>
      <c r="BX4" s="26">
        <f>股权价值增加表!BX5</f>
        <v>0</v>
      </c>
      <c r="BY4" s="26">
        <f>股权价值增加表!BY5</f>
        <v>0</v>
      </c>
      <c r="BZ4" s="26">
        <f>股权价值增加表!BZ5</f>
        <v>0</v>
      </c>
      <c r="CA4" s="26">
        <f>股权价值增加表!CA5</f>
        <v>0</v>
      </c>
      <c r="CB4" s="26">
        <f>股权价值增加表!CB5</f>
        <v>0</v>
      </c>
      <c r="CC4" s="26">
        <f>股权价值增加表!CC5</f>
        <v>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x14ac:dyDescent="0.25">
      <c r="A5" s="46" t="s">
        <v>354</v>
      </c>
      <c r="E5" s="66">
        <f t="shared" ref="E5:AJ5" si="2">E4/E2</f>
        <v>0.56000581571719821</v>
      </c>
      <c r="F5" s="66">
        <f t="shared" si="2"/>
        <v>0.55816111333095253</v>
      </c>
      <c r="G5" s="66">
        <f t="shared" si="2"/>
        <v>0.57277229152530063</v>
      </c>
      <c r="H5" s="66">
        <f t="shared" si="2"/>
        <v>0.57223081432874989</v>
      </c>
      <c r="I5" s="66">
        <f t="shared" si="2"/>
        <v>0.58419001008548632</v>
      </c>
      <c r="J5" s="66">
        <f t="shared" si="2"/>
        <v>0.58450028071693139</v>
      </c>
      <c r="K5" s="66">
        <f t="shared" si="2"/>
        <v>0.59900085161180128</v>
      </c>
      <c r="L5" s="66">
        <f t="shared" si="2"/>
        <v>0.58154096865480864</v>
      </c>
      <c r="M5" s="66">
        <f t="shared" si="2"/>
        <v>0.59896956018919989</v>
      </c>
      <c r="N5" s="66">
        <f t="shared" si="2"/>
        <v>0.58317924339249183</v>
      </c>
      <c r="O5" s="66">
        <f t="shared" si="2"/>
        <v>0.57056755829047712</v>
      </c>
      <c r="P5" s="66">
        <f t="shared" si="2"/>
        <v>0.55770189469966103</v>
      </c>
      <c r="Q5" s="66">
        <f t="shared" si="2"/>
        <v>0.55580591419629743</v>
      </c>
      <c r="R5" s="66">
        <f t="shared" si="2"/>
        <v>0.5321478433177308</v>
      </c>
      <c r="S5" s="66">
        <f t="shared" si="2"/>
        <v>0.52319795415997949</v>
      </c>
      <c r="T5" s="66">
        <f t="shared" si="2"/>
        <v>0.530084974004985</v>
      </c>
      <c r="U5" s="66">
        <f t="shared" si="2"/>
        <v>0.5238123126093619</v>
      </c>
      <c r="V5" s="66">
        <f t="shared" si="2"/>
        <v>0.51765186044134093</v>
      </c>
      <c r="W5" s="66">
        <f t="shared" si="2"/>
        <v>0.52033698728619449</v>
      </c>
      <c r="X5" s="66">
        <f t="shared" si="2"/>
        <v>0.51996214809135655</v>
      </c>
      <c r="Y5" s="66">
        <f t="shared" si="2"/>
        <v>0.50804404762670663</v>
      </c>
      <c r="Z5" s="66">
        <f t="shared" si="2"/>
        <v>0.50592368652167496</v>
      </c>
      <c r="AA5" s="66">
        <f t="shared" si="2"/>
        <v>0.50410918781895997</v>
      </c>
      <c r="AB5" s="66">
        <f t="shared" si="2"/>
        <v>0.51170160457882385</v>
      </c>
      <c r="AC5" s="66">
        <f t="shared" si="2"/>
        <v>0.50350949886329743</v>
      </c>
      <c r="AD5" s="66">
        <f t="shared" si="2"/>
        <v>0.49225220703007649</v>
      </c>
      <c r="AE5" s="66">
        <f t="shared" si="2"/>
        <v>0.49088104147312162</v>
      </c>
      <c r="AF5" s="66">
        <f t="shared" si="2"/>
        <v>0.50357639464783277</v>
      </c>
      <c r="AG5" s="66">
        <f t="shared" si="2"/>
        <v>0.48364293966656757</v>
      </c>
      <c r="AH5" s="66">
        <f t="shared" si="2"/>
        <v>0.50130277259854572</v>
      </c>
      <c r="AI5" s="66">
        <f t="shared" si="2"/>
        <v>0.50064059553256768</v>
      </c>
      <c r="AJ5" s="66">
        <f t="shared" si="2"/>
        <v>0.49345644738027838</v>
      </c>
      <c r="AK5" s="66">
        <f t="shared" ref="AK5:BP5" si="3">AK4/AK2</f>
        <v>0.47922167451173142</v>
      </c>
      <c r="AL5" s="66">
        <f t="shared" si="3"/>
        <v>0.46943868621248258</v>
      </c>
      <c r="AM5" s="66">
        <f t="shared" si="3"/>
        <v>0.46539906430472416</v>
      </c>
      <c r="AN5" s="66">
        <f t="shared" si="3"/>
        <v>0.4524818820024904</v>
      </c>
      <c r="AO5" s="66">
        <f t="shared" si="3"/>
        <v>0.49155441604877742</v>
      </c>
      <c r="AP5" s="66">
        <f t="shared" si="3"/>
        <v>0.51458214810290337</v>
      </c>
      <c r="AQ5" s="66" t="e">
        <f t="shared" si="3"/>
        <v>#DIV/0!</v>
      </c>
      <c r="AR5" s="66" t="e">
        <f t="shared" si="3"/>
        <v>#DIV/0!</v>
      </c>
      <c r="AS5" s="66" t="e">
        <f t="shared" si="3"/>
        <v>#DIV/0!</v>
      </c>
      <c r="AT5" s="66" t="e">
        <f t="shared" si="3"/>
        <v>#DIV/0!</v>
      </c>
      <c r="AU5" s="66" t="e">
        <f t="shared" si="3"/>
        <v>#DIV/0!</v>
      </c>
      <c r="AV5" s="66" t="e">
        <f t="shared" si="3"/>
        <v>#DIV/0!</v>
      </c>
      <c r="AW5" s="66" t="e">
        <f t="shared" si="3"/>
        <v>#DIV/0!</v>
      </c>
      <c r="AX5" s="66" t="e">
        <f t="shared" si="3"/>
        <v>#DIV/0!</v>
      </c>
      <c r="AY5" s="66" t="e">
        <f t="shared" si="3"/>
        <v>#DIV/0!</v>
      </c>
      <c r="AZ5" s="66" t="e">
        <f t="shared" si="3"/>
        <v>#DIV/0!</v>
      </c>
      <c r="BA5" s="66" t="e">
        <f t="shared" si="3"/>
        <v>#DIV/0!</v>
      </c>
      <c r="BB5" s="66" t="e">
        <f t="shared" si="3"/>
        <v>#DIV/0!</v>
      </c>
      <c r="BC5" s="66" t="e">
        <f t="shared" si="3"/>
        <v>#DIV/0!</v>
      </c>
      <c r="BD5" s="66" t="e">
        <f t="shared" si="3"/>
        <v>#DIV/0!</v>
      </c>
      <c r="BE5" s="66" t="e">
        <f t="shared" si="3"/>
        <v>#DIV/0!</v>
      </c>
      <c r="BF5" s="66" t="e">
        <f t="shared" si="3"/>
        <v>#DIV/0!</v>
      </c>
      <c r="BG5" s="66" t="e">
        <f t="shared" si="3"/>
        <v>#DIV/0!</v>
      </c>
      <c r="BH5" s="66" t="e">
        <f t="shared" si="3"/>
        <v>#DIV/0!</v>
      </c>
      <c r="BI5" s="66" t="e">
        <f t="shared" si="3"/>
        <v>#DIV/0!</v>
      </c>
      <c r="BJ5" s="66" t="e">
        <f t="shared" si="3"/>
        <v>#DIV/0!</v>
      </c>
      <c r="BK5" s="66" t="e">
        <f t="shared" si="3"/>
        <v>#DIV/0!</v>
      </c>
      <c r="BL5" s="66" t="e">
        <f t="shared" si="3"/>
        <v>#DIV/0!</v>
      </c>
      <c r="BM5" s="66" t="e">
        <f t="shared" si="3"/>
        <v>#DIV/0!</v>
      </c>
      <c r="BN5" s="66" t="e">
        <f t="shared" si="3"/>
        <v>#DIV/0!</v>
      </c>
      <c r="BO5" s="66" t="e">
        <f t="shared" si="3"/>
        <v>#DIV/0!</v>
      </c>
      <c r="BP5" s="66" t="e">
        <f t="shared" si="3"/>
        <v>#DIV/0!</v>
      </c>
      <c r="BQ5" s="66" t="e">
        <f t="shared" ref="BQ5:CK5" si="4">BQ4/BQ2</f>
        <v>#DIV/0!</v>
      </c>
      <c r="BR5" s="66" t="e">
        <f t="shared" si="4"/>
        <v>#DIV/0!</v>
      </c>
      <c r="BS5" s="66" t="e">
        <f t="shared" si="4"/>
        <v>#DIV/0!</v>
      </c>
      <c r="BT5" s="66" t="e">
        <f t="shared" si="4"/>
        <v>#DIV/0!</v>
      </c>
      <c r="BU5" s="66" t="e">
        <f t="shared" si="4"/>
        <v>#DIV/0!</v>
      </c>
      <c r="BV5" s="66" t="e">
        <f t="shared" si="4"/>
        <v>#DIV/0!</v>
      </c>
      <c r="BW5" s="66" t="e">
        <f t="shared" si="4"/>
        <v>#DIV/0!</v>
      </c>
      <c r="BX5" s="66" t="e">
        <f t="shared" si="4"/>
        <v>#DIV/0!</v>
      </c>
      <c r="BY5" s="66" t="e">
        <f t="shared" si="4"/>
        <v>#DIV/0!</v>
      </c>
      <c r="BZ5" s="66" t="e">
        <f t="shared" si="4"/>
        <v>#DIV/0!</v>
      </c>
      <c r="CA5" s="66" t="e">
        <f t="shared" si="4"/>
        <v>#DIV/0!</v>
      </c>
      <c r="CB5" s="66" t="e">
        <f t="shared" si="4"/>
        <v>#DIV/0!</v>
      </c>
      <c r="CC5" s="66" t="e">
        <f t="shared" si="4"/>
        <v>#DIV/0!</v>
      </c>
      <c r="CD5" s="66" t="e">
        <f t="shared" si="4"/>
        <v>#DIV/0!</v>
      </c>
      <c r="CE5" s="66" t="e">
        <f t="shared" si="4"/>
        <v>#DIV/0!</v>
      </c>
      <c r="CF5" s="66" t="e">
        <f t="shared" si="4"/>
        <v>#DIV/0!</v>
      </c>
      <c r="CG5" s="66" t="e">
        <f t="shared" si="4"/>
        <v>#DIV/0!</v>
      </c>
      <c r="CH5" s="66" t="e">
        <f t="shared" si="4"/>
        <v>#DIV/0!</v>
      </c>
      <c r="CI5" s="66" t="e">
        <f t="shared" si="4"/>
        <v>#DIV/0!</v>
      </c>
      <c r="CJ5" s="66" t="e">
        <f t="shared" si="4"/>
        <v>#DIV/0!</v>
      </c>
      <c r="CK5" s="66" t="e">
        <f t="shared" si="4"/>
        <v>#DIV/0!</v>
      </c>
    </row>
    <row r="6" spans="1:89" s="66" customFormat="1" x14ac:dyDescent="0.25">
      <c r="A6" s="46" t="s">
        <v>355</v>
      </c>
      <c r="E6" s="66">
        <f>(E4-I4)/I4</f>
        <v>0.25832147679378697</v>
      </c>
      <c r="F6" s="66">
        <f t="shared" ref="F6:BQ6" si="5">(F4-J4)/J4</f>
        <v>0.25281875760962297</v>
      </c>
      <c r="G6" s="66">
        <f t="shared" si="5"/>
        <v>0.25335505457863639</v>
      </c>
      <c r="H6" s="66">
        <f t="shared" si="5"/>
        <v>0.33295075897977605</v>
      </c>
      <c r="I6" s="66">
        <f t="shared" si="5"/>
        <v>0.23207692923554624</v>
      </c>
      <c r="J6" s="66">
        <f t="shared" si="5"/>
        <v>0.27022468070499112</v>
      </c>
      <c r="K6" s="66">
        <f t="shared" si="5"/>
        <v>0.34473298258959678</v>
      </c>
      <c r="L6" s="66">
        <f t="shared" si="5"/>
        <v>0.26446835368940536</v>
      </c>
      <c r="M6" s="66">
        <f t="shared" si="5"/>
        <v>0.58032700509997248</v>
      </c>
      <c r="N6" s="66">
        <f t="shared" si="5"/>
        <v>0.71296192172189543</v>
      </c>
      <c r="O6" s="66">
        <f t="shared" si="5"/>
        <v>0.77580352293398835</v>
      </c>
      <c r="P6" s="66">
        <f t="shared" si="5"/>
        <v>0.73870411821294124</v>
      </c>
      <c r="Q6" s="66">
        <f t="shared" si="5"/>
        <v>0.70164179241349789</v>
      </c>
      <c r="R6" s="66">
        <f t="shared" si="5"/>
        <v>0.59882852836786216</v>
      </c>
      <c r="S6" s="66">
        <f t="shared" si="5"/>
        <v>0.547649221078918</v>
      </c>
      <c r="T6" s="66">
        <f t="shared" si="5"/>
        <v>0.5584338985088857</v>
      </c>
      <c r="U6" s="66">
        <f t="shared" si="5"/>
        <v>0.53586820450822736</v>
      </c>
      <c r="V6" s="66">
        <f t="shared" si="5"/>
        <v>0.46303789227874687</v>
      </c>
      <c r="W6" s="66">
        <f t="shared" si="5"/>
        <v>0.43131432217922622</v>
      </c>
      <c r="X6" s="66">
        <f t="shared" si="5"/>
        <v>0.33422811816777837</v>
      </c>
      <c r="Y6" s="66">
        <f t="shared" si="5"/>
        <v>0.39129534860966364</v>
      </c>
      <c r="Z6" s="66">
        <f t="shared" si="5"/>
        <v>0.42799756678663342</v>
      </c>
      <c r="AA6" s="66">
        <f t="shared" si="5"/>
        <v>0.3905297946987667</v>
      </c>
      <c r="AB6" s="66">
        <f t="shared" si="5"/>
        <v>0.41253692731370684</v>
      </c>
      <c r="AC6" s="66">
        <f t="shared" si="5"/>
        <v>0.51062922669561406</v>
      </c>
      <c r="AD6" s="66">
        <f t="shared" si="5"/>
        <v>0.41692647332044652</v>
      </c>
      <c r="AE6" s="66">
        <f t="shared" si="5"/>
        <v>0.45553145548139667</v>
      </c>
      <c r="AF6" s="66">
        <f t="shared" si="5"/>
        <v>0.38073125312643291</v>
      </c>
      <c r="AG6" s="66">
        <f t="shared" si="5"/>
        <v>0.73148624010108143</v>
      </c>
      <c r="AH6" s="66">
        <f t="shared" si="5"/>
        <v>0.77889438783248177</v>
      </c>
      <c r="AI6" s="66">
        <f t="shared" si="5"/>
        <v>0.80268316227181247</v>
      </c>
      <c r="AJ6" s="66">
        <f t="shared" si="5"/>
        <v>0.85960793027907767</v>
      </c>
      <c r="AK6" s="66">
        <f t="shared" si="5"/>
        <v>0.17579418580720138</v>
      </c>
      <c r="AL6" s="66">
        <f t="shared" si="5"/>
        <v>0.10639860130549902</v>
      </c>
      <c r="AM6" s="66" t="e">
        <f t="shared" si="5"/>
        <v>#DIV/0!</v>
      </c>
      <c r="AN6" s="66" t="e">
        <f t="shared" si="5"/>
        <v>#DIV/0!</v>
      </c>
      <c r="AO6" s="66" t="e">
        <f t="shared" si="5"/>
        <v>#DIV/0!</v>
      </c>
      <c r="AP6" s="66" t="e">
        <f t="shared" si="5"/>
        <v>#DIV/0!</v>
      </c>
      <c r="AQ6" s="66" t="e">
        <f t="shared" si="5"/>
        <v>#DIV/0!</v>
      </c>
      <c r="AR6" s="66" t="e">
        <f t="shared" si="5"/>
        <v>#DIV/0!</v>
      </c>
      <c r="AS6" s="66" t="e">
        <f t="shared" si="5"/>
        <v>#DIV/0!</v>
      </c>
      <c r="AT6" s="66" t="e">
        <f t="shared" si="5"/>
        <v>#DIV/0!</v>
      </c>
      <c r="AU6" s="66" t="e">
        <f t="shared" si="5"/>
        <v>#DIV/0!</v>
      </c>
      <c r="AV6" s="66" t="e">
        <f t="shared" si="5"/>
        <v>#DIV/0!</v>
      </c>
      <c r="AW6" s="66" t="e">
        <f t="shared" si="5"/>
        <v>#DIV/0!</v>
      </c>
      <c r="AX6" s="66" t="e">
        <f t="shared" si="5"/>
        <v>#DIV/0!</v>
      </c>
      <c r="AY6" s="66" t="e">
        <f t="shared" si="5"/>
        <v>#DIV/0!</v>
      </c>
      <c r="AZ6" s="66" t="e">
        <f t="shared" si="5"/>
        <v>#DIV/0!</v>
      </c>
      <c r="BA6" s="66" t="e">
        <f t="shared" si="5"/>
        <v>#DIV/0!</v>
      </c>
      <c r="BB6" s="66" t="e">
        <f t="shared" si="5"/>
        <v>#DIV/0!</v>
      </c>
      <c r="BC6" s="66" t="e">
        <f t="shared" si="5"/>
        <v>#DIV/0!</v>
      </c>
      <c r="BD6" s="66" t="e">
        <f t="shared" si="5"/>
        <v>#DIV/0!</v>
      </c>
      <c r="BE6" s="66" t="e">
        <f t="shared" si="5"/>
        <v>#DIV/0!</v>
      </c>
      <c r="BF6" s="66" t="e">
        <f t="shared" si="5"/>
        <v>#DIV/0!</v>
      </c>
      <c r="BG6" s="66" t="e">
        <f t="shared" si="5"/>
        <v>#DIV/0!</v>
      </c>
      <c r="BH6" s="66" t="e">
        <f t="shared" si="5"/>
        <v>#DIV/0!</v>
      </c>
      <c r="BI6" s="66" t="e">
        <f t="shared" si="5"/>
        <v>#DIV/0!</v>
      </c>
      <c r="BJ6" s="66" t="e">
        <f t="shared" si="5"/>
        <v>#DIV/0!</v>
      </c>
      <c r="BK6" s="66" t="e">
        <f t="shared" si="5"/>
        <v>#DIV/0!</v>
      </c>
      <c r="BL6" s="66" t="e">
        <f t="shared" si="5"/>
        <v>#DIV/0!</v>
      </c>
      <c r="BM6" s="66" t="e">
        <f t="shared" si="5"/>
        <v>#DIV/0!</v>
      </c>
      <c r="BN6" s="66" t="e">
        <f t="shared" si="5"/>
        <v>#DIV/0!</v>
      </c>
      <c r="BO6" s="66" t="e">
        <f t="shared" si="5"/>
        <v>#DIV/0!</v>
      </c>
      <c r="BP6" s="66" t="e">
        <f t="shared" si="5"/>
        <v>#DIV/0!</v>
      </c>
      <c r="BQ6" s="66" t="e">
        <f t="shared" si="5"/>
        <v>#DIV/0!</v>
      </c>
      <c r="BR6" s="66" t="e">
        <f t="shared" ref="BR6:CJ6" si="6">(BR4-BV4)/BV4</f>
        <v>#DIV/0!</v>
      </c>
      <c r="BS6" s="66" t="e">
        <f t="shared" si="6"/>
        <v>#DIV/0!</v>
      </c>
      <c r="BT6" s="66" t="e">
        <f t="shared" si="6"/>
        <v>#DIV/0!</v>
      </c>
      <c r="BU6" s="66" t="e">
        <f t="shared" si="6"/>
        <v>#DIV/0!</v>
      </c>
      <c r="BV6" s="66" t="e">
        <f t="shared" si="6"/>
        <v>#DIV/0!</v>
      </c>
      <c r="BW6" s="66" t="e">
        <f t="shared" si="6"/>
        <v>#DIV/0!</v>
      </c>
      <c r="BX6" s="66" t="e">
        <f t="shared" si="6"/>
        <v>#DIV/0!</v>
      </c>
      <c r="BY6" s="66" t="e">
        <f t="shared" si="6"/>
        <v>#DIV/0!</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x14ac:dyDescent="0.25">
      <c r="A7" s="128" t="s">
        <v>356</v>
      </c>
      <c r="E7" s="27">
        <f>股权价值增加表!E6</f>
        <v>18438165981.310001</v>
      </c>
      <c r="F7" s="27">
        <f>股权价值增加表!F6</f>
        <v>12252078402.790001</v>
      </c>
      <c r="G7" s="27">
        <f>股权价值增加表!G6</f>
        <v>7026844711.6800003</v>
      </c>
      <c r="H7" s="27">
        <f>股权价值增加表!H6</f>
        <v>3013088123.0899997</v>
      </c>
      <c r="I7" s="27">
        <f>股权价值增加表!I6</f>
        <v>13274326797</v>
      </c>
      <c r="J7" s="27">
        <f>股权价值增加表!J6</f>
        <v>8782196923.1800003</v>
      </c>
      <c r="K7" s="27">
        <f>股权价值增加表!K6</f>
        <v>5031817002.9800005</v>
      </c>
      <c r="L7" s="27">
        <f>股权价值增加表!L6</f>
        <v>2175865773.8699994</v>
      </c>
      <c r="M7" s="27">
        <f>股权价值增加表!M6</f>
        <v>10134596755.979998</v>
      </c>
      <c r="N7" s="27">
        <f>股权价值增加表!N6</f>
        <v>6951585889.4099998</v>
      </c>
      <c r="O7" s="27">
        <f>股权价值增加表!O6</f>
        <v>4206884092.2299995</v>
      </c>
      <c r="P7" s="27">
        <f>股权价值增加表!P6</f>
        <v>1896550736.29</v>
      </c>
      <c r="Q7" s="27">
        <f>股权价值增加表!Q6</f>
        <v>7654847328.4200001</v>
      </c>
      <c r="R7" s="27">
        <f>股权价值增加表!R6</f>
        <v>4991892611.9399996</v>
      </c>
      <c r="S7" s="27">
        <f>股权价值增加表!S6</f>
        <v>2868467480.1000004</v>
      </c>
      <c r="T7" s="27">
        <f>股权价值增加表!T6</f>
        <v>1219269365.3500001</v>
      </c>
      <c r="U7" s="27">
        <f>股权价值增加表!U6</f>
        <v>5117068621.7399998</v>
      </c>
      <c r="V7" s="27">
        <f>股权价值增加表!V6</f>
        <v>3309099639.2399998</v>
      </c>
      <c r="W7" s="27">
        <f>股权价值增加表!W6</f>
        <v>1874808254.0700002</v>
      </c>
      <c r="X7" s="27">
        <f>股权价值增加表!X6</f>
        <v>814781560.36000001</v>
      </c>
      <c r="Y7" s="27">
        <f>股权价值增加表!Y6</f>
        <v>3548866678.3700004</v>
      </c>
      <c r="Z7" s="27">
        <f>股权价值增加表!Z6</f>
        <v>2370502743.8099999</v>
      </c>
      <c r="AA7" s="27">
        <f>股权价值增加表!AA6</f>
        <v>1397757257.8499997</v>
      </c>
      <c r="AB7" s="27">
        <f>股权价值增加表!AB6</f>
        <v>631212901.20999992</v>
      </c>
      <c r="AC7" s="27">
        <f>股权价值增加表!AC6</f>
        <v>2597459441.1300006</v>
      </c>
      <c r="AD7" s="27">
        <f>股权价值增加表!AD6</f>
        <v>1753332755.1799998</v>
      </c>
      <c r="AE7" s="27">
        <f>股权价值增加表!AE6</f>
        <v>1059822214.7500001</v>
      </c>
      <c r="AF7" s="27">
        <f>股权价值增加表!AF6</f>
        <v>461630609.88999993</v>
      </c>
      <c r="AG7" s="27">
        <f>股权价值增加表!AG6</f>
        <v>1861713652.0900002</v>
      </c>
      <c r="AH7" s="27">
        <f>股权价值增加表!AH6</f>
        <v>1193420534.96</v>
      </c>
      <c r="AI7" s="27">
        <f>股权价值增加表!AI6</f>
        <v>700253976.63999987</v>
      </c>
      <c r="AJ7" s="27">
        <f>股权价值增加表!AJ6</f>
        <v>348149957.97999996</v>
      </c>
      <c r="AK7" s="27">
        <f>股权价值增加表!AK6</f>
        <v>1094422517.3299999</v>
      </c>
      <c r="AL7" s="27">
        <f>股权价值增加表!AL6</f>
        <v>762189914.1099999</v>
      </c>
      <c r="AM7" s="27">
        <f>股权价值增加表!AM6</f>
        <v>447355951.34999996</v>
      </c>
      <c r="AN7" s="27">
        <f>股权价值增加表!AN6</f>
        <v>220685751.62</v>
      </c>
      <c r="AO7" s="27">
        <f>股权价值增加表!AO6</f>
        <v>885951893.53000009</v>
      </c>
      <c r="AP7" s="27">
        <f>股权价值增加表!AP6</f>
        <v>574984191.88999999</v>
      </c>
      <c r="AQ7" s="27">
        <f>股权价值增加表!AQ6</f>
        <v>0</v>
      </c>
      <c r="AR7" s="27">
        <f>股权价值增加表!AR6</f>
        <v>0</v>
      </c>
      <c r="AS7" s="27">
        <f>股权价值增加表!AS6</f>
        <v>0</v>
      </c>
      <c r="AT7" s="27">
        <f>股权价值增加表!AT6</f>
        <v>0</v>
      </c>
      <c r="AU7" s="27">
        <f>股权价值增加表!AU6</f>
        <v>0</v>
      </c>
      <c r="AV7" s="27">
        <f>股权价值增加表!AV6</f>
        <v>0</v>
      </c>
      <c r="AW7" s="27">
        <f>股权价值增加表!AW6</f>
        <v>0</v>
      </c>
      <c r="AX7" s="27">
        <f>股权价值增加表!AX6</f>
        <v>0</v>
      </c>
      <c r="AY7" s="27">
        <f>股权价值增加表!AY6</f>
        <v>0</v>
      </c>
      <c r="AZ7" s="27">
        <f>股权价值增加表!AZ6</f>
        <v>0</v>
      </c>
      <c r="BA7" s="27">
        <f>股权价值增加表!BA6</f>
        <v>0</v>
      </c>
      <c r="BB7" s="27">
        <f>股权价值增加表!BB6</f>
        <v>0</v>
      </c>
      <c r="BC7" s="27">
        <f>股权价值增加表!BC6</f>
        <v>0</v>
      </c>
      <c r="BD7" s="27">
        <f>股权价值增加表!BD6</f>
        <v>0</v>
      </c>
      <c r="BE7" s="27">
        <f>股权价值增加表!BE6</f>
        <v>0</v>
      </c>
      <c r="BF7" s="27">
        <f>股权价值增加表!BF6</f>
        <v>0</v>
      </c>
      <c r="BG7" s="27">
        <f>股权价值增加表!BG6</f>
        <v>0</v>
      </c>
      <c r="BH7" s="27">
        <f>股权价值增加表!BH6</f>
        <v>0</v>
      </c>
      <c r="BI7" s="27">
        <f>股权价值增加表!BI6</f>
        <v>0</v>
      </c>
      <c r="BJ7" s="27">
        <f>股权价值增加表!BJ6</f>
        <v>0</v>
      </c>
      <c r="BK7" s="27">
        <f>股权价值增加表!BK6</f>
        <v>0</v>
      </c>
      <c r="BL7" s="27">
        <f>股权价值增加表!BL6</f>
        <v>0</v>
      </c>
      <c r="BM7" s="27">
        <f>股权价值增加表!BM6</f>
        <v>0</v>
      </c>
      <c r="BN7" s="27">
        <f>股权价值增加表!BN6</f>
        <v>0</v>
      </c>
      <c r="BO7" s="27">
        <f>股权价值增加表!BO6</f>
        <v>0</v>
      </c>
      <c r="BP7" s="27">
        <f>股权价值增加表!BP6</f>
        <v>0</v>
      </c>
      <c r="BQ7" s="27">
        <f>股权价值增加表!BQ6</f>
        <v>0</v>
      </c>
      <c r="BR7" s="27">
        <f>股权价值增加表!BR6</f>
        <v>0</v>
      </c>
      <c r="BS7" s="27">
        <f>股权价值增加表!BS6</f>
        <v>0</v>
      </c>
      <c r="BT7" s="27">
        <f>股权价值增加表!BT6</f>
        <v>0</v>
      </c>
      <c r="BU7" s="27">
        <f>股权价值增加表!BU6</f>
        <v>0</v>
      </c>
      <c r="BV7" s="27">
        <f>股权价值增加表!BV6</f>
        <v>0</v>
      </c>
      <c r="BW7" s="27">
        <f>股权价值增加表!BW6</f>
        <v>0</v>
      </c>
      <c r="BX7" s="27">
        <f>股权价值增加表!BX6</f>
        <v>0</v>
      </c>
      <c r="BY7" s="27">
        <f>股权价值增加表!BY6</f>
        <v>0</v>
      </c>
      <c r="BZ7" s="27">
        <f>股权价值增加表!BZ6</f>
        <v>0</v>
      </c>
      <c r="CA7" s="27">
        <f>股权价值增加表!CA6</f>
        <v>0</v>
      </c>
      <c r="CB7" s="27">
        <f>股权价值增加表!CB6</f>
        <v>0</v>
      </c>
      <c r="CC7" s="27">
        <f>股权价值增加表!CC6</f>
        <v>0</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x14ac:dyDescent="0.25">
      <c r="A8" s="46" t="s">
        <v>357</v>
      </c>
      <c r="E8" s="66">
        <f>E7/E2</f>
        <v>0.43999418428280179</v>
      </c>
      <c r="F8" s="66">
        <f t="shared" ref="F8:BQ8" si="7">F7/F2</f>
        <v>0.44183888666904747</v>
      </c>
      <c r="G8" s="66">
        <f t="shared" si="7"/>
        <v>0.42722770847469937</v>
      </c>
      <c r="H8" s="66">
        <f t="shared" si="7"/>
        <v>0.42776918567125011</v>
      </c>
      <c r="I8" s="66">
        <f t="shared" si="7"/>
        <v>0.41580998991451368</v>
      </c>
      <c r="J8" s="66">
        <f t="shared" si="7"/>
        <v>0.41549971928306861</v>
      </c>
      <c r="K8" s="66">
        <f t="shared" si="7"/>
        <v>0.40099914838819872</v>
      </c>
      <c r="L8" s="66">
        <f t="shared" si="7"/>
        <v>0.41845903134519141</v>
      </c>
      <c r="M8" s="66">
        <f t="shared" si="7"/>
        <v>0.40103043981080011</v>
      </c>
      <c r="N8" s="66">
        <f t="shared" si="7"/>
        <v>0.41682075660750817</v>
      </c>
      <c r="O8" s="66">
        <f t="shared" si="7"/>
        <v>0.42943244170952294</v>
      </c>
      <c r="P8" s="66">
        <f t="shared" si="7"/>
        <v>0.44229810530033897</v>
      </c>
      <c r="Q8" s="66">
        <f t="shared" si="7"/>
        <v>0.44419408580370257</v>
      </c>
      <c r="R8" s="66">
        <f t="shared" si="7"/>
        <v>0.4678521566822692</v>
      </c>
      <c r="S8" s="66">
        <f t="shared" si="7"/>
        <v>0.47680204584002045</v>
      </c>
      <c r="T8" s="66">
        <f t="shared" si="7"/>
        <v>0.46991502599501495</v>
      </c>
      <c r="U8" s="66">
        <f t="shared" si="7"/>
        <v>0.4761876873906381</v>
      </c>
      <c r="V8" s="66">
        <f t="shared" si="7"/>
        <v>0.48234813955865913</v>
      </c>
      <c r="W8" s="66">
        <f t="shared" si="7"/>
        <v>0.47966301271380551</v>
      </c>
      <c r="X8" s="66">
        <f t="shared" si="7"/>
        <v>0.48003785190864351</v>
      </c>
      <c r="Y8" s="66">
        <f t="shared" si="7"/>
        <v>0.49195595237329337</v>
      </c>
      <c r="Z8" s="66">
        <f t="shared" si="7"/>
        <v>0.49407631347832498</v>
      </c>
      <c r="AA8" s="66">
        <f t="shared" si="7"/>
        <v>0.49589081218104009</v>
      </c>
      <c r="AB8" s="66">
        <f t="shared" si="7"/>
        <v>0.48829839542117609</v>
      </c>
      <c r="AC8" s="66">
        <f t="shared" si="7"/>
        <v>0.49649050113670251</v>
      </c>
      <c r="AD8" s="66">
        <f t="shared" si="7"/>
        <v>0.50774779296992345</v>
      </c>
      <c r="AE8" s="66">
        <f t="shared" si="7"/>
        <v>0.50911895852687838</v>
      </c>
      <c r="AF8" s="66">
        <f t="shared" si="7"/>
        <v>0.49642360535216723</v>
      </c>
      <c r="AG8" s="66">
        <f t="shared" si="7"/>
        <v>0.51635706033343243</v>
      </c>
      <c r="AH8" s="66">
        <f t="shared" si="7"/>
        <v>0.49869722740145422</v>
      </c>
      <c r="AI8" s="66">
        <f t="shared" si="7"/>
        <v>0.49935940446743232</v>
      </c>
      <c r="AJ8" s="66">
        <f t="shared" si="7"/>
        <v>0.50654355261972162</v>
      </c>
      <c r="AK8" s="66">
        <f t="shared" si="7"/>
        <v>0.52077832548826852</v>
      </c>
      <c r="AL8" s="66">
        <f t="shared" si="7"/>
        <v>0.53056131378751736</v>
      </c>
      <c r="AM8" s="66">
        <f t="shared" si="7"/>
        <v>0.53460093569527589</v>
      </c>
      <c r="AN8" s="66">
        <f t="shared" si="7"/>
        <v>0.5475181179975096</v>
      </c>
      <c r="AO8" s="66">
        <f t="shared" si="7"/>
        <v>0.50844558395122252</v>
      </c>
      <c r="AP8" s="66">
        <f t="shared" si="7"/>
        <v>0.48541785189709669</v>
      </c>
      <c r="AQ8" s="66" t="e">
        <f t="shared" si="7"/>
        <v>#DIV/0!</v>
      </c>
      <c r="AR8" s="66" t="e">
        <f t="shared" si="7"/>
        <v>#DIV/0!</v>
      </c>
      <c r="AS8" s="66" t="e">
        <f t="shared" si="7"/>
        <v>#DIV/0!</v>
      </c>
      <c r="AT8" s="66" t="e">
        <f t="shared" si="7"/>
        <v>#DIV/0!</v>
      </c>
      <c r="AU8" s="66" t="e">
        <f t="shared" si="7"/>
        <v>#DIV/0!</v>
      </c>
      <c r="AV8" s="66" t="e">
        <f t="shared" si="7"/>
        <v>#DIV/0!</v>
      </c>
      <c r="AW8" s="66" t="e">
        <f t="shared" si="7"/>
        <v>#DIV/0!</v>
      </c>
      <c r="AX8" s="66" t="e">
        <f t="shared" si="7"/>
        <v>#DIV/0!</v>
      </c>
      <c r="AY8" s="66" t="e">
        <f t="shared" si="7"/>
        <v>#DIV/0!</v>
      </c>
      <c r="AZ8" s="66" t="e">
        <f t="shared" si="7"/>
        <v>#DIV/0!</v>
      </c>
      <c r="BA8" s="66" t="e">
        <f t="shared" si="7"/>
        <v>#DIV/0!</v>
      </c>
      <c r="BB8" s="66" t="e">
        <f t="shared" si="7"/>
        <v>#DIV/0!</v>
      </c>
      <c r="BC8" s="66" t="e">
        <f t="shared" si="7"/>
        <v>#DIV/0!</v>
      </c>
      <c r="BD8" s="66" t="e">
        <f t="shared" si="7"/>
        <v>#DIV/0!</v>
      </c>
      <c r="BE8" s="66" t="e">
        <f t="shared" si="7"/>
        <v>#DIV/0!</v>
      </c>
      <c r="BF8" s="66" t="e">
        <f t="shared" si="7"/>
        <v>#DIV/0!</v>
      </c>
      <c r="BG8" s="66" t="e">
        <f t="shared" si="7"/>
        <v>#DIV/0!</v>
      </c>
      <c r="BH8" s="66" t="e">
        <f t="shared" si="7"/>
        <v>#DIV/0!</v>
      </c>
      <c r="BI8" s="66" t="e">
        <f t="shared" si="7"/>
        <v>#DIV/0!</v>
      </c>
      <c r="BJ8" s="66" t="e">
        <f t="shared" si="7"/>
        <v>#DIV/0!</v>
      </c>
      <c r="BK8" s="66" t="e">
        <f t="shared" si="7"/>
        <v>#DIV/0!</v>
      </c>
      <c r="BL8" s="66" t="e">
        <f t="shared" si="7"/>
        <v>#DIV/0!</v>
      </c>
      <c r="BM8" s="66" t="e">
        <f t="shared" si="7"/>
        <v>#DIV/0!</v>
      </c>
      <c r="BN8" s="66" t="e">
        <f t="shared" si="7"/>
        <v>#DIV/0!</v>
      </c>
      <c r="BO8" s="66" t="e">
        <f t="shared" si="7"/>
        <v>#DIV/0!</v>
      </c>
      <c r="BP8" s="66" t="e">
        <f t="shared" si="7"/>
        <v>#DIV/0!</v>
      </c>
      <c r="BQ8" s="66" t="e">
        <f t="shared" si="7"/>
        <v>#DIV/0!</v>
      </c>
      <c r="BR8" s="66" t="e">
        <f t="shared" ref="BR8:CJ8" si="8">BR7/BR2</f>
        <v>#DIV/0!</v>
      </c>
      <c r="BS8" s="66" t="e">
        <f t="shared" si="8"/>
        <v>#DIV/0!</v>
      </c>
      <c r="BT8" s="66" t="e">
        <f t="shared" si="8"/>
        <v>#DIV/0!</v>
      </c>
      <c r="BU8" s="66" t="e">
        <f t="shared" si="8"/>
        <v>#DIV/0!</v>
      </c>
      <c r="BV8" s="66" t="e">
        <f t="shared" si="8"/>
        <v>#DIV/0!</v>
      </c>
      <c r="BW8" s="66" t="e">
        <f t="shared" si="8"/>
        <v>#DIV/0!</v>
      </c>
      <c r="BX8" s="66" t="e">
        <f t="shared" si="8"/>
        <v>#DIV/0!</v>
      </c>
      <c r="BY8" s="66" t="e">
        <f t="shared" si="8"/>
        <v>#DIV/0!</v>
      </c>
      <c r="BZ8" s="66" t="e">
        <f t="shared" si="8"/>
        <v>#DIV/0!</v>
      </c>
      <c r="CA8" s="66" t="e">
        <f t="shared" si="8"/>
        <v>#DIV/0!</v>
      </c>
      <c r="CB8" s="66" t="e">
        <f t="shared" si="8"/>
        <v>#DIV/0!</v>
      </c>
      <c r="CC8" s="66" t="e">
        <f t="shared" si="8"/>
        <v>#DIV/0!</v>
      </c>
      <c r="CD8" s="66" t="e">
        <f t="shared" si="8"/>
        <v>#DIV/0!</v>
      </c>
      <c r="CE8" s="66" t="e">
        <f t="shared" si="8"/>
        <v>#DIV/0!</v>
      </c>
      <c r="CF8" s="66" t="e">
        <f t="shared" si="8"/>
        <v>#DIV/0!</v>
      </c>
      <c r="CG8" s="66" t="e">
        <f t="shared" si="8"/>
        <v>#DIV/0!</v>
      </c>
      <c r="CH8" s="66" t="e">
        <f t="shared" si="8"/>
        <v>#DIV/0!</v>
      </c>
      <c r="CI8" s="66" t="e">
        <f t="shared" si="8"/>
        <v>#DIV/0!</v>
      </c>
      <c r="CJ8" s="66" t="e">
        <f t="shared" si="8"/>
        <v>#DIV/0!</v>
      </c>
    </row>
    <row r="9" spans="1:89" s="66" customFormat="1" x14ac:dyDescent="0.25">
      <c r="A9" s="46" t="s">
        <v>358</v>
      </c>
      <c r="E9" s="66">
        <f>(E7-I7)/I7</f>
        <v>0.38900949654765393</v>
      </c>
      <c r="F9" s="66">
        <f t="shared" ref="F9:BQ9" si="9">(F7-J7)/J7</f>
        <v>0.39510403945184702</v>
      </c>
      <c r="G9" s="66">
        <f t="shared" si="9"/>
        <v>0.39648256435368806</v>
      </c>
      <c r="H9" s="66">
        <f t="shared" si="9"/>
        <v>0.38477665271186046</v>
      </c>
      <c r="I9" s="66">
        <f t="shared" si="9"/>
        <v>0.30980315414793197</v>
      </c>
      <c r="J9" s="66">
        <f t="shared" si="9"/>
        <v>0.26333718131264711</v>
      </c>
      <c r="K9" s="66">
        <f t="shared" si="9"/>
        <v>0.19609119069232964</v>
      </c>
      <c r="L9" s="66">
        <f t="shared" si="9"/>
        <v>0.14727527834366863</v>
      </c>
      <c r="M9" s="66">
        <f t="shared" si="9"/>
        <v>0.32394498821073558</v>
      </c>
      <c r="N9" s="66">
        <f t="shared" si="9"/>
        <v>0.39257520740383167</v>
      </c>
      <c r="O9" s="66">
        <f t="shared" si="9"/>
        <v>0.46659640432226179</v>
      </c>
      <c r="P9" s="66">
        <f t="shared" si="9"/>
        <v>0.55548133184301018</v>
      </c>
      <c r="Q9" s="66">
        <f t="shared" si="9"/>
        <v>0.49594384876884023</v>
      </c>
      <c r="R9" s="66">
        <f t="shared" si="9"/>
        <v>0.50853499627061294</v>
      </c>
      <c r="S9" s="66">
        <f t="shared" si="9"/>
        <v>0.53000578799078601</v>
      </c>
      <c r="T9" s="66">
        <f t="shared" si="9"/>
        <v>0.4964371123117744</v>
      </c>
      <c r="U9" s="66">
        <f t="shared" si="9"/>
        <v>0.4418880971009812</v>
      </c>
      <c r="V9" s="66">
        <f t="shared" si="9"/>
        <v>0.39594845350038965</v>
      </c>
      <c r="W9" s="66">
        <f t="shared" si="9"/>
        <v>0.34129745600734002</v>
      </c>
      <c r="X9" s="66">
        <f t="shared" si="9"/>
        <v>0.29081892781042534</v>
      </c>
      <c r="Y9" s="66">
        <f t="shared" si="9"/>
        <v>0.3662837702775058</v>
      </c>
      <c r="Z9" s="66">
        <f t="shared" si="9"/>
        <v>0.35199820844426105</v>
      </c>
      <c r="AA9" s="66">
        <f t="shared" si="9"/>
        <v>0.3188601242706679</v>
      </c>
      <c r="AB9" s="66">
        <f t="shared" si="9"/>
        <v>0.36735495369427312</v>
      </c>
      <c r="AC9" s="66">
        <f t="shared" si="9"/>
        <v>0.39519814887431065</v>
      </c>
      <c r="AD9" s="66">
        <f t="shared" si="9"/>
        <v>0.46916590071811226</v>
      </c>
      <c r="AE9" s="66">
        <f t="shared" si="9"/>
        <v>0.5134826078893574</v>
      </c>
      <c r="AF9" s="66">
        <f t="shared" si="9"/>
        <v>0.32595336954347426</v>
      </c>
      <c r="AG9" s="66">
        <f t="shared" si="9"/>
        <v>0.70109224052874619</v>
      </c>
      <c r="AH9" s="66">
        <f t="shared" si="9"/>
        <v>0.56577844034257918</v>
      </c>
      <c r="AI9" s="66">
        <f t="shared" si="9"/>
        <v>0.56531722563837961</v>
      </c>
      <c r="AJ9" s="66">
        <f t="shared" si="9"/>
        <v>0.57758240133002003</v>
      </c>
      <c r="AK9" s="66">
        <f t="shared" si="9"/>
        <v>0.2353069340699373</v>
      </c>
      <c r="AL9" s="66">
        <f t="shared" si="9"/>
        <v>0.32558412015580102</v>
      </c>
      <c r="AM9" s="66" t="e">
        <f t="shared" si="9"/>
        <v>#DIV/0!</v>
      </c>
      <c r="AN9" s="66" t="e">
        <f t="shared" si="9"/>
        <v>#DIV/0!</v>
      </c>
      <c r="AO9" s="66" t="e">
        <f t="shared" si="9"/>
        <v>#DIV/0!</v>
      </c>
      <c r="AP9" s="66" t="e">
        <f t="shared" si="9"/>
        <v>#DIV/0!</v>
      </c>
      <c r="AQ9" s="66" t="e">
        <f t="shared" si="9"/>
        <v>#DIV/0!</v>
      </c>
      <c r="AR9" s="66" t="e">
        <f t="shared" si="9"/>
        <v>#DIV/0!</v>
      </c>
      <c r="AS9" s="66" t="e">
        <f t="shared" si="9"/>
        <v>#DIV/0!</v>
      </c>
      <c r="AT9" s="66" t="e">
        <f t="shared" si="9"/>
        <v>#DIV/0!</v>
      </c>
      <c r="AU9" s="66" t="e">
        <f t="shared" si="9"/>
        <v>#DIV/0!</v>
      </c>
      <c r="AV9" s="66" t="e">
        <f t="shared" si="9"/>
        <v>#DIV/0!</v>
      </c>
      <c r="AW9" s="66" t="e">
        <f t="shared" si="9"/>
        <v>#DIV/0!</v>
      </c>
      <c r="AX9" s="66" t="e">
        <f t="shared" si="9"/>
        <v>#DIV/0!</v>
      </c>
      <c r="AY9" s="66" t="e">
        <f t="shared" si="9"/>
        <v>#DIV/0!</v>
      </c>
      <c r="AZ9" s="66" t="e">
        <f t="shared" si="9"/>
        <v>#DIV/0!</v>
      </c>
      <c r="BA9" s="66" t="e">
        <f t="shared" si="9"/>
        <v>#DIV/0!</v>
      </c>
      <c r="BB9" s="66" t="e">
        <f t="shared" si="9"/>
        <v>#DIV/0!</v>
      </c>
      <c r="BC9" s="66" t="e">
        <f t="shared" si="9"/>
        <v>#DIV/0!</v>
      </c>
      <c r="BD9" s="66" t="e">
        <f t="shared" si="9"/>
        <v>#DIV/0!</v>
      </c>
      <c r="BE9" s="66" t="e">
        <f t="shared" si="9"/>
        <v>#DIV/0!</v>
      </c>
      <c r="BF9" s="66" t="e">
        <f t="shared" si="9"/>
        <v>#DIV/0!</v>
      </c>
      <c r="BG9" s="66" t="e">
        <f t="shared" si="9"/>
        <v>#DIV/0!</v>
      </c>
      <c r="BH9" s="66" t="e">
        <f t="shared" si="9"/>
        <v>#DIV/0!</v>
      </c>
      <c r="BI9" s="66" t="e">
        <f t="shared" si="9"/>
        <v>#DIV/0!</v>
      </c>
      <c r="BJ9" s="66" t="e">
        <f t="shared" si="9"/>
        <v>#DIV/0!</v>
      </c>
      <c r="BK9" s="66" t="e">
        <f t="shared" si="9"/>
        <v>#DIV/0!</v>
      </c>
      <c r="BL9" s="66" t="e">
        <f t="shared" si="9"/>
        <v>#DIV/0!</v>
      </c>
      <c r="BM9" s="66" t="e">
        <f t="shared" si="9"/>
        <v>#DIV/0!</v>
      </c>
      <c r="BN9" s="66" t="e">
        <f t="shared" si="9"/>
        <v>#DIV/0!</v>
      </c>
      <c r="BO9" s="66" t="e">
        <f t="shared" si="9"/>
        <v>#DIV/0!</v>
      </c>
      <c r="BP9" s="66" t="e">
        <f t="shared" si="9"/>
        <v>#DIV/0!</v>
      </c>
      <c r="BQ9" s="66" t="e">
        <f t="shared" si="9"/>
        <v>#DIV/0!</v>
      </c>
      <c r="BR9" s="66" t="e">
        <f t="shared" ref="BR9:CK9" si="10">(BR7-BV7)/BV7</f>
        <v>#DIV/0!</v>
      </c>
      <c r="BS9" s="66" t="e">
        <f t="shared" si="10"/>
        <v>#DIV/0!</v>
      </c>
      <c r="BT9" s="66" t="e">
        <f t="shared" si="10"/>
        <v>#DIV/0!</v>
      </c>
      <c r="BU9" s="66" t="e">
        <f t="shared" si="10"/>
        <v>#DIV/0!</v>
      </c>
      <c r="BV9" s="66" t="e">
        <f t="shared" si="10"/>
        <v>#DIV/0!</v>
      </c>
      <c r="BW9" s="66" t="e">
        <f t="shared" si="10"/>
        <v>#DIV/0!</v>
      </c>
      <c r="BX9" s="66" t="e">
        <f t="shared" si="10"/>
        <v>#DIV/0!</v>
      </c>
      <c r="BY9" s="66" t="e">
        <f t="shared" si="10"/>
        <v>#DIV/0!</v>
      </c>
      <c r="BZ9" s="66" t="e">
        <f t="shared" si="10"/>
        <v>#DIV/0!</v>
      </c>
      <c r="CA9" s="66" t="e">
        <f t="shared" si="10"/>
        <v>#DIV/0!</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x14ac:dyDescent="0.25">
      <c r="A10" s="128" t="s">
        <v>359</v>
      </c>
      <c r="E10" s="27">
        <f>股权价值增加表!E8</f>
        <v>370993824.44999999</v>
      </c>
      <c r="F10" s="27">
        <f>股权价值增加表!F8</f>
        <v>276908073.13999999</v>
      </c>
      <c r="G10" s="27">
        <f>股权价值增加表!G8</f>
        <v>174232595.69999999</v>
      </c>
      <c r="H10" s="27">
        <f>股权价值增加表!H8</f>
        <v>66178321.289999999</v>
      </c>
      <c r="I10" s="27">
        <f>股权价值增加表!I8</f>
        <v>255078931.5</v>
      </c>
      <c r="J10" s="27">
        <f>股权价值增加表!J8</f>
        <v>157552322.13</v>
      </c>
      <c r="K10" s="27">
        <f>股权价值增加表!K8</f>
        <v>97314853.769999996</v>
      </c>
      <c r="L10" s="27">
        <f>股权价值增加表!L8</f>
        <v>47522585.770000003</v>
      </c>
      <c r="M10" s="27">
        <f>股权价值增加表!M8</f>
        <v>196876622.43000001</v>
      </c>
      <c r="N10" s="27">
        <f>股权价值增加表!N8</f>
        <v>119875085.67</v>
      </c>
      <c r="O10" s="27">
        <f>股权价值增加表!O8</f>
        <v>70718619.5</v>
      </c>
      <c r="P10" s="27">
        <f>股权价值增加表!P8</f>
        <v>32784165.09</v>
      </c>
      <c r="Q10" s="27">
        <f>股权价值增加表!Q8</f>
        <v>151694130.11000001</v>
      </c>
      <c r="R10" s="27">
        <f>股权价值增加表!R8</f>
        <v>100473866.06</v>
      </c>
      <c r="S10" s="27">
        <f>股权价值增加表!S8</f>
        <v>62188690.600000001</v>
      </c>
      <c r="T10" s="27">
        <f>股权价值增加表!T8</f>
        <v>27607191.579999998</v>
      </c>
      <c r="U10" s="27">
        <f>股权价值增加表!U8</f>
        <v>115109356.91</v>
      </c>
      <c r="V10" s="27">
        <f>股权价值增加表!V8</f>
        <v>63767866.359999999</v>
      </c>
      <c r="W10" s="27">
        <f>股权价值增加表!W8</f>
        <v>36615084.299999997</v>
      </c>
      <c r="X10" s="27">
        <f>股权价值增加表!X8</f>
        <v>13080153.029999999</v>
      </c>
      <c r="Y10" s="27">
        <f>股权价值增加表!Y8</f>
        <v>78067696.25</v>
      </c>
      <c r="Z10" s="27">
        <f>股权价值增加表!Z8</f>
        <v>50082603.920000002</v>
      </c>
      <c r="AA10" s="27">
        <f>股权价值增加表!AA8</f>
        <v>29124088.649999999</v>
      </c>
      <c r="AB10" s="27">
        <f>股权价值增加表!AB8</f>
        <v>11502675.789999999</v>
      </c>
      <c r="AC10" s="27">
        <f>股权价值增加表!AC8</f>
        <v>51909257.399999999</v>
      </c>
      <c r="AD10" s="27">
        <f>股权价值增加表!AD8</f>
        <v>33688420.700000003</v>
      </c>
      <c r="AE10" s="27">
        <f>股权价值增加表!AE8</f>
        <v>20938376.780000001</v>
      </c>
      <c r="AF10" s="27">
        <f>股权价值增加表!AF8</f>
        <v>10335864.6</v>
      </c>
      <c r="AG10" s="27">
        <f>股权价值增加表!AG8</f>
        <v>10293468.73</v>
      </c>
      <c r="AH10" s="27">
        <f>股权价值增加表!AH8</f>
        <v>3272077.62</v>
      </c>
      <c r="AI10" s="27">
        <f>股权价值增加表!AI8</f>
        <v>2047965.07</v>
      </c>
      <c r="AJ10" s="27">
        <f>股权价值增加表!AJ8</f>
        <v>886914.7</v>
      </c>
      <c r="AK10" s="27">
        <f>股权价值增加表!AK8</f>
        <v>3317474.88</v>
      </c>
      <c r="AL10" s="27">
        <f>股权价值增加表!AL8</f>
        <v>2289914.11</v>
      </c>
      <c r="AM10" s="27">
        <f>股权价值增加表!AM8</f>
        <v>1521752.92</v>
      </c>
      <c r="AN10" s="27">
        <f>股权价值增加表!AN8</f>
        <v>843042.51</v>
      </c>
      <c r="AO10" s="27">
        <f>股权价值增加表!AO8</f>
        <v>3163455.71</v>
      </c>
      <c r="AP10" s="27">
        <f>股权价值增加表!AP8</f>
        <v>1272560.1000000001</v>
      </c>
      <c r="AQ10" s="27">
        <f>股权价值增加表!AQ8</f>
        <v>0</v>
      </c>
      <c r="AR10" s="27">
        <f>股权价值增加表!AR8</f>
        <v>0</v>
      </c>
      <c r="AS10" s="27">
        <f>股权价值增加表!AS8</f>
        <v>0</v>
      </c>
      <c r="AT10" s="27">
        <f>股权价值增加表!AT8</f>
        <v>0</v>
      </c>
      <c r="AU10" s="27">
        <f>股权价值增加表!AU8</f>
        <v>0</v>
      </c>
      <c r="AV10" s="27">
        <f>股权价值增加表!AV8</f>
        <v>0</v>
      </c>
      <c r="AW10" s="27">
        <f>股权价值增加表!AW8</f>
        <v>0</v>
      </c>
      <c r="AX10" s="27">
        <f>股权价值增加表!AX8</f>
        <v>0</v>
      </c>
      <c r="AY10" s="27">
        <f>股权价值增加表!AY8</f>
        <v>0</v>
      </c>
      <c r="AZ10" s="27">
        <f>股权价值增加表!AZ8</f>
        <v>0</v>
      </c>
      <c r="BA10" s="27">
        <f>股权价值增加表!BA8</f>
        <v>0</v>
      </c>
      <c r="BB10" s="27">
        <f>股权价值增加表!BB8</f>
        <v>0</v>
      </c>
      <c r="BC10" s="27">
        <f>股权价值增加表!BC8</f>
        <v>0</v>
      </c>
      <c r="BD10" s="27">
        <f>股权价值增加表!BD8</f>
        <v>0</v>
      </c>
      <c r="BE10" s="27">
        <f>股权价值增加表!BE8</f>
        <v>0</v>
      </c>
      <c r="BF10" s="27">
        <f>股权价值增加表!BF8</f>
        <v>0</v>
      </c>
      <c r="BG10" s="27">
        <f>股权价值增加表!BG8</f>
        <v>0</v>
      </c>
      <c r="BH10" s="27">
        <f>股权价值增加表!BH8</f>
        <v>0</v>
      </c>
      <c r="BI10" s="27">
        <f>股权价值增加表!BI8</f>
        <v>0</v>
      </c>
      <c r="BJ10" s="27">
        <f>股权价值增加表!BJ8</f>
        <v>0</v>
      </c>
      <c r="BK10" s="27">
        <f>股权价值增加表!BK8</f>
        <v>0</v>
      </c>
      <c r="BL10" s="27">
        <f>股权价值增加表!BL8</f>
        <v>0</v>
      </c>
      <c r="BM10" s="27">
        <f>股权价值增加表!BM8</f>
        <v>0</v>
      </c>
      <c r="BN10" s="27">
        <f>股权价值增加表!BN8</f>
        <v>0</v>
      </c>
      <c r="BO10" s="27">
        <f>股权价值增加表!BO8</f>
        <v>0</v>
      </c>
      <c r="BP10" s="27">
        <f>股权价值增加表!BP8</f>
        <v>0</v>
      </c>
      <c r="BQ10" s="27">
        <f>股权价值增加表!BQ8</f>
        <v>0</v>
      </c>
      <c r="BR10" s="27">
        <f>股权价值增加表!BR8</f>
        <v>0</v>
      </c>
      <c r="BS10" s="27">
        <f>股权价值增加表!BS8</f>
        <v>0</v>
      </c>
      <c r="BT10" s="27">
        <f>股权价值增加表!BT8</f>
        <v>0</v>
      </c>
      <c r="BU10" s="27">
        <f>股权价值增加表!BU8</f>
        <v>0</v>
      </c>
      <c r="BV10" s="27">
        <f>股权价值增加表!BV8</f>
        <v>0</v>
      </c>
      <c r="BW10" s="27">
        <f>股权价值增加表!BW8</f>
        <v>0</v>
      </c>
      <c r="BX10" s="27">
        <f>股权价值增加表!BX8</f>
        <v>0</v>
      </c>
      <c r="BY10" s="27">
        <f>股权价值增加表!BY8</f>
        <v>0</v>
      </c>
      <c r="BZ10" s="27">
        <f>股权价值增加表!BZ8</f>
        <v>0</v>
      </c>
      <c r="CA10" s="27">
        <f>股权价值增加表!CA8</f>
        <v>0</v>
      </c>
      <c r="CB10" s="27">
        <f>股权价值增加表!CB8</f>
        <v>0</v>
      </c>
      <c r="CC10" s="27">
        <f>股权价值增加表!CC8</f>
        <v>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360</v>
      </c>
      <c r="E11" s="57">
        <f>E10/E2</f>
        <v>8.853110733914607E-3</v>
      </c>
      <c r="F11" s="57">
        <f t="shared" ref="F11:BQ11" si="11">F10/F2</f>
        <v>9.9859591755459155E-3</v>
      </c>
      <c r="G11" s="57">
        <f t="shared" si="11"/>
        <v>1.0593231479668364E-2</v>
      </c>
      <c r="H11" s="57">
        <f t="shared" si="11"/>
        <v>9.3953596611976945E-3</v>
      </c>
      <c r="I11" s="57">
        <f t="shared" si="11"/>
        <v>7.9901880943891255E-3</v>
      </c>
      <c r="J11" s="57">
        <f t="shared" si="11"/>
        <v>7.4540512117902621E-3</v>
      </c>
      <c r="K11" s="57">
        <f t="shared" si="11"/>
        <v>7.7552847140866486E-3</v>
      </c>
      <c r="L11" s="57">
        <f t="shared" si="11"/>
        <v>9.1394678142132108E-3</v>
      </c>
      <c r="M11" s="57">
        <f t="shared" si="11"/>
        <v>7.790494321836791E-3</v>
      </c>
      <c r="N11" s="57">
        <f t="shared" si="11"/>
        <v>7.1877733659995169E-3</v>
      </c>
      <c r="O11" s="57">
        <f t="shared" si="11"/>
        <v>7.2188510024086845E-3</v>
      </c>
      <c r="P11" s="57">
        <f t="shared" si="11"/>
        <v>7.6456557822048568E-3</v>
      </c>
      <c r="Q11" s="57">
        <f t="shared" si="11"/>
        <v>8.8024793382662121E-3</v>
      </c>
      <c r="R11" s="57">
        <f t="shared" si="11"/>
        <v>9.4166518754713654E-3</v>
      </c>
      <c r="S11" s="57">
        <f t="shared" si="11"/>
        <v>1.03371208186604E-2</v>
      </c>
      <c r="T11" s="57">
        <f t="shared" si="11"/>
        <v>1.0640006644668755E-2</v>
      </c>
      <c r="U11" s="57">
        <f t="shared" si="11"/>
        <v>1.071192561911701E-2</v>
      </c>
      <c r="V11" s="57">
        <f t="shared" si="11"/>
        <v>9.2950696732224895E-3</v>
      </c>
      <c r="W11" s="57">
        <f t="shared" si="11"/>
        <v>9.3678388752454298E-3</v>
      </c>
      <c r="X11" s="57">
        <f t="shared" si="11"/>
        <v>7.7063213855542564E-3</v>
      </c>
      <c r="Y11" s="57">
        <f t="shared" si="11"/>
        <v>1.0822009204329311E-2</v>
      </c>
      <c r="Z11" s="57">
        <f t="shared" si="11"/>
        <v>1.0438557128357425E-2</v>
      </c>
      <c r="AA11" s="57">
        <f t="shared" si="11"/>
        <v>1.0332529409932059E-2</v>
      </c>
      <c r="AB11" s="57">
        <f t="shared" si="11"/>
        <v>8.8983259381106364E-3</v>
      </c>
      <c r="AC11" s="57">
        <f t="shared" si="11"/>
        <v>9.9221773445471086E-3</v>
      </c>
      <c r="AD11" s="57">
        <f t="shared" si="11"/>
        <v>9.7558328323771263E-3</v>
      </c>
      <c r="AE11" s="57">
        <f t="shared" si="11"/>
        <v>1.0058408317088895E-2</v>
      </c>
      <c r="AF11" s="57">
        <f t="shared" si="11"/>
        <v>1.1114876395190676E-2</v>
      </c>
      <c r="AG11" s="57">
        <f t="shared" si="11"/>
        <v>2.8549531492611971E-3</v>
      </c>
      <c r="AH11" s="57">
        <f t="shared" si="11"/>
        <v>1.3673101720099374E-3</v>
      </c>
      <c r="AI11" s="57">
        <f t="shared" si="11"/>
        <v>1.4604281472735679E-3</v>
      </c>
      <c r="AJ11" s="57">
        <f t="shared" si="11"/>
        <v>1.2904236025628449E-3</v>
      </c>
      <c r="AK11" s="57">
        <f t="shared" si="11"/>
        <v>1.5786124513142235E-3</v>
      </c>
      <c r="AL11" s="57">
        <f t="shared" si="11"/>
        <v>1.5940119597106508E-3</v>
      </c>
      <c r="AM11" s="57">
        <f t="shared" si="11"/>
        <v>1.8185307079832107E-3</v>
      </c>
      <c r="AN11" s="57">
        <f t="shared" si="11"/>
        <v>2.0915761216061452E-3</v>
      </c>
      <c r="AO11" s="57">
        <f t="shared" si="11"/>
        <v>1.8154993488033154E-3</v>
      </c>
      <c r="AP11" s="57">
        <f t="shared" si="11"/>
        <v>1.0743310839928814E-3</v>
      </c>
      <c r="AQ11" s="57" t="e">
        <f t="shared" si="11"/>
        <v>#DIV/0!</v>
      </c>
      <c r="AR11" s="57" t="e">
        <f t="shared" si="11"/>
        <v>#DIV/0!</v>
      </c>
      <c r="AS11" s="57" t="e">
        <f t="shared" si="11"/>
        <v>#DIV/0!</v>
      </c>
      <c r="AT11" s="57" t="e">
        <f t="shared" si="11"/>
        <v>#DIV/0!</v>
      </c>
      <c r="AU11" s="57" t="e">
        <f t="shared" si="11"/>
        <v>#DIV/0!</v>
      </c>
      <c r="AV11" s="57" t="e">
        <f t="shared" si="11"/>
        <v>#DIV/0!</v>
      </c>
      <c r="AW11" s="57" t="e">
        <f t="shared" si="11"/>
        <v>#DIV/0!</v>
      </c>
      <c r="AX11" s="57" t="e">
        <f t="shared" si="11"/>
        <v>#DIV/0!</v>
      </c>
      <c r="AY11" s="57" t="e">
        <f t="shared" si="11"/>
        <v>#DIV/0!</v>
      </c>
      <c r="AZ11" s="57" t="e">
        <f t="shared" si="11"/>
        <v>#DIV/0!</v>
      </c>
      <c r="BA11" s="57" t="e">
        <f t="shared" si="11"/>
        <v>#DIV/0!</v>
      </c>
      <c r="BB11" s="57" t="e">
        <f t="shared" si="11"/>
        <v>#DIV/0!</v>
      </c>
      <c r="BC11" s="57" t="e">
        <f t="shared" si="11"/>
        <v>#DIV/0!</v>
      </c>
      <c r="BD11" s="57" t="e">
        <f t="shared" si="11"/>
        <v>#DIV/0!</v>
      </c>
      <c r="BE11" s="57" t="e">
        <f t="shared" si="11"/>
        <v>#DIV/0!</v>
      </c>
      <c r="BF11" s="57" t="e">
        <f t="shared" si="11"/>
        <v>#DIV/0!</v>
      </c>
      <c r="BG11" s="57" t="e">
        <f t="shared" si="11"/>
        <v>#DIV/0!</v>
      </c>
      <c r="BH11" s="57" t="e">
        <f t="shared" si="11"/>
        <v>#DIV/0!</v>
      </c>
      <c r="BI11" s="57" t="e">
        <f t="shared" si="11"/>
        <v>#DIV/0!</v>
      </c>
      <c r="BJ11" s="57" t="e">
        <f t="shared" si="11"/>
        <v>#DIV/0!</v>
      </c>
      <c r="BK11" s="57" t="e">
        <f t="shared" si="11"/>
        <v>#DIV/0!</v>
      </c>
      <c r="BL11" s="57" t="e">
        <f t="shared" si="11"/>
        <v>#DIV/0!</v>
      </c>
      <c r="BM11" s="57" t="e">
        <f t="shared" si="11"/>
        <v>#DIV/0!</v>
      </c>
      <c r="BN11" s="57" t="e">
        <f t="shared" si="11"/>
        <v>#DIV/0!</v>
      </c>
      <c r="BO11" s="57" t="e">
        <f t="shared" si="11"/>
        <v>#DIV/0!</v>
      </c>
      <c r="BP11" s="57" t="e">
        <f t="shared" si="11"/>
        <v>#DIV/0!</v>
      </c>
      <c r="BQ11" s="57" t="e">
        <f t="shared" si="11"/>
        <v>#DIV/0!</v>
      </c>
      <c r="BR11" s="57" t="e">
        <f t="shared" ref="BR11:CJ11" si="12">BR10/BR2</f>
        <v>#DIV/0!</v>
      </c>
      <c r="BS11" s="57" t="e">
        <f t="shared" si="12"/>
        <v>#DIV/0!</v>
      </c>
      <c r="BT11" s="57" t="e">
        <f t="shared" si="12"/>
        <v>#DIV/0!</v>
      </c>
      <c r="BU11" s="57" t="e">
        <f t="shared" si="12"/>
        <v>#DIV/0!</v>
      </c>
      <c r="BV11" s="57" t="e">
        <f t="shared" si="12"/>
        <v>#DIV/0!</v>
      </c>
      <c r="BW11" s="57" t="e">
        <f t="shared" si="12"/>
        <v>#DIV/0!</v>
      </c>
      <c r="BX11" s="57" t="e">
        <f t="shared" si="12"/>
        <v>#DIV/0!</v>
      </c>
      <c r="BY11" s="57" t="e">
        <f t="shared" si="12"/>
        <v>#DIV/0!</v>
      </c>
      <c r="BZ11" s="57" t="e">
        <f t="shared" si="12"/>
        <v>#DIV/0!</v>
      </c>
      <c r="CA11" s="57" t="e">
        <f t="shared" si="12"/>
        <v>#DIV/0!</v>
      </c>
      <c r="CB11" s="57" t="e">
        <f t="shared" si="12"/>
        <v>#DIV/0!</v>
      </c>
      <c r="CC11" s="57" t="e">
        <f t="shared" si="12"/>
        <v>#DIV/0!</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x14ac:dyDescent="0.25">
      <c r="A12" s="128" t="s">
        <v>361</v>
      </c>
      <c r="E12" s="27">
        <f>股权价值增加表!E9</f>
        <v>4430220065.1300001</v>
      </c>
      <c r="F12" s="27">
        <f>股权价值增加表!F9</f>
        <v>2960426405.5999999</v>
      </c>
      <c r="G12" s="27">
        <f>股权价值增加表!G9</f>
        <v>1726924956.22</v>
      </c>
      <c r="H12" s="27">
        <f>股权价值增加表!H9</f>
        <v>700619566.14999998</v>
      </c>
      <c r="I12" s="27">
        <f>股权价值增加表!I9</f>
        <v>2991273819.8099999</v>
      </c>
      <c r="J12" s="27">
        <f>股权价值增加表!J9</f>
        <v>2007702021.3099999</v>
      </c>
      <c r="K12" s="27">
        <f>股权价值增加表!K9</f>
        <v>1211831544.28</v>
      </c>
      <c r="L12" s="27">
        <f>股权价值增加表!L9</f>
        <v>520294932.05000001</v>
      </c>
      <c r="M12" s="27">
        <f>股权价值增加表!M9</f>
        <v>2179045314.71</v>
      </c>
      <c r="N12" s="27">
        <f>股权价值增加表!N9</f>
        <v>1446377402.1199999</v>
      </c>
      <c r="O12" s="27">
        <f>股权价值增加表!O9</f>
        <v>913527801.58000004</v>
      </c>
      <c r="P12" s="27">
        <f>股权价值增加表!P9</f>
        <v>428031683.13999999</v>
      </c>
      <c r="Q12" s="27">
        <f>股权价值增加表!Q9</f>
        <v>1533250114.26</v>
      </c>
      <c r="R12" s="27">
        <f>股权价值增加表!R9</f>
        <v>1046928112.37</v>
      </c>
      <c r="S12" s="27">
        <f>股权价值增加表!S9</f>
        <v>645126817.09000003</v>
      </c>
      <c r="T12" s="27">
        <f>股权价值增加表!T9</f>
        <v>261613832.13999999</v>
      </c>
      <c r="U12" s="27">
        <f>股权价值增加表!U9</f>
        <v>927426449.51999998</v>
      </c>
      <c r="V12" s="27">
        <f>股权价值增加表!V9</f>
        <v>683757988.33000004</v>
      </c>
      <c r="W12" s="27">
        <f>股权价值增加表!W9</f>
        <v>418855245.33999997</v>
      </c>
      <c r="X12" s="27">
        <f>股权价值增加表!X9</f>
        <v>175978641.00999999</v>
      </c>
      <c r="Y12" s="27">
        <f>股权价值增加表!Y9</f>
        <v>731872615.79999995</v>
      </c>
      <c r="Z12" s="27">
        <f>股权价值增加表!Z9</f>
        <v>575914393.08000004</v>
      </c>
      <c r="AA12" s="27">
        <f>股权价值增加表!AA9</f>
        <v>335648461.39999998</v>
      </c>
      <c r="AB12" s="27">
        <f>股权价值增加表!AB9</f>
        <v>150137800.27000001</v>
      </c>
      <c r="AC12" s="27">
        <f>股权价值增加表!AC9</f>
        <v>625552479.17999995</v>
      </c>
      <c r="AD12" s="27">
        <f>股权价值增加表!AD9</f>
        <v>431972473.22000003</v>
      </c>
      <c r="AE12" s="27">
        <f>股权价值增加表!AE9</f>
        <v>267129765.16</v>
      </c>
      <c r="AF12" s="27">
        <f>股权价值增加表!AF9</f>
        <v>103932820.8</v>
      </c>
      <c r="AG12" s="27">
        <f>股权价值增加表!AG9</f>
        <v>464914629.86000001</v>
      </c>
      <c r="AH12" s="27">
        <f>股权价值增加表!AH9</f>
        <v>274116683.08999997</v>
      </c>
      <c r="AI12" s="27">
        <f>股权价值增加表!AI9</f>
        <v>167302097.61000001</v>
      </c>
      <c r="AJ12" s="27">
        <f>股权价值增加表!AJ9</f>
        <v>74114125.689999998</v>
      </c>
      <c r="AK12" s="27">
        <f>股权价值增加表!AK9</f>
        <v>226804562.78999999</v>
      </c>
      <c r="AL12" s="27">
        <f>股权价值增加表!AL9</f>
        <v>156827955.06999999</v>
      </c>
      <c r="AM12" s="27">
        <f>股权价值增加表!AM9</f>
        <v>104909623.48999999</v>
      </c>
      <c r="AN12" s="27">
        <f>股权价值增加表!AN9</f>
        <v>49107483.899999999</v>
      </c>
      <c r="AO12" s="27">
        <f>股权价值增加表!AO9</f>
        <v>190881516.88999999</v>
      </c>
      <c r="AP12" s="27">
        <f>股权价值增加表!AP9</f>
        <v>117771764.23</v>
      </c>
      <c r="AQ12" s="27">
        <f>股权价值增加表!AQ9</f>
        <v>0</v>
      </c>
      <c r="AR12" s="27">
        <f>股权价值增加表!AR9</f>
        <v>0</v>
      </c>
      <c r="AS12" s="27">
        <f>股权价值增加表!AS9</f>
        <v>0</v>
      </c>
      <c r="AT12" s="27">
        <f>股权价值增加表!AT9</f>
        <v>0</v>
      </c>
      <c r="AU12" s="27">
        <f>股权价值增加表!AU9</f>
        <v>0</v>
      </c>
      <c r="AV12" s="27">
        <f>股权价值增加表!AV9</f>
        <v>0</v>
      </c>
      <c r="AW12" s="27">
        <f>股权价值增加表!AW9</f>
        <v>0</v>
      </c>
      <c r="AX12" s="27">
        <f>股权价值增加表!AX9</f>
        <v>0</v>
      </c>
      <c r="AY12" s="27">
        <f>股权价值增加表!AY9</f>
        <v>0</v>
      </c>
      <c r="AZ12" s="27">
        <f>股权价值增加表!AZ9</f>
        <v>0</v>
      </c>
      <c r="BA12" s="27">
        <f>股权价值增加表!BA9</f>
        <v>0</v>
      </c>
      <c r="BB12" s="27">
        <f>股权价值增加表!BB9</f>
        <v>0</v>
      </c>
      <c r="BC12" s="27">
        <f>股权价值增加表!BC9</f>
        <v>0</v>
      </c>
      <c r="BD12" s="27">
        <f>股权价值增加表!BD9</f>
        <v>0</v>
      </c>
      <c r="BE12" s="27">
        <f>股权价值增加表!BE9</f>
        <v>0</v>
      </c>
      <c r="BF12" s="27">
        <f>股权价值增加表!BF9</f>
        <v>0</v>
      </c>
      <c r="BG12" s="27">
        <f>股权价值增加表!BG9</f>
        <v>0</v>
      </c>
      <c r="BH12" s="27">
        <f>股权价值增加表!BH9</f>
        <v>0</v>
      </c>
      <c r="BI12" s="27">
        <f>股权价值增加表!BI9</f>
        <v>0</v>
      </c>
      <c r="BJ12" s="27">
        <f>股权价值增加表!BJ9</f>
        <v>0</v>
      </c>
      <c r="BK12" s="27">
        <f>股权价值增加表!BK9</f>
        <v>0</v>
      </c>
      <c r="BL12" s="27">
        <f>股权价值增加表!BL9</f>
        <v>0</v>
      </c>
      <c r="BM12" s="27">
        <f>股权价值增加表!BM9</f>
        <v>0</v>
      </c>
      <c r="BN12" s="27">
        <f>股权价值增加表!BN9</f>
        <v>0</v>
      </c>
      <c r="BO12" s="27">
        <f>股权价值增加表!BO9</f>
        <v>0</v>
      </c>
      <c r="BP12" s="27">
        <f>股权价值增加表!BP9</f>
        <v>0</v>
      </c>
      <c r="BQ12" s="27">
        <f>股权价值增加表!BQ9</f>
        <v>0</v>
      </c>
      <c r="BR12" s="27">
        <f>股权价值增加表!BR9</f>
        <v>0</v>
      </c>
      <c r="BS12" s="27">
        <f>股权价值增加表!BS9</f>
        <v>0</v>
      </c>
      <c r="BT12" s="27">
        <f>股权价值增加表!BT9</f>
        <v>0</v>
      </c>
      <c r="BU12" s="27">
        <f>股权价值增加表!BU9</f>
        <v>0</v>
      </c>
      <c r="BV12" s="27">
        <f>股权价值增加表!BV9</f>
        <v>0</v>
      </c>
      <c r="BW12" s="27">
        <f>股权价值增加表!BW9</f>
        <v>0</v>
      </c>
      <c r="BX12" s="27">
        <f>股权价值增加表!BX9</f>
        <v>0</v>
      </c>
      <c r="BY12" s="27">
        <f>股权价值增加表!BY9</f>
        <v>0</v>
      </c>
      <c r="BZ12" s="27">
        <f>股权价值增加表!BZ9</f>
        <v>0</v>
      </c>
      <c r="CA12" s="27">
        <f>股权价值增加表!CA9</f>
        <v>0</v>
      </c>
      <c r="CB12" s="27">
        <f>股权价值增加表!CB9</f>
        <v>0</v>
      </c>
      <c r="CC12" s="27">
        <f>股权价值增加表!CC9</f>
        <v>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362</v>
      </c>
      <c r="E13" s="57">
        <f>E12/E2</f>
        <v>0.10571935764793908</v>
      </c>
      <c r="F13" s="57">
        <f t="shared" ref="F13:BQ13" si="13">F12/F2</f>
        <v>0.10675996872645653</v>
      </c>
      <c r="G13" s="57">
        <f t="shared" si="13"/>
        <v>0.10499594370248264</v>
      </c>
      <c r="H13" s="57">
        <f t="shared" si="13"/>
        <v>9.946720740778614E-2</v>
      </c>
      <c r="I13" s="57">
        <f t="shared" si="13"/>
        <v>9.3699782736089046E-2</v>
      </c>
      <c r="J13" s="57">
        <f t="shared" si="13"/>
        <v>9.4987579253266605E-2</v>
      </c>
      <c r="K13" s="57">
        <f t="shared" si="13"/>
        <v>9.6574143487023617E-2</v>
      </c>
      <c r="L13" s="57">
        <f t="shared" si="13"/>
        <v>0.10006229055766348</v>
      </c>
      <c r="M13" s="57">
        <f t="shared" si="13"/>
        <v>8.6225779078006701E-2</v>
      </c>
      <c r="N13" s="57">
        <f t="shared" si="13"/>
        <v>8.6725551936297593E-2</v>
      </c>
      <c r="O13" s="57">
        <f t="shared" si="13"/>
        <v>9.3251552883664324E-2</v>
      </c>
      <c r="P13" s="57">
        <f t="shared" si="13"/>
        <v>9.9822060564367973E-2</v>
      </c>
      <c r="Q13" s="57">
        <f t="shared" si="13"/>
        <v>8.8971158220697996E-2</v>
      </c>
      <c r="R13" s="57">
        <f t="shared" si="13"/>
        <v>9.8120615433922101E-2</v>
      </c>
      <c r="S13" s="57">
        <f t="shared" si="13"/>
        <v>0.10723418980648483</v>
      </c>
      <c r="T13" s="57">
        <f t="shared" si="13"/>
        <v>0.10082781887612982</v>
      </c>
      <c r="U13" s="57">
        <f t="shared" si="13"/>
        <v>8.6305087710875444E-2</v>
      </c>
      <c r="V13" s="57">
        <f t="shared" si="13"/>
        <v>9.9667410938128823E-2</v>
      </c>
      <c r="W13" s="57">
        <f t="shared" si="13"/>
        <v>0.10716262232930363</v>
      </c>
      <c r="X13" s="57">
        <f t="shared" si="13"/>
        <v>0.10367982404378172</v>
      </c>
      <c r="Y13" s="57">
        <f t="shared" si="13"/>
        <v>0.10145466774401159</v>
      </c>
      <c r="Z13" s="57">
        <f t="shared" si="13"/>
        <v>0.1200359969863339</v>
      </c>
      <c r="AA13" s="57">
        <f t="shared" si="13"/>
        <v>0.11908003853758169</v>
      </c>
      <c r="AB13" s="57">
        <f t="shared" si="13"/>
        <v>0.11614472204761804</v>
      </c>
      <c r="AC13" s="57">
        <f t="shared" si="13"/>
        <v>0.1195710158000656</v>
      </c>
      <c r="AD13" s="57">
        <f t="shared" si="13"/>
        <v>0.12509494803722943</v>
      </c>
      <c r="AE13" s="57">
        <f t="shared" si="13"/>
        <v>0.12832419054536409</v>
      </c>
      <c r="AF13" s="57">
        <f t="shared" si="13"/>
        <v>0.11176621417771887</v>
      </c>
      <c r="AG13" s="57">
        <f t="shared" si="13"/>
        <v>0.12894676434854344</v>
      </c>
      <c r="AH13" s="57">
        <f t="shared" si="13"/>
        <v>0.11454573290549916</v>
      </c>
      <c r="AI13" s="57">
        <f t="shared" si="13"/>
        <v>0.11930510731198844</v>
      </c>
      <c r="AJ13" s="57">
        <f t="shared" si="13"/>
        <v>0.10783293711749878</v>
      </c>
      <c r="AK13" s="57">
        <f t="shared" si="13"/>
        <v>0.10792440629879695</v>
      </c>
      <c r="AL13" s="57">
        <f t="shared" si="13"/>
        <v>0.10916812770700146</v>
      </c>
      <c r="AM13" s="57">
        <f t="shared" si="13"/>
        <v>0.12536947974413729</v>
      </c>
      <c r="AN13" s="57">
        <f t="shared" si="13"/>
        <v>0.12183494841487674</v>
      </c>
      <c r="AO13" s="57">
        <f t="shared" si="13"/>
        <v>0.10954642687644393</v>
      </c>
      <c r="AP13" s="57">
        <f t="shared" si="13"/>
        <v>9.9426240952368336E-2</v>
      </c>
      <c r="AQ13" s="57" t="e">
        <f t="shared" si="13"/>
        <v>#DIV/0!</v>
      </c>
      <c r="AR13" s="57" t="e">
        <f t="shared" si="13"/>
        <v>#DIV/0!</v>
      </c>
      <c r="AS13" s="57" t="e">
        <f t="shared" si="13"/>
        <v>#DIV/0!</v>
      </c>
      <c r="AT13" s="57" t="e">
        <f t="shared" si="13"/>
        <v>#DIV/0!</v>
      </c>
      <c r="AU13" s="57" t="e">
        <f t="shared" si="13"/>
        <v>#DIV/0!</v>
      </c>
      <c r="AV13" s="57" t="e">
        <f t="shared" si="13"/>
        <v>#DIV/0!</v>
      </c>
      <c r="AW13" s="57" t="e">
        <f t="shared" si="13"/>
        <v>#DIV/0!</v>
      </c>
      <c r="AX13" s="57" t="e">
        <f t="shared" si="13"/>
        <v>#DIV/0!</v>
      </c>
      <c r="AY13" s="57" t="e">
        <f t="shared" si="13"/>
        <v>#DIV/0!</v>
      </c>
      <c r="AZ13" s="57" t="e">
        <f t="shared" si="13"/>
        <v>#DIV/0!</v>
      </c>
      <c r="BA13" s="57" t="e">
        <f t="shared" si="13"/>
        <v>#DIV/0!</v>
      </c>
      <c r="BB13" s="57" t="e">
        <f t="shared" si="13"/>
        <v>#DIV/0!</v>
      </c>
      <c r="BC13" s="57" t="e">
        <f t="shared" si="13"/>
        <v>#DIV/0!</v>
      </c>
      <c r="BD13" s="57" t="e">
        <f t="shared" si="13"/>
        <v>#DIV/0!</v>
      </c>
      <c r="BE13" s="57" t="e">
        <f t="shared" si="13"/>
        <v>#DIV/0!</v>
      </c>
      <c r="BF13" s="57" t="e">
        <f t="shared" si="13"/>
        <v>#DIV/0!</v>
      </c>
      <c r="BG13" s="57" t="e">
        <f t="shared" si="13"/>
        <v>#DIV/0!</v>
      </c>
      <c r="BH13" s="57" t="e">
        <f t="shared" si="13"/>
        <v>#DIV/0!</v>
      </c>
      <c r="BI13" s="57" t="e">
        <f t="shared" si="13"/>
        <v>#DIV/0!</v>
      </c>
      <c r="BJ13" s="57" t="e">
        <f t="shared" si="13"/>
        <v>#DIV/0!</v>
      </c>
      <c r="BK13" s="57" t="e">
        <f t="shared" si="13"/>
        <v>#DIV/0!</v>
      </c>
      <c r="BL13" s="57" t="e">
        <f t="shared" si="13"/>
        <v>#DIV/0!</v>
      </c>
      <c r="BM13" s="57" t="e">
        <f t="shared" si="13"/>
        <v>#DIV/0!</v>
      </c>
      <c r="BN13" s="57" t="e">
        <f t="shared" si="13"/>
        <v>#DIV/0!</v>
      </c>
      <c r="BO13" s="57" t="e">
        <f t="shared" si="13"/>
        <v>#DIV/0!</v>
      </c>
      <c r="BP13" s="57" t="e">
        <f t="shared" si="13"/>
        <v>#DIV/0!</v>
      </c>
      <c r="BQ13" s="57" t="e">
        <f t="shared" si="13"/>
        <v>#DIV/0!</v>
      </c>
      <c r="BR13" s="57" t="e">
        <f t="shared" ref="BR13:CJ13" si="14">BR12/BR2</f>
        <v>#DIV/0!</v>
      </c>
      <c r="BS13" s="57" t="e">
        <f t="shared" si="14"/>
        <v>#DIV/0!</v>
      </c>
      <c r="BT13" s="57" t="e">
        <f t="shared" si="14"/>
        <v>#DIV/0!</v>
      </c>
      <c r="BU13" s="57" t="e">
        <f t="shared" si="14"/>
        <v>#DIV/0!</v>
      </c>
      <c r="BV13" s="57" t="e">
        <f t="shared" si="14"/>
        <v>#DIV/0!</v>
      </c>
      <c r="BW13" s="57" t="e">
        <f t="shared" si="14"/>
        <v>#DIV/0!</v>
      </c>
      <c r="BX13" s="57" t="e">
        <f t="shared" si="14"/>
        <v>#DIV/0!</v>
      </c>
      <c r="BY13" s="57" t="e">
        <f t="shared" si="14"/>
        <v>#DIV/0!</v>
      </c>
      <c r="BZ13" s="57" t="e">
        <f t="shared" si="14"/>
        <v>#DIV/0!</v>
      </c>
      <c r="CA13" s="57" t="e">
        <f t="shared" si="14"/>
        <v>#DIV/0!</v>
      </c>
      <c r="CB13" s="57" t="e">
        <f t="shared" si="14"/>
        <v>#DIV/0!</v>
      </c>
      <c r="CC13" s="57" t="e">
        <f t="shared" si="14"/>
        <v>#DIV/0!</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x14ac:dyDescent="0.25">
      <c r="A14" s="128" t="s">
        <v>363</v>
      </c>
      <c r="E14" s="26">
        <f>股权价值增加表!E10</f>
        <v>4205437565.4499998</v>
      </c>
      <c r="F14" s="26">
        <f>股权价值增加表!F10</f>
        <v>2862065389.8400002</v>
      </c>
      <c r="G14" s="26">
        <f>股权价值增加表!G10</f>
        <v>1761709877.1300001</v>
      </c>
      <c r="H14" s="26">
        <f>股权价值增加表!H10</f>
        <v>747817353.51999998</v>
      </c>
      <c r="I14" s="26">
        <f>股权价值增加表!I10</f>
        <v>3106761432.9400001</v>
      </c>
      <c r="J14" s="26">
        <f>股权价值增加表!J10</f>
        <v>2123824265.51</v>
      </c>
      <c r="K14" s="26">
        <f>股权价值增加表!K10</f>
        <v>1270629581.95</v>
      </c>
      <c r="L14" s="26">
        <f>股权价值增加表!L10</f>
        <v>520661382.88999999</v>
      </c>
      <c r="M14" s="26">
        <f>股权价值增加表!M10</f>
        <v>2211221871.1500001</v>
      </c>
      <c r="N14" s="26">
        <f>股权价值增加表!N10</f>
        <v>1599941807.8499999</v>
      </c>
      <c r="O14" s="26">
        <f>股权价值增加表!O10</f>
        <v>994900083.46000004</v>
      </c>
      <c r="P14" s="26">
        <f>股权价值增加表!P10</f>
        <v>422461730.31999999</v>
      </c>
      <c r="Q14" s="26">
        <f>股权价值增加表!Q10</f>
        <v>1645518222.73</v>
      </c>
      <c r="R14" s="26">
        <f>股权价值增加表!R10</f>
        <v>1181965027.46</v>
      </c>
      <c r="S14" s="26">
        <f>股权价值增加表!S10</f>
        <v>688030171.40999997</v>
      </c>
      <c r="T14" s="26">
        <f>股权价值增加表!T10</f>
        <v>283729975.93000001</v>
      </c>
      <c r="U14" s="26">
        <f>股权价值增加表!U10</f>
        <v>1095698834.46</v>
      </c>
      <c r="V14" s="26">
        <f>股权价值增加表!V10</f>
        <v>743303671.50999999</v>
      </c>
      <c r="W14" s="26">
        <f>股权价值增加表!W10</f>
        <v>418586961.36000001</v>
      </c>
      <c r="X14" s="26">
        <f>股权价值增加表!X10</f>
        <v>185628502.99000001</v>
      </c>
      <c r="Y14" s="26">
        <f>股权价值增加表!Y10</f>
        <v>770532075.27999997</v>
      </c>
      <c r="Z14" s="26">
        <f>股权价值增加表!Z10</f>
        <v>475099388.19</v>
      </c>
      <c r="AA14" s="26">
        <f>股权价值增加表!AA10</f>
        <v>274578299.18000001</v>
      </c>
      <c r="AB14" s="26">
        <f>股权价值增加表!AB10</f>
        <v>122625833.27</v>
      </c>
      <c r="AC14" s="26">
        <f>股权价值增加表!AC10</f>
        <v>502992679.58999997</v>
      </c>
      <c r="AD14" s="26">
        <f>股权价值增加表!AD10</f>
        <v>328771758.27999997</v>
      </c>
      <c r="AE14" s="26">
        <f>股权价值增加表!AE10</f>
        <v>203447348.58000001</v>
      </c>
      <c r="AF14" s="26">
        <f>股权价值增加表!AF10</f>
        <v>83340672.030000001</v>
      </c>
      <c r="AG14" s="26">
        <f>股权价值增加表!AG10</f>
        <v>373449292.55000001</v>
      </c>
      <c r="AH14" s="26">
        <f>股权价值增加表!AH10</f>
        <v>209246100.88999999</v>
      </c>
      <c r="AI14" s="26">
        <f>股权价值增加表!AI10</f>
        <v>133447973.09999999</v>
      </c>
      <c r="AJ14" s="26">
        <f>股权价值增加表!AJ10</f>
        <v>58617992.060000002</v>
      </c>
      <c r="AK14" s="26">
        <f>股权价值增加表!AK10</f>
        <v>200796259.97999999</v>
      </c>
      <c r="AL14" s="26">
        <f>股权价值增加表!AL10</f>
        <v>132847105.28</v>
      </c>
      <c r="AM14" s="26">
        <f>股权价值增加表!AM10</f>
        <v>86942806.219999999</v>
      </c>
      <c r="AN14" s="26">
        <f>股权价值增加表!AN10</f>
        <v>41422624.090000004</v>
      </c>
      <c r="AO14" s="26">
        <f>股权价值增加表!AO10</f>
        <v>145495368.33000001</v>
      </c>
      <c r="AP14" s="26">
        <f>股权价值增加表!AP10</f>
        <v>97040615.739999995</v>
      </c>
      <c r="AQ14" s="26">
        <f>股权价值增加表!AQ10</f>
        <v>0</v>
      </c>
      <c r="AR14" s="26">
        <f>股权价值增加表!AR10</f>
        <v>0</v>
      </c>
      <c r="AS14" s="26">
        <f>股权价值增加表!AS10</f>
        <v>0</v>
      </c>
      <c r="AT14" s="26">
        <f>股权价值增加表!AT10</f>
        <v>0</v>
      </c>
      <c r="AU14" s="26">
        <f>股权价值增加表!AU10</f>
        <v>0</v>
      </c>
      <c r="AV14" s="26">
        <f>股权价值增加表!AV10</f>
        <v>0</v>
      </c>
      <c r="AW14" s="26">
        <f>股权价值增加表!AW10</f>
        <v>0</v>
      </c>
      <c r="AX14" s="26">
        <f>股权价值增加表!AX10</f>
        <v>0</v>
      </c>
      <c r="AY14" s="26">
        <f>股权价值增加表!AY10</f>
        <v>0</v>
      </c>
      <c r="AZ14" s="26">
        <f>股权价值增加表!AZ10</f>
        <v>0</v>
      </c>
      <c r="BA14" s="26">
        <f>股权价值增加表!BA10</f>
        <v>0</v>
      </c>
      <c r="BB14" s="26">
        <f>股权价值增加表!BB10</f>
        <v>0</v>
      </c>
      <c r="BC14" s="26">
        <f>股权价值增加表!BC10</f>
        <v>0</v>
      </c>
      <c r="BD14" s="26">
        <f>股权价值增加表!BD10</f>
        <v>0</v>
      </c>
      <c r="BE14" s="26">
        <f>股权价值增加表!BE10</f>
        <v>0</v>
      </c>
      <c r="BF14" s="26">
        <f>股权价值增加表!BF10</f>
        <v>0</v>
      </c>
      <c r="BG14" s="26">
        <f>股权价值增加表!BG10</f>
        <v>0</v>
      </c>
      <c r="BH14" s="26">
        <f>股权价值增加表!BH10</f>
        <v>0</v>
      </c>
      <c r="BI14" s="26">
        <f>股权价值增加表!BI10</f>
        <v>0</v>
      </c>
      <c r="BJ14" s="26">
        <f>股权价值增加表!BJ10</f>
        <v>0</v>
      </c>
      <c r="BK14" s="26">
        <f>股权价值增加表!BK10</f>
        <v>0</v>
      </c>
      <c r="BL14" s="26">
        <f>股权价值增加表!BL10</f>
        <v>0</v>
      </c>
      <c r="BM14" s="26">
        <f>股权价值增加表!BM10</f>
        <v>0</v>
      </c>
      <c r="BN14" s="26">
        <f>股权价值增加表!BN10</f>
        <v>0</v>
      </c>
      <c r="BO14" s="26">
        <f>股权价值增加表!BO10</f>
        <v>0</v>
      </c>
      <c r="BP14" s="26">
        <f>股权价值增加表!BP10</f>
        <v>0</v>
      </c>
      <c r="BQ14" s="26">
        <f>股权价值增加表!BQ10</f>
        <v>0</v>
      </c>
      <c r="BR14" s="26">
        <f>股权价值增加表!BR10</f>
        <v>0</v>
      </c>
      <c r="BS14" s="26">
        <f>股权价值增加表!BS10</f>
        <v>0</v>
      </c>
      <c r="BT14" s="26">
        <f>股权价值增加表!BT10</f>
        <v>0</v>
      </c>
      <c r="BU14" s="26">
        <f>股权价值增加表!BU10</f>
        <v>0</v>
      </c>
      <c r="BV14" s="26">
        <f>股权价值增加表!BV10</f>
        <v>0</v>
      </c>
      <c r="BW14" s="26">
        <f>股权价值增加表!BW10</f>
        <v>0</v>
      </c>
      <c r="BX14" s="26">
        <f>股权价值增加表!BX10</f>
        <v>0</v>
      </c>
      <c r="BY14" s="26">
        <f>股权价值增加表!BY10</f>
        <v>0</v>
      </c>
      <c r="BZ14" s="26">
        <f>股权价值增加表!BZ10</f>
        <v>0</v>
      </c>
      <c r="CA14" s="26">
        <f>股权价值增加表!CA10</f>
        <v>0</v>
      </c>
      <c r="CB14" s="26">
        <f>股权价值增加表!CB10</f>
        <v>0</v>
      </c>
      <c r="CC14" s="26">
        <f>股权价值增加表!CC10</f>
        <v>0</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364</v>
      </c>
      <c r="E15" s="57">
        <f>E14/E2</f>
        <v>0.10035532129595023</v>
      </c>
      <c r="F15" s="57">
        <f t="shared" ref="F15:BQ15" si="15">F14/F2</f>
        <v>0.10321283816898813</v>
      </c>
      <c r="G15" s="57">
        <f t="shared" si="15"/>
        <v>0.10711084486504155</v>
      </c>
      <c r="H15" s="57">
        <f t="shared" si="15"/>
        <v>0.10616789396057258</v>
      </c>
      <c r="I15" s="57">
        <f t="shared" si="15"/>
        <v>9.7317360032866868E-2</v>
      </c>
      <c r="J15" s="57">
        <f t="shared" si="15"/>
        <v>0.10048150751400405</v>
      </c>
      <c r="K15" s="57">
        <f t="shared" si="15"/>
        <v>0.1012599186292046</v>
      </c>
      <c r="L15" s="57">
        <f t="shared" si="15"/>
        <v>0.10013276579808665</v>
      </c>
      <c r="M15" s="57">
        <f t="shared" si="15"/>
        <v>8.7499019532602612E-2</v>
      </c>
      <c r="N15" s="57">
        <f t="shared" si="15"/>
        <v>9.5933354702839202E-2</v>
      </c>
      <c r="O15" s="57">
        <f t="shared" si="15"/>
        <v>0.10155791382185714</v>
      </c>
      <c r="P15" s="57">
        <f t="shared" si="15"/>
        <v>9.8523081564355824E-2</v>
      </c>
      <c r="Q15" s="57">
        <f t="shared" si="15"/>
        <v>9.5485831559981402E-2</v>
      </c>
      <c r="R15" s="57">
        <f t="shared" si="15"/>
        <v>0.11077659921960381</v>
      </c>
      <c r="S15" s="57">
        <f t="shared" si="15"/>
        <v>0.11436566584903773</v>
      </c>
      <c r="T15" s="57">
        <f t="shared" si="15"/>
        <v>0.10935153691525569</v>
      </c>
      <c r="U15" s="57">
        <f t="shared" si="15"/>
        <v>0.10196429491709791</v>
      </c>
      <c r="V15" s="57">
        <f t="shared" si="15"/>
        <v>0.10834703761362501</v>
      </c>
      <c r="W15" s="57">
        <f t="shared" si="15"/>
        <v>0.10709398282879456</v>
      </c>
      <c r="X15" s="57">
        <f t="shared" si="15"/>
        <v>0.10936515032196525</v>
      </c>
      <c r="Y15" s="57">
        <f t="shared" si="15"/>
        <v>0.1068137733206278</v>
      </c>
      <c r="Z15" s="57">
        <f t="shared" si="15"/>
        <v>9.9023447606495285E-2</v>
      </c>
      <c r="AA15" s="57">
        <f t="shared" si="15"/>
        <v>9.7413807027622618E-2</v>
      </c>
      <c r="AB15" s="57">
        <f t="shared" si="15"/>
        <v>9.486180892079818E-2</v>
      </c>
      <c r="AC15" s="57">
        <f t="shared" si="15"/>
        <v>9.6144364606166377E-2</v>
      </c>
      <c r="AD15" s="57">
        <f t="shared" si="15"/>
        <v>9.5209043556808218E-2</v>
      </c>
      <c r="AE15" s="57">
        <f t="shared" si="15"/>
        <v>9.7732337351069273E-2</v>
      </c>
      <c r="AF15" s="57">
        <f t="shared" si="15"/>
        <v>8.9622039776486126E-2</v>
      </c>
      <c r="AG15" s="57">
        <f t="shared" si="15"/>
        <v>0.10357832348075618</v>
      </c>
      <c r="AH15" s="57">
        <f t="shared" si="15"/>
        <v>8.7438122021174611E-2</v>
      </c>
      <c r="AI15" s="57">
        <f t="shared" si="15"/>
        <v>9.5163330159652532E-2</v>
      </c>
      <c r="AJ15" s="57">
        <f t="shared" si="15"/>
        <v>8.5286714144060805E-2</v>
      </c>
      <c r="AK15" s="57">
        <f t="shared" si="15"/>
        <v>9.5548417892392878E-2</v>
      </c>
      <c r="AL15" s="57">
        <f t="shared" si="15"/>
        <v>9.2475029392809827E-2</v>
      </c>
      <c r="AM15" s="57">
        <f t="shared" si="15"/>
        <v>0.10389870843770335</v>
      </c>
      <c r="AN15" s="57">
        <f t="shared" si="15"/>
        <v>0.10276892376507975</v>
      </c>
      <c r="AO15" s="57">
        <f t="shared" si="15"/>
        <v>8.3499429317761345E-2</v>
      </c>
      <c r="AP15" s="57">
        <f t="shared" si="15"/>
        <v>8.1924421407909023E-2</v>
      </c>
      <c r="AQ15" s="57" t="e">
        <f t="shared" si="15"/>
        <v>#DIV/0!</v>
      </c>
      <c r="AR15" s="57" t="e">
        <f t="shared" si="15"/>
        <v>#DIV/0!</v>
      </c>
      <c r="AS15" s="57" t="e">
        <f t="shared" si="15"/>
        <v>#DIV/0!</v>
      </c>
      <c r="AT15" s="57" t="e">
        <f t="shared" si="15"/>
        <v>#DIV/0!</v>
      </c>
      <c r="AU15" s="57" t="e">
        <f t="shared" si="15"/>
        <v>#DIV/0!</v>
      </c>
      <c r="AV15" s="57" t="e">
        <f t="shared" si="15"/>
        <v>#DIV/0!</v>
      </c>
      <c r="AW15" s="57" t="e">
        <f t="shared" si="15"/>
        <v>#DIV/0!</v>
      </c>
      <c r="AX15" s="57" t="e">
        <f t="shared" si="15"/>
        <v>#DIV/0!</v>
      </c>
      <c r="AY15" s="57" t="e">
        <f t="shared" si="15"/>
        <v>#DIV/0!</v>
      </c>
      <c r="AZ15" s="57" t="e">
        <f t="shared" si="15"/>
        <v>#DIV/0!</v>
      </c>
      <c r="BA15" s="57" t="e">
        <f t="shared" si="15"/>
        <v>#DIV/0!</v>
      </c>
      <c r="BB15" s="57" t="e">
        <f t="shared" si="15"/>
        <v>#DIV/0!</v>
      </c>
      <c r="BC15" s="57" t="e">
        <f t="shared" si="15"/>
        <v>#DIV/0!</v>
      </c>
      <c r="BD15" s="57" t="e">
        <f t="shared" si="15"/>
        <v>#DIV/0!</v>
      </c>
      <c r="BE15" s="57" t="e">
        <f t="shared" si="15"/>
        <v>#DIV/0!</v>
      </c>
      <c r="BF15" s="57" t="e">
        <f t="shared" si="15"/>
        <v>#DIV/0!</v>
      </c>
      <c r="BG15" s="57" t="e">
        <f t="shared" si="15"/>
        <v>#DIV/0!</v>
      </c>
      <c r="BH15" s="57" t="e">
        <f t="shared" si="15"/>
        <v>#DIV/0!</v>
      </c>
      <c r="BI15" s="57" t="e">
        <f t="shared" si="15"/>
        <v>#DIV/0!</v>
      </c>
      <c r="BJ15" s="57" t="e">
        <f t="shared" si="15"/>
        <v>#DIV/0!</v>
      </c>
      <c r="BK15" s="57" t="e">
        <f t="shared" si="15"/>
        <v>#DIV/0!</v>
      </c>
      <c r="BL15" s="57" t="e">
        <f t="shared" si="15"/>
        <v>#DIV/0!</v>
      </c>
      <c r="BM15" s="57" t="e">
        <f t="shared" si="15"/>
        <v>#DIV/0!</v>
      </c>
      <c r="BN15" s="57" t="e">
        <f t="shared" si="15"/>
        <v>#DIV/0!</v>
      </c>
      <c r="BO15" s="57" t="e">
        <f t="shared" si="15"/>
        <v>#DIV/0!</v>
      </c>
      <c r="BP15" s="57" t="e">
        <f t="shared" si="15"/>
        <v>#DIV/0!</v>
      </c>
      <c r="BQ15" s="57" t="e">
        <f t="shared" si="15"/>
        <v>#DIV/0!</v>
      </c>
      <c r="BR15" s="57" t="e">
        <f t="shared" ref="BR15:CK15" si="16">BR14/BR2</f>
        <v>#DIV/0!</v>
      </c>
      <c r="BS15" s="57" t="e">
        <f t="shared" si="16"/>
        <v>#DIV/0!</v>
      </c>
      <c r="BT15" s="57" t="e">
        <f t="shared" si="16"/>
        <v>#DIV/0!</v>
      </c>
      <c r="BU15" s="57" t="e">
        <f t="shared" si="16"/>
        <v>#DIV/0!</v>
      </c>
      <c r="BV15" s="57" t="e">
        <f t="shared" si="16"/>
        <v>#DIV/0!</v>
      </c>
      <c r="BW15" s="57" t="e">
        <f t="shared" si="16"/>
        <v>#DIV/0!</v>
      </c>
      <c r="BX15" s="57" t="e">
        <f t="shared" si="16"/>
        <v>#DIV/0!</v>
      </c>
      <c r="BY15" s="57" t="e">
        <f t="shared" si="16"/>
        <v>#DIV/0!</v>
      </c>
      <c r="BZ15" s="57" t="e">
        <f t="shared" si="16"/>
        <v>#DIV/0!</v>
      </c>
      <c r="CA15" s="57" t="e">
        <f t="shared" si="16"/>
        <v>#DIV/0!</v>
      </c>
      <c r="CB15" s="57" t="e">
        <f t="shared" si="16"/>
        <v>#DIV/0!</v>
      </c>
      <c r="CC15" s="57" t="e">
        <f t="shared" si="16"/>
        <v>#DIV/0!</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x14ac:dyDescent="0.25">
      <c r="A16" s="128" t="s">
        <v>365</v>
      </c>
      <c r="E16" s="26">
        <f>股权价值增加表!E11</f>
        <v>484568899.16000003</v>
      </c>
      <c r="F16" s="26">
        <f>股权价值增加表!F11</f>
        <v>375478836.88999999</v>
      </c>
      <c r="G16" s="26">
        <f>股权价值增加表!G11</f>
        <v>251738374.96000001</v>
      </c>
      <c r="H16" s="26">
        <f>股权价值增加表!H11</f>
        <v>59401180.460000001</v>
      </c>
      <c r="I16" s="26">
        <f>股权价值增加表!I11</f>
        <v>317497358.88</v>
      </c>
      <c r="J16" s="26">
        <f>股权价值增加表!J11</f>
        <v>238784535.52000001</v>
      </c>
      <c r="K16" s="26">
        <f>股权价值增加表!K11</f>
        <v>158985960.69999999</v>
      </c>
      <c r="L16" s="26">
        <f>股权价值增加表!L11</f>
        <v>38456398.740000002</v>
      </c>
      <c r="M16" s="26">
        <f>股权价值增加表!M11</f>
        <v>338874649.43000001</v>
      </c>
      <c r="N16" s="26">
        <f>股权价值增加表!N11</f>
        <v>203726114.65000001</v>
      </c>
      <c r="O16" s="26">
        <f>股权价值增加表!O11</f>
        <v>166576278.11000001</v>
      </c>
      <c r="P16" s="26">
        <f>股权价值增加表!P11</f>
        <v>82884626.530000001</v>
      </c>
      <c r="Q16" s="26">
        <f>股权价值增加表!Q11</f>
        <v>182907411.02000001</v>
      </c>
      <c r="R16" s="26">
        <f>股权价值增加表!R11</f>
        <v>144445102.62</v>
      </c>
      <c r="S16" s="26">
        <f>股权价值增加表!S11</f>
        <v>110207838</v>
      </c>
      <c r="T16" s="26">
        <f>股权价值增加表!T11</f>
        <v>800890.89</v>
      </c>
      <c r="U16" s="26">
        <f>股权价值增加表!U11</f>
        <v>157113213.55000001</v>
      </c>
      <c r="V16" s="26">
        <f>股权价值增加表!V11</f>
        <v>111970346.8</v>
      </c>
      <c r="W16" s="26">
        <f>股权价值增加表!W11</f>
        <v>81669242.909999996</v>
      </c>
      <c r="X16" s="26">
        <f>股权价值增加表!X11</f>
        <v>0</v>
      </c>
      <c r="Y16" s="26">
        <f>股权价值增加表!Y11</f>
        <v>50325290.75</v>
      </c>
      <c r="Z16" s="26">
        <f>股权价值增加表!Z11</f>
        <v>55113151.090000004</v>
      </c>
      <c r="AA16" s="26">
        <f>股权价值增加表!AA11</f>
        <v>55113151.090000004</v>
      </c>
      <c r="AB16" s="26">
        <f>股权价值增加表!AB11</f>
        <v>0</v>
      </c>
      <c r="AC16" s="26">
        <f>股权价值增加表!AC11</f>
        <v>26063331.170000002</v>
      </c>
      <c r="AD16" s="26">
        <f>股权价值增加表!AD11</f>
        <v>27940111.93</v>
      </c>
      <c r="AE16" s="26">
        <f>股权价值增加表!AE11</f>
        <v>27940111.93</v>
      </c>
      <c r="AF16" s="26">
        <f>股权价值增加表!AF11</f>
        <v>0</v>
      </c>
      <c r="AG16" s="26">
        <f>股权价值增加表!AG11</f>
        <v>49337089.689999998</v>
      </c>
      <c r="AH16" s="26">
        <f>股权价值增加表!AH11</f>
        <v>18397107.079999998</v>
      </c>
      <c r="AI16" s="26">
        <f>股权价值增加表!AI11</f>
        <v>18450601.030000001</v>
      </c>
      <c r="AJ16" s="26">
        <f>股权价值增加表!AJ11</f>
        <v>454936</v>
      </c>
      <c r="AK16" s="26">
        <f>股权价值增加表!AK11</f>
        <v>13204903.32</v>
      </c>
      <c r="AL16" s="26">
        <f>股权价值增加表!AL11</f>
        <v>13673218.58</v>
      </c>
      <c r="AM16" s="26">
        <f>股权价值增加表!AM11</f>
        <v>13673218.58</v>
      </c>
      <c r="AN16" s="26">
        <f>股权价值增加表!AN11</f>
        <v>27030.92</v>
      </c>
      <c r="AO16" s="26">
        <f>股权价值增加表!AO11</f>
        <v>14295094.5</v>
      </c>
      <c r="AP16" s="26">
        <f>股权价值增加表!AP11</f>
        <v>19000489.170000002</v>
      </c>
      <c r="AQ16" s="26">
        <f>股权价值增加表!AQ11</f>
        <v>0</v>
      </c>
      <c r="AR16" s="26">
        <f>股权价值增加表!AR11</f>
        <v>0</v>
      </c>
      <c r="AS16" s="26">
        <f>股权价值增加表!AS11</f>
        <v>0</v>
      </c>
      <c r="AT16" s="26">
        <f>股权价值增加表!AT11</f>
        <v>0</v>
      </c>
      <c r="AU16" s="26">
        <f>股权价值增加表!AU11</f>
        <v>0</v>
      </c>
      <c r="AV16" s="26">
        <f>股权价值增加表!AV11</f>
        <v>0</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670</v>
      </c>
      <c r="E17" s="57">
        <f>E16/E2</f>
        <v>1.1563378794335563E-2</v>
      </c>
      <c r="F17" s="57">
        <f t="shared" ref="F17:BQ17" si="17">F16/F2</f>
        <v>1.3540653740959413E-2</v>
      </c>
      <c r="G17" s="57">
        <f t="shared" si="17"/>
        <v>1.5305533775427939E-2</v>
      </c>
      <c r="H17" s="57">
        <f t="shared" si="17"/>
        <v>8.4332065824966884E-3</v>
      </c>
      <c r="I17" s="57">
        <f t="shared" si="17"/>
        <v>9.9454063179771762E-3</v>
      </c>
      <c r="J17" s="57">
        <f t="shared" si="17"/>
        <v>1.1297276563661087E-2</v>
      </c>
      <c r="K17" s="57">
        <f t="shared" si="17"/>
        <v>1.2670022540291698E-2</v>
      </c>
      <c r="L17" s="57">
        <f t="shared" si="17"/>
        <v>7.3958732009203011E-3</v>
      </c>
      <c r="M17" s="57">
        <f t="shared" si="17"/>
        <v>1.340941854656973E-2</v>
      </c>
      <c r="N17" s="57">
        <f t="shared" si="17"/>
        <v>1.2215525291643648E-2</v>
      </c>
      <c r="O17" s="57">
        <f t="shared" si="17"/>
        <v>1.7003857551431436E-2</v>
      </c>
      <c r="P17" s="57">
        <f t="shared" si="17"/>
        <v>1.9329677066514082E-2</v>
      </c>
      <c r="Q17" s="57">
        <f t="shared" si="17"/>
        <v>1.0613717914805318E-2</v>
      </c>
      <c r="R17" s="57">
        <f t="shared" si="17"/>
        <v>1.3537741701678051E-2</v>
      </c>
      <c r="S17" s="57">
        <f t="shared" si="17"/>
        <v>1.8318953584292908E-2</v>
      </c>
      <c r="T17" s="57">
        <f t="shared" si="17"/>
        <v>3.0866900628269823E-4</v>
      </c>
      <c r="U17" s="57">
        <f t="shared" si="17"/>
        <v>1.4620749368306473E-2</v>
      </c>
      <c r="V17" s="57">
        <f t="shared" si="17"/>
        <v>1.6321263894344996E-2</v>
      </c>
      <c r="W17" s="57">
        <f t="shared" si="17"/>
        <v>2.0894784848116826E-2</v>
      </c>
      <c r="X17" s="57">
        <f t="shared" si="17"/>
        <v>0</v>
      </c>
      <c r="Y17" s="57">
        <f t="shared" si="17"/>
        <v>6.9762627292469731E-3</v>
      </c>
      <c r="Z17" s="57">
        <f t="shared" si="17"/>
        <v>1.1487058003128671E-2</v>
      </c>
      <c r="AA17" s="57">
        <f t="shared" si="17"/>
        <v>1.955282657441898E-2</v>
      </c>
      <c r="AB17" s="57">
        <f t="shared" si="17"/>
        <v>0</v>
      </c>
      <c r="AC17" s="57">
        <f t="shared" si="17"/>
        <v>4.9818665689176757E-3</v>
      </c>
      <c r="AD17" s="57">
        <f t="shared" si="17"/>
        <v>8.0911795698094501E-3</v>
      </c>
      <c r="AE17" s="57">
        <f t="shared" si="17"/>
        <v>1.3421912174469268E-2</v>
      </c>
      <c r="AF17" s="57">
        <f t="shared" si="17"/>
        <v>0</v>
      </c>
      <c r="AG17" s="57">
        <f t="shared" si="17"/>
        <v>1.3683927476782418E-2</v>
      </c>
      <c r="AH17" s="57">
        <f t="shared" si="17"/>
        <v>7.6876390377438649E-3</v>
      </c>
      <c r="AI17" s="57">
        <f t="shared" si="17"/>
        <v>1.3157342121233878E-2</v>
      </c>
      <c r="AJ17" s="57">
        <f t="shared" si="17"/>
        <v>6.6191275446841782E-4</v>
      </c>
      <c r="AK17" s="57">
        <f t="shared" si="17"/>
        <v>6.2835215196422314E-3</v>
      </c>
      <c r="AL17" s="57">
        <f t="shared" si="17"/>
        <v>9.5179438604611616E-3</v>
      </c>
      <c r="AM17" s="57">
        <f t="shared" si="17"/>
        <v>1.6339819387168709E-2</v>
      </c>
      <c r="AN17" s="57">
        <f t="shared" si="17"/>
        <v>6.7063316673136652E-5</v>
      </c>
      <c r="AO17" s="57">
        <f t="shared" si="17"/>
        <v>8.2039191109243813E-3</v>
      </c>
      <c r="AP17" s="57">
        <f t="shared" si="17"/>
        <v>1.6040748194447636E-2</v>
      </c>
      <c r="AQ17" s="57" t="e">
        <f t="shared" si="17"/>
        <v>#DIV/0!</v>
      </c>
      <c r="AR17" s="57" t="e">
        <f t="shared" si="17"/>
        <v>#DIV/0!</v>
      </c>
      <c r="AS17" s="57" t="e">
        <f t="shared" si="17"/>
        <v>#DIV/0!</v>
      </c>
      <c r="AT17" s="57" t="e">
        <f t="shared" si="17"/>
        <v>#DIV/0!</v>
      </c>
      <c r="AU17" s="57" t="e">
        <f t="shared" si="17"/>
        <v>#DIV/0!</v>
      </c>
      <c r="AV17" s="57" t="e">
        <f t="shared" si="17"/>
        <v>#DIV/0!</v>
      </c>
      <c r="AW17" s="57" t="e">
        <f t="shared" si="17"/>
        <v>#DIV/0!</v>
      </c>
      <c r="AX17" s="57" t="e">
        <f t="shared" si="17"/>
        <v>#DIV/0!</v>
      </c>
      <c r="AY17" s="57" t="e">
        <f t="shared" si="17"/>
        <v>#DIV/0!</v>
      </c>
      <c r="AZ17" s="57" t="e">
        <f t="shared" si="17"/>
        <v>#DIV/0!</v>
      </c>
      <c r="BA17" s="57" t="e">
        <f t="shared" si="17"/>
        <v>#DIV/0!</v>
      </c>
      <c r="BB17" s="57" t="e">
        <f t="shared" si="17"/>
        <v>#DIV/0!</v>
      </c>
      <c r="BC17" s="57" t="e">
        <f t="shared" si="17"/>
        <v>#DIV/0!</v>
      </c>
      <c r="BD17" s="57" t="e">
        <f t="shared" si="17"/>
        <v>#DIV/0!</v>
      </c>
      <c r="BE17" s="57" t="e">
        <f t="shared" si="17"/>
        <v>#DIV/0!</v>
      </c>
      <c r="BF17" s="57" t="e">
        <f t="shared" si="17"/>
        <v>#DIV/0!</v>
      </c>
      <c r="BG17" s="57" t="e">
        <f t="shared" si="17"/>
        <v>#DIV/0!</v>
      </c>
      <c r="BH17" s="57" t="e">
        <f t="shared" si="17"/>
        <v>#DIV/0!</v>
      </c>
      <c r="BI17" s="57" t="e">
        <f t="shared" si="17"/>
        <v>#DIV/0!</v>
      </c>
      <c r="BJ17" s="57" t="e">
        <f t="shared" si="17"/>
        <v>#DIV/0!</v>
      </c>
      <c r="BK17" s="57" t="e">
        <f t="shared" si="17"/>
        <v>#DIV/0!</v>
      </c>
      <c r="BL17" s="57" t="e">
        <f t="shared" si="17"/>
        <v>#DIV/0!</v>
      </c>
      <c r="BM17" s="57" t="e">
        <f t="shared" si="17"/>
        <v>#DIV/0!</v>
      </c>
      <c r="BN17" s="57" t="e">
        <f t="shared" si="17"/>
        <v>#DIV/0!</v>
      </c>
      <c r="BO17" s="57" t="e">
        <f t="shared" si="17"/>
        <v>#DIV/0!</v>
      </c>
      <c r="BP17" s="57" t="e">
        <f t="shared" si="17"/>
        <v>#DIV/0!</v>
      </c>
      <c r="BQ17" s="57" t="e">
        <f t="shared" si="17"/>
        <v>#DIV/0!</v>
      </c>
      <c r="BR17" s="57" t="e">
        <f t="shared" ref="BR17:CK17" si="18">BR16/BR2</f>
        <v>#DIV/0!</v>
      </c>
      <c r="BS17" s="57" t="e">
        <f t="shared" si="18"/>
        <v>#DIV/0!</v>
      </c>
      <c r="BT17" s="57" t="e">
        <f t="shared" si="18"/>
        <v>#DIV/0!</v>
      </c>
      <c r="BU17" s="57" t="e">
        <f t="shared" si="18"/>
        <v>#DIV/0!</v>
      </c>
      <c r="BV17" s="57" t="e">
        <f t="shared" si="18"/>
        <v>#DIV/0!</v>
      </c>
      <c r="BW17" s="57" t="e">
        <f t="shared" si="18"/>
        <v>#DIV/0!</v>
      </c>
      <c r="BX17" s="57" t="e">
        <f t="shared" si="18"/>
        <v>#DIV/0!</v>
      </c>
      <c r="BY17" s="57" t="e">
        <f t="shared" si="18"/>
        <v>#DIV/0!</v>
      </c>
      <c r="BZ17" s="57" t="e">
        <f t="shared" si="18"/>
        <v>#DIV/0!</v>
      </c>
      <c r="CA17" s="57" t="e">
        <f t="shared" si="18"/>
        <v>#DIV/0!</v>
      </c>
      <c r="CB17" s="57" t="e">
        <f t="shared" si="18"/>
        <v>#DIV/0!</v>
      </c>
      <c r="CC17" s="57" t="e">
        <f t="shared" si="18"/>
        <v>#DIV/0!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x14ac:dyDescent="0.25">
      <c r="A18" s="128" t="s">
        <v>366</v>
      </c>
      <c r="E18" s="26">
        <f>股权价值增加表!E12</f>
        <v>17358738.670000002</v>
      </c>
      <c r="F18" s="26">
        <f>股权价值增加表!F12</f>
        <v>1204</v>
      </c>
      <c r="G18" s="26">
        <f>股权价值增加表!G12</f>
        <v>868</v>
      </c>
      <c r="H18" s="26">
        <f>股权价值增加表!H12</f>
        <v>644</v>
      </c>
      <c r="I18" s="26">
        <f>股权价值增加表!I12</f>
        <v>12106577.32</v>
      </c>
      <c r="J18" s="26">
        <f>股权价值增加表!J12</f>
        <v>0</v>
      </c>
      <c r="K18" s="26">
        <f>股权价值增加表!K12</f>
        <v>0</v>
      </c>
      <c r="L18" s="26">
        <f>股权价值增加表!L12</f>
        <v>0</v>
      </c>
      <c r="M18" s="26">
        <f>股权价值增加表!M12</f>
        <v>17693430.420000002</v>
      </c>
      <c r="N18" s="26">
        <f>股权价值增加表!N12</f>
        <v>0</v>
      </c>
      <c r="O18" s="26">
        <f>股权价值增加表!O12</f>
        <v>0</v>
      </c>
      <c r="P18" s="26">
        <f>股权价值增加表!P12</f>
        <v>0</v>
      </c>
      <c r="Q18" s="26">
        <f>股权价值增加表!Q12</f>
        <v>9193907.9199999999</v>
      </c>
      <c r="R18" s="26">
        <f>股权价值增加表!R12</f>
        <v>0</v>
      </c>
      <c r="S18" s="26">
        <f>股权价值增加表!S12</f>
        <v>0</v>
      </c>
      <c r="T18" s="26">
        <f>股权价值增加表!T12</f>
        <v>0</v>
      </c>
      <c r="U18" s="26">
        <f>股权价值增加表!U12</f>
        <v>4923801.58</v>
      </c>
      <c r="V18" s="26">
        <f>股权价值增加表!V12</f>
        <v>0</v>
      </c>
      <c r="W18" s="26">
        <f>股权价值增加表!W12</f>
        <v>0</v>
      </c>
      <c r="X18" s="26">
        <f>股权价值增加表!X12</f>
        <v>0</v>
      </c>
      <c r="Y18" s="26">
        <f>股权价值增加表!Y12</f>
        <v>3292427.32</v>
      </c>
      <c r="Z18" s="26">
        <f>股权价值增加表!Z12</f>
        <v>0</v>
      </c>
      <c r="AA18" s="26">
        <f>股权价值增加表!AA12</f>
        <v>0</v>
      </c>
      <c r="AB18" s="26">
        <f>股权价值增加表!AB12</f>
        <v>0</v>
      </c>
      <c r="AC18" s="26">
        <f>股权价值增加表!AC12</f>
        <v>2653275.4300000002</v>
      </c>
      <c r="AD18" s="26">
        <f>股权价值增加表!AD12</f>
        <v>0</v>
      </c>
      <c r="AE18" s="26">
        <f>股权价值增加表!AE12</f>
        <v>0</v>
      </c>
      <c r="AF18" s="26">
        <f>股权价值增加表!AF12</f>
        <v>0</v>
      </c>
      <c r="AG18" s="26">
        <f>股权价值增加表!AG12</f>
        <v>2189682.27</v>
      </c>
      <c r="AH18" s="26">
        <f>股权价值增加表!AH12</f>
        <v>0</v>
      </c>
      <c r="AI18" s="26">
        <f>股权价值增加表!AI12</f>
        <v>0</v>
      </c>
      <c r="AJ18" s="26">
        <f>股权价值增加表!AJ12</f>
        <v>0</v>
      </c>
      <c r="AK18" s="26">
        <f>股权价值增加表!AK12</f>
        <v>0</v>
      </c>
      <c r="AL18" s="26">
        <f>股权价值增加表!AL12</f>
        <v>0</v>
      </c>
      <c r="AM18" s="26">
        <f>股权价值增加表!AM12</f>
        <v>0</v>
      </c>
      <c r="AN18" s="26">
        <f>股权价值增加表!AN12</f>
        <v>0</v>
      </c>
      <c r="AO18" s="26">
        <f>股权价值增加表!AO12</f>
        <v>0</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367</v>
      </c>
      <c r="E19" s="57">
        <f>E18/E2</f>
        <v>4.1423556274669841E-4</v>
      </c>
      <c r="F19" s="57">
        <f t="shared" ref="F19:BQ19" si="19">F18/F2</f>
        <v>4.3419083853429624E-8</v>
      </c>
      <c r="G19" s="57">
        <f t="shared" si="19"/>
        <v>5.277385030860871E-8</v>
      </c>
      <c r="H19" s="57">
        <f t="shared" si="19"/>
        <v>9.1428907591912643E-8</v>
      </c>
      <c r="I19" s="57">
        <f t="shared" si="19"/>
        <v>3.7923096743905485E-4</v>
      </c>
      <c r="J19" s="57">
        <f t="shared" si="19"/>
        <v>0</v>
      </c>
      <c r="K19" s="57">
        <f t="shared" si="19"/>
        <v>0</v>
      </c>
      <c r="L19" s="57">
        <f t="shared" si="19"/>
        <v>0</v>
      </c>
      <c r="M19" s="57">
        <f t="shared" si="19"/>
        <v>7.0013680405266979E-4</v>
      </c>
      <c r="N19" s="57">
        <f t="shared" si="19"/>
        <v>0</v>
      </c>
      <c r="O19" s="57">
        <f t="shared" si="19"/>
        <v>0</v>
      </c>
      <c r="P19" s="57">
        <f t="shared" si="19"/>
        <v>0</v>
      </c>
      <c r="Q19" s="57">
        <f t="shared" si="19"/>
        <v>5.3350241334346171E-4</v>
      </c>
      <c r="R19" s="57">
        <f t="shared" si="19"/>
        <v>0</v>
      </c>
      <c r="S19" s="57">
        <f t="shared" si="19"/>
        <v>0</v>
      </c>
      <c r="T19" s="57">
        <f t="shared" si="19"/>
        <v>0</v>
      </c>
      <c r="U19" s="57">
        <f t="shared" si="19"/>
        <v>4.5820251023979779E-4</v>
      </c>
      <c r="V19" s="57">
        <f t="shared" si="19"/>
        <v>0</v>
      </c>
      <c r="W19" s="57">
        <f t="shared" si="19"/>
        <v>0</v>
      </c>
      <c r="X19" s="57">
        <f t="shared" si="19"/>
        <v>0</v>
      </c>
      <c r="Y19" s="57">
        <f t="shared" si="19"/>
        <v>4.5640745754202118E-4</v>
      </c>
      <c r="Z19" s="57">
        <f t="shared" si="19"/>
        <v>0</v>
      </c>
      <c r="AA19" s="57">
        <f t="shared" si="19"/>
        <v>0</v>
      </c>
      <c r="AB19" s="57">
        <f t="shared" si="19"/>
        <v>0</v>
      </c>
      <c r="AC19" s="57">
        <f t="shared" si="19"/>
        <v>5.0715942933888874E-4</v>
      </c>
      <c r="AD19" s="57">
        <f t="shared" si="19"/>
        <v>0</v>
      </c>
      <c r="AE19" s="57">
        <f t="shared" si="19"/>
        <v>0</v>
      </c>
      <c r="AF19" s="57">
        <f t="shared" si="19"/>
        <v>0</v>
      </c>
      <c r="AG19" s="57">
        <f t="shared" si="19"/>
        <v>6.0732105537934702E-4</v>
      </c>
      <c r="AH19" s="57">
        <f t="shared" si="19"/>
        <v>0</v>
      </c>
      <c r="AI19" s="57">
        <f t="shared" si="19"/>
        <v>0</v>
      </c>
      <c r="AJ19" s="57">
        <f t="shared" si="19"/>
        <v>0</v>
      </c>
      <c r="AK19" s="57">
        <f t="shared" si="19"/>
        <v>0</v>
      </c>
      <c r="AL19" s="57">
        <f t="shared" si="19"/>
        <v>0</v>
      </c>
      <c r="AM19" s="57">
        <f t="shared" si="19"/>
        <v>0</v>
      </c>
      <c r="AN19" s="57">
        <f t="shared" si="19"/>
        <v>0</v>
      </c>
      <c r="AO19" s="57">
        <f t="shared" si="19"/>
        <v>0</v>
      </c>
      <c r="AP19" s="57">
        <f t="shared" si="19"/>
        <v>0</v>
      </c>
      <c r="AQ19" s="57" t="e">
        <f t="shared" si="19"/>
        <v>#DIV/0!</v>
      </c>
      <c r="AR19" s="57" t="e">
        <f t="shared" si="19"/>
        <v>#DIV/0!</v>
      </c>
      <c r="AS19" s="57" t="e">
        <f t="shared" si="19"/>
        <v>#DIV/0!</v>
      </c>
      <c r="AT19" s="57" t="e">
        <f t="shared" si="19"/>
        <v>#DIV/0!</v>
      </c>
      <c r="AU19" s="57" t="e">
        <f t="shared" si="19"/>
        <v>#DIV/0!</v>
      </c>
      <c r="AV19" s="57" t="e">
        <f t="shared" si="19"/>
        <v>#DIV/0!</v>
      </c>
      <c r="AW19" s="57" t="e">
        <f t="shared" si="19"/>
        <v>#DIV/0!</v>
      </c>
      <c r="AX19" s="57" t="e">
        <f t="shared" si="19"/>
        <v>#DIV/0!</v>
      </c>
      <c r="AY19" s="57" t="e">
        <f t="shared" si="19"/>
        <v>#DIV/0!</v>
      </c>
      <c r="AZ19" s="57" t="e">
        <f t="shared" si="19"/>
        <v>#DIV/0!</v>
      </c>
      <c r="BA19" s="57" t="e">
        <f t="shared" si="19"/>
        <v>#DIV/0!</v>
      </c>
      <c r="BB19" s="57" t="e">
        <f t="shared" si="19"/>
        <v>#DIV/0!</v>
      </c>
      <c r="BC19" s="57" t="e">
        <f t="shared" si="19"/>
        <v>#DIV/0!</v>
      </c>
      <c r="BD19" s="57" t="e">
        <f t="shared" si="19"/>
        <v>#DIV/0!</v>
      </c>
      <c r="BE19" s="57" t="e">
        <f t="shared" si="19"/>
        <v>#DIV/0!</v>
      </c>
      <c r="BF19" s="57" t="e">
        <f t="shared" si="19"/>
        <v>#DIV/0!</v>
      </c>
      <c r="BG19" s="57" t="e">
        <f t="shared" si="19"/>
        <v>#DIV/0!</v>
      </c>
      <c r="BH19" s="57" t="e">
        <f t="shared" si="19"/>
        <v>#DIV/0!</v>
      </c>
      <c r="BI19" s="57" t="e">
        <f t="shared" si="19"/>
        <v>#DIV/0!</v>
      </c>
      <c r="BJ19" s="57" t="e">
        <f t="shared" si="19"/>
        <v>#DIV/0!</v>
      </c>
      <c r="BK19" s="57" t="e">
        <f t="shared" si="19"/>
        <v>#DIV/0!</v>
      </c>
      <c r="BL19" s="57" t="e">
        <f t="shared" si="19"/>
        <v>#DIV/0!</v>
      </c>
      <c r="BM19" s="57" t="e">
        <f t="shared" si="19"/>
        <v>#DIV/0!</v>
      </c>
      <c r="BN19" s="57" t="e">
        <f t="shared" si="19"/>
        <v>#DIV/0!</v>
      </c>
      <c r="BO19" s="57" t="e">
        <f t="shared" si="19"/>
        <v>#DIV/0!</v>
      </c>
      <c r="BP19" s="57" t="e">
        <f t="shared" si="19"/>
        <v>#DIV/0!</v>
      </c>
      <c r="BQ19" s="57" t="e">
        <f t="shared" si="19"/>
        <v>#DIV/0!</v>
      </c>
      <c r="BR19" s="57" t="e">
        <f t="shared" ref="BR19:CK19" si="20">BR18/BR2</f>
        <v>#DIV/0!</v>
      </c>
      <c r="BS19" s="57" t="e">
        <f t="shared" si="20"/>
        <v>#DIV/0!</v>
      </c>
      <c r="BT19" s="57" t="e">
        <f t="shared" si="20"/>
        <v>#DIV/0!</v>
      </c>
      <c r="BU19" s="57" t="e">
        <f t="shared" si="20"/>
        <v>#DIV/0!</v>
      </c>
      <c r="BV19" s="57" t="e">
        <f t="shared" si="20"/>
        <v>#DIV/0!</v>
      </c>
      <c r="BW19" s="57" t="e">
        <f t="shared" si="20"/>
        <v>#DIV/0!</v>
      </c>
      <c r="BX19" s="57" t="e">
        <f t="shared" si="20"/>
        <v>#DIV/0!</v>
      </c>
      <c r="BY19" s="57" t="e">
        <f t="shared" si="20"/>
        <v>#DIV/0!</v>
      </c>
      <c r="BZ19" s="57" t="e">
        <f t="shared" si="20"/>
        <v>#DIV/0!</v>
      </c>
      <c r="CA19" s="57" t="e">
        <f t="shared" si="20"/>
        <v>#DIV/0!</v>
      </c>
      <c r="CB19" s="57" t="e">
        <f t="shared" si="20"/>
        <v>#DIV/0!</v>
      </c>
      <c r="CC19" s="57" t="e">
        <f t="shared" si="20"/>
        <v>#DIV/0!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x14ac:dyDescent="0.25">
      <c r="A20" s="128" t="s">
        <v>368</v>
      </c>
      <c r="E20" s="26">
        <f>股权价值增加表!E13-股权价值增加表!E14</f>
        <v>43708871.910000004</v>
      </c>
      <c r="F20" s="26">
        <f>股权价值增加表!F13-股权价值增加表!F14</f>
        <v>99403748.700000003</v>
      </c>
      <c r="G20" s="26">
        <f>股权价值增加表!G13-股权价值增加表!G14</f>
        <v>32235791.159999996</v>
      </c>
      <c r="H20" s="26">
        <f>股权价值增加表!H13-股权价值增加表!H14</f>
        <v>350498327.14000005</v>
      </c>
      <c r="I20" s="26">
        <f>股权价值增加表!I13-股权价值增加表!I14</f>
        <v>1480077631.1600001</v>
      </c>
      <c r="J20" s="26">
        <f>股权价值增加表!J13-股权价值增加表!J14</f>
        <v>940385173.45999992</v>
      </c>
      <c r="K20" s="26">
        <f>股权价值增加表!K13-股权价值增加表!K14</f>
        <v>633945841.66999996</v>
      </c>
      <c r="L20" s="26">
        <f>股权价值增加表!L13-股权价值增加表!L14</f>
        <v>324255980.72999996</v>
      </c>
      <c r="M20" s="26">
        <f>股权价值增加表!M13-股权价值增加表!M14</f>
        <v>1256048248.4300001</v>
      </c>
      <c r="N20" s="26">
        <f>股权价值增加表!N13-股权价值增加表!N14</f>
        <v>680912913.17000008</v>
      </c>
      <c r="O20" s="26">
        <f>股权价值增加表!O13-股权价值增加表!O14</f>
        <v>446088385.73000002</v>
      </c>
      <c r="P20" s="26">
        <f>股权价值增加表!P13-股权价值增加表!P14</f>
        <v>251601589.52000001</v>
      </c>
      <c r="Q20" s="26">
        <f>股权价值增加表!Q13-股权价值增加表!Q14</f>
        <v>828778189.51000011</v>
      </c>
      <c r="R20" s="26">
        <f>股权价值增加表!R13-股权价值增加表!R14</f>
        <v>421582644.75999999</v>
      </c>
      <c r="S20" s="26">
        <f>股权价值增加表!S13-股权价值增加表!S14</f>
        <v>255610934.47999999</v>
      </c>
      <c r="T20" s="26">
        <f>股权价值增加表!T13-股权价值增加表!T14</f>
        <v>111659188.08</v>
      </c>
      <c r="U20" s="26">
        <f>股权价值增加表!U13-股权价值增加表!U14</f>
        <v>439001461.49000001</v>
      </c>
      <c r="V20" s="26">
        <f>股权价值增加表!V13-股权价值增加表!V14</f>
        <v>256758608.57000002</v>
      </c>
      <c r="W20" s="26">
        <f>股权价值增加表!W13-股权价值增加表!W14</f>
        <v>148120127.66999999</v>
      </c>
      <c r="X20" s="26">
        <f>股权价值增加表!X13-股权价值增加表!X14</f>
        <v>55477028.600000001</v>
      </c>
      <c r="Y20" s="26">
        <f>股权价值增加表!Y13-股权价值增加表!Y14</f>
        <v>324107578.22000003</v>
      </c>
      <c r="Z20" s="26">
        <f>股权价值增加表!Z13-股权价值增加表!Z14</f>
        <v>184394141.75</v>
      </c>
      <c r="AA20" s="26">
        <f>股权价值增加表!AA13-股权价值增加表!AA14</f>
        <v>106367413.91</v>
      </c>
      <c r="AB20" s="26">
        <f>股权价值增加表!AB13-股权价值增加表!AB14</f>
        <v>49208788.509999998</v>
      </c>
      <c r="AC20" s="26">
        <f>股权价值增加表!AC13-股权价值增加表!AC14</f>
        <v>255618390</v>
      </c>
      <c r="AD20" s="26">
        <f>股权价值增加表!AD13-股权价值增加表!AD14</f>
        <v>30561629.160000004</v>
      </c>
      <c r="AE20" s="26">
        <f>股权价值增加表!AE13-股权价值增加表!AE14</f>
        <v>29852111.759999998</v>
      </c>
      <c r="AF20" s="26">
        <f>股权价值增加表!AF13-股权价值增加表!AF14</f>
        <v>26626961.700000003</v>
      </c>
      <c r="AG20" s="26">
        <f>股权价值增加表!AG13-股权价值增加表!AG14</f>
        <v>156829434.96000001</v>
      </c>
      <c r="AH20" s="26">
        <f>股权价值增加表!AH13-股权价值增加表!AH14</f>
        <v>60432393.689999998</v>
      </c>
      <c r="AI20" s="26">
        <f>股权价值增加表!AI13-股权价值增加表!AI14</f>
        <v>45644874.43</v>
      </c>
      <c r="AJ20" s="26">
        <f>股权价值增加表!AJ13-股权价值增加表!AJ14</f>
        <v>24854214.23</v>
      </c>
      <c r="AK20" s="26">
        <f>股权价值增加表!AK13-股权价值增加表!AK14</f>
        <v>107838996.95</v>
      </c>
      <c r="AL20" s="26">
        <f>股权价值增加表!AL13-股权价值增加表!AL14</f>
        <v>73162262.25</v>
      </c>
      <c r="AM20" s="26">
        <f>股权价值增加表!AM13-股权价值增加表!AM14</f>
        <v>49993892.509999998</v>
      </c>
      <c r="AN20" s="26">
        <f>股权价值增加表!AN13-股权价值增加表!AN14</f>
        <v>15895592.109999999</v>
      </c>
      <c r="AO20" s="26">
        <f>股权价值增加表!AO13-股权价值增加表!AO14</f>
        <v>69586037.430000007</v>
      </c>
      <c r="AP20" s="26">
        <f>股权价值增加表!AP13-股权价值增加表!AP14</f>
        <v>47276390.460000001</v>
      </c>
      <c r="AQ20" s="26">
        <f>股权价值增加表!AQ13-股权价值增加表!AQ14</f>
        <v>0</v>
      </c>
      <c r="AR20" s="26">
        <f>股权价值增加表!AR13-股权价值增加表!AR14</f>
        <v>0</v>
      </c>
      <c r="AS20" s="26">
        <f>股权价值增加表!AS13-股权价值增加表!AS14</f>
        <v>0</v>
      </c>
      <c r="AT20" s="26">
        <f>股权价值增加表!AT13-股权价值增加表!AT14</f>
        <v>0</v>
      </c>
      <c r="AU20" s="26">
        <f>股权价值增加表!AU13-股权价值增加表!AU14</f>
        <v>0</v>
      </c>
      <c r="AV20" s="26">
        <f>股权价值增加表!AV13-股权价值增加表!AV14</f>
        <v>0</v>
      </c>
      <c r="AW20" s="26">
        <f>股权价值增加表!AW13-股权价值增加表!AW14</f>
        <v>0</v>
      </c>
      <c r="AX20" s="26">
        <f>股权价值增加表!AX13-股权价值增加表!AX14</f>
        <v>0</v>
      </c>
      <c r="AY20" s="26">
        <f>股权价值增加表!AY13-股权价值增加表!AY14</f>
        <v>0</v>
      </c>
      <c r="AZ20" s="26">
        <f>股权价值增加表!AZ13-股权价值增加表!AZ14</f>
        <v>0</v>
      </c>
      <c r="BA20" s="26">
        <f>股权价值增加表!BA13-股权价值增加表!BA14</f>
        <v>0</v>
      </c>
      <c r="BB20" s="26">
        <f>股权价值增加表!BB13-股权价值增加表!BB14</f>
        <v>0</v>
      </c>
      <c r="BC20" s="26">
        <f>股权价值增加表!BC13-股权价值增加表!BC14</f>
        <v>0</v>
      </c>
      <c r="BD20" s="26">
        <f>股权价值增加表!BD13-股权价值增加表!BD14</f>
        <v>0</v>
      </c>
      <c r="BE20" s="26">
        <f>股权价值增加表!BE13-股权价值增加表!BE14</f>
        <v>0</v>
      </c>
      <c r="BF20" s="26">
        <f>股权价值增加表!BF13-股权价值增加表!BF14</f>
        <v>0</v>
      </c>
      <c r="BG20" s="26">
        <f>股权价值增加表!BG13-股权价值增加表!BG14</f>
        <v>0</v>
      </c>
      <c r="BH20" s="26">
        <f>股权价值增加表!BH13-股权价值增加表!BH14</f>
        <v>0</v>
      </c>
      <c r="BI20" s="26">
        <f>股权价值增加表!BI13-股权价值增加表!BI14</f>
        <v>0</v>
      </c>
      <c r="BJ20" s="26">
        <f>股权价值增加表!BJ13-股权价值增加表!BJ14</f>
        <v>0</v>
      </c>
      <c r="BK20" s="26">
        <f>股权价值增加表!BK13-股权价值增加表!BK14</f>
        <v>0</v>
      </c>
      <c r="BL20" s="26">
        <f>股权价值增加表!BL13-股权价值增加表!BL14</f>
        <v>0</v>
      </c>
      <c r="BM20" s="26">
        <f>股权价值增加表!BM13-股权价值增加表!BM14</f>
        <v>0</v>
      </c>
      <c r="BN20" s="26">
        <f>股权价值增加表!BN13-股权价值增加表!BN14</f>
        <v>0</v>
      </c>
      <c r="BO20" s="26">
        <f>股权价值增加表!BO13-股权价值增加表!BO14</f>
        <v>0</v>
      </c>
      <c r="BP20" s="26">
        <f>股权价值增加表!BP13-股权价值增加表!BP14</f>
        <v>0</v>
      </c>
      <c r="BQ20" s="26">
        <f>股权价值增加表!BQ13-股权价值增加表!BQ14</f>
        <v>0</v>
      </c>
      <c r="BR20" s="26">
        <f>股权价值增加表!BR13-股权价值增加表!BR14</f>
        <v>0</v>
      </c>
      <c r="BS20" s="26">
        <f>股权价值增加表!BS13-股权价值增加表!BS14</f>
        <v>0</v>
      </c>
      <c r="BT20" s="26">
        <f>股权价值增加表!BT13-股权价值增加表!BT14</f>
        <v>0</v>
      </c>
      <c r="BU20" s="26">
        <f>股权价值增加表!BU13-股权价值增加表!BU14</f>
        <v>0</v>
      </c>
      <c r="BV20" s="26">
        <f>股权价值增加表!BV13-股权价值增加表!BV14</f>
        <v>0</v>
      </c>
      <c r="BW20" s="26">
        <f>股权价值增加表!BW13-股权价值增加表!BW14</f>
        <v>0</v>
      </c>
      <c r="BX20" s="26">
        <f>股权价值增加表!BX13-股权价值增加表!BX14</f>
        <v>0</v>
      </c>
      <c r="BY20" s="26">
        <f>股权价值增加表!BY13-股权价值增加表!BY14</f>
        <v>0</v>
      </c>
      <c r="BZ20" s="26">
        <f>股权价值增加表!BZ13-股权价值增加表!BZ14</f>
        <v>0</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369</v>
      </c>
      <c r="E21" s="57">
        <f>E20/E2</f>
        <v>1.0430348366240027E-3</v>
      </c>
      <c r="F21" s="57">
        <f t="shared" ref="F21:BQ21" si="21">F20/F2</f>
        <v>3.5847339702247062E-3</v>
      </c>
      <c r="G21" s="57">
        <f t="shared" si="21"/>
        <v>1.9599156880845754E-3</v>
      </c>
      <c r="H21" s="57">
        <f t="shared" si="21"/>
        <v>4.9760371371433278E-2</v>
      </c>
      <c r="I21" s="57">
        <f t="shared" si="21"/>
        <v>4.6362506686548087E-2</v>
      </c>
      <c r="J21" s="57">
        <f t="shared" si="21"/>
        <v>4.4491119819835237E-2</v>
      </c>
      <c r="K21" s="57">
        <f t="shared" si="21"/>
        <v>5.0520864030499844E-2</v>
      </c>
      <c r="L21" s="57">
        <f t="shared" si="21"/>
        <v>6.2360392462456976E-2</v>
      </c>
      <c r="M21" s="57">
        <f t="shared" si="21"/>
        <v>4.9702380234738781E-2</v>
      </c>
      <c r="N21" s="57">
        <f t="shared" si="21"/>
        <v>4.0827897427507781E-2</v>
      </c>
      <c r="O21" s="57">
        <f t="shared" si="21"/>
        <v>4.5536035817128506E-2</v>
      </c>
      <c r="P21" s="57">
        <f t="shared" si="21"/>
        <v>5.8676472084759165E-2</v>
      </c>
      <c r="Q21" s="57">
        <f t="shared" si="21"/>
        <v>4.8092189749710912E-2</v>
      </c>
      <c r="R21" s="57">
        <f t="shared" si="21"/>
        <v>3.9511737311618209E-2</v>
      </c>
      <c r="S21" s="57">
        <f t="shared" si="21"/>
        <v>4.2488129060084236E-2</v>
      </c>
      <c r="T21" s="57">
        <f t="shared" si="21"/>
        <v>4.3034239816345646E-2</v>
      </c>
      <c r="U21" s="57">
        <f t="shared" si="21"/>
        <v>4.0852899611291384E-2</v>
      </c>
      <c r="V21" s="57">
        <f t="shared" si="21"/>
        <v>3.7426203699279792E-2</v>
      </c>
      <c r="W21" s="57">
        <f t="shared" si="21"/>
        <v>3.789600697965189E-2</v>
      </c>
      <c r="X21" s="57">
        <f t="shared" si="21"/>
        <v>3.2684924322111321E-2</v>
      </c>
      <c r="Y21" s="57">
        <f t="shared" si="21"/>
        <v>4.4928893296114429E-2</v>
      </c>
      <c r="Z21" s="57">
        <f t="shared" si="21"/>
        <v>3.8432681852293989E-2</v>
      </c>
      <c r="AA21" s="57">
        <f t="shared" si="21"/>
        <v>3.7736611974070869E-2</v>
      </c>
      <c r="AB21" s="57">
        <f t="shared" si="21"/>
        <v>3.8067302528182766E-2</v>
      </c>
      <c r="AC21" s="57">
        <f t="shared" si="21"/>
        <v>4.8860090187065691E-2</v>
      </c>
      <c r="AD21" s="57">
        <f t="shared" si="21"/>
        <v>8.8503449842652366E-3</v>
      </c>
      <c r="AE21" s="57">
        <f t="shared" si="21"/>
        <v>1.4340401472584981E-2</v>
      </c>
      <c r="AF21" s="57">
        <f t="shared" si="21"/>
        <v>2.8633829827354379E-2</v>
      </c>
      <c r="AG21" s="57">
        <f t="shared" si="21"/>
        <v>4.3497551795244643E-2</v>
      </c>
      <c r="AH21" s="57">
        <f t="shared" si="21"/>
        <v>2.5253015425485581E-2</v>
      </c>
      <c r="AI21" s="57">
        <f t="shared" si="21"/>
        <v>3.2549900568538286E-2</v>
      </c>
      <c r="AJ21" s="57">
        <f t="shared" si="21"/>
        <v>3.6161836832274093E-2</v>
      </c>
      <c r="AK21" s="57">
        <f t="shared" si="21"/>
        <v>5.1314927612204429E-2</v>
      </c>
      <c r="AL21" s="57">
        <f t="shared" si="21"/>
        <v>5.09283385419146E-2</v>
      </c>
      <c r="AM21" s="57">
        <f t="shared" si="21"/>
        <v>5.9743883219259303E-2</v>
      </c>
      <c r="AN21" s="57">
        <f t="shared" si="21"/>
        <v>3.9436731246289158E-2</v>
      </c>
      <c r="AO21" s="57">
        <f t="shared" si="21"/>
        <v>3.9935253476321986E-2</v>
      </c>
      <c r="AP21" s="57">
        <f t="shared" si="21"/>
        <v>3.9912060585714192E-2</v>
      </c>
      <c r="AQ21" s="57" t="e">
        <f t="shared" si="21"/>
        <v>#DIV/0!</v>
      </c>
      <c r="AR21" s="57" t="e">
        <f t="shared" si="21"/>
        <v>#DIV/0!</v>
      </c>
      <c r="AS21" s="57" t="e">
        <f t="shared" si="21"/>
        <v>#DIV/0!</v>
      </c>
      <c r="AT21" s="57" t="e">
        <f t="shared" si="21"/>
        <v>#DIV/0!</v>
      </c>
      <c r="AU21" s="57" t="e">
        <f t="shared" si="21"/>
        <v>#DIV/0!</v>
      </c>
      <c r="AV21" s="57" t="e">
        <f t="shared" si="21"/>
        <v>#DIV/0!</v>
      </c>
      <c r="AW21" s="57" t="e">
        <f t="shared" si="21"/>
        <v>#DIV/0!</v>
      </c>
      <c r="AX21" s="57" t="e">
        <f t="shared" si="21"/>
        <v>#DIV/0!</v>
      </c>
      <c r="AY21" s="57" t="e">
        <f t="shared" si="21"/>
        <v>#DIV/0!</v>
      </c>
      <c r="AZ21" s="57" t="e">
        <f t="shared" si="21"/>
        <v>#DIV/0!</v>
      </c>
      <c r="BA21" s="57" t="e">
        <f t="shared" si="21"/>
        <v>#DIV/0!</v>
      </c>
      <c r="BB21" s="57" t="e">
        <f t="shared" si="21"/>
        <v>#DIV/0!</v>
      </c>
      <c r="BC21" s="57" t="e">
        <f t="shared" si="21"/>
        <v>#DIV/0!</v>
      </c>
      <c r="BD21" s="57" t="e">
        <f t="shared" si="21"/>
        <v>#DIV/0!</v>
      </c>
      <c r="BE21" s="57" t="e">
        <f t="shared" si="21"/>
        <v>#DIV/0!</v>
      </c>
      <c r="BF21" s="57" t="e">
        <f t="shared" si="21"/>
        <v>#DIV/0!</v>
      </c>
      <c r="BG21" s="57" t="e">
        <f t="shared" si="21"/>
        <v>#DIV/0!</v>
      </c>
      <c r="BH21" s="57" t="e">
        <f t="shared" si="21"/>
        <v>#DIV/0!</v>
      </c>
      <c r="BI21" s="57" t="e">
        <f t="shared" si="21"/>
        <v>#DIV/0!</v>
      </c>
      <c r="BJ21" s="57" t="e">
        <f t="shared" si="21"/>
        <v>#DIV/0!</v>
      </c>
      <c r="BK21" s="57" t="e">
        <f t="shared" si="21"/>
        <v>#DIV/0!</v>
      </c>
      <c r="BL21" s="57" t="e">
        <f t="shared" si="21"/>
        <v>#DIV/0!</v>
      </c>
      <c r="BM21" s="57" t="e">
        <f t="shared" si="21"/>
        <v>#DIV/0!</v>
      </c>
      <c r="BN21" s="57" t="e">
        <f t="shared" si="21"/>
        <v>#DIV/0!</v>
      </c>
      <c r="BO21" s="57" t="e">
        <f t="shared" si="21"/>
        <v>#DIV/0!</v>
      </c>
      <c r="BP21" s="57" t="e">
        <f t="shared" si="21"/>
        <v>#DIV/0!</v>
      </c>
      <c r="BQ21" s="57" t="e">
        <f t="shared" si="21"/>
        <v>#DIV/0!</v>
      </c>
      <c r="BR21" s="57" t="e">
        <f t="shared" ref="BR21:CK21" si="22">BR20/BR2</f>
        <v>#DIV/0!</v>
      </c>
      <c r="BS21" s="57" t="e">
        <f t="shared" si="22"/>
        <v>#DIV/0!</v>
      </c>
      <c r="BT21" s="57" t="e">
        <f t="shared" si="22"/>
        <v>#DIV/0!</v>
      </c>
      <c r="BU21" s="57" t="e">
        <f t="shared" si="22"/>
        <v>#DIV/0!</v>
      </c>
      <c r="BV21" s="57" t="e">
        <f t="shared" si="22"/>
        <v>#DIV/0!</v>
      </c>
      <c r="BW21" s="57" t="e">
        <f t="shared" si="22"/>
        <v>#DIV/0!</v>
      </c>
      <c r="BX21" s="57" t="e">
        <f t="shared" si="22"/>
        <v>#DIV/0!</v>
      </c>
      <c r="BY21" s="57" t="e">
        <f t="shared" si="22"/>
        <v>#DIV/0!</v>
      </c>
      <c r="BZ21" s="57" t="e">
        <f t="shared" si="22"/>
        <v>#DIV/0!</v>
      </c>
      <c r="CA21" s="57" t="e">
        <f t="shared" si="22"/>
        <v>#DIV/0!</v>
      </c>
      <c r="CB21" s="57" t="e">
        <f t="shared" si="22"/>
        <v>#DIV/0!</v>
      </c>
      <c r="CC21" s="57" t="e">
        <f t="shared" si="22"/>
        <v>#DIV/0!</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66" customFormat="1" x14ac:dyDescent="0.25">
      <c r="A22" s="46" t="s">
        <v>370</v>
      </c>
      <c r="E22" s="66">
        <f>E11+E13+E15+E17+E19+E21</f>
        <v>0.22794843887151015</v>
      </c>
      <c r="F22" s="66">
        <f t="shared" ref="F22:BQ22" si="23">F11+F13+F15+F17+F19+F21</f>
        <v>0.23708419720125856</v>
      </c>
      <c r="G22" s="66">
        <f t="shared" si="23"/>
        <v>0.23996552228455537</v>
      </c>
      <c r="H22" s="66">
        <f t="shared" si="23"/>
        <v>0.27322413041239396</v>
      </c>
      <c r="I22" s="66">
        <f t="shared" si="23"/>
        <v>0.25569447483530938</v>
      </c>
      <c r="J22" s="66">
        <f t="shared" si="23"/>
        <v>0.25871153436255723</v>
      </c>
      <c r="K22" s="66">
        <f t="shared" si="23"/>
        <v>0.26878023340110641</v>
      </c>
      <c r="L22" s="66">
        <f t="shared" si="23"/>
        <v>0.27909078983334062</v>
      </c>
      <c r="M22" s="66">
        <f t="shared" si="23"/>
        <v>0.24532722851780731</v>
      </c>
      <c r="N22" s="66">
        <f t="shared" si="23"/>
        <v>0.24289010272428777</v>
      </c>
      <c r="O22" s="66">
        <f t="shared" si="23"/>
        <v>0.26456821107649009</v>
      </c>
      <c r="P22" s="66">
        <f t="shared" si="23"/>
        <v>0.28399694706220191</v>
      </c>
      <c r="Q22" s="66">
        <f t="shared" si="23"/>
        <v>0.25249887919680525</v>
      </c>
      <c r="R22" s="66">
        <f t="shared" si="23"/>
        <v>0.27136334554229352</v>
      </c>
      <c r="S22" s="66">
        <f t="shared" si="23"/>
        <v>0.29274405911856011</v>
      </c>
      <c r="T22" s="66">
        <f t="shared" si="23"/>
        <v>0.26416227125868263</v>
      </c>
      <c r="U22" s="66">
        <f t="shared" si="23"/>
        <v>0.25491315973692802</v>
      </c>
      <c r="V22" s="66">
        <f t="shared" si="23"/>
        <v>0.2710569858186011</v>
      </c>
      <c r="W22" s="66">
        <f t="shared" si="23"/>
        <v>0.28241523586111233</v>
      </c>
      <c r="X22" s="66">
        <f t="shared" si="23"/>
        <v>0.25343622007341254</v>
      </c>
      <c r="Y22" s="66">
        <f t="shared" si="23"/>
        <v>0.27145201375187211</v>
      </c>
      <c r="Z22" s="66">
        <f t="shared" si="23"/>
        <v>0.27941774157660926</v>
      </c>
      <c r="AA22" s="66">
        <f t="shared" si="23"/>
        <v>0.28411581352362619</v>
      </c>
      <c r="AB22" s="66">
        <f t="shared" si="23"/>
        <v>0.25797215943470964</v>
      </c>
      <c r="AC22" s="66">
        <f t="shared" si="23"/>
        <v>0.27998667393610133</v>
      </c>
      <c r="AD22" s="66">
        <f t="shared" si="23"/>
        <v>0.24700134898048945</v>
      </c>
      <c r="AE22" s="66">
        <f t="shared" si="23"/>
        <v>0.26387724986057653</v>
      </c>
      <c r="AF22" s="66">
        <f t="shared" si="23"/>
        <v>0.24113696017675004</v>
      </c>
      <c r="AG22" s="66">
        <f t="shared" si="23"/>
        <v>0.29316884130596721</v>
      </c>
      <c r="AH22" s="66">
        <f t="shared" si="23"/>
        <v>0.23629181956191314</v>
      </c>
      <c r="AI22" s="66">
        <f t="shared" si="23"/>
        <v>0.26163610830868672</v>
      </c>
      <c r="AJ22" s="66">
        <f t="shared" si="23"/>
        <v>0.23123382445086493</v>
      </c>
      <c r="AK22" s="66">
        <f t="shared" si="23"/>
        <v>0.26264988577435072</v>
      </c>
      <c r="AL22" s="66">
        <f t="shared" si="23"/>
        <v>0.2636834514618977</v>
      </c>
      <c r="AM22" s="66">
        <f t="shared" si="23"/>
        <v>0.30717042149625184</v>
      </c>
      <c r="AN22" s="66">
        <f t="shared" si="23"/>
        <v>0.2661992428645249</v>
      </c>
      <c r="AO22" s="66">
        <f t="shared" si="23"/>
        <v>0.24300052813025497</v>
      </c>
      <c r="AP22" s="66">
        <f t="shared" si="23"/>
        <v>0.23837780222443208</v>
      </c>
      <c r="AQ22" s="66" t="e">
        <f t="shared" si="23"/>
        <v>#DIV/0!</v>
      </c>
      <c r="AR22" s="66" t="e">
        <f t="shared" si="23"/>
        <v>#DIV/0!</v>
      </c>
      <c r="AS22" s="66" t="e">
        <f t="shared" si="23"/>
        <v>#DIV/0!</v>
      </c>
      <c r="AT22" s="66" t="e">
        <f t="shared" si="23"/>
        <v>#DIV/0!</v>
      </c>
      <c r="AU22" s="66" t="e">
        <f t="shared" si="23"/>
        <v>#DIV/0!</v>
      </c>
      <c r="AV22" s="66" t="e">
        <f t="shared" si="23"/>
        <v>#DIV/0!</v>
      </c>
      <c r="AW22" s="66" t="e">
        <f t="shared" si="23"/>
        <v>#DIV/0!</v>
      </c>
      <c r="AX22" s="66" t="e">
        <f t="shared" si="23"/>
        <v>#DIV/0!</v>
      </c>
      <c r="AY22" s="66" t="e">
        <f t="shared" si="23"/>
        <v>#DIV/0!</v>
      </c>
      <c r="AZ22" s="66" t="e">
        <f t="shared" si="23"/>
        <v>#DIV/0!</v>
      </c>
      <c r="BA22" s="66" t="e">
        <f t="shared" si="23"/>
        <v>#DIV/0!</v>
      </c>
      <c r="BB22" s="66" t="e">
        <f t="shared" si="23"/>
        <v>#DIV/0!</v>
      </c>
      <c r="BC22" s="66" t="e">
        <f t="shared" si="23"/>
        <v>#DIV/0!</v>
      </c>
      <c r="BD22" s="66" t="e">
        <f t="shared" si="23"/>
        <v>#DIV/0!</v>
      </c>
      <c r="BE22" s="66" t="e">
        <f t="shared" si="23"/>
        <v>#DIV/0!</v>
      </c>
      <c r="BF22" s="66" t="e">
        <f t="shared" si="23"/>
        <v>#DIV/0!</v>
      </c>
      <c r="BG22" s="66" t="e">
        <f t="shared" si="23"/>
        <v>#DIV/0!</v>
      </c>
      <c r="BH22" s="66" t="e">
        <f t="shared" si="23"/>
        <v>#DIV/0!</v>
      </c>
      <c r="BI22" s="66" t="e">
        <f t="shared" si="23"/>
        <v>#DIV/0!</v>
      </c>
      <c r="BJ22" s="66" t="e">
        <f t="shared" si="23"/>
        <v>#DIV/0!</v>
      </c>
      <c r="BK22" s="66" t="e">
        <f t="shared" si="23"/>
        <v>#DIV/0!</v>
      </c>
      <c r="BL22" s="66" t="e">
        <f t="shared" si="23"/>
        <v>#DIV/0!</v>
      </c>
      <c r="BM22" s="66" t="e">
        <f t="shared" si="23"/>
        <v>#DIV/0!</v>
      </c>
      <c r="BN22" s="66" t="e">
        <f t="shared" si="23"/>
        <v>#DIV/0!</v>
      </c>
      <c r="BO22" s="66" t="e">
        <f t="shared" si="23"/>
        <v>#DIV/0!</v>
      </c>
      <c r="BP22" s="66" t="e">
        <f t="shared" si="23"/>
        <v>#DIV/0!</v>
      </c>
      <c r="BQ22" s="66" t="e">
        <f t="shared" si="23"/>
        <v>#DIV/0!</v>
      </c>
      <c r="BR22" s="66" t="e">
        <f t="shared" ref="BR22:CJ22" si="24">BR11+BR13+BR15+BR17+BR19+BR21</f>
        <v>#DIV/0!</v>
      </c>
      <c r="BS22" s="66" t="e">
        <f t="shared" si="24"/>
        <v>#DIV/0!</v>
      </c>
      <c r="BT22" s="66" t="e">
        <f t="shared" si="24"/>
        <v>#DIV/0!</v>
      </c>
      <c r="BU22" s="66" t="e">
        <f t="shared" si="24"/>
        <v>#DIV/0!</v>
      </c>
      <c r="BV22" s="66" t="e">
        <f t="shared" si="24"/>
        <v>#DIV/0!</v>
      </c>
      <c r="BW22" s="66" t="e">
        <f t="shared" si="24"/>
        <v>#DIV/0!</v>
      </c>
      <c r="BX22" s="66" t="e">
        <f t="shared" si="24"/>
        <v>#DIV/0!</v>
      </c>
      <c r="BY22" s="66" t="e">
        <f t="shared" si="24"/>
        <v>#DIV/0!</v>
      </c>
      <c r="BZ22" s="66" t="e">
        <f t="shared" si="24"/>
        <v>#DIV/0!</v>
      </c>
      <c r="CA22" s="66" t="e">
        <f t="shared" si="24"/>
        <v>#DIV/0!</v>
      </c>
      <c r="CB22" s="66" t="e">
        <f t="shared" si="24"/>
        <v>#DIV/0!</v>
      </c>
      <c r="CC22" s="66" t="e">
        <f t="shared" si="24"/>
        <v>#DIV/0!</v>
      </c>
      <c r="CD22" s="66" t="e">
        <f t="shared" si="24"/>
        <v>#DIV/0!</v>
      </c>
      <c r="CE22" s="66" t="e">
        <f t="shared" si="24"/>
        <v>#DIV/0!</v>
      </c>
      <c r="CF22" s="66" t="e">
        <f t="shared" si="24"/>
        <v>#DIV/0!</v>
      </c>
      <c r="CG22" s="66" t="e">
        <f t="shared" si="24"/>
        <v>#DIV/0!</v>
      </c>
      <c r="CH22" s="66" t="e">
        <f t="shared" si="24"/>
        <v>#DIV/0!</v>
      </c>
      <c r="CI22" s="66" t="e">
        <f t="shared" si="24"/>
        <v>#DIV/0!</v>
      </c>
      <c r="CJ22" s="66" t="e">
        <f t="shared" si="24"/>
        <v>#DIV/0!</v>
      </c>
    </row>
    <row r="23" spans="1:89" s="27" customFormat="1" x14ac:dyDescent="0.25">
      <c r="A23" s="128" t="s">
        <v>371</v>
      </c>
      <c r="E23" s="27">
        <f>股权价值增加表!E17</f>
        <v>7747861829.6412401</v>
      </c>
      <c r="F23" s="27">
        <f>股权价值增加表!F17</f>
        <v>5198170403.9470339</v>
      </c>
      <c r="G23" s="27">
        <f>股权价值增加表!G17</f>
        <v>2585090613.2036266</v>
      </c>
      <c r="H23" s="27">
        <f>股权价值增加表!H17</f>
        <v>1473240798.0727448</v>
      </c>
      <c r="I23" s="27">
        <f>股权价值增加表!I17</f>
        <v>7235192253.7845078</v>
      </c>
      <c r="J23" s="27">
        <f>股权价值增加表!J17</f>
        <v>4711244320.9261093</v>
      </c>
      <c r="K23" s="27">
        <f>股权价值增加表!K17</f>
        <v>2509372204.4831424</v>
      </c>
      <c r="L23" s="27">
        <f>股权价值增加表!L17</f>
        <v>1130719462.0293686</v>
      </c>
      <c r="M23" s="27">
        <f>股权价值增加表!M17</f>
        <v>5624501923.0369005</v>
      </c>
      <c r="N23" s="27">
        <f>股权价值增加表!N17</f>
        <v>3632042146.1611905</v>
      </c>
      <c r="O23" s="27">
        <f>股权价值增加表!O17</f>
        <v>2122633012.999887</v>
      </c>
      <c r="P23" s="27">
        <f>股权价值增加表!P17</f>
        <v>1002071723.913475</v>
      </c>
      <c r="Q23" s="27">
        <f>股权价值增加表!Q17</f>
        <v>4457368227.1929827</v>
      </c>
      <c r="R23" s="27">
        <f>股权价值增加表!R17</f>
        <v>2585062195.3580022</v>
      </c>
      <c r="S23" s="27">
        <f>股权价值增加表!S17</f>
        <v>1448134501.4962809</v>
      </c>
      <c r="T23" s="27">
        <f>股权价值增加表!T17</f>
        <v>672732680.20506442</v>
      </c>
      <c r="U23" s="27">
        <f>股权价值增加表!U17</f>
        <v>2956232188.7639647</v>
      </c>
      <c r="V23" s="27">
        <f>股权价值增加表!V17</f>
        <v>1700702280.8909385</v>
      </c>
      <c r="W23" s="27">
        <f>股权价值增加表!W17</f>
        <v>942000555.74694157</v>
      </c>
      <c r="X23" s="27">
        <f>股权价值增加表!X17</f>
        <v>422138618.3564412</v>
      </c>
      <c r="Y23" s="27">
        <f>股权价值增加表!Y17</f>
        <v>2070883253.8309031</v>
      </c>
      <c r="Z23" s="27">
        <f>股权价值增加表!Z17</f>
        <v>1197653781.9139941</v>
      </c>
      <c r="AA23" s="27">
        <f>股权价值增加表!AA17</f>
        <v>700378492.57080543</v>
      </c>
      <c r="AB23" s="27">
        <f>股权价值增加表!AB17</f>
        <v>340310961.44933069</v>
      </c>
      <c r="AC23" s="27">
        <f>股权价值增加表!AC17</f>
        <v>1407669831.4786239</v>
      </c>
      <c r="AD23" s="27">
        <f>股权价值增加表!AD17</f>
        <v>826746006.47127163</v>
      </c>
      <c r="AE23" s="27">
        <f>股权价值增加表!AE17</f>
        <v>497377672.31600881</v>
      </c>
      <c r="AF23" s="27">
        <f>股权价值增加表!AF17</f>
        <v>246652937.60032842</v>
      </c>
      <c r="AG23" s="27">
        <f>股权价值增加表!AG17</f>
        <v>1029069097.2735004</v>
      </c>
      <c r="AH23" s="27">
        <f>股权价值增加表!AH17</f>
        <v>653806366.862517</v>
      </c>
      <c r="AI23" s="27">
        <f>股权价值增加表!AI17</f>
        <v>372301839.12449437</v>
      </c>
      <c r="AJ23" s="27">
        <f>股权价值增加表!AJ17</f>
        <v>204487191.33814475</v>
      </c>
      <c r="AK23" s="27">
        <f>股权价值增加表!AK17</f>
        <v>698620924.44489491</v>
      </c>
      <c r="AL23" s="27">
        <f>股权价值增加表!AL17</f>
        <v>470676697.32173109</v>
      </c>
      <c r="AM23" s="27">
        <f>股权价值增加表!AM17</f>
        <v>243573482.53892973</v>
      </c>
      <c r="AN23" s="27">
        <f>股权价值增加表!AN17</f>
        <v>132994277.50921516</v>
      </c>
      <c r="AO23" s="27">
        <f>股权价值增加表!AO17</f>
        <v>545952972.04744172</v>
      </c>
      <c r="AP23" s="27">
        <f>股权价值增加表!AP17</f>
        <v>361564809.52664793</v>
      </c>
      <c r="AQ23" s="27" t="e">
        <f>股权价值增加表!AQ17</f>
        <v>#DIV/0!</v>
      </c>
      <c r="AR23" s="27">
        <f>股权价值增加表!AR17</f>
        <v>0</v>
      </c>
      <c r="AS23" s="27">
        <f>股权价值增加表!AS17</f>
        <v>0</v>
      </c>
      <c r="AT23" s="27">
        <f>股权价值增加表!AT17</f>
        <v>0</v>
      </c>
      <c r="AU23" s="27">
        <f>股权价值增加表!AU17</f>
        <v>0</v>
      </c>
      <c r="AV23" s="27">
        <f>股权价值增加表!AV17</f>
        <v>0</v>
      </c>
      <c r="AW23" s="27">
        <f>股权价值增加表!AW17</f>
        <v>0</v>
      </c>
      <c r="AX23" s="27">
        <f>股权价值增加表!AX17</f>
        <v>0</v>
      </c>
      <c r="AY23" s="27">
        <f>股权价值增加表!AY17</f>
        <v>0</v>
      </c>
      <c r="AZ23" s="27">
        <f>股权价值增加表!AZ17</f>
        <v>0</v>
      </c>
      <c r="BA23" s="27">
        <f>股权价值增加表!BA17</f>
        <v>0</v>
      </c>
      <c r="BB23" s="27">
        <f>股权价值增加表!BB17</f>
        <v>0</v>
      </c>
      <c r="BC23" s="27">
        <f>股权价值增加表!BC17</f>
        <v>0</v>
      </c>
      <c r="BD23" s="27">
        <f>股权价值增加表!BD17</f>
        <v>0</v>
      </c>
      <c r="BE23" s="27">
        <f>股权价值增加表!BE17</f>
        <v>0</v>
      </c>
      <c r="BF23" s="27">
        <f>股权价值增加表!BF17</f>
        <v>0</v>
      </c>
      <c r="BG23" s="27">
        <f>股权价值增加表!BG17</f>
        <v>0</v>
      </c>
      <c r="BH23" s="27">
        <f>股权价值增加表!BH17</f>
        <v>0</v>
      </c>
      <c r="BI23" s="27">
        <f>股权价值增加表!BI17</f>
        <v>0</v>
      </c>
      <c r="BJ23" s="27">
        <f>股权价值增加表!BJ17</f>
        <v>0</v>
      </c>
      <c r="BK23" s="27">
        <f>股权价值增加表!BK17</f>
        <v>0</v>
      </c>
      <c r="BL23" s="27">
        <f>股权价值增加表!BL17</f>
        <v>0</v>
      </c>
      <c r="BM23" s="27">
        <f>股权价值增加表!BM17</f>
        <v>0</v>
      </c>
      <c r="BN23" s="27">
        <f>股权价值增加表!BN17</f>
        <v>0</v>
      </c>
      <c r="BO23" s="27">
        <f>股权价值增加表!BO17</f>
        <v>0</v>
      </c>
      <c r="BP23" s="27">
        <f>股权价值增加表!BP17</f>
        <v>0</v>
      </c>
      <c r="BQ23" s="27">
        <f>股权价值增加表!BQ17</f>
        <v>0</v>
      </c>
      <c r="BR23" s="27">
        <f>股权价值增加表!BR17</f>
        <v>0</v>
      </c>
      <c r="BS23" s="27">
        <f>股权价值增加表!BS17</f>
        <v>0</v>
      </c>
      <c r="BT23" s="27">
        <f>股权价值增加表!BT17</f>
        <v>0</v>
      </c>
      <c r="BU23" s="27">
        <f>股权价值增加表!BU17</f>
        <v>0</v>
      </c>
      <c r="BV23" s="27">
        <f>股权价值增加表!BV17</f>
        <v>0</v>
      </c>
      <c r="BW23" s="27">
        <f>股权价值增加表!BW17</f>
        <v>0</v>
      </c>
      <c r="BX23" s="27">
        <f>股权价值增加表!BX17</f>
        <v>0</v>
      </c>
      <c r="BY23" s="27">
        <f>股权价值增加表!BY17</f>
        <v>0</v>
      </c>
      <c r="BZ23" s="27">
        <f>股权价值增加表!BZ17</f>
        <v>0</v>
      </c>
      <c r="CA23" s="27">
        <f>股权价值增加表!CA17</f>
        <v>0</v>
      </c>
      <c r="CB23" s="27">
        <f>股权价值增加表!CB17</f>
        <v>0</v>
      </c>
      <c r="CC23" s="27">
        <f>股权价值增加表!CC17</f>
        <v>0</v>
      </c>
      <c r="CD23" s="27" t="e">
        <f>股权价值增加表!CD17</f>
        <v>#DIV/0!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372</v>
      </c>
      <c r="E24" s="57">
        <f>E23/E2</f>
        <v>0.18488900409750239</v>
      </c>
      <c r="F24" s="57">
        <f t="shared" ref="F24:BQ24" si="25">F23/F2</f>
        <v>0.18745830286826612</v>
      </c>
      <c r="G24" s="57">
        <f t="shared" si="25"/>
        <v>0.15717187218363787</v>
      </c>
      <c r="H24" s="57">
        <f t="shared" si="25"/>
        <v>0.20915651675097613</v>
      </c>
      <c r="I24" s="57">
        <f t="shared" si="25"/>
        <v>0.22663787505635444</v>
      </c>
      <c r="J24" s="57">
        <f t="shared" si="25"/>
        <v>0.22289646997689261</v>
      </c>
      <c r="K24" s="57">
        <f t="shared" si="25"/>
        <v>0.19997867895251764</v>
      </c>
      <c r="L24" s="57">
        <f t="shared" si="25"/>
        <v>0.21745816147583524</v>
      </c>
      <c r="M24" s="57">
        <f t="shared" si="25"/>
        <v>0.22256400863519774</v>
      </c>
      <c r="N24" s="57">
        <f t="shared" si="25"/>
        <v>0.21777916283815849</v>
      </c>
      <c r="O24" s="57">
        <f t="shared" si="25"/>
        <v>0.2166752060769512</v>
      </c>
      <c r="P24" s="57">
        <f t="shared" si="25"/>
        <v>0.23369500028719656</v>
      </c>
      <c r="Q24" s="57">
        <f t="shared" si="25"/>
        <v>0.25865135120560617</v>
      </c>
      <c r="R24" s="57">
        <f t="shared" si="25"/>
        <v>0.24227823338251325</v>
      </c>
      <c r="S24" s="57">
        <f t="shared" si="25"/>
        <v>0.24071163356569539</v>
      </c>
      <c r="T24" s="57">
        <f t="shared" si="25"/>
        <v>0.25927592695278806</v>
      </c>
      <c r="U24" s="57">
        <f t="shared" si="25"/>
        <v>0.27510308604745609</v>
      </c>
      <c r="V24" s="57">
        <f t="shared" si="25"/>
        <v>0.2479014446719161</v>
      </c>
      <c r="W24" s="57">
        <f t="shared" si="25"/>
        <v>0.24100748626786583</v>
      </c>
      <c r="X24" s="57">
        <f t="shared" si="25"/>
        <v>0.24870778307007083</v>
      </c>
      <c r="Y24" s="57">
        <f t="shared" si="25"/>
        <v>0.28707287022126599</v>
      </c>
      <c r="Z24" s="57">
        <f t="shared" si="25"/>
        <v>0.24962315143342792</v>
      </c>
      <c r="AA24" s="57">
        <f t="shared" si="25"/>
        <v>0.2484775218046773</v>
      </c>
      <c r="AB24" s="57">
        <f t="shared" si="25"/>
        <v>0.26326029791438194</v>
      </c>
      <c r="AC24" s="57">
        <f t="shared" si="25"/>
        <v>0.26906857100405462</v>
      </c>
      <c r="AD24" s="57">
        <f t="shared" si="25"/>
        <v>0.23941745164590345</v>
      </c>
      <c r="AE24" s="57">
        <f t="shared" si="25"/>
        <v>0.23893101975012113</v>
      </c>
      <c r="AF24" s="57">
        <f t="shared" si="25"/>
        <v>0.26524311415015339</v>
      </c>
      <c r="AG24" s="57">
        <f t="shared" si="25"/>
        <v>0.28541827222011262</v>
      </c>
      <c r="AH24" s="57">
        <f t="shared" si="25"/>
        <v>0.27320748458772209</v>
      </c>
      <c r="AI24" s="57">
        <f t="shared" si="25"/>
        <v>0.26549285097871678</v>
      </c>
      <c r="AJ24" s="57">
        <f t="shared" si="25"/>
        <v>0.29752026674552418</v>
      </c>
      <c r="AK24" s="57">
        <f t="shared" si="25"/>
        <v>0.33243708843919401</v>
      </c>
      <c r="AL24" s="57">
        <f t="shared" si="25"/>
        <v>0.32763861378536568</v>
      </c>
      <c r="AM24" s="57">
        <f t="shared" si="25"/>
        <v>0.29107606880587167</v>
      </c>
      <c r="AN24" s="57">
        <f t="shared" si="25"/>
        <v>0.32995685490229387</v>
      </c>
      <c r="AO24" s="57">
        <f t="shared" si="25"/>
        <v>0.31332105017185941</v>
      </c>
      <c r="AP24" s="57">
        <f t="shared" si="25"/>
        <v>0.30524319735660682</v>
      </c>
      <c r="AQ24" s="57" t="e">
        <f t="shared" si="25"/>
        <v>#DIV/0!</v>
      </c>
      <c r="AR24" s="57" t="e">
        <f t="shared" si="25"/>
        <v>#DIV/0!</v>
      </c>
      <c r="AS24" s="57" t="e">
        <f t="shared" si="25"/>
        <v>#DIV/0!</v>
      </c>
      <c r="AT24" s="57" t="e">
        <f t="shared" si="25"/>
        <v>#DIV/0!</v>
      </c>
      <c r="AU24" s="57" t="e">
        <f t="shared" si="25"/>
        <v>#DIV/0!</v>
      </c>
      <c r="AV24" s="57" t="e">
        <f t="shared" si="25"/>
        <v>#DIV/0!</v>
      </c>
      <c r="AW24" s="57" t="e">
        <f t="shared" si="25"/>
        <v>#DIV/0!</v>
      </c>
      <c r="AX24" s="57" t="e">
        <f t="shared" si="25"/>
        <v>#DIV/0!</v>
      </c>
      <c r="AY24" s="57" t="e">
        <f t="shared" si="25"/>
        <v>#DIV/0!</v>
      </c>
      <c r="AZ24" s="57" t="e">
        <f t="shared" si="25"/>
        <v>#DIV/0!</v>
      </c>
      <c r="BA24" s="57" t="e">
        <f t="shared" si="25"/>
        <v>#DIV/0!</v>
      </c>
      <c r="BB24" s="57" t="e">
        <f t="shared" si="25"/>
        <v>#DIV/0!</v>
      </c>
      <c r="BC24" s="57" t="e">
        <f t="shared" si="25"/>
        <v>#DIV/0!</v>
      </c>
      <c r="BD24" s="57" t="e">
        <f t="shared" si="25"/>
        <v>#DIV/0!</v>
      </c>
      <c r="BE24" s="57" t="e">
        <f t="shared" si="25"/>
        <v>#DIV/0!</v>
      </c>
      <c r="BF24" s="57" t="e">
        <f t="shared" si="25"/>
        <v>#DIV/0!</v>
      </c>
      <c r="BG24" s="57" t="e">
        <f t="shared" si="25"/>
        <v>#DIV/0!</v>
      </c>
      <c r="BH24" s="57" t="e">
        <f t="shared" si="25"/>
        <v>#DIV/0!</v>
      </c>
      <c r="BI24" s="57" t="e">
        <f t="shared" si="25"/>
        <v>#DIV/0!</v>
      </c>
      <c r="BJ24" s="57" t="e">
        <f t="shared" si="25"/>
        <v>#DIV/0!</v>
      </c>
      <c r="BK24" s="57" t="e">
        <f t="shared" si="25"/>
        <v>#DIV/0!</v>
      </c>
      <c r="BL24" s="57" t="e">
        <f t="shared" si="25"/>
        <v>#DIV/0!</v>
      </c>
      <c r="BM24" s="57" t="e">
        <f t="shared" si="25"/>
        <v>#DIV/0!</v>
      </c>
      <c r="BN24" s="57" t="e">
        <f t="shared" si="25"/>
        <v>#DIV/0!</v>
      </c>
      <c r="BO24" s="57" t="e">
        <f t="shared" si="25"/>
        <v>#DIV/0!</v>
      </c>
      <c r="BP24" s="57" t="e">
        <f t="shared" si="25"/>
        <v>#DIV/0!</v>
      </c>
      <c r="BQ24" s="57" t="e">
        <f t="shared" si="25"/>
        <v>#DIV/0!</v>
      </c>
      <c r="BR24" s="57" t="e">
        <f t="shared" ref="BR24:CJ24" si="26">BR23/BR2</f>
        <v>#DIV/0!</v>
      </c>
      <c r="BS24" s="57" t="e">
        <f t="shared" si="26"/>
        <v>#DIV/0!</v>
      </c>
      <c r="BT24" s="57" t="e">
        <f t="shared" si="26"/>
        <v>#DIV/0!</v>
      </c>
      <c r="BU24" s="57" t="e">
        <f t="shared" si="26"/>
        <v>#DIV/0!</v>
      </c>
      <c r="BV24" s="57" t="e">
        <f t="shared" si="26"/>
        <v>#DIV/0!</v>
      </c>
      <c r="BW24" s="57" t="e">
        <f t="shared" si="26"/>
        <v>#DIV/0!</v>
      </c>
      <c r="BX24" s="57" t="e">
        <f t="shared" si="26"/>
        <v>#DIV/0!</v>
      </c>
      <c r="BY24" s="57" t="e">
        <f t="shared" si="26"/>
        <v>#DIV/0!</v>
      </c>
      <c r="BZ24" s="57" t="e">
        <f t="shared" si="26"/>
        <v>#DIV/0!</v>
      </c>
      <c r="CA24" s="57" t="e">
        <f t="shared" si="26"/>
        <v>#DIV/0!</v>
      </c>
      <c r="CB24" s="57" t="e">
        <f t="shared" si="26"/>
        <v>#DIV/0!</v>
      </c>
      <c r="CC24" s="57" t="e">
        <f t="shared" si="26"/>
        <v>#DIV/0!</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369.6" customHeight="1" thickBot="1" x14ac:dyDescent="0.3">
      <c r="A25" s="285" t="s">
        <v>671</v>
      </c>
      <c r="B25" s="286"/>
      <c r="C25" s="286"/>
      <c r="D25" s="286"/>
      <c r="E25" s="286"/>
      <c r="F25" s="286"/>
      <c r="G25" s="286"/>
      <c r="H25" s="286"/>
      <c r="I25" s="286"/>
      <c r="J25" s="286"/>
      <c r="K25" s="286"/>
      <c r="L25" s="286"/>
      <c r="M25" s="286"/>
      <c r="N25" s="286"/>
      <c r="O25" s="286"/>
      <c r="P25" s="286"/>
      <c r="Q25" s="286"/>
      <c r="R25" s="286"/>
      <c r="S25" s="286"/>
      <c r="T25" s="286"/>
      <c r="U25" s="286"/>
      <c r="V25" s="286"/>
      <c r="W25" s="286"/>
      <c r="X25" s="286"/>
      <c r="Y25" s="286"/>
      <c r="Z25" s="286"/>
      <c r="AA25" s="286"/>
      <c r="AB25" s="286"/>
      <c r="AC25" s="286"/>
      <c r="AD25" s="286"/>
      <c r="AE25" s="286"/>
      <c r="AF25" s="286"/>
      <c r="AG25" s="286"/>
    </row>
    <row r="26" spans="1:89" s="63" customFormat="1" ht="15" thickBot="1" x14ac:dyDescent="0.3">
      <c r="A26" s="151" t="s">
        <v>601</v>
      </c>
      <c r="B26" s="152"/>
      <c r="C26" s="152"/>
      <c r="D26" s="152"/>
      <c r="E26" s="153">
        <f>POWER(E2/Y2,1/6)-1</f>
        <v>0.34076054050319682</v>
      </c>
    </row>
    <row r="27" spans="1:89" s="26" customFormat="1" x14ac:dyDescent="0.25">
      <c r="A27" s="20" t="s">
        <v>378</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39447</v>
      </c>
      <c r="AQ27" s="1">
        <v>25569</v>
      </c>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row>
    <row r="28" spans="1:89" s="26" customFormat="1" x14ac:dyDescent="0.25">
      <c r="A28" s="17" t="s">
        <v>374</v>
      </c>
      <c r="E28" s="26">
        <f>股权价值增加表!E15</f>
        <v>8973295760.3600025</v>
      </c>
      <c r="F28" s="26">
        <f>股权价值增加表!F15</f>
        <v>5876602242.0200005</v>
      </c>
      <c r="G28" s="26">
        <f>股权价值增加表!G15</f>
        <v>3144473830.8299999</v>
      </c>
      <c r="H28" s="26">
        <f>股权价值增加表!H15</f>
        <v>1789569384.8099995</v>
      </c>
      <c r="I28" s="26">
        <f>股权价值增加表!I15</f>
        <v>8071686307.71</v>
      </c>
      <c r="J28" s="26">
        <f>股权价值增加表!J15</f>
        <v>5194718952.1700001</v>
      </c>
      <c r="K28" s="26">
        <f>股权价值增加表!K15</f>
        <v>2927000903.9500008</v>
      </c>
      <c r="L28" s="26">
        <f>股权价值增加表!L15</f>
        <v>1373186455.1499994</v>
      </c>
      <c r="M28" s="26">
        <f>股权价值增加表!M15</f>
        <v>6446933116.2699976</v>
      </c>
      <c r="N28" s="26">
        <f>股权价值增加表!N15</f>
        <v>4262578392.29</v>
      </c>
      <c r="O28" s="26">
        <f>股权价值增加表!O15</f>
        <v>2507249695.3099995</v>
      </c>
      <c r="P28" s="26">
        <f>股权价值增加表!P15</f>
        <v>1181990120.73</v>
      </c>
      <c r="Q28" s="26">
        <f>股权价值增加表!Q15</f>
        <v>4961061731.8899994</v>
      </c>
      <c r="R28" s="26">
        <f>股权价值增加表!R15</f>
        <v>2939663148.1899996</v>
      </c>
      <c r="S28" s="26">
        <f>股权价值增加表!S15</f>
        <v>1618524897.4800005</v>
      </c>
      <c r="T28" s="26">
        <f>股权价值增加表!T15</f>
        <v>757176662.8900001</v>
      </c>
      <c r="U28" s="26">
        <f>股权价值增加表!U15</f>
        <v>3255798427.21</v>
      </c>
      <c r="V28" s="26">
        <f>股权价值增加表!V15</f>
        <v>1963058374.8099997</v>
      </c>
      <c r="W28" s="26">
        <f>股权价值增加表!W15</f>
        <v>1067201847.8300002</v>
      </c>
      <c r="X28" s="26">
        <f>股权价值增加表!X15</f>
        <v>495571291.93000007</v>
      </c>
      <c r="Y28" s="26">
        <f>股权价值增加表!Y15</f>
        <v>2238884151.1900005</v>
      </c>
      <c r="Z28" s="26">
        <f>股权价值增加表!Z15</f>
        <v>1398687349.28</v>
      </c>
      <c r="AA28" s="26">
        <f>股权价值增加表!AA15</f>
        <v>809660671.43999958</v>
      </c>
      <c r="AB28" s="26">
        <f>股权价值增加表!AB15</f>
        <v>396155380.38999993</v>
      </c>
      <c r="AC28" s="26">
        <f>股权价值增加表!AC15</f>
        <v>1643906808.3600006</v>
      </c>
      <c r="AD28" s="26">
        <f>股权价值增加表!AD15</f>
        <v>961521620.20999992</v>
      </c>
      <c r="AE28" s="26">
        <f>股权价值增加表!AE15</f>
        <v>570218724.06000018</v>
      </c>
      <c r="AF28" s="26">
        <f>股权价值增加表!AF15</f>
        <v>290648214.15999991</v>
      </c>
      <c r="AG28" s="26">
        <f>股权价值增加表!AG15</f>
        <v>1118358923.95</v>
      </c>
      <c r="AH28" s="26">
        <f>股权价值增加表!AH15</f>
        <v>748820959.97000015</v>
      </c>
      <c r="AI28" s="26">
        <f>股权价值增加表!AI15</f>
        <v>424650214.25999987</v>
      </c>
      <c r="AJ28" s="26">
        <f>股权价值增加表!AJ15</f>
        <v>238930203.75999996</v>
      </c>
      <c r="AK28" s="26">
        <f>股权价值增加表!AK15</f>
        <v>758138313.30999994</v>
      </c>
      <c r="AL28" s="26">
        <f>股权价值增加表!AL15</f>
        <v>529713983.31999981</v>
      </c>
      <c r="AM28" s="26">
        <f>股权价值增加表!AM15</f>
        <v>290302442.64999998</v>
      </c>
      <c r="AN28" s="26">
        <f>股权价值增加表!AN15</f>
        <v>145181162.31</v>
      </c>
      <c r="AO28" s="26">
        <f>股权价值增加表!AO15</f>
        <v>601702495.53000009</v>
      </c>
      <c r="AP28" s="26">
        <f>股权价值增加表!AP15</f>
        <v>387175153.10999995</v>
      </c>
      <c r="AQ28" s="26">
        <f>股权价值增加表!AQ15</f>
        <v>0</v>
      </c>
      <c r="AR28" s="26">
        <f>股权价值增加表!AR15</f>
        <v>0</v>
      </c>
      <c r="AS28" s="26">
        <f>股权价值增加表!AS15</f>
        <v>0</v>
      </c>
      <c r="AT28" s="26">
        <f>股权价值增加表!AT15</f>
        <v>0</v>
      </c>
      <c r="AU28" s="26">
        <f>股权价值增加表!AU15</f>
        <v>0</v>
      </c>
      <c r="AV28" s="26">
        <f>股权价值增加表!AV15</f>
        <v>0</v>
      </c>
      <c r="AW28" s="26">
        <f>股权价值增加表!AW15</f>
        <v>0</v>
      </c>
      <c r="AX28" s="26">
        <f>股权价值增加表!AX15</f>
        <v>0</v>
      </c>
      <c r="AY28" s="26">
        <f>股权价值增加表!AY15</f>
        <v>0</v>
      </c>
      <c r="AZ28" s="26">
        <f>股权价值增加表!AZ15</f>
        <v>0</v>
      </c>
      <c r="BA28" s="26">
        <f>股权价值增加表!BA15</f>
        <v>0</v>
      </c>
      <c r="BB28" s="26">
        <f>股权价值增加表!BB15</f>
        <v>0</v>
      </c>
      <c r="BC28" s="26">
        <f>股权价值增加表!BC15</f>
        <v>0</v>
      </c>
      <c r="BD28" s="26">
        <f>股权价值增加表!BD15</f>
        <v>0</v>
      </c>
      <c r="BE28" s="26">
        <f>股权价值增加表!BE15</f>
        <v>0</v>
      </c>
      <c r="BF28" s="26">
        <f>股权价值增加表!BF15</f>
        <v>0</v>
      </c>
      <c r="BG28" s="26">
        <f>股权价值增加表!BG15</f>
        <v>0</v>
      </c>
      <c r="BH28" s="26">
        <f>股权价值增加表!BH15</f>
        <v>0</v>
      </c>
      <c r="BI28" s="26">
        <f>股权价值增加表!BI15</f>
        <v>0</v>
      </c>
      <c r="BJ28" s="26">
        <f>股权价值增加表!BJ15</f>
        <v>0</v>
      </c>
      <c r="BK28" s="26">
        <f>股权价值增加表!BK15</f>
        <v>0</v>
      </c>
      <c r="BL28" s="26">
        <f>股权价值增加表!BL15</f>
        <v>0</v>
      </c>
      <c r="BM28" s="26">
        <f>股权价值增加表!BM15</f>
        <v>0</v>
      </c>
      <c r="BN28" s="26">
        <f>股权价值增加表!BN15</f>
        <v>0</v>
      </c>
      <c r="BO28" s="26">
        <f>股权价值增加表!BO15</f>
        <v>0</v>
      </c>
      <c r="BP28" s="26">
        <f>股权价值增加表!BP15</f>
        <v>0</v>
      </c>
      <c r="BQ28" s="26">
        <f>股权价值增加表!BQ15</f>
        <v>0</v>
      </c>
      <c r="BR28" s="26">
        <f>股权价值增加表!BR15</f>
        <v>0</v>
      </c>
      <c r="BS28" s="26">
        <f>股权价值增加表!BS15</f>
        <v>0</v>
      </c>
      <c r="BT28" s="26">
        <f>股权价值增加表!BT15</f>
        <v>0</v>
      </c>
      <c r="BU28" s="26">
        <f>股权价值增加表!BU15</f>
        <v>0</v>
      </c>
      <c r="BV28" s="26">
        <f>股权价值增加表!BV15</f>
        <v>0</v>
      </c>
      <c r="BW28" s="26">
        <f>股权价值增加表!BW15</f>
        <v>0</v>
      </c>
      <c r="BX28" s="26">
        <f>股权价值增加表!BX15</f>
        <v>0</v>
      </c>
      <c r="BY28" s="26">
        <f>股权价值增加表!BY15</f>
        <v>0</v>
      </c>
      <c r="BZ28" s="26">
        <f>股权价值增加表!BZ15</f>
        <v>0</v>
      </c>
      <c r="CA28" s="26">
        <f>股权价值增加表!CA15</f>
        <v>0</v>
      </c>
      <c r="CB28" s="26">
        <f>股权价值增加表!CB15</f>
        <v>0</v>
      </c>
      <c r="CC28" s="26">
        <f>股权价值增加表!CC15</f>
        <v>0</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46" t="s">
        <v>379</v>
      </c>
      <c r="E29" s="59">
        <f t="shared" ref="E29:AJ29" si="27">E28/E34</f>
        <v>1.036344287245623</v>
      </c>
      <c r="F29" s="59">
        <f t="shared" si="27"/>
        <v>0.9866055125169233</v>
      </c>
      <c r="G29" s="59">
        <f t="shared" si="27"/>
        <v>0.96393079133100956</v>
      </c>
      <c r="H29" s="59">
        <f t="shared" si="27"/>
        <v>0.98151407816183722</v>
      </c>
      <c r="I29" s="59">
        <f t="shared" si="27"/>
        <v>0.98718495889718705</v>
      </c>
      <c r="J29" s="59">
        <f t="shared" si="27"/>
        <v>0.97530672936136231</v>
      </c>
      <c r="K29" s="59">
        <f t="shared" si="27"/>
        <v>0.99765226160670084</v>
      </c>
      <c r="L29" s="59">
        <f t="shared" si="27"/>
        <v>1.0013178524267106</v>
      </c>
      <c r="M29" s="59">
        <f t="shared" si="27"/>
        <v>0.94698013110457069</v>
      </c>
      <c r="N29" s="59">
        <f t="shared" si="27"/>
        <v>0.98547724149450522</v>
      </c>
      <c r="O29" s="59">
        <f t="shared" si="27"/>
        <v>0.97759522306192004</v>
      </c>
      <c r="P29" s="59">
        <f t="shared" si="27"/>
        <v>0.97662190032340956</v>
      </c>
      <c r="Q29" s="59">
        <f t="shared" si="27"/>
        <v>0.94503094572604052</v>
      </c>
      <c r="R29" s="59">
        <f t="shared" si="27"/>
        <v>0.97152878551086308</v>
      </c>
      <c r="S29" s="59">
        <f t="shared" si="27"/>
        <v>0.9702662737942811</v>
      </c>
      <c r="T29" s="59">
        <f t="shared" si="27"/>
        <v>0.99661090328392088</v>
      </c>
      <c r="U29" s="59">
        <f t="shared" si="27"/>
        <v>0.96119181800221531</v>
      </c>
      <c r="V29" s="59">
        <f t="shared" si="27"/>
        <v>0.99261936123190353</v>
      </c>
      <c r="W29" s="59">
        <f t="shared" si="27"/>
        <v>0.98923693685685365</v>
      </c>
      <c r="X29" s="59">
        <f t="shared" si="27"/>
        <v>0.99101612590132504</v>
      </c>
      <c r="Y29" s="59">
        <f t="shared" si="27"/>
        <v>0.96789910555720571</v>
      </c>
      <c r="Z29" s="59">
        <f t="shared" si="27"/>
        <v>1.0000352805370929</v>
      </c>
      <c r="AA29" s="59">
        <f t="shared" si="27"/>
        <v>1.000798801277569</v>
      </c>
      <c r="AB29" s="59">
        <f t="shared" si="27"/>
        <v>0.99825890396025119</v>
      </c>
      <c r="AC29" s="59">
        <f t="shared" si="27"/>
        <v>0.95058750767311173</v>
      </c>
      <c r="AD29" s="59">
        <f t="shared" si="27"/>
        <v>0.99650811170477582</v>
      </c>
      <c r="AE29" s="59">
        <f t="shared" si="27"/>
        <v>0.99451171765176605</v>
      </c>
      <c r="AF29" s="59">
        <f t="shared" si="27"/>
        <v>0.99340183451159569</v>
      </c>
      <c r="AG29" s="59">
        <f t="shared" si="27"/>
        <v>0.9761706222444152</v>
      </c>
      <c r="AH29" s="59">
        <f t="shared" si="27"/>
        <v>0.99915822387214692</v>
      </c>
      <c r="AI29" s="59">
        <f t="shared" si="27"/>
        <v>0.99926175581167742</v>
      </c>
      <c r="AJ29" s="59">
        <f t="shared" si="27"/>
        <v>0.99731917570041995</v>
      </c>
      <c r="AK29" s="59">
        <f t="shared" ref="AK29:BP29" si="28">AK28/AK34</f>
        <v>1.0006690107705984</v>
      </c>
      <c r="AL29" s="59">
        <f t="shared" si="28"/>
        <v>1.00456176432001</v>
      </c>
      <c r="AM29" s="59">
        <f t="shared" si="28"/>
        <v>1.005291033792215</v>
      </c>
      <c r="AN29" s="59">
        <f t="shared" si="28"/>
        <v>1</v>
      </c>
      <c r="AO29" s="59">
        <f t="shared" si="28"/>
        <v>1.0033874766518773</v>
      </c>
      <c r="AP29" s="59">
        <f t="shared" si="28"/>
        <v>0.99812076147901063</v>
      </c>
      <c r="AQ29" s="59" t="e">
        <f t="shared" si="28"/>
        <v>#DIV/0!</v>
      </c>
      <c r="AR29" s="59" t="e">
        <f t="shared" si="28"/>
        <v>#DIV/0!</v>
      </c>
      <c r="AS29" s="59">
        <f t="shared" si="28"/>
        <v>0</v>
      </c>
      <c r="AT29" s="59">
        <f t="shared" si="28"/>
        <v>0</v>
      </c>
      <c r="AU29" s="59">
        <f t="shared" si="28"/>
        <v>0</v>
      </c>
      <c r="AV29" s="59">
        <f t="shared" si="28"/>
        <v>0</v>
      </c>
      <c r="AW29" s="59">
        <f t="shared" si="28"/>
        <v>0</v>
      </c>
      <c r="AX29" s="59">
        <f t="shared" si="28"/>
        <v>0</v>
      </c>
      <c r="AY29" s="59">
        <f t="shared" si="28"/>
        <v>0</v>
      </c>
      <c r="AZ29" s="59">
        <f t="shared" si="28"/>
        <v>0</v>
      </c>
      <c r="BA29" s="59">
        <f t="shared" si="28"/>
        <v>0</v>
      </c>
      <c r="BB29" s="59">
        <f t="shared" si="28"/>
        <v>0</v>
      </c>
      <c r="BC29" s="59">
        <f t="shared" si="28"/>
        <v>0</v>
      </c>
      <c r="BD29" s="59" t="e">
        <f t="shared" si="28"/>
        <v>#DIV/0!</v>
      </c>
      <c r="BE29" s="59">
        <f t="shared" si="28"/>
        <v>0</v>
      </c>
      <c r="BF29" s="59">
        <f t="shared" si="28"/>
        <v>0</v>
      </c>
      <c r="BG29" s="59">
        <f t="shared" si="28"/>
        <v>0</v>
      </c>
      <c r="BH29" s="59">
        <f t="shared" si="28"/>
        <v>0</v>
      </c>
      <c r="BI29" s="59">
        <f t="shared" si="28"/>
        <v>0</v>
      </c>
      <c r="BJ29" s="59">
        <f t="shared" si="28"/>
        <v>0</v>
      </c>
      <c r="BK29" s="59">
        <f t="shared" si="28"/>
        <v>0</v>
      </c>
      <c r="BL29" s="59">
        <f t="shared" si="28"/>
        <v>0</v>
      </c>
      <c r="BM29" s="59">
        <f t="shared" si="28"/>
        <v>0</v>
      </c>
      <c r="BN29" s="59">
        <f t="shared" si="28"/>
        <v>0</v>
      </c>
      <c r="BO29" s="59">
        <f t="shared" si="28"/>
        <v>0</v>
      </c>
      <c r="BP29" s="59">
        <f t="shared" si="28"/>
        <v>0</v>
      </c>
      <c r="BQ29" s="59">
        <f t="shared" ref="BQ29:CK29" si="29">BQ28/BQ34</f>
        <v>0</v>
      </c>
      <c r="BR29" s="59">
        <f t="shared" si="29"/>
        <v>0</v>
      </c>
      <c r="BS29" s="59">
        <f t="shared" si="29"/>
        <v>0</v>
      </c>
      <c r="BT29" s="59">
        <f t="shared" si="29"/>
        <v>0</v>
      </c>
      <c r="BU29" s="59">
        <f t="shared" si="29"/>
        <v>0</v>
      </c>
      <c r="BV29" s="59" t="e">
        <f t="shared" si="29"/>
        <v>#DIV/0!</v>
      </c>
      <c r="BW29" s="59" t="e">
        <f t="shared" si="29"/>
        <v>#DIV/0!</v>
      </c>
      <c r="BX29" s="59" t="e">
        <f t="shared" si="29"/>
        <v>#DIV/0!</v>
      </c>
      <c r="BY29" s="59" t="e">
        <f t="shared" si="29"/>
        <v>#DIV/0!</v>
      </c>
      <c r="BZ29" s="59" t="e">
        <f t="shared" si="29"/>
        <v>#DIV/0!</v>
      </c>
      <c r="CA29" s="59" t="e">
        <f t="shared" si="29"/>
        <v>#DIV/0!</v>
      </c>
      <c r="CB29" s="59" t="e">
        <f t="shared" si="29"/>
        <v>#DIV/0!</v>
      </c>
      <c r="CC29" s="59" t="e">
        <f t="shared" si="29"/>
        <v>#DIV/0!</v>
      </c>
      <c r="CD29" s="59" t="e">
        <f t="shared" si="29"/>
        <v>#DIV/0!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x14ac:dyDescent="0.25">
      <c r="A30" s="17" t="s">
        <v>375</v>
      </c>
      <c r="E30" s="26">
        <f>股权价值增加表!E20</f>
        <v>-2525266.42</v>
      </c>
      <c r="F30" s="26">
        <f>股权价值增加表!F20</f>
        <v>3502450.8</v>
      </c>
      <c r="G30" s="26">
        <f>股权价值增加表!G20</f>
        <v>0</v>
      </c>
      <c r="H30" s="26">
        <f>股权价值增加表!H20</f>
        <v>0</v>
      </c>
      <c r="I30" s="26">
        <f>股权价值增加表!I20</f>
        <v>0</v>
      </c>
      <c r="J30" s="26">
        <f>股权价值增加表!J20</f>
        <v>0</v>
      </c>
      <c r="K30" s="26">
        <f>股权价值增加表!K20</f>
        <v>0</v>
      </c>
      <c r="L30" s="26">
        <f>股权价值增加表!L20</f>
        <v>0</v>
      </c>
      <c r="M30" s="26">
        <f>股权价值增加表!M20</f>
        <v>0</v>
      </c>
      <c r="N30" s="26">
        <f>股权价值增加表!N20</f>
        <v>0</v>
      </c>
      <c r="O30" s="26">
        <f>股权价值增加表!O20</f>
        <v>0</v>
      </c>
      <c r="P30" s="26">
        <f>股权价值增加表!P20</f>
        <v>0</v>
      </c>
      <c r="Q30" s="26">
        <f>股权价值增加表!Q20</f>
        <v>0</v>
      </c>
      <c r="R30" s="26">
        <f>股权价值增加表!R20</f>
        <v>-352661.41</v>
      </c>
      <c r="S30" s="26">
        <f>股权价值增加表!S20</f>
        <v>-352661.41</v>
      </c>
      <c r="T30" s="26">
        <f>股权价值增加表!T20</f>
        <v>0</v>
      </c>
      <c r="U30" s="26">
        <f>股权价值增加表!U20</f>
        <v>-454672.64000000001</v>
      </c>
      <c r="V30" s="26">
        <f>股权价值增加表!V20</f>
        <v>-370446.19</v>
      </c>
      <c r="W30" s="26">
        <f>股权价值增加表!W20</f>
        <v>-214567.66</v>
      </c>
      <c r="X30" s="26">
        <f>股权价值增加表!X20</f>
        <v>-94225.82</v>
      </c>
      <c r="Y30" s="26">
        <f>股权价值增加表!Y20</f>
        <v>-295093.96000000002</v>
      </c>
      <c r="Z30" s="26">
        <f>股权价值增加表!Z20</f>
        <v>-96220.07</v>
      </c>
      <c r="AA30" s="26">
        <f>股权价值增加表!AA20</f>
        <v>-96220.07</v>
      </c>
      <c r="AB30" s="26">
        <f>股权价值增加表!AB20</f>
        <v>0</v>
      </c>
      <c r="AC30" s="26">
        <f>股权价值增加表!AC20</f>
        <v>1521343.94</v>
      </c>
      <c r="AD30" s="26">
        <f>股权价值增加表!AD20</f>
        <v>1521343.94</v>
      </c>
      <c r="AE30" s="26">
        <f>股权价值增加表!AE20</f>
        <v>1521343.94</v>
      </c>
      <c r="AF30" s="26">
        <f>股权价值增加表!AF20</f>
        <v>1521343.94</v>
      </c>
      <c r="AG30" s="26">
        <f>股权价值增加表!AG20</f>
        <v>3344701.73</v>
      </c>
      <c r="AH30" s="26">
        <f>股权价值增加表!AH20</f>
        <v>-499972.93</v>
      </c>
      <c r="AI30" s="26">
        <f>股权价值增加表!AI20</f>
        <v>-499972.93</v>
      </c>
      <c r="AJ30" s="26">
        <f>股权价值增加表!AJ20</f>
        <v>0</v>
      </c>
      <c r="AK30" s="26">
        <f>股权价值增加表!AK20</f>
        <v>-1033334.25</v>
      </c>
      <c r="AL30" s="26">
        <f>股权价值增加表!AL20</f>
        <v>-1552451.92</v>
      </c>
      <c r="AM30" s="26">
        <f>股权价值增加表!AM20</f>
        <v>-1552451.92</v>
      </c>
      <c r="AN30" s="26">
        <f>股权价值增加表!AN20</f>
        <v>0</v>
      </c>
      <c r="AO30" s="26">
        <f>股权价值增加表!AO20</f>
        <v>197844.17</v>
      </c>
      <c r="AP30" s="26">
        <f>股权价值增加表!AP20</f>
        <v>0</v>
      </c>
      <c r="AQ30" s="26">
        <f>股权价值增加表!AQ20</f>
        <v>0</v>
      </c>
      <c r="AR30" s="26">
        <f>股权价值增加表!AR20</f>
        <v>0</v>
      </c>
      <c r="AS30" s="26">
        <f>股权价值增加表!AS20</f>
        <v>0</v>
      </c>
      <c r="AT30" s="26">
        <f>股权价值增加表!AT20</f>
        <v>0</v>
      </c>
      <c r="AU30" s="26">
        <f>股权价值增加表!AU20</f>
        <v>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6" t="s">
        <v>380</v>
      </c>
      <c r="E31" s="59">
        <f>E30/E34</f>
        <v>-2.9164818568681747E-4</v>
      </c>
      <c r="F31" s="59">
        <f t="shared" ref="F31:BQ31" si="30">F30/F34</f>
        <v>5.8801619103822735E-4</v>
      </c>
      <c r="G31" s="59">
        <f t="shared" si="30"/>
        <v>0</v>
      </c>
      <c r="H31" s="59">
        <f t="shared" si="30"/>
        <v>0</v>
      </c>
      <c r="I31" s="59">
        <f t="shared" si="30"/>
        <v>0</v>
      </c>
      <c r="J31" s="59">
        <f t="shared" si="30"/>
        <v>0</v>
      </c>
      <c r="K31" s="59">
        <f t="shared" si="30"/>
        <v>0</v>
      </c>
      <c r="L31" s="59">
        <f t="shared" si="30"/>
        <v>0</v>
      </c>
      <c r="M31" s="59">
        <f t="shared" si="30"/>
        <v>0</v>
      </c>
      <c r="N31" s="59">
        <f t="shared" si="30"/>
        <v>0</v>
      </c>
      <c r="O31" s="59">
        <f t="shared" si="30"/>
        <v>0</v>
      </c>
      <c r="P31" s="59">
        <f t="shared" si="30"/>
        <v>0</v>
      </c>
      <c r="Q31" s="59">
        <f t="shared" si="30"/>
        <v>0</v>
      </c>
      <c r="R31" s="59">
        <f t="shared" si="30"/>
        <v>-1.1655101080707355E-4</v>
      </c>
      <c r="S31" s="59">
        <f t="shared" si="30"/>
        <v>-2.114119299150079E-4</v>
      </c>
      <c r="T31" s="59">
        <f t="shared" si="30"/>
        <v>0</v>
      </c>
      <c r="U31" s="59">
        <f t="shared" si="30"/>
        <v>-1.3423055241536253E-4</v>
      </c>
      <c r="V31" s="59">
        <f t="shared" si="30"/>
        <v>-1.8731590726342126E-4</v>
      </c>
      <c r="W31" s="59">
        <f t="shared" si="30"/>
        <v>-1.9889232309570974E-4</v>
      </c>
      <c r="X31" s="59">
        <f t="shared" si="30"/>
        <v>-1.8842759582099746E-4</v>
      </c>
      <c r="Y31" s="59">
        <f t="shared" si="30"/>
        <v>-1.2757300541321975E-4</v>
      </c>
      <c r="Z31" s="59">
        <f t="shared" si="30"/>
        <v>-6.8795549445186242E-5</v>
      </c>
      <c r="AA31" s="59">
        <f t="shared" si="30"/>
        <v>-1.1893492435982785E-4</v>
      </c>
      <c r="AB31" s="59">
        <f t="shared" si="30"/>
        <v>0</v>
      </c>
      <c r="AC31" s="59">
        <f t="shared" si="30"/>
        <v>8.7971564865098719E-4</v>
      </c>
      <c r="AD31" s="59">
        <f t="shared" si="30"/>
        <v>1.5767004558584932E-3</v>
      </c>
      <c r="AE31" s="59">
        <f t="shared" si="30"/>
        <v>2.6533579327873901E-3</v>
      </c>
      <c r="AF31" s="59">
        <f t="shared" si="30"/>
        <v>5.1997768687033295E-3</v>
      </c>
      <c r="AG31" s="59">
        <f t="shared" si="30"/>
        <v>2.9194559090781167E-3</v>
      </c>
      <c r="AH31" s="59">
        <f t="shared" si="30"/>
        <v>-6.6711816499229225E-4</v>
      </c>
      <c r="AI31" s="59">
        <f t="shared" si="30"/>
        <v>-1.1765067133210423E-3</v>
      </c>
      <c r="AJ31" s="59">
        <f t="shared" si="30"/>
        <v>0</v>
      </c>
      <c r="AK31" s="59">
        <f t="shared" si="30"/>
        <v>-1.3639009447080522E-3</v>
      </c>
      <c r="AL31" s="59">
        <f t="shared" si="30"/>
        <v>-2.9441054774555077E-3</v>
      </c>
      <c r="AM31" s="59">
        <f t="shared" si="30"/>
        <v>-5.3760002200570834E-3</v>
      </c>
      <c r="AN31" s="59">
        <f t="shared" si="30"/>
        <v>0</v>
      </c>
      <c r="AO31" s="59">
        <f t="shared" si="30"/>
        <v>3.2992112211821035E-4</v>
      </c>
      <c r="AP31" s="59">
        <f t="shared" si="30"/>
        <v>0</v>
      </c>
      <c r="AQ31" s="59" t="e">
        <f t="shared" si="30"/>
        <v>#DIV/0!</v>
      </c>
      <c r="AR31" s="59" t="e">
        <f t="shared" si="30"/>
        <v>#DIV/0!</v>
      </c>
      <c r="AS31" s="59">
        <f t="shared" si="30"/>
        <v>0</v>
      </c>
      <c r="AT31" s="59">
        <f t="shared" si="30"/>
        <v>0</v>
      </c>
      <c r="AU31" s="59">
        <f t="shared" si="30"/>
        <v>0</v>
      </c>
      <c r="AV31" s="59">
        <f t="shared" si="30"/>
        <v>0</v>
      </c>
      <c r="AW31" s="59">
        <f t="shared" si="30"/>
        <v>0</v>
      </c>
      <c r="AX31" s="59">
        <f t="shared" si="30"/>
        <v>0</v>
      </c>
      <c r="AY31" s="59">
        <f t="shared" si="30"/>
        <v>0</v>
      </c>
      <c r="AZ31" s="59">
        <f t="shared" si="30"/>
        <v>0</v>
      </c>
      <c r="BA31" s="59">
        <f t="shared" si="30"/>
        <v>0</v>
      </c>
      <c r="BB31" s="59">
        <f t="shared" si="30"/>
        <v>0</v>
      </c>
      <c r="BC31" s="59">
        <f t="shared" si="30"/>
        <v>0</v>
      </c>
      <c r="BD31" s="59" t="e">
        <f t="shared" si="30"/>
        <v>#DIV/0!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t="e">
        <f t="shared" si="31"/>
        <v>#DIV/0!</v>
      </c>
      <c r="BW31" s="59" t="e">
        <f t="shared" si="31"/>
        <v>#DIV/0!</v>
      </c>
      <c r="BX31" s="59" t="e">
        <f t="shared" si="31"/>
        <v>#DIV/0!</v>
      </c>
      <c r="BY31" s="59" t="e">
        <f t="shared" si="31"/>
        <v>#DIV/0!</v>
      </c>
      <c r="BZ31" s="59" t="e">
        <f t="shared" si="31"/>
        <v>#DIV/0!</v>
      </c>
      <c r="CA31" s="59" t="e">
        <f t="shared" si="31"/>
        <v>#DIV/0!</v>
      </c>
      <c r="CB31" s="59" t="e">
        <f t="shared" si="31"/>
        <v>#DIV/0!</v>
      </c>
      <c r="CC31" s="59" t="e">
        <f t="shared" si="31"/>
        <v>#DIV/0!</v>
      </c>
      <c r="CD31" s="59" t="e">
        <f t="shared" si="31"/>
        <v>#DIV/0!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x14ac:dyDescent="0.25">
      <c r="A32" s="17" t="s">
        <v>376</v>
      </c>
      <c r="E32" s="26">
        <f>股权价值增加表!E27</f>
        <v>-312165558.5</v>
      </c>
      <c r="F32" s="26">
        <f>股权价值增加表!F27</f>
        <v>76280273.070000008</v>
      </c>
      <c r="G32" s="26">
        <f>股权价值增加表!G27</f>
        <v>117662682.60999998</v>
      </c>
      <c r="H32" s="26">
        <f>股权价值增加表!H27</f>
        <v>33704906.030000001</v>
      </c>
      <c r="I32" s="26">
        <f>股权价值增加表!I27</f>
        <v>104781774.55</v>
      </c>
      <c r="J32" s="26">
        <f>股权价值增加表!J27</f>
        <v>131522317.15000001</v>
      </c>
      <c r="K32" s="26">
        <f>股权价值增加表!K27</f>
        <v>6888003.629999999</v>
      </c>
      <c r="L32" s="26">
        <f>股权价值增加表!L27</f>
        <v>-1807275.3799999994</v>
      </c>
      <c r="M32" s="26">
        <f>股权价值增加表!M27</f>
        <v>360953242.18000001</v>
      </c>
      <c r="N32" s="26">
        <f>股权价值增加表!N27</f>
        <v>62816667.899999999</v>
      </c>
      <c r="O32" s="26">
        <f>股权价值增加表!O27</f>
        <v>57461788.709999993</v>
      </c>
      <c r="P32" s="26">
        <f>股权价值增加表!P27</f>
        <v>28294146.229999997</v>
      </c>
      <c r="Q32" s="26">
        <f>股权价值增加表!Q27</f>
        <v>288567134.05000007</v>
      </c>
      <c r="R32" s="26">
        <f>股权价值增加表!R27</f>
        <v>86501194.799999997</v>
      </c>
      <c r="S32" s="26">
        <f>股权价值增加表!S27</f>
        <v>49952217.18</v>
      </c>
      <c r="T32" s="26">
        <f>股权价值增加表!T27</f>
        <v>2574871.4300000002</v>
      </c>
      <c r="U32" s="26">
        <f>股权价值增加表!U27</f>
        <v>131907745.31999998</v>
      </c>
      <c r="V32" s="26">
        <f>股权价值增加表!V27</f>
        <v>14966801.359999999</v>
      </c>
      <c r="W32" s="26">
        <f>股权价值增加表!W27</f>
        <v>11825902.060000001</v>
      </c>
      <c r="X32" s="26">
        <f>股权价值增加表!X27</f>
        <v>4586736.0599999996</v>
      </c>
      <c r="Y32" s="26">
        <f>股权价值增加表!Y27</f>
        <v>74548891.069999993</v>
      </c>
      <c r="Z32" s="26">
        <f>股权价值增加表!Z27</f>
        <v>46875.37</v>
      </c>
      <c r="AA32" s="26">
        <f>股权价值增加表!AA27</f>
        <v>-550021.68999999994</v>
      </c>
      <c r="AB32" s="26">
        <f>股权价值增加表!AB27</f>
        <v>690947.57</v>
      </c>
      <c r="AC32" s="26">
        <f>股权价值增加表!AC27</f>
        <v>83930581.210000008</v>
      </c>
      <c r="AD32" s="26">
        <f>股权价值增加表!AD27</f>
        <v>1847947.34</v>
      </c>
      <c r="AE32" s="26">
        <f>股权价值增加表!AE27</f>
        <v>1625447.9</v>
      </c>
      <c r="AF32" s="26">
        <f>股权价值增加表!AF27</f>
        <v>409138.72</v>
      </c>
      <c r="AG32" s="26">
        <f>股权价值增加表!AG27</f>
        <v>23955645.830000002</v>
      </c>
      <c r="AH32" s="26">
        <f>股权价值增加表!AH27</f>
        <v>1130843.5900000001</v>
      </c>
      <c r="AI32" s="26">
        <f>股权价值增加表!AI27</f>
        <v>813700.09</v>
      </c>
      <c r="AJ32" s="26">
        <f>股权价值增加表!AJ27</f>
        <v>642251.66</v>
      </c>
      <c r="AK32" s="26">
        <f>股权价值增加表!AK27</f>
        <v>526470.65</v>
      </c>
      <c r="AL32" s="26">
        <f>股权价值增加表!AL27</f>
        <v>-853005.3</v>
      </c>
      <c r="AM32" s="26">
        <f>股权价值增加表!AM27</f>
        <v>24536.14</v>
      </c>
      <c r="AN32" s="26">
        <f>股权价值增加表!AN27</f>
        <v>0</v>
      </c>
      <c r="AO32" s="26">
        <f>股权价值增加表!AO27</f>
        <v>-2229216.1</v>
      </c>
      <c r="AP32" s="26">
        <f>股权价值增加表!AP27</f>
        <v>728964.36</v>
      </c>
      <c r="AQ32" s="26">
        <f>股权价值增加表!AQ27</f>
        <v>0</v>
      </c>
      <c r="AR32" s="26">
        <f>股权价值增加表!AR27</f>
        <v>0</v>
      </c>
      <c r="AS32" s="26">
        <f>股权价值增加表!AS27</f>
        <v>3199582.46</v>
      </c>
      <c r="AT32" s="26">
        <f>股权价值增加表!AT27</f>
        <v>556604.28</v>
      </c>
      <c r="AU32" s="26">
        <f>股权价值增加表!AU27</f>
        <v>47918.79</v>
      </c>
      <c r="AV32" s="26">
        <f>股权价值增加表!AV27</f>
        <v>665864.48</v>
      </c>
      <c r="AW32" s="26">
        <f>股权价值增加表!AW27</f>
        <v>5051692.58</v>
      </c>
      <c r="AX32" s="26">
        <f>股权价值增加表!AX27</f>
        <v>2496157.7200000002</v>
      </c>
      <c r="AY32" s="26">
        <f>股权价值增加表!AY27</f>
        <v>1832311.81</v>
      </c>
      <c r="AZ32" s="26">
        <f>股权价值增加表!AZ27</f>
        <v>100000</v>
      </c>
      <c r="BA32" s="26">
        <f>股权价值增加表!BA27</f>
        <v>-3923017.4</v>
      </c>
      <c r="BB32" s="26">
        <f>股权价值增加表!BB27</f>
        <v>-497364.9</v>
      </c>
      <c r="BC32" s="26">
        <f>股权价值增加表!BC27</f>
        <v>-499893.8</v>
      </c>
      <c r="BD32" s="26">
        <f>股权价值增加表!BD27</f>
        <v>0</v>
      </c>
      <c r="BE32" s="26">
        <f>股权价值增加表!BE27</f>
        <v>-126753.75</v>
      </c>
      <c r="BF32" s="26">
        <f>股权价值增加表!BF27</f>
        <v>344265.81</v>
      </c>
      <c r="BG32" s="26">
        <f>股权价值增加表!BG27</f>
        <v>344265.81</v>
      </c>
      <c r="BH32" s="26">
        <f>股权价值增加表!BH27</f>
        <v>1026367.48</v>
      </c>
      <c r="BI32" s="26">
        <f>股权价值增加表!BI27</f>
        <v>-554425.18000000005</v>
      </c>
      <c r="BJ32" s="26">
        <f>股权价值增加表!BJ27</f>
        <v>287254.11</v>
      </c>
      <c r="BK32" s="26">
        <f>股权价值增加表!BK27</f>
        <v>52424.27</v>
      </c>
      <c r="BL32" s="26">
        <f>股权价值增加表!BL27</f>
        <v>265460.88</v>
      </c>
      <c r="BM32" s="26">
        <f>股权价值增加表!BM27</f>
        <v>178932.4</v>
      </c>
      <c r="BN32" s="26">
        <f>股权价值增加表!BN27</f>
        <v>1871129.6000000001</v>
      </c>
      <c r="BO32" s="26">
        <f>股权价值增加表!BO27</f>
        <v>1511721.55</v>
      </c>
      <c r="BP32" s="26">
        <f>股权价值增加表!BP27</f>
        <v>-174029.22</v>
      </c>
      <c r="BQ32" s="26">
        <f>股权价值增加表!BQ27</f>
        <v>12349967.949999999</v>
      </c>
      <c r="BR32" s="26">
        <f>股权价值增加表!BR27</f>
        <v>12720000</v>
      </c>
      <c r="BS32" s="26">
        <f>股权价值增加表!BS27</f>
        <v>9766309.1799999997</v>
      </c>
      <c r="BT32" s="26">
        <f>股权价值增加表!BT27</f>
        <v>5348519.25</v>
      </c>
      <c r="BU32" s="26">
        <f>股权价值增加表!BU27</f>
        <v>2373601.7000000002</v>
      </c>
      <c r="BV32" s="26">
        <f>股权价值增加表!BV27</f>
        <v>0</v>
      </c>
      <c r="BW32" s="26">
        <f>股权价值增加表!BW27</f>
        <v>0</v>
      </c>
      <c r="BX32" s="26">
        <f>股权价值增加表!BX27</f>
        <v>0</v>
      </c>
      <c r="BY32" s="26">
        <f>股权价值增加表!BY27</f>
        <v>0</v>
      </c>
      <c r="BZ32" s="26">
        <f>股权价值增加表!BZ27</f>
        <v>0</v>
      </c>
      <c r="CA32" s="26">
        <f>股权价值增加表!CA27</f>
        <v>0</v>
      </c>
      <c r="CB32" s="26">
        <f>股权价值增加表!CB27</f>
        <v>0</v>
      </c>
      <c r="CC32" s="26">
        <f>股权价值增加表!CC27</f>
        <v>0</v>
      </c>
      <c r="CD32" s="26">
        <f>股权价值增加表!CD27</f>
        <v>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6" t="s">
        <v>381</v>
      </c>
      <c r="E33" s="59">
        <f>E32/E34</f>
        <v>-3.605263905993613E-2</v>
      </c>
      <c r="F33" s="59">
        <f t="shared" ref="F33:BQ33" si="32">F32/F34</f>
        <v>1.2806471292038499E-2</v>
      </c>
      <c r="G33" s="59">
        <f t="shared" si="32"/>
        <v>3.6069208668990341E-2</v>
      </c>
      <c r="H33" s="59">
        <f t="shared" si="32"/>
        <v>1.8485921838162833E-2</v>
      </c>
      <c r="I33" s="59">
        <f t="shared" si="32"/>
        <v>1.281504110281294E-2</v>
      </c>
      <c r="J33" s="59">
        <f t="shared" si="32"/>
        <v>2.4693270638637712E-2</v>
      </c>
      <c r="K33" s="59">
        <f t="shared" si="32"/>
        <v>2.3477383932991257E-3</v>
      </c>
      <c r="L33" s="59">
        <f t="shared" si="32"/>
        <v>-1.3178524267103912E-3</v>
      </c>
      <c r="M33" s="59">
        <f t="shared" si="32"/>
        <v>5.3019868895429229E-2</v>
      </c>
      <c r="N33" s="59">
        <f t="shared" si="32"/>
        <v>1.4522758505494913E-2</v>
      </c>
      <c r="O33" s="59">
        <f t="shared" si="32"/>
        <v>2.2404776938079914E-2</v>
      </c>
      <c r="P33" s="59">
        <f t="shared" si="32"/>
        <v>2.3378099676590377E-2</v>
      </c>
      <c r="Q33" s="59">
        <f t="shared" si="32"/>
        <v>5.4969054273959456E-2</v>
      </c>
      <c r="R33" s="59">
        <f t="shared" si="32"/>
        <v>2.8587765499943914E-2</v>
      </c>
      <c r="S33" s="59">
        <f t="shared" si="32"/>
        <v>2.9945138135633875E-2</v>
      </c>
      <c r="T33" s="59">
        <f t="shared" si="32"/>
        <v>3.3890967160791399E-3</v>
      </c>
      <c r="U33" s="59">
        <f t="shared" si="32"/>
        <v>3.8942412550199958E-2</v>
      </c>
      <c r="V33" s="59">
        <f t="shared" si="32"/>
        <v>7.5679546753600222E-3</v>
      </c>
      <c r="W33" s="59">
        <f t="shared" si="32"/>
        <v>1.0961955466241928E-2</v>
      </c>
      <c r="X33" s="59">
        <f t="shared" si="32"/>
        <v>9.172301694495991E-3</v>
      </c>
      <c r="Y33" s="59">
        <f t="shared" si="32"/>
        <v>3.2228467448207475E-2</v>
      </c>
      <c r="Z33" s="59">
        <f t="shared" si="32"/>
        <v>3.3515012352375131E-5</v>
      </c>
      <c r="AA33" s="59">
        <f t="shared" si="32"/>
        <v>-6.798663532089997E-4</v>
      </c>
      <c r="AB33" s="59">
        <f t="shared" si="32"/>
        <v>1.7410960397487762E-3</v>
      </c>
      <c r="AC33" s="59">
        <f t="shared" si="32"/>
        <v>4.8532776678237216E-2</v>
      </c>
      <c r="AD33" s="59">
        <f t="shared" si="32"/>
        <v>1.9151878393655613E-3</v>
      </c>
      <c r="AE33" s="59">
        <f t="shared" si="32"/>
        <v>2.8349244154465192E-3</v>
      </c>
      <c r="AF33" s="59">
        <f t="shared" si="32"/>
        <v>1.3983886197008733E-3</v>
      </c>
      <c r="AG33" s="59">
        <f t="shared" si="32"/>
        <v>2.090992184650679E-2</v>
      </c>
      <c r="AH33" s="59">
        <f t="shared" si="32"/>
        <v>1.5088942928452071E-3</v>
      </c>
      <c r="AI33" s="59">
        <f t="shared" si="32"/>
        <v>1.9147509016436877E-3</v>
      </c>
      <c r="AJ33" s="59">
        <f t="shared" si="32"/>
        <v>2.6808242995800748E-3</v>
      </c>
      <c r="AK33" s="59">
        <f t="shared" si="32"/>
        <v>6.9489017410974451E-4</v>
      </c>
      <c r="AL33" s="59">
        <f t="shared" si="32"/>
        <v>-1.6176588425544148E-3</v>
      </c>
      <c r="AM33" s="59">
        <f t="shared" si="32"/>
        <v>8.4966427842320179E-5</v>
      </c>
      <c r="AN33" s="59">
        <f t="shared" si="32"/>
        <v>0</v>
      </c>
      <c r="AO33" s="59">
        <f t="shared" si="32"/>
        <v>-3.7173977739954661E-3</v>
      </c>
      <c r="AP33" s="59">
        <f t="shared" si="32"/>
        <v>1.8792385209893453E-3</v>
      </c>
      <c r="AQ33" s="59" t="e">
        <f t="shared" si="32"/>
        <v>#DIV/0!</v>
      </c>
      <c r="AR33" s="59" t="e">
        <f t="shared" si="32"/>
        <v>#DIV/0!</v>
      </c>
      <c r="AS33" s="59">
        <f t="shared" si="32"/>
        <v>1</v>
      </c>
      <c r="AT33" s="59">
        <f t="shared" si="32"/>
        <v>1</v>
      </c>
      <c r="AU33" s="59">
        <f t="shared" si="32"/>
        <v>1</v>
      </c>
      <c r="AV33" s="59">
        <f t="shared" si="32"/>
        <v>1</v>
      </c>
      <c r="AW33" s="59">
        <f t="shared" si="32"/>
        <v>1</v>
      </c>
      <c r="AX33" s="59">
        <f t="shared" si="32"/>
        <v>1</v>
      </c>
      <c r="AY33" s="59">
        <f t="shared" si="32"/>
        <v>1</v>
      </c>
      <c r="AZ33" s="59">
        <f t="shared" si="32"/>
        <v>1</v>
      </c>
      <c r="BA33" s="59">
        <f t="shared" si="32"/>
        <v>1</v>
      </c>
      <c r="BB33" s="59">
        <f t="shared" si="32"/>
        <v>1</v>
      </c>
      <c r="BC33" s="59">
        <f t="shared" si="32"/>
        <v>1</v>
      </c>
      <c r="BD33" s="59" t="e">
        <f t="shared" si="32"/>
        <v>#DIV/0!</v>
      </c>
      <c r="BE33" s="59">
        <f t="shared" si="32"/>
        <v>1</v>
      </c>
      <c r="BF33" s="59">
        <f t="shared" si="32"/>
        <v>1</v>
      </c>
      <c r="BG33" s="59">
        <f t="shared" si="32"/>
        <v>1</v>
      </c>
      <c r="BH33" s="59">
        <f t="shared" si="32"/>
        <v>1</v>
      </c>
      <c r="BI33" s="59">
        <f t="shared" si="32"/>
        <v>1</v>
      </c>
      <c r="BJ33" s="59">
        <f t="shared" si="32"/>
        <v>1</v>
      </c>
      <c r="BK33" s="59">
        <f t="shared" si="32"/>
        <v>1</v>
      </c>
      <c r="BL33" s="59">
        <f t="shared" si="32"/>
        <v>1</v>
      </c>
      <c r="BM33" s="59">
        <f t="shared" si="32"/>
        <v>1</v>
      </c>
      <c r="BN33" s="59">
        <f t="shared" si="32"/>
        <v>1</v>
      </c>
      <c r="BO33" s="59">
        <f t="shared" si="32"/>
        <v>1</v>
      </c>
      <c r="BP33" s="59">
        <f t="shared" si="32"/>
        <v>1</v>
      </c>
      <c r="BQ33" s="59">
        <f t="shared" si="32"/>
        <v>1</v>
      </c>
      <c r="BR33" s="59">
        <f t="shared" ref="BR33:CJ33" si="33">BR32/BR34</f>
        <v>1</v>
      </c>
      <c r="BS33" s="59">
        <f t="shared" si="33"/>
        <v>1</v>
      </c>
      <c r="BT33" s="59">
        <f t="shared" si="33"/>
        <v>1</v>
      </c>
      <c r="BU33" s="59">
        <f t="shared" si="33"/>
        <v>1</v>
      </c>
      <c r="BV33" s="59" t="e">
        <f t="shared" si="33"/>
        <v>#DIV/0!</v>
      </c>
      <c r="BW33" s="59" t="e">
        <f t="shared" si="33"/>
        <v>#DIV/0!</v>
      </c>
      <c r="BX33" s="59" t="e">
        <f t="shared" si="33"/>
        <v>#DIV/0!</v>
      </c>
      <c r="BY33" s="59" t="e">
        <f t="shared" si="33"/>
        <v>#DIV/0!</v>
      </c>
      <c r="BZ33" s="59" t="e">
        <f t="shared" si="33"/>
        <v>#DIV/0!</v>
      </c>
      <c r="CA33" s="59" t="e">
        <f t="shared" si="33"/>
        <v>#DIV/0!</v>
      </c>
      <c r="CB33" s="59" t="e">
        <f t="shared" si="33"/>
        <v>#DIV/0!</v>
      </c>
      <c r="CC33" s="59" t="e">
        <f t="shared" si="33"/>
        <v>#DIV/0!</v>
      </c>
      <c r="CD33" s="59" t="e">
        <f t="shared" si="33"/>
        <v>#DIV/0!</v>
      </c>
      <c r="CE33" s="59">
        <f t="shared" si="33"/>
        <v>1</v>
      </c>
      <c r="CF33" s="59">
        <f t="shared" si="33"/>
        <v>1</v>
      </c>
      <c r="CG33" s="59" t="e">
        <f t="shared" si="33"/>
        <v>#DIV/0!</v>
      </c>
      <c r="CH33" s="59" t="e">
        <f t="shared" si="33"/>
        <v>#DIV/0!</v>
      </c>
      <c r="CI33" s="59" t="e">
        <f t="shared" si="33"/>
        <v>#DIV/0!</v>
      </c>
      <c r="CJ33" s="59" t="e">
        <f t="shared" si="33"/>
        <v>#DIV/0!</v>
      </c>
    </row>
    <row r="34" spans="1:89" s="58" customFormat="1" x14ac:dyDescent="0.25">
      <c r="A34" s="146" t="s">
        <v>377</v>
      </c>
      <c r="E34" s="58">
        <f>股权价值增加表!E31</f>
        <v>8658604935.4400024</v>
      </c>
      <c r="F34" s="58">
        <f>股权价值增加表!F31</f>
        <v>5956384965.8900003</v>
      </c>
      <c r="G34" s="58">
        <f>股权价值增加表!G31</f>
        <v>3262136513.4400001</v>
      </c>
      <c r="H34" s="58">
        <f>股权价值增加表!H31</f>
        <v>1823274290.8399994</v>
      </c>
      <c r="I34" s="58">
        <f>股权价值增加表!I31</f>
        <v>8176468082.2600002</v>
      </c>
      <c r="J34" s="58">
        <f>股权价值增加表!J31</f>
        <v>5326241269.3199997</v>
      </c>
      <c r="K34" s="58">
        <f>股权价值增加表!K31</f>
        <v>2933888907.5800009</v>
      </c>
      <c r="L34" s="58">
        <f>股权价值增加表!L31</f>
        <v>1371379179.7699993</v>
      </c>
      <c r="M34" s="58">
        <f>股权价值增加表!M31</f>
        <v>6807886358.4499979</v>
      </c>
      <c r="N34" s="58">
        <f>股权价值增加表!N31</f>
        <v>4325395060.1899996</v>
      </c>
      <c r="O34" s="58">
        <f>股权价值增加表!O31</f>
        <v>2564711484.0199995</v>
      </c>
      <c r="P34" s="58">
        <f>股权价值增加表!P31</f>
        <v>1210284266.96</v>
      </c>
      <c r="Q34" s="58">
        <f>股权价值增加表!Q31</f>
        <v>5249628865.9399996</v>
      </c>
      <c r="R34" s="58">
        <f>股权价值增加表!R31</f>
        <v>3025811681.5799999</v>
      </c>
      <c r="S34" s="58">
        <f>股权价值增加表!S31</f>
        <v>1668124453.2500005</v>
      </c>
      <c r="T34" s="58">
        <f>股权价值增加表!T31</f>
        <v>759751534.32000005</v>
      </c>
      <c r="U34" s="58">
        <f>股权价值增加表!U31</f>
        <v>3387251499.8900003</v>
      </c>
      <c r="V34" s="58">
        <f>股权价值增加表!V31</f>
        <v>1977654729.9799995</v>
      </c>
      <c r="W34" s="58">
        <f>股权价值增加表!W31</f>
        <v>1078813182.2300003</v>
      </c>
      <c r="X34" s="58">
        <f>股权价值增加表!X31</f>
        <v>500063802.17000008</v>
      </c>
      <c r="Y34" s="58">
        <f>股权价值增加表!Y31</f>
        <v>2313137948.3000007</v>
      </c>
      <c r="Z34" s="58">
        <f>股权价值增加表!Z31</f>
        <v>1398638004.5799999</v>
      </c>
      <c r="AA34" s="58">
        <f>股权价值增加表!AA31</f>
        <v>809014429.67999947</v>
      </c>
      <c r="AB34" s="58">
        <f>股权价值增加表!AB31</f>
        <v>396846327.95999992</v>
      </c>
      <c r="AC34" s="58">
        <f>股权价值增加表!AC31</f>
        <v>1729358733.5100007</v>
      </c>
      <c r="AD34" s="58">
        <f>股权价值增加表!AD31</f>
        <v>964890911.49000001</v>
      </c>
      <c r="AE34" s="58">
        <f>股权价值增加表!AE31</f>
        <v>573365515.90000021</v>
      </c>
      <c r="AF34" s="58">
        <f>股权价值增加表!AF31</f>
        <v>292578696.81999993</v>
      </c>
      <c r="AG34" s="58">
        <f>股权价值增加表!AG31</f>
        <v>1145659271.51</v>
      </c>
      <c r="AH34" s="58">
        <f>股权价值增加表!AH31</f>
        <v>749451830.63000023</v>
      </c>
      <c r="AI34" s="58">
        <f>股权价值增加表!AI31</f>
        <v>424963941.41999984</v>
      </c>
      <c r="AJ34" s="58">
        <f>股权价值增加表!AJ31</f>
        <v>239572455.41999996</v>
      </c>
      <c r="AK34" s="58">
        <f>股权价值增加表!AK31</f>
        <v>757631449.70999992</v>
      </c>
      <c r="AL34" s="58">
        <f>股权价值增加表!AL31</f>
        <v>527308526.09999979</v>
      </c>
      <c r="AM34" s="58">
        <f>股权价值增加表!AM31</f>
        <v>288774526.86999995</v>
      </c>
      <c r="AN34" s="58">
        <f>股权价值增加表!AN31</f>
        <v>145181162.31</v>
      </c>
      <c r="AO34" s="58">
        <f>股权价值增加表!AO31</f>
        <v>599671123.60000002</v>
      </c>
      <c r="AP34" s="58">
        <f>股权价值增加表!AP31</f>
        <v>387904117.46999997</v>
      </c>
      <c r="AQ34" s="58">
        <f>股权价值增加表!AQ31</f>
        <v>0</v>
      </c>
      <c r="AR34" s="58">
        <f>股权价值增加表!AR31</f>
        <v>0</v>
      </c>
      <c r="AS34" s="58">
        <f>股权价值增加表!AS31</f>
        <v>3199582.46</v>
      </c>
      <c r="AT34" s="58">
        <f>股权价值增加表!AT31</f>
        <v>556604.28</v>
      </c>
      <c r="AU34" s="58">
        <f>股权价值增加表!AU31</f>
        <v>47918.79</v>
      </c>
      <c r="AV34" s="58">
        <f>股权价值增加表!AV31</f>
        <v>665864.48</v>
      </c>
      <c r="AW34" s="58">
        <f>股权价值增加表!AW31</f>
        <v>5051692.58</v>
      </c>
      <c r="AX34" s="58">
        <f>股权价值增加表!AX31</f>
        <v>2496157.7200000002</v>
      </c>
      <c r="AY34" s="58">
        <f>股权价值增加表!AY31</f>
        <v>1832311.81</v>
      </c>
      <c r="AZ34" s="58">
        <f>股权价值增加表!AZ31</f>
        <v>100000</v>
      </c>
      <c r="BA34" s="58">
        <f>股权价值增加表!BA31</f>
        <v>-3923017.4</v>
      </c>
      <c r="BB34" s="58">
        <f>股权价值增加表!BB31</f>
        <v>-497364.9</v>
      </c>
      <c r="BC34" s="58">
        <f>股权价值增加表!BC31</f>
        <v>-499893.8</v>
      </c>
      <c r="BD34" s="58">
        <f>股权价值增加表!BD31</f>
        <v>0</v>
      </c>
      <c r="BE34" s="58">
        <f>股权价值增加表!BE31</f>
        <v>-126753.75</v>
      </c>
      <c r="BF34" s="58">
        <f>股权价值增加表!BF31</f>
        <v>344265.81</v>
      </c>
      <c r="BG34" s="58">
        <f>股权价值增加表!BG31</f>
        <v>344265.81</v>
      </c>
      <c r="BH34" s="58">
        <f>股权价值增加表!BH31</f>
        <v>1026367.48</v>
      </c>
      <c r="BI34" s="58">
        <f>股权价值增加表!BI31</f>
        <v>-554425.18000000005</v>
      </c>
      <c r="BJ34" s="58">
        <f>股权价值增加表!BJ31</f>
        <v>287254.11</v>
      </c>
      <c r="BK34" s="58">
        <f>股权价值增加表!BK31</f>
        <v>52424.27</v>
      </c>
      <c r="BL34" s="58">
        <f>股权价值增加表!BL31</f>
        <v>265460.88</v>
      </c>
      <c r="BM34" s="58">
        <f>股权价值增加表!BM31</f>
        <v>178932.4</v>
      </c>
      <c r="BN34" s="58">
        <f>股权价值增加表!BN31</f>
        <v>1871129.6000000001</v>
      </c>
      <c r="BO34" s="58">
        <f>股权价值增加表!BO31</f>
        <v>1511721.55</v>
      </c>
      <c r="BP34" s="58">
        <f>股权价值增加表!BP31</f>
        <v>-174029.22</v>
      </c>
      <c r="BQ34" s="58">
        <f>股权价值增加表!BQ31</f>
        <v>12349967.949999999</v>
      </c>
      <c r="BR34" s="58">
        <f>股权价值增加表!BR31</f>
        <v>12720000</v>
      </c>
      <c r="BS34" s="58">
        <f>股权价值增加表!BS31</f>
        <v>9766309.1799999997</v>
      </c>
      <c r="BT34" s="58">
        <f>股权价值增加表!BT31</f>
        <v>5348519.25</v>
      </c>
      <c r="BU34" s="58">
        <f>股权价值增加表!BU31</f>
        <v>2373601.7000000002</v>
      </c>
      <c r="BV34" s="58">
        <f>股权价值增加表!BV31</f>
        <v>0</v>
      </c>
      <c r="BW34" s="58">
        <f>股权价值增加表!BW31</f>
        <v>0</v>
      </c>
      <c r="BX34" s="58">
        <f>股权价值增加表!BX31</f>
        <v>0</v>
      </c>
      <c r="BY34" s="58">
        <f>股权价值增加表!BY31</f>
        <v>0</v>
      </c>
      <c r="BZ34" s="58">
        <f>股权价值增加表!BZ31</f>
        <v>0</v>
      </c>
      <c r="CA34" s="58">
        <f>股权价值增加表!CA31</f>
        <v>0</v>
      </c>
      <c r="CB34" s="58">
        <f>股权价值增加表!CB31</f>
        <v>0</v>
      </c>
      <c r="CC34" s="58">
        <f>股权价值增加表!CC31</f>
        <v>0</v>
      </c>
      <c r="CD34" s="58">
        <f>股权价值增加表!CD31</f>
        <v>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85" t="s">
        <v>678</v>
      </c>
      <c r="B35" s="286"/>
      <c r="C35" s="286"/>
      <c r="D35" s="286"/>
      <c r="E35" s="286"/>
      <c r="F35" s="286"/>
      <c r="G35" s="286"/>
      <c r="H35" s="286"/>
      <c r="I35" s="286"/>
      <c r="J35" s="286"/>
      <c r="K35" s="286"/>
      <c r="L35" s="286"/>
      <c r="M35" s="286"/>
      <c r="N35" s="286"/>
      <c r="O35" s="286"/>
      <c r="P35" s="286"/>
      <c r="Q35" s="286"/>
      <c r="R35" s="286"/>
      <c r="S35" s="286"/>
      <c r="T35" s="286"/>
      <c r="U35" s="286"/>
      <c r="V35" s="286"/>
      <c r="W35" s="286"/>
      <c r="X35" s="286"/>
      <c r="Y35" s="286"/>
      <c r="Z35" s="286"/>
      <c r="AA35" s="286"/>
      <c r="AB35" s="286"/>
      <c r="AC35" s="286"/>
      <c r="AD35" s="286"/>
      <c r="AE35" s="286"/>
      <c r="AF35" s="286"/>
      <c r="AG35" s="286"/>
    </row>
    <row r="38" spans="1:89" x14ac:dyDescent="0.25">
      <c r="A38" s="20" t="s">
        <v>382</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39447</v>
      </c>
      <c r="AQ38" s="1">
        <v>25569</v>
      </c>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row>
    <row r="39" spans="1:89" x14ac:dyDescent="0.25">
      <c r="A39" s="17" t="s">
        <v>377</v>
      </c>
      <c r="E39" s="26">
        <f>股权价值增加表!E31</f>
        <v>8658604935.4400024</v>
      </c>
      <c r="F39" s="26">
        <f>股权价值增加表!F31</f>
        <v>5956384965.8900003</v>
      </c>
      <c r="G39" s="26">
        <f>股权价值增加表!G31</f>
        <v>3262136513.4400001</v>
      </c>
      <c r="H39" s="26">
        <f>股权价值增加表!H31</f>
        <v>1823274290.8399994</v>
      </c>
      <c r="I39" s="26">
        <f>股权价值增加表!I31</f>
        <v>8176468082.2600002</v>
      </c>
      <c r="J39" s="26">
        <f>股权价值增加表!J31</f>
        <v>5326241269.3199997</v>
      </c>
      <c r="K39" s="26">
        <f>股权价值增加表!K31</f>
        <v>2933888907.5800009</v>
      </c>
      <c r="L39" s="26">
        <f>股权价值增加表!L31</f>
        <v>1371379179.7699993</v>
      </c>
      <c r="M39" s="26">
        <f>股权价值增加表!M31</f>
        <v>6807886358.4499979</v>
      </c>
      <c r="N39" s="26">
        <f>股权价值增加表!N31</f>
        <v>4325395060.1899996</v>
      </c>
      <c r="O39" s="26">
        <f>股权价值增加表!O31</f>
        <v>2564711484.0199995</v>
      </c>
      <c r="P39" s="26">
        <f>股权价值增加表!P31</f>
        <v>1210284266.96</v>
      </c>
      <c r="Q39" s="26">
        <f>股权价值增加表!Q31</f>
        <v>5249628865.9399996</v>
      </c>
      <c r="R39" s="26">
        <f>股权价值增加表!R31</f>
        <v>3025811681.5799999</v>
      </c>
      <c r="S39" s="26">
        <f>股权价值增加表!S31</f>
        <v>1668124453.2500005</v>
      </c>
      <c r="T39" s="26">
        <f>股权价值增加表!T31</f>
        <v>759751534.32000005</v>
      </c>
      <c r="U39" s="26">
        <f>股权价值增加表!U31</f>
        <v>3387251499.8900003</v>
      </c>
      <c r="V39" s="26">
        <f>股权价值增加表!V31</f>
        <v>1977654729.9799995</v>
      </c>
      <c r="W39" s="26">
        <f>股权价值增加表!W31</f>
        <v>1078813182.2300003</v>
      </c>
      <c r="X39" s="26">
        <f>股权价值增加表!X31</f>
        <v>500063802.17000008</v>
      </c>
      <c r="Y39" s="26">
        <f>股权价值增加表!Y31</f>
        <v>2313137948.3000007</v>
      </c>
      <c r="Z39" s="26">
        <f>股权价值增加表!Z31</f>
        <v>1398638004.5799999</v>
      </c>
      <c r="AA39" s="26">
        <f>股权价值增加表!AA31</f>
        <v>809014429.67999947</v>
      </c>
      <c r="AB39" s="26">
        <f>股权价值增加表!AB31</f>
        <v>396846327.95999992</v>
      </c>
      <c r="AC39" s="26">
        <f>股权价值增加表!AC31</f>
        <v>1729358733.5100007</v>
      </c>
      <c r="AD39" s="26">
        <f>股权价值增加表!AD31</f>
        <v>964890911.49000001</v>
      </c>
      <c r="AE39" s="26">
        <f>股权价值增加表!AE31</f>
        <v>573365515.90000021</v>
      </c>
      <c r="AF39" s="26">
        <f>股权价值增加表!AF31</f>
        <v>292578696.81999993</v>
      </c>
      <c r="AG39" s="26">
        <f>股权价值增加表!AG31</f>
        <v>1145659271.51</v>
      </c>
      <c r="AH39" s="26">
        <f>股权价值增加表!AH31</f>
        <v>749451830.63000023</v>
      </c>
      <c r="AI39" s="26">
        <f>股权价值增加表!AI31</f>
        <v>424963941.41999984</v>
      </c>
      <c r="AJ39" s="26">
        <f>股权价值增加表!AJ31</f>
        <v>239572455.41999996</v>
      </c>
      <c r="AK39" s="26">
        <f>股权价值增加表!AK31</f>
        <v>757631449.70999992</v>
      </c>
      <c r="AL39" s="26">
        <f>股权价值增加表!AL31</f>
        <v>527308526.09999979</v>
      </c>
      <c r="AM39" s="26">
        <f>股权价值增加表!AM31</f>
        <v>288774526.86999995</v>
      </c>
      <c r="AN39" s="26">
        <f>股权价值增加表!AN31</f>
        <v>145181162.31</v>
      </c>
      <c r="AO39" s="26">
        <f>股权价值增加表!AO31</f>
        <v>599671123.60000002</v>
      </c>
      <c r="AP39" s="26">
        <f>股权价值增加表!AP31</f>
        <v>387904117.46999997</v>
      </c>
      <c r="AQ39" s="26">
        <f>股权价值增加表!AQ31</f>
        <v>0</v>
      </c>
      <c r="AR39" s="26">
        <f>股权价值增加表!AR31</f>
        <v>0</v>
      </c>
      <c r="AS39" s="26">
        <f>股权价值增加表!AS31</f>
        <v>3199582.46</v>
      </c>
      <c r="AT39" s="26">
        <f>股权价值增加表!AT31</f>
        <v>556604.28</v>
      </c>
      <c r="AU39" s="26">
        <f>股权价值增加表!AU31</f>
        <v>47918.79</v>
      </c>
      <c r="AV39" s="26">
        <f>股权价值增加表!AV31</f>
        <v>665864.48</v>
      </c>
      <c r="AW39" s="26">
        <f>股权价值增加表!AW31</f>
        <v>5051692.58</v>
      </c>
      <c r="AX39" s="26">
        <f>股权价值增加表!AX31</f>
        <v>2496157.7200000002</v>
      </c>
      <c r="AY39" s="26">
        <f>股权价值增加表!AY31</f>
        <v>1832311.81</v>
      </c>
      <c r="AZ39" s="26">
        <f>股权价值增加表!AZ31</f>
        <v>100000</v>
      </c>
      <c r="BA39" s="26">
        <f>股权价值增加表!BA31</f>
        <v>-3923017.4</v>
      </c>
      <c r="BB39" s="26">
        <f>股权价值增加表!BB31</f>
        <v>-497364.9</v>
      </c>
      <c r="BC39" s="26">
        <f>股权价值增加表!BC31</f>
        <v>-499893.8</v>
      </c>
      <c r="BD39" s="26">
        <f>股权价值增加表!BD31</f>
        <v>0</v>
      </c>
      <c r="BE39" s="26">
        <f>股权价值增加表!BE31</f>
        <v>-126753.75</v>
      </c>
      <c r="BF39" s="26">
        <f>股权价值增加表!BF31</f>
        <v>344265.81</v>
      </c>
      <c r="BG39" s="26">
        <f>股权价值增加表!BG31</f>
        <v>344265.81</v>
      </c>
      <c r="BH39" s="26">
        <f>股权价值增加表!BH31</f>
        <v>1026367.48</v>
      </c>
      <c r="BI39" s="26">
        <f>股权价值增加表!BI31</f>
        <v>-554425.18000000005</v>
      </c>
      <c r="BJ39" s="26">
        <f>股权价值增加表!BJ31</f>
        <v>287254.11</v>
      </c>
      <c r="BK39" s="26">
        <f>股权价值增加表!BK31</f>
        <v>52424.27</v>
      </c>
      <c r="BL39" s="26">
        <f>股权价值增加表!BL31</f>
        <v>265460.88</v>
      </c>
      <c r="BM39" s="26">
        <f>股权价值增加表!BM31</f>
        <v>178932.4</v>
      </c>
      <c r="BN39" s="26">
        <f>股权价值增加表!BN31</f>
        <v>1871129.6000000001</v>
      </c>
      <c r="BO39" s="26">
        <f>股权价值增加表!BO31</f>
        <v>1511721.55</v>
      </c>
      <c r="BP39" s="26">
        <f>股权价值增加表!BP31</f>
        <v>-174029.22</v>
      </c>
      <c r="BQ39" s="26">
        <f>股权价值增加表!BQ31</f>
        <v>12349967.949999999</v>
      </c>
      <c r="BR39" s="26">
        <f>股权价值增加表!BR31</f>
        <v>12720000</v>
      </c>
      <c r="BS39" s="26">
        <f>股权价值增加表!BS31</f>
        <v>9766309.1799999997</v>
      </c>
      <c r="BT39" s="26">
        <f>股权价值增加表!BT31</f>
        <v>5348519.25</v>
      </c>
      <c r="BU39" s="26">
        <f>股权价值增加表!BU31</f>
        <v>2373601.7000000002</v>
      </c>
      <c r="BV39" s="26">
        <f>股权价值增加表!BV31</f>
        <v>0</v>
      </c>
      <c r="BW39" s="26">
        <f>股权价值增加表!BW31</f>
        <v>0</v>
      </c>
      <c r="BX39" s="26">
        <f>股权价值增加表!BX31</f>
        <v>0</v>
      </c>
      <c r="BY39" s="26">
        <f>股权价值增加表!BY31</f>
        <v>0</v>
      </c>
      <c r="BZ39" s="26">
        <f>股权价值增加表!BZ31</f>
        <v>0</v>
      </c>
      <c r="CA39" s="26">
        <f>股权价值增加表!CA31</f>
        <v>0</v>
      </c>
      <c r="CB39" s="26">
        <f>股权价值增加表!CB31</f>
        <v>0</v>
      </c>
      <c r="CC39" s="26">
        <f>股权价值增加表!CC31</f>
        <v>0</v>
      </c>
      <c r="CD39" s="26">
        <f>股权价值增加表!CD31</f>
        <v>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x14ac:dyDescent="0.25">
      <c r="A40" s="17" t="s">
        <v>383</v>
      </c>
      <c r="E40" s="26">
        <f>股权价值增加表!E38</f>
        <v>8123037739.630003</v>
      </c>
      <c r="F40" s="26">
        <f>股权价值增加表!F38</f>
        <v>5738051440.4200001</v>
      </c>
      <c r="G40" s="26">
        <f>股权价值增加表!G38</f>
        <v>3196612576.79</v>
      </c>
      <c r="H40" s="26">
        <f>股权价值增加表!H38</f>
        <v>1801638000.4399993</v>
      </c>
      <c r="I40" s="26">
        <f>股权价值增加表!I38</f>
        <v>8587073212.8100004</v>
      </c>
      <c r="J40" s="26">
        <f>股权价值增加表!J38</f>
        <v>5452544569.5999994</v>
      </c>
      <c r="K40" s="26">
        <f>股权价值增加表!K38</f>
        <v>3031452308.420001</v>
      </c>
      <c r="L40" s="26">
        <f>股权价值增加表!L38</f>
        <v>1381426441.6299992</v>
      </c>
      <c r="M40" s="26">
        <f>股权价值增加表!M38</f>
        <v>6801349655.3899975</v>
      </c>
      <c r="N40" s="26">
        <f>股权价值增加表!N38</f>
        <v>4422359388.3999996</v>
      </c>
      <c r="O40" s="26">
        <f>股权价值增加表!O38</f>
        <v>2606896735.3499994</v>
      </c>
      <c r="P40" s="26">
        <f>股权价值增加表!P38</f>
        <v>1220411821.54</v>
      </c>
      <c r="Q40" s="26">
        <f>股权价值增加表!Q38</f>
        <v>5177231969.0899992</v>
      </c>
      <c r="R40" s="26">
        <f>股权价值增加表!R38</f>
        <v>3083261046.75</v>
      </c>
      <c r="S40" s="26">
        <f>股权价值增加表!S38</f>
        <v>1699738742.7700005</v>
      </c>
      <c r="T40" s="26">
        <f>股权价值增加表!T38</f>
        <v>778250930.82000005</v>
      </c>
      <c r="U40" s="26">
        <f>股权价值增加表!U38</f>
        <v>3357256403.4900002</v>
      </c>
      <c r="V40" s="26">
        <f>股权价值增加表!V38</f>
        <v>2032685574.7899995</v>
      </c>
      <c r="W40" s="26">
        <f>股权价值增加表!W38</f>
        <v>1121676854.2000003</v>
      </c>
      <c r="X40" s="26">
        <f>股权价值增加表!X38</f>
        <v>529776831.63000005</v>
      </c>
      <c r="Y40" s="26">
        <f>股权价值增加表!Y38</f>
        <v>2307894852.6100006</v>
      </c>
      <c r="Z40" s="26">
        <f>股权价值增加表!Z38</f>
        <v>1451462244.6399999</v>
      </c>
      <c r="AA40" s="26">
        <f>股权价值增加表!AA38</f>
        <v>846053899.67999947</v>
      </c>
      <c r="AB40" s="26">
        <f>股权价值增加表!AB38</f>
        <v>406348780.31999993</v>
      </c>
      <c r="AC40" s="26">
        <f>股权价值增加表!AC38</f>
        <v>1704097372.0500007</v>
      </c>
      <c r="AD40" s="26">
        <f>股权价值增加表!AD38</f>
        <v>1016436472.96</v>
      </c>
      <c r="AE40" s="26">
        <f>股权价值增加表!AE38</f>
        <v>609147368.97000027</v>
      </c>
      <c r="AF40" s="26">
        <f>股权价值增加表!AF38</f>
        <v>307856214.37999994</v>
      </c>
      <c r="AG40" s="26">
        <f>股权价值增加表!AG38</f>
        <v>1133852937.8299999</v>
      </c>
      <c r="AH40" s="26">
        <f>股权价值增加表!AH38</f>
        <v>753419268.96000028</v>
      </c>
      <c r="AI40" s="26">
        <f>股权价值增加表!AI38</f>
        <v>427869893.47999984</v>
      </c>
      <c r="AJ40" s="26">
        <f>股权价值增加表!AJ38</f>
        <v>240719171.54999995</v>
      </c>
      <c r="AK40" s="26">
        <f>股权价值增加表!AK38</f>
        <v>766738524.8599999</v>
      </c>
      <c r="AL40" s="26">
        <f>股权价值增加表!AL38</f>
        <v>533810357.90999979</v>
      </c>
      <c r="AM40" s="26">
        <f>股权价值增加表!AM38</f>
        <v>294710577.94999993</v>
      </c>
      <c r="AN40" s="26">
        <f>股权价值增加表!AN38</f>
        <v>148148007.96000001</v>
      </c>
      <c r="AO40" s="26">
        <f>股权价值增加表!AO38</f>
        <v>605171979.09000003</v>
      </c>
      <c r="AP40" s="26">
        <f>股权价值增加表!AP38</f>
        <v>391112109.90999997</v>
      </c>
      <c r="AQ40" s="26">
        <f>股权价值增加表!AQ38</f>
        <v>0</v>
      </c>
      <c r="AR40" s="26">
        <f>股权价值增加表!AR38</f>
        <v>15614749.33</v>
      </c>
      <c r="AS40" s="26">
        <f>股权价值增加表!AS38</f>
        <v>95427195.469999999</v>
      </c>
      <c r="AT40" s="26">
        <f>股权价值增加表!AT38</f>
        <v>41574884.270000003</v>
      </c>
      <c r="AU40" s="26">
        <f>股权价值增加表!AU38</f>
        <v>36535126.310000002</v>
      </c>
      <c r="AV40" s="26">
        <f>股权价值增加表!AV38</f>
        <v>4042843.62</v>
      </c>
      <c r="AW40" s="26">
        <f>股权价值增加表!AW38</f>
        <v>55549045.109999999</v>
      </c>
      <c r="AX40" s="26">
        <f>股权价值增加表!AX38</f>
        <v>28863876.779999997</v>
      </c>
      <c r="AY40" s="26">
        <f>股权价值增加表!AY38</f>
        <v>26228829.809999999</v>
      </c>
      <c r="AZ40" s="26">
        <f>股权价值增加表!AZ38</f>
        <v>3017708.8</v>
      </c>
      <c r="BA40" s="26">
        <f>股权价值增加表!BA38</f>
        <v>21302963.41</v>
      </c>
      <c r="BB40" s="26">
        <f>股权价值增加表!BB38</f>
        <v>6940683.96</v>
      </c>
      <c r="BC40" s="26">
        <f>股权价值增加表!BC38</f>
        <v>4996075.1100000003</v>
      </c>
      <c r="BD40" s="26">
        <f>股权价值增加表!BD38</f>
        <v>6057952.7199999997</v>
      </c>
      <c r="BE40" s="26">
        <f>股权价值增加表!BE38</f>
        <v>26329845.359999999</v>
      </c>
      <c r="BF40" s="26">
        <f>股权价值增加表!BF38</f>
        <v>13124671.940000001</v>
      </c>
      <c r="BG40" s="26">
        <f>股权价值增加表!BG38</f>
        <v>11452035.85</v>
      </c>
      <c r="BH40" s="26">
        <f>股权价值增加表!BH38</f>
        <v>2762185.67</v>
      </c>
      <c r="BI40" s="26">
        <f>股权价值增加表!BI38</f>
        <v>27804282.080000002</v>
      </c>
      <c r="BJ40" s="26">
        <f>股权价值增加表!BJ38</f>
        <v>19869707.960000001</v>
      </c>
      <c r="BK40" s="26">
        <f>股权价值增加表!BK38</f>
        <v>12179434.549999999</v>
      </c>
      <c r="BL40" s="26">
        <f>股权价值增加表!BL38</f>
        <v>2711192.57</v>
      </c>
      <c r="BM40" s="26">
        <f>股权价值增加表!BM38</f>
        <v>26872741.259999998</v>
      </c>
      <c r="BN40" s="26">
        <f>股权价值增加表!BN38</f>
        <v>23612016.5</v>
      </c>
      <c r="BO40" s="26">
        <f>股权价值增加表!BO38</f>
        <v>13157561.25</v>
      </c>
      <c r="BP40" s="26">
        <f>股权价值增加表!BP38</f>
        <v>7352696.9100000001</v>
      </c>
      <c r="BQ40" s="26">
        <f>股权价值增加表!BQ38</f>
        <v>37770902.789999999</v>
      </c>
      <c r="BR40" s="26">
        <f>股权价值增加表!BR38</f>
        <v>12720000</v>
      </c>
      <c r="BS40" s="26">
        <f>股权价值增加表!BS38</f>
        <v>26247406.899999999</v>
      </c>
      <c r="BT40" s="26">
        <f>股权价值增加表!BT38</f>
        <v>10799911</v>
      </c>
      <c r="BU40" s="26">
        <f>股权价值增加表!BU38</f>
        <v>16722225.84</v>
      </c>
      <c r="BV40" s="26">
        <f>股权价值增加表!BV38</f>
        <v>7438579.8600000003</v>
      </c>
      <c r="BW40" s="26">
        <f>股权价值增加表!BW38</f>
        <v>15086567.960000001</v>
      </c>
      <c r="BX40" s="26">
        <f>股权价值增加表!BX38</f>
        <v>9593131.2100000009</v>
      </c>
      <c r="BY40" s="26">
        <f>股权价值增加表!BY38</f>
        <v>42791521.079999998</v>
      </c>
      <c r="BZ40" s="26">
        <f>股权价值增加表!BZ38</f>
        <v>3834295.55</v>
      </c>
      <c r="CA40" s="26">
        <f>股权价值增加表!CA38</f>
        <v>-11835075.34</v>
      </c>
      <c r="CB40" s="26">
        <f>股权价值增加表!CB38</f>
        <v>-16252757.800000001</v>
      </c>
      <c r="CC40" s="26">
        <f>股权价值增加表!CC38</f>
        <v>-12407743.33</v>
      </c>
      <c r="CD40" s="26">
        <f>股权价值增加表!CD38</f>
        <v>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x14ac:dyDescent="0.25">
      <c r="A41" s="59" t="s">
        <v>384</v>
      </c>
      <c r="E41" s="59">
        <f>1-E40/E39</f>
        <v>6.1853751245527167E-2</v>
      </c>
      <c r="F41" s="59">
        <f t="shared" ref="F41:BQ41" si="34">1-F40/F39</f>
        <v>3.6655375151256164E-2</v>
      </c>
      <c r="G41" s="59">
        <f t="shared" si="34"/>
        <v>2.0086203130997626E-2</v>
      </c>
      <c r="H41" s="59">
        <f t="shared" si="34"/>
        <v>1.1866722691533216E-2</v>
      </c>
      <c r="I41" s="59">
        <f t="shared" si="34"/>
        <v>-5.0217909055483956E-2</v>
      </c>
      <c r="J41" s="59">
        <f t="shared" si="34"/>
        <v>-2.3713401983407545E-2</v>
      </c>
      <c r="K41" s="59">
        <f t="shared" si="34"/>
        <v>-3.3253951977505025E-2</v>
      </c>
      <c r="L41" s="59">
        <f t="shared" si="34"/>
        <v>-7.3263922977779838E-3</v>
      </c>
      <c r="M41" s="59">
        <f t="shared" si="34"/>
        <v>9.6016630064443831E-4</v>
      </c>
      <c r="N41" s="59">
        <f t="shared" si="34"/>
        <v>-2.2417450165983288E-2</v>
      </c>
      <c r="O41" s="59">
        <f t="shared" si="34"/>
        <v>-1.6448341886736273E-2</v>
      </c>
      <c r="P41" s="59">
        <f t="shared" si="34"/>
        <v>-8.3679139326815477E-3</v>
      </c>
      <c r="Q41" s="59">
        <f t="shared" si="34"/>
        <v>1.3790860020546747E-2</v>
      </c>
      <c r="R41" s="59">
        <f t="shared" si="34"/>
        <v>-1.8986431151591487E-2</v>
      </c>
      <c r="S41" s="59">
        <f t="shared" si="34"/>
        <v>-1.8951996931887205E-2</v>
      </c>
      <c r="T41" s="59">
        <f t="shared" si="34"/>
        <v>-2.4349271655709881E-2</v>
      </c>
      <c r="U41" s="59">
        <f t="shared" si="34"/>
        <v>8.85529060979795E-3</v>
      </c>
      <c r="V41" s="59">
        <f t="shared" si="34"/>
        <v>-2.7826315673695312E-2</v>
      </c>
      <c r="W41" s="59">
        <f t="shared" si="34"/>
        <v>-3.9732247136058385E-2</v>
      </c>
      <c r="X41" s="59">
        <f t="shared" si="34"/>
        <v>-5.9418476864475878E-2</v>
      </c>
      <c r="Y41" s="59">
        <f t="shared" si="34"/>
        <v>2.266659320449671E-3</v>
      </c>
      <c r="Z41" s="59">
        <f t="shared" si="34"/>
        <v>-3.7768343121680426E-2</v>
      </c>
      <c r="AA41" s="59">
        <f t="shared" si="34"/>
        <v>-4.5783447910380026E-2</v>
      </c>
      <c r="AB41" s="59">
        <f t="shared" si="34"/>
        <v>-2.3944916937615801E-2</v>
      </c>
      <c r="AC41" s="59">
        <f t="shared" si="34"/>
        <v>1.4607357612106409E-2</v>
      </c>
      <c r="AD41" s="59">
        <f t="shared" si="34"/>
        <v>-5.3421128602405998E-2</v>
      </c>
      <c r="AE41" s="59">
        <f t="shared" si="34"/>
        <v>-6.240670580586638E-2</v>
      </c>
      <c r="AF41" s="59">
        <f t="shared" si="34"/>
        <v>-5.2216780394640283E-2</v>
      </c>
      <c r="AG41" s="59">
        <f t="shared" si="34"/>
        <v>1.0305274852303259E-2</v>
      </c>
      <c r="AH41" s="59">
        <f t="shared" si="34"/>
        <v>-5.2937869624856138E-3</v>
      </c>
      <c r="AI41" s="59">
        <f t="shared" si="34"/>
        <v>-6.8381144298734764E-3</v>
      </c>
      <c r="AJ41" s="59">
        <f t="shared" si="34"/>
        <v>-4.7865107363433967E-3</v>
      </c>
      <c r="AK41" s="59">
        <f t="shared" si="34"/>
        <v>-1.2020455530833418E-2</v>
      </c>
      <c r="AL41" s="59">
        <f t="shared" si="34"/>
        <v>-1.2330223177098754E-2</v>
      </c>
      <c r="AM41" s="59">
        <f t="shared" si="34"/>
        <v>-2.0556006599128596E-2</v>
      </c>
      <c r="AN41" s="59">
        <f t="shared" si="34"/>
        <v>-2.0435472500661023E-2</v>
      </c>
      <c r="AO41" s="59">
        <f t="shared" si="34"/>
        <v>-9.1731205214231615E-3</v>
      </c>
      <c r="AP41" s="59">
        <f t="shared" si="34"/>
        <v>-8.2700654505118987E-3</v>
      </c>
      <c r="AQ41" s="59" t="e">
        <f t="shared" si="34"/>
        <v>#DIV/0!</v>
      </c>
      <c r="AR41" s="59" t="e">
        <f t="shared" si="34"/>
        <v>#DIV/0!</v>
      </c>
      <c r="AS41" s="59">
        <f t="shared" si="34"/>
        <v>-28.82489017332593</v>
      </c>
      <c r="AT41" s="59">
        <f t="shared" si="34"/>
        <v>-73.693791916224583</v>
      </c>
      <c r="AU41" s="59">
        <f t="shared" si="34"/>
        <v>-761.43841528552787</v>
      </c>
      <c r="AV41" s="59">
        <f t="shared" si="34"/>
        <v>-5.0715712302299112</v>
      </c>
      <c r="AW41" s="59">
        <f t="shared" si="34"/>
        <v>-9.9961254035771105</v>
      </c>
      <c r="AX41" s="59">
        <f t="shared" si="34"/>
        <v>-10.563322521142613</v>
      </c>
      <c r="AY41" s="59">
        <f t="shared" si="34"/>
        <v>-13.314610464689412</v>
      </c>
      <c r="AZ41" s="59">
        <f t="shared" si="34"/>
        <v>-29.177087999999998</v>
      </c>
      <c r="BA41" s="59">
        <f t="shared" si="34"/>
        <v>6.4302495344527406</v>
      </c>
      <c r="BB41" s="59">
        <f t="shared" si="34"/>
        <v>14.954913103035617</v>
      </c>
      <c r="BC41" s="59">
        <f t="shared" si="34"/>
        <v>10.994273003585963</v>
      </c>
      <c r="BD41" s="59" t="e">
        <f t="shared" si="34"/>
        <v>#DIV/0!</v>
      </c>
      <c r="BE41" s="59">
        <f t="shared" si="34"/>
        <v>208.72438969261265</v>
      </c>
      <c r="BF41" s="59">
        <f t="shared" si="34"/>
        <v>-37.123657821263173</v>
      </c>
      <c r="BG41" s="59">
        <f t="shared" si="34"/>
        <v>-32.265097832398752</v>
      </c>
      <c r="BH41" s="59">
        <f t="shared" si="34"/>
        <v>-1.6912248525255302</v>
      </c>
      <c r="BI41" s="59">
        <f t="shared" si="34"/>
        <v>51.149746229058351</v>
      </c>
      <c r="BJ41" s="59">
        <f t="shared" si="34"/>
        <v>-68.171187698585072</v>
      </c>
      <c r="BK41" s="59">
        <f t="shared" si="34"/>
        <v>-231.32435186984958</v>
      </c>
      <c r="BL41" s="59">
        <f t="shared" si="34"/>
        <v>-9.2131529511994383</v>
      </c>
      <c r="BM41" s="59">
        <f t="shared" si="34"/>
        <v>-149.18376358893079</v>
      </c>
      <c r="BN41" s="59">
        <f t="shared" si="34"/>
        <v>-11.619124030745919</v>
      </c>
      <c r="BO41" s="59">
        <f t="shared" si="34"/>
        <v>-7.7036936464919741</v>
      </c>
      <c r="BP41" s="59">
        <f t="shared" si="34"/>
        <v>43.249783743212781</v>
      </c>
      <c r="BQ41" s="59">
        <f t="shared" si="34"/>
        <v>-2.0583806324776739</v>
      </c>
      <c r="BR41" s="59">
        <f t="shared" ref="BR41:CK41" si="35">1-BR40/BR39</f>
        <v>0</v>
      </c>
      <c r="BS41" s="59">
        <f t="shared" si="35"/>
        <v>-1.6875461769888385</v>
      </c>
      <c r="BT41" s="59">
        <f t="shared" si="35"/>
        <v>-1.0192338281291593</v>
      </c>
      <c r="BU41" s="59">
        <f t="shared" si="35"/>
        <v>-6.0450850452289444</v>
      </c>
      <c r="BV41" s="59" t="e">
        <f t="shared" si="35"/>
        <v>#DIV/0!</v>
      </c>
      <c r="BW41" s="59" t="e">
        <f t="shared" si="35"/>
        <v>#DIV/0!</v>
      </c>
      <c r="BX41" s="59" t="e">
        <f t="shared" si="35"/>
        <v>#DIV/0!</v>
      </c>
      <c r="BY41" s="59" t="e">
        <f t="shared" si="35"/>
        <v>#DIV/0!</v>
      </c>
      <c r="BZ41" s="59" t="e">
        <f t="shared" si="35"/>
        <v>#DIV/0!</v>
      </c>
      <c r="CA41" s="59" t="e">
        <f t="shared" si="35"/>
        <v>#DIV/0!</v>
      </c>
      <c r="CB41" s="59" t="e">
        <f t="shared" si="35"/>
        <v>#DIV/0!</v>
      </c>
      <c r="CC41" s="59" t="e">
        <f t="shared" si="35"/>
        <v>#DIV/0!</v>
      </c>
      <c r="CD41" s="59" t="e">
        <f t="shared" si="35"/>
        <v>#DIV/0!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x14ac:dyDescent="0.25">
      <c r="A42" s="21" t="s">
        <v>429</v>
      </c>
      <c r="E42" s="150">
        <f>E39/(E39-E40)</f>
        <v>16.167168196970326</v>
      </c>
      <c r="F42" s="29">
        <f t="shared" ref="F42:BQ42" si="36">F39/(F39-F40)</f>
        <v>27.281128507717092</v>
      </c>
      <c r="G42" s="29">
        <f t="shared" si="36"/>
        <v>49.785417058576492</v>
      </c>
      <c r="H42" s="29">
        <f t="shared" si="36"/>
        <v>84.269265069579177</v>
      </c>
      <c r="I42" s="29">
        <f t="shared" si="36"/>
        <v>-19.913214604278636</v>
      </c>
      <c r="J42" s="29">
        <f t="shared" si="36"/>
        <v>-42.170246205066235</v>
      </c>
      <c r="K42" s="29">
        <f t="shared" si="36"/>
        <v>-30.071613764176327</v>
      </c>
      <c r="L42" s="29">
        <f t="shared" si="36"/>
        <v>-136.49282748663362</v>
      </c>
      <c r="M42" s="29">
        <f t="shared" si="36"/>
        <v>1041.4862501723553</v>
      </c>
      <c r="N42" s="29">
        <f t="shared" si="36"/>
        <v>-44.608106300930537</v>
      </c>
      <c r="O42" s="29">
        <f t="shared" si="36"/>
        <v>-60.796401660788781</v>
      </c>
      <c r="P42" s="29">
        <f t="shared" si="36"/>
        <v>-119.50409720329635</v>
      </c>
      <c r="Q42" s="29">
        <f t="shared" si="36"/>
        <v>72.51179393526688</v>
      </c>
      <c r="R42" s="29">
        <f t="shared" si="36"/>
        <v>-52.669192646885357</v>
      </c>
      <c r="S42" s="29">
        <f t="shared" si="36"/>
        <v>-52.764888238108398</v>
      </c>
      <c r="T42" s="29">
        <f t="shared" si="36"/>
        <v>-41.068990240843803</v>
      </c>
      <c r="U42" s="29">
        <f t="shared" si="36"/>
        <v>112.92684159834837</v>
      </c>
      <c r="V42" s="29">
        <f t="shared" si="36"/>
        <v>-35.937204613304964</v>
      </c>
      <c r="W42" s="29">
        <f t="shared" si="36"/>
        <v>-25.168473269976818</v>
      </c>
      <c r="X42" s="29">
        <f t="shared" si="36"/>
        <v>-16.82978179129098</v>
      </c>
      <c r="Y42" s="29">
        <f t="shared" si="36"/>
        <v>441.17790043614013</v>
      </c>
      <c r="Z42" s="29">
        <f t="shared" si="36"/>
        <v>-26.477200675132654</v>
      </c>
      <c r="AA42" s="29">
        <f t="shared" si="36"/>
        <v>-21.841954803348955</v>
      </c>
      <c r="AB42" s="29">
        <f t="shared" si="36"/>
        <v>-41.762516971987147</v>
      </c>
      <c r="AC42" s="29">
        <f t="shared" si="36"/>
        <v>68.458651219109626</v>
      </c>
      <c r="AD42" s="29">
        <f t="shared" si="36"/>
        <v>-18.719185201844684</v>
      </c>
      <c r="AE42" s="29">
        <f t="shared" si="36"/>
        <v>-16.023919017786056</v>
      </c>
      <c r="AF42" s="29">
        <f t="shared" si="36"/>
        <v>-19.150931797063492</v>
      </c>
      <c r="AG42" s="29">
        <f t="shared" si="36"/>
        <v>97.037683548682622</v>
      </c>
      <c r="AH42" s="29">
        <f t="shared" si="36"/>
        <v>-188.90068812487178</v>
      </c>
      <c r="AI42" s="29">
        <f t="shared" si="36"/>
        <v>-146.23914388319244</v>
      </c>
      <c r="AJ42" s="29">
        <f t="shared" si="36"/>
        <v>-208.92045481212597</v>
      </c>
      <c r="AK42" s="29">
        <f t="shared" si="36"/>
        <v>-83.191522770074201</v>
      </c>
      <c r="AL42" s="29">
        <f t="shared" si="36"/>
        <v>-81.101532846325597</v>
      </c>
      <c r="AM42" s="29">
        <f t="shared" si="36"/>
        <v>-48.647581191299444</v>
      </c>
      <c r="AN42" s="29">
        <f t="shared" si="36"/>
        <v>-48.934518150615524</v>
      </c>
      <c r="AO42" s="29">
        <f t="shared" si="36"/>
        <v>-109.01415692343501</v>
      </c>
      <c r="AP42" s="29">
        <f t="shared" si="36"/>
        <v>-120.91802730993975</v>
      </c>
      <c r="AQ42" s="29" t="e">
        <f t="shared" si="36"/>
        <v>#DIV/0!</v>
      </c>
      <c r="AR42" s="29">
        <f t="shared" si="36"/>
        <v>0</v>
      </c>
      <c r="AS42" s="29">
        <f t="shared" si="36"/>
        <v>-3.4692239727087779E-2</v>
      </c>
      <c r="AT42" s="29">
        <f t="shared" si="36"/>
        <v>-1.3569664065282519E-2</v>
      </c>
      <c r="AU42" s="29">
        <f t="shared" si="36"/>
        <v>-1.3133038469368729E-3</v>
      </c>
      <c r="AV42" s="29">
        <f t="shared" si="36"/>
        <v>-0.19717755200584389</v>
      </c>
      <c r="AW42" s="29">
        <f t="shared" si="36"/>
        <v>-0.10003876098254531</v>
      </c>
      <c r="AX42" s="29">
        <f t="shared" si="36"/>
        <v>-9.4667184306688384E-2</v>
      </c>
      <c r="AY42" s="29">
        <f t="shared" si="36"/>
        <v>-7.510546423059225E-2</v>
      </c>
      <c r="AZ42" s="29">
        <f t="shared" si="36"/>
        <v>-3.4273468277574513E-2</v>
      </c>
      <c r="BA42" s="29">
        <f t="shared" si="36"/>
        <v>0.15551496013367497</v>
      </c>
      <c r="BB42" s="29">
        <f t="shared" si="36"/>
        <v>6.6867657010793016E-2</v>
      </c>
      <c r="BC42" s="29">
        <f t="shared" si="36"/>
        <v>9.0956446112792869E-2</v>
      </c>
      <c r="BD42" s="29">
        <f t="shared" si="36"/>
        <v>0</v>
      </c>
      <c r="BE42" s="29">
        <f t="shared" si="36"/>
        <v>4.7910069420861404E-3</v>
      </c>
      <c r="BF42" s="29">
        <f t="shared" si="36"/>
        <v>-2.6937000788409216E-2</v>
      </c>
      <c r="BG42" s="29">
        <f t="shared" si="36"/>
        <v>-3.0993242456430977E-2</v>
      </c>
      <c r="BH42" s="29">
        <f t="shared" si="36"/>
        <v>-0.5912874320092244</v>
      </c>
      <c r="BI42" s="29">
        <f t="shared" si="36"/>
        <v>1.9550439126751647E-2</v>
      </c>
      <c r="BJ42" s="29">
        <f t="shared" si="36"/>
        <v>-1.4668953758315634E-2</v>
      </c>
      <c r="BK42" s="29">
        <f t="shared" si="36"/>
        <v>-4.322934407539729E-3</v>
      </c>
      <c r="BL42" s="29">
        <f t="shared" si="36"/>
        <v>-0.10854047526366231</v>
      </c>
      <c r="BM42" s="29">
        <f t="shared" si="36"/>
        <v>-6.7031423255646998E-3</v>
      </c>
      <c r="BN42" s="29">
        <f t="shared" si="36"/>
        <v>-8.6065007771141122E-2</v>
      </c>
      <c r="BO42" s="29">
        <f t="shared" si="36"/>
        <v>-0.12980786177230313</v>
      </c>
      <c r="BP42" s="29">
        <f t="shared" si="36"/>
        <v>2.3121502894379923E-2</v>
      </c>
      <c r="BQ42" s="29">
        <f t="shared" si="36"/>
        <v>-0.4858187957182144</v>
      </c>
      <c r="BR42" s="29" t="e">
        <f t="shared" ref="BR42:CK42" si="37">BR39/(BR39-BR40)</f>
        <v>#DIV/0!</v>
      </c>
      <c r="BS42" s="29">
        <f t="shared" si="37"/>
        <v>-0.59257637724873591</v>
      </c>
      <c r="BT42" s="29">
        <f t="shared" si="37"/>
        <v>-0.98112913092330967</v>
      </c>
      <c r="BU42" s="29">
        <f t="shared" si="37"/>
        <v>-0.16542364458366809</v>
      </c>
      <c r="BV42" s="29">
        <f t="shared" si="37"/>
        <v>0</v>
      </c>
      <c r="BW42" s="29">
        <f t="shared" si="37"/>
        <v>0</v>
      </c>
      <c r="BX42" s="29">
        <f t="shared" si="37"/>
        <v>0</v>
      </c>
      <c r="BY42" s="29">
        <f t="shared" si="37"/>
        <v>0</v>
      </c>
      <c r="BZ42" s="29">
        <f t="shared" si="37"/>
        <v>0</v>
      </c>
      <c r="CA42" s="29">
        <f t="shared" si="37"/>
        <v>0</v>
      </c>
      <c r="CB42" s="29">
        <f t="shared" si="37"/>
        <v>0</v>
      </c>
      <c r="CC42" s="29">
        <f t="shared" si="37"/>
        <v>0</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85" t="s">
        <v>700</v>
      </c>
      <c r="B43" s="286"/>
      <c r="C43" s="286"/>
      <c r="D43" s="286"/>
      <c r="E43" s="286"/>
      <c r="F43" s="286"/>
      <c r="G43" s="286"/>
      <c r="H43" s="286"/>
      <c r="I43" s="286"/>
      <c r="J43" s="286"/>
      <c r="K43" s="286"/>
      <c r="L43" s="286"/>
      <c r="M43" s="286"/>
      <c r="N43" s="286"/>
      <c r="O43" s="286"/>
      <c r="P43" s="286"/>
      <c r="Q43" s="286"/>
      <c r="R43" s="286"/>
      <c r="S43" s="286"/>
      <c r="T43" s="286"/>
      <c r="U43" s="286"/>
      <c r="V43" s="286"/>
      <c r="W43" s="286"/>
      <c r="X43" s="286"/>
      <c r="Y43" s="286"/>
      <c r="Z43" s="286"/>
      <c r="AA43" s="286"/>
      <c r="AB43" s="286"/>
      <c r="AC43" s="286"/>
      <c r="AD43" s="286"/>
      <c r="AE43" s="286"/>
      <c r="AF43" s="286"/>
      <c r="AG43" s="286"/>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424</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39447</v>
      </c>
      <c r="AQ46" s="1">
        <v>25569</v>
      </c>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row>
    <row r="47" spans="1:89" s="26" customFormat="1" x14ac:dyDescent="0.25">
      <c r="A47" s="17" t="s">
        <v>425</v>
      </c>
      <c r="E47" s="26">
        <f>股权价值增加表!E42</f>
        <v>7013718897.090003</v>
      </c>
      <c r="F47" s="26">
        <f>股权价值增加表!F42</f>
        <v>5075614776.2799997</v>
      </c>
      <c r="G47" s="26">
        <f>股权价值增加表!G42</f>
        <v>2627954185.9400001</v>
      </c>
      <c r="H47" s="26">
        <f>股权价值增加表!H42</f>
        <v>1483176136.1899993</v>
      </c>
      <c r="I47" s="26">
        <f>股权价值增加表!I42</f>
        <v>7697168004.7400007</v>
      </c>
      <c r="J47" s="26">
        <f>股权价值增加表!J42</f>
        <v>4945074002.0099993</v>
      </c>
      <c r="K47" s="26">
        <f>股权价值增加表!K42</f>
        <v>2598920332.3100009</v>
      </c>
      <c r="L47" s="26">
        <f>股权价值增加表!L42</f>
        <v>1137504493.3299992</v>
      </c>
      <c r="M47" s="26">
        <f>股权价值增加表!M42</f>
        <v>5933705767.6999969</v>
      </c>
      <c r="N47" s="26">
        <f>股权价值增加表!N42</f>
        <v>3768187750.6799994</v>
      </c>
      <c r="O47" s="26">
        <f>股权价值增加表!O42</f>
        <v>2206994015.1099997</v>
      </c>
      <c r="P47" s="26">
        <f>股权价值增加表!P42</f>
        <v>1034645007.98</v>
      </c>
      <c r="Q47" s="26">
        <f>股权价值增加表!Q42</f>
        <v>4651590834.9799995</v>
      </c>
      <c r="R47" s="26">
        <f>股权价值增加表!R42</f>
        <v>2711338397.8299999</v>
      </c>
      <c r="S47" s="26">
        <f>股权价值增加表!S42</f>
        <v>1520798549.8200004</v>
      </c>
      <c r="T47" s="26">
        <f>股权价值增加表!T42</f>
        <v>691456644.43000007</v>
      </c>
      <c r="U47" s="26">
        <f>股权价值增加表!U42</f>
        <v>3048355009.6300001</v>
      </c>
      <c r="V47" s="26">
        <f>股权价值增加表!V42</f>
        <v>1761024041.7399995</v>
      </c>
      <c r="W47" s="26">
        <f>股权价值增加表!W42</f>
        <v>990084698.76000023</v>
      </c>
      <c r="X47" s="26">
        <f>股权价值增加表!X42</f>
        <v>451275655.76000005</v>
      </c>
      <c r="Y47" s="26">
        <f>股权价值增加表!Y42</f>
        <v>2134715545.3900006</v>
      </c>
      <c r="Z47" s="26">
        <f>股权价值增加表!Z42</f>
        <v>1242843332.7099998</v>
      </c>
      <c r="AA47" s="26">
        <f>股权价值增加表!AA42</f>
        <v>731859624.3999995</v>
      </c>
      <c r="AB47" s="26">
        <f>股权价值增加表!AB42</f>
        <v>349067439.08999991</v>
      </c>
      <c r="AC47" s="26">
        <f>股权价值增加表!AC42</f>
        <v>1459210734.0500007</v>
      </c>
      <c r="AD47" s="26">
        <f>股权价值增加表!AD42</f>
        <v>873963494.10000002</v>
      </c>
      <c r="AE47" s="26">
        <f>股权价值增加表!AE42</f>
        <v>531333482.5600003</v>
      </c>
      <c r="AF47" s="26">
        <f>股权价值增加表!AF42</f>
        <v>261256171.32999992</v>
      </c>
      <c r="AG47" s="26">
        <f>股权价值增加表!AG42</f>
        <v>1043326068.3899999</v>
      </c>
      <c r="AH47" s="26">
        <f>股权价值增加表!AH42</f>
        <v>657821216.68000031</v>
      </c>
      <c r="AI47" s="26">
        <f>股权价值增加表!AI42</f>
        <v>375124615.26999986</v>
      </c>
      <c r="AJ47" s="26">
        <f>股权价值增加表!AJ42</f>
        <v>206018270.25999996</v>
      </c>
      <c r="AK47" s="26">
        <f>股权价值增加表!AK42</f>
        <v>706545979.32999992</v>
      </c>
      <c r="AL47" s="26">
        <f>股权价值增加表!AL42</f>
        <v>474316525.83999979</v>
      </c>
      <c r="AM47" s="26">
        <f>股权价值增加表!AM42</f>
        <v>247272055.84999993</v>
      </c>
      <c r="AN47" s="26">
        <f>股权价值增加表!AN42</f>
        <v>135712078.41</v>
      </c>
      <c r="AO47" s="26">
        <f>股权价值增加表!AO42</f>
        <v>549100997.6500001</v>
      </c>
      <c r="AP47" s="26">
        <f>股权价值增加表!AP42</f>
        <v>365241349.77999997</v>
      </c>
      <c r="AQ47" s="26">
        <f>股权价值增加表!AQ42</f>
        <v>0</v>
      </c>
      <c r="AR47" s="26">
        <f>股权价值增加表!AR42</f>
        <v>-320202934.91000003</v>
      </c>
      <c r="AS47" s="26">
        <f>股权价值增加表!AS42</f>
        <v>-610135253.33999991</v>
      </c>
      <c r="AT47" s="26">
        <f>股权价值增加表!AT42</f>
        <v>-606675948.97000003</v>
      </c>
      <c r="AU47" s="26">
        <f>股权价值增加表!AU42</f>
        <v>-525244177.46999997</v>
      </c>
      <c r="AV47" s="26">
        <f>股权价值增加表!AV42</f>
        <v>-370504198.70999998</v>
      </c>
      <c r="AW47" s="26">
        <f>股权价值增加表!AW42</f>
        <v>-550836582.15999997</v>
      </c>
      <c r="AX47" s="26">
        <f>股权价值增加表!AX42</f>
        <v>-497364124.85000002</v>
      </c>
      <c r="AY47" s="26">
        <f>股权价值增加表!AY42</f>
        <v>-393993423.18000001</v>
      </c>
      <c r="AZ47" s="26">
        <f>股权价值增加表!AZ42</f>
        <v>-277925918.08999997</v>
      </c>
      <c r="BA47" s="26">
        <f>股权价值增加表!BA42</f>
        <v>-375599127.04999995</v>
      </c>
      <c r="BB47" s="26">
        <f>股权价值增加表!BB42</f>
        <v>-376909155.56</v>
      </c>
      <c r="BC47" s="26">
        <f>股权价值增加表!BC42</f>
        <v>-331126120.21999997</v>
      </c>
      <c r="BD47" s="26">
        <f>股权价值增加表!BD42</f>
        <v>-232460368.78999999</v>
      </c>
      <c r="BE47" s="26">
        <f>股权价值增加表!BE42</f>
        <v>-415071515.56999999</v>
      </c>
      <c r="BF47" s="26">
        <f>股权价值增加表!BF42</f>
        <v>-341885591.56999999</v>
      </c>
      <c r="BG47" s="26">
        <f>股权价值增加表!BG42</f>
        <v>-266868592.27000001</v>
      </c>
      <c r="BH47" s="26">
        <f>股权价值增加表!BH42</f>
        <v>-190592880.15000001</v>
      </c>
      <c r="BI47" s="26">
        <f>股权价值增加表!BI42</f>
        <v>-355643656.85000002</v>
      </c>
      <c r="BJ47" s="26">
        <f>股权价值增加表!BJ42</f>
        <v>-291496615.11000001</v>
      </c>
      <c r="BK47" s="26">
        <f>股权价值增加表!BK42</f>
        <v>-237870081.79999998</v>
      </c>
      <c r="BL47" s="26">
        <f>股权价值增加表!BL42</f>
        <v>-204685096.5</v>
      </c>
      <c r="BM47" s="26">
        <f>股权价值增加表!BM42</f>
        <v>-223212941.22</v>
      </c>
      <c r="BN47" s="26">
        <f>股权价值增加表!BN42</f>
        <v>-167173236.28999999</v>
      </c>
      <c r="BO47" s="26">
        <f>股权价值增加表!BO42</f>
        <v>-113551397.55</v>
      </c>
      <c r="BP47" s="26">
        <f>股权价值增加表!BP42</f>
        <v>-114049159.08</v>
      </c>
      <c r="BQ47" s="26">
        <f>股权价值增加表!BQ42</f>
        <v>-79004755.060000002</v>
      </c>
      <c r="BR47" s="26">
        <f>股权价值增加表!BR42</f>
        <v>-147870000</v>
      </c>
      <c r="BS47" s="26">
        <f>股权价值增加表!BS42</f>
        <v>-152979249.54999998</v>
      </c>
      <c r="BT47" s="26">
        <f>股权价值增加表!BT42</f>
        <v>-128012163.46000001</v>
      </c>
      <c r="BU47" s="26">
        <f>股权价值增加表!BU42</f>
        <v>-222157134.44</v>
      </c>
      <c r="BV47" s="26">
        <f>股权价值增加表!BV42</f>
        <v>-287911344.69999999</v>
      </c>
      <c r="BW47" s="26">
        <f>股权价值增加表!BW42</f>
        <v>-288342438.87</v>
      </c>
      <c r="BX47" s="26">
        <f>股权价值增加表!BX42</f>
        <v>-57060547.329999998</v>
      </c>
      <c r="BY47" s="26">
        <f>股权价值增加表!BY42</f>
        <v>-217786839.49000001</v>
      </c>
      <c r="BZ47" s="26">
        <f>股权价值增加表!BZ42</f>
        <v>-40798540.960000001</v>
      </c>
      <c r="CA47" s="26">
        <f>股权价值增加表!CA42</f>
        <v>-179937260.47</v>
      </c>
      <c r="CB47" s="26">
        <f>股权价值增加表!CB42</f>
        <v>-144282576.27000001</v>
      </c>
      <c r="CC47" s="26">
        <f>股权价值增加表!CC42</f>
        <v>-119252620.25</v>
      </c>
      <c r="CD47" s="26">
        <f>股权价值增加表!CD42</f>
        <v>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428</v>
      </c>
      <c r="E48" s="63">
        <f>股权价值增加表!E43</f>
        <v>0.16736998289537761</v>
      </c>
      <c r="F48" s="63">
        <f>股权价值增加表!F43</f>
        <v>0.18303865745764764</v>
      </c>
      <c r="G48" s="63">
        <f>股权价值增加表!G43</f>
        <v>0.15977795026115116</v>
      </c>
      <c r="H48" s="63">
        <f>股权价值增加表!H43</f>
        <v>0.21056704021466691</v>
      </c>
      <c r="I48" s="63">
        <f>股权价值增加表!I43</f>
        <v>0.24110897670114495</v>
      </c>
      <c r="J48" s="63">
        <f>股权价值增加表!J43</f>
        <v>0.23395932448815604</v>
      </c>
      <c r="K48" s="63">
        <f>股权价值增加表!K43</f>
        <v>0.20711501220491166</v>
      </c>
      <c r="L48" s="63">
        <f>股权价值增加表!L43</f>
        <v>0.21876304786166167</v>
      </c>
      <c r="M48" s="63">
        <f>股权价值增加表!M43</f>
        <v>0.23479934042018116</v>
      </c>
      <c r="N48" s="63">
        <f>股权价值增加表!N43</f>
        <v>0.22594252509636872</v>
      </c>
      <c r="O48" s="63">
        <f>股权价值增加表!O43</f>
        <v>0.22528665111013357</v>
      </c>
      <c r="P48" s="63">
        <f>股权价值增加表!P43</f>
        <v>0.2412914761158457</v>
      </c>
      <c r="Q48" s="63">
        <f>股权价值增加表!Q43</f>
        <v>0.26992166529639966</v>
      </c>
      <c r="R48" s="63">
        <f>股权价值增加表!R43</f>
        <v>0.25411314215496206</v>
      </c>
      <c r="S48" s="63">
        <f>股权价值增加表!S43</f>
        <v>0.25278998799715635</v>
      </c>
      <c r="T48" s="63">
        <f>股权价值增加表!T43</f>
        <v>0.2664922750260989</v>
      </c>
      <c r="U48" s="63">
        <f>股权价值增加表!U43</f>
        <v>0.2836759148029131</v>
      </c>
      <c r="V48" s="63">
        <f>股权价值增加表!V43</f>
        <v>0.2566941956593507</v>
      </c>
      <c r="W48" s="63">
        <f>股权价值增加表!W43</f>
        <v>0.25330964295580199</v>
      </c>
      <c r="X48" s="63">
        <f>股权价值增加表!X43</f>
        <v>0.26587420107296017</v>
      </c>
      <c r="Y48" s="63">
        <f>股权价值增加表!Y43</f>
        <v>0.29592151927802596</v>
      </c>
      <c r="Z48" s="63">
        <f>股权价值增加表!Z43</f>
        <v>0.25904186513174943</v>
      </c>
      <c r="AA48" s="63">
        <f>股权价值增加表!AA43</f>
        <v>0.25964627370596971</v>
      </c>
      <c r="AB48" s="63">
        <f>股权价值增加表!AB43</f>
        <v>0.27003419935600925</v>
      </c>
      <c r="AC48" s="63">
        <f>股权价值增加表!AC43</f>
        <v>0.27892033929021054</v>
      </c>
      <c r="AD48" s="63">
        <f>股权价值增加表!AD43</f>
        <v>0.25309116820782912</v>
      </c>
      <c r="AE48" s="63">
        <f>股权价值增加表!AE43</f>
        <v>0.25524276195250101</v>
      </c>
      <c r="AF48" s="63">
        <f>股权价值增加表!AF43</f>
        <v>0.2809469903285795</v>
      </c>
      <c r="AG48" s="63">
        <f>股权价值增加表!AG43</f>
        <v>0.28937252570410565</v>
      </c>
      <c r="AH48" s="63">
        <f>股权价值增加表!AH43</f>
        <v>0.27488517858892281</v>
      </c>
      <c r="AI48" s="63">
        <f>股权价值增加表!AI43</f>
        <v>0.26750580608070423</v>
      </c>
      <c r="AJ48" s="63">
        <f>股权价值增加表!AJ43</f>
        <v>0.29974792221019109</v>
      </c>
      <c r="AK48" s="63">
        <f>股权价值增加表!AK43</f>
        <v>0.33620820676608709</v>
      </c>
      <c r="AL48" s="63">
        <f>股权价值增加表!AL43</f>
        <v>0.33017230278447679</v>
      </c>
      <c r="AM48" s="63">
        <f>股权价值增加表!AM43</f>
        <v>0.29549595133312734</v>
      </c>
      <c r="AN48" s="63">
        <f>股权价值增加表!AN43</f>
        <v>0.33669967913705429</v>
      </c>
      <c r="AO48" s="63">
        <f>股权价值增加表!AO43</f>
        <v>0.315127694220453</v>
      </c>
      <c r="AP48" s="63">
        <f>股权价值增加表!AP43</f>
        <v>0.30834703620533954</v>
      </c>
      <c r="AQ48" s="63" t="e">
        <f>股权价值增加表!AQ43</f>
        <v>#DIV/0!</v>
      </c>
      <c r="AR48" s="63" t="e">
        <f>股权价值增加表!AR43</f>
        <v>#DIV/0!</v>
      </c>
      <c r="AS48" s="63" t="e">
        <f>股权价值增加表!AS43</f>
        <v>#DIV/0!</v>
      </c>
      <c r="AT48" s="63" t="e">
        <f>股权价值增加表!AT43</f>
        <v>#DIV/0!</v>
      </c>
      <c r="AU48" s="63" t="e">
        <f>股权价值增加表!AU43</f>
        <v>#DIV/0!</v>
      </c>
      <c r="AV48" s="63" t="e">
        <f>股权价值增加表!AV43</f>
        <v>#DIV/0!</v>
      </c>
      <c r="AW48" s="63" t="e">
        <f>股权价值增加表!AW43</f>
        <v>#DIV/0!</v>
      </c>
      <c r="AX48" s="63" t="e">
        <f>股权价值增加表!AX43</f>
        <v>#DIV/0!</v>
      </c>
      <c r="AY48" s="63" t="e">
        <f>股权价值增加表!AY43</f>
        <v>#DIV/0!</v>
      </c>
      <c r="AZ48" s="63" t="e">
        <f>股权价值增加表!AZ43</f>
        <v>#DIV/0!</v>
      </c>
      <c r="BA48" s="63" t="e">
        <f>股权价值增加表!BA43</f>
        <v>#DIV/0!</v>
      </c>
      <c r="BB48" s="63" t="e">
        <f>股权价值增加表!BB43</f>
        <v>#DIV/0!</v>
      </c>
      <c r="BC48" s="63" t="e">
        <f>股权价值增加表!BC43</f>
        <v>#DIV/0!</v>
      </c>
      <c r="BD48" s="63" t="e">
        <f>股权价值增加表!BD43</f>
        <v>#DIV/0!</v>
      </c>
      <c r="BE48" s="63" t="e">
        <f>股权价值增加表!BE43</f>
        <v>#DIV/0!</v>
      </c>
      <c r="BF48" s="63" t="e">
        <f>股权价值增加表!BF43</f>
        <v>#DIV/0!</v>
      </c>
      <c r="BG48" s="63" t="e">
        <f>股权价值增加表!BG43</f>
        <v>#DIV/0!</v>
      </c>
      <c r="BH48" s="63" t="e">
        <f>股权价值增加表!BH43</f>
        <v>#DIV/0!</v>
      </c>
      <c r="BI48" s="63" t="e">
        <f>股权价值增加表!BI43</f>
        <v>#DIV/0!</v>
      </c>
      <c r="BJ48" s="63" t="e">
        <f>股权价值增加表!BJ43</f>
        <v>#DIV/0!</v>
      </c>
      <c r="BK48" s="63" t="e">
        <f>股权价值增加表!BK43</f>
        <v>#DIV/0!</v>
      </c>
      <c r="BL48" s="63" t="e">
        <f>股权价值增加表!BL43</f>
        <v>#DIV/0!</v>
      </c>
      <c r="BM48" s="63" t="e">
        <f>股权价值增加表!BM43</f>
        <v>#DIV/0!</v>
      </c>
      <c r="BN48" s="63" t="e">
        <f>股权价值增加表!BN43</f>
        <v>#DIV/0!</v>
      </c>
      <c r="BO48" s="63" t="e">
        <f>股权价值增加表!BO43</f>
        <v>#DIV/0!</v>
      </c>
      <c r="BP48" s="63" t="e">
        <f>股权价值增加表!BP43</f>
        <v>#DIV/0!</v>
      </c>
      <c r="BQ48" s="63" t="e">
        <f>股权价值增加表!BQ43</f>
        <v>#DIV/0!</v>
      </c>
      <c r="BR48" s="63" t="e">
        <f>股权价值增加表!BR43</f>
        <v>#DIV/0!</v>
      </c>
      <c r="BS48" s="63" t="e">
        <f>股权价值增加表!BS43</f>
        <v>#DIV/0!</v>
      </c>
      <c r="BT48" s="63" t="e">
        <f>股权价值增加表!BT43</f>
        <v>#DIV/0!</v>
      </c>
      <c r="BU48" s="63" t="e">
        <f>股权价值增加表!BU43</f>
        <v>#DIV/0!</v>
      </c>
      <c r="BV48" s="63" t="e">
        <f>股权价值增加表!BV43</f>
        <v>#DIV/0!</v>
      </c>
      <c r="BW48" s="63" t="e">
        <f>股权价值增加表!BW43</f>
        <v>#DIV/0!</v>
      </c>
      <c r="BX48" s="63" t="e">
        <f>股权价值增加表!BX43</f>
        <v>#DIV/0!</v>
      </c>
      <c r="BY48" s="63" t="e">
        <f>股权价值增加表!BY43</f>
        <v>#DIV/0!</v>
      </c>
      <c r="BZ48" s="63" t="e">
        <f>股权价值增加表!BZ43</f>
        <v>#DIV/0!</v>
      </c>
      <c r="CA48" s="63" t="e">
        <f>股权价值增加表!CA43</f>
        <v>#DIV/0!</v>
      </c>
      <c r="CB48" s="63" t="e">
        <f>股权价值增加表!CB43</f>
        <v>#DIV/0!</v>
      </c>
      <c r="CC48" s="63" t="e">
        <f>股权价值增加表!CC43</f>
        <v>#DIV/0!</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426</v>
      </c>
      <c r="E49" s="59">
        <f>(E47-I47)/I47</f>
        <v>-8.879228142469052E-2</v>
      </c>
      <c r="F49" s="59">
        <f t="shared" ref="F49:BQ49" si="38">(F47-J47)/J47</f>
        <v>2.6398143731911839E-2</v>
      </c>
      <c r="G49" s="59">
        <f t="shared" si="38"/>
        <v>1.1171505824571765E-2</v>
      </c>
      <c r="H49" s="59">
        <f t="shared" si="38"/>
        <v>0.30388595815394109</v>
      </c>
      <c r="I49" s="59">
        <f t="shared" si="38"/>
        <v>0.29719408175568351</v>
      </c>
      <c r="J49" s="59">
        <f t="shared" si="38"/>
        <v>0.31232155327653766</v>
      </c>
      <c r="K49" s="59">
        <f t="shared" si="38"/>
        <v>0.17758376983204782</v>
      </c>
      <c r="L49" s="59">
        <f t="shared" si="38"/>
        <v>9.9415243447429358E-2</v>
      </c>
      <c r="M49" s="59">
        <f t="shared" si="38"/>
        <v>0.27562934449833443</v>
      </c>
      <c r="N49" s="59">
        <f t="shared" si="38"/>
        <v>0.38978880456081805</v>
      </c>
      <c r="O49" s="59">
        <f t="shared" si="38"/>
        <v>0.45120733799438223</v>
      </c>
      <c r="P49" s="59">
        <f t="shared" si="38"/>
        <v>0.49632665520613534</v>
      </c>
      <c r="Q49" s="59">
        <f t="shared" si="38"/>
        <v>0.5259347485070629</v>
      </c>
      <c r="R49" s="59">
        <f t="shared" si="38"/>
        <v>0.53963735506474497</v>
      </c>
      <c r="S49" s="59">
        <f t="shared" si="38"/>
        <v>0.53602873746526503</v>
      </c>
      <c r="T49" s="59">
        <f t="shared" si="38"/>
        <v>0.53222677891965531</v>
      </c>
      <c r="U49" s="59">
        <f t="shared" si="38"/>
        <v>0.42799119827137566</v>
      </c>
      <c r="V49" s="59">
        <f t="shared" si="38"/>
        <v>0.41693164004840022</v>
      </c>
      <c r="W49" s="59">
        <f t="shared" si="38"/>
        <v>0.35283415801452556</v>
      </c>
      <c r="X49" s="59">
        <f t="shared" si="38"/>
        <v>0.29280363971057133</v>
      </c>
      <c r="Y49" s="59">
        <f t="shared" si="38"/>
        <v>0.46292478226578981</v>
      </c>
      <c r="Z49" s="59">
        <f t="shared" si="38"/>
        <v>0.42207694154304354</v>
      </c>
      <c r="AA49" s="59">
        <f t="shared" si="38"/>
        <v>0.37740166660277236</v>
      </c>
      <c r="AB49" s="59">
        <f t="shared" si="38"/>
        <v>0.3361117454679497</v>
      </c>
      <c r="AC49" s="59">
        <f t="shared" si="38"/>
        <v>0.3986142762653001</v>
      </c>
      <c r="AD49" s="59">
        <f t="shared" si="38"/>
        <v>0.32857297992129519</v>
      </c>
      <c r="AE49" s="59">
        <f t="shared" si="38"/>
        <v>0.41641860046312201</v>
      </c>
      <c r="AF49" s="59">
        <f t="shared" si="38"/>
        <v>0.26812137098466277</v>
      </c>
      <c r="AG49" s="59">
        <f t="shared" si="38"/>
        <v>0.47665700310029385</v>
      </c>
      <c r="AH49" s="59">
        <f t="shared" si="38"/>
        <v>0.38688234721533138</v>
      </c>
      <c r="AI49" s="59">
        <f t="shared" si="38"/>
        <v>0.51705219573034888</v>
      </c>
      <c r="AJ49" s="59">
        <f t="shared" si="38"/>
        <v>0.51805404996891879</v>
      </c>
      <c r="AK49" s="59">
        <f t="shared" si="38"/>
        <v>0.28673228122662436</v>
      </c>
      <c r="AL49" s="59">
        <f t="shared" si="38"/>
        <v>0.29863862929457557</v>
      </c>
      <c r="AM49" s="59" t="e">
        <f t="shared" si="38"/>
        <v>#DIV/0!</v>
      </c>
      <c r="AN49" s="59">
        <f t="shared" si="38"/>
        <v>-1.4238314631567786</v>
      </c>
      <c r="AO49" s="59">
        <f t="shared" si="38"/>
        <v>-1.8999660233433713</v>
      </c>
      <c r="AP49" s="59">
        <f t="shared" si="38"/>
        <v>-1.6020369694893921</v>
      </c>
      <c r="AQ49" s="59">
        <f t="shared" si="38"/>
        <v>-1</v>
      </c>
      <c r="AR49" s="59">
        <f t="shared" si="38"/>
        <v>-0.13576435564059997</v>
      </c>
      <c r="AS49" s="59">
        <f t="shared" si="38"/>
        <v>0.10765202076352952</v>
      </c>
      <c r="AT49" s="59">
        <f t="shared" si="38"/>
        <v>0.21978228556988774</v>
      </c>
      <c r="AU49" s="59">
        <f t="shared" si="38"/>
        <v>0.33312930259253765</v>
      </c>
      <c r="AV49" s="59">
        <f t="shared" si="38"/>
        <v>0.33310416407447341</v>
      </c>
      <c r="AW49" s="59">
        <f t="shared" si="38"/>
        <v>0.46655447920322857</v>
      </c>
      <c r="AX49" s="59">
        <f t="shared" si="38"/>
        <v>0.31958621199061016</v>
      </c>
      <c r="AY49" s="59">
        <f t="shared" si="38"/>
        <v>0.18985908728139914</v>
      </c>
      <c r="AZ49" s="59">
        <f t="shared" si="38"/>
        <v>0.19558408831860988</v>
      </c>
      <c r="BA49" s="59">
        <f t="shared" si="38"/>
        <v>-9.5097801316947256E-2</v>
      </c>
      <c r="BB49" s="59">
        <f t="shared" si="38"/>
        <v>0.10244235163337981</v>
      </c>
      <c r="BC49" s="59">
        <f t="shared" si="38"/>
        <v>0.24078340355986305</v>
      </c>
      <c r="BD49" s="59">
        <f t="shared" si="38"/>
        <v>0.21966974111021106</v>
      </c>
      <c r="BE49" s="59">
        <f t="shared" si="38"/>
        <v>0.16709944793157067</v>
      </c>
      <c r="BF49" s="59">
        <f t="shared" si="38"/>
        <v>0.17286298999041566</v>
      </c>
      <c r="BG49" s="59">
        <f t="shared" si="38"/>
        <v>0.12190902803145222</v>
      </c>
      <c r="BH49" s="59">
        <f t="shared" si="38"/>
        <v>-6.8848277627286819E-2</v>
      </c>
      <c r="BI49" s="59">
        <f t="shared" si="38"/>
        <v>0.59329317962561823</v>
      </c>
      <c r="BJ49" s="59">
        <f t="shared" si="38"/>
        <v>0.74367991898136643</v>
      </c>
      <c r="BK49" s="59">
        <f t="shared" si="38"/>
        <v>1.0948230222816839</v>
      </c>
      <c r="BL49" s="59">
        <f t="shared" si="38"/>
        <v>0.79470938804926439</v>
      </c>
      <c r="BM49" s="59">
        <f t="shared" si="38"/>
        <v>1.8253102113977997</v>
      </c>
      <c r="BN49" s="59">
        <f t="shared" si="38"/>
        <v>0.13054193744505302</v>
      </c>
      <c r="BO49" s="59">
        <f t="shared" si="38"/>
        <v>-0.25773333387358083</v>
      </c>
      <c r="BP49" s="59">
        <f t="shared" si="38"/>
        <v>-0.10907560658767425</v>
      </c>
      <c r="BQ49" s="59">
        <f t="shared" si="38"/>
        <v>-0.64437444127486465</v>
      </c>
      <c r="BR49" s="59">
        <f t="shared" ref="BR49:CJ49" si="39">(BR47-BV47)/BV47</f>
        <v>-0.48640439940260538</v>
      </c>
      <c r="BS49" s="59">
        <f t="shared" si="39"/>
        <v>-0.46945288335106611</v>
      </c>
      <c r="BT49" s="59">
        <f t="shared" si="39"/>
        <v>1.2434443665544141</v>
      </c>
      <c r="BU49" s="59">
        <f t="shared" si="39"/>
        <v>2.006684591334389E-2</v>
      </c>
      <c r="BV49" s="59">
        <f t="shared" si="39"/>
        <v>6.0569029657770379</v>
      </c>
      <c r="BW49" s="59">
        <f t="shared" si="39"/>
        <v>0.602460980659833</v>
      </c>
      <c r="BX49" s="59">
        <f t="shared" si="39"/>
        <v>-0.60452225899251344</v>
      </c>
      <c r="BY49" s="59">
        <f t="shared" si="39"/>
        <v>0.82626460561985016</v>
      </c>
      <c r="BZ49" s="59" t="e">
        <f t="shared" si="39"/>
        <v>#DIV/0!</v>
      </c>
      <c r="CA49" s="59">
        <f t="shared" si="39"/>
        <v>7.9605727040486034</v>
      </c>
      <c r="CB49" s="59">
        <f t="shared" si="39"/>
        <v>9.0513382279123302</v>
      </c>
      <c r="CC49" s="59">
        <f t="shared" si="39"/>
        <v>26.541020842956119</v>
      </c>
      <c r="CD49" s="59">
        <f t="shared" si="39"/>
        <v>-1</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x14ac:dyDescent="0.25">
      <c r="A50" s="17" t="s">
        <v>427</v>
      </c>
      <c r="E50" s="26">
        <f>股权价值增加表!E47</f>
        <v>4565389182.0428028</v>
      </c>
      <c r="F50" s="26">
        <f>股权价值增加表!F47</f>
        <v>2901978441.4295998</v>
      </c>
      <c r="G50" s="26">
        <f>股权价值增加表!G47</f>
        <v>689007340.17040014</v>
      </c>
      <c r="H50" s="26">
        <f>股权价值增加表!H47</f>
        <v>-596811680.44760084</v>
      </c>
      <c r="I50" s="26">
        <f>股权价值增加表!I47</f>
        <v>5738234090.7280006</v>
      </c>
      <c r="J50" s="26">
        <f>股权价值增加表!J47</f>
        <v>3213930718.2459993</v>
      </c>
      <c r="K50" s="26">
        <f>股权价值增加表!K47</f>
        <v>1066068065.9140007</v>
      </c>
      <c r="L50" s="26">
        <f>股权价值增加表!L47</f>
        <v>-500069177.26760101</v>
      </c>
      <c r="M50" s="26">
        <f>股权价值增加表!M47</f>
        <v>4389909697.3239965</v>
      </c>
      <c r="N50" s="26">
        <f>股权价值增加表!N47</f>
        <v>2397296276.3031993</v>
      </c>
      <c r="O50" s="26">
        <f>股权价值增加表!O47</f>
        <v>963841563.91239977</v>
      </c>
      <c r="P50" s="26">
        <f>股权价值增加表!P47</f>
        <v>-241881461.16880012</v>
      </c>
      <c r="Q50" s="26">
        <f>股权价值增加表!Q47</f>
        <v>3461258311.1991997</v>
      </c>
      <c r="R50" s="26">
        <f>股权价值增加表!R47</f>
        <v>1675609446.8411999</v>
      </c>
      <c r="S50" s="26">
        <f>股权价值增加表!S47</f>
        <v>581201797.83760035</v>
      </c>
      <c r="T50" s="26">
        <f>股权价值增加表!T47</f>
        <v>-260212141.76440001</v>
      </c>
      <c r="U50" s="26">
        <f>股权价值增加表!U47</f>
        <v>2152002754.9900002</v>
      </c>
      <c r="V50" s="26">
        <f>股权价值增加表!V47</f>
        <v>972360779.41359949</v>
      </c>
      <c r="W50" s="26">
        <f>股权价值增加表!W47</f>
        <v>263096583.87200022</v>
      </c>
      <c r="X50" s="26">
        <f>股权价值增加表!X47</f>
        <v>-278539322.41039985</v>
      </c>
      <c r="Y50" s="26">
        <f>股权价值增加表!Y47</f>
        <v>1441002619.6804004</v>
      </c>
      <c r="Z50" s="26">
        <f>股权价值增加表!Z47</f>
        <v>624614448.03879976</v>
      </c>
      <c r="AA50" s="26">
        <f>股权价值增加表!AA47</f>
        <v>161846528.96559942</v>
      </c>
      <c r="AB50" s="26">
        <f>股权价值增加表!AB47</f>
        <v>-224022252.21320009</v>
      </c>
      <c r="AC50" s="26">
        <f>股权价值增加表!AC47</f>
        <v>916226940.97160065</v>
      </c>
      <c r="AD50" s="26">
        <f>股权价值增加表!AD47</f>
        <v>377545491.41360003</v>
      </c>
      <c r="AE50" s="26">
        <f>股权价值增加表!AE47</f>
        <v>60958715.976000249</v>
      </c>
      <c r="AF50" s="26">
        <f>股权价值增加表!AF47</f>
        <v>-211512410.35560006</v>
      </c>
      <c r="AG50" s="26">
        <f>股权价值增加表!AG47</f>
        <v>591929759.03239989</v>
      </c>
      <c r="AH50" s="26">
        <f>股权价值增加表!AH47</f>
        <v>238409806.18960029</v>
      </c>
      <c r="AI50" s="26">
        <f>股权价值增加表!AI47</f>
        <v>-21671067.107600152</v>
      </c>
      <c r="AJ50" s="26">
        <f>股权价值增加表!AJ47</f>
        <v>69751011.285599947</v>
      </c>
      <c r="AK50" s="26">
        <f>股权价值增加表!AK47</f>
        <v>586760181.9763999</v>
      </c>
      <c r="AL50" s="26">
        <f>股权价值增加表!AL47</f>
        <v>396752255.71599978</v>
      </c>
      <c r="AM50" s="26">
        <f>股权价值增加表!AM47</f>
        <v>203695155.83079994</v>
      </c>
      <c r="AN50" s="26">
        <f>股权价值增加表!AN47</f>
        <v>135712078.41</v>
      </c>
      <c r="AO50" s="26">
        <f>股权价值增加表!AO47</f>
        <v>549100997.6500001</v>
      </c>
      <c r="AP50" s="26">
        <f>股权价值增加表!AP47</f>
        <v>365241349.77999997</v>
      </c>
      <c r="AQ50" s="26">
        <f>股权价值增加表!AQ47</f>
        <v>0</v>
      </c>
      <c r="AR50" s="26">
        <f>股权价值增加表!AR47</f>
        <v>-1171558509.1084001</v>
      </c>
      <c r="AS50" s="26">
        <f>股权价值增加表!AS47</f>
        <v>-1380234212.0735998</v>
      </c>
      <c r="AT50" s="26">
        <f>股权价值增加表!AT47</f>
        <v>-1365523001.1691999</v>
      </c>
      <c r="AU50" s="26">
        <f>股权价值增加表!AU47</f>
        <v>-1269565389.4956</v>
      </c>
      <c r="AV50" s="26">
        <f>股权价值增加表!AV47</f>
        <v>-1094636149.8116</v>
      </c>
      <c r="AW50" s="26">
        <f>股权价值增加表!AW47</f>
        <v>-1214450063.3312001</v>
      </c>
      <c r="AX50" s="26">
        <f>股权价值增加表!AX47</f>
        <v>-1148538939.4868002</v>
      </c>
      <c r="AY50" s="26">
        <f>股权价值增加表!AY47</f>
        <v>-1029093452.312</v>
      </c>
      <c r="AZ50" s="26">
        <f>股权价值增加表!AZ47</f>
        <v>-912708678.76999998</v>
      </c>
      <c r="BA50" s="26">
        <f>股权价值增加表!BA47</f>
        <v>-966476645.33319998</v>
      </c>
      <c r="BB50" s="26">
        <f>股权价值增加表!BB47</f>
        <v>-965766447.68720007</v>
      </c>
      <c r="BC50" s="26">
        <f>股权价值增加表!BC47</f>
        <v>-905480197.47199988</v>
      </c>
      <c r="BD50" s="26">
        <f>股权价值增加表!BD47</f>
        <v>-792737615.93959999</v>
      </c>
      <c r="BE50" s="26">
        <f>股权价值增加表!BE47</f>
        <v>-942028467.71160007</v>
      </c>
      <c r="BF50" s="26">
        <f>股权价值增加表!BF47</f>
        <v>-856598894.06439996</v>
      </c>
      <c r="BG50" s="26">
        <f>股权价值增加表!BG47</f>
        <v>-770285781.60280001</v>
      </c>
      <c r="BH50" s="26">
        <f>股权价值增加表!BH47</f>
        <v>-703335824.93879998</v>
      </c>
      <c r="BI50" s="26">
        <f>股权价值增加表!BI47</f>
        <v>-837715071.78279996</v>
      </c>
      <c r="BJ50" s="26">
        <f>股权价值增加表!BJ47</f>
        <v>-761129027.17720008</v>
      </c>
      <c r="BK50" s="26">
        <f>股权价值增加表!BK47</f>
        <v>-694810452.53199995</v>
      </c>
      <c r="BL50" s="26">
        <f>股权价值增加表!BL47</f>
        <v>-653614035.78559995</v>
      </c>
      <c r="BM50" s="26">
        <f>股权价值增加表!BM47</f>
        <v>-648980937.67680001</v>
      </c>
      <c r="BN50" s="26">
        <f>股权价值增加表!BN47</f>
        <v>-584316686.89160001</v>
      </c>
      <c r="BO50" s="26">
        <f>股权价值增加表!BO47</f>
        <v>-519580365.63720006</v>
      </c>
      <c r="BP50" s="26">
        <f>股权价值增加表!BP47</f>
        <v>-510447612.64480001</v>
      </c>
      <c r="BQ50" s="26">
        <f>股权价值增加表!BQ47</f>
        <v>-455184205.68400002</v>
      </c>
      <c r="BR50" s="26">
        <f>股权价值增加表!BR47</f>
        <v>-147870000</v>
      </c>
      <c r="BS50" s="26">
        <f>股权价值增加表!BS47</f>
        <v>-503831715.28120005</v>
      </c>
      <c r="BT50" s="26">
        <f>股权价值增加表!BT47</f>
        <v>-467102018.77999997</v>
      </c>
      <c r="BU50" s="26">
        <f>股权价值增加表!BU47</f>
        <v>-477454430.35599995</v>
      </c>
      <c r="BV50" s="26">
        <f>股权价值增加表!BV47</f>
        <v>-515936318.05199999</v>
      </c>
      <c r="BW50" s="26">
        <f>股权价值增加表!BW47</f>
        <v>-481982388.18599999</v>
      </c>
      <c r="BX50" s="26">
        <f>股权价值增加表!BX47</f>
        <v>-224236423.546</v>
      </c>
      <c r="BY50" s="26">
        <f>股权价值增加表!BY47</f>
        <v>-358986056.90359998</v>
      </c>
      <c r="BZ50" s="26">
        <f>股权价值增加表!BZ47</f>
        <v>-189968023.31680003</v>
      </c>
      <c r="CA50" s="26">
        <f>股权价值增加表!CA47</f>
        <v>-211328042.74439999</v>
      </c>
      <c r="CB50" s="26">
        <f>股权价值增加表!CB47</f>
        <v>-165479246.60680002</v>
      </c>
      <c r="CC50" s="26">
        <f>股权价值增加表!CC47</f>
        <v>-137330018.646</v>
      </c>
      <c r="CD50" s="26">
        <f>股权价值增加表!CD47</f>
        <v>0</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73.2" customHeight="1" x14ac:dyDescent="0.25">
      <c r="A51" s="285" t="s">
        <v>685</v>
      </c>
      <c r="B51" s="286"/>
      <c r="C51" s="286"/>
      <c r="D51" s="286"/>
      <c r="E51" s="286"/>
      <c r="F51" s="286"/>
      <c r="G51" s="286"/>
      <c r="H51" s="286"/>
      <c r="I51" s="286"/>
      <c r="J51" s="286"/>
      <c r="K51" s="286"/>
      <c r="L51" s="286"/>
      <c r="M51" s="286"/>
      <c r="N51" s="286"/>
      <c r="O51" s="286"/>
      <c r="P51" s="286"/>
      <c r="Q51" s="286"/>
      <c r="R51" s="286"/>
      <c r="S51" s="286"/>
      <c r="T51" s="286"/>
      <c r="U51" s="286"/>
      <c r="V51" s="286"/>
      <c r="W51" s="286"/>
      <c r="X51" s="286"/>
      <c r="Y51" s="286"/>
      <c r="Z51" s="286"/>
      <c r="AA51" s="286"/>
      <c r="AB51" s="286"/>
      <c r="AC51" s="286"/>
      <c r="AD51" s="286"/>
      <c r="AE51" s="286"/>
      <c r="AF51" s="286"/>
      <c r="AG51" s="286"/>
    </row>
    <row r="53" spans="1:88" x14ac:dyDescent="0.25">
      <c r="A53" s="20" t="s">
        <v>672</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673</v>
      </c>
      <c r="E54" s="193">
        <f>E39</f>
        <v>8658604935.4400024</v>
      </c>
      <c r="F54" s="193">
        <f t="shared" ref="F54:AC54" si="41">F39</f>
        <v>5956384965.8900003</v>
      </c>
      <c r="G54" s="193">
        <f t="shared" si="41"/>
        <v>3262136513.4400001</v>
      </c>
      <c r="H54" s="193">
        <f t="shared" si="41"/>
        <v>1823274290.8399994</v>
      </c>
      <c r="I54" s="193">
        <f t="shared" si="41"/>
        <v>8176468082.2600002</v>
      </c>
      <c r="J54" s="193">
        <f t="shared" si="41"/>
        <v>5326241269.3199997</v>
      </c>
      <c r="K54" s="193">
        <f t="shared" si="41"/>
        <v>2933888907.5800009</v>
      </c>
      <c r="L54" s="193">
        <f t="shared" si="41"/>
        <v>1371379179.7699993</v>
      </c>
      <c r="M54" s="193">
        <f t="shared" si="41"/>
        <v>6807886358.4499979</v>
      </c>
      <c r="N54" s="193">
        <f t="shared" si="41"/>
        <v>4325395060.1899996</v>
      </c>
      <c r="O54" s="193">
        <f t="shared" si="41"/>
        <v>2564711484.0199995</v>
      </c>
      <c r="P54" s="193">
        <f t="shared" si="41"/>
        <v>1210284266.96</v>
      </c>
      <c r="Q54" s="193">
        <f t="shared" si="41"/>
        <v>5249628865.9399996</v>
      </c>
      <c r="R54" s="193">
        <f t="shared" si="41"/>
        <v>3025811681.5799999</v>
      </c>
      <c r="S54" s="193">
        <f t="shared" si="41"/>
        <v>1668124453.2500005</v>
      </c>
      <c r="T54" s="193">
        <f t="shared" si="41"/>
        <v>759751534.32000005</v>
      </c>
      <c r="U54" s="193">
        <f t="shared" si="41"/>
        <v>3387251499.8900003</v>
      </c>
      <c r="V54" s="193">
        <f t="shared" si="41"/>
        <v>1977654729.9799995</v>
      </c>
      <c r="W54" s="193">
        <f t="shared" si="41"/>
        <v>1078813182.2300003</v>
      </c>
      <c r="X54" s="193">
        <f t="shared" si="41"/>
        <v>500063802.17000008</v>
      </c>
      <c r="Y54" s="193">
        <f t="shared" si="41"/>
        <v>2313137948.3000007</v>
      </c>
      <c r="Z54" s="193">
        <f t="shared" si="41"/>
        <v>1398638004.5799999</v>
      </c>
      <c r="AA54" s="193">
        <f t="shared" si="41"/>
        <v>809014429.67999947</v>
      </c>
      <c r="AB54" s="193">
        <f t="shared" si="41"/>
        <v>396846327.95999992</v>
      </c>
      <c r="AC54" s="193">
        <f t="shared" si="41"/>
        <v>1729358733.5100007</v>
      </c>
    </row>
    <row r="55" spans="1:88" s="63" customFormat="1" x14ac:dyDescent="0.25">
      <c r="A55" s="63" t="s">
        <v>674</v>
      </c>
      <c r="E55" s="63">
        <f>E54/E2</f>
        <v>0.206622275743571</v>
      </c>
      <c r="F55" s="63">
        <f t="shared" ref="F55:AC55" si="42">F54/F2</f>
        <v>0.21480131087814408</v>
      </c>
      <c r="G55" s="63">
        <f t="shared" si="42"/>
        <v>0.19833583415498765</v>
      </c>
      <c r="H55" s="63">
        <f t="shared" si="42"/>
        <v>0.2588508954222366</v>
      </c>
      <c r="I55" s="63">
        <f t="shared" si="42"/>
        <v>0.25612275204715029</v>
      </c>
      <c r="J55" s="63">
        <f t="shared" si="42"/>
        <v>0.25199295479188788</v>
      </c>
      <c r="K55" s="63">
        <f t="shared" si="42"/>
        <v>0.23380956674465911</v>
      </c>
      <c r="L55" s="63">
        <f t="shared" si="42"/>
        <v>0.26374145412142669</v>
      </c>
      <c r="M55" s="63">
        <f t="shared" si="42"/>
        <v>0.26939104991031748</v>
      </c>
      <c r="N55" s="63">
        <f t="shared" si="42"/>
        <v>0.25935296927875434</v>
      </c>
      <c r="O55" s="63">
        <f t="shared" si="42"/>
        <v>0.26180191579258472</v>
      </c>
      <c r="P55" s="63">
        <f t="shared" si="42"/>
        <v>0.28225263258623651</v>
      </c>
      <c r="Q55" s="63">
        <f t="shared" si="42"/>
        <v>0.30462450717436484</v>
      </c>
      <c r="R55" s="63">
        <f t="shared" si="42"/>
        <v>0.2835863330784773</v>
      </c>
      <c r="S55" s="63">
        <f t="shared" si="42"/>
        <v>0.27727877605139795</v>
      </c>
      <c r="T55" s="63">
        <f t="shared" si="42"/>
        <v>0.29281360800634115</v>
      </c>
      <c r="U55" s="63">
        <f t="shared" si="42"/>
        <v>0.31521317722618675</v>
      </c>
      <c r="V55" s="63">
        <f t="shared" si="42"/>
        <v>0.28827118663441675</v>
      </c>
      <c r="W55" s="63">
        <f t="shared" si="42"/>
        <v>0.27601050935232807</v>
      </c>
      <c r="X55" s="63">
        <f t="shared" si="42"/>
        <v>0.2946182941411844</v>
      </c>
      <c r="Y55" s="63">
        <f t="shared" si="42"/>
        <v>0.32065503876561524</v>
      </c>
      <c r="Z55" s="63">
        <f t="shared" si="42"/>
        <v>0.29151365084813191</v>
      </c>
      <c r="AA55" s="63">
        <f t="shared" si="42"/>
        <v>0.28701895150041051</v>
      </c>
      <c r="AB55" s="63">
        <f t="shared" si="42"/>
        <v>0.30699534942994577</v>
      </c>
      <c r="AC55" s="63">
        <f t="shared" si="42"/>
        <v>0.33055768673407393</v>
      </c>
    </row>
    <row r="56" spans="1:88" x14ac:dyDescent="0.25">
      <c r="A56" s="17" t="s">
        <v>675</v>
      </c>
      <c r="E56" s="193">
        <f>E23</f>
        <v>7747861829.6412401</v>
      </c>
      <c r="F56" s="193">
        <f t="shared" ref="F56:AC56" si="43">F23</f>
        <v>5198170403.9470339</v>
      </c>
      <c r="G56" s="193">
        <f t="shared" si="43"/>
        <v>2585090613.2036266</v>
      </c>
      <c r="H56" s="193">
        <f t="shared" si="43"/>
        <v>1473240798.0727448</v>
      </c>
      <c r="I56" s="193">
        <f t="shared" si="43"/>
        <v>7235192253.7845078</v>
      </c>
      <c r="J56" s="193">
        <f t="shared" si="43"/>
        <v>4711244320.9261093</v>
      </c>
      <c r="K56" s="193">
        <f t="shared" si="43"/>
        <v>2509372204.4831424</v>
      </c>
      <c r="L56" s="193">
        <f t="shared" si="43"/>
        <v>1130719462.0293686</v>
      </c>
      <c r="M56" s="193">
        <f t="shared" si="43"/>
        <v>5624501923.0369005</v>
      </c>
      <c r="N56" s="193">
        <f t="shared" si="43"/>
        <v>3632042146.1611905</v>
      </c>
      <c r="O56" s="193">
        <f t="shared" si="43"/>
        <v>2122633012.999887</v>
      </c>
      <c r="P56" s="193">
        <f t="shared" si="43"/>
        <v>1002071723.913475</v>
      </c>
      <c r="Q56" s="193">
        <f t="shared" si="43"/>
        <v>4457368227.1929827</v>
      </c>
      <c r="R56" s="193">
        <f t="shared" si="43"/>
        <v>2585062195.3580022</v>
      </c>
      <c r="S56" s="193">
        <f t="shared" si="43"/>
        <v>1448134501.4962809</v>
      </c>
      <c r="T56" s="193">
        <f t="shared" si="43"/>
        <v>672732680.20506442</v>
      </c>
      <c r="U56" s="193">
        <f t="shared" si="43"/>
        <v>2956232188.7639647</v>
      </c>
      <c r="V56" s="193">
        <f t="shared" si="43"/>
        <v>1700702280.8909385</v>
      </c>
      <c r="W56" s="193">
        <f t="shared" si="43"/>
        <v>942000555.74694157</v>
      </c>
      <c r="X56" s="193">
        <f t="shared" si="43"/>
        <v>422138618.3564412</v>
      </c>
      <c r="Y56" s="193">
        <f t="shared" si="43"/>
        <v>2070883253.8309031</v>
      </c>
      <c r="Z56" s="193">
        <f t="shared" si="43"/>
        <v>1197653781.9139941</v>
      </c>
      <c r="AA56" s="193">
        <f t="shared" si="43"/>
        <v>700378492.57080543</v>
      </c>
      <c r="AB56" s="193">
        <f t="shared" si="43"/>
        <v>340310961.44933069</v>
      </c>
      <c r="AC56" s="193">
        <f t="shared" si="43"/>
        <v>1407669831.4786239</v>
      </c>
    </row>
    <row r="57" spans="1:88" s="63" customFormat="1" x14ac:dyDescent="0.25">
      <c r="A57" s="63" t="s">
        <v>676</v>
      </c>
      <c r="E57" s="63">
        <f>E56/E2</f>
        <v>0.18488900409750239</v>
      </c>
      <c r="F57" s="63">
        <f t="shared" ref="F57:AC57" si="44">F56/F2</f>
        <v>0.18745830286826612</v>
      </c>
      <c r="G57" s="63">
        <f t="shared" si="44"/>
        <v>0.15717187218363787</v>
      </c>
      <c r="H57" s="63">
        <f t="shared" si="44"/>
        <v>0.20915651675097613</v>
      </c>
      <c r="I57" s="63">
        <f t="shared" si="44"/>
        <v>0.22663787505635444</v>
      </c>
      <c r="J57" s="63">
        <f t="shared" si="44"/>
        <v>0.22289646997689261</v>
      </c>
      <c r="K57" s="63">
        <f t="shared" si="44"/>
        <v>0.19997867895251764</v>
      </c>
      <c r="L57" s="63">
        <f t="shared" si="44"/>
        <v>0.21745816147583524</v>
      </c>
      <c r="M57" s="63">
        <f t="shared" si="44"/>
        <v>0.22256400863519774</v>
      </c>
      <c r="N57" s="63">
        <f t="shared" si="44"/>
        <v>0.21777916283815849</v>
      </c>
      <c r="O57" s="63">
        <f t="shared" si="44"/>
        <v>0.2166752060769512</v>
      </c>
      <c r="P57" s="63">
        <f t="shared" si="44"/>
        <v>0.23369500028719656</v>
      </c>
      <c r="Q57" s="63">
        <f t="shared" si="44"/>
        <v>0.25865135120560617</v>
      </c>
      <c r="R57" s="63">
        <f t="shared" si="44"/>
        <v>0.24227823338251325</v>
      </c>
      <c r="S57" s="63">
        <f t="shared" si="44"/>
        <v>0.24071163356569539</v>
      </c>
      <c r="T57" s="63">
        <f t="shared" si="44"/>
        <v>0.25927592695278806</v>
      </c>
      <c r="U57" s="63">
        <f t="shared" si="44"/>
        <v>0.27510308604745609</v>
      </c>
      <c r="V57" s="63">
        <f t="shared" si="44"/>
        <v>0.2479014446719161</v>
      </c>
      <c r="W57" s="63">
        <f t="shared" si="44"/>
        <v>0.24100748626786583</v>
      </c>
      <c r="X57" s="63">
        <f t="shared" si="44"/>
        <v>0.24870778307007083</v>
      </c>
      <c r="Y57" s="63">
        <f t="shared" si="44"/>
        <v>0.28707287022126599</v>
      </c>
      <c r="Z57" s="63">
        <f t="shared" si="44"/>
        <v>0.24962315143342792</v>
      </c>
      <c r="AA57" s="63">
        <f t="shared" si="44"/>
        <v>0.2484775218046773</v>
      </c>
      <c r="AB57" s="63">
        <f t="shared" si="44"/>
        <v>0.26326029791438194</v>
      </c>
      <c r="AC57" s="63">
        <f t="shared" si="44"/>
        <v>0.26906857100405462</v>
      </c>
    </row>
    <row r="58" spans="1:88" ht="93" customHeight="1" x14ac:dyDescent="0.25">
      <c r="A58" s="279" t="s">
        <v>677</v>
      </c>
      <c r="B58" s="287"/>
      <c r="C58" s="287"/>
      <c r="D58" s="287"/>
      <c r="E58" s="287"/>
      <c r="F58" s="287"/>
      <c r="G58" s="287"/>
      <c r="H58" s="287"/>
      <c r="I58" s="287"/>
      <c r="J58" s="287"/>
      <c r="K58" s="287"/>
      <c r="L58" s="287"/>
      <c r="M58" s="287"/>
      <c r="N58" s="287"/>
      <c r="O58" s="287"/>
      <c r="P58" s="287"/>
      <c r="Q58" s="287"/>
      <c r="R58" s="287"/>
      <c r="S58" s="287"/>
      <c r="T58" s="287"/>
      <c r="U58" s="287"/>
      <c r="V58" s="287"/>
      <c r="W58" s="287"/>
      <c r="X58" s="287"/>
      <c r="Y58" s="287"/>
      <c r="Z58" s="287"/>
      <c r="AA58" s="287"/>
      <c r="AB58" s="287"/>
      <c r="AC58" s="287"/>
    </row>
    <row r="60" spans="1:88" s="225" customFormat="1" x14ac:dyDescent="0.25">
      <c r="A60" s="227" t="s">
        <v>679</v>
      </c>
      <c r="B60" s="223"/>
      <c r="C60" s="223"/>
      <c r="D60" s="223"/>
      <c r="E60" s="228">
        <f>E53</f>
        <v>43100</v>
      </c>
      <c r="F60" s="228">
        <f t="shared" ref="F60:AC60" si="45">F53</f>
        <v>43008</v>
      </c>
      <c r="G60" s="228">
        <f t="shared" si="45"/>
        <v>42916</v>
      </c>
      <c r="H60" s="228">
        <f t="shared" si="45"/>
        <v>42825</v>
      </c>
      <c r="I60" s="228">
        <f t="shared" si="45"/>
        <v>42735</v>
      </c>
      <c r="J60" s="228">
        <f t="shared" si="45"/>
        <v>42643</v>
      </c>
      <c r="K60" s="228">
        <f t="shared" si="45"/>
        <v>42551</v>
      </c>
      <c r="L60" s="228">
        <f t="shared" si="45"/>
        <v>42460</v>
      </c>
      <c r="M60" s="228">
        <f t="shared" si="45"/>
        <v>42369</v>
      </c>
      <c r="N60" s="228">
        <f t="shared" si="45"/>
        <v>42277</v>
      </c>
      <c r="O60" s="228">
        <f t="shared" si="45"/>
        <v>42185</v>
      </c>
      <c r="P60" s="228">
        <f t="shared" si="45"/>
        <v>42094</v>
      </c>
      <c r="Q60" s="228">
        <f t="shared" si="45"/>
        <v>42004</v>
      </c>
      <c r="R60" s="228">
        <f t="shared" si="45"/>
        <v>41912</v>
      </c>
      <c r="S60" s="228">
        <f t="shared" si="45"/>
        <v>41820</v>
      </c>
      <c r="T60" s="228">
        <f t="shared" si="45"/>
        <v>41729</v>
      </c>
      <c r="U60" s="228">
        <f t="shared" si="45"/>
        <v>41639</v>
      </c>
      <c r="V60" s="228">
        <f t="shared" si="45"/>
        <v>41547</v>
      </c>
      <c r="W60" s="228">
        <f t="shared" si="45"/>
        <v>41455</v>
      </c>
      <c r="X60" s="228">
        <f t="shared" si="45"/>
        <v>41364</v>
      </c>
      <c r="Y60" s="228">
        <f t="shared" si="45"/>
        <v>41274</v>
      </c>
      <c r="Z60" s="228">
        <f t="shared" si="45"/>
        <v>41182</v>
      </c>
      <c r="AA60" s="228">
        <f t="shared" si="45"/>
        <v>41090</v>
      </c>
      <c r="AB60" s="228">
        <f t="shared" si="45"/>
        <v>40999</v>
      </c>
      <c r="AC60" s="228">
        <f t="shared" si="45"/>
        <v>40908</v>
      </c>
    </row>
    <row r="61" spans="1:88" s="193" customFormat="1" x14ac:dyDescent="0.25">
      <c r="A61" s="89" t="s">
        <v>680</v>
      </c>
      <c r="B61" s="89"/>
      <c r="C61" s="89"/>
      <c r="D61" s="89"/>
      <c r="E61" s="89">
        <f>股权价值增加表!E38</f>
        <v>8123037739.630003</v>
      </c>
      <c r="F61" s="89">
        <f>股权价值增加表!F38</f>
        <v>5738051440.4200001</v>
      </c>
      <c r="G61" s="89">
        <f>股权价值增加表!G38</f>
        <v>3196612576.79</v>
      </c>
      <c r="H61" s="89">
        <f>股权价值增加表!H38</f>
        <v>1801638000.4399993</v>
      </c>
      <c r="I61" s="89">
        <f>股权价值增加表!I38</f>
        <v>8587073212.8100004</v>
      </c>
      <c r="J61" s="89">
        <f>股权价值增加表!J38</f>
        <v>5452544569.5999994</v>
      </c>
      <c r="K61" s="89">
        <f>股权价值增加表!K38</f>
        <v>3031452308.420001</v>
      </c>
      <c r="L61" s="89">
        <f>股权价值增加表!L38</f>
        <v>1381426441.6299992</v>
      </c>
      <c r="M61" s="89">
        <f>股权价值增加表!M38</f>
        <v>6801349655.3899975</v>
      </c>
      <c r="N61" s="89">
        <f>股权价值增加表!N38</f>
        <v>4422359388.3999996</v>
      </c>
      <c r="O61" s="89">
        <f>股权价值增加表!O38</f>
        <v>2606896735.3499994</v>
      </c>
      <c r="P61" s="89">
        <f>股权价值增加表!P38</f>
        <v>1220411821.54</v>
      </c>
      <c r="Q61" s="89">
        <f>股权价值增加表!Q38</f>
        <v>5177231969.0899992</v>
      </c>
      <c r="R61" s="89">
        <f>股权价值增加表!R38</f>
        <v>3083261046.75</v>
      </c>
      <c r="S61" s="89">
        <f>股权价值增加表!S38</f>
        <v>1699738742.7700005</v>
      </c>
      <c r="T61" s="89">
        <f>股权价值增加表!T38</f>
        <v>778250930.82000005</v>
      </c>
      <c r="U61" s="89">
        <f>股权价值增加表!U38</f>
        <v>3357256403.4900002</v>
      </c>
      <c r="V61" s="89">
        <f>股权价值增加表!V38</f>
        <v>2032685574.7899995</v>
      </c>
      <c r="W61" s="89">
        <f>股权价值增加表!W38</f>
        <v>1121676854.2000003</v>
      </c>
      <c r="X61" s="89">
        <f>股权价值增加表!X38</f>
        <v>529776831.63000005</v>
      </c>
      <c r="Y61" s="89">
        <f>股权价值增加表!Y38</f>
        <v>2307894852.6100006</v>
      </c>
      <c r="Z61" s="89">
        <f>股权价值增加表!Z38</f>
        <v>1451462244.6399999</v>
      </c>
      <c r="AA61" s="89">
        <f>股权价值增加表!AA38</f>
        <v>846053899.67999947</v>
      </c>
      <c r="AB61" s="89">
        <f>股权价值增加表!AB38</f>
        <v>406348780.31999993</v>
      </c>
      <c r="AC61" s="89">
        <f>股权价值增加表!AC38</f>
        <v>1704097372.0500007</v>
      </c>
    </row>
    <row r="62" spans="1:88" s="193" customFormat="1" x14ac:dyDescent="0.25">
      <c r="A62" s="89" t="s">
        <v>681</v>
      </c>
      <c r="B62" s="89"/>
      <c r="C62" s="89"/>
      <c r="D62" s="89"/>
      <c r="E62" s="89">
        <f>股权价值增加表!E40</f>
        <v>1109318842.54</v>
      </c>
      <c r="F62" s="89">
        <f>股权价值增加表!F40</f>
        <v>662436664.13999999</v>
      </c>
      <c r="G62" s="89">
        <f>股权价值增加表!G40</f>
        <v>568658390.85000002</v>
      </c>
      <c r="H62" s="89">
        <f>股权价值增加表!H40</f>
        <v>318461864.25</v>
      </c>
      <c r="I62" s="89">
        <f>股权价值增加表!I40</f>
        <v>889905208.07000005</v>
      </c>
      <c r="J62" s="89">
        <f>股权价值增加表!J40</f>
        <v>507470567.58999997</v>
      </c>
      <c r="K62" s="89">
        <f>股权价值增加表!K40</f>
        <v>432531976.11000001</v>
      </c>
      <c r="L62" s="89">
        <f>股权价值增加表!L40</f>
        <v>243921948.30000001</v>
      </c>
      <c r="M62" s="89">
        <f>股权价值增加表!M40</f>
        <v>867643887.69000006</v>
      </c>
      <c r="N62" s="89">
        <f>股权价值增加表!N40</f>
        <v>654171637.72000003</v>
      </c>
      <c r="O62" s="89">
        <f>股权价值增加表!O40</f>
        <v>399902720.24000001</v>
      </c>
      <c r="P62" s="89">
        <f>股权价值增加表!P40</f>
        <v>185766813.56</v>
      </c>
      <c r="Q62" s="89">
        <f>股权价值增加表!Q40</f>
        <v>525641134.11000001</v>
      </c>
      <c r="R62" s="89">
        <f>股权价值增加表!R40</f>
        <v>371922648.92000002</v>
      </c>
      <c r="S62" s="89">
        <f>股权价值增加表!S40</f>
        <v>178940192.94999999</v>
      </c>
      <c r="T62" s="89">
        <f>股权价值增加表!T40</f>
        <v>86794286.390000001</v>
      </c>
      <c r="U62" s="89">
        <f>股权价值增加表!U40</f>
        <v>308901393.86000001</v>
      </c>
      <c r="V62" s="89">
        <f>股权价值增加表!V40</f>
        <v>271661533.05000001</v>
      </c>
      <c r="W62" s="89">
        <f>股权价值增加表!W40</f>
        <v>131592155.44</v>
      </c>
      <c r="X62" s="89">
        <f>股权价值增加表!X40</f>
        <v>78501175.870000005</v>
      </c>
      <c r="Y62" s="89">
        <f>股权价值增加表!Y40</f>
        <v>173179307.22</v>
      </c>
      <c r="Z62" s="89">
        <f>股权价值增加表!Z40</f>
        <v>208618911.93000001</v>
      </c>
      <c r="AA62" s="89">
        <f>股权价值增加表!AA40</f>
        <v>114194275.28</v>
      </c>
      <c r="AB62" s="89">
        <f>股权价值增加表!AB40</f>
        <v>57281341.229999997</v>
      </c>
      <c r="AC62" s="89">
        <f>股权价值增加表!AC40</f>
        <v>244886638</v>
      </c>
    </row>
    <row r="63" spans="1:88" x14ac:dyDescent="0.25">
      <c r="A63" s="184" t="s">
        <v>682</v>
      </c>
      <c r="B63" s="64"/>
      <c r="C63" s="64"/>
      <c r="D63" s="64"/>
      <c r="E63" s="64">
        <f>股权价值增加表!E42</f>
        <v>7013718897.090003</v>
      </c>
      <c r="F63" s="64">
        <f>股权价值增加表!F42</f>
        <v>5075614776.2799997</v>
      </c>
      <c r="G63" s="64">
        <f>股权价值增加表!G42</f>
        <v>2627954185.9400001</v>
      </c>
      <c r="H63" s="64">
        <f>股权价值增加表!H42</f>
        <v>1483176136.1899993</v>
      </c>
      <c r="I63" s="64">
        <f>股权价值增加表!I42</f>
        <v>7697168004.7400007</v>
      </c>
      <c r="J63" s="64">
        <f>股权价值增加表!J42</f>
        <v>4945074002.0099993</v>
      </c>
      <c r="K63" s="64">
        <f>股权价值增加表!K42</f>
        <v>2598920332.3100009</v>
      </c>
      <c r="L63" s="64">
        <f>股权价值增加表!L42</f>
        <v>1137504493.3299992</v>
      </c>
      <c r="M63" s="64">
        <f>股权价值增加表!M42</f>
        <v>5933705767.6999969</v>
      </c>
      <c r="N63" s="64">
        <f>股权价值增加表!N42</f>
        <v>3768187750.6799994</v>
      </c>
      <c r="O63" s="64">
        <f>股权价值增加表!O42</f>
        <v>2206994015.1099997</v>
      </c>
      <c r="P63" s="64">
        <f>股权价值增加表!P42</f>
        <v>1034645007.98</v>
      </c>
      <c r="Q63" s="64">
        <f>股权价值增加表!Q42</f>
        <v>4651590834.9799995</v>
      </c>
      <c r="R63" s="64">
        <f>股权价值增加表!R42</f>
        <v>2711338397.8299999</v>
      </c>
      <c r="S63" s="64">
        <f>股权价值增加表!S42</f>
        <v>1520798549.8200004</v>
      </c>
      <c r="T63" s="64">
        <f>股权价值增加表!T42</f>
        <v>691456644.43000007</v>
      </c>
      <c r="U63" s="64">
        <f>股权价值增加表!U42</f>
        <v>3048355009.6300001</v>
      </c>
      <c r="V63" s="64">
        <f>股权价值增加表!V42</f>
        <v>1761024041.7399995</v>
      </c>
      <c r="W63" s="64">
        <f>股权价值增加表!W42</f>
        <v>990084698.76000023</v>
      </c>
      <c r="X63" s="64">
        <f>股权价值增加表!X42</f>
        <v>451275655.76000005</v>
      </c>
      <c r="Y63" s="64">
        <f>股权价值增加表!Y42</f>
        <v>2134715545.3900006</v>
      </c>
      <c r="Z63" s="64">
        <f>股权价值增加表!Z42</f>
        <v>1242843332.7099998</v>
      </c>
      <c r="AA63" s="64">
        <f>股权价值增加表!AA42</f>
        <v>731859624.3999995</v>
      </c>
      <c r="AB63" s="64">
        <f>股权价值增加表!AB42</f>
        <v>349067439.08999991</v>
      </c>
      <c r="AC63" s="64">
        <f>股权价值增加表!AC42</f>
        <v>1459210734.0500007</v>
      </c>
    </row>
    <row r="64" spans="1:88" s="63" customFormat="1" x14ac:dyDescent="0.25">
      <c r="A64" s="214" t="s">
        <v>683</v>
      </c>
      <c r="B64" s="214"/>
      <c r="C64" s="214"/>
      <c r="D64" s="214"/>
      <c r="E64" s="214">
        <f>1-E63/E61</f>
        <v>0.13656453141020719</v>
      </c>
      <c r="F64" s="214">
        <f t="shared" ref="F64:AC64" si="46">1-F63/F61</f>
        <v>0.11544627492769788</v>
      </c>
      <c r="G64" s="214">
        <f t="shared" si="46"/>
        <v>0.17789406041223799</v>
      </c>
      <c r="H64" s="214">
        <f t="shared" si="46"/>
        <v>0.17676240408574007</v>
      </c>
      <c r="I64" s="214">
        <f t="shared" si="46"/>
        <v>0.10363312225432753</v>
      </c>
      <c r="J64" s="214">
        <f t="shared" si="46"/>
        <v>9.3070411642179107E-2</v>
      </c>
      <c r="K64" s="214">
        <f t="shared" si="46"/>
        <v>0.14268143850016124</v>
      </c>
      <c r="L64" s="214">
        <f t="shared" si="46"/>
        <v>0.17657252022205894</v>
      </c>
      <c r="M64" s="214">
        <f t="shared" si="46"/>
        <v>0.12756936955923182</v>
      </c>
      <c r="N64" s="214">
        <f t="shared" si="46"/>
        <v>0.14792367156679187</v>
      </c>
      <c r="O64" s="214">
        <f t="shared" si="46"/>
        <v>0.15340182632370714</v>
      </c>
      <c r="P64" s="214">
        <f t="shared" si="46"/>
        <v>0.15221649797327141</v>
      </c>
      <c r="Q64" s="214">
        <f t="shared" si="46"/>
        <v>0.10152937655648286</v>
      </c>
      <c r="R64" s="214">
        <f t="shared" si="46"/>
        <v>0.12062638981283658</v>
      </c>
      <c r="S64" s="214">
        <f t="shared" si="46"/>
        <v>0.1052751157853753</v>
      </c>
      <c r="T64" s="214">
        <f t="shared" si="46"/>
        <v>0.1115248089694536</v>
      </c>
      <c r="U64" s="214">
        <f t="shared" si="46"/>
        <v>9.2010069156137408E-2</v>
      </c>
      <c r="V64" s="214">
        <f t="shared" si="46"/>
        <v>0.13364660841756881</v>
      </c>
      <c r="W64" s="214">
        <f t="shared" si="46"/>
        <v>0.1173173494195473</v>
      </c>
      <c r="X64" s="214">
        <f t="shared" si="46"/>
        <v>0.148177819759445</v>
      </c>
      <c r="Y64" s="214">
        <f t="shared" si="46"/>
        <v>7.5037780436206347E-2</v>
      </c>
      <c r="Z64" s="214">
        <f t="shared" si="46"/>
        <v>0.14373016776729386</v>
      </c>
      <c r="AA64" s="214">
        <f t="shared" si="46"/>
        <v>0.13497281357983382</v>
      </c>
      <c r="AB64" s="214">
        <f t="shared" si="46"/>
        <v>0.14096594847630872</v>
      </c>
      <c r="AC64" s="214">
        <f t="shared" si="46"/>
        <v>0.14370460398363594</v>
      </c>
    </row>
    <row r="65" spans="1:29" ht="42.6" customHeight="1" x14ac:dyDescent="0.25">
      <c r="A65" s="281" t="s">
        <v>684</v>
      </c>
      <c r="B65" s="281"/>
      <c r="C65" s="281"/>
      <c r="D65" s="281"/>
      <c r="E65" s="281"/>
      <c r="F65" s="281"/>
      <c r="G65" s="281"/>
      <c r="H65" s="281"/>
      <c r="I65" s="281"/>
      <c r="J65" s="281"/>
      <c r="K65" s="281"/>
      <c r="L65" s="281"/>
      <c r="M65" s="281"/>
      <c r="N65" s="281"/>
      <c r="O65" s="281"/>
      <c r="P65" s="281"/>
      <c r="Q65" s="281"/>
      <c r="R65" s="281"/>
      <c r="S65" s="281"/>
      <c r="T65" s="281"/>
      <c r="U65" s="281"/>
      <c r="V65" s="281"/>
      <c r="W65" s="281"/>
      <c r="X65" s="281"/>
      <c r="Y65" s="281"/>
      <c r="Z65" s="281"/>
      <c r="AA65" s="281"/>
      <c r="AB65" s="281"/>
      <c r="AC65" s="281"/>
    </row>
    <row r="68" spans="1:29" ht="55.8" customHeight="1" x14ac:dyDescent="0.25">
      <c r="A68" s="279" t="s">
        <v>736</v>
      </c>
      <c r="B68" s="278"/>
      <c r="C68" s="278"/>
      <c r="D68" s="278"/>
      <c r="E68" s="278"/>
      <c r="F68" s="278"/>
      <c r="G68" s="278"/>
      <c r="H68" s="278"/>
      <c r="I68" s="278"/>
      <c r="J68" s="278"/>
      <c r="K68" s="278"/>
      <c r="L68" s="278"/>
      <c r="M68" s="278"/>
      <c r="N68" s="278"/>
      <c r="O68" s="278"/>
      <c r="P68" s="278"/>
      <c r="Q68" s="278"/>
      <c r="R68" s="278"/>
      <c r="S68" s="278"/>
      <c r="T68" s="278"/>
      <c r="U68" s="278"/>
      <c r="V68" s="278"/>
      <c r="W68" s="278"/>
      <c r="X68" s="278"/>
      <c r="Y68" s="278"/>
      <c r="Z68" s="278"/>
      <c r="AA68" s="278"/>
      <c r="AB68" s="278"/>
      <c r="AC68" s="278"/>
    </row>
    <row r="69" spans="1:29" x14ac:dyDescent="0.25">
      <c r="A69" s="283" t="s">
        <v>704</v>
      </c>
      <c r="B69" s="283"/>
      <c r="C69" s="283"/>
      <c r="D69" s="283"/>
      <c r="E69" s="283"/>
      <c r="F69" s="257"/>
      <c r="G69" s="257"/>
      <c r="H69" s="257"/>
      <c r="I69" s="257" t="s">
        <v>708</v>
      </c>
      <c r="J69" s="257"/>
      <c r="K69" s="257"/>
      <c r="L69" s="257"/>
      <c r="M69" s="257" t="s">
        <v>709</v>
      </c>
    </row>
    <row r="70" spans="1:29" ht="57.6" x14ac:dyDescent="0.25">
      <c r="A70" s="284" t="s">
        <v>705</v>
      </c>
      <c r="B70" s="65"/>
      <c r="C70" s="65"/>
      <c r="D70" s="65"/>
      <c r="E70" s="65" t="s">
        <v>706</v>
      </c>
      <c r="F70" s="65"/>
      <c r="G70" s="65"/>
      <c r="H70" s="65"/>
      <c r="I70" s="258" t="s">
        <v>710</v>
      </c>
      <c r="J70" s="259"/>
      <c r="K70" s="259"/>
      <c r="L70" s="259"/>
      <c r="M70" s="258" t="s">
        <v>711</v>
      </c>
    </row>
    <row r="71" spans="1:29" ht="54.6" customHeight="1" x14ac:dyDescent="0.25">
      <c r="A71" s="284"/>
      <c r="B71" s="65"/>
      <c r="C71" s="65"/>
      <c r="D71" s="65"/>
      <c r="E71" s="65" t="s">
        <v>707</v>
      </c>
      <c r="F71" s="65"/>
      <c r="G71" s="65"/>
      <c r="H71" s="65"/>
      <c r="I71" s="258" t="s">
        <v>712</v>
      </c>
      <c r="J71" s="259"/>
      <c r="K71" s="259"/>
      <c r="L71" s="259"/>
      <c r="M71" s="258" t="s">
        <v>713</v>
      </c>
    </row>
    <row r="72" spans="1:29" ht="57.6" x14ac:dyDescent="0.25">
      <c r="A72" s="284" t="s">
        <v>721</v>
      </c>
      <c r="B72" s="65"/>
      <c r="C72" s="65"/>
      <c r="D72" s="65"/>
      <c r="E72" s="65" t="s">
        <v>714</v>
      </c>
      <c r="F72" s="65"/>
      <c r="G72" s="65"/>
      <c r="H72" s="65"/>
      <c r="I72" s="258" t="s">
        <v>722</v>
      </c>
      <c r="J72" s="259"/>
      <c r="K72" s="259"/>
      <c r="L72" s="259"/>
      <c r="M72" s="258" t="s">
        <v>723</v>
      </c>
    </row>
    <row r="73" spans="1:29" ht="43.2" x14ac:dyDescent="0.25">
      <c r="A73" s="284"/>
      <c r="B73" s="65"/>
      <c r="C73" s="65"/>
      <c r="D73" s="65"/>
      <c r="E73" s="65" t="s">
        <v>715</v>
      </c>
      <c r="F73" s="65"/>
      <c r="G73" s="65"/>
      <c r="H73" s="65"/>
      <c r="I73" s="258" t="s">
        <v>724</v>
      </c>
      <c r="J73" s="259"/>
      <c r="K73" s="259"/>
      <c r="L73" s="259"/>
      <c r="M73" s="258" t="s">
        <v>725</v>
      </c>
    </row>
    <row r="74" spans="1:29" ht="72" x14ac:dyDescent="0.25">
      <c r="A74" s="284"/>
      <c r="B74" s="65"/>
      <c r="C74" s="65"/>
      <c r="D74" s="65"/>
      <c r="E74" s="65" t="s">
        <v>716</v>
      </c>
      <c r="F74" s="65"/>
      <c r="G74" s="65"/>
      <c r="H74" s="65"/>
      <c r="I74" s="258" t="s">
        <v>726</v>
      </c>
      <c r="J74" s="259"/>
      <c r="K74" s="259"/>
      <c r="L74" s="259"/>
      <c r="M74" s="258" t="s">
        <v>727</v>
      </c>
    </row>
    <row r="75" spans="1:29" ht="72" x14ac:dyDescent="0.25">
      <c r="A75" s="284"/>
      <c r="B75" s="65"/>
      <c r="C75" s="65"/>
      <c r="D75" s="65"/>
      <c r="E75" s="65" t="s">
        <v>717</v>
      </c>
      <c r="F75" s="65"/>
      <c r="G75" s="65"/>
      <c r="H75" s="65"/>
      <c r="I75" s="258" t="s">
        <v>728</v>
      </c>
      <c r="J75" s="259"/>
      <c r="K75" s="259"/>
      <c r="L75" s="259"/>
      <c r="M75" s="258" t="s">
        <v>729</v>
      </c>
    </row>
    <row r="76" spans="1:29" x14ac:dyDescent="0.25">
      <c r="A76" s="284"/>
      <c r="B76" s="65"/>
      <c r="C76" s="65"/>
      <c r="D76" s="65"/>
      <c r="E76" s="65" t="s">
        <v>718</v>
      </c>
      <c r="F76" s="65"/>
      <c r="G76" s="65"/>
      <c r="H76" s="65"/>
      <c r="I76" s="258" t="s">
        <v>730</v>
      </c>
      <c r="J76" s="259"/>
      <c r="K76" s="259"/>
      <c r="L76" s="259"/>
      <c r="M76" s="258" t="s">
        <v>731</v>
      </c>
    </row>
    <row r="77" spans="1:29" ht="57.6" x14ac:dyDescent="0.25">
      <c r="A77" s="284"/>
      <c r="B77" s="65"/>
      <c r="C77" s="65"/>
      <c r="D77" s="65"/>
      <c r="E77" s="65" t="s">
        <v>719</v>
      </c>
      <c r="F77" s="65"/>
      <c r="G77" s="65"/>
      <c r="H77" s="65"/>
      <c r="I77" s="258" t="s">
        <v>732</v>
      </c>
      <c r="J77" s="259"/>
      <c r="K77" s="259"/>
      <c r="L77" s="259"/>
      <c r="M77" s="258" t="s">
        <v>733</v>
      </c>
    </row>
    <row r="78" spans="1:29" ht="57.6" x14ac:dyDescent="0.25">
      <c r="A78" s="284"/>
      <c r="B78" s="65"/>
      <c r="C78" s="65"/>
      <c r="D78" s="65"/>
      <c r="E78" s="65" t="s">
        <v>720</v>
      </c>
      <c r="F78" s="65"/>
      <c r="G78" s="65"/>
      <c r="H78" s="65"/>
      <c r="I78" s="258" t="s">
        <v>734</v>
      </c>
      <c r="J78" s="259"/>
      <c r="K78" s="259"/>
      <c r="L78" s="259"/>
      <c r="M78" s="258" t="s">
        <v>735</v>
      </c>
    </row>
  </sheetData>
  <mergeCells count="10">
    <mergeCell ref="A25:AG25"/>
    <mergeCell ref="A35:AG35"/>
    <mergeCell ref="A43:AG43"/>
    <mergeCell ref="A51:AG51"/>
    <mergeCell ref="A58:AC58"/>
    <mergeCell ref="A65:AC65"/>
    <mergeCell ref="A69:E69"/>
    <mergeCell ref="A70:A71"/>
    <mergeCell ref="A72:A78"/>
    <mergeCell ref="A68:AC6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workbookViewId="0">
      <selection activeCell="A15" sqref="A15:AG15"/>
    </sheetView>
  </sheetViews>
  <sheetFormatPr defaultRowHeight="14.4" x14ac:dyDescent="0.25"/>
  <cols>
    <col min="1" max="1" width="50.6640625" style="17" bestFit="1" customWidth="1"/>
    <col min="2" max="4" width="11.6640625" hidden="1" customWidth="1"/>
    <col min="5" max="5" width="21.5546875" bestFit="1" customWidth="1"/>
    <col min="6" max="8" width="21.5546875" hidden="1" customWidth="1"/>
    <col min="9" max="9" width="20.44140625" bestFit="1" customWidth="1"/>
    <col min="10" max="10" width="21.5546875" hidden="1" customWidth="1"/>
    <col min="11" max="12" width="20.44140625" hidden="1" customWidth="1"/>
    <col min="13" max="13" width="20.44140625" bestFit="1" customWidth="1"/>
    <col min="14" max="16" width="20.44140625" hidden="1" customWidth="1"/>
    <col min="17" max="17" width="20.44140625" bestFit="1" customWidth="1"/>
    <col min="18" max="20" width="20.44140625" hidden="1" customWidth="1"/>
    <col min="21" max="21" width="20.44140625" bestFit="1" customWidth="1"/>
    <col min="22" max="24" width="20.44140625" hidden="1" customWidth="1"/>
    <col min="25" max="25" width="20.44140625" bestFit="1" customWidth="1"/>
    <col min="26" max="28" width="20.44140625" hidden="1" customWidth="1"/>
    <col min="29" max="29" width="20.44140625" bestFit="1" customWidth="1"/>
    <col min="30" max="32" width="20.44140625" hidden="1" customWidth="1"/>
    <col min="33" max="33" width="19.33203125" bestFit="1" customWidth="1"/>
    <col min="34" max="34" width="20.44140625" hidden="1" customWidth="1"/>
    <col min="35" max="36" width="19.33203125" hidden="1" customWidth="1"/>
    <col min="37" max="37" width="19.33203125" bestFit="1" customWidth="1"/>
    <col min="38" max="40" width="19.33203125" hidden="1" customWidth="1"/>
    <col min="41" max="42" width="20.44140625" bestFit="1" customWidth="1"/>
    <col min="43" max="43" width="20.44140625" hidden="1" customWidth="1"/>
    <col min="44" max="51" width="20.44140625" bestFit="1" customWidth="1"/>
    <col min="52" max="78" width="19.33203125" bestFit="1" customWidth="1"/>
    <col min="79" max="81" width="18.33203125" bestFit="1" customWidth="1"/>
    <col min="82" max="82" width="9.33203125" bestFit="1" customWidth="1"/>
    <col min="83" max="84" width="19.33203125" bestFit="1" customWidth="1"/>
    <col min="85" max="87" width="17.21875" bestFit="1" customWidth="1"/>
    <col min="88" max="89" width="16.109375" bestFit="1" customWidth="1"/>
  </cols>
  <sheetData>
    <row r="1" spans="1:89" s="26" customFormat="1" x14ac:dyDescent="0.25">
      <c r="A1" s="17">
        <v>2415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39447</v>
      </c>
      <c r="AQ1" s="1">
        <v>25569</v>
      </c>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425</v>
      </c>
      <c r="E2" s="26">
        <f>股权价值增加表!E42</f>
        <v>7013718897.090003</v>
      </c>
      <c r="F2" s="26">
        <f>股权价值增加表!F42</f>
        <v>5075614776.2799997</v>
      </c>
      <c r="G2" s="26">
        <f>股权价值增加表!G42</f>
        <v>2627954185.9400001</v>
      </c>
      <c r="H2" s="26">
        <f>股权价值增加表!H42</f>
        <v>1483176136.1899993</v>
      </c>
      <c r="I2" s="26">
        <f>股权价值增加表!I42</f>
        <v>7697168004.7400007</v>
      </c>
      <c r="J2" s="26">
        <f>股权价值增加表!J42</f>
        <v>4945074002.0099993</v>
      </c>
      <c r="K2" s="26">
        <f>股权价值增加表!K42</f>
        <v>2598920332.3100009</v>
      </c>
      <c r="L2" s="26">
        <f>股权价值增加表!L42</f>
        <v>1137504493.3299992</v>
      </c>
      <c r="M2" s="26">
        <f>股权价值增加表!M42</f>
        <v>5933705767.6999969</v>
      </c>
      <c r="N2" s="26">
        <f>股权价值增加表!N42</f>
        <v>3768187750.6799994</v>
      </c>
      <c r="O2" s="26">
        <f>股权价值增加表!O42</f>
        <v>2206994015.1099997</v>
      </c>
      <c r="P2" s="26">
        <f>股权价值增加表!P42</f>
        <v>1034645007.98</v>
      </c>
      <c r="Q2" s="26">
        <f>股权价值增加表!Q42</f>
        <v>4651590834.9799995</v>
      </c>
      <c r="R2" s="26">
        <f>股权价值增加表!R42</f>
        <v>2711338397.8299999</v>
      </c>
      <c r="S2" s="26">
        <f>股权价值增加表!S42</f>
        <v>1520798549.8200004</v>
      </c>
      <c r="T2" s="26">
        <f>股权价值增加表!T42</f>
        <v>691456644.43000007</v>
      </c>
      <c r="U2" s="26">
        <f>股权价值增加表!U42</f>
        <v>3048355009.6300001</v>
      </c>
      <c r="V2" s="26">
        <f>股权价值增加表!V42</f>
        <v>1761024041.7399995</v>
      </c>
      <c r="W2" s="26">
        <f>股权价值增加表!W42</f>
        <v>990084698.76000023</v>
      </c>
      <c r="X2" s="26">
        <f>股权价值增加表!X42</f>
        <v>451275655.76000005</v>
      </c>
      <c r="Y2" s="26">
        <f>股权价值增加表!Y42</f>
        <v>2134715545.3900006</v>
      </c>
      <c r="Z2" s="26">
        <f>股权价值增加表!Z42</f>
        <v>1242843332.7099998</v>
      </c>
      <c r="AA2" s="26">
        <f>股权价值增加表!AA42</f>
        <v>731859624.3999995</v>
      </c>
      <c r="AB2" s="26">
        <f>股权价值增加表!AB42</f>
        <v>349067439.08999991</v>
      </c>
      <c r="AC2" s="26">
        <f>股权价值增加表!AC42</f>
        <v>1459210734.0500007</v>
      </c>
      <c r="AD2" s="26">
        <f>股权价值增加表!AD42</f>
        <v>873963494.10000002</v>
      </c>
      <c r="AE2" s="26">
        <f>股权价值增加表!AE42</f>
        <v>531333482.5600003</v>
      </c>
      <c r="AF2" s="26">
        <f>股权价值增加表!AF42</f>
        <v>261256171.32999992</v>
      </c>
      <c r="AG2" s="26">
        <f>股权价值增加表!AG42</f>
        <v>1043326068.3899999</v>
      </c>
      <c r="AH2" s="26">
        <f>股权价值增加表!AH42</f>
        <v>657821216.68000031</v>
      </c>
      <c r="AI2" s="26">
        <f>股权价值增加表!AI42</f>
        <v>375124615.26999986</v>
      </c>
      <c r="AJ2" s="26">
        <f>股权价值增加表!AJ42</f>
        <v>206018270.25999996</v>
      </c>
      <c r="AK2" s="26">
        <f>股权价值增加表!AK42</f>
        <v>706545979.32999992</v>
      </c>
      <c r="AL2" s="26">
        <f>股权价值增加表!AL42</f>
        <v>474316525.83999979</v>
      </c>
      <c r="AM2" s="26">
        <f>股权价值增加表!AM42</f>
        <v>247272055.84999993</v>
      </c>
      <c r="AN2" s="26">
        <f>股权价值增加表!AN42</f>
        <v>135712078.41</v>
      </c>
      <c r="AO2" s="26">
        <f>股权价值增加表!AO42</f>
        <v>549100997.6500001</v>
      </c>
      <c r="AP2" s="26">
        <f>股权价值增加表!AP42</f>
        <v>365241349.77999997</v>
      </c>
      <c r="AQ2" s="26">
        <f>股权价值增加表!AQ42</f>
        <v>0</v>
      </c>
      <c r="AR2" s="26">
        <f>股权价值增加表!AR42</f>
        <v>-320202934.91000003</v>
      </c>
      <c r="AS2" s="26">
        <f>股权价值增加表!AS42</f>
        <v>-610135253.33999991</v>
      </c>
      <c r="AT2" s="26">
        <f>股权价值增加表!AT42</f>
        <v>-606675948.97000003</v>
      </c>
      <c r="AU2" s="26">
        <f>股权价值增加表!AU42</f>
        <v>-525244177.46999997</v>
      </c>
      <c r="AV2" s="26">
        <f>股权价值增加表!AV42</f>
        <v>-370504198.70999998</v>
      </c>
      <c r="AW2" s="26">
        <f>股权价值增加表!AW42</f>
        <v>-550836582.15999997</v>
      </c>
      <c r="AX2" s="26">
        <f>股权价值增加表!AX42</f>
        <v>-497364124.85000002</v>
      </c>
      <c r="AY2" s="26">
        <f>股权价值增加表!AY42</f>
        <v>-393993423.18000001</v>
      </c>
      <c r="AZ2" s="26">
        <f>股权价值增加表!AZ42</f>
        <v>-277925918.08999997</v>
      </c>
      <c r="BA2" s="26">
        <f>股权价值增加表!BA42</f>
        <v>-375599127.04999995</v>
      </c>
      <c r="BB2" s="26">
        <f>股权价值增加表!BB42</f>
        <v>-376909155.56</v>
      </c>
      <c r="BC2" s="26">
        <f>股权价值增加表!BC42</f>
        <v>-331126120.21999997</v>
      </c>
      <c r="BD2" s="26">
        <f>股权价值增加表!BD42</f>
        <v>-232460368.78999999</v>
      </c>
      <c r="BE2" s="26">
        <f>股权价值增加表!BE42</f>
        <v>-415071515.56999999</v>
      </c>
      <c r="BF2" s="26">
        <f>股权价值增加表!BF42</f>
        <v>-341885591.56999999</v>
      </c>
      <c r="BG2" s="26">
        <f>股权价值增加表!BG42</f>
        <v>-266868592.27000001</v>
      </c>
      <c r="BH2" s="26">
        <f>股权价值增加表!BH42</f>
        <v>-190592880.15000001</v>
      </c>
      <c r="BI2" s="26">
        <f>股权价值增加表!BI42</f>
        <v>-355643656.85000002</v>
      </c>
      <c r="BJ2" s="26">
        <f>股权价值增加表!BJ42</f>
        <v>-291496615.11000001</v>
      </c>
      <c r="BK2" s="26">
        <f>股权价值增加表!BK42</f>
        <v>-237870081.79999998</v>
      </c>
      <c r="BL2" s="26">
        <f>股权价值增加表!BL42</f>
        <v>-204685096.5</v>
      </c>
      <c r="BM2" s="26">
        <f>股权价值增加表!BM42</f>
        <v>-223212941.22</v>
      </c>
      <c r="BN2" s="26">
        <f>股权价值增加表!BN42</f>
        <v>-167173236.28999999</v>
      </c>
      <c r="BO2" s="26">
        <f>股权价值增加表!BO42</f>
        <v>-113551397.55</v>
      </c>
      <c r="BP2" s="26">
        <f>股权价值增加表!BP42</f>
        <v>-114049159.08</v>
      </c>
      <c r="BQ2" s="26">
        <f>股权价值增加表!BQ42</f>
        <v>-79004755.060000002</v>
      </c>
      <c r="BR2" s="26">
        <f>股权价值增加表!BR42</f>
        <v>-147870000</v>
      </c>
      <c r="BS2" s="26">
        <f>股权价值增加表!BS42</f>
        <v>-152979249.54999998</v>
      </c>
      <c r="BT2" s="26">
        <f>股权价值增加表!BT42</f>
        <v>-128012163.46000001</v>
      </c>
      <c r="BU2" s="26">
        <f>股权价值增加表!BU42</f>
        <v>-222157134.44</v>
      </c>
      <c r="BV2" s="26">
        <f>股权价值增加表!BV42</f>
        <v>-287911344.69999999</v>
      </c>
      <c r="BW2" s="26">
        <f>股权价值增加表!BW42</f>
        <v>-288342438.87</v>
      </c>
      <c r="BX2" s="26">
        <f>股权价值增加表!BX42</f>
        <v>-57060547.329999998</v>
      </c>
      <c r="BY2" s="26">
        <f>股权价值增加表!BY42</f>
        <v>-217786839.49000001</v>
      </c>
      <c r="BZ2" s="26">
        <f>股权价值增加表!BZ42</f>
        <v>-40798540.960000001</v>
      </c>
      <c r="CA2" s="26">
        <f>股权价值增加表!CA42</f>
        <v>-179937260.47</v>
      </c>
      <c r="CB2" s="26">
        <f>股权价值增加表!CB42</f>
        <v>-144282576.27000001</v>
      </c>
      <c r="CC2" s="26">
        <f>股权价值增加表!CC42</f>
        <v>-119252620.25</v>
      </c>
      <c r="CD2" s="26">
        <f>股权价值增加表!CD42</f>
        <v>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430</v>
      </c>
      <c r="E3" s="26">
        <f>资产资本表!E107</f>
        <v>30604121438.09</v>
      </c>
      <c r="F3" s="26">
        <f>资产资本表!F107</f>
        <v>27170454185.630001</v>
      </c>
      <c r="G3" s="26">
        <f>资产资本表!G107</f>
        <v>24236835572.120003</v>
      </c>
      <c r="H3" s="26">
        <f>资产资本表!H107</f>
        <v>25999847707.969997</v>
      </c>
      <c r="I3" s="26">
        <f>资产资本表!I107</f>
        <v>24486673925.150002</v>
      </c>
      <c r="J3" s="26">
        <f>资产资本表!J107</f>
        <v>21639291047.049999</v>
      </c>
      <c r="K3" s="26">
        <f>资产资本表!K107</f>
        <v>19160653329.950001</v>
      </c>
      <c r="L3" s="26">
        <f>资产资本表!L107</f>
        <v>20469670882.470001</v>
      </c>
      <c r="M3" s="26">
        <f>资产资本表!M107</f>
        <v>19297450879.699997</v>
      </c>
      <c r="N3" s="26">
        <f>资产资本表!N107</f>
        <v>17136143429.710001</v>
      </c>
      <c r="O3" s="26">
        <f>资产资本表!O107</f>
        <v>15539405639.969999</v>
      </c>
      <c r="P3" s="26">
        <f>资产资本表!P107</f>
        <v>15956580864.360001</v>
      </c>
      <c r="Q3" s="26">
        <f>资产资本表!Q107</f>
        <v>14879156547.259998</v>
      </c>
      <c r="R3" s="26">
        <f>资产资本表!R107</f>
        <v>12946611887.359999</v>
      </c>
      <c r="S3" s="26">
        <f>资产资本表!S107</f>
        <v>11744959399.780001</v>
      </c>
      <c r="T3" s="26">
        <f>资产资本表!T107</f>
        <v>11895859827.43</v>
      </c>
      <c r="U3" s="26">
        <f>资产资本表!U107</f>
        <v>11204403183</v>
      </c>
      <c r="V3" s="26">
        <f>资产资本表!V107</f>
        <v>9858290779.0799999</v>
      </c>
      <c r="W3" s="26">
        <f>资产资本表!W107</f>
        <v>9087351436.0999985</v>
      </c>
      <c r="X3" s="26">
        <f>资产资本表!X107</f>
        <v>9122687227.1300011</v>
      </c>
      <c r="Y3" s="26">
        <f>资产资本表!Y107</f>
        <v>8671411571.3700008</v>
      </c>
      <c r="Z3" s="26">
        <f>资产资本表!Z107</f>
        <v>7727861058.3900003</v>
      </c>
      <c r="AA3" s="26">
        <f>资产资本表!AA107</f>
        <v>7125163692.9300003</v>
      </c>
      <c r="AB3" s="26">
        <f>资产资本表!AB107</f>
        <v>7163621141.29</v>
      </c>
      <c r="AC3" s="26">
        <f>资产资本表!AC107</f>
        <v>6787297413.4799995</v>
      </c>
      <c r="AD3" s="26">
        <f>资产资本表!AD107</f>
        <v>6205225033.5799999</v>
      </c>
      <c r="AE3" s="26">
        <f>资产资本表!AE107</f>
        <v>5879684582.3000002</v>
      </c>
      <c r="AF3" s="26">
        <f>资产资本表!AF107</f>
        <v>5909607271.0699997</v>
      </c>
      <c r="AG3" s="26">
        <f>资产资本表!AG107</f>
        <v>5642453866.9700003</v>
      </c>
      <c r="AH3" s="26">
        <f>资产资本表!AH107</f>
        <v>5242642631.1299992</v>
      </c>
      <c r="AI3" s="26">
        <f>资产资本表!AI107</f>
        <v>4959946029.7200003</v>
      </c>
      <c r="AJ3" s="26">
        <f>资产资本表!AJ107</f>
        <v>1703340737.1800001</v>
      </c>
      <c r="AK3" s="26">
        <f>资产资本表!AK107</f>
        <v>1497322466.9200001</v>
      </c>
      <c r="AL3" s="26">
        <f>资产资本表!AL107</f>
        <v>969553376.54999995</v>
      </c>
      <c r="AM3" s="26">
        <f>资产资本表!AM107</f>
        <v>544711250.24000001</v>
      </c>
      <c r="AN3" s="26">
        <f>资产资本表!AN107</f>
        <v>0</v>
      </c>
      <c r="AO3" s="26">
        <f>资产资本表!AO107</f>
        <v>11455936876.719999</v>
      </c>
      <c r="AP3" s="26">
        <f>资产资本表!AP107</f>
        <v>11230323337.110001</v>
      </c>
      <c r="AQ3" s="26">
        <f>资产资本表!AQ107</f>
        <v>10934383750.469999</v>
      </c>
      <c r="AR3" s="26">
        <f>资产资本表!AR107</f>
        <v>10641944677.480001</v>
      </c>
      <c r="AS3" s="26">
        <f>资产资本表!AS107</f>
        <v>9626236984.1700001</v>
      </c>
      <c r="AT3" s="26">
        <f>资产资本表!AT107</f>
        <v>9485588152.4899998</v>
      </c>
      <c r="AU3" s="26">
        <f>资产资本表!AU107</f>
        <v>9304015150.3199997</v>
      </c>
      <c r="AV3" s="26">
        <f>资产资本表!AV107</f>
        <v>9051649388.7700005</v>
      </c>
      <c r="AW3" s="26">
        <f>资产资本表!AW107</f>
        <v>8295168514.6399994</v>
      </c>
      <c r="AX3" s="26">
        <f>资产资本表!AX107</f>
        <v>8139685182.96</v>
      </c>
      <c r="AY3" s="26">
        <f>资产资本表!AY107</f>
        <v>7938750364.1499996</v>
      </c>
      <c r="AZ3" s="26">
        <f>资产资本表!AZ107</f>
        <v>7934784508.5</v>
      </c>
      <c r="BA3" s="26">
        <f>资产资本表!BA107</f>
        <v>7385968978.54</v>
      </c>
      <c r="BB3" s="26">
        <f>资产资本表!BB107</f>
        <v>7360716151.5900002</v>
      </c>
      <c r="BC3" s="26">
        <f>资产资本表!BC107</f>
        <v>7179425965.6500006</v>
      </c>
      <c r="BD3" s="26">
        <f>资产资本表!BD107</f>
        <v>7003465589.3699999</v>
      </c>
      <c r="BE3" s="26">
        <f>资产资本表!BE107</f>
        <v>6586961901.7700005</v>
      </c>
      <c r="BF3" s="26">
        <f>资产资本表!BF107</f>
        <v>6433916281.1799994</v>
      </c>
      <c r="BG3" s="26">
        <f>资产资本表!BG107</f>
        <v>6292714866.6600008</v>
      </c>
      <c r="BH3" s="26">
        <f>资产资本表!BH107</f>
        <v>6409286809.8599997</v>
      </c>
      <c r="BI3" s="26">
        <f>资产资本表!BI107</f>
        <v>6025892686.6600008</v>
      </c>
      <c r="BJ3" s="26">
        <f>资产资本表!BJ107</f>
        <v>5870405150.8400002</v>
      </c>
      <c r="BK3" s="26">
        <f>资产资本表!BK107</f>
        <v>5711754634.1499996</v>
      </c>
      <c r="BL3" s="26">
        <f>资产资本表!BL107</f>
        <v>5611611741.0699997</v>
      </c>
      <c r="BM3" s="26">
        <f>资产资本表!BM107</f>
        <v>5322099955.71</v>
      </c>
      <c r="BN3" s="26">
        <f>资产资本表!BN107</f>
        <v>5214293132.5199995</v>
      </c>
      <c r="BO3" s="26">
        <f>资产资本表!BO107</f>
        <v>5075362101.0900002</v>
      </c>
      <c r="BP3" s="26">
        <f>资产资本表!BP107</f>
        <v>4954980669.5600004</v>
      </c>
      <c r="BQ3" s="26">
        <f>资产资本表!BQ107</f>
        <v>4702243132.8000002</v>
      </c>
      <c r="BR3" s="26">
        <f>资产资本表!BR107</f>
        <v>4561780000</v>
      </c>
      <c r="BS3" s="26">
        <f>资产资本表!BS107</f>
        <v>4385655821.6400003</v>
      </c>
      <c r="BT3" s="26">
        <f>资产资本表!BT107</f>
        <v>4238623191.5</v>
      </c>
      <c r="BU3" s="26">
        <f>资产资本表!BU107</f>
        <v>3191216198.9499998</v>
      </c>
      <c r="BV3" s="26">
        <f>资产资本表!BV107</f>
        <v>2850312166.9000001</v>
      </c>
      <c r="BW3" s="26">
        <f>资产资本表!BW107</f>
        <v>2420499366.4499998</v>
      </c>
      <c r="BX3" s="26">
        <f>资产资本表!BX107</f>
        <v>2089698452.7</v>
      </c>
      <c r="BY3" s="26">
        <f>资产资本表!BY107</f>
        <v>1764990217.6700001</v>
      </c>
      <c r="BZ3" s="26">
        <f>资产资本表!BZ107</f>
        <v>1864618529.46</v>
      </c>
      <c r="CA3" s="26">
        <f>资产资本表!CA107</f>
        <v>392384778.43000001</v>
      </c>
      <c r="CB3" s="26">
        <f>资产资本表!CB107</f>
        <v>264958379.21000001</v>
      </c>
      <c r="CC3" s="26">
        <f>资产资本表!CC107</f>
        <v>225967479.94999999</v>
      </c>
      <c r="CD3" s="26">
        <f>资产资本表!CD107</f>
        <v>0</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6" t="s">
        <v>431</v>
      </c>
      <c r="E4" s="59">
        <f>E2/E3</f>
        <v>0.22917563280743955</v>
      </c>
      <c r="F4" s="59">
        <f t="shared" ref="F4:BQ4" si="0">F2/F3</f>
        <v>0.18680640160091277</v>
      </c>
      <c r="G4" s="59">
        <f t="shared" si="0"/>
        <v>0.10842810638873068</v>
      </c>
      <c r="H4" s="59">
        <f t="shared" si="0"/>
        <v>5.7045570145218438E-2</v>
      </c>
      <c r="I4" s="59">
        <f t="shared" si="0"/>
        <v>0.31434109950042344</v>
      </c>
      <c r="J4" s="59">
        <f t="shared" si="0"/>
        <v>0.22852292116493078</v>
      </c>
      <c r="K4" s="59">
        <f t="shared" si="0"/>
        <v>0.13563839852201859</v>
      </c>
      <c r="L4" s="59">
        <f t="shared" si="0"/>
        <v>5.5570238518301993E-2</v>
      </c>
      <c r="M4" s="59">
        <f t="shared" si="0"/>
        <v>0.30748650713975773</v>
      </c>
      <c r="N4" s="59">
        <f t="shared" si="0"/>
        <v>0.21989707113135254</v>
      </c>
      <c r="O4" s="59">
        <f t="shared" si="0"/>
        <v>0.1420256389622287</v>
      </c>
      <c r="P4" s="59">
        <f t="shared" si="0"/>
        <v>6.4841272499106803E-2</v>
      </c>
      <c r="Q4" s="59">
        <f t="shared" si="0"/>
        <v>0.3126246316587476</v>
      </c>
      <c r="R4" s="59">
        <f t="shared" si="0"/>
        <v>0.20942455226275275</v>
      </c>
      <c r="S4" s="59">
        <f t="shared" si="0"/>
        <v>0.12948521131954591</v>
      </c>
      <c r="T4" s="59">
        <f t="shared" si="0"/>
        <v>5.812582314021629E-2</v>
      </c>
      <c r="U4" s="59">
        <f t="shared" si="0"/>
        <v>0.2720675934131993</v>
      </c>
      <c r="V4" s="59">
        <f t="shared" si="0"/>
        <v>0.17863380997819814</v>
      </c>
      <c r="W4" s="59">
        <f t="shared" si="0"/>
        <v>0.10895195434247594</v>
      </c>
      <c r="X4" s="59">
        <f t="shared" si="0"/>
        <v>4.9467404123858298E-2</v>
      </c>
      <c r="Y4" s="59">
        <f t="shared" si="0"/>
        <v>0.24617855211002695</v>
      </c>
      <c r="Z4" s="59">
        <f t="shared" si="0"/>
        <v>0.1608263041117525</v>
      </c>
      <c r="AA4" s="59">
        <f t="shared" si="0"/>
        <v>0.10271478045145727</v>
      </c>
      <c r="AB4" s="59">
        <f t="shared" si="0"/>
        <v>4.87277917418091E-2</v>
      </c>
      <c r="AC4" s="59">
        <f t="shared" si="0"/>
        <v>0.21499142370745628</v>
      </c>
      <c r="AD4" s="59">
        <f t="shared" si="0"/>
        <v>0.14084315868811956</v>
      </c>
      <c r="AE4" s="59">
        <f t="shared" si="0"/>
        <v>9.0367684715521701E-2</v>
      </c>
      <c r="AF4" s="59">
        <f t="shared" si="0"/>
        <v>4.4208719690893537E-2</v>
      </c>
      <c r="AG4" s="59">
        <f t="shared" si="0"/>
        <v>0.18490644194673164</v>
      </c>
      <c r="AH4" s="59">
        <f t="shared" si="0"/>
        <v>0.12547512065269525</v>
      </c>
      <c r="AI4" s="59">
        <f t="shared" si="0"/>
        <v>7.5630785702556616E-2</v>
      </c>
      <c r="AJ4" s="59">
        <f t="shared" si="0"/>
        <v>0.12094953508895563</v>
      </c>
      <c r="AK4" s="59">
        <f t="shared" si="0"/>
        <v>0.47187295652042716</v>
      </c>
      <c r="AL4" s="59">
        <f t="shared" si="0"/>
        <v>0.48921135990241094</v>
      </c>
      <c r="AM4" s="59">
        <f t="shared" si="0"/>
        <v>0.45395070460000919</v>
      </c>
      <c r="AN4" s="59" t="e">
        <f t="shared" si="0"/>
        <v>#DIV/0!</v>
      </c>
      <c r="AO4" s="59">
        <f t="shared" si="0"/>
        <v>4.7931566275111644E-2</v>
      </c>
      <c r="AP4" s="59">
        <f t="shared" si="0"/>
        <v>3.2522781296338954E-2</v>
      </c>
      <c r="AQ4" s="59">
        <f t="shared" si="0"/>
        <v>0</v>
      </c>
      <c r="AR4" s="59">
        <f t="shared" si="0"/>
        <v>-3.0088761463644788E-2</v>
      </c>
      <c r="AS4" s="59">
        <f t="shared" si="0"/>
        <v>-6.3382529886117006E-2</v>
      </c>
      <c r="AT4" s="59">
        <f t="shared" si="0"/>
        <v>-6.3957652305486765E-2</v>
      </c>
      <c r="AU4" s="59">
        <f t="shared" si="0"/>
        <v>-5.6453495505317926E-2</v>
      </c>
      <c r="AV4" s="59">
        <f t="shared" si="0"/>
        <v>-4.0932230447377788E-2</v>
      </c>
      <c r="AW4" s="59">
        <f t="shared" si="0"/>
        <v>-6.6404507779177488E-2</v>
      </c>
      <c r="AX4" s="59">
        <f t="shared" si="0"/>
        <v>-6.1103607040135344E-2</v>
      </c>
      <c r="AY4" s="59">
        <f t="shared" si="0"/>
        <v>-4.9629148809012189E-2</v>
      </c>
      <c r="AZ4" s="59">
        <f t="shared" si="0"/>
        <v>-3.5026271701805722E-2</v>
      </c>
      <c r="BA4" s="59">
        <f t="shared" si="0"/>
        <v>-5.0853060463875034E-2</v>
      </c>
      <c r="BB4" s="59">
        <f t="shared" si="0"/>
        <v>-5.1205500633057732E-2</v>
      </c>
      <c r="BC4" s="59">
        <f t="shared" si="0"/>
        <v>-4.6121531415502376E-2</v>
      </c>
      <c r="BD4" s="59">
        <f t="shared" si="0"/>
        <v>-3.3192191183581021E-2</v>
      </c>
      <c r="BE4" s="59">
        <f t="shared" si="0"/>
        <v>-6.3014106011219678E-2</v>
      </c>
      <c r="BF4" s="59">
        <f t="shared" si="0"/>
        <v>-5.3138023037392887E-2</v>
      </c>
      <c r="BG4" s="59">
        <f t="shared" si="0"/>
        <v>-4.2409134677930588E-2</v>
      </c>
      <c r="BH4" s="59">
        <f t="shared" si="0"/>
        <v>-2.9736987250561689E-2</v>
      </c>
      <c r="BI4" s="59">
        <f t="shared" si="0"/>
        <v>-5.901924832437138E-2</v>
      </c>
      <c r="BJ4" s="59">
        <f t="shared" si="0"/>
        <v>-4.9655280618628096E-2</v>
      </c>
      <c r="BK4" s="59">
        <f t="shared" si="0"/>
        <v>-4.1645710825496417E-2</v>
      </c>
      <c r="BL4" s="59">
        <f t="shared" si="0"/>
        <v>-3.6475277682160433E-2</v>
      </c>
      <c r="BM4" s="59">
        <f t="shared" si="0"/>
        <v>-4.1940764562401395E-2</v>
      </c>
      <c r="BN4" s="59">
        <f t="shared" si="0"/>
        <v>-3.2060575046575363E-2</v>
      </c>
      <c r="BO4" s="59">
        <f t="shared" si="0"/>
        <v>-2.2373063298402562E-2</v>
      </c>
      <c r="BP4" s="59">
        <f t="shared" si="0"/>
        <v>-2.3017074472285983E-2</v>
      </c>
      <c r="BQ4" s="59">
        <f t="shared" si="0"/>
        <v>-1.6801503628961819E-2</v>
      </c>
      <c r="BR4" s="59">
        <f t="shared" ref="BR4:CJ4" si="1">BR2/BR3</f>
        <v>-3.24149783637089E-2</v>
      </c>
      <c r="BS4" s="59">
        <f t="shared" si="1"/>
        <v>-3.4881727105706604E-2</v>
      </c>
      <c r="BT4" s="59">
        <f t="shared" si="1"/>
        <v>-3.0201354939196182E-2</v>
      </c>
      <c r="BU4" s="59">
        <f t="shared" si="1"/>
        <v>-6.9615193891625377E-2</v>
      </c>
      <c r="BV4" s="59">
        <f t="shared" si="1"/>
        <v>-0.1010104605535654</v>
      </c>
      <c r="BW4" s="59">
        <f t="shared" si="1"/>
        <v>-0.11912518667290314</v>
      </c>
      <c r="BX4" s="59">
        <f t="shared" si="1"/>
        <v>-2.7305636971819917E-2</v>
      </c>
      <c r="BY4" s="59">
        <f t="shared" si="1"/>
        <v>-0.12339266093922316</v>
      </c>
      <c r="BZ4" s="59">
        <f t="shared" si="1"/>
        <v>-2.1880368727117284E-2</v>
      </c>
      <c r="CA4" s="59">
        <f t="shared" si="1"/>
        <v>-0.45857349816157594</v>
      </c>
      <c r="CB4" s="59">
        <f t="shared" si="1"/>
        <v>-0.54454807845742792</v>
      </c>
      <c r="CC4" s="59">
        <f t="shared" si="1"/>
        <v>-0.52774240026214003</v>
      </c>
      <c r="CD4" s="59" t="e">
        <f t="shared" si="1"/>
        <v>#DIV/0!</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x14ac:dyDescent="0.25">
      <c r="A5" s="20" t="s">
        <v>427</v>
      </c>
      <c r="E5" s="26">
        <f>股权价值增加表!E47</f>
        <v>4565389182.0428028</v>
      </c>
      <c r="F5" s="26">
        <f>股权价值增加表!F47</f>
        <v>2901978441.4295998</v>
      </c>
      <c r="G5" s="26">
        <f>股权价值增加表!G47</f>
        <v>689007340.17040014</v>
      </c>
      <c r="H5" s="26">
        <f>股权价值增加表!H47</f>
        <v>-596811680.44760084</v>
      </c>
      <c r="I5" s="26">
        <f>股权价值增加表!I47</f>
        <v>5738234090.7280006</v>
      </c>
      <c r="J5" s="26">
        <f>股权价值增加表!J47</f>
        <v>3213930718.2459993</v>
      </c>
      <c r="K5" s="26">
        <f>股权价值增加表!K47</f>
        <v>1066068065.9140007</v>
      </c>
      <c r="L5" s="26">
        <f>股权价值增加表!L47</f>
        <v>-500069177.26760101</v>
      </c>
      <c r="M5" s="26">
        <f>股权价值增加表!M47</f>
        <v>4389909697.3239965</v>
      </c>
      <c r="N5" s="26">
        <f>股权价值增加表!N47</f>
        <v>2397296276.3031993</v>
      </c>
      <c r="O5" s="26">
        <f>股权价值增加表!O47</f>
        <v>963841563.91239977</v>
      </c>
      <c r="P5" s="26">
        <f>股权价值增加表!P47</f>
        <v>-241881461.16880012</v>
      </c>
      <c r="Q5" s="26">
        <f>股权价值增加表!Q47</f>
        <v>3461258311.1991997</v>
      </c>
      <c r="R5" s="26">
        <f>股权价值增加表!R47</f>
        <v>1675609446.8411999</v>
      </c>
      <c r="S5" s="26">
        <f>股权价值增加表!S47</f>
        <v>581201797.83760035</v>
      </c>
      <c r="T5" s="26">
        <f>股权价值增加表!T47</f>
        <v>-260212141.76440001</v>
      </c>
      <c r="U5" s="26">
        <f>股权价值增加表!U47</f>
        <v>2152002754.9900002</v>
      </c>
      <c r="V5" s="26">
        <f>股权价值增加表!V47</f>
        <v>972360779.41359949</v>
      </c>
      <c r="W5" s="26">
        <f>股权价值增加表!W47</f>
        <v>263096583.87200022</v>
      </c>
      <c r="X5" s="26">
        <f>股权价值增加表!X47</f>
        <v>-278539322.41039985</v>
      </c>
      <c r="Y5" s="26">
        <f>股权价值增加表!Y47</f>
        <v>1441002619.6804004</v>
      </c>
      <c r="Z5" s="26">
        <f>股权价值增加表!Z47</f>
        <v>624614448.03879976</v>
      </c>
      <c r="AA5" s="26">
        <f>股权价值增加表!AA47</f>
        <v>161846528.96559942</v>
      </c>
      <c r="AB5" s="26">
        <f>股权价值增加表!AB47</f>
        <v>-224022252.21320009</v>
      </c>
      <c r="AC5" s="26">
        <f>股权价值增加表!AC47</f>
        <v>916226940.97160065</v>
      </c>
      <c r="AD5" s="26">
        <f>股权价值增加表!AD47</f>
        <v>377545491.41360003</v>
      </c>
      <c r="AE5" s="26">
        <f>股权价值增加表!AE47</f>
        <v>60958715.976000249</v>
      </c>
      <c r="AF5" s="26">
        <f>股权价值增加表!AF47</f>
        <v>-211512410.35560006</v>
      </c>
      <c r="AG5" s="26">
        <f>股权价值增加表!AG47</f>
        <v>591929759.03239989</v>
      </c>
      <c r="AH5" s="26">
        <f>股权价值增加表!AH47</f>
        <v>238409806.18960029</v>
      </c>
      <c r="AI5" s="26">
        <f>股权价值增加表!AI47</f>
        <v>-21671067.107600152</v>
      </c>
      <c r="AJ5" s="26">
        <f>股权价值增加表!AJ47</f>
        <v>69751011.285599947</v>
      </c>
      <c r="AK5" s="26">
        <f>股权价值增加表!AK47</f>
        <v>586760181.9763999</v>
      </c>
      <c r="AL5" s="26">
        <f>股权价值增加表!AL47</f>
        <v>396752255.71599978</v>
      </c>
      <c r="AM5" s="26">
        <f>股权价值增加表!AM47</f>
        <v>203695155.83079994</v>
      </c>
      <c r="AN5" s="26">
        <f>股权价值增加表!AN47</f>
        <v>135712078.41</v>
      </c>
      <c r="AO5" s="26">
        <f>股权价值增加表!AO47</f>
        <v>549100997.6500001</v>
      </c>
      <c r="AP5" s="26">
        <f>股权价值增加表!AP47</f>
        <v>365241349.77999997</v>
      </c>
      <c r="AQ5" s="26">
        <f>股权价值增加表!AQ47</f>
        <v>0</v>
      </c>
      <c r="AR5" s="26">
        <f>股权价值增加表!AR47</f>
        <v>-1171558509.1084001</v>
      </c>
      <c r="AS5" s="26">
        <f>股权价值增加表!AS47</f>
        <v>-1380234212.0735998</v>
      </c>
      <c r="AT5" s="26">
        <f>股权价值增加表!AT47</f>
        <v>-1365523001.1691999</v>
      </c>
      <c r="AU5" s="26">
        <f>股权价值增加表!AU47</f>
        <v>-1269565389.4956</v>
      </c>
      <c r="AV5" s="26">
        <f>股权价值增加表!AV47</f>
        <v>-1094636149.8116</v>
      </c>
      <c r="AW5" s="26">
        <f>股权价值增加表!AW47</f>
        <v>-1214450063.3312001</v>
      </c>
      <c r="AX5" s="26">
        <f>股权价值增加表!AX47</f>
        <v>-1148538939.4868002</v>
      </c>
      <c r="AY5" s="26">
        <f>股权价值增加表!AY47</f>
        <v>-1029093452.312</v>
      </c>
      <c r="AZ5" s="26">
        <f>股权价值增加表!AZ47</f>
        <v>-912708678.76999998</v>
      </c>
      <c r="BA5" s="26">
        <f>股权价值增加表!BA47</f>
        <v>-966476645.33319998</v>
      </c>
      <c r="BB5" s="26">
        <f>股权价值增加表!BB47</f>
        <v>-965766447.68720007</v>
      </c>
      <c r="BC5" s="26">
        <f>股权价值增加表!BC47</f>
        <v>-905480197.47199988</v>
      </c>
      <c r="BD5" s="26">
        <f>股权价值增加表!BD47</f>
        <v>-792737615.93959999</v>
      </c>
      <c r="BE5" s="26">
        <f>股权价值增加表!BE47</f>
        <v>-942028467.71160007</v>
      </c>
      <c r="BF5" s="26">
        <f>股权价值增加表!BF47</f>
        <v>-856598894.06439996</v>
      </c>
      <c r="BG5" s="26">
        <f>股权价值增加表!BG47</f>
        <v>-770285781.60280001</v>
      </c>
      <c r="BH5" s="26">
        <f>股权价值增加表!BH47</f>
        <v>-703335824.93879998</v>
      </c>
      <c r="BI5" s="26">
        <f>股权价值增加表!BI47</f>
        <v>-837715071.78279996</v>
      </c>
      <c r="BJ5" s="26">
        <f>股权价值增加表!BJ47</f>
        <v>-761129027.17720008</v>
      </c>
      <c r="BK5" s="26">
        <f>股权价值增加表!BK47</f>
        <v>-694810452.53199995</v>
      </c>
      <c r="BL5" s="26">
        <f>股权价值增加表!BL47</f>
        <v>-653614035.78559995</v>
      </c>
      <c r="BM5" s="26">
        <f>股权价值增加表!BM47</f>
        <v>-648980937.67680001</v>
      </c>
      <c r="BN5" s="26">
        <f>股权价值增加表!BN47</f>
        <v>-584316686.89160001</v>
      </c>
      <c r="BO5" s="26">
        <f>股权价值增加表!BO47</f>
        <v>-519580365.63720006</v>
      </c>
      <c r="BP5" s="26">
        <f>股权价值增加表!BP47</f>
        <v>-510447612.64480001</v>
      </c>
      <c r="BQ5" s="26">
        <f>股权价值增加表!BQ47</f>
        <v>-455184205.68400002</v>
      </c>
      <c r="BR5" s="26">
        <f>股权价值增加表!BR47</f>
        <v>-147870000</v>
      </c>
      <c r="BS5" s="26">
        <f>股权价值增加表!BS47</f>
        <v>-503831715.28120005</v>
      </c>
      <c r="BT5" s="26">
        <f>股权价值增加表!BT47</f>
        <v>-467102018.77999997</v>
      </c>
      <c r="BU5" s="26">
        <f>股权价值增加表!BU47</f>
        <v>-477454430.35599995</v>
      </c>
      <c r="BV5" s="26">
        <f>股权价值增加表!BV47</f>
        <v>-515936318.05199999</v>
      </c>
      <c r="BW5" s="26">
        <f>股权价值增加表!BW47</f>
        <v>-481982388.18599999</v>
      </c>
      <c r="BX5" s="26">
        <f>股权价值增加表!BX47</f>
        <v>-224236423.546</v>
      </c>
      <c r="BY5" s="26">
        <f>股权价值增加表!BY47</f>
        <v>-358986056.90359998</v>
      </c>
      <c r="BZ5" s="26">
        <f>股权价值增加表!BZ47</f>
        <v>-189968023.31680003</v>
      </c>
      <c r="CA5" s="26">
        <f>股权价值增加表!CA47</f>
        <v>-211328042.74439999</v>
      </c>
      <c r="CB5" s="26">
        <f>股权价值增加表!CB47</f>
        <v>-165479246.60680002</v>
      </c>
      <c r="CC5" s="26">
        <f>股权价值增加表!CC47</f>
        <v>-137330018.646</v>
      </c>
      <c r="CD5" s="26">
        <f>股权价值增加表!CD47</f>
        <v>0</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8" customFormat="1" x14ac:dyDescent="0.25">
      <c r="A6" s="158" t="s">
        <v>438</v>
      </c>
      <c r="E6" s="158">
        <f>股权价值增加表!E31/股权价值增加表!E4</f>
        <v>0.206622275743571</v>
      </c>
      <c r="F6" s="158">
        <f>股权价值增加表!F31/股权价值增加表!F4</f>
        <v>0.21480131087814408</v>
      </c>
      <c r="G6" s="158">
        <f>股权价值增加表!G31/股权价值增加表!G4</f>
        <v>0.19833583415498765</v>
      </c>
      <c r="H6" s="158">
        <f>股权价值增加表!H31/股权价值增加表!H4</f>
        <v>0.2588508954222366</v>
      </c>
      <c r="I6" s="158">
        <f>股权价值增加表!I31/股权价值增加表!I4</f>
        <v>0.25612275204715029</v>
      </c>
      <c r="J6" s="158">
        <f>股权价值增加表!J31/股权价值增加表!J4</f>
        <v>0.25199295479188788</v>
      </c>
      <c r="K6" s="158">
        <f>股权价值增加表!K31/股权价值增加表!K4</f>
        <v>0.23380956674465911</v>
      </c>
      <c r="L6" s="158">
        <f>股权价值增加表!L31/股权价值增加表!L4</f>
        <v>0.26374145412142669</v>
      </c>
      <c r="M6" s="158">
        <f>股权价值增加表!M31/股权价值增加表!M4</f>
        <v>0.26939104991031748</v>
      </c>
      <c r="N6" s="158">
        <f>股权价值增加表!N31/股权价值增加表!N4</f>
        <v>0.25935296927875434</v>
      </c>
      <c r="O6" s="158">
        <f>股权价值增加表!O31/股权价值增加表!O4</f>
        <v>0.26180191579258472</v>
      </c>
      <c r="P6" s="158">
        <f>股权价值增加表!P31/股权价值增加表!P4</f>
        <v>0.28225263258623651</v>
      </c>
      <c r="Q6" s="158">
        <f>股权价值增加表!Q31/股权价值增加表!Q4</f>
        <v>0.30462450717436484</v>
      </c>
      <c r="R6" s="158">
        <f>股权价值增加表!R31/股权价值增加表!R4</f>
        <v>0.2835863330784773</v>
      </c>
      <c r="S6" s="158">
        <f>股权价值增加表!S31/股权价值增加表!S4</f>
        <v>0.27727877605139795</v>
      </c>
      <c r="T6" s="158">
        <f>股权价值增加表!T31/股权价值增加表!T4</f>
        <v>0.29281360800634115</v>
      </c>
      <c r="U6" s="158">
        <f>股权价值增加表!U31/股权价值增加表!U4</f>
        <v>0.31521317722618675</v>
      </c>
      <c r="V6" s="158">
        <f>股权价值增加表!V31/股权价值增加表!V4</f>
        <v>0.28827118663441675</v>
      </c>
      <c r="W6" s="158">
        <f>股权价值增加表!W31/股权价值增加表!W4</f>
        <v>0.27601050935232807</v>
      </c>
      <c r="X6" s="158">
        <f>股权价值增加表!X31/股权价值增加表!X4</f>
        <v>0.2946182941411844</v>
      </c>
      <c r="Y6" s="158">
        <f>股权价值增加表!Y31/股权价值增加表!Y4</f>
        <v>0.32065503876561524</v>
      </c>
      <c r="Z6" s="158">
        <f>股权价值增加表!Z31/股权价值增加表!Z4</f>
        <v>0.29151365084813191</v>
      </c>
      <c r="AA6" s="158">
        <f>股权价值增加表!AA31/股权价值增加表!AA4</f>
        <v>0.28701895150041051</v>
      </c>
      <c r="AB6" s="158">
        <f>股权价值增加表!AB31/股权价值增加表!AB4</f>
        <v>0.30699534942994577</v>
      </c>
      <c r="AC6" s="158">
        <f>股权价值增加表!AC31/股权价值增加表!AC4</f>
        <v>0.33055768673407393</v>
      </c>
      <c r="AD6" s="158">
        <f>股权价值增加表!AD31/股权价值增加表!AD4</f>
        <v>0.27942284732796729</v>
      </c>
      <c r="AE6" s="158">
        <f>股权价值增加表!AE31/股权价值增加表!AE4</f>
        <v>0.27543417211639876</v>
      </c>
      <c r="AF6" s="158">
        <f>股权价值增加表!AF31/股权价值增加表!AF4</f>
        <v>0.31463028753494571</v>
      </c>
      <c r="AG6" s="158">
        <f>股权价值增加表!AG31/股权价值增加表!AG4</f>
        <v>0.31775523207692913</v>
      </c>
      <c r="AH6" s="158">
        <f>股权价值增加表!AH31/股权价值增加表!AH4</f>
        <v>0.31317506198152723</v>
      </c>
      <c r="AI6" s="158">
        <f>股权价值增加表!AI31/股权价值增加表!AI4</f>
        <v>0.3030468198493656</v>
      </c>
      <c r="AJ6" s="158">
        <f>股权价值增加表!AJ31/股权价值增加表!AJ4</f>
        <v>0.34856785099841386</v>
      </c>
      <c r="AK6" s="158">
        <f>股权价值增加表!AK31/股权价值增加表!AK4</f>
        <v>0.36051710511202179</v>
      </c>
      <c r="AL6" s="158">
        <f>股权价值增加表!AL31/股权价值增加表!AL4</f>
        <v>0.36706009775222337</v>
      </c>
      <c r="AM6" s="158">
        <f>股权价值增加表!AM31/股权价值增加表!AM4</f>
        <v>0.34509238516619228</v>
      </c>
      <c r="AN6" s="158">
        <f>股权价值增加表!AN31/股权价值增加表!AN4</f>
        <v>0.36019233762556302</v>
      </c>
      <c r="AO6" s="158">
        <f>股权价值增加表!AO31/股权价值增加表!AO4</f>
        <v>0.34414976348505683</v>
      </c>
      <c r="AP6" s="158">
        <f>股权价值增加表!AP31/股权价值增加表!AP4</f>
        <v>0.32747958309147601</v>
      </c>
      <c r="AQ6" s="158" t="e">
        <f>股权价值增加表!AQ31/股权价值增加表!AQ4</f>
        <v>#DIV/0!</v>
      </c>
      <c r="AR6" s="158" t="e">
        <f>股权价值增加表!AR31/股权价值增加表!AR4</f>
        <v>#DIV/0!</v>
      </c>
      <c r="AS6" s="158" t="e">
        <f>股权价值增加表!AS31/股权价值增加表!AS4</f>
        <v>#DIV/0!</v>
      </c>
      <c r="AT6" s="158" t="e">
        <f>股权价值增加表!AT31/股权价值增加表!AT4</f>
        <v>#DIV/0!</v>
      </c>
      <c r="AU6" s="158" t="e">
        <f>股权价值增加表!AU31/股权价值增加表!AU4</f>
        <v>#DIV/0!</v>
      </c>
      <c r="AV6" s="158" t="e">
        <f>股权价值增加表!AV31/股权价值增加表!AV4</f>
        <v>#DIV/0!</v>
      </c>
      <c r="AW6" s="158" t="e">
        <f>股权价值增加表!AW31/股权价值增加表!AW4</f>
        <v>#DIV/0!</v>
      </c>
      <c r="AX6" s="158" t="e">
        <f>股权价值增加表!AX31/股权价值增加表!AX4</f>
        <v>#DIV/0!</v>
      </c>
      <c r="AY6" s="158" t="e">
        <f>股权价值增加表!AY31/股权价值增加表!AY4</f>
        <v>#DIV/0!</v>
      </c>
      <c r="AZ6" s="158" t="e">
        <f>股权价值增加表!AZ31/股权价值增加表!AZ4</f>
        <v>#DIV/0!</v>
      </c>
      <c r="BA6" s="158" t="e">
        <f>股权价值增加表!BA31/股权价值增加表!BA4</f>
        <v>#DIV/0!</v>
      </c>
      <c r="BB6" s="158" t="e">
        <f>股权价值增加表!BB31/股权价值增加表!BB4</f>
        <v>#DIV/0!</v>
      </c>
      <c r="BC6" s="158" t="e">
        <f>股权价值增加表!BC31/股权价值增加表!BC4</f>
        <v>#DIV/0!</v>
      </c>
      <c r="BD6" s="158" t="e">
        <f>股权价值增加表!BD31/股权价值增加表!BD4</f>
        <v>#DIV/0!</v>
      </c>
      <c r="BE6" s="158" t="e">
        <f>股权价值增加表!BE31/股权价值增加表!BE4</f>
        <v>#DIV/0!</v>
      </c>
      <c r="BF6" s="158" t="e">
        <f>股权价值增加表!BF31/股权价值增加表!BF4</f>
        <v>#DIV/0!</v>
      </c>
      <c r="BG6" s="158" t="e">
        <f>股权价值增加表!BG31/股权价值增加表!BG4</f>
        <v>#DIV/0!</v>
      </c>
      <c r="BH6" s="158" t="e">
        <f>股权价值增加表!BH31/股权价值增加表!BH4</f>
        <v>#DIV/0!</v>
      </c>
      <c r="BI6" s="158" t="e">
        <f>股权价值增加表!BI31/股权价值增加表!BI4</f>
        <v>#DIV/0!</v>
      </c>
      <c r="BJ6" s="158" t="e">
        <f>股权价值增加表!BJ31/股权价值增加表!BJ4</f>
        <v>#DIV/0!</v>
      </c>
      <c r="BK6" s="158" t="e">
        <f>股权价值增加表!BK31/股权价值增加表!BK4</f>
        <v>#DIV/0!</v>
      </c>
      <c r="BL6" s="158" t="e">
        <f>股权价值增加表!BL31/股权价值增加表!BL4</f>
        <v>#DIV/0!</v>
      </c>
      <c r="BM6" s="158" t="e">
        <f>股权价值增加表!BM31/股权价值增加表!BM4</f>
        <v>#DIV/0!</v>
      </c>
      <c r="BN6" s="158" t="e">
        <f>股权价值增加表!BN31/股权价值增加表!BN4</f>
        <v>#DIV/0!</v>
      </c>
      <c r="BO6" s="158" t="e">
        <f>股权价值增加表!BO31/股权价值增加表!BO4</f>
        <v>#DIV/0!</v>
      </c>
      <c r="BP6" s="158" t="e">
        <f>股权价值增加表!BP31/股权价值增加表!BP4</f>
        <v>#DIV/0!</v>
      </c>
      <c r="BQ6" s="158" t="e">
        <f>股权价值增加表!BQ31/股权价值增加表!BQ4</f>
        <v>#DIV/0!</v>
      </c>
      <c r="BR6" s="158" t="e">
        <f>股权价值增加表!BR31/股权价值增加表!BR4</f>
        <v>#DIV/0!</v>
      </c>
      <c r="BS6" s="158" t="e">
        <f>股权价值增加表!BS31/股权价值增加表!BS4</f>
        <v>#DIV/0!</v>
      </c>
      <c r="BT6" s="158" t="e">
        <f>股权价值增加表!BT31/股权价值增加表!BT4</f>
        <v>#DIV/0!</v>
      </c>
      <c r="BU6" s="158" t="e">
        <f>股权价值增加表!BU31/股权价值增加表!BU4</f>
        <v>#DIV/0!</v>
      </c>
      <c r="BV6" s="158" t="e">
        <f>股权价值增加表!BV31/股权价值增加表!BV4</f>
        <v>#DIV/0!</v>
      </c>
      <c r="BW6" s="158" t="e">
        <f>股权价值增加表!BW31/股权价值增加表!BW4</f>
        <v>#DIV/0!</v>
      </c>
      <c r="BX6" s="158" t="e">
        <f>股权价值增加表!BX31/股权价值增加表!BX4</f>
        <v>#DIV/0!</v>
      </c>
      <c r="BY6" s="158" t="e">
        <f>股权价值增加表!BY31/股权价值增加表!BY4</f>
        <v>#DIV/0!</v>
      </c>
      <c r="BZ6" s="158" t="e">
        <f>股权价值增加表!BZ31/股权价值增加表!BZ4</f>
        <v>#DIV/0!</v>
      </c>
      <c r="CA6" s="158" t="e">
        <f>股权价值增加表!CA31/股权价值增加表!CA4</f>
        <v>#DIV/0!</v>
      </c>
      <c r="CB6" s="158" t="e">
        <f>股权价值增加表!CB31/股权价值增加表!CB4</f>
        <v>#DIV/0!</v>
      </c>
      <c r="CC6" s="158" t="e">
        <f>股权价值增加表!CC31/股权价值增加表!CC4</f>
        <v>#DIV/0!</v>
      </c>
      <c r="CD6" s="158" t="e">
        <f>股权价值增加表!CD31/股权价值增加表!CD4</f>
        <v>#DIV/0!</v>
      </c>
      <c r="CE6" s="158" t="e">
        <f>股权价值增加表!CE31/股权价值增加表!CE4</f>
        <v>#DIV/0!</v>
      </c>
      <c r="CF6" s="158" t="e">
        <f>股权价值增加表!CF31/股权价值增加表!CF4</f>
        <v>#DIV/0!</v>
      </c>
      <c r="CG6" s="158" t="e">
        <f>股权价值增加表!CG31/股权价值增加表!CG4</f>
        <v>#DIV/0!</v>
      </c>
      <c r="CH6" s="158" t="e">
        <f>股权价值增加表!CH31/股权价值增加表!CH4</f>
        <v>#DIV/0!</v>
      </c>
      <c r="CI6" s="158" t="e">
        <f>股权价值增加表!CI31/股权价值增加表!CI4</f>
        <v>#DIV/0!</v>
      </c>
      <c r="CJ6" s="158" t="e">
        <f>股权价值增加表!CJ31/股权价值增加表!CJ4</f>
        <v>#DIV/0!</v>
      </c>
    </row>
    <row r="7" spans="1:89" s="61" customFormat="1" x14ac:dyDescent="0.25">
      <c r="A7" s="243" t="s">
        <v>432</v>
      </c>
      <c r="E7" s="61">
        <f>股权价值增加表!E4/资产资本表!E70</f>
        <v>1.162914506499841</v>
      </c>
      <c r="F7" s="61">
        <f>股权价值增加表!F4/资产资本表!F70</f>
        <v>0.83626422554205426</v>
      </c>
      <c r="G7" s="61">
        <f>股权价值增加表!G4/资产资本表!G70</f>
        <v>0.52214827292234478</v>
      </c>
      <c r="H7" s="61">
        <f>股权价值增加表!H4/资产资本表!H70</f>
        <v>0.21024261540636624</v>
      </c>
      <c r="I7" s="61">
        <f>股权价值增加表!I4/资产资本表!I70</f>
        <v>1.0877086002501422</v>
      </c>
      <c r="J7" s="61">
        <f>股权价值增加表!J4/资产资本表!J70</f>
        <v>0.80860155555240798</v>
      </c>
      <c r="K7" s="61">
        <f>股权价值增加表!K4/资产资本表!K70</f>
        <v>0.53824341676885379</v>
      </c>
      <c r="L7" s="61">
        <f>股权价值增加表!L4/资产资本表!L70</f>
        <v>0.20851034833993479</v>
      </c>
      <c r="M7" s="61">
        <f>股权价值增加表!M4/资产资本表!M70</f>
        <v>1.1725149822333234</v>
      </c>
      <c r="N7" s="61">
        <f>股权价值增加表!N4/资产资本表!N70</f>
        <v>0.86195891646066902</v>
      </c>
      <c r="O7" s="61">
        <f>股权价值增加表!O4/资产资本表!O70</f>
        <v>0.53432520915410531</v>
      </c>
      <c r="P7" s="61">
        <f>股权价值增加表!P4/资产资本表!P70</f>
        <v>0.25021767979575232</v>
      </c>
      <c r="Q7" s="61">
        <f>股权价值增加表!Q4/资产资本表!Q70</f>
        <v>1.1096447758914572</v>
      </c>
      <c r="R7" s="61">
        <f>股权价值增加表!R4/资产资本表!R70</f>
        <v>0.7694754164114006</v>
      </c>
      <c r="S7" s="61">
        <f>股权价值增加表!S4/资产资本表!S70</f>
        <v>0.44004554050479411</v>
      </c>
      <c r="T7" s="61">
        <f>股权价值增加表!T4/资产资本表!T70</f>
        <v>0.20632466749851672</v>
      </c>
      <c r="U7" s="61">
        <f>股权价值增加表!U4/资产资本表!U70</f>
        <v>0.93977736622535646</v>
      </c>
      <c r="V7" s="61">
        <f>股权价值增加表!V4/资产资本表!V70</f>
        <v>0.68519370852826778</v>
      </c>
      <c r="W7" s="61">
        <f>股权价值增加表!W4/资产资本表!W70</f>
        <v>0.40031396572088263</v>
      </c>
      <c r="X7" s="61">
        <f>股权价值增加表!X4/资产资本表!X70</f>
        <v>0.18385864395431936</v>
      </c>
      <c r="Y7" s="61">
        <f>股权价值增加表!Y4/资产资本表!Y70</f>
        <v>0.82970346989696897</v>
      </c>
      <c r="Z7" s="61">
        <f>股权价值增加表!Z4/资产资本表!Z70</f>
        <v>0.61888635261255298</v>
      </c>
      <c r="AA7" s="61">
        <f>股权价值增加表!AA4/资产资本表!AA70</f>
        <v>0.38942304988747406</v>
      </c>
      <c r="AB7" s="61">
        <f>股权价值增加表!AB4/资产资本表!AB70</f>
        <v>0.17991356922968316</v>
      </c>
      <c r="AC7" s="61">
        <f>股权价值增加表!AC4/资产资本表!AC70</f>
        <v>0.76837862394081258</v>
      </c>
      <c r="AD7" s="61">
        <f>股权价值增加表!AD4/资产资本表!AD70</f>
        <v>0.55283050482189522</v>
      </c>
      <c r="AE7" s="61">
        <f>股权价值增加表!AE4/资产资本表!AE70</f>
        <v>0.35155585189054467</v>
      </c>
      <c r="AF7" s="61">
        <f>股权价值增加表!AF4/资产资本表!AF70</f>
        <v>0.15626666738841713</v>
      </c>
      <c r="AG7" s="61">
        <f>股权价值增加表!AG4/资产资本表!AG70</f>
        <v>0.63442668312894424</v>
      </c>
      <c r="AH7" s="61">
        <f>股权价值增加表!AH4/资产资本表!AH70</f>
        <v>0.45285716623217803</v>
      </c>
      <c r="AI7" s="61">
        <f>股权价值增加表!AI4/资产资本表!AI70</f>
        <v>0.26701922936698519</v>
      </c>
      <c r="AJ7" s="61">
        <f>股权价值增加表!AJ4/资产资本表!AJ70</f>
        <v>0.38800843909407473</v>
      </c>
      <c r="AK7" s="61">
        <f>股权价值增加表!AK4/资产资本表!AK70</f>
        <v>1.3424859109887515</v>
      </c>
      <c r="AL7" s="61">
        <f>股权价值增加表!AL4/资产资本表!AL70</f>
        <v>1.4690398272703469</v>
      </c>
      <c r="AM7" s="61">
        <f>股权价值增加表!AM4/资产资本表!AM70</f>
        <v>1.3431719769460313</v>
      </c>
      <c r="AN7" s="61" t="e">
        <f>股权价值增加表!AN4/资产资本表!AN70</f>
        <v>#DIV/0!</v>
      </c>
      <c r="AO7" s="61" t="e">
        <f>股权价值增加表!AO4/资产资本表!AO70</f>
        <v>#DIV/0!</v>
      </c>
      <c r="AP7" s="61" t="e">
        <f>股权价值增加表!AP4/资产资本表!AP70</f>
        <v>#DIV/0!</v>
      </c>
      <c r="AQ7" s="61" t="e">
        <f>股权价值增加表!AQ4/资产资本表!AQ70</f>
        <v>#DIV/0!</v>
      </c>
      <c r="AR7" s="61" t="e">
        <f>股权价值增加表!AR4/资产资本表!AR70</f>
        <v>#DIV/0!</v>
      </c>
      <c r="AS7" s="61" t="e">
        <f>股权价值增加表!AS4/资产资本表!AS70</f>
        <v>#DIV/0!</v>
      </c>
      <c r="AT7" s="61" t="e">
        <f>股权价值增加表!AT4/资产资本表!AT70</f>
        <v>#DIV/0!</v>
      </c>
      <c r="AU7" s="61" t="e">
        <f>股权价值增加表!AU4/资产资本表!AU70</f>
        <v>#DIV/0!</v>
      </c>
      <c r="AV7" s="61" t="e">
        <f>股权价值增加表!AV4/资产资本表!AV70</f>
        <v>#DIV/0!</v>
      </c>
      <c r="AW7" s="61" t="e">
        <f>股权价值增加表!AW4/资产资本表!AW70</f>
        <v>#DIV/0!</v>
      </c>
      <c r="AX7" s="61" t="e">
        <f>股权价值增加表!AX4/资产资本表!AX70</f>
        <v>#DIV/0!</v>
      </c>
      <c r="AY7" s="61" t="e">
        <f>股权价值增加表!AY4/资产资本表!AY70</f>
        <v>#DIV/0!</v>
      </c>
      <c r="AZ7" s="61" t="e">
        <f>股权价值增加表!AZ4/资产资本表!AZ70</f>
        <v>#DIV/0!</v>
      </c>
      <c r="BA7" s="61" t="e">
        <f>股权价值增加表!BA4/资产资本表!BA70</f>
        <v>#DIV/0!</v>
      </c>
      <c r="BB7" s="61" t="e">
        <f>股权价值增加表!BB4/资产资本表!BB70</f>
        <v>#DIV/0!</v>
      </c>
      <c r="BC7" s="61" t="e">
        <f>股权价值增加表!BC4/资产资本表!BC70</f>
        <v>#DIV/0!</v>
      </c>
      <c r="BD7" s="61" t="e">
        <f>股权价值增加表!BD4/资产资本表!BD70</f>
        <v>#DIV/0!</v>
      </c>
      <c r="BE7" s="61" t="e">
        <f>股权价值增加表!BE4/资产资本表!BE70</f>
        <v>#DIV/0!</v>
      </c>
      <c r="BF7" s="61" t="e">
        <f>股权价值增加表!BF4/资产资本表!BF70</f>
        <v>#DIV/0!</v>
      </c>
      <c r="BG7" s="61" t="e">
        <f>股权价值增加表!BG4/资产资本表!BG70</f>
        <v>#DIV/0!</v>
      </c>
      <c r="BH7" s="61" t="e">
        <f>股权价值增加表!BH4/资产资本表!BH70</f>
        <v>#DIV/0!</v>
      </c>
      <c r="BI7" s="61" t="e">
        <f>股权价值增加表!BI4/资产资本表!BI70</f>
        <v>#DIV/0!</v>
      </c>
      <c r="BJ7" s="61" t="e">
        <f>股权价值增加表!BJ4/资产资本表!BJ70</f>
        <v>#DIV/0!</v>
      </c>
      <c r="BK7" s="61" t="e">
        <f>股权价值增加表!BK4/资产资本表!BK70</f>
        <v>#DIV/0!</v>
      </c>
      <c r="BL7" s="61" t="e">
        <f>股权价值增加表!BL4/资产资本表!BL70</f>
        <v>#DIV/0!</v>
      </c>
      <c r="BM7" s="61" t="e">
        <f>股权价值增加表!BM4/资产资本表!BM70</f>
        <v>#DIV/0!</v>
      </c>
      <c r="BN7" s="61" t="e">
        <f>股权价值增加表!BN4/资产资本表!BN70</f>
        <v>#DIV/0!</v>
      </c>
      <c r="BO7" s="61" t="e">
        <f>股权价值增加表!BO4/资产资本表!BO70</f>
        <v>#DIV/0!</v>
      </c>
      <c r="BP7" s="61" t="e">
        <f>股权价值增加表!BP4/资产资本表!BP70</f>
        <v>#DIV/0!</v>
      </c>
      <c r="BQ7" s="61" t="e">
        <f>股权价值增加表!BQ4/资产资本表!BQ70</f>
        <v>#DIV/0!</v>
      </c>
      <c r="BR7" s="61" t="e">
        <f>股权价值增加表!BR4/资产资本表!BR70</f>
        <v>#DIV/0!</v>
      </c>
      <c r="BS7" s="61" t="e">
        <f>股权价值增加表!BS4/资产资本表!BS70</f>
        <v>#DIV/0!</v>
      </c>
      <c r="BT7" s="61" t="e">
        <f>股权价值增加表!BT4/资产资本表!BT70</f>
        <v>#DIV/0!</v>
      </c>
      <c r="BU7" s="61" t="e">
        <f>股权价值增加表!BU4/资产资本表!BU70</f>
        <v>#DIV/0!</v>
      </c>
      <c r="BV7" s="61" t="e">
        <f>股权价值增加表!BV4/资产资本表!BV70</f>
        <v>#DIV/0!</v>
      </c>
      <c r="BW7" s="61" t="e">
        <f>股权价值增加表!BW4/资产资本表!BW70</f>
        <v>#DIV/0!</v>
      </c>
      <c r="BX7" s="61" t="e">
        <f>股权价值增加表!BX4/资产资本表!BX70</f>
        <v>#DIV/0!</v>
      </c>
      <c r="BY7" s="61" t="e">
        <f>股权价值增加表!BY4/资产资本表!BY70</f>
        <v>#DIV/0!</v>
      </c>
      <c r="BZ7" s="61" t="e">
        <f>股权价值增加表!BZ4/资产资本表!BZ70</f>
        <v>#DIV/0!</v>
      </c>
      <c r="CA7" s="61" t="e">
        <f>股权价值增加表!CA4/资产资本表!CA70</f>
        <v>#DIV/0!</v>
      </c>
      <c r="CB7" s="61" t="e">
        <f>股权价值增加表!CB4/资产资本表!CB70</f>
        <v>#DIV/0!</v>
      </c>
      <c r="CC7" s="61" t="e">
        <f>股权价值增加表!CC4/资产资本表!CC70</f>
        <v>#DIV/0!</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439</v>
      </c>
      <c r="E8" s="63">
        <f>股权价值增加表!E31/资产资本表!E70</f>
        <v>0.24028404182820895</v>
      </c>
      <c r="F8" s="63">
        <f>股权价值增加表!F31/资产资本表!F70</f>
        <v>0.1796306518869292</v>
      </c>
      <c r="G8" s="63">
        <f>股权价值增加表!G31/资产资本表!G70</f>
        <v>0.10356071326263941</v>
      </c>
      <c r="H8" s="63">
        <f>股权价值增加表!H31/资产资本表!H70</f>
        <v>5.4421489253850812E-2</v>
      </c>
      <c r="I8" s="63">
        <f>股权价值增加表!I31/资产资本表!I70</f>
        <v>0.27858692012142006</v>
      </c>
      <c r="J8" s="63">
        <f>股权价值增加表!J31/资产资本表!J70</f>
        <v>0.20376189523296817</v>
      </c>
      <c r="K8" s="63">
        <f>股权价值增加表!K31/资产资本表!K70</f>
        <v>0.12584646007789069</v>
      </c>
      <c r="L8" s="63">
        <f>股权价值增加表!L31/资产资本表!L70</f>
        <v>5.4992822470539604E-2</v>
      </c>
      <c r="M8" s="63">
        <f>股权价值增加表!M31/资产资本表!M70</f>
        <v>0.31586504209941224</v>
      </c>
      <c r="N8" s="63">
        <f>股权价值增加表!N31/资产资本表!N70</f>
        <v>0.22355160438037228</v>
      </c>
      <c r="O8" s="63">
        <f>股权价值增加表!O31/资产资本表!O70</f>
        <v>0.13988736341281829</v>
      </c>
      <c r="P8" s="63">
        <f>股权价值增加表!P31/资产资本表!P70</f>
        <v>7.0624598841971045E-2</v>
      </c>
      <c r="Q8" s="63">
        <f>股权价值增加表!Q31/资产资本表!Q70</f>
        <v>0.33802499299454369</v>
      </c>
      <c r="R8" s="63">
        <f>股权价值增加表!R31/资产资本表!R70</f>
        <v>0.21821271173414344</v>
      </c>
      <c r="S8" s="63">
        <f>股权价值增加表!S31/资产资本表!S70</f>
        <v>0.12201528887804516</v>
      </c>
      <c r="T8" s="63">
        <f>股权价值增加表!T31/资产资本表!T70</f>
        <v>6.0414670310949353E-2</v>
      </c>
      <c r="U8" s="63">
        <f>股权价值增加表!U31/资产资本表!U70</f>
        <v>0.29623020949315226</v>
      </c>
      <c r="V8" s="63">
        <f>股权价值增加表!V31/资产资本表!V70</f>
        <v>0.19752160343188044</v>
      </c>
      <c r="W8" s="63">
        <f>股权价值增加表!W31/资产资本表!W70</f>
        <v>0.1104908615794712</v>
      </c>
      <c r="X8" s="63">
        <f>股权价值增加表!X31/资产资本表!X70</f>
        <v>5.416812004493296E-2</v>
      </c>
      <c r="Y8" s="63">
        <f>股权价值增加表!Y31/资产资本表!Y70</f>
        <v>0.26604859830377803</v>
      </c>
      <c r="Z8" s="63">
        <f>股权价值增加表!Z31/资产资本表!Z70</f>
        <v>0.18041382011016963</v>
      </c>
      <c r="AA8" s="63">
        <f>股权价值增加表!AA31/资产资本表!AA70</f>
        <v>0.11177179546879487</v>
      </c>
      <c r="AB8" s="63">
        <f>股权价值增加表!AB31/资产资本表!AB70</f>
        <v>5.5232629052855323E-2</v>
      </c>
      <c r="AC8" s="63">
        <f>股权价值增加表!AC31/资产资本表!AC70</f>
        <v>0.25399346046578591</v>
      </c>
      <c r="AD8" s="63">
        <f>股权价值增加表!AD31/资产资本表!AD70</f>
        <v>0.1544734737470915</v>
      </c>
      <c r="AE8" s="63">
        <f>股权价值增加表!AE31/资产资本表!AE70</f>
        <v>9.6830495018147458E-2</v>
      </c>
      <c r="AF8" s="63">
        <f>股权价值增加表!AF31/资产资本表!AF70</f>
        <v>4.9166226492545408E-2</v>
      </c>
      <c r="AG8" s="63">
        <f>股权价值增加表!AG31/资产资本表!AG70</f>
        <v>0.20159239793343406</v>
      </c>
      <c r="AH8" s="63">
        <f>股权价值增加表!AH31/资产资本表!AH70</f>
        <v>0.14182357110354113</v>
      </c>
      <c r="AI8" s="63">
        <f>股权价值增加表!AI31/资产资本表!AI70</f>
        <v>8.0919328298293194E-2</v>
      </c>
      <c r="AJ8" s="63">
        <f>股权价值增加表!AJ31/资产资本表!AJ70</f>
        <v>0.13524726778427057</v>
      </c>
      <c r="AK8" s="63">
        <f>股权价值增加表!AK31/资产资本表!AK70</f>
        <v>0.48398913428334006</v>
      </c>
      <c r="AL8" s="63">
        <f>股权价值增加表!AL31/资产资本表!AL70</f>
        <v>0.53922590259976277</v>
      </c>
      <c r="AM8" s="63">
        <f>股权价值增加表!AM31/资产资本表!AM70</f>
        <v>0.46351842121269571</v>
      </c>
      <c r="AN8" s="63" t="e">
        <f>股权价值增加表!AN31/资产资本表!AN70</f>
        <v>#DIV/0!</v>
      </c>
      <c r="AO8" s="63" t="e">
        <f>股权价值增加表!AO31/资产资本表!AO70</f>
        <v>#DIV/0!</v>
      </c>
      <c r="AP8" s="63" t="e">
        <f>股权价值增加表!AP31/资产资本表!AP70</f>
        <v>#DIV/0!</v>
      </c>
      <c r="AQ8" s="63" t="e">
        <f>股权价值增加表!AQ31/资产资本表!AQ70</f>
        <v>#DIV/0!</v>
      </c>
      <c r="AR8" s="63" t="e">
        <f>股权价值增加表!AR31/资产资本表!AR70</f>
        <v>#DIV/0!</v>
      </c>
      <c r="AS8" s="63" t="e">
        <f>股权价值增加表!AS31/资产资本表!AS70</f>
        <v>#DIV/0!</v>
      </c>
      <c r="AT8" s="63" t="e">
        <f>股权价值增加表!AT31/资产资本表!AT70</f>
        <v>#DIV/0!</v>
      </c>
      <c r="AU8" s="63" t="e">
        <f>股权价值增加表!AU31/资产资本表!AU70</f>
        <v>#DIV/0!</v>
      </c>
      <c r="AV8" s="63" t="e">
        <f>股权价值增加表!AV31/资产资本表!AV70</f>
        <v>#DIV/0!</v>
      </c>
      <c r="AW8" s="63" t="e">
        <f>股权价值增加表!AW31/资产资本表!AW70</f>
        <v>#DIV/0!</v>
      </c>
      <c r="AX8" s="63" t="e">
        <f>股权价值增加表!AX31/资产资本表!AX70</f>
        <v>#DIV/0!</v>
      </c>
      <c r="AY8" s="63" t="e">
        <f>股权价值增加表!AY31/资产资本表!AY70</f>
        <v>#DIV/0!</v>
      </c>
      <c r="AZ8" s="63" t="e">
        <f>股权价值增加表!AZ31/资产资本表!AZ70</f>
        <v>#DIV/0!</v>
      </c>
      <c r="BA8" s="63" t="e">
        <f>股权价值增加表!BA31/资产资本表!BA70</f>
        <v>#DIV/0!</v>
      </c>
      <c r="BB8" s="63" t="e">
        <f>股权价值增加表!BB31/资产资本表!BB70</f>
        <v>#DIV/0!</v>
      </c>
      <c r="BC8" s="63" t="e">
        <f>股权价值增加表!BC31/资产资本表!BC70</f>
        <v>#DIV/0!</v>
      </c>
      <c r="BD8" s="63" t="e">
        <f>股权价值增加表!BD31/资产资本表!BD70</f>
        <v>#DIV/0!</v>
      </c>
      <c r="BE8" s="63" t="e">
        <f>股权价值增加表!BE31/资产资本表!BE70</f>
        <v>#DIV/0!</v>
      </c>
      <c r="BF8" s="63" t="e">
        <f>股权价值增加表!BF31/资产资本表!BF70</f>
        <v>#DIV/0!</v>
      </c>
      <c r="BG8" s="63" t="e">
        <f>股权价值增加表!BG31/资产资本表!BG70</f>
        <v>#DIV/0!</v>
      </c>
      <c r="BH8" s="63" t="e">
        <f>股权价值增加表!BH31/资产资本表!BH70</f>
        <v>#DIV/0!</v>
      </c>
      <c r="BI8" s="63" t="e">
        <f>股权价值增加表!BI31/资产资本表!BI70</f>
        <v>#DIV/0!</v>
      </c>
      <c r="BJ8" s="63" t="e">
        <f>股权价值增加表!BJ31/资产资本表!BJ70</f>
        <v>#DIV/0!</v>
      </c>
      <c r="BK8" s="63" t="e">
        <f>股权价值增加表!BK31/资产资本表!BK70</f>
        <v>#DIV/0!</v>
      </c>
      <c r="BL8" s="63" t="e">
        <f>股权价值增加表!BL31/资产资本表!BL70</f>
        <v>#DIV/0!</v>
      </c>
      <c r="BM8" s="63" t="e">
        <f>股权价值增加表!BM31/资产资本表!BM70</f>
        <v>#DIV/0!</v>
      </c>
      <c r="BN8" s="63" t="e">
        <f>股权价值增加表!BN31/资产资本表!BN70</f>
        <v>#DIV/0!</v>
      </c>
      <c r="BO8" s="63" t="e">
        <f>股权价值增加表!BO31/资产资本表!BO70</f>
        <v>#DIV/0!</v>
      </c>
      <c r="BP8" s="63" t="e">
        <f>股权价值增加表!BP31/资产资本表!BP70</f>
        <v>#DIV/0!</v>
      </c>
      <c r="BQ8" s="63" t="e">
        <f>股权价值增加表!BQ31/资产资本表!BQ70</f>
        <v>#DIV/0!</v>
      </c>
      <c r="BR8" s="63" t="e">
        <f>股权价值增加表!BR31/资产资本表!BR70</f>
        <v>#DIV/0!</v>
      </c>
      <c r="BS8" s="63" t="e">
        <f>股权价值增加表!BS31/资产资本表!BS70</f>
        <v>#DIV/0!</v>
      </c>
      <c r="BT8" s="63" t="e">
        <f>股权价值增加表!BT31/资产资本表!BT70</f>
        <v>#DIV/0!</v>
      </c>
      <c r="BU8" s="63" t="e">
        <f>股权价值增加表!BU31/资产资本表!BU70</f>
        <v>#DIV/0!</v>
      </c>
      <c r="BV8" s="63" t="e">
        <f>股权价值增加表!BV31/资产资本表!BV70</f>
        <v>#DIV/0!</v>
      </c>
      <c r="BW8" s="63" t="e">
        <f>股权价值增加表!BW31/资产资本表!BW70</f>
        <v>#DIV/0!</v>
      </c>
      <c r="BX8" s="63" t="e">
        <f>股权价值增加表!BX31/资产资本表!BX70</f>
        <v>#DIV/0!</v>
      </c>
      <c r="BY8" s="63" t="e">
        <f>股权价值增加表!BY31/资产资本表!BY70</f>
        <v>#DIV/0!</v>
      </c>
      <c r="BZ8" s="63" t="e">
        <f>股权价值增加表!BZ31/资产资本表!BZ70</f>
        <v>#DIV/0!</v>
      </c>
      <c r="CA8" s="63" t="e">
        <f>股权价值增加表!CA31/资产资本表!CA70</f>
        <v>#DIV/0!</v>
      </c>
      <c r="CB8" s="63" t="e">
        <f>股权价值增加表!CB31/资产资本表!CB70</f>
        <v>#DIV/0!</v>
      </c>
      <c r="CC8" s="63" t="e">
        <f>股权价值增加表!CC31/资产资本表!CC70</f>
        <v>#DIV/0!</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8" customFormat="1" x14ac:dyDescent="0.25">
      <c r="A9" s="158" t="s">
        <v>433</v>
      </c>
      <c r="E9" s="158">
        <f>股权价值增加表!E38/股权价值增加表!E31</f>
        <v>0.93814624875447283</v>
      </c>
      <c r="F9" s="158">
        <f>股权价值增加表!F38/股权价值增加表!F31</f>
        <v>0.96334462484874384</v>
      </c>
      <c r="G9" s="158">
        <f>股权价值增加表!G38/股权价值增加表!G31</f>
        <v>0.97991379686900237</v>
      </c>
      <c r="H9" s="158">
        <f>股权价值增加表!H38/股权价值增加表!H31</f>
        <v>0.98813327730846678</v>
      </c>
      <c r="I9" s="158">
        <f>股权价值增加表!I38/股权价值增加表!I31</f>
        <v>1.050217909055484</v>
      </c>
      <c r="J9" s="158">
        <f>股权价值增加表!J38/股权价值增加表!J31</f>
        <v>1.0237134019834075</v>
      </c>
      <c r="K9" s="158">
        <f>股权价值增加表!K38/股权价值增加表!K31</f>
        <v>1.033253951977505</v>
      </c>
      <c r="L9" s="158">
        <f>股权价值增加表!L38/股权价值增加表!L31</f>
        <v>1.007326392297778</v>
      </c>
      <c r="M9" s="158">
        <f>股权价值增加表!M38/股权价值增加表!M31</f>
        <v>0.99903983369935556</v>
      </c>
      <c r="N9" s="158">
        <f>股权价值增加表!N38/股权价值增加表!N31</f>
        <v>1.0224174501659833</v>
      </c>
      <c r="O9" s="158">
        <f>股权价值增加表!O38/股权价值增加表!O31</f>
        <v>1.0164483418867363</v>
      </c>
      <c r="P9" s="158">
        <f>股权价值增加表!P38/股权价值增加表!P31</f>
        <v>1.0083679139326815</v>
      </c>
      <c r="Q9" s="158">
        <f>股权价值增加表!Q38/股权价值增加表!Q31</f>
        <v>0.98620913997945325</v>
      </c>
      <c r="R9" s="158">
        <f>股权价值增加表!R38/股权价值增加表!R31</f>
        <v>1.0189864311515915</v>
      </c>
      <c r="S9" s="158">
        <f>股权价值增加表!S38/股权价值增加表!S31</f>
        <v>1.0189519969318872</v>
      </c>
      <c r="T9" s="158">
        <f>股权价值增加表!T38/股权价值增加表!T31</f>
        <v>1.0243492716557099</v>
      </c>
      <c r="U9" s="158">
        <f>股权价值增加表!U38/股权价值增加表!U31</f>
        <v>0.99114470939020205</v>
      </c>
      <c r="V9" s="158">
        <f>股权价值增加表!V38/股权价值增加表!V31</f>
        <v>1.0278263156736953</v>
      </c>
      <c r="W9" s="158">
        <f>股权价值增加表!W38/股权价值增加表!W31</f>
        <v>1.0397322471360584</v>
      </c>
      <c r="X9" s="158">
        <f>股权价值增加表!X38/股权价值增加表!X31</f>
        <v>1.0594184768644759</v>
      </c>
      <c r="Y9" s="158">
        <f>股权价值增加表!Y38/股权价值增加表!Y31</f>
        <v>0.99773334067955033</v>
      </c>
      <c r="Z9" s="158">
        <f>股权价值增加表!Z38/股权价值增加表!Z31</f>
        <v>1.0377683431216804</v>
      </c>
      <c r="AA9" s="158">
        <f>股权价值增加表!AA38/股权价值增加表!AA31</f>
        <v>1.04578344791038</v>
      </c>
      <c r="AB9" s="158">
        <f>股权价值增加表!AB38/股权价值增加表!AB31</f>
        <v>1.0239449169376158</v>
      </c>
      <c r="AC9" s="158">
        <f>股权价值增加表!AC38/股权价值增加表!AC31</f>
        <v>0.98539264238789359</v>
      </c>
      <c r="AD9" s="158">
        <f>股权价值增加表!AD38/股权价值增加表!AD31</f>
        <v>1.053421128602406</v>
      </c>
      <c r="AE9" s="158">
        <f>股权价值增加表!AE38/股权价值增加表!AE31</f>
        <v>1.0624067058058664</v>
      </c>
      <c r="AF9" s="158">
        <f>股权价值增加表!AF38/股权价值增加表!AF31</f>
        <v>1.0522167803946403</v>
      </c>
      <c r="AG9" s="158">
        <f>股权价值增加表!AG38/股权价值增加表!AG31</f>
        <v>0.98969472514769674</v>
      </c>
      <c r="AH9" s="158">
        <f>股权价值增加表!AH38/股权价值增加表!AH31</f>
        <v>1.0052937869624856</v>
      </c>
      <c r="AI9" s="158">
        <f>股权价值增加表!AI38/股权价值增加表!AI31</f>
        <v>1.0068381144298735</v>
      </c>
      <c r="AJ9" s="158">
        <f>股权价值增加表!AJ38/股权价值增加表!AJ31</f>
        <v>1.0047865107363434</v>
      </c>
      <c r="AK9" s="158">
        <f>股权价值增加表!AK38/股权价值增加表!AK31</f>
        <v>1.0120204555308334</v>
      </c>
      <c r="AL9" s="158">
        <f>股权价值增加表!AL38/股权价值增加表!AL31</f>
        <v>1.0123302231770988</v>
      </c>
      <c r="AM9" s="158">
        <f>股权价值增加表!AM38/股权价值增加表!AM31</f>
        <v>1.0205560065991286</v>
      </c>
      <c r="AN9" s="158">
        <f>股权价值增加表!AN38/股权价值增加表!AN31</f>
        <v>1.020435472500661</v>
      </c>
      <c r="AO9" s="158">
        <f>股权价值增加表!AO38/股权价值增加表!AO31</f>
        <v>1.0091731205214232</v>
      </c>
      <c r="AP9" s="158">
        <f>股权价值增加表!AP38/股权价值增加表!AP31</f>
        <v>1.0082700654505119</v>
      </c>
      <c r="AQ9" s="158" t="e">
        <f>股权价值增加表!AQ38/股权价值增加表!AQ31</f>
        <v>#DIV/0!</v>
      </c>
      <c r="AR9" s="158" t="e">
        <f>股权价值增加表!AR38/股权价值增加表!AR31</f>
        <v>#DIV/0!</v>
      </c>
      <c r="AS9" s="158">
        <f>股权价值增加表!AS38/股权价值增加表!AS31</f>
        <v>29.82489017332593</v>
      </c>
      <c r="AT9" s="158">
        <f>股权价值增加表!AT38/股权价值增加表!AT31</f>
        <v>74.693791916224583</v>
      </c>
      <c r="AU9" s="158">
        <f>股权价值增加表!AU38/股权价值增加表!AU31</f>
        <v>762.43841528552787</v>
      </c>
      <c r="AV9" s="158">
        <f>股权价值增加表!AV38/股权价值增加表!AV31</f>
        <v>6.0715712302299112</v>
      </c>
      <c r="AW9" s="158">
        <f>股权价值增加表!AW38/股权价值增加表!AW31</f>
        <v>10.996125403577111</v>
      </c>
      <c r="AX9" s="158">
        <f>股权价值增加表!AX38/股权价值增加表!AX31</f>
        <v>11.563322521142613</v>
      </c>
      <c r="AY9" s="158">
        <f>股权价值增加表!AY38/股权价值增加表!AY31</f>
        <v>14.314610464689412</v>
      </c>
      <c r="AZ9" s="158">
        <f>股权价值增加表!AZ38/股权价值增加表!AZ31</f>
        <v>30.177087999999998</v>
      </c>
      <c r="BA9" s="158">
        <f>股权价值增加表!BA38/股权价值增加表!BA31</f>
        <v>-5.4302495344527406</v>
      </c>
      <c r="BB9" s="158">
        <f>股权价值增加表!BB38/股权价值增加表!BB31</f>
        <v>-13.954913103035617</v>
      </c>
      <c r="BC9" s="158">
        <f>股权价值增加表!BC38/股权价值增加表!BC31</f>
        <v>-9.9942730035859633</v>
      </c>
      <c r="BD9" s="158" t="e">
        <f>股权价值增加表!BD38/股权价值增加表!BD31</f>
        <v>#DIV/0!</v>
      </c>
      <c r="BE9" s="158">
        <f>股权价值增加表!BE38/股权价值增加表!BE31</f>
        <v>-207.72438969261265</v>
      </c>
      <c r="BF9" s="158">
        <f>股权价值增加表!BF38/股权价值增加表!BF31</f>
        <v>38.123657821263173</v>
      </c>
      <c r="BG9" s="158">
        <f>股权价值增加表!BG38/股权价值增加表!BG31</f>
        <v>33.265097832398752</v>
      </c>
      <c r="BH9" s="158">
        <f>股权价值增加表!BH38/股权价值增加表!BH31</f>
        <v>2.6912248525255302</v>
      </c>
      <c r="BI9" s="158">
        <f>股权价值增加表!BI38/股权价值增加表!BI31</f>
        <v>-50.149746229058351</v>
      </c>
      <c r="BJ9" s="158">
        <f>股权价值增加表!BJ38/股权价值增加表!BJ31</f>
        <v>69.171187698585072</v>
      </c>
      <c r="BK9" s="158">
        <f>股权价值增加表!BK38/股权价值增加表!BK31</f>
        <v>232.32435186984958</v>
      </c>
      <c r="BL9" s="158">
        <f>股权价值增加表!BL38/股权价值增加表!BL31</f>
        <v>10.213152951199438</v>
      </c>
      <c r="BM9" s="158">
        <f>股权价值增加表!BM38/股权价值增加表!BM31</f>
        <v>150.18376358893079</v>
      </c>
      <c r="BN9" s="158">
        <f>股权价值增加表!BN38/股权价值增加表!BN31</f>
        <v>12.619124030745919</v>
      </c>
      <c r="BO9" s="158">
        <f>股权价值增加表!BO38/股权价值增加表!BO31</f>
        <v>8.7036936464919741</v>
      </c>
      <c r="BP9" s="158">
        <f>股权价值增加表!BP38/股权价值增加表!BP31</f>
        <v>-42.249783743212781</v>
      </c>
      <c r="BQ9" s="158">
        <f>股权价值增加表!BQ38/股权价值增加表!BQ31</f>
        <v>3.0583806324776739</v>
      </c>
      <c r="BR9" s="158">
        <f>股权价值增加表!BR38/股权价值增加表!BR31</f>
        <v>1</v>
      </c>
      <c r="BS9" s="158">
        <f>股权价值增加表!BS38/股权价值增加表!BS31</f>
        <v>2.6875461769888385</v>
      </c>
      <c r="BT9" s="158">
        <f>股权价值增加表!BT38/股权价值增加表!BT31</f>
        <v>2.0192338281291593</v>
      </c>
      <c r="BU9" s="158">
        <f>股权价值增加表!BU38/股权价值增加表!BU31</f>
        <v>7.0450850452289444</v>
      </c>
      <c r="BV9" s="158" t="e">
        <f>股权价值增加表!BV38/股权价值增加表!BV31</f>
        <v>#DIV/0!</v>
      </c>
      <c r="BW9" s="158" t="e">
        <f>股权价值增加表!BW38/股权价值增加表!BW31</f>
        <v>#DIV/0!</v>
      </c>
      <c r="BX9" s="158" t="e">
        <f>股权价值增加表!BX38/股权价值增加表!BX31</f>
        <v>#DIV/0!</v>
      </c>
      <c r="BY9" s="158" t="e">
        <f>股权价值增加表!BY38/股权价值增加表!BY31</f>
        <v>#DIV/0!</v>
      </c>
      <c r="BZ9" s="158" t="e">
        <f>股权价值增加表!BZ38/股权价值增加表!BZ31</f>
        <v>#DIV/0!</v>
      </c>
      <c r="CA9" s="158" t="e">
        <f>股权价值增加表!CA38/股权价值增加表!CA31</f>
        <v>#DIV/0!</v>
      </c>
      <c r="CB9" s="158" t="e">
        <f>股权价值增加表!CB38/股权价值增加表!CB31</f>
        <v>#DIV/0!</v>
      </c>
      <c r="CC9" s="158" t="e">
        <f>股权价值增加表!CC38/股权价值增加表!CC31</f>
        <v>#DIV/0!</v>
      </c>
      <c r="CD9" s="158" t="e">
        <f>股权价值增加表!CD38/股权价值增加表!CD31</f>
        <v>#DIV/0!</v>
      </c>
      <c r="CE9" s="158">
        <f>股权价值增加表!CE38/股权价值增加表!CE31</f>
        <v>1</v>
      </c>
      <c r="CF9" s="158">
        <f>股权价值增加表!CF38/股权价值增加表!CF31</f>
        <v>1</v>
      </c>
      <c r="CG9" s="158" t="e">
        <f>股权价值增加表!CG38/股权价值增加表!CG31</f>
        <v>#DIV/0!</v>
      </c>
      <c r="CH9" s="158" t="e">
        <f>股权价值增加表!CH38/股权价值增加表!CH31</f>
        <v>#DIV/0!</v>
      </c>
      <c r="CI9" s="158" t="e">
        <f>股权价值增加表!CI38/股权价值增加表!CI31</f>
        <v>#DIV/0!</v>
      </c>
      <c r="CJ9" s="158" t="e">
        <f>股权价值增加表!CJ38/股权价值增加表!CJ31</f>
        <v>#DIV/0!</v>
      </c>
    </row>
    <row r="10" spans="1:89" s="61" customFormat="1" x14ac:dyDescent="0.25">
      <c r="A10" s="243" t="s">
        <v>434</v>
      </c>
      <c r="E10" s="61">
        <f>资产资本表!E70/资产资本表!E107</f>
        <v>1.1774516412933478</v>
      </c>
      <c r="F10" s="61">
        <f>资产资本表!F70/资产资本表!F107</f>
        <v>1.2204090361940756</v>
      </c>
      <c r="G10" s="61">
        <f>资产资本表!G70/资产资本表!G107</f>
        <v>1.2996642769959887</v>
      </c>
      <c r="H10" s="61">
        <f>资产资本表!H70/资产资本表!H107</f>
        <v>1.2885782065431113</v>
      </c>
      <c r="I10" s="61">
        <f>资产资本表!I70/资产资本表!I107</f>
        <v>1.1986026282097524</v>
      </c>
      <c r="J10" s="61">
        <f>资产资本表!J70/资产资本表!J107</f>
        <v>1.2079663479776295</v>
      </c>
      <c r="K10" s="61">
        <f>资产资本表!K70/资产资本表!K107</f>
        <v>1.2167247657943423</v>
      </c>
      <c r="L10" s="61">
        <f>资产资本表!L70/资产资本表!L107</f>
        <v>1.2182619542308386</v>
      </c>
      <c r="M10" s="61">
        <f>资产资本表!M70/资产资本表!M107</f>
        <v>1.1168909960145508</v>
      </c>
      <c r="N10" s="61">
        <f>资产资本表!N70/资产资本表!N107</f>
        <v>1.1291064812228546</v>
      </c>
      <c r="O10" s="61">
        <f>资产资本表!O70/资产资本表!O107</f>
        <v>1.1798468248194465</v>
      </c>
      <c r="P10" s="61">
        <f>资产资本表!P70/资产资本表!P107</f>
        <v>1.0739685316518051</v>
      </c>
      <c r="Q10" s="61">
        <f>资产资本表!Q70/资产资本表!Q107</f>
        <v>1.0437619854870006</v>
      </c>
      <c r="R10" s="61">
        <f>资产资本表!R70/资产资本表!R107</f>
        <v>1.0710400721495286</v>
      </c>
      <c r="S10" s="61">
        <f>资产资本表!S70/资产资本表!S107</f>
        <v>1.1640259880290504</v>
      </c>
      <c r="T10" s="61">
        <f>资产资本表!T70/资产资本表!T107</f>
        <v>1.0571420249970156</v>
      </c>
      <c r="U10" s="61">
        <f>资产资本表!U70/资产资本表!U107</f>
        <v>1.0205384450649861</v>
      </c>
      <c r="V10" s="61">
        <f>资产资本表!V70/资产资本表!V107</f>
        <v>1.0156270189216692</v>
      </c>
      <c r="W10" s="61">
        <f>资产资本表!W70/资产资本表!W107</f>
        <v>1.0744409707082176</v>
      </c>
      <c r="X10" s="61">
        <f>资产资本表!X70/资产资本表!X107</f>
        <v>1.0119495698894299</v>
      </c>
      <c r="Y10" s="61">
        <f>资产资本表!Y70/资产资本表!Y107</f>
        <v>1.0026532334626994</v>
      </c>
      <c r="Z10" s="61">
        <f>资产资本表!Z70/资产资本表!Z107</f>
        <v>1.0031738837337623</v>
      </c>
      <c r="AA10" s="61">
        <f>资产资本表!AA70/资产资本表!AA107</f>
        <v>1.0158490860528655</v>
      </c>
      <c r="AB10" s="61">
        <f>资产资本表!AB70/资产资本表!AB107</f>
        <v>1.0029840822676659</v>
      </c>
      <c r="AC10" s="61">
        <f>资产资本表!AC70/资产资本表!AC107</f>
        <v>1.0031495355982993</v>
      </c>
      <c r="AD10" s="61">
        <f>资产资本表!AD70/资产资本表!AD107</f>
        <v>1.0066228091805867</v>
      </c>
      <c r="AE10" s="61">
        <f>资产资本表!AE70/资产资本表!AE107</f>
        <v>1.0070832867302735</v>
      </c>
      <c r="AF10" s="61">
        <f>资产资本表!AF70/资产资本表!AF107</f>
        <v>1.0069715563911814</v>
      </c>
      <c r="AG10" s="61">
        <f>资产资本表!AG70/资产资本表!AG107</f>
        <v>1.007194409059794</v>
      </c>
      <c r="AH10" s="61">
        <f>资产资本表!AH70/资产资本表!AH107</f>
        <v>1.0079640744482714</v>
      </c>
      <c r="AI10" s="61">
        <f>资产资本表!AI70/资产资本表!AI107</f>
        <v>1.0588217683159893</v>
      </c>
      <c r="AJ10" s="61">
        <f>资产资本表!AJ70/资产资本表!AJ107</f>
        <v>1.0399365695043619</v>
      </c>
      <c r="AK10" s="61">
        <f>资产资本表!AK70/资产资本表!AK107</f>
        <v>1.045459085964304</v>
      </c>
      <c r="AL10" s="61">
        <f>资产资本表!AL70/资产资本表!AL107</f>
        <v>1.0086078043477058</v>
      </c>
      <c r="AM10" s="61">
        <f>资产资本表!AM70/资产资本表!AM107</f>
        <v>1.1437353315274901</v>
      </c>
      <c r="AN10" s="61" t="e">
        <f>资产资本表!AN70/资产资本表!AN107</f>
        <v>#DIV/0!</v>
      </c>
      <c r="AO10" s="61">
        <f>资产资本表!AO70/资产资本表!AO107</f>
        <v>0</v>
      </c>
      <c r="AP10" s="61">
        <f>资产资本表!AP70/资产资本表!AP107</f>
        <v>0</v>
      </c>
      <c r="AQ10" s="61">
        <f>资产资本表!AQ70/资产资本表!AQ107</f>
        <v>0</v>
      </c>
      <c r="AR10" s="61">
        <f>资产资本表!AR70/资产资本表!AR107</f>
        <v>0</v>
      </c>
      <c r="AS10" s="61">
        <f>资产资本表!AS70/资产资本表!AS107</f>
        <v>0</v>
      </c>
      <c r="AT10" s="61">
        <f>资产资本表!AT70/资产资本表!AT107</f>
        <v>0</v>
      </c>
      <c r="AU10" s="61">
        <f>资产资本表!AU70/资产资本表!AU107</f>
        <v>0</v>
      </c>
      <c r="AV10" s="61">
        <f>资产资本表!AV70/资产资本表!AV107</f>
        <v>0</v>
      </c>
      <c r="AW10" s="61">
        <f>资产资本表!AW70/资产资本表!AW107</f>
        <v>0</v>
      </c>
      <c r="AX10" s="61">
        <f>资产资本表!AX70/资产资本表!AX107</f>
        <v>0</v>
      </c>
      <c r="AY10" s="61">
        <f>资产资本表!AY70/资产资本表!AY107</f>
        <v>0</v>
      </c>
      <c r="AZ10" s="61">
        <f>资产资本表!AZ70/资产资本表!AZ107</f>
        <v>0</v>
      </c>
      <c r="BA10" s="61">
        <f>资产资本表!BA70/资产资本表!BA107</f>
        <v>0</v>
      </c>
      <c r="BB10" s="61">
        <f>资产资本表!BB70/资产资本表!BB107</f>
        <v>0</v>
      </c>
      <c r="BC10" s="61">
        <f>资产资本表!BC70/资产资本表!BC107</f>
        <v>0</v>
      </c>
      <c r="BD10" s="61">
        <f>资产资本表!BD70/资产资本表!BD107</f>
        <v>0</v>
      </c>
      <c r="BE10" s="61">
        <f>资产资本表!BE70/资产资本表!BE107</f>
        <v>0</v>
      </c>
      <c r="BF10" s="61">
        <f>资产资本表!BF70/资产资本表!BF107</f>
        <v>0</v>
      </c>
      <c r="BG10" s="61">
        <f>资产资本表!BG70/资产资本表!BG107</f>
        <v>0</v>
      </c>
      <c r="BH10" s="61">
        <f>资产资本表!BH70/资产资本表!BH107</f>
        <v>0</v>
      </c>
      <c r="BI10" s="61">
        <f>资产资本表!BI70/资产资本表!BI107</f>
        <v>0</v>
      </c>
      <c r="BJ10" s="61">
        <f>资产资本表!BJ70/资产资本表!BJ107</f>
        <v>0</v>
      </c>
      <c r="BK10" s="61">
        <f>资产资本表!BK70/资产资本表!BK107</f>
        <v>0</v>
      </c>
      <c r="BL10" s="61">
        <f>资产资本表!BL70/资产资本表!BL107</f>
        <v>0</v>
      </c>
      <c r="BM10" s="61">
        <f>资产资本表!BM70/资产资本表!BM107</f>
        <v>0</v>
      </c>
      <c r="BN10" s="61">
        <f>资产资本表!BN70/资产资本表!BN107</f>
        <v>0</v>
      </c>
      <c r="BO10" s="61">
        <f>资产资本表!BO70/资产资本表!BO107</f>
        <v>0</v>
      </c>
      <c r="BP10" s="61">
        <f>资产资本表!BP70/资产资本表!BP107</f>
        <v>0</v>
      </c>
      <c r="BQ10" s="61">
        <f>资产资本表!BQ70/资产资本表!BQ107</f>
        <v>0</v>
      </c>
      <c r="BR10" s="61">
        <f>资产资本表!BR70/资产资本表!BR107</f>
        <v>0</v>
      </c>
      <c r="BS10" s="61">
        <f>资产资本表!BS70/资产资本表!BS107</f>
        <v>0</v>
      </c>
      <c r="BT10" s="61">
        <f>资产资本表!BT70/资产资本表!BT107</f>
        <v>0</v>
      </c>
      <c r="BU10" s="61">
        <f>资产资本表!BU70/资产资本表!BU107</f>
        <v>0</v>
      </c>
      <c r="BV10" s="61">
        <f>资产资本表!BV70/资产资本表!BV107</f>
        <v>0</v>
      </c>
      <c r="BW10" s="61">
        <f>资产资本表!BW70/资产资本表!BW107</f>
        <v>0</v>
      </c>
      <c r="BX10" s="61">
        <f>资产资本表!BX70/资产资本表!BX107</f>
        <v>0</v>
      </c>
      <c r="BY10" s="61">
        <f>资产资本表!BY70/资产资本表!BY107</f>
        <v>0</v>
      </c>
      <c r="BZ10" s="61">
        <f>资产资本表!BZ70/资产资本表!BZ107</f>
        <v>0</v>
      </c>
      <c r="CA10" s="61">
        <f>资产资本表!CA70/资产资本表!CA107</f>
        <v>0</v>
      </c>
      <c r="CB10" s="61">
        <f>资产资本表!CB70/资产资本表!CB107</f>
        <v>0</v>
      </c>
      <c r="CC10" s="61">
        <f>资产资本表!CC70/资产资本表!CC107</f>
        <v>0</v>
      </c>
      <c r="CD10" s="61" t="e">
        <f>资产资本表!CD70/资产资本表!CD107</f>
        <v>#DIV/0!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440</v>
      </c>
      <c r="E11" s="28">
        <f>E9*E10</f>
        <v>1.1046218403691515</v>
      </c>
      <c r="F11" s="28">
        <f t="shared" ref="F11:BQ11" si="2">F9*F10</f>
        <v>1.1756744851343988</v>
      </c>
      <c r="G11" s="28">
        <f t="shared" si="2"/>
        <v>1.2735589563261462</v>
      </c>
      <c r="H11" s="28">
        <f t="shared" si="2"/>
        <v>1.273287006299711</v>
      </c>
      <c r="I11" s="28">
        <f t="shared" si="2"/>
        <v>1.2587939459868538</v>
      </c>
      <c r="J11" s="28">
        <f t="shared" si="2"/>
        <v>1.2366113395696519</v>
      </c>
      <c r="K11" s="28">
        <f t="shared" si="2"/>
        <v>1.2571856727259083</v>
      </c>
      <c r="L11" s="28">
        <f t="shared" si="2"/>
        <v>1.2271874192289913</v>
      </c>
      <c r="M11" s="28">
        <f t="shared" si="2"/>
        <v>1.1158185949186843</v>
      </c>
      <c r="N11" s="28">
        <f t="shared" si="2"/>
        <v>1.1544181694977567</v>
      </c>
      <c r="O11" s="28">
        <f t="shared" si="2"/>
        <v>1.199253348768057</v>
      </c>
      <c r="P11" s="28">
        <f t="shared" si="2"/>
        <v>1.0829554078910757</v>
      </c>
      <c r="Q11" s="28">
        <f t="shared" si="2"/>
        <v>1.0293676100503815</v>
      </c>
      <c r="R11" s="28">
        <f t="shared" si="2"/>
        <v>1.0913753007399911</v>
      </c>
      <c r="S11" s="28">
        <f t="shared" si="2"/>
        <v>1.186086604982814</v>
      </c>
      <c r="T11" s="28">
        <f t="shared" si="2"/>
        <v>1.0828826633423352</v>
      </c>
      <c r="U11" s="28">
        <f t="shared" si="2"/>
        <v>1.0115012805554644</v>
      </c>
      <c r="V11" s="28">
        <f t="shared" si="2"/>
        <v>1.0438881769569177</v>
      </c>
      <c r="W11" s="28">
        <f t="shared" si="2"/>
        <v>1.1171309248895029</v>
      </c>
      <c r="X11" s="28">
        <f t="shared" si="2"/>
        <v>1.0720780719959213</v>
      </c>
      <c r="Y11" s="28">
        <f t="shared" si="2"/>
        <v>1.0003805601658922</v>
      </c>
      <c r="Z11" s="28">
        <f t="shared" si="2"/>
        <v>1.0410620991853277</v>
      </c>
      <c r="AA11" s="28">
        <f t="shared" si="2"/>
        <v>1.062358159768974</v>
      </c>
      <c r="AB11" s="28">
        <f t="shared" si="2"/>
        <v>1.027000452807316</v>
      </c>
      <c r="AC11" s="28">
        <f t="shared" si="2"/>
        <v>0.98849617159339653</v>
      </c>
      <c r="AD11" s="28">
        <f t="shared" si="2"/>
        <v>1.060397735723938</v>
      </c>
      <c r="AE11" s="28">
        <f t="shared" si="2"/>
        <v>1.0699320371272547</v>
      </c>
      <c r="AF11" s="28">
        <f t="shared" si="2"/>
        <v>1.0595523690149089</v>
      </c>
      <c r="AG11" s="28">
        <f t="shared" si="2"/>
        <v>0.9968149938447296</v>
      </c>
      <c r="AH11" s="28">
        <f t="shared" si="2"/>
        <v>1.0133000215242396</v>
      </c>
      <c r="AI11" s="28">
        <f t="shared" si="2"/>
        <v>1.066062112728575</v>
      </c>
      <c r="AJ11" s="28">
        <f t="shared" si="2"/>
        <v>1.0449142370594107</v>
      </c>
      <c r="AK11" s="28">
        <f t="shared" si="2"/>
        <v>1.0580259804164438</v>
      </c>
      <c r="AL11" s="28">
        <f t="shared" si="2"/>
        <v>1.0210441636734766</v>
      </c>
      <c r="AM11" s="28">
        <f t="shared" si="2"/>
        <v>1.1672459625500258</v>
      </c>
      <c r="AN11" s="28" t="e">
        <f t="shared" si="2"/>
        <v>#DIV/0!</v>
      </c>
      <c r="AO11" s="28">
        <f t="shared" si="2"/>
        <v>0</v>
      </c>
      <c r="AP11" s="28">
        <f t="shared" si="2"/>
        <v>0</v>
      </c>
      <c r="AQ11" s="28" t="e">
        <f t="shared" si="2"/>
        <v>#DIV/0!</v>
      </c>
      <c r="AR11" s="28" t="e">
        <f t="shared" si="2"/>
        <v>#DIV/0!</v>
      </c>
      <c r="AS11" s="28">
        <f t="shared" si="2"/>
        <v>0</v>
      </c>
      <c r="AT11" s="28">
        <f t="shared" si="2"/>
        <v>0</v>
      </c>
      <c r="AU11" s="28">
        <f t="shared" si="2"/>
        <v>0</v>
      </c>
      <c r="AV11" s="28">
        <f t="shared" si="2"/>
        <v>0</v>
      </c>
      <c r="AW11" s="28">
        <f t="shared" si="2"/>
        <v>0</v>
      </c>
      <c r="AX11" s="28">
        <f t="shared" si="2"/>
        <v>0</v>
      </c>
      <c r="AY11" s="28">
        <f t="shared" si="2"/>
        <v>0</v>
      </c>
      <c r="AZ11" s="28">
        <f t="shared" si="2"/>
        <v>0</v>
      </c>
      <c r="BA11" s="28">
        <f t="shared" si="2"/>
        <v>0</v>
      </c>
      <c r="BB11" s="28">
        <f t="shared" si="2"/>
        <v>0</v>
      </c>
      <c r="BC11" s="28">
        <f t="shared" si="2"/>
        <v>0</v>
      </c>
      <c r="BD11" s="28" t="e">
        <f t="shared" si="2"/>
        <v>#DIV/0!</v>
      </c>
      <c r="BE11" s="28">
        <f t="shared" si="2"/>
        <v>0</v>
      </c>
      <c r="BF11" s="28">
        <f t="shared" si="2"/>
        <v>0</v>
      </c>
      <c r="BG11" s="28">
        <f t="shared" si="2"/>
        <v>0</v>
      </c>
      <c r="BH11" s="28">
        <f t="shared" si="2"/>
        <v>0</v>
      </c>
      <c r="BI11" s="28">
        <f t="shared" si="2"/>
        <v>0</v>
      </c>
      <c r="BJ11" s="28">
        <f t="shared" si="2"/>
        <v>0</v>
      </c>
      <c r="BK11" s="28">
        <f t="shared" si="2"/>
        <v>0</v>
      </c>
      <c r="BL11" s="28">
        <f t="shared" si="2"/>
        <v>0</v>
      </c>
      <c r="BM11" s="28">
        <f t="shared" si="2"/>
        <v>0</v>
      </c>
      <c r="BN11" s="28">
        <f t="shared" si="2"/>
        <v>0</v>
      </c>
      <c r="BO11" s="28">
        <f t="shared" si="2"/>
        <v>0</v>
      </c>
      <c r="BP11" s="28">
        <f t="shared" si="2"/>
        <v>0</v>
      </c>
      <c r="BQ11" s="28">
        <f t="shared" si="2"/>
        <v>0</v>
      </c>
      <c r="BR11" s="28">
        <f t="shared" ref="BR11:CJ11" si="3">BR9*BR10</f>
        <v>0</v>
      </c>
      <c r="BS11" s="28">
        <f t="shared" si="3"/>
        <v>0</v>
      </c>
      <c r="BT11" s="28">
        <f t="shared" si="3"/>
        <v>0</v>
      </c>
      <c r="BU11" s="28">
        <f t="shared" si="3"/>
        <v>0</v>
      </c>
      <c r="BV11" s="28" t="e">
        <f t="shared" si="3"/>
        <v>#DIV/0!</v>
      </c>
      <c r="BW11" s="28" t="e">
        <f t="shared" si="3"/>
        <v>#DIV/0!</v>
      </c>
      <c r="BX11" s="28" t="e">
        <f t="shared" si="3"/>
        <v>#DIV/0!</v>
      </c>
      <c r="BY11" s="28" t="e">
        <f t="shared" si="3"/>
        <v>#DIV/0!</v>
      </c>
      <c r="BZ11" s="28" t="e">
        <f t="shared" si="3"/>
        <v>#DIV/0!</v>
      </c>
      <c r="CA11" s="28" t="e">
        <f t="shared" si="3"/>
        <v>#DIV/0!</v>
      </c>
      <c r="CB11" s="28" t="e">
        <f t="shared" si="3"/>
        <v>#DIV/0!</v>
      </c>
      <c r="CC11" s="28" t="e">
        <f t="shared" si="3"/>
        <v>#DIV/0!</v>
      </c>
      <c r="CD11" s="28" t="e">
        <f t="shared" si="3"/>
        <v>#DIV/0!</v>
      </c>
      <c r="CE11" s="28">
        <f t="shared" si="3"/>
        <v>0</v>
      </c>
      <c r="CF11" s="28">
        <f t="shared" si="3"/>
        <v>0</v>
      </c>
      <c r="CG11" s="28" t="e">
        <f t="shared" si="3"/>
        <v>#DIV/0!</v>
      </c>
      <c r="CH11" s="28" t="e">
        <f t="shared" si="3"/>
        <v>#DIV/0!</v>
      </c>
      <c r="CI11" s="28" t="e">
        <f t="shared" si="3"/>
        <v>#DIV/0!</v>
      </c>
      <c r="CJ11" s="28" t="e">
        <f t="shared" si="3"/>
        <v>#DIV/0!</v>
      </c>
    </row>
    <row r="12" spans="1:89" s="158" customFormat="1" x14ac:dyDescent="0.25">
      <c r="A12" s="158" t="s">
        <v>435</v>
      </c>
      <c r="E12" s="158">
        <f>E2/股权价值增加表!E38</f>
        <v>0.86343546858979281</v>
      </c>
      <c r="F12" s="158">
        <f>F2/股权价值增加表!F38</f>
        <v>0.88455372507230212</v>
      </c>
      <c r="G12" s="158">
        <f>G2/股权价值增加表!G38</f>
        <v>0.82210593958776201</v>
      </c>
      <c r="H12" s="158">
        <f>H2/股权价值增加表!H38</f>
        <v>0.82323759591425993</v>
      </c>
      <c r="I12" s="158">
        <f>I2/股权价值增加表!I38</f>
        <v>0.89636687774567247</v>
      </c>
      <c r="J12" s="158">
        <f>J2/股权价值增加表!J38</f>
        <v>0.90692958835782089</v>
      </c>
      <c r="K12" s="158">
        <f>K2/股权价值增加表!K38</f>
        <v>0.85731856149983876</v>
      </c>
      <c r="L12" s="158">
        <f>L2/股权价值增加表!L38</f>
        <v>0.82342747977794106</v>
      </c>
      <c r="M12" s="158">
        <f>M2/股权价值增加表!M38</f>
        <v>0.87243063044076818</v>
      </c>
      <c r="N12" s="158">
        <f>N2/股权价值增加表!N38</f>
        <v>0.85207632843320813</v>
      </c>
      <c r="O12" s="158">
        <f>O2/股权价值增加表!O38</f>
        <v>0.84659817367629286</v>
      </c>
      <c r="P12" s="158">
        <f>P2/股权价值增加表!P38</f>
        <v>0.84778350202672859</v>
      </c>
      <c r="Q12" s="158">
        <f>Q2/股权价值增加表!Q38</f>
        <v>0.89847062344351714</v>
      </c>
      <c r="R12" s="158">
        <f>R2/股权价值增加表!R38</f>
        <v>0.87937361018716342</v>
      </c>
      <c r="S12" s="158">
        <f>S2/股权价值增加表!S38</f>
        <v>0.8947248842146247</v>
      </c>
      <c r="T12" s="158">
        <f>T2/股权价值增加表!T38</f>
        <v>0.8884751910305464</v>
      </c>
      <c r="U12" s="158">
        <f>U2/股权价值增加表!U38</f>
        <v>0.90798993084386259</v>
      </c>
      <c r="V12" s="158">
        <f>V2/股权价值增加表!V38</f>
        <v>0.86635339158243119</v>
      </c>
      <c r="W12" s="158">
        <f>W2/股权价值增加表!W38</f>
        <v>0.8826826505804527</v>
      </c>
      <c r="X12" s="158">
        <f>X2/股权价值增加表!X38</f>
        <v>0.851822180240555</v>
      </c>
      <c r="Y12" s="158">
        <f>Y2/股权价值增加表!Y38</f>
        <v>0.92496221956379365</v>
      </c>
      <c r="Z12" s="158">
        <f>Z2/股权价值增加表!Z38</f>
        <v>0.85626983223270614</v>
      </c>
      <c r="AA12" s="158">
        <f>AA2/股权价值增加表!AA38</f>
        <v>0.86502718642016618</v>
      </c>
      <c r="AB12" s="158">
        <f>AB2/股权价值增加表!AB38</f>
        <v>0.85903405152369128</v>
      </c>
      <c r="AC12" s="158">
        <f>AC2/股权价值增加表!AC38</f>
        <v>0.85629539601636406</v>
      </c>
      <c r="AD12" s="158">
        <f>AD2/股权价值增加表!AD38</f>
        <v>0.85983090665263173</v>
      </c>
      <c r="AE12" s="158">
        <f>AE2/股权价值增加表!AE38</f>
        <v>0.87225769924677754</v>
      </c>
      <c r="AF12" s="158">
        <f>AF2/股权价值增加表!AF38</f>
        <v>0.84863049412905589</v>
      </c>
      <c r="AG12" s="158">
        <f>AG2/股权价值增加表!AG38</f>
        <v>0.92015995512323412</v>
      </c>
      <c r="AH12" s="158">
        <f>AH2/股权价值增加表!AH38</f>
        <v>0.87311440492893022</v>
      </c>
      <c r="AI12" s="158">
        <f>AI2/股权价值增加表!AI38</f>
        <v>0.87672589491864894</v>
      </c>
      <c r="AJ12" s="158">
        <f>AJ2/股权价值增加表!AJ38</f>
        <v>0.85584487904906137</v>
      </c>
      <c r="AK12" s="158">
        <f>AK2/股权价值增加表!AK38</f>
        <v>0.92149534218201623</v>
      </c>
      <c r="AL12" s="158">
        <f>AL2/股权价值增加表!AL38</f>
        <v>0.88854874921698201</v>
      </c>
      <c r="AM12" s="158">
        <f>AM2/股权价值增加表!AM38</f>
        <v>0.83903352763928163</v>
      </c>
      <c r="AN12" s="158">
        <f>AN2/股权价值增加表!AN38</f>
        <v>0.91605739610513215</v>
      </c>
      <c r="AO12" s="158">
        <f>AO2/股权价值增加表!AO38</f>
        <v>0.90734702964219505</v>
      </c>
      <c r="AP12" s="158">
        <f>AP2/股权价值增加表!AP38</f>
        <v>0.93385333904400658</v>
      </c>
      <c r="AQ12" s="158" t="e">
        <f>AQ2/股权价值增加表!AQ38</f>
        <v>#DIV/0!</v>
      </c>
      <c r="AR12" s="158">
        <f>AR2/股权价值增加表!AR38</f>
        <v>-20.506440938812048</v>
      </c>
      <c r="AS12" s="158">
        <f>AS2/股权价值增加表!AS38</f>
        <v>-6.3937250836614146</v>
      </c>
      <c r="AT12" s="158">
        <f>AT2/股权价值增加表!AT38</f>
        <v>-14.592366512196667</v>
      </c>
      <c r="AU12" s="158">
        <f>AU2/股权价值增加表!AU38</f>
        <v>-14.376416082794156</v>
      </c>
      <c r="AV12" s="158">
        <f>AV2/股权价值增加表!AV38</f>
        <v>-91.644454630179325</v>
      </c>
      <c r="AW12" s="158">
        <f>AW2/股权价值增加表!AW38</f>
        <v>-9.9162205411310982</v>
      </c>
      <c r="AX12" s="158">
        <f>AX2/股权价值增加表!AX38</f>
        <v>-17.231369460204579</v>
      </c>
      <c r="AY12" s="158">
        <f>AY2/股权价值增加表!AY38</f>
        <v>-15.021387764306059</v>
      </c>
      <c r="AZ12" s="158">
        <f>AZ2/股权价值增加表!AZ38</f>
        <v>-92.098322439196252</v>
      </c>
      <c r="BA12" s="158">
        <f>BA2/股权价值增加表!BA38</f>
        <v>-17.631308838172572</v>
      </c>
      <c r="BB12" s="158">
        <f>BB2/股权价值增加表!BB38</f>
        <v>-54.304324722487436</v>
      </c>
      <c r="BC12" s="158">
        <f>BC2/股权价值增加表!BC38</f>
        <v>-66.277250227328935</v>
      </c>
      <c r="BD12" s="158">
        <f>BD2/股权价值增加表!BD38</f>
        <v>-38.372760490940244</v>
      </c>
      <c r="BE12" s="158">
        <f>BE2/股权价值增加表!BE38</f>
        <v>-15.764297507062913</v>
      </c>
      <c r="BF12" s="158">
        <f>BF2/股权价值增加表!BF38</f>
        <v>-26.049077122304052</v>
      </c>
      <c r="BG12" s="158">
        <f>BG2/股权价值增加表!BG38</f>
        <v>-23.303157252166656</v>
      </c>
      <c r="BH12" s="158">
        <f>BH2/股权价值增加表!BH38</f>
        <v>-69.000749015543192</v>
      </c>
      <c r="BI12" s="158">
        <f>BI2/股权价值增加表!BI38</f>
        <v>-12.790967082937895</v>
      </c>
      <c r="BJ12" s="158">
        <f>BJ2/股权价值增加表!BJ38</f>
        <v>-14.670402589550692</v>
      </c>
      <c r="BK12" s="158">
        <f>BK2/股权价值增加表!BK38</f>
        <v>-19.530470057823827</v>
      </c>
      <c r="BL12" s="158">
        <f>BL2/股权价值增加表!BL38</f>
        <v>-75.496332781702776</v>
      </c>
      <c r="BM12" s="158">
        <f>BM2/股权价值增加表!BM38</f>
        <v>-8.3062959249435355</v>
      </c>
      <c r="BN12" s="158">
        <f>BN2/股权价值增加表!BN38</f>
        <v>-7.0800067537645504</v>
      </c>
      <c r="BO12" s="158">
        <f>BO2/股权价值增加表!BO38</f>
        <v>-8.6301249443167141</v>
      </c>
      <c r="BP12" s="158">
        <f>BP2/股权价值增加表!BP38</f>
        <v>-15.511200920697274</v>
      </c>
      <c r="BQ12" s="158">
        <f>BQ2/股权价值增加表!BQ38</f>
        <v>-2.0916829946917983</v>
      </c>
      <c r="BR12" s="158">
        <f>BR2/股权价值增加表!BR38</f>
        <v>-11.625</v>
      </c>
      <c r="BS12" s="158">
        <f>BS2/股权价值增加表!BS38</f>
        <v>-5.8283566880658215</v>
      </c>
      <c r="BT12" s="158">
        <f>BT2/股权价值增加表!BT38</f>
        <v>-11.853075776272602</v>
      </c>
      <c r="BU12" s="158">
        <f>BU2/股权价值增加表!BU38</f>
        <v>-13.285141378045161</v>
      </c>
      <c r="BV12" s="158">
        <f>BV2/股权价值增加表!BV38</f>
        <v>-38.705149385866775</v>
      </c>
      <c r="BW12" s="158">
        <f>BW2/股权价值增加表!BW38</f>
        <v>-19.112527092609866</v>
      </c>
      <c r="BX12" s="158">
        <f>BX2/股权价值增加表!BX38</f>
        <v>-5.948062846312304</v>
      </c>
      <c r="BY12" s="158">
        <f>BY2/股权价值增加表!BY38</f>
        <v>-5.0894858138564683</v>
      </c>
      <c r="BZ12" s="158">
        <f>BZ2/股权价值增加表!BZ38</f>
        <v>-10.640426755835241</v>
      </c>
      <c r="CA12" s="158">
        <f>CA2/股权价值增加表!CA38</f>
        <v>15.20372750495731</v>
      </c>
      <c r="CB12" s="158">
        <f>CB2/股权价值增加表!CB38</f>
        <v>8.8774211764848925</v>
      </c>
      <c r="CC12" s="158">
        <f>CC2/股权价值增加表!CC38</f>
        <v>9.6111449985966146</v>
      </c>
      <c r="CD12" s="158" t="e">
        <f>CD2/股权价值增加表!CD38</f>
        <v>#DIV/0!</v>
      </c>
      <c r="CE12" s="158">
        <f>CE2/股权价值增加表!CE38</f>
        <v>-2.5981368870487773</v>
      </c>
      <c r="CF12" s="158">
        <f>CF2/股权价值增加表!CF38</f>
        <v>-6.859739633359264</v>
      </c>
      <c r="CG12" s="158" t="e">
        <f>CG2/股权价值增加表!CG38</f>
        <v>#DIV/0!</v>
      </c>
      <c r="CH12" s="158" t="e">
        <f>CH2/股权价值增加表!CH38</f>
        <v>#DIV/0!</v>
      </c>
      <c r="CI12" s="158" t="e">
        <f>CI2/股权价值增加表!CI38</f>
        <v>#DIV/0!</v>
      </c>
      <c r="CJ12" s="158" t="e">
        <f>CJ2/股权价值增加表!CJ38</f>
        <v>#DIV/0!</v>
      </c>
    </row>
    <row r="13" spans="1:89" s="63" customFormat="1" x14ac:dyDescent="0.25">
      <c r="A13" s="17" t="s">
        <v>436</v>
      </c>
      <c r="E13" s="63">
        <f>1-E2/股权价值增加表!E38</f>
        <v>0.13656453141020719</v>
      </c>
      <c r="F13" s="63">
        <f>1-F2/股权价值增加表!F38</f>
        <v>0.11544627492769788</v>
      </c>
      <c r="G13" s="63">
        <f>1-G2/股权价值增加表!G38</f>
        <v>0.17789406041223799</v>
      </c>
      <c r="H13" s="63">
        <f>1-H2/股权价值增加表!H38</f>
        <v>0.17676240408574007</v>
      </c>
      <c r="I13" s="63">
        <f>1-I2/股权价值增加表!I38</f>
        <v>0.10363312225432753</v>
      </c>
      <c r="J13" s="63">
        <f>1-J2/股权价值增加表!J38</f>
        <v>9.3070411642179107E-2</v>
      </c>
      <c r="K13" s="63">
        <f>1-K2/股权价值增加表!K38</f>
        <v>0.14268143850016124</v>
      </c>
      <c r="L13" s="63">
        <f>1-L2/股权价值增加表!L38</f>
        <v>0.17657252022205894</v>
      </c>
      <c r="M13" s="63">
        <f>1-M2/股权价值增加表!M38</f>
        <v>0.12756936955923182</v>
      </c>
      <c r="N13" s="63">
        <f>1-N2/股权价值增加表!N38</f>
        <v>0.14792367156679187</v>
      </c>
      <c r="O13" s="63">
        <f>1-O2/股权价值增加表!O38</f>
        <v>0.15340182632370714</v>
      </c>
      <c r="P13" s="63">
        <f>1-P2/股权价值增加表!P38</f>
        <v>0.15221649797327141</v>
      </c>
      <c r="Q13" s="63">
        <f>1-Q2/股权价值增加表!Q38</f>
        <v>0.10152937655648286</v>
      </c>
      <c r="R13" s="63">
        <f>1-R2/股权价值增加表!R38</f>
        <v>0.12062638981283658</v>
      </c>
      <c r="S13" s="63">
        <f>1-S2/股权价值增加表!S38</f>
        <v>0.1052751157853753</v>
      </c>
      <c r="T13" s="63">
        <f>1-T2/股权价值增加表!T38</f>
        <v>0.1115248089694536</v>
      </c>
      <c r="U13" s="63">
        <f>1-U2/股权价值增加表!U38</f>
        <v>9.2010069156137408E-2</v>
      </c>
      <c r="V13" s="63">
        <f>1-V2/股权价值增加表!V38</f>
        <v>0.13364660841756881</v>
      </c>
      <c r="W13" s="63">
        <f>1-W2/股权价值增加表!W38</f>
        <v>0.1173173494195473</v>
      </c>
      <c r="X13" s="63">
        <f>1-X2/股权价值增加表!X38</f>
        <v>0.148177819759445</v>
      </c>
      <c r="Y13" s="63">
        <f>1-Y2/股权价值增加表!Y38</f>
        <v>7.5037780436206347E-2</v>
      </c>
      <c r="Z13" s="63">
        <f>1-Z2/股权价值增加表!Z38</f>
        <v>0.14373016776729386</v>
      </c>
      <c r="AA13" s="63">
        <f>1-AA2/股权价值增加表!AA38</f>
        <v>0.13497281357983382</v>
      </c>
      <c r="AB13" s="63">
        <f>1-AB2/股权价值增加表!AB38</f>
        <v>0.14096594847630872</v>
      </c>
      <c r="AC13" s="63">
        <f>1-AC2/股权价值增加表!AC38</f>
        <v>0.14370460398363594</v>
      </c>
      <c r="AD13" s="63">
        <f>1-AD2/股权价值增加表!AD38</f>
        <v>0.14016909334736827</v>
      </c>
      <c r="AE13" s="63">
        <f>1-AE2/股权价值增加表!AE38</f>
        <v>0.12774230075322246</v>
      </c>
      <c r="AF13" s="63">
        <f>1-AF2/股权价值增加表!AF38</f>
        <v>0.15136950587094411</v>
      </c>
      <c r="AG13" s="63">
        <f>1-AG2/股权价值增加表!AG38</f>
        <v>7.9840044876765881E-2</v>
      </c>
      <c r="AH13" s="63">
        <f>1-AH2/股权价值增加表!AH38</f>
        <v>0.12688559507106978</v>
      </c>
      <c r="AI13" s="63">
        <f>1-AI2/股权价值增加表!AI38</f>
        <v>0.12327410508135106</v>
      </c>
      <c r="AJ13" s="63">
        <f>1-AJ2/股权价值增加表!AJ38</f>
        <v>0.14415512095093863</v>
      </c>
      <c r="AK13" s="63">
        <f>1-AK2/股权价值增加表!AK38</f>
        <v>7.850465781798377E-2</v>
      </c>
      <c r="AL13" s="63">
        <f>1-AL2/股权价值增加表!AL38</f>
        <v>0.11145125078301799</v>
      </c>
      <c r="AM13" s="63">
        <f>1-AM2/股权价值增加表!AM38</f>
        <v>0.16096647236071837</v>
      </c>
      <c r="AN13" s="63">
        <f>1-AN2/股权价值增加表!AN38</f>
        <v>8.3942603894867851E-2</v>
      </c>
      <c r="AO13" s="63">
        <f>1-AO2/股权价值增加表!AO38</f>
        <v>9.2652970357804953E-2</v>
      </c>
      <c r="AP13" s="63">
        <f>1-AP2/股权价值增加表!AP38</f>
        <v>6.6146660955993419E-2</v>
      </c>
      <c r="AQ13" s="63" t="e">
        <f>1-AQ2/股权价值增加表!AQ38</f>
        <v>#DIV/0!</v>
      </c>
      <c r="AR13" s="63">
        <f>1-AR2/股权价值增加表!AR38</f>
        <v>21.506440938812048</v>
      </c>
      <c r="AS13" s="63">
        <f>1-AS2/股权价值增加表!AS38</f>
        <v>7.3937250836614146</v>
      </c>
      <c r="AT13" s="63">
        <f>1-AT2/股权价值增加表!AT38</f>
        <v>15.592366512196667</v>
      </c>
      <c r="AU13" s="63">
        <f>1-AU2/股权价值增加表!AU38</f>
        <v>15.376416082794156</v>
      </c>
      <c r="AV13" s="63">
        <f>1-AV2/股权价值增加表!AV38</f>
        <v>92.644454630179325</v>
      </c>
      <c r="AW13" s="63">
        <f>1-AW2/股权价值增加表!AW38</f>
        <v>10.916220541131098</v>
      </c>
      <c r="AX13" s="63">
        <f>1-AX2/股权价值增加表!AX38</f>
        <v>18.231369460204579</v>
      </c>
      <c r="AY13" s="63">
        <f>1-AY2/股权价值增加表!AY38</f>
        <v>16.021387764306059</v>
      </c>
      <c r="AZ13" s="63">
        <f>1-AZ2/股权价值增加表!AZ38</f>
        <v>93.098322439196252</v>
      </c>
      <c r="BA13" s="63">
        <f>1-BA2/股权价值增加表!BA38</f>
        <v>18.631308838172572</v>
      </c>
      <c r="BB13" s="63">
        <f>1-BB2/股权价值增加表!BB38</f>
        <v>55.304324722487436</v>
      </c>
      <c r="BC13" s="63">
        <f>1-BC2/股权价值增加表!BC38</f>
        <v>67.277250227328935</v>
      </c>
      <c r="BD13" s="63">
        <f>1-BD2/股权价值增加表!BD38</f>
        <v>39.372760490940244</v>
      </c>
      <c r="BE13" s="63">
        <f>1-BE2/股权价值增加表!BE38</f>
        <v>16.764297507062913</v>
      </c>
      <c r="BF13" s="63">
        <f>1-BF2/股权价值增加表!BF38</f>
        <v>27.049077122304052</v>
      </c>
      <c r="BG13" s="63">
        <f>1-BG2/股权价值增加表!BG38</f>
        <v>24.303157252166656</v>
      </c>
      <c r="BH13" s="63">
        <f>1-BH2/股权价值增加表!BH38</f>
        <v>70.000749015543192</v>
      </c>
      <c r="BI13" s="63">
        <f>1-BI2/股权价值增加表!BI38</f>
        <v>13.790967082937895</v>
      </c>
      <c r="BJ13" s="63">
        <f>1-BJ2/股权价值增加表!BJ38</f>
        <v>15.670402589550692</v>
      </c>
      <c r="BK13" s="63">
        <f>1-BK2/股权价值增加表!BK38</f>
        <v>20.530470057823827</v>
      </c>
      <c r="BL13" s="63">
        <f>1-BL2/股权价值增加表!BL38</f>
        <v>76.496332781702776</v>
      </c>
      <c r="BM13" s="63">
        <f>1-BM2/股权价值增加表!BM38</f>
        <v>9.3062959249435355</v>
      </c>
      <c r="BN13" s="63">
        <f>1-BN2/股权价值增加表!BN38</f>
        <v>8.0800067537645504</v>
      </c>
      <c r="BO13" s="63">
        <f>1-BO2/股权价值增加表!BO38</f>
        <v>9.6301249443167141</v>
      </c>
      <c r="BP13" s="63">
        <f>1-BP2/股权价值增加表!BP38</f>
        <v>16.511200920697274</v>
      </c>
      <c r="BQ13" s="63">
        <f>1-BQ2/股权价值增加表!BQ38</f>
        <v>3.0916829946917983</v>
      </c>
      <c r="BR13" s="63">
        <f>1-BR2/股权价值增加表!BR38</f>
        <v>12.625</v>
      </c>
      <c r="BS13" s="63">
        <f>1-BS2/股权价值增加表!BS38</f>
        <v>6.8283566880658215</v>
      </c>
      <c r="BT13" s="63">
        <f>1-BT2/股权价值增加表!BT38</f>
        <v>12.853075776272602</v>
      </c>
      <c r="BU13" s="63">
        <f>1-BU2/股权价值增加表!BU38</f>
        <v>14.285141378045161</v>
      </c>
      <c r="BV13" s="63">
        <f>1-BV2/股权价值增加表!BV38</f>
        <v>39.705149385866775</v>
      </c>
      <c r="BW13" s="63">
        <f>1-BW2/股权价值增加表!BW38</f>
        <v>20.112527092609866</v>
      </c>
      <c r="BX13" s="63">
        <f>1-BX2/股权价值增加表!BX38</f>
        <v>6.948062846312304</v>
      </c>
      <c r="BY13" s="63">
        <f>1-BY2/股权价值增加表!BY38</f>
        <v>6.0894858138564683</v>
      </c>
      <c r="BZ13" s="63">
        <f>1-BZ2/股权价值增加表!BZ38</f>
        <v>11.640426755835241</v>
      </c>
      <c r="CA13" s="63">
        <f>1-CA2/股权价值增加表!CA38</f>
        <v>-14.20372750495731</v>
      </c>
      <c r="CB13" s="63">
        <f>1-CB2/股权价值增加表!CB38</f>
        <v>-7.8774211764848925</v>
      </c>
      <c r="CC13" s="63">
        <f>1-CC2/股权价值增加表!CC38</f>
        <v>-8.6111449985966146</v>
      </c>
      <c r="CD13" s="63" t="e">
        <f>1-CD2/股权价值增加表!CD38</f>
        <v>#DIV/0!</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46" t="s">
        <v>437</v>
      </c>
      <c r="E14" s="59">
        <f>E6*E7*E9*E10*E12</f>
        <v>0.22917563280743952</v>
      </c>
      <c r="F14" s="59">
        <f t="shared" ref="F14:BQ14" si="4">F6*F7*F9*F10*F12</f>
        <v>0.18680640160091277</v>
      </c>
      <c r="G14" s="59">
        <f t="shared" si="4"/>
        <v>0.1084281063887307</v>
      </c>
      <c r="H14" s="59">
        <f t="shared" si="4"/>
        <v>5.7045570145218452E-2</v>
      </c>
      <c r="I14" s="59">
        <f t="shared" si="4"/>
        <v>0.31434109950042344</v>
      </c>
      <c r="J14" s="59">
        <f t="shared" si="4"/>
        <v>0.22852292116493078</v>
      </c>
      <c r="K14" s="59">
        <f t="shared" si="4"/>
        <v>0.13563839852201859</v>
      </c>
      <c r="L14" s="59">
        <f t="shared" si="4"/>
        <v>5.5570238518302E-2</v>
      </c>
      <c r="M14" s="59">
        <f t="shared" si="4"/>
        <v>0.30748650713975773</v>
      </c>
      <c r="N14" s="59">
        <f t="shared" si="4"/>
        <v>0.21989707113135254</v>
      </c>
      <c r="O14" s="59">
        <f t="shared" si="4"/>
        <v>0.14202563896222872</v>
      </c>
      <c r="P14" s="59">
        <f t="shared" si="4"/>
        <v>6.4841272499106803E-2</v>
      </c>
      <c r="Q14" s="59">
        <f t="shared" si="4"/>
        <v>0.3126246316587476</v>
      </c>
      <c r="R14" s="59">
        <f t="shared" si="4"/>
        <v>0.20942455226275275</v>
      </c>
      <c r="S14" s="59">
        <f t="shared" si="4"/>
        <v>0.12948521131954591</v>
      </c>
      <c r="T14" s="59">
        <f t="shared" si="4"/>
        <v>5.8125823140216297E-2</v>
      </c>
      <c r="U14" s="59">
        <f t="shared" si="4"/>
        <v>0.27206759341319936</v>
      </c>
      <c r="V14" s="59">
        <f t="shared" si="4"/>
        <v>0.17863380997819817</v>
      </c>
      <c r="W14" s="59">
        <f t="shared" si="4"/>
        <v>0.10895195434247595</v>
      </c>
      <c r="X14" s="59">
        <f t="shared" si="4"/>
        <v>4.9467404123858305E-2</v>
      </c>
      <c r="Y14" s="59">
        <f t="shared" si="4"/>
        <v>0.24617855211002701</v>
      </c>
      <c r="Z14" s="59">
        <f t="shared" si="4"/>
        <v>0.1608263041117525</v>
      </c>
      <c r="AA14" s="59">
        <f t="shared" si="4"/>
        <v>0.10271478045145727</v>
      </c>
      <c r="AB14" s="59">
        <f t="shared" si="4"/>
        <v>4.87277917418091E-2</v>
      </c>
      <c r="AC14" s="59">
        <f t="shared" si="4"/>
        <v>0.21499142370745628</v>
      </c>
      <c r="AD14" s="59">
        <f t="shared" si="4"/>
        <v>0.14084315868811959</v>
      </c>
      <c r="AE14" s="59">
        <f t="shared" si="4"/>
        <v>9.0367684715521715E-2</v>
      </c>
      <c r="AF14" s="59">
        <f t="shared" si="4"/>
        <v>4.4208719690893537E-2</v>
      </c>
      <c r="AG14" s="59">
        <f t="shared" si="4"/>
        <v>0.18490644194673167</v>
      </c>
      <c r="AH14" s="59">
        <f t="shared" si="4"/>
        <v>0.12547512065269525</v>
      </c>
      <c r="AI14" s="59">
        <f t="shared" si="4"/>
        <v>7.5630785702556616E-2</v>
      </c>
      <c r="AJ14" s="59">
        <f t="shared" si="4"/>
        <v>0.12094953508895562</v>
      </c>
      <c r="AK14" s="59">
        <f t="shared" si="4"/>
        <v>0.47187295652042721</v>
      </c>
      <c r="AL14" s="59">
        <f t="shared" si="4"/>
        <v>0.48921135990241099</v>
      </c>
      <c r="AM14" s="59">
        <f t="shared" si="4"/>
        <v>0.45395070460000919</v>
      </c>
      <c r="AN14" s="59" t="e">
        <f t="shared" si="4"/>
        <v>#DIV/0!</v>
      </c>
      <c r="AO14" s="59" t="e">
        <f t="shared" si="4"/>
        <v>#DIV/0!</v>
      </c>
      <c r="AP14" s="59" t="e">
        <f t="shared" si="4"/>
        <v>#DIV/0!</v>
      </c>
      <c r="AQ14" s="59" t="e">
        <f t="shared" si="4"/>
        <v>#DIV/0!</v>
      </c>
      <c r="AR14" s="59" t="e">
        <f t="shared" si="4"/>
        <v>#DIV/0!</v>
      </c>
      <c r="AS14" s="59" t="e">
        <f t="shared" si="4"/>
        <v>#DIV/0!</v>
      </c>
      <c r="AT14" s="59" t="e">
        <f t="shared" si="4"/>
        <v>#DIV/0!</v>
      </c>
      <c r="AU14" s="59" t="e">
        <f t="shared" si="4"/>
        <v>#DIV/0!</v>
      </c>
      <c r="AV14" s="59" t="e">
        <f t="shared" si="4"/>
        <v>#DIV/0!</v>
      </c>
      <c r="AW14" s="59" t="e">
        <f t="shared" si="4"/>
        <v>#DIV/0!</v>
      </c>
      <c r="AX14" s="59" t="e">
        <f t="shared" si="4"/>
        <v>#DIV/0!</v>
      </c>
      <c r="AY14" s="59" t="e">
        <f t="shared" si="4"/>
        <v>#DIV/0!</v>
      </c>
      <c r="AZ14" s="59" t="e">
        <f t="shared" si="4"/>
        <v>#DIV/0!</v>
      </c>
      <c r="BA14" s="59" t="e">
        <f t="shared" si="4"/>
        <v>#DIV/0!</v>
      </c>
      <c r="BB14" s="59" t="e">
        <f t="shared" si="4"/>
        <v>#DIV/0!</v>
      </c>
      <c r="BC14" s="59" t="e">
        <f t="shared" si="4"/>
        <v>#DIV/0!</v>
      </c>
      <c r="BD14" s="59" t="e">
        <f t="shared" si="4"/>
        <v>#DIV/0!</v>
      </c>
      <c r="BE14" s="59" t="e">
        <f t="shared" si="4"/>
        <v>#DIV/0!</v>
      </c>
      <c r="BF14" s="59" t="e">
        <f t="shared" si="4"/>
        <v>#DIV/0!</v>
      </c>
      <c r="BG14" s="59" t="e">
        <f t="shared" si="4"/>
        <v>#DIV/0!</v>
      </c>
      <c r="BH14" s="59" t="e">
        <f t="shared" si="4"/>
        <v>#DIV/0!</v>
      </c>
      <c r="BI14" s="59" t="e">
        <f t="shared" si="4"/>
        <v>#DIV/0!</v>
      </c>
      <c r="BJ14" s="59" t="e">
        <f t="shared" si="4"/>
        <v>#DIV/0!</v>
      </c>
      <c r="BK14" s="59" t="e">
        <f t="shared" si="4"/>
        <v>#DIV/0!</v>
      </c>
      <c r="BL14" s="59" t="e">
        <f t="shared" si="4"/>
        <v>#DIV/0!</v>
      </c>
      <c r="BM14" s="59" t="e">
        <f t="shared" si="4"/>
        <v>#DIV/0!</v>
      </c>
      <c r="BN14" s="59" t="e">
        <f t="shared" si="4"/>
        <v>#DIV/0!</v>
      </c>
      <c r="BO14" s="59" t="e">
        <f t="shared" si="4"/>
        <v>#DIV/0!</v>
      </c>
      <c r="BP14" s="59" t="e">
        <f t="shared" si="4"/>
        <v>#DIV/0!</v>
      </c>
      <c r="BQ14" s="59" t="e">
        <f t="shared" si="4"/>
        <v>#DIV/0!</v>
      </c>
      <c r="BR14" s="59" t="e">
        <f t="shared" ref="BR14:CJ14" si="5">BR6*BR7*BR9*BR10*BR12</f>
        <v>#DIV/0!</v>
      </c>
      <c r="BS14" s="59" t="e">
        <f t="shared" si="5"/>
        <v>#DIV/0!</v>
      </c>
      <c r="BT14" s="59" t="e">
        <f t="shared" si="5"/>
        <v>#DIV/0!</v>
      </c>
      <c r="BU14" s="59" t="e">
        <f t="shared" si="5"/>
        <v>#DIV/0!</v>
      </c>
      <c r="BV14" s="59" t="e">
        <f t="shared" si="5"/>
        <v>#DIV/0!</v>
      </c>
      <c r="BW14" s="59" t="e">
        <f t="shared" si="5"/>
        <v>#DIV/0!</v>
      </c>
      <c r="BX14" s="59" t="e">
        <f t="shared" si="5"/>
        <v>#DIV/0!</v>
      </c>
      <c r="BY14" s="59" t="e">
        <f t="shared" si="5"/>
        <v>#DIV/0!</v>
      </c>
      <c r="BZ14" s="59" t="e">
        <f t="shared" si="5"/>
        <v>#DIV/0!</v>
      </c>
      <c r="CA14" s="59" t="e">
        <f t="shared" si="5"/>
        <v>#DIV/0!</v>
      </c>
      <c r="CB14" s="59" t="e">
        <f t="shared" si="5"/>
        <v>#DIV/0!</v>
      </c>
      <c r="CC14" s="59" t="e">
        <f t="shared" si="5"/>
        <v>#DIV/0!</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x14ac:dyDescent="0.25">
      <c r="A15" s="279" t="s">
        <v>699</v>
      </c>
      <c r="B15" s="278"/>
      <c r="C15" s="278"/>
      <c r="D15" s="278"/>
      <c r="E15" s="278"/>
      <c r="F15" s="278"/>
      <c r="G15" s="278"/>
      <c r="H15" s="278"/>
      <c r="I15" s="278"/>
      <c r="J15" s="278"/>
      <c r="K15" s="278"/>
      <c r="L15" s="278"/>
      <c r="M15" s="278"/>
      <c r="N15" s="278"/>
      <c r="O15" s="278"/>
      <c r="P15" s="278"/>
      <c r="Q15" s="278"/>
      <c r="R15" s="278"/>
      <c r="S15" s="278"/>
      <c r="T15" s="278"/>
      <c r="U15" s="278"/>
      <c r="V15" s="278"/>
      <c r="W15" s="278"/>
      <c r="X15" s="278"/>
      <c r="Y15" s="278"/>
      <c r="Z15" s="278"/>
      <c r="AA15" s="278"/>
      <c r="AB15" s="278"/>
      <c r="AC15" s="278"/>
      <c r="AD15" s="278"/>
      <c r="AE15" s="278"/>
      <c r="AF15" s="278"/>
      <c r="AG15" s="278"/>
    </row>
    <row r="17" spans="1:89" ht="15" thickBot="1" x14ac:dyDescent="0.3"/>
    <row r="18" spans="1:89" s="250" customFormat="1" x14ac:dyDescent="0.25">
      <c r="A18" s="249" t="s">
        <v>441</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40359</v>
      </c>
      <c r="AJ18" s="1">
        <v>40268</v>
      </c>
      <c r="AK18" s="1">
        <v>40178</v>
      </c>
      <c r="AL18" s="1">
        <v>40086</v>
      </c>
      <c r="AM18" s="1">
        <v>39994</v>
      </c>
      <c r="AN18" s="1">
        <v>39903</v>
      </c>
      <c r="AO18" s="1">
        <v>39813</v>
      </c>
      <c r="AP18" s="1">
        <v>39447</v>
      </c>
      <c r="AQ18" s="1">
        <v>25569</v>
      </c>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row>
    <row r="19" spans="1:89" s="116" customFormat="1" x14ac:dyDescent="0.25">
      <c r="A19" s="159" t="s">
        <v>447</v>
      </c>
      <c r="B19" s="76">
        <v>43373</v>
      </c>
      <c r="C19" s="76">
        <v>43281</v>
      </c>
      <c r="D19" s="76">
        <v>43190</v>
      </c>
      <c r="E19" s="76">
        <f>股权价值增加表!E4</f>
        <v>41905476572.07</v>
      </c>
      <c r="F19" s="76">
        <f>股权价值增加表!F4</f>
        <v>27729742158.18</v>
      </c>
      <c r="G19" s="76">
        <f>股权价值增加表!G4</f>
        <v>16447539736.52</v>
      </c>
      <c r="H19" s="76">
        <f>股权价值增加表!H4</f>
        <v>7043724101.7299995</v>
      </c>
      <c r="I19" s="76">
        <f>股权价值增加表!I4</f>
        <v>31924020872.439999</v>
      </c>
      <c r="J19" s="76">
        <f>股权价值增加表!J4</f>
        <v>21136468968.82</v>
      </c>
      <c r="K19" s="76">
        <f>股权价值增加表!K4</f>
        <v>12548198726.120001</v>
      </c>
      <c r="L19" s="76">
        <f>股权价值增加表!L4</f>
        <v>5199710391.8999996</v>
      </c>
      <c r="M19" s="76">
        <f>股权价值增加表!M4</f>
        <v>25271390273.419998</v>
      </c>
      <c r="N19" s="76">
        <f>股权价值增加表!N4</f>
        <v>16677638479.4</v>
      </c>
      <c r="O19" s="76">
        <f>股权价值增加表!O4</f>
        <v>9796381650.8199997</v>
      </c>
      <c r="P19" s="76">
        <f>股权价值增加表!P4</f>
        <v>4287946779.6999998</v>
      </c>
      <c r="Q19" s="76">
        <f>股权价值增加表!Q4</f>
        <v>17233114021.700001</v>
      </c>
      <c r="R19" s="76">
        <f>股权价值增加表!R4</f>
        <v>10669807845.58</v>
      </c>
      <c r="S19" s="76">
        <f>股权价值增加表!S4</f>
        <v>6016055310.8500004</v>
      </c>
      <c r="T19" s="76">
        <f>股权价值增加表!T4</f>
        <v>2594659242.4200001</v>
      </c>
      <c r="U19" s="76">
        <f>股权价值增加表!U4</f>
        <v>10745907038.84</v>
      </c>
      <c r="V19" s="76">
        <f>股权价值增加表!V4</f>
        <v>6860396812.6999998</v>
      </c>
      <c r="W19" s="76">
        <f>股权价值增加表!W4</f>
        <v>3908594584.9000001</v>
      </c>
      <c r="X19" s="76">
        <f>股权价值增加表!X4</f>
        <v>1697327735.97</v>
      </c>
      <c r="Y19" s="76">
        <f>股权价值增加表!Y4</f>
        <v>7213789489.1800003</v>
      </c>
      <c r="Z19" s="76">
        <f>股权价值增加表!Z4</f>
        <v>4797847375.2799997</v>
      </c>
      <c r="AA19" s="76">
        <f>股权价值增加表!AA4</f>
        <v>2818679482.4899998</v>
      </c>
      <c r="AB19" s="76">
        <f>股权价值增加表!AB4</f>
        <v>1292678630.79</v>
      </c>
      <c r="AC19" s="76">
        <f>股权价值增加表!AC4</f>
        <v>5231639749.7700005</v>
      </c>
      <c r="AD19" s="76">
        <f>股权价值增加表!AD4</f>
        <v>3453156822.0599999</v>
      </c>
      <c r="AE19" s="76">
        <f>股权价值增加表!AE4</f>
        <v>2081678941.6300001</v>
      </c>
      <c r="AF19" s="76">
        <f>股权价值增加表!AF4</f>
        <v>929912689.30999994</v>
      </c>
      <c r="AG19" s="76">
        <f>股权价值增加表!AG4</f>
        <v>3605477285.21</v>
      </c>
      <c r="AH19" s="76">
        <f>股权价值增加表!AH4</f>
        <v>2393076338.48</v>
      </c>
      <c r="AI19" s="76">
        <f>股权价值增加表!AI4</f>
        <v>1402304573.3699999</v>
      </c>
      <c r="AJ19" s="76">
        <f>股权价值增加表!AJ4</f>
        <v>687305082.01999998</v>
      </c>
      <c r="AK19" s="76">
        <f>股权价值增加表!AK4</f>
        <v>2101513184.72</v>
      </c>
      <c r="AL19" s="76">
        <f>股权价值增加表!AL4</f>
        <v>1436572728.3599999</v>
      </c>
      <c r="AM19" s="76">
        <f>股权价值增加表!AM4</f>
        <v>836803532.27999997</v>
      </c>
      <c r="AN19" s="76">
        <f>股权价值增加表!AN4</f>
        <v>403065660.05000001</v>
      </c>
      <c r="AO19" s="76">
        <f>股权价值增加表!AO4</f>
        <v>1742471409.9100001</v>
      </c>
      <c r="AP19" s="76">
        <f>股权价值增加表!AP4</f>
        <v>1184513897.96</v>
      </c>
      <c r="AQ19" s="76">
        <f>股权价值增加表!AQ4</f>
        <v>0</v>
      </c>
      <c r="AR19" s="76">
        <f>股权价值增加表!AR4</f>
        <v>0</v>
      </c>
      <c r="AS19" s="76">
        <f>股权价值增加表!AS4</f>
        <v>0</v>
      </c>
      <c r="AT19" s="76">
        <f>股权价值增加表!AT4</f>
        <v>0</v>
      </c>
      <c r="AU19" s="76">
        <f>股权价值增加表!AU4</f>
        <v>0</v>
      </c>
      <c r="AV19" s="76">
        <f>股权价值增加表!AV4</f>
        <v>0</v>
      </c>
      <c r="AW19" s="76">
        <f>股权价值增加表!AW4</f>
        <v>0</v>
      </c>
      <c r="AX19" s="76">
        <f>股权价值增加表!AX4</f>
        <v>0</v>
      </c>
      <c r="AY19" s="76">
        <f>股权价值增加表!AY4</f>
        <v>0</v>
      </c>
      <c r="AZ19" s="76">
        <f>股权价值增加表!AZ4</f>
        <v>0</v>
      </c>
      <c r="BA19" s="76">
        <f>股权价值增加表!BA4</f>
        <v>0</v>
      </c>
      <c r="BB19" s="76">
        <f>股权价值增加表!BB4</f>
        <v>0</v>
      </c>
      <c r="BC19" s="76">
        <f>股权价值增加表!BC4</f>
        <v>0</v>
      </c>
      <c r="BD19" s="76">
        <f>股权价值增加表!BD4</f>
        <v>0</v>
      </c>
      <c r="BE19" s="76">
        <f>股权价值增加表!BE4</f>
        <v>0</v>
      </c>
      <c r="BF19" s="76">
        <f>股权价值增加表!BF4</f>
        <v>0</v>
      </c>
      <c r="BG19" s="76">
        <f>股权价值增加表!BG4</f>
        <v>0</v>
      </c>
      <c r="BH19" s="76">
        <f>股权价值增加表!BH4</f>
        <v>0</v>
      </c>
      <c r="BI19" s="76">
        <f>股权价值增加表!BI4</f>
        <v>0</v>
      </c>
      <c r="BJ19" s="76">
        <f>股权价值增加表!BJ4</f>
        <v>0</v>
      </c>
      <c r="BK19" s="76">
        <f>股权价值增加表!BK4</f>
        <v>0</v>
      </c>
      <c r="BL19" s="76">
        <f>股权价值增加表!BL4</f>
        <v>0</v>
      </c>
      <c r="BM19" s="76">
        <f>股权价值增加表!BM4</f>
        <v>0</v>
      </c>
      <c r="BN19" s="76">
        <f>股权价值增加表!BN4</f>
        <v>0</v>
      </c>
      <c r="BO19" s="76">
        <f>股权价值增加表!BO4</f>
        <v>0</v>
      </c>
      <c r="BP19" s="76">
        <f>股权价值增加表!BP4</f>
        <v>0</v>
      </c>
      <c r="BQ19" s="76">
        <f>股权价值增加表!BQ4</f>
        <v>0</v>
      </c>
      <c r="BR19" s="76">
        <f>股权价值增加表!BR4</f>
        <v>0</v>
      </c>
      <c r="BS19" s="76">
        <f>股权价值增加表!BS4</f>
        <v>0</v>
      </c>
      <c r="BT19" s="76">
        <f>股权价值增加表!BT4</f>
        <v>0</v>
      </c>
      <c r="BU19" s="76">
        <f>股权价值增加表!BU4</f>
        <v>0</v>
      </c>
      <c r="BV19" s="76">
        <f>股权价值增加表!BV4</f>
        <v>0</v>
      </c>
      <c r="BW19" s="76">
        <f>股权价值增加表!BW4</f>
        <v>0</v>
      </c>
      <c r="BX19" s="76">
        <f>股权价值增加表!BX4</f>
        <v>0</v>
      </c>
      <c r="BY19" s="76">
        <f>股权价值增加表!BY4</f>
        <v>0</v>
      </c>
      <c r="BZ19" s="76">
        <f>股权价值增加表!BZ4</f>
        <v>0</v>
      </c>
      <c r="CA19" s="76">
        <f>股权价值增加表!CA4</f>
        <v>0</v>
      </c>
      <c r="CB19" s="76">
        <f>股权价值增加表!CB4</f>
        <v>0</v>
      </c>
      <c r="CC19" s="76">
        <f>股权价值增加表!CC4</f>
        <v>0</v>
      </c>
      <c r="CD19" s="76">
        <f>股权价值增加表!CD4</f>
        <v>0</v>
      </c>
      <c r="CE19" s="76">
        <f>股权价值增加表!CE4</f>
        <v>0</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x14ac:dyDescent="0.25">
      <c r="A20" s="159" t="s">
        <v>448</v>
      </c>
      <c r="E20" s="76">
        <f>股权价值增加表!E15</f>
        <v>8973295760.3600025</v>
      </c>
      <c r="F20" s="76">
        <f>股权价值增加表!F15</f>
        <v>5876602242.0200005</v>
      </c>
      <c r="G20" s="76">
        <f>股权价值增加表!G15</f>
        <v>3144473830.8299999</v>
      </c>
      <c r="H20" s="76">
        <f>股权价值增加表!H15</f>
        <v>1789569384.8099995</v>
      </c>
      <c r="I20" s="76">
        <f>股权价值增加表!I15</f>
        <v>8071686307.71</v>
      </c>
      <c r="J20" s="76">
        <f>股权价值增加表!J15</f>
        <v>5194718952.1700001</v>
      </c>
      <c r="K20" s="76">
        <f>股权价值增加表!K15</f>
        <v>2927000903.9500008</v>
      </c>
      <c r="L20" s="76">
        <f>股权价值增加表!L15</f>
        <v>1373186455.1499994</v>
      </c>
      <c r="M20" s="76">
        <f>股权价值增加表!M15</f>
        <v>6446933116.2699976</v>
      </c>
      <c r="N20" s="76">
        <f>股权价值增加表!N15</f>
        <v>4262578392.29</v>
      </c>
      <c r="O20" s="76">
        <f>股权价值增加表!O15</f>
        <v>2507249695.3099995</v>
      </c>
      <c r="P20" s="76">
        <f>股权价值增加表!P15</f>
        <v>1181990120.73</v>
      </c>
      <c r="Q20" s="76">
        <f>股权价值增加表!Q15</f>
        <v>4961061731.8899994</v>
      </c>
      <c r="R20" s="76">
        <f>股权价值增加表!R15</f>
        <v>2939663148.1899996</v>
      </c>
      <c r="S20" s="76">
        <f>股权价值增加表!S15</f>
        <v>1618524897.4800005</v>
      </c>
      <c r="T20" s="76">
        <f>股权价值增加表!T15</f>
        <v>757176662.8900001</v>
      </c>
      <c r="U20" s="76">
        <f>股权价值增加表!U15</f>
        <v>3255798427.21</v>
      </c>
      <c r="V20" s="76">
        <f>股权价值增加表!V15</f>
        <v>1963058374.8099997</v>
      </c>
      <c r="W20" s="76">
        <f>股权价值增加表!W15</f>
        <v>1067201847.8300002</v>
      </c>
      <c r="X20" s="76">
        <f>股权价值增加表!X15</f>
        <v>495571291.93000007</v>
      </c>
      <c r="Y20" s="76">
        <f>股权价值增加表!Y15</f>
        <v>2238884151.1900005</v>
      </c>
      <c r="Z20" s="76">
        <f>股权价值增加表!Z15</f>
        <v>1398687349.28</v>
      </c>
      <c r="AA20" s="76">
        <f>股权价值增加表!AA15</f>
        <v>809660671.43999958</v>
      </c>
      <c r="AB20" s="76">
        <f>股权价值增加表!AB15</f>
        <v>396155380.38999993</v>
      </c>
      <c r="AC20" s="76">
        <f>股权价值增加表!AC15</f>
        <v>1643906808.3600006</v>
      </c>
      <c r="AD20" s="76">
        <f>股权价值增加表!AD15</f>
        <v>961521620.20999992</v>
      </c>
      <c r="AE20" s="76">
        <f>股权价值增加表!AE15</f>
        <v>570218724.06000018</v>
      </c>
      <c r="AF20" s="76">
        <f>股权价值增加表!AF15</f>
        <v>290648214.15999991</v>
      </c>
      <c r="AG20" s="76">
        <f>股权价值增加表!AG15</f>
        <v>1118358923.95</v>
      </c>
      <c r="AH20" s="76">
        <f>股权价值增加表!AH15</f>
        <v>748820959.97000015</v>
      </c>
      <c r="AI20" s="76">
        <f>股权价值增加表!AI15</f>
        <v>424650214.25999987</v>
      </c>
      <c r="AJ20" s="76">
        <f>股权价值增加表!AJ15</f>
        <v>238930203.75999996</v>
      </c>
      <c r="AK20" s="76">
        <f>股权价值增加表!AK15</f>
        <v>758138313.30999994</v>
      </c>
      <c r="AL20" s="76">
        <f>股权价值增加表!AL15</f>
        <v>529713983.31999981</v>
      </c>
      <c r="AM20" s="76">
        <f>股权价值增加表!AM15</f>
        <v>290302442.64999998</v>
      </c>
      <c r="AN20" s="76">
        <f>股权价值增加表!AN15</f>
        <v>145181162.31</v>
      </c>
      <c r="AO20" s="76">
        <f>股权价值增加表!AO15</f>
        <v>601702495.53000009</v>
      </c>
      <c r="AP20" s="76">
        <f>股权价值增加表!AP15</f>
        <v>387175153.10999995</v>
      </c>
      <c r="AQ20" s="76">
        <f>股权价值增加表!AQ15</f>
        <v>0</v>
      </c>
      <c r="AR20" s="76">
        <f>股权价值增加表!AR15</f>
        <v>0</v>
      </c>
      <c r="AS20" s="76">
        <f>股权价值增加表!AS15</f>
        <v>0</v>
      </c>
      <c r="AT20" s="76">
        <f>股权价值增加表!AT15</f>
        <v>0</v>
      </c>
      <c r="AU20" s="76">
        <f>股权价值增加表!AU15</f>
        <v>0</v>
      </c>
      <c r="AV20" s="76">
        <f>股权价值增加表!AV15</f>
        <v>0</v>
      </c>
      <c r="AW20" s="76">
        <f>股权价值增加表!AW15</f>
        <v>0</v>
      </c>
      <c r="AX20" s="76">
        <f>股权价值增加表!AX15</f>
        <v>0</v>
      </c>
      <c r="AY20" s="76">
        <f>股权价值增加表!AY15</f>
        <v>0</v>
      </c>
      <c r="AZ20" s="76">
        <f>股权价值增加表!AZ15</f>
        <v>0</v>
      </c>
      <c r="BA20" s="76">
        <f>股权价值增加表!BA15</f>
        <v>0</v>
      </c>
      <c r="BB20" s="76">
        <f>股权价值增加表!BB15</f>
        <v>0</v>
      </c>
      <c r="BC20" s="76">
        <f>股权价值增加表!BC15</f>
        <v>0</v>
      </c>
      <c r="BD20" s="76">
        <f>股权价值增加表!BD15</f>
        <v>0</v>
      </c>
      <c r="BE20" s="76">
        <f>股权价值增加表!BE15</f>
        <v>0</v>
      </c>
      <c r="BF20" s="76">
        <f>股权价值增加表!BF15</f>
        <v>0</v>
      </c>
      <c r="BG20" s="76">
        <f>股权价值增加表!BG15</f>
        <v>0</v>
      </c>
      <c r="BH20" s="76">
        <f>股权价值增加表!BH15</f>
        <v>0</v>
      </c>
      <c r="BI20" s="76">
        <f>股权价值增加表!BI15</f>
        <v>0</v>
      </c>
      <c r="BJ20" s="76">
        <f>股权价值增加表!BJ15</f>
        <v>0</v>
      </c>
      <c r="BK20" s="76">
        <f>股权价值增加表!BK15</f>
        <v>0</v>
      </c>
      <c r="BL20" s="76">
        <f>股权价值增加表!BL15</f>
        <v>0</v>
      </c>
      <c r="BM20" s="76">
        <f>股权价值增加表!BM15</f>
        <v>0</v>
      </c>
      <c r="BN20" s="76">
        <f>股权价值增加表!BN15</f>
        <v>0</v>
      </c>
      <c r="BO20" s="76">
        <f>股权价值增加表!BO15</f>
        <v>0</v>
      </c>
      <c r="BP20" s="76">
        <f>股权价值增加表!BP15</f>
        <v>0</v>
      </c>
      <c r="BQ20" s="76">
        <f>股权价值增加表!BQ15</f>
        <v>0</v>
      </c>
      <c r="BR20" s="76">
        <f>股权价值增加表!BR15</f>
        <v>0</v>
      </c>
      <c r="BS20" s="76">
        <f>股权价值增加表!BS15</f>
        <v>0</v>
      </c>
      <c r="BT20" s="76">
        <f>股权价值增加表!BT15</f>
        <v>0</v>
      </c>
      <c r="BU20" s="76">
        <f>股权价值增加表!BU15</f>
        <v>0</v>
      </c>
      <c r="BV20" s="76">
        <f>股权价值增加表!BV15</f>
        <v>0</v>
      </c>
      <c r="BW20" s="76">
        <f>股权价值增加表!BW15</f>
        <v>0</v>
      </c>
      <c r="BX20" s="76">
        <f>股权价值增加表!BX15</f>
        <v>0</v>
      </c>
      <c r="BY20" s="76">
        <f>股权价值增加表!BY15</f>
        <v>0</v>
      </c>
      <c r="BZ20" s="76">
        <f>股权价值增加表!BZ15</f>
        <v>0</v>
      </c>
      <c r="CA20" s="76">
        <f>股权价值增加表!CA15</f>
        <v>0</v>
      </c>
      <c r="CB20" s="76">
        <f>股权价值增加表!CB15</f>
        <v>0</v>
      </c>
      <c r="CC20" s="76">
        <f>股权价值增加表!CC15</f>
        <v>0</v>
      </c>
      <c r="CD20" s="76">
        <f>股权价值增加表!CD15</f>
        <v>0</v>
      </c>
      <c r="CE20" s="76">
        <f>股权价值增加表!CE15</f>
        <v>0</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244" customFormat="1" x14ac:dyDescent="0.25">
      <c r="A21" s="234" t="s">
        <v>449</v>
      </c>
      <c r="E21" s="244">
        <f>E20/E19</f>
        <v>0.21413181508453968</v>
      </c>
      <c r="F21" s="244">
        <f t="shared" ref="F21:BQ21" si="6">F20/F19</f>
        <v>0.21192415740823831</v>
      </c>
      <c r="G21" s="244">
        <f t="shared" si="6"/>
        <v>0.19118201756631312</v>
      </c>
      <c r="H21" s="244">
        <f t="shared" si="6"/>
        <v>0.25406579800172269</v>
      </c>
      <c r="I21" s="244">
        <f t="shared" si="6"/>
        <v>0.25284052845230048</v>
      </c>
      <c r="J21" s="244">
        <f t="shared" si="6"/>
        <v>0.24577042456018183</v>
      </c>
      <c r="K21" s="244">
        <f t="shared" si="6"/>
        <v>0.23326064304809205</v>
      </c>
      <c r="L21" s="244">
        <f t="shared" si="6"/>
        <v>0.26408902643676474</v>
      </c>
      <c r="M21" s="244">
        <f t="shared" si="6"/>
        <v>0.25510797176247041</v>
      </c>
      <c r="N21" s="244">
        <f t="shared" si="6"/>
        <v>0.25558644873823599</v>
      </c>
      <c r="O21" s="244">
        <f t="shared" si="6"/>
        <v>0.25593630226728986</v>
      </c>
      <c r="P21" s="244">
        <f t="shared" si="6"/>
        <v>0.27565410240765542</v>
      </c>
      <c r="Q21" s="244">
        <f t="shared" si="6"/>
        <v>0.28787958610631903</v>
      </c>
      <c r="R21" s="244">
        <f t="shared" si="6"/>
        <v>0.27551228576321213</v>
      </c>
      <c r="S21" s="244">
        <f t="shared" si="6"/>
        <v>0.26903424484162886</v>
      </c>
      <c r="T21" s="244">
        <f t="shared" si="6"/>
        <v>0.29182123436902363</v>
      </c>
      <c r="U21" s="244">
        <f t="shared" si="6"/>
        <v>0.30298032687629289</v>
      </c>
      <c r="V21" s="244">
        <f t="shared" si="6"/>
        <v>0.28614356113861761</v>
      </c>
      <c r="W21" s="244">
        <f t="shared" si="6"/>
        <v>0.27303979081199697</v>
      </c>
      <c r="X21" s="244">
        <f t="shared" si="6"/>
        <v>0.29197148047945359</v>
      </c>
      <c r="Y21" s="244">
        <f t="shared" si="6"/>
        <v>0.31036172521365007</v>
      </c>
      <c r="Z21" s="244">
        <f t="shared" si="6"/>
        <v>0.29152393560630374</v>
      </c>
      <c r="AA21" s="244">
        <f t="shared" si="6"/>
        <v>0.28724822260555555</v>
      </c>
      <c r="AB21" s="244">
        <f t="shared" si="6"/>
        <v>0.306460841042832</v>
      </c>
      <c r="AC21" s="244">
        <f t="shared" si="6"/>
        <v>0.31422400757473257</v>
      </c>
      <c r="AD21" s="244">
        <f t="shared" si="6"/>
        <v>0.27844713395796455</v>
      </c>
      <c r="AE21" s="244">
        <f t="shared" si="6"/>
        <v>0.27392251161147185</v>
      </c>
      <c r="AF21" s="244">
        <f t="shared" si="6"/>
        <v>0.31255430483012592</v>
      </c>
      <c r="AG21" s="244">
        <f t="shared" si="6"/>
        <v>0.31018332261795445</v>
      </c>
      <c r="AH21" s="244">
        <f t="shared" si="6"/>
        <v>0.3129114386905123</v>
      </c>
      <c r="AI21" s="244">
        <f t="shared" si="6"/>
        <v>0.30282309729582219</v>
      </c>
      <c r="AJ21" s="244">
        <f t="shared" si="6"/>
        <v>0.34763340183340491</v>
      </c>
      <c r="AK21" s="244">
        <f t="shared" si="6"/>
        <v>0.36075829493832667</v>
      </c>
      <c r="AL21" s="244">
        <f t="shared" si="6"/>
        <v>0.36873453940944884</v>
      </c>
      <c r="AM21" s="244">
        <f t="shared" si="6"/>
        <v>0.3469182806375426</v>
      </c>
      <c r="AN21" s="244">
        <f t="shared" si="6"/>
        <v>0.36019233762556302</v>
      </c>
      <c r="AO21" s="244">
        <f t="shared" si="6"/>
        <v>0.34531556277361158</v>
      </c>
      <c r="AP21" s="244">
        <f t="shared" si="6"/>
        <v>0.32686417084409297</v>
      </c>
      <c r="AQ21" s="244" t="e">
        <f t="shared" si="6"/>
        <v>#DIV/0!</v>
      </c>
      <c r="AR21" s="244" t="e">
        <f t="shared" si="6"/>
        <v>#DIV/0!</v>
      </c>
      <c r="AS21" s="244" t="e">
        <f t="shared" si="6"/>
        <v>#DIV/0!</v>
      </c>
      <c r="AT21" s="244" t="e">
        <f t="shared" si="6"/>
        <v>#DIV/0!</v>
      </c>
      <c r="AU21" s="244" t="e">
        <f t="shared" si="6"/>
        <v>#DIV/0!</v>
      </c>
      <c r="AV21" s="244" t="e">
        <f t="shared" si="6"/>
        <v>#DIV/0!</v>
      </c>
      <c r="AW21" s="244" t="e">
        <f t="shared" si="6"/>
        <v>#DIV/0!</v>
      </c>
      <c r="AX21" s="244" t="e">
        <f t="shared" si="6"/>
        <v>#DIV/0!</v>
      </c>
      <c r="AY21" s="244" t="e">
        <f t="shared" si="6"/>
        <v>#DIV/0!</v>
      </c>
      <c r="AZ21" s="244" t="e">
        <f t="shared" si="6"/>
        <v>#DIV/0!</v>
      </c>
      <c r="BA21" s="244" t="e">
        <f t="shared" si="6"/>
        <v>#DIV/0!</v>
      </c>
      <c r="BB21" s="244" t="e">
        <f t="shared" si="6"/>
        <v>#DIV/0!</v>
      </c>
      <c r="BC21" s="244" t="e">
        <f t="shared" si="6"/>
        <v>#DIV/0!</v>
      </c>
      <c r="BD21" s="244" t="e">
        <f t="shared" si="6"/>
        <v>#DIV/0!</v>
      </c>
      <c r="BE21" s="244" t="e">
        <f t="shared" si="6"/>
        <v>#DIV/0!</v>
      </c>
      <c r="BF21" s="244" t="e">
        <f t="shared" si="6"/>
        <v>#DIV/0!</v>
      </c>
      <c r="BG21" s="244" t="e">
        <f t="shared" si="6"/>
        <v>#DIV/0!</v>
      </c>
      <c r="BH21" s="244" t="e">
        <f t="shared" si="6"/>
        <v>#DIV/0!</v>
      </c>
      <c r="BI21" s="244" t="e">
        <f t="shared" si="6"/>
        <v>#DIV/0!</v>
      </c>
      <c r="BJ21" s="244" t="e">
        <f t="shared" si="6"/>
        <v>#DIV/0!</v>
      </c>
      <c r="BK21" s="244" t="e">
        <f t="shared" si="6"/>
        <v>#DIV/0!</v>
      </c>
      <c r="BL21" s="244" t="e">
        <f t="shared" si="6"/>
        <v>#DIV/0!</v>
      </c>
      <c r="BM21" s="244" t="e">
        <f t="shared" si="6"/>
        <v>#DIV/0!</v>
      </c>
      <c r="BN21" s="244" t="e">
        <f t="shared" si="6"/>
        <v>#DIV/0!</v>
      </c>
      <c r="BO21" s="244" t="e">
        <f t="shared" si="6"/>
        <v>#DIV/0!</v>
      </c>
      <c r="BP21" s="244" t="e">
        <f t="shared" si="6"/>
        <v>#DIV/0!</v>
      </c>
      <c r="BQ21" s="244" t="e">
        <f t="shared" si="6"/>
        <v>#DIV/0!</v>
      </c>
      <c r="BR21" s="244" t="e">
        <f t="shared" ref="BR21:CK21" si="7">BR20/BR19</f>
        <v>#DIV/0!</v>
      </c>
      <c r="BS21" s="244" t="e">
        <f t="shared" si="7"/>
        <v>#DIV/0!</v>
      </c>
      <c r="BT21" s="244" t="e">
        <f t="shared" si="7"/>
        <v>#DIV/0!</v>
      </c>
      <c r="BU21" s="244" t="e">
        <f t="shared" si="7"/>
        <v>#DIV/0!</v>
      </c>
      <c r="BV21" s="244" t="e">
        <f t="shared" si="7"/>
        <v>#DIV/0!</v>
      </c>
      <c r="BW21" s="244" t="e">
        <f t="shared" si="7"/>
        <v>#DIV/0!</v>
      </c>
      <c r="BX21" s="244" t="e">
        <f t="shared" si="7"/>
        <v>#DIV/0!</v>
      </c>
      <c r="BY21" s="244" t="e">
        <f t="shared" si="7"/>
        <v>#DIV/0!</v>
      </c>
      <c r="BZ21" s="244" t="e">
        <f t="shared" si="7"/>
        <v>#DIV/0!</v>
      </c>
      <c r="CA21" s="244" t="e">
        <f t="shared" si="7"/>
        <v>#DIV/0!</v>
      </c>
      <c r="CB21" s="244" t="e">
        <f t="shared" si="7"/>
        <v>#DIV/0!</v>
      </c>
      <c r="CC21" s="244" t="e">
        <f t="shared" si="7"/>
        <v>#DIV/0!</v>
      </c>
      <c r="CD21" s="244" t="e">
        <f t="shared" si="7"/>
        <v>#DIV/0!</v>
      </c>
      <c r="CE21" s="244" t="e">
        <f t="shared" si="7"/>
        <v>#DIV/0!</v>
      </c>
      <c r="CF21" s="244" t="e">
        <f t="shared" si="7"/>
        <v>#DIV/0!</v>
      </c>
      <c r="CG21" s="244" t="e">
        <f t="shared" si="7"/>
        <v>#DIV/0!</v>
      </c>
      <c r="CH21" s="244" t="e">
        <f t="shared" si="7"/>
        <v>#DIV/0!</v>
      </c>
      <c r="CI21" s="244" t="e">
        <f t="shared" si="7"/>
        <v>#DIV/0!</v>
      </c>
      <c r="CJ21" s="244" t="e">
        <f t="shared" si="7"/>
        <v>#DIV/0!</v>
      </c>
      <c r="CK21" s="244" t="e">
        <f t="shared" si="7"/>
        <v>#DIV/0!</v>
      </c>
    </row>
    <row r="22" spans="1:89" s="26" customFormat="1" x14ac:dyDescent="0.25">
      <c r="A22" s="26" t="s">
        <v>686</v>
      </c>
      <c r="E22" s="26">
        <f>资产资本表!E69</f>
        <v>19144400110.860004</v>
      </c>
      <c r="F22" s="193">
        <f>资产资本表!F69</f>
        <v>19566779323.77</v>
      </c>
      <c r="G22" s="193">
        <f>资产资本表!G69</f>
        <v>17904140529.900005</v>
      </c>
      <c r="H22" s="193">
        <f>资产资本表!H69</f>
        <v>16918060800.209997</v>
      </c>
      <c r="I22" s="193">
        <f>资产资本表!I69</f>
        <v>15380415018.280003</v>
      </c>
      <c r="J22" s="193">
        <f>资产资本表!J69</f>
        <v>13705735234.190002</v>
      </c>
      <c r="K22" s="193">
        <f>资产资本表!K69</f>
        <v>13039365127.259996</v>
      </c>
      <c r="L22" s="193">
        <f>资产资本表!L69</f>
        <v>15512388537.34</v>
      </c>
      <c r="M22" s="193">
        <f>资产资本表!M69</f>
        <v>11384454752.860001</v>
      </c>
      <c r="N22" s="193">
        <f>资产资本表!N69</f>
        <v>12446478149.899998</v>
      </c>
      <c r="O22" s="193">
        <f>资产资本表!O69</f>
        <v>12003934384.16</v>
      </c>
      <c r="P22" s="193">
        <f>资产资本表!P69</f>
        <v>10899749404.810001</v>
      </c>
      <c r="Q22" s="193">
        <f>资产资本表!Q69</f>
        <v>8327001788.21</v>
      </c>
      <c r="R22" s="193">
        <f>资产资本表!R69</f>
        <v>10363101722.669998</v>
      </c>
      <c r="S22" s="193">
        <f>资产资本表!S69</f>
        <v>9577004364.9399986</v>
      </c>
      <c r="T22" s="193">
        <f>资产资本表!T69</f>
        <v>8811535167.3299999</v>
      </c>
      <c r="U22" s="193">
        <f>资产资本表!U69</f>
        <v>6840909802.3600006</v>
      </c>
      <c r="V22" s="193">
        <f>资产资本表!V69</f>
        <v>4797208335.1400013</v>
      </c>
      <c r="W22" s="193">
        <f>资产资本表!W69</f>
        <v>4235982216.1099987</v>
      </c>
      <c r="X22" s="193">
        <f>资产资本表!X69</f>
        <v>4052508316.3000002</v>
      </c>
      <c r="Y22" s="193">
        <f>资产资本表!Y69</f>
        <v>2858196654.5800004</v>
      </c>
      <c r="Z22" s="193">
        <f>资产资本表!Z69</f>
        <v>3107660460.6300001</v>
      </c>
      <c r="AA22" s="193">
        <f>资产资本表!AA69</f>
        <v>2644092730.8200002</v>
      </c>
      <c r="AB22" s="193">
        <f>资产资本表!AB69</f>
        <v>2484246059.2199998</v>
      </c>
      <c r="AC22" s="193">
        <f>资产资本表!AC69</f>
        <v>1563579988.9099998</v>
      </c>
      <c r="AD22" s="193">
        <f>资产资本表!AD69</f>
        <v>2117670539.8299994</v>
      </c>
      <c r="AE22" s="193">
        <f>资产资本表!AE69</f>
        <v>1729640087.1100001</v>
      </c>
      <c r="AF22" s="193">
        <f>资产资本表!AF69</f>
        <v>1569714430.1300001</v>
      </c>
      <c r="AG22" s="193">
        <f>资产资本表!AG69</f>
        <v>1019081798.3899999</v>
      </c>
      <c r="AH22" s="193">
        <f>资产资本表!AH69</f>
        <v>1460343915.6799998</v>
      </c>
      <c r="AI22" s="193">
        <f>资产资本表!AI69</f>
        <v>1097638830.9000001</v>
      </c>
      <c r="AJ22" s="193">
        <f>资产资本表!AJ69</f>
        <v>998290773.70000005</v>
      </c>
      <c r="AK22" s="193">
        <f>资产资本表!AK69</f>
        <v>406162476.89000005</v>
      </c>
      <c r="AL22" s="193">
        <f>资产资本表!AL69</f>
        <v>117320140.31999999</v>
      </c>
      <c r="AM22" s="193">
        <f>资产资本表!AM69</f>
        <v>174290505.67000002</v>
      </c>
      <c r="AN22" s="193">
        <f>资产资本表!AN69</f>
        <v>0</v>
      </c>
      <c r="AO22" s="193">
        <f>资产资本表!AO69</f>
        <v>0</v>
      </c>
      <c r="AP22" s="193">
        <f>资产资本表!AP69</f>
        <v>0</v>
      </c>
      <c r="AQ22" s="193">
        <f>资产资本表!AQ69</f>
        <v>0</v>
      </c>
      <c r="AR22" s="193">
        <f>资产资本表!AR69</f>
        <v>0</v>
      </c>
      <c r="AS22" s="193">
        <f>资产资本表!AS69</f>
        <v>0</v>
      </c>
      <c r="AT22" s="193">
        <f>资产资本表!AT69</f>
        <v>0</v>
      </c>
      <c r="AU22" s="193">
        <f>资产资本表!AU69</f>
        <v>0</v>
      </c>
      <c r="AV22" s="193">
        <f>资产资本表!AV69</f>
        <v>0</v>
      </c>
      <c r="AW22" s="193">
        <f>资产资本表!AW69</f>
        <v>0</v>
      </c>
      <c r="AX22" s="193">
        <f>资产资本表!AX69</f>
        <v>0</v>
      </c>
      <c r="AY22" s="193">
        <f>资产资本表!AY69</f>
        <v>0</v>
      </c>
      <c r="AZ22" s="193">
        <f>资产资本表!AZ69</f>
        <v>0</v>
      </c>
      <c r="BA22" s="193">
        <f>资产资本表!BA69</f>
        <v>0</v>
      </c>
      <c r="BB22" s="193">
        <f>资产资本表!BB69</f>
        <v>0</v>
      </c>
      <c r="BC22" s="193">
        <f>资产资本表!BC69</f>
        <v>0</v>
      </c>
      <c r="BD22" s="193">
        <f>资产资本表!BD69</f>
        <v>0</v>
      </c>
      <c r="BE22" s="193">
        <f>资产资本表!BE69</f>
        <v>0</v>
      </c>
      <c r="BF22" s="193">
        <f>资产资本表!BF69</f>
        <v>0</v>
      </c>
      <c r="BG22" s="193">
        <f>资产资本表!BG69</f>
        <v>0</v>
      </c>
      <c r="BH22" s="193">
        <f>资产资本表!BH69</f>
        <v>0</v>
      </c>
      <c r="BI22" s="193">
        <f>资产资本表!BI69</f>
        <v>0</v>
      </c>
      <c r="BJ22" s="193">
        <f>资产资本表!BJ69</f>
        <v>0</v>
      </c>
      <c r="BK22" s="193">
        <f>资产资本表!BK69</f>
        <v>0</v>
      </c>
      <c r="BL22" s="193">
        <f>资产资本表!BL69</f>
        <v>0</v>
      </c>
      <c r="BM22" s="193">
        <f>资产资本表!BM69</f>
        <v>0</v>
      </c>
      <c r="BN22" s="193">
        <f>资产资本表!BN69</f>
        <v>0</v>
      </c>
      <c r="BO22" s="193">
        <f>资产资本表!BO69</f>
        <v>0</v>
      </c>
      <c r="BP22" s="193">
        <f>资产资本表!BP69</f>
        <v>0</v>
      </c>
      <c r="BQ22" s="193">
        <f>资产资本表!BQ69</f>
        <v>0</v>
      </c>
      <c r="BR22" s="193">
        <f>资产资本表!BR69</f>
        <v>0</v>
      </c>
      <c r="BS22" s="193">
        <f>资产资本表!BS69</f>
        <v>0</v>
      </c>
      <c r="BT22" s="193">
        <f>资产资本表!BT69</f>
        <v>0</v>
      </c>
      <c r="BU22" s="193">
        <f>资产资本表!BU69</f>
        <v>0</v>
      </c>
      <c r="BV22" s="193">
        <f>资产资本表!BV69</f>
        <v>0</v>
      </c>
      <c r="BW22" s="193">
        <f>资产资本表!BW69</f>
        <v>0</v>
      </c>
      <c r="BX22" s="193">
        <f>资产资本表!BX69</f>
        <v>0</v>
      </c>
      <c r="BY22" s="193">
        <f>资产资本表!BY69</f>
        <v>0</v>
      </c>
      <c r="BZ22" s="193">
        <f>资产资本表!BZ69</f>
        <v>0</v>
      </c>
      <c r="CA22" s="193">
        <f>资产资本表!CA69</f>
        <v>0</v>
      </c>
      <c r="CB22" s="193">
        <f>资产资本表!CB69</f>
        <v>0</v>
      </c>
      <c r="CC22" s="193">
        <f>资产资本表!CC69</f>
        <v>0</v>
      </c>
      <c r="CD22" s="193">
        <f>资产资本表!CD69</f>
        <v>0</v>
      </c>
      <c r="CE22" s="193">
        <f>资产资本表!CE69</f>
        <v>0</v>
      </c>
      <c r="CF22" s="193">
        <f>资产资本表!CF69</f>
        <v>0</v>
      </c>
      <c r="CG22" s="193">
        <f>资产资本表!CG69</f>
        <v>0</v>
      </c>
      <c r="CH22" s="193">
        <f>资产资本表!CH69</f>
        <v>0</v>
      </c>
      <c r="CI22" s="193">
        <f>资产资本表!CI69</f>
        <v>0</v>
      </c>
      <c r="CJ22" s="193">
        <f>资产资本表!CJ69</f>
        <v>0</v>
      </c>
      <c r="CK22" s="193">
        <f>资产资本表!CK69</f>
        <v>0</v>
      </c>
    </row>
    <row r="23" spans="1:89" s="246" customFormat="1" x14ac:dyDescent="0.25">
      <c r="A23" s="245" t="s">
        <v>687</v>
      </c>
      <c r="E23" s="246">
        <f>E19/E22</f>
        <v>2.1889156269931052</v>
      </c>
      <c r="F23" s="246">
        <f t="shared" ref="F23:BQ23" si="8">F19/F22</f>
        <v>1.4171847956854871</v>
      </c>
      <c r="G23" s="246">
        <f t="shared" si="8"/>
        <v>0.91864447271582383</v>
      </c>
      <c r="H23" s="246">
        <f t="shared" si="8"/>
        <v>0.4163434677834098</v>
      </c>
      <c r="I23" s="246">
        <f t="shared" si="8"/>
        <v>2.075628052591397</v>
      </c>
      <c r="J23" s="246">
        <f t="shared" si="8"/>
        <v>1.5421623581413906</v>
      </c>
      <c r="K23" s="246">
        <f t="shared" si="8"/>
        <v>0.96233203101942699</v>
      </c>
      <c r="L23" s="246">
        <f t="shared" si="8"/>
        <v>0.33519727664013399</v>
      </c>
      <c r="M23" s="246">
        <f t="shared" si="8"/>
        <v>2.219815601363897</v>
      </c>
      <c r="N23" s="246">
        <f t="shared" si="8"/>
        <v>1.3399483997434245</v>
      </c>
      <c r="O23" s="246">
        <f t="shared" si="8"/>
        <v>0.81609756745646533</v>
      </c>
      <c r="P23" s="246">
        <f t="shared" si="8"/>
        <v>0.39339865720286665</v>
      </c>
      <c r="Q23" s="246">
        <f t="shared" si="8"/>
        <v>2.069546093541129</v>
      </c>
      <c r="R23" s="246">
        <f t="shared" si="8"/>
        <v>1.0295959772583396</v>
      </c>
      <c r="S23" s="246">
        <f t="shared" si="8"/>
        <v>0.62817715034921484</v>
      </c>
      <c r="T23" s="246">
        <f t="shared" si="8"/>
        <v>0.29446165658398121</v>
      </c>
      <c r="U23" s="246">
        <f t="shared" si="8"/>
        <v>1.570830101448325</v>
      </c>
      <c r="V23" s="246">
        <f t="shared" si="8"/>
        <v>1.4300810666167965</v>
      </c>
      <c r="W23" s="246">
        <f t="shared" si="8"/>
        <v>0.92271269932038424</v>
      </c>
      <c r="X23" s="246">
        <f t="shared" si="8"/>
        <v>0.4188338686790618</v>
      </c>
      <c r="Y23" s="246">
        <f t="shared" si="8"/>
        <v>2.5238954351235972</v>
      </c>
      <c r="Z23" s="246">
        <f t="shared" si="8"/>
        <v>1.5438776005495003</v>
      </c>
      <c r="AA23" s="246">
        <f t="shared" si="8"/>
        <v>1.0660289821287228</v>
      </c>
      <c r="AB23" s="246">
        <f t="shared" si="8"/>
        <v>0.52035048057835043</v>
      </c>
      <c r="AC23" s="246">
        <f t="shared" si="8"/>
        <v>3.3459367521178573</v>
      </c>
      <c r="AD23" s="246">
        <f t="shared" si="8"/>
        <v>1.6306393072537193</v>
      </c>
      <c r="AE23" s="246">
        <f t="shared" si="8"/>
        <v>1.2035330107942921</v>
      </c>
      <c r="AF23" s="246">
        <f t="shared" si="8"/>
        <v>0.59240883020549584</v>
      </c>
      <c r="AG23" s="246">
        <f t="shared" si="8"/>
        <v>3.5379665213392357</v>
      </c>
      <c r="AH23" s="246">
        <f t="shared" si="8"/>
        <v>1.6387073707673026</v>
      </c>
      <c r="AI23" s="246">
        <f t="shared" si="8"/>
        <v>1.2775646541405532</v>
      </c>
      <c r="AJ23" s="246">
        <f t="shared" si="8"/>
        <v>0.6884818533107514</v>
      </c>
      <c r="AK23" s="246">
        <f t="shared" si="8"/>
        <v>5.1740702410802646</v>
      </c>
      <c r="AL23" s="246">
        <f t="shared" si="8"/>
        <v>12.244894392741381</v>
      </c>
      <c r="AM23" s="246">
        <f t="shared" si="8"/>
        <v>4.801199750171107</v>
      </c>
      <c r="AN23" s="246" t="e">
        <f t="shared" si="8"/>
        <v>#DIV/0!</v>
      </c>
      <c r="AO23" s="246" t="e">
        <f t="shared" si="8"/>
        <v>#DIV/0!</v>
      </c>
      <c r="AP23" s="246" t="e">
        <f t="shared" si="8"/>
        <v>#DIV/0!</v>
      </c>
      <c r="AQ23" s="246" t="e">
        <f t="shared" si="8"/>
        <v>#DIV/0!</v>
      </c>
      <c r="AR23" s="246" t="e">
        <f t="shared" si="8"/>
        <v>#DIV/0!</v>
      </c>
      <c r="AS23" s="246" t="e">
        <f t="shared" si="8"/>
        <v>#DIV/0!</v>
      </c>
      <c r="AT23" s="246" t="e">
        <f t="shared" si="8"/>
        <v>#DIV/0!</v>
      </c>
      <c r="AU23" s="246" t="e">
        <f t="shared" si="8"/>
        <v>#DIV/0!</v>
      </c>
      <c r="AV23" s="246" t="e">
        <f t="shared" si="8"/>
        <v>#DIV/0!</v>
      </c>
      <c r="AW23" s="246" t="e">
        <f t="shared" si="8"/>
        <v>#DIV/0!</v>
      </c>
      <c r="AX23" s="246" t="e">
        <f t="shared" si="8"/>
        <v>#DIV/0!</v>
      </c>
      <c r="AY23" s="246" t="e">
        <f t="shared" si="8"/>
        <v>#DIV/0!</v>
      </c>
      <c r="AZ23" s="246" t="e">
        <f t="shared" si="8"/>
        <v>#DIV/0!</v>
      </c>
      <c r="BA23" s="246" t="e">
        <f t="shared" si="8"/>
        <v>#DIV/0!</v>
      </c>
      <c r="BB23" s="246" t="e">
        <f t="shared" si="8"/>
        <v>#DIV/0!</v>
      </c>
      <c r="BC23" s="246" t="e">
        <f t="shared" si="8"/>
        <v>#DIV/0!</v>
      </c>
      <c r="BD23" s="246" t="e">
        <f t="shared" si="8"/>
        <v>#DIV/0!</v>
      </c>
      <c r="BE23" s="246" t="e">
        <f t="shared" si="8"/>
        <v>#DIV/0!</v>
      </c>
      <c r="BF23" s="246" t="e">
        <f t="shared" si="8"/>
        <v>#DIV/0!</v>
      </c>
      <c r="BG23" s="246" t="e">
        <f t="shared" si="8"/>
        <v>#DIV/0!</v>
      </c>
      <c r="BH23" s="246" t="e">
        <f t="shared" si="8"/>
        <v>#DIV/0!</v>
      </c>
      <c r="BI23" s="246" t="e">
        <f t="shared" si="8"/>
        <v>#DIV/0!</v>
      </c>
      <c r="BJ23" s="246" t="e">
        <f t="shared" si="8"/>
        <v>#DIV/0!</v>
      </c>
      <c r="BK23" s="246" t="e">
        <f t="shared" si="8"/>
        <v>#DIV/0!</v>
      </c>
      <c r="BL23" s="246" t="e">
        <f t="shared" si="8"/>
        <v>#DIV/0!</v>
      </c>
      <c r="BM23" s="246" t="e">
        <f t="shared" si="8"/>
        <v>#DIV/0!</v>
      </c>
      <c r="BN23" s="246" t="e">
        <f t="shared" si="8"/>
        <v>#DIV/0!</v>
      </c>
      <c r="BO23" s="246" t="e">
        <f t="shared" si="8"/>
        <v>#DIV/0!</v>
      </c>
      <c r="BP23" s="246" t="e">
        <f t="shared" si="8"/>
        <v>#DIV/0!</v>
      </c>
      <c r="BQ23" s="246" t="e">
        <f t="shared" si="8"/>
        <v>#DIV/0!</v>
      </c>
      <c r="BR23" s="246" t="e">
        <f t="shared" ref="BR23:CK23" si="9">BR19/BR22</f>
        <v>#DIV/0!</v>
      </c>
      <c r="BS23" s="246" t="e">
        <f t="shared" si="9"/>
        <v>#DIV/0!</v>
      </c>
      <c r="BT23" s="246" t="e">
        <f t="shared" si="9"/>
        <v>#DIV/0!</v>
      </c>
      <c r="BU23" s="246" t="e">
        <f t="shared" si="9"/>
        <v>#DIV/0!</v>
      </c>
      <c r="BV23" s="246" t="e">
        <f t="shared" si="9"/>
        <v>#DIV/0!</v>
      </c>
      <c r="BW23" s="246" t="e">
        <f t="shared" si="9"/>
        <v>#DIV/0!</v>
      </c>
      <c r="BX23" s="246" t="e">
        <f t="shared" si="9"/>
        <v>#DIV/0!</v>
      </c>
      <c r="BY23" s="246" t="e">
        <f t="shared" si="9"/>
        <v>#DIV/0!</v>
      </c>
      <c r="BZ23" s="246" t="e">
        <f t="shared" si="9"/>
        <v>#DIV/0!</v>
      </c>
      <c r="CA23" s="246" t="e">
        <f t="shared" si="9"/>
        <v>#DIV/0!</v>
      </c>
      <c r="CB23" s="246" t="e">
        <f t="shared" si="9"/>
        <v>#DIV/0!</v>
      </c>
      <c r="CC23" s="246" t="e">
        <f t="shared" si="9"/>
        <v>#DIV/0!</v>
      </c>
      <c r="CD23" s="246" t="e">
        <f t="shared" si="9"/>
        <v>#DIV/0!</v>
      </c>
      <c r="CE23" s="246" t="e">
        <f t="shared" si="9"/>
        <v>#DIV/0!</v>
      </c>
      <c r="CF23" s="246" t="e">
        <f t="shared" si="9"/>
        <v>#DIV/0!</v>
      </c>
      <c r="CG23" s="246" t="e">
        <f t="shared" si="9"/>
        <v>#DIV/0!</v>
      </c>
      <c r="CH23" s="246" t="e">
        <f t="shared" si="9"/>
        <v>#DIV/0!</v>
      </c>
      <c r="CI23" s="246" t="e">
        <f t="shared" si="9"/>
        <v>#DIV/0!</v>
      </c>
      <c r="CJ23" s="246" t="e">
        <f t="shared" si="9"/>
        <v>#DIV/0!</v>
      </c>
      <c r="CK23" s="246" t="e">
        <f t="shared" si="9"/>
        <v>#DIV/0!</v>
      </c>
    </row>
    <row r="24" spans="1:89" s="161" customFormat="1" ht="15" thickBot="1" x14ac:dyDescent="0.3">
      <c r="A24" s="160" t="s">
        <v>694</v>
      </c>
      <c r="E24" s="161">
        <f>E21*E23</f>
        <v>0.46871647627494684</v>
      </c>
      <c r="F24" s="161">
        <f t="shared" ref="F24:BQ24" si="10">F21*F23</f>
        <v>0.3003356937174132</v>
      </c>
      <c r="G24" s="161">
        <f t="shared" si="10"/>
        <v>0.17562830371995308</v>
      </c>
      <c r="H24" s="161">
        <f t="shared" si="10"/>
        <v>0.10577863538519654</v>
      </c>
      <c r="I24" s="161">
        <f t="shared" si="10"/>
        <v>0.52480289368762811</v>
      </c>
      <c r="J24" s="161">
        <f t="shared" si="10"/>
        <v>0.37901789750114073</v>
      </c>
      <c r="K24" s="161">
        <f t="shared" si="10"/>
        <v>0.22447418838136801</v>
      </c>
      <c r="L24" s="161">
        <f t="shared" si="10"/>
        <v>8.8521922452147891E-2</v>
      </c>
      <c r="M24" s="161">
        <f t="shared" si="10"/>
        <v>0.56629265575063226</v>
      </c>
      <c r="N24" s="161">
        <f t="shared" si="10"/>
        <v>0.34247265298290414</v>
      </c>
      <c r="O24" s="161">
        <f t="shared" si="10"/>
        <v>0.20886899370413789</v>
      </c>
      <c r="P24" s="161">
        <f t="shared" si="10"/>
        <v>0.10844195373963314</v>
      </c>
      <c r="Q24" s="161">
        <f t="shared" si="10"/>
        <v>0.59578007283656964</v>
      </c>
      <c r="R24" s="161">
        <f t="shared" si="10"/>
        <v>0.2836663411070533</v>
      </c>
      <c r="S24" s="161">
        <f t="shared" si="10"/>
        <v>0.16900116527096737</v>
      </c>
      <c r="T24" s="161">
        <f t="shared" si="10"/>
        <v>8.5930164098684925E-2</v>
      </c>
      <c r="U24" s="161">
        <f t="shared" si="10"/>
        <v>0.47593061760393385</v>
      </c>
      <c r="V24" s="161">
        <f t="shared" si="10"/>
        <v>0.40920848911864277</v>
      </c>
      <c r="W24" s="161">
        <f t="shared" si="10"/>
        <v>0.2519372824020108</v>
      </c>
      <c r="X24" s="161">
        <f t="shared" si="10"/>
        <v>0.12228754471316272</v>
      </c>
      <c r="Y24" s="161">
        <f t="shared" si="10"/>
        <v>0.78332054150381569</v>
      </c>
      <c r="Z24" s="161">
        <f t="shared" si="10"/>
        <v>0.45007727420660726</v>
      </c>
      <c r="AA24" s="161">
        <f t="shared" si="10"/>
        <v>0.30621493036248515</v>
      </c>
      <c r="AB24" s="161">
        <f t="shared" si="10"/>
        <v>0.15946704591508309</v>
      </c>
      <c r="AC24" s="161">
        <f t="shared" si="10"/>
        <v>1.0513736553420576</v>
      </c>
      <c r="AD24" s="161">
        <f t="shared" si="10"/>
        <v>0.45404684162399889</v>
      </c>
      <c r="AE24" s="161">
        <f t="shared" si="10"/>
        <v>0.32967478512408915</v>
      </c>
      <c r="AF24" s="161">
        <f t="shared" si="10"/>
        <v>0.18515993010010684</v>
      </c>
      <c r="AG24" s="161">
        <f t="shared" si="10"/>
        <v>1.0974182109000903</v>
      </c>
      <c r="AH24" s="161">
        <f t="shared" si="10"/>
        <v>0.51277028097954336</v>
      </c>
      <c r="AI24" s="161">
        <f t="shared" si="10"/>
        <v>0.38687608556250819</v>
      </c>
      <c r="AJ24" s="161">
        <f t="shared" si="10"/>
        <v>0.23933928876698377</v>
      </c>
      <c r="AK24" s="161">
        <f t="shared" si="10"/>
        <v>1.8665887580632532</v>
      </c>
      <c r="AL24" s="161">
        <f t="shared" si="10"/>
        <v>4.5151154940248359</v>
      </c>
      <c r="AM24" s="161">
        <f t="shared" si="10"/>
        <v>1.6656239623267595</v>
      </c>
      <c r="AN24" s="161" t="e">
        <f t="shared" si="10"/>
        <v>#DIV/0!</v>
      </c>
      <c r="AO24" s="161" t="e">
        <f t="shared" si="10"/>
        <v>#DIV/0!</v>
      </c>
      <c r="AP24" s="161" t="e">
        <f t="shared" si="10"/>
        <v>#DIV/0!</v>
      </c>
      <c r="AQ24" s="161" t="e">
        <f t="shared" si="10"/>
        <v>#DIV/0!</v>
      </c>
      <c r="AR24" s="161" t="e">
        <f t="shared" si="10"/>
        <v>#DIV/0!</v>
      </c>
      <c r="AS24" s="161" t="e">
        <f t="shared" si="10"/>
        <v>#DIV/0!</v>
      </c>
      <c r="AT24" s="161" t="e">
        <f t="shared" si="10"/>
        <v>#DIV/0!</v>
      </c>
      <c r="AU24" s="161" t="e">
        <f t="shared" si="10"/>
        <v>#DIV/0!</v>
      </c>
      <c r="AV24" s="161" t="e">
        <f t="shared" si="10"/>
        <v>#DIV/0!</v>
      </c>
      <c r="AW24" s="161" t="e">
        <f t="shared" si="10"/>
        <v>#DIV/0!</v>
      </c>
      <c r="AX24" s="161" t="e">
        <f t="shared" si="10"/>
        <v>#DIV/0!</v>
      </c>
      <c r="AY24" s="161" t="e">
        <f t="shared" si="10"/>
        <v>#DIV/0!</v>
      </c>
      <c r="AZ24" s="161" t="e">
        <f t="shared" si="10"/>
        <v>#DIV/0!</v>
      </c>
      <c r="BA24" s="161" t="e">
        <f t="shared" si="10"/>
        <v>#DIV/0!</v>
      </c>
      <c r="BB24" s="161" t="e">
        <f t="shared" si="10"/>
        <v>#DIV/0!</v>
      </c>
      <c r="BC24" s="161" t="e">
        <f t="shared" si="10"/>
        <v>#DIV/0!</v>
      </c>
      <c r="BD24" s="161" t="e">
        <f t="shared" si="10"/>
        <v>#DIV/0!</v>
      </c>
      <c r="BE24" s="161" t="e">
        <f t="shared" si="10"/>
        <v>#DIV/0!</v>
      </c>
      <c r="BF24" s="161" t="e">
        <f t="shared" si="10"/>
        <v>#DIV/0!</v>
      </c>
      <c r="BG24" s="161" t="e">
        <f t="shared" si="10"/>
        <v>#DIV/0!</v>
      </c>
      <c r="BH24" s="161" t="e">
        <f t="shared" si="10"/>
        <v>#DIV/0!</v>
      </c>
      <c r="BI24" s="161" t="e">
        <f t="shared" si="10"/>
        <v>#DIV/0!</v>
      </c>
      <c r="BJ24" s="161" t="e">
        <f t="shared" si="10"/>
        <v>#DIV/0!</v>
      </c>
      <c r="BK24" s="161" t="e">
        <f t="shared" si="10"/>
        <v>#DIV/0!</v>
      </c>
      <c r="BL24" s="161" t="e">
        <f t="shared" si="10"/>
        <v>#DIV/0!</v>
      </c>
      <c r="BM24" s="161" t="e">
        <f t="shared" si="10"/>
        <v>#DIV/0!</v>
      </c>
      <c r="BN24" s="161" t="e">
        <f t="shared" si="10"/>
        <v>#DIV/0!</v>
      </c>
      <c r="BO24" s="161" t="e">
        <f t="shared" si="10"/>
        <v>#DIV/0!</v>
      </c>
      <c r="BP24" s="161" t="e">
        <f t="shared" si="10"/>
        <v>#DIV/0!</v>
      </c>
      <c r="BQ24" s="161" t="e">
        <f t="shared" si="10"/>
        <v>#DIV/0!</v>
      </c>
      <c r="BR24" s="161" t="e">
        <f t="shared" ref="BR24:CK24" si="11">BR21*BR23</f>
        <v>#DIV/0!</v>
      </c>
      <c r="BS24" s="161" t="e">
        <f t="shared" si="11"/>
        <v>#DIV/0!</v>
      </c>
      <c r="BT24" s="161" t="e">
        <f t="shared" si="11"/>
        <v>#DIV/0!</v>
      </c>
      <c r="BU24" s="161" t="e">
        <f t="shared" si="11"/>
        <v>#DIV/0!</v>
      </c>
      <c r="BV24" s="161" t="e">
        <f t="shared" si="11"/>
        <v>#DIV/0!</v>
      </c>
      <c r="BW24" s="161" t="e">
        <f t="shared" si="11"/>
        <v>#DIV/0!</v>
      </c>
      <c r="BX24" s="161" t="e">
        <f t="shared" si="11"/>
        <v>#DIV/0!</v>
      </c>
      <c r="BY24" s="161" t="e">
        <f t="shared" si="11"/>
        <v>#DIV/0!</v>
      </c>
      <c r="BZ24" s="161" t="e">
        <f t="shared" si="11"/>
        <v>#DIV/0!</v>
      </c>
      <c r="CA24" s="161" t="e">
        <f t="shared" si="11"/>
        <v>#DIV/0!</v>
      </c>
      <c r="CB24" s="161" t="e">
        <f t="shared" si="11"/>
        <v>#DIV/0!</v>
      </c>
      <c r="CC24" s="161" t="e">
        <f t="shared" si="11"/>
        <v>#DIV/0!</v>
      </c>
      <c r="CD24" s="161" t="e">
        <f t="shared" si="11"/>
        <v>#DIV/0!</v>
      </c>
      <c r="CE24" s="161" t="e">
        <f t="shared" si="11"/>
        <v>#DIV/0!</v>
      </c>
      <c r="CF24" s="161" t="e">
        <f t="shared" si="11"/>
        <v>#DIV/0!</v>
      </c>
      <c r="CG24" s="161" t="e">
        <f t="shared" si="11"/>
        <v>#DIV/0!</v>
      </c>
      <c r="CH24" s="161" t="e">
        <f t="shared" si="11"/>
        <v>#DIV/0!</v>
      </c>
      <c r="CI24" s="161" t="e">
        <f t="shared" si="11"/>
        <v>#DIV/0!</v>
      </c>
      <c r="CJ24" s="161" t="e">
        <f t="shared" si="11"/>
        <v>#DIV/0!</v>
      </c>
      <c r="CK24" s="161" t="e">
        <f t="shared" si="11"/>
        <v>#DIV/0!</v>
      </c>
    </row>
    <row r="25" spans="1:89" s="248" customFormat="1" x14ac:dyDescent="0.25">
      <c r="A25" s="247" t="s">
        <v>442</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39447</v>
      </c>
      <c r="AQ25" s="1">
        <v>25569</v>
      </c>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row>
    <row r="26" spans="1:89" s="76" customFormat="1" x14ac:dyDescent="0.25">
      <c r="A26" s="147" t="s">
        <v>443</v>
      </c>
      <c r="E26" s="76">
        <f>利润表!E14</f>
        <v>-2525266.42</v>
      </c>
      <c r="F26" s="76">
        <f>利润表!F14</f>
        <v>3502450.8</v>
      </c>
      <c r="G26" s="76">
        <f>利润表!G14</f>
        <v>0</v>
      </c>
      <c r="H26" s="76">
        <f>利润表!H14</f>
        <v>0</v>
      </c>
      <c r="I26" s="76">
        <f>利润表!I14</f>
        <v>0</v>
      </c>
      <c r="J26" s="76">
        <f>利润表!J14</f>
        <v>0</v>
      </c>
      <c r="K26" s="76">
        <f>利润表!K14</f>
        <v>0</v>
      </c>
      <c r="L26" s="76">
        <f>利润表!L14</f>
        <v>0</v>
      </c>
      <c r="M26" s="76">
        <f>利润表!M14</f>
        <v>0</v>
      </c>
      <c r="N26" s="76">
        <f>利润表!N14</f>
        <v>0</v>
      </c>
      <c r="O26" s="76">
        <f>利润表!O14</f>
        <v>0</v>
      </c>
      <c r="P26" s="76">
        <f>利润表!P14</f>
        <v>0</v>
      </c>
      <c r="Q26" s="76">
        <f>利润表!Q14</f>
        <v>0</v>
      </c>
      <c r="R26" s="76">
        <f>利润表!R14</f>
        <v>-352661.41</v>
      </c>
      <c r="S26" s="76">
        <f>利润表!S14</f>
        <v>-352661.41</v>
      </c>
      <c r="T26" s="76">
        <f>利润表!T14</f>
        <v>0</v>
      </c>
      <c r="U26" s="76">
        <f>利润表!U14</f>
        <v>-454672.64000000001</v>
      </c>
      <c r="V26" s="76">
        <f>利润表!V14</f>
        <v>-370446.19</v>
      </c>
      <c r="W26" s="76">
        <f>利润表!W14</f>
        <v>-214567.66</v>
      </c>
      <c r="X26" s="76">
        <f>利润表!X14</f>
        <v>-94225.82</v>
      </c>
      <c r="Y26" s="76">
        <f>利润表!Y14</f>
        <v>-295093.96000000002</v>
      </c>
      <c r="Z26" s="76">
        <f>利润表!Z14</f>
        <v>-96220.07</v>
      </c>
      <c r="AA26" s="76">
        <f>利润表!AA14</f>
        <v>-96220.07</v>
      </c>
      <c r="AB26" s="76">
        <f>利润表!AB14</f>
        <v>0</v>
      </c>
      <c r="AC26" s="76">
        <f>利润表!AC14</f>
        <v>1521343.94</v>
      </c>
      <c r="AD26" s="76">
        <f>利润表!AD14</f>
        <v>1521343.94</v>
      </c>
      <c r="AE26" s="76">
        <f>利润表!AE14</f>
        <v>1521343.94</v>
      </c>
      <c r="AF26" s="76">
        <f>利润表!AF14</f>
        <v>1521343.94</v>
      </c>
      <c r="AG26" s="76">
        <f>利润表!AG14</f>
        <v>3344701.73</v>
      </c>
      <c r="AH26" s="76">
        <f>利润表!AH14</f>
        <v>-499972.93</v>
      </c>
      <c r="AI26" s="76">
        <f>利润表!AI14</f>
        <v>-499972.93</v>
      </c>
      <c r="AJ26" s="76">
        <f>利润表!AJ14</f>
        <v>0</v>
      </c>
      <c r="AK26" s="76">
        <f>利润表!AK14</f>
        <v>-1033334.25</v>
      </c>
      <c r="AL26" s="76">
        <f>利润表!AL14</f>
        <v>-1552451.92</v>
      </c>
      <c r="AM26" s="76">
        <f>利润表!AM14</f>
        <v>-1552451.92</v>
      </c>
      <c r="AN26" s="76">
        <f>利润表!AN14</f>
        <v>0</v>
      </c>
      <c r="AO26" s="76">
        <f>利润表!AO14</f>
        <v>197844.17</v>
      </c>
      <c r="AP26" s="76">
        <f>利润表!AP14</f>
        <v>0</v>
      </c>
      <c r="AQ26" s="76">
        <f>利润表!AQ14</f>
        <v>0</v>
      </c>
      <c r="AR26" s="76">
        <f>利润表!AR14</f>
        <v>0</v>
      </c>
      <c r="AS26" s="76">
        <f>利润表!AS14</f>
        <v>0</v>
      </c>
      <c r="AT26" s="76">
        <f>利润表!AT14</f>
        <v>0</v>
      </c>
      <c r="AU26" s="76">
        <f>利润表!AU14</f>
        <v>0</v>
      </c>
      <c r="AV26" s="76">
        <f>利润表!AV14</f>
        <v>0</v>
      </c>
      <c r="AW26" s="76">
        <f>利润表!AW14</f>
        <v>0</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x14ac:dyDescent="0.25">
      <c r="A27" s="147" t="s">
        <v>444</v>
      </c>
      <c r="E27" s="76">
        <f>资产资本表!E19</f>
        <v>130474733.58</v>
      </c>
      <c r="F27" s="76">
        <f>资产资本表!F19</f>
        <v>124385439.20999999</v>
      </c>
      <c r="G27" s="76">
        <f>资产资本表!G19</f>
        <v>129122297.95</v>
      </c>
      <c r="H27" s="76">
        <f>资产资本表!H19</f>
        <v>80000000</v>
      </c>
      <c r="I27" s="76">
        <f>资产资本表!I19</f>
        <v>35000000</v>
      </c>
      <c r="J27" s="76">
        <f>资产资本表!J19</f>
        <v>0</v>
      </c>
      <c r="K27" s="76">
        <f>资产资本表!K19</f>
        <v>0</v>
      </c>
      <c r="L27" s="76">
        <f>资产资本表!L19</f>
        <v>0</v>
      </c>
      <c r="M27" s="76">
        <f>资产资本表!M19</f>
        <v>0</v>
      </c>
      <c r="N27" s="76">
        <f>资产资本表!N19</f>
        <v>0</v>
      </c>
      <c r="O27" s="76">
        <f>资产资本表!O19</f>
        <v>0</v>
      </c>
      <c r="P27" s="76">
        <f>资产资本表!P19</f>
        <v>0</v>
      </c>
      <c r="Q27" s="76">
        <f>资产资本表!Q19</f>
        <v>0</v>
      </c>
      <c r="R27" s="76">
        <f>资产资本表!R19</f>
        <v>51079.89</v>
      </c>
      <c r="S27" s="76">
        <f>资产资本表!S19</f>
        <v>655392.89</v>
      </c>
      <c r="T27" s="76">
        <f>资产资本表!T19</f>
        <v>1008054.3</v>
      </c>
      <c r="U27" s="76">
        <f>资产资本表!U19</f>
        <v>1008054.3</v>
      </c>
      <c r="V27" s="76">
        <f>资产资本表!V19</f>
        <v>1092280.75</v>
      </c>
      <c r="W27" s="76">
        <f>资产资本表!W19</f>
        <v>1248159.28</v>
      </c>
      <c r="X27" s="76">
        <f>资产资本表!X19</f>
        <v>1368501.12</v>
      </c>
      <c r="Y27" s="76">
        <f>资产资本表!Y19</f>
        <v>1462726.94</v>
      </c>
      <c r="Z27" s="76">
        <f>资产资本表!Z19</f>
        <v>1661600.83</v>
      </c>
      <c r="AA27" s="76">
        <f>资产资本表!AA19</f>
        <v>1661600.83</v>
      </c>
      <c r="AB27" s="76">
        <f>资产资本表!AB19</f>
        <v>604313</v>
      </c>
      <c r="AC27" s="76">
        <f>资产资本表!AC19</f>
        <v>604313</v>
      </c>
      <c r="AD27" s="76">
        <f>资产资本表!AD19</f>
        <v>604313</v>
      </c>
      <c r="AE27" s="76">
        <f>资产资本表!AE19</f>
        <v>604313</v>
      </c>
      <c r="AF27" s="76">
        <f>资产资本表!AF19</f>
        <v>604313</v>
      </c>
      <c r="AG27" s="76">
        <f>资产资本表!AG19</f>
        <v>14009211.65</v>
      </c>
      <c r="AH27" s="76">
        <f>资产资本表!AH19</f>
        <v>10164536.99</v>
      </c>
      <c r="AI27" s="76">
        <f>资产资本表!AI19</f>
        <v>10164536.99</v>
      </c>
      <c r="AJ27" s="76">
        <f>资产资本表!AJ19</f>
        <v>10664509.92</v>
      </c>
      <c r="AK27" s="76">
        <f>资产资本表!AK19</f>
        <v>10664509.92</v>
      </c>
      <c r="AL27" s="76">
        <f>资产资本表!AL19</f>
        <v>16197844.17</v>
      </c>
      <c r="AM27" s="76">
        <f>资产资本表!AM19</f>
        <v>0</v>
      </c>
      <c r="AN27" s="76">
        <f>资产资本表!AN19</f>
        <v>0</v>
      </c>
      <c r="AO27" s="76">
        <f>资产资本表!AO19</f>
        <v>0</v>
      </c>
      <c r="AP27" s="76">
        <f>资产资本表!AP19</f>
        <v>0</v>
      </c>
      <c r="AQ27" s="76">
        <f>资产资本表!AQ19</f>
        <v>0</v>
      </c>
      <c r="AR27" s="76">
        <f>资产资本表!AR19</f>
        <v>0</v>
      </c>
      <c r="AS27" s="76">
        <f>资产资本表!AS19</f>
        <v>0</v>
      </c>
      <c r="AT27" s="76">
        <f>资产资本表!AT19</f>
        <v>0</v>
      </c>
      <c r="AU27" s="76">
        <f>资产资本表!AU19</f>
        <v>0</v>
      </c>
      <c r="AV27" s="76">
        <f>资产资本表!AV19</f>
        <v>0</v>
      </c>
      <c r="AW27" s="76">
        <f>资产资本表!AW19</f>
        <v>0</v>
      </c>
      <c r="AX27" s="76">
        <f>资产资本表!AX19</f>
        <v>0</v>
      </c>
      <c r="AY27" s="76">
        <f>资产资本表!AY19</f>
        <v>0</v>
      </c>
      <c r="AZ27" s="76">
        <f>资产资本表!AZ19</f>
        <v>0</v>
      </c>
      <c r="BA27" s="76">
        <f>资产资本表!BA19</f>
        <v>0</v>
      </c>
      <c r="BB27" s="76">
        <f>资产资本表!BB19</f>
        <v>0</v>
      </c>
      <c r="BC27" s="76">
        <f>资产资本表!BC19</f>
        <v>0</v>
      </c>
      <c r="BD27" s="76">
        <f>资产资本表!BD19</f>
        <v>0</v>
      </c>
      <c r="BE27" s="76">
        <f>资产资本表!BE19</f>
        <v>0</v>
      </c>
      <c r="BF27" s="76">
        <f>资产资本表!BF19</f>
        <v>0</v>
      </c>
      <c r="BG27" s="76">
        <f>资产资本表!BG19</f>
        <v>0</v>
      </c>
      <c r="BH27" s="76">
        <f>资产资本表!BH19</f>
        <v>0</v>
      </c>
      <c r="BI27" s="76">
        <f>资产资本表!BI19</f>
        <v>0</v>
      </c>
      <c r="BJ27" s="76">
        <f>资产资本表!BJ19</f>
        <v>0</v>
      </c>
      <c r="BK27" s="76">
        <f>资产资本表!BK19</f>
        <v>0</v>
      </c>
      <c r="BL27" s="76">
        <f>资产资本表!BL19</f>
        <v>0</v>
      </c>
      <c r="BM27" s="76">
        <f>资产资本表!BM19</f>
        <v>0</v>
      </c>
      <c r="BN27" s="76">
        <f>资产资本表!BN19</f>
        <v>0</v>
      </c>
      <c r="BO27" s="76">
        <f>资产资本表!BO19</f>
        <v>0</v>
      </c>
      <c r="BP27" s="76">
        <f>资产资本表!BP19</f>
        <v>0</v>
      </c>
      <c r="BQ27" s="76">
        <f>资产资本表!BQ19</f>
        <v>0</v>
      </c>
      <c r="BR27" s="76">
        <f>资产资本表!BR19</f>
        <v>0</v>
      </c>
      <c r="BS27" s="76">
        <f>资产资本表!BS19</f>
        <v>0</v>
      </c>
      <c r="BT27" s="76">
        <f>资产资本表!BT19</f>
        <v>0</v>
      </c>
      <c r="BU27" s="76">
        <f>资产资本表!BU19</f>
        <v>0</v>
      </c>
      <c r="BV27" s="76">
        <f>资产资本表!BV19</f>
        <v>0</v>
      </c>
      <c r="BW27" s="76">
        <f>资产资本表!BW19</f>
        <v>0</v>
      </c>
      <c r="BX27" s="76">
        <f>资产资本表!BX19</f>
        <v>0</v>
      </c>
      <c r="BY27" s="76">
        <f>资产资本表!BY19</f>
        <v>0</v>
      </c>
      <c r="BZ27" s="76">
        <f>资产资本表!BZ19</f>
        <v>0</v>
      </c>
      <c r="CA27" s="76">
        <f>资产资本表!CA19</f>
        <v>0</v>
      </c>
      <c r="CB27" s="76">
        <f>资产资本表!CB19</f>
        <v>0</v>
      </c>
      <c r="CC27" s="76">
        <f>资产资本表!CC19</f>
        <v>0</v>
      </c>
      <c r="CD27" s="76">
        <f>资产资本表!CD19</f>
        <v>0</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10" customFormat="1" x14ac:dyDescent="0.25">
      <c r="A28" s="145" t="s">
        <v>445</v>
      </c>
      <c r="E28" s="110">
        <f>E26/E27</f>
        <v>-1.9354447797754224E-2</v>
      </c>
      <c r="F28" s="110">
        <f t="shared" ref="F28:BQ28" si="12">F26/F27</f>
        <v>2.8158045043253099E-2</v>
      </c>
      <c r="G28" s="110">
        <f t="shared" si="12"/>
        <v>0</v>
      </c>
      <c r="H28" s="110">
        <f t="shared" si="12"/>
        <v>0</v>
      </c>
      <c r="I28" s="110">
        <f t="shared" si="12"/>
        <v>0</v>
      </c>
      <c r="J28" s="110" t="e">
        <f t="shared" si="12"/>
        <v>#DIV/0!</v>
      </c>
      <c r="K28" s="110" t="e">
        <f t="shared" si="12"/>
        <v>#DIV/0!</v>
      </c>
      <c r="L28" s="110" t="e">
        <f t="shared" si="12"/>
        <v>#DIV/0!</v>
      </c>
      <c r="M28" s="110" t="e">
        <f t="shared" si="12"/>
        <v>#DIV/0!</v>
      </c>
      <c r="N28" s="110" t="e">
        <f t="shared" si="12"/>
        <v>#DIV/0!</v>
      </c>
      <c r="O28" s="110" t="e">
        <f t="shared" si="12"/>
        <v>#DIV/0!</v>
      </c>
      <c r="P28" s="110" t="e">
        <f t="shared" si="12"/>
        <v>#DIV/0!</v>
      </c>
      <c r="Q28" s="110" t="e">
        <f t="shared" si="12"/>
        <v>#DIV/0!</v>
      </c>
      <c r="R28" s="110">
        <f t="shared" si="12"/>
        <v>-6.9041145155167714</v>
      </c>
      <c r="S28" s="110">
        <f t="shared" si="12"/>
        <v>-0.5380916018176517</v>
      </c>
      <c r="T28" s="110">
        <f t="shared" si="12"/>
        <v>0</v>
      </c>
      <c r="U28" s="110">
        <f t="shared" si="12"/>
        <v>-0.45103982989805214</v>
      </c>
      <c r="V28" s="110">
        <f t="shared" si="12"/>
        <v>-0.33914924345229008</v>
      </c>
      <c r="W28" s="110">
        <f t="shared" si="12"/>
        <v>-0.17190727452669341</v>
      </c>
      <c r="X28" s="110">
        <f t="shared" si="12"/>
        <v>-6.8853301340374498E-2</v>
      </c>
      <c r="Y28" s="110">
        <f t="shared" si="12"/>
        <v>-0.20174234296935833</v>
      </c>
      <c r="Z28" s="110">
        <f t="shared" si="12"/>
        <v>-5.7908053644869693E-2</v>
      </c>
      <c r="AA28" s="110">
        <f t="shared" si="12"/>
        <v>-5.7908053644869693E-2</v>
      </c>
      <c r="AB28" s="110">
        <f t="shared" si="12"/>
        <v>0</v>
      </c>
      <c r="AC28" s="110">
        <f t="shared" si="12"/>
        <v>2.5174767711434307</v>
      </c>
      <c r="AD28" s="110">
        <f t="shared" si="12"/>
        <v>2.5174767711434307</v>
      </c>
      <c r="AE28" s="110">
        <f t="shared" si="12"/>
        <v>2.5174767711434307</v>
      </c>
      <c r="AF28" s="110">
        <f t="shared" si="12"/>
        <v>2.5174767711434307</v>
      </c>
      <c r="AG28" s="110">
        <f t="shared" si="12"/>
        <v>0.23875017478231902</v>
      </c>
      <c r="AH28" s="110">
        <f t="shared" si="12"/>
        <v>-4.9187968964241033E-2</v>
      </c>
      <c r="AI28" s="110">
        <f t="shared" si="12"/>
        <v>-4.9187968964241033E-2</v>
      </c>
      <c r="AJ28" s="110">
        <f t="shared" si="12"/>
        <v>0</v>
      </c>
      <c r="AK28" s="110">
        <f t="shared" si="12"/>
        <v>-9.6894677556828609E-2</v>
      </c>
      <c r="AL28" s="110">
        <f t="shared" si="12"/>
        <v>-9.584311984401564E-2</v>
      </c>
      <c r="AM28" s="110" t="e">
        <f t="shared" si="12"/>
        <v>#DIV/0!</v>
      </c>
      <c r="AN28" s="110" t="e">
        <f t="shared" si="12"/>
        <v>#DIV/0!</v>
      </c>
      <c r="AO28" s="110" t="e">
        <f t="shared" si="12"/>
        <v>#DIV/0!</v>
      </c>
      <c r="AP28" s="110" t="e">
        <f t="shared" si="12"/>
        <v>#DIV/0!</v>
      </c>
      <c r="AQ28" s="110" t="e">
        <f t="shared" si="12"/>
        <v>#DIV/0!</v>
      </c>
      <c r="AR28" s="110" t="e">
        <f t="shared" si="12"/>
        <v>#DIV/0!</v>
      </c>
      <c r="AS28" s="110" t="e">
        <f t="shared" si="12"/>
        <v>#DIV/0!</v>
      </c>
      <c r="AT28" s="110" t="e">
        <f t="shared" si="12"/>
        <v>#DIV/0!</v>
      </c>
      <c r="AU28" s="110" t="e">
        <f t="shared" si="12"/>
        <v>#DIV/0!</v>
      </c>
      <c r="AV28" s="110" t="e">
        <f t="shared" si="12"/>
        <v>#DIV/0!</v>
      </c>
      <c r="AW28" s="110" t="e">
        <f t="shared" si="12"/>
        <v>#DIV/0!</v>
      </c>
      <c r="AX28" s="110" t="e">
        <f t="shared" si="12"/>
        <v>#DIV/0!</v>
      </c>
      <c r="AY28" s="110" t="e">
        <f t="shared" si="12"/>
        <v>#DIV/0!</v>
      </c>
      <c r="AZ28" s="110" t="e">
        <f t="shared" si="12"/>
        <v>#DIV/0!</v>
      </c>
      <c r="BA28" s="110" t="e">
        <f t="shared" si="12"/>
        <v>#DIV/0!</v>
      </c>
      <c r="BB28" s="110" t="e">
        <f t="shared" si="12"/>
        <v>#DIV/0!</v>
      </c>
      <c r="BC28" s="110" t="e">
        <f t="shared" si="12"/>
        <v>#DIV/0!</v>
      </c>
      <c r="BD28" s="110" t="e">
        <f t="shared" si="12"/>
        <v>#DIV/0!</v>
      </c>
      <c r="BE28" s="110" t="e">
        <f t="shared" si="12"/>
        <v>#DIV/0!</v>
      </c>
      <c r="BF28" s="110" t="e">
        <f t="shared" si="12"/>
        <v>#DIV/0!</v>
      </c>
      <c r="BG28" s="110" t="e">
        <f t="shared" si="12"/>
        <v>#DIV/0!</v>
      </c>
      <c r="BH28" s="110" t="e">
        <f t="shared" si="12"/>
        <v>#DIV/0!</v>
      </c>
      <c r="BI28" s="110" t="e">
        <f t="shared" si="12"/>
        <v>#DIV/0!</v>
      </c>
      <c r="BJ28" s="110" t="e">
        <f t="shared" si="12"/>
        <v>#DIV/0!</v>
      </c>
      <c r="BK28" s="110" t="e">
        <f t="shared" si="12"/>
        <v>#DIV/0!</v>
      </c>
      <c r="BL28" s="110" t="e">
        <f t="shared" si="12"/>
        <v>#DIV/0!</v>
      </c>
      <c r="BM28" s="110" t="e">
        <f t="shared" si="12"/>
        <v>#DIV/0!</v>
      </c>
      <c r="BN28" s="110" t="e">
        <f t="shared" si="12"/>
        <v>#DIV/0!</v>
      </c>
      <c r="BO28" s="110" t="e">
        <f t="shared" si="12"/>
        <v>#DIV/0!</v>
      </c>
      <c r="BP28" s="110" t="e">
        <f t="shared" si="12"/>
        <v>#DIV/0!</v>
      </c>
      <c r="BQ28" s="110" t="e">
        <f t="shared" si="12"/>
        <v>#DIV/0!</v>
      </c>
      <c r="BR28" s="110" t="e">
        <f t="shared" ref="BR28:CJ28" si="13">BR26/BR27</f>
        <v>#DIV/0!</v>
      </c>
      <c r="BS28" s="110" t="e">
        <f t="shared" si="13"/>
        <v>#DIV/0!</v>
      </c>
      <c r="BT28" s="110" t="e">
        <f t="shared" si="13"/>
        <v>#DIV/0!</v>
      </c>
      <c r="BU28" s="110" t="e">
        <f t="shared" si="13"/>
        <v>#DIV/0!</v>
      </c>
      <c r="BV28" s="110" t="e">
        <f t="shared" si="13"/>
        <v>#DIV/0!</v>
      </c>
      <c r="BW28" s="110" t="e">
        <f t="shared" si="13"/>
        <v>#DIV/0!</v>
      </c>
      <c r="BX28" s="110" t="e">
        <f t="shared" si="13"/>
        <v>#DIV/0!</v>
      </c>
      <c r="BY28" s="110" t="e">
        <f t="shared" si="13"/>
        <v>#DIV/0!</v>
      </c>
      <c r="BZ28" s="110" t="e">
        <f t="shared" si="13"/>
        <v>#DIV/0!</v>
      </c>
      <c r="CA28" s="110" t="e">
        <f t="shared" si="13"/>
        <v>#DIV/0!</v>
      </c>
      <c r="CB28" s="110" t="e">
        <f t="shared" si="13"/>
        <v>#DIV/0!</v>
      </c>
      <c r="CC28" s="110" t="e">
        <f t="shared" si="13"/>
        <v>#DIV/0!</v>
      </c>
      <c r="CD28" s="110" t="e">
        <f t="shared" si="13"/>
        <v>#DIV/0!</v>
      </c>
      <c r="CE28" s="110" t="e">
        <f t="shared" si="13"/>
        <v>#DIV/0!</v>
      </c>
      <c r="CF28" s="110" t="e">
        <f t="shared" si="13"/>
        <v>#DIV/0!</v>
      </c>
      <c r="CG28" s="110" t="e">
        <f t="shared" si="13"/>
        <v>#DIV/0!</v>
      </c>
      <c r="CH28" s="110" t="e">
        <f t="shared" si="13"/>
        <v>#DIV/0!</v>
      </c>
      <c r="CI28" s="110" t="e">
        <f t="shared" si="13"/>
        <v>#DIV/0!</v>
      </c>
      <c r="CJ28" s="110" t="e">
        <f t="shared" si="13"/>
        <v>#DIV/0!</v>
      </c>
    </row>
    <row r="29" spans="1:89" s="26" customFormat="1" ht="159.6" customHeight="1" x14ac:dyDescent="0.25">
      <c r="A29" s="290" t="s">
        <v>696</v>
      </c>
      <c r="B29" s="281"/>
      <c r="C29" s="281"/>
      <c r="D29" s="281"/>
      <c r="E29" s="281"/>
      <c r="F29" s="281"/>
      <c r="G29" s="281"/>
      <c r="H29" s="281"/>
      <c r="I29" s="281"/>
      <c r="J29" s="281"/>
      <c r="K29" s="281"/>
      <c r="L29" s="281"/>
      <c r="M29" s="281"/>
      <c r="N29" s="281"/>
      <c r="O29" s="281"/>
      <c r="P29" s="281"/>
      <c r="Q29" s="281"/>
      <c r="R29" s="281"/>
      <c r="S29" s="281"/>
      <c r="T29" s="281"/>
      <c r="U29" s="281"/>
    </row>
    <row r="30" spans="1:89" s="26" customFormat="1" x14ac:dyDescent="0.25">
      <c r="A30" s="17"/>
    </row>
    <row r="31" spans="1:89" s="116" customFormat="1" x14ac:dyDescent="0.25">
      <c r="A31" s="118" t="s">
        <v>446</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39447</v>
      </c>
      <c r="AQ31" s="1">
        <v>25569</v>
      </c>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row>
    <row r="32" spans="1:89" s="76" customFormat="1" x14ac:dyDescent="0.25">
      <c r="A32" s="147" t="s">
        <v>450</v>
      </c>
      <c r="E32" s="76">
        <f>股权价值增加表!E29</f>
        <v>-267643034.30680692</v>
      </c>
      <c r="F32" s="76">
        <f>股权价值增加表!F29</f>
        <v>66847874.178965315</v>
      </c>
      <c r="G32" s="76">
        <f>股权价值增加表!G29</f>
        <v>101967380.42589103</v>
      </c>
      <c r="H32" s="76">
        <f>股权价值增加表!H29</f>
        <v>28236404.731347732</v>
      </c>
      <c r="I32" s="76">
        <f>股权价值增加表!I29</f>
        <v>92608034.942503691</v>
      </c>
      <c r="J32" s="76">
        <f>股权价值增加表!J29</f>
        <v>128284166.43606719</v>
      </c>
      <c r="K32" s="76">
        <f>股权价值增加表!K29</f>
        <v>4295538.3115464821</v>
      </c>
      <c r="L32" s="76">
        <f>股权价值增加表!L29</f>
        <v>-2020302.2046046564</v>
      </c>
      <c r="M32" s="76">
        <f>股权价值增加表!M29</f>
        <v>312611787.57408834</v>
      </c>
      <c r="N32" s="76">
        <f>股权价值增加表!N29</f>
        <v>51348250.402970836</v>
      </c>
      <c r="O32" s="76">
        <f>股权价值增加表!O29</f>
        <v>46944863.924704984</v>
      </c>
      <c r="P32" s="76">
        <f>股权价值增加表!P29</f>
        <v>22176801.660005465</v>
      </c>
      <c r="Q32" s="76">
        <f>股权价值增加表!Q29</f>
        <v>258085224.31747642</v>
      </c>
      <c r="R32" s="76">
        <f>股权价值增加表!R29</f>
        <v>74875274.078060776</v>
      </c>
      <c r="S32" s="76">
        <f>股权价值增加表!S29</f>
        <v>43805029.141103536</v>
      </c>
      <c r="T32" s="76">
        <f>股权价值增加表!T29</f>
        <v>2310169.5877458262</v>
      </c>
      <c r="U32" s="76">
        <f>股权价值增加表!U29</f>
        <v>119696822.44403371</v>
      </c>
      <c r="V32" s="76">
        <f>股权价值增加表!V29</f>
        <v>12407643.849775998</v>
      </c>
      <c r="W32" s="76">
        <f>股权价值增加表!W29</f>
        <v>10261959.5243576</v>
      </c>
      <c r="X32" s="76">
        <f>股权价值增加表!X29</f>
        <v>3860526.4428924248</v>
      </c>
      <c r="Y32" s="76">
        <f>股权价值增加表!Y29</f>
        <v>68904842.588042304</v>
      </c>
      <c r="Z32" s="76">
        <f>股权价值增加表!Z29</f>
        <v>46875.37</v>
      </c>
      <c r="AA32" s="76">
        <f>股权价值增加表!AA29</f>
        <v>-550021.68999999994</v>
      </c>
      <c r="AB32" s="76">
        <f>股权价值增加表!AB29</f>
        <v>690947.57</v>
      </c>
      <c r="AC32" s="76">
        <f>股权价值增加表!AC29</f>
        <v>71948401.237117067</v>
      </c>
      <c r="AD32" s="76">
        <f>股权价值增加表!AD29</f>
        <v>1847947.34</v>
      </c>
      <c r="AE32" s="76">
        <f>股权价值增加表!AE29</f>
        <v>1625447.9</v>
      </c>
      <c r="AF32" s="76">
        <f>股权价值增加表!AF29</f>
        <v>409138.72</v>
      </c>
      <c r="AG32" s="76">
        <f>股权价值增加表!AG29</f>
        <v>22103482.132140689</v>
      </c>
      <c r="AH32" s="76">
        <f>股权价值增加表!AH29</f>
        <v>1130843.5900000001</v>
      </c>
      <c r="AI32" s="76">
        <f>股权价值增加表!AI29</f>
        <v>813700.09</v>
      </c>
      <c r="AJ32" s="76">
        <f>股权价值增加表!AJ29</f>
        <v>642251.66</v>
      </c>
      <c r="AK32" s="76">
        <f>股权价值增加表!AK29</f>
        <v>526470.65</v>
      </c>
      <c r="AL32" s="76">
        <f>股权价值增加表!AL29</f>
        <v>-853005.3</v>
      </c>
      <c r="AM32" s="76">
        <f>股权价值增加表!AM29</f>
        <v>24536.14</v>
      </c>
      <c r="AN32" s="76">
        <f>股权价值增加表!AN29</f>
        <v>0</v>
      </c>
      <c r="AO32" s="76">
        <f>股权价值增加表!AO29</f>
        <v>-1987665.2950040756</v>
      </c>
      <c r="AP32" s="76">
        <f>股权价值增加表!AP29</f>
        <v>728964.36</v>
      </c>
      <c r="AQ32" s="76" t="e">
        <f>股权价值增加表!AQ29</f>
        <v>#DIV/0!</v>
      </c>
      <c r="AR32" s="76">
        <f>股权价值增加表!AR29</f>
        <v>0</v>
      </c>
      <c r="AS32" s="76">
        <f>股权价值增加表!AS29</f>
        <v>-20457250.631745093</v>
      </c>
      <c r="AT32" s="76">
        <f>股权价值增加表!AT29</f>
        <v>-8122173.6560173379</v>
      </c>
      <c r="AU32" s="76">
        <f>股权价值增加表!AU29</f>
        <v>-688900.4632240358</v>
      </c>
      <c r="AV32" s="76">
        <f>股权价值增加表!AV29</f>
        <v>-61022787.12720795</v>
      </c>
      <c r="AW32" s="76">
        <f>股权价值增加表!AW29</f>
        <v>-50093697.729275554</v>
      </c>
      <c r="AX32" s="76">
        <f>股权价值增加表!AX29</f>
        <v>-43012215.904261902</v>
      </c>
      <c r="AY32" s="76">
        <f>股权价值增加表!AY29</f>
        <v>-27523866.203127492</v>
      </c>
      <c r="AZ32" s="76">
        <f>股权价值增加表!AZ29</f>
        <v>-9209832.2439196259</v>
      </c>
      <c r="BA32" s="76">
        <f>股权价值增加表!BA29</f>
        <v>69167931.356924787</v>
      </c>
      <c r="BB32" s="76">
        <f>股权价值增加表!BB29</f>
        <v>27009065.035167493</v>
      </c>
      <c r="BC32" s="76">
        <f>股权价值增加表!BC29</f>
        <v>33131586.469690327</v>
      </c>
      <c r="BD32" s="76">
        <f>股权价值增加表!BD29</f>
        <v>0</v>
      </c>
      <c r="BE32" s="76">
        <f>股权价值增加表!BE29</f>
        <v>1998183.825135876</v>
      </c>
      <c r="BF32" s="76">
        <f>股权价值增加表!BF29</f>
        <v>-8967806.6352624726</v>
      </c>
      <c r="BG32" s="76">
        <f>股权价值增加表!BG29</f>
        <v>-8022480.3069745274</v>
      </c>
      <c r="BH32" s="76">
        <f>股权价值增加表!BH29</f>
        <v>-70820124.885195538</v>
      </c>
      <c r="BI32" s="76">
        <f>股权价值增加表!BI29</f>
        <v>7091634.2273319187</v>
      </c>
      <c r="BJ32" s="76">
        <f>股权价值增加表!BJ29</f>
        <v>-4214133.4392030779</v>
      </c>
      <c r="BK32" s="76">
        <f>股权价值增加表!BK29</f>
        <v>-1023870.6355382719</v>
      </c>
      <c r="BL32" s="76">
        <f>股权价值增加表!BL29</f>
        <v>-20041322.937003668</v>
      </c>
      <c r="BM32" s="76">
        <f>股权价值增加表!BM29</f>
        <v>-1486265.4649603667</v>
      </c>
      <c r="BN32" s="76">
        <f>股权价值增加表!BN29</f>
        <v>-13247610.205168763</v>
      </c>
      <c r="BO32" s="76">
        <f>股权价值增加表!BO29</f>
        <v>-13046345.857516127</v>
      </c>
      <c r="BP32" s="76">
        <f>股权价值增加表!BP29</f>
        <v>2699402.1974922284</v>
      </c>
      <c r="BQ32" s="76">
        <f>股权价值增加表!BQ29</f>
        <v>-25832217.946003724</v>
      </c>
      <c r="BR32" s="76">
        <f>股权价值增加表!BR29</f>
        <v>-147870000</v>
      </c>
      <c r="BS32" s="76">
        <f>股权价值增加表!BS29</f>
        <v>-56921533.426971629</v>
      </c>
      <c r="BT32" s="76">
        <f>股权价值增加表!BT29</f>
        <v>-63396403.961102709</v>
      </c>
      <c r="BU32" s="76">
        <f>股权价值增加表!BU29</f>
        <v>-31533634.159668338</v>
      </c>
      <c r="BV32" s="76">
        <f>股权价值增加表!BV29</f>
        <v>0</v>
      </c>
      <c r="BW32" s="76">
        <f>股权价值增加表!BW29</f>
        <v>0</v>
      </c>
      <c r="BX32" s="76">
        <f>股权价值增加表!BX29</f>
        <v>0</v>
      </c>
      <c r="BY32" s="76">
        <f>股权价值增加表!BY29</f>
        <v>0</v>
      </c>
      <c r="BZ32" s="76">
        <f>股权价值增加表!BZ29</f>
        <v>0</v>
      </c>
      <c r="CA32" s="76">
        <f>股权价值增加表!CA29</f>
        <v>0</v>
      </c>
      <c r="CB32" s="76">
        <f>股权价值增加表!CB29</f>
        <v>0</v>
      </c>
      <c r="CC32" s="76">
        <f>股权价值增加表!CC29</f>
        <v>0</v>
      </c>
      <c r="CD32" s="76" t="e">
        <f>股权价值增加表!CD29</f>
        <v>#DIV/0!</v>
      </c>
      <c r="CE32" s="76">
        <f>股权价值增加表!CE29</f>
        <v>-20081000</v>
      </c>
      <c r="CF32" s="76">
        <f>股权价值增加表!CF29</f>
        <v>-14354563.84</v>
      </c>
      <c r="CG32" s="76" t="e">
        <f>股权价值增加表!CG29</f>
        <v>#DIV/0!</v>
      </c>
      <c r="CH32" s="76" t="e">
        <f>股权价值增加表!CH29</f>
        <v>#DIV/0!</v>
      </c>
      <c r="CI32" s="76" t="e">
        <f>股权价值增加表!CI29</f>
        <v>#DIV/0!</v>
      </c>
      <c r="CJ32" s="76" t="e">
        <f>股权价值增加表!CJ29</f>
        <v>#DIV/0!</v>
      </c>
    </row>
    <row r="33" spans="1:89" s="76" customFormat="1" x14ac:dyDescent="0.25">
      <c r="A33" s="148" t="s">
        <v>451</v>
      </c>
    </row>
    <row r="34" spans="1:89" s="76" customFormat="1" x14ac:dyDescent="0.25">
      <c r="A34" s="147" t="s">
        <v>452</v>
      </c>
      <c r="E34" s="76">
        <f>资产资本表!E4</f>
        <v>16468430702.639999</v>
      </c>
      <c r="F34" s="76">
        <f>资产资本表!F4</f>
        <v>13167615852.24</v>
      </c>
      <c r="G34" s="76">
        <f>资产资本表!G4</f>
        <v>13179646367.74</v>
      </c>
      <c r="H34" s="76">
        <f>资产资本表!H4</f>
        <v>16208936779.620001</v>
      </c>
      <c r="I34" s="76">
        <f>资产资本表!I4</f>
        <v>13634993154.18</v>
      </c>
      <c r="J34" s="76">
        <f>资产资本表!J4</f>
        <v>12377756631.74</v>
      </c>
      <c r="K34" s="76">
        <f>资产资本表!K4</f>
        <v>10217842795.09</v>
      </c>
      <c r="L34" s="76">
        <f>资产资本表!L4</f>
        <v>9368999201.3999996</v>
      </c>
      <c r="M34" s="76">
        <f>资产资本表!M4</f>
        <v>10106500588.530001</v>
      </c>
      <c r="N34" s="76">
        <f>资产资本表!N4</f>
        <v>6901448146.75</v>
      </c>
      <c r="O34" s="76">
        <f>资产资本表!O4</f>
        <v>6323749136.04</v>
      </c>
      <c r="P34" s="76">
        <f>资产资本表!P4</f>
        <v>6236444203.2700005</v>
      </c>
      <c r="Q34" s="76">
        <f>资产资本表!Q4</f>
        <v>7199658946.1899996</v>
      </c>
      <c r="R34" s="76">
        <f>资产资本表!R4</f>
        <v>3502345714.3699999</v>
      </c>
      <c r="S34" s="76">
        <f>资产资本表!S4</f>
        <v>4093778211.8600001</v>
      </c>
      <c r="T34" s="76">
        <f>资产资本表!T4</f>
        <v>3763070125.4200001</v>
      </c>
      <c r="U34" s="76">
        <f>资产资本表!U4</f>
        <v>4592606345.6000004</v>
      </c>
      <c r="V34" s="76">
        <f>资产资本表!V4</f>
        <v>4619045859.7299995</v>
      </c>
      <c r="W34" s="76">
        <f>资产资本表!W4</f>
        <v>4631592322.7799997</v>
      </c>
      <c r="X34" s="76">
        <f>资产资本表!X4</f>
        <v>4361322598.3100004</v>
      </c>
      <c r="Y34" s="76">
        <f>资产资本表!Y4</f>
        <v>5534759469.1999998</v>
      </c>
      <c r="Z34" s="76">
        <f>资产资本表!Z4</f>
        <v>4643066329.4399996</v>
      </c>
      <c r="AA34" s="76">
        <f>资产资本表!AA4</f>
        <v>4592336693.79</v>
      </c>
      <c r="AB34" s="76">
        <f>资产资本表!AB4</f>
        <v>4700147603.8900003</v>
      </c>
      <c r="AC34" s="76">
        <f>资产资本表!AC4</f>
        <v>5244489946.3900003</v>
      </c>
      <c r="AD34" s="76">
        <f>资产资本表!AD4</f>
        <v>4128046202.0700002</v>
      </c>
      <c r="AE34" s="76">
        <f>资产资本表!AE4</f>
        <v>4191087673.9699998</v>
      </c>
      <c r="AF34" s="76">
        <f>资产资本表!AF4</f>
        <v>4380487688.2799997</v>
      </c>
      <c r="AG34" s="76">
        <f>资产资本表!AG4</f>
        <v>4649956978.1499996</v>
      </c>
      <c r="AH34" s="76">
        <f>资产资本表!AH4</f>
        <v>3813886974.6799998</v>
      </c>
      <c r="AI34" s="76">
        <f>资产资本表!AI4</f>
        <v>4143895458.0500002</v>
      </c>
      <c r="AJ34" s="76">
        <f>资产资本表!AJ4</f>
        <v>762411039.29999995</v>
      </c>
      <c r="AK34" s="76">
        <f>资产资本表!AK4</f>
        <v>1148562390.8499999</v>
      </c>
      <c r="AL34" s="76">
        <f>资产资本表!AL4</f>
        <v>844381117.83000004</v>
      </c>
      <c r="AM34" s="76">
        <f>资产资本表!AM4</f>
        <v>448714996.70999998</v>
      </c>
      <c r="AN34" s="76">
        <f>资产资本表!AN4</f>
        <v>0</v>
      </c>
      <c r="AO34" s="76">
        <f>资产资本表!AO4</f>
        <v>0</v>
      </c>
      <c r="AP34" s="76">
        <f>资产资本表!AP4</f>
        <v>0</v>
      </c>
      <c r="AQ34" s="76">
        <f>资产资本表!AQ4</f>
        <v>0</v>
      </c>
      <c r="AR34" s="76">
        <f>资产资本表!AR4</f>
        <v>0</v>
      </c>
      <c r="AS34" s="76">
        <f>资产资本表!AS4</f>
        <v>0</v>
      </c>
      <c r="AT34" s="76">
        <f>资产资本表!AT4</f>
        <v>0</v>
      </c>
      <c r="AU34" s="76">
        <f>资产资本表!AU4</f>
        <v>0</v>
      </c>
      <c r="AV34" s="76">
        <f>资产资本表!AV4</f>
        <v>0</v>
      </c>
      <c r="AW34" s="76">
        <f>资产资本表!AW4</f>
        <v>0</v>
      </c>
      <c r="AX34" s="76">
        <f>资产资本表!AX4</f>
        <v>0</v>
      </c>
      <c r="AY34" s="76">
        <f>资产资本表!AY4</f>
        <v>0</v>
      </c>
      <c r="AZ34" s="76">
        <f>资产资本表!AZ4</f>
        <v>0</v>
      </c>
      <c r="BA34" s="76">
        <f>资产资本表!BA4</f>
        <v>0</v>
      </c>
      <c r="BB34" s="76">
        <f>资产资本表!BB4</f>
        <v>0</v>
      </c>
      <c r="BC34" s="76">
        <f>资产资本表!BC4</f>
        <v>0</v>
      </c>
      <c r="BD34" s="76">
        <f>资产资本表!BD4</f>
        <v>0</v>
      </c>
      <c r="BE34" s="76">
        <f>资产资本表!BE4</f>
        <v>0</v>
      </c>
      <c r="BF34" s="76">
        <f>资产资本表!BF4</f>
        <v>0</v>
      </c>
      <c r="BG34" s="76">
        <f>资产资本表!BG4</f>
        <v>0</v>
      </c>
      <c r="BH34" s="76">
        <f>资产资本表!BH4</f>
        <v>0</v>
      </c>
      <c r="BI34" s="76">
        <f>资产资本表!BI4</f>
        <v>0</v>
      </c>
      <c r="BJ34" s="76">
        <f>资产资本表!BJ4</f>
        <v>0</v>
      </c>
      <c r="BK34" s="76">
        <f>资产资本表!BK4</f>
        <v>0</v>
      </c>
      <c r="BL34" s="76">
        <f>资产资本表!BL4</f>
        <v>0</v>
      </c>
      <c r="BM34" s="76">
        <f>资产资本表!BM4</f>
        <v>0</v>
      </c>
      <c r="BN34" s="76">
        <f>资产资本表!BN4</f>
        <v>0</v>
      </c>
      <c r="BO34" s="76">
        <f>资产资本表!BO4</f>
        <v>0</v>
      </c>
      <c r="BP34" s="76">
        <f>资产资本表!BP4</f>
        <v>0</v>
      </c>
      <c r="BQ34" s="76">
        <f>资产资本表!BQ4</f>
        <v>0</v>
      </c>
      <c r="BR34" s="76">
        <f>资产资本表!BR4</f>
        <v>0</v>
      </c>
      <c r="BS34" s="76">
        <f>资产资本表!BS4</f>
        <v>0</v>
      </c>
      <c r="BT34" s="76">
        <f>资产资本表!BT4</f>
        <v>0</v>
      </c>
      <c r="BU34" s="76">
        <f>资产资本表!BU4</f>
        <v>0</v>
      </c>
      <c r="BV34" s="76">
        <f>资产资本表!BV4</f>
        <v>0</v>
      </c>
      <c r="BW34" s="76">
        <f>资产资本表!BW4</f>
        <v>0</v>
      </c>
      <c r="BX34" s="76">
        <f>资产资本表!BX4</f>
        <v>0</v>
      </c>
      <c r="BY34" s="76">
        <f>资产资本表!BY4</f>
        <v>0</v>
      </c>
      <c r="BZ34" s="76">
        <f>资产资本表!BZ4</f>
        <v>0</v>
      </c>
      <c r="CA34" s="76">
        <f>资产资本表!CA4</f>
        <v>0</v>
      </c>
      <c r="CB34" s="76">
        <f>资产资本表!CB4</f>
        <v>0</v>
      </c>
      <c r="CC34" s="76">
        <f>资产资本表!CC4</f>
        <v>0</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x14ac:dyDescent="0.25">
      <c r="A35" s="147" t="s">
        <v>453</v>
      </c>
      <c r="E35" s="76">
        <f>利润表!E12</f>
        <v>42090091.109999999</v>
      </c>
      <c r="F35" s="76">
        <f>利润表!F12</f>
        <v>38626739.560000002</v>
      </c>
      <c r="G35" s="76">
        <f>利润表!G12</f>
        <v>38552490.409999996</v>
      </c>
      <c r="H35" s="76">
        <f>利润表!H12</f>
        <v>4304484.96</v>
      </c>
      <c r="I35" s="76">
        <f>利润表!I12</f>
        <v>-40171578.799999997</v>
      </c>
      <c r="J35" s="76">
        <f>利润表!J12</f>
        <v>-7414642.5</v>
      </c>
      <c r="K35" s="76">
        <f>利润表!K12</f>
        <v>-8281896.3200000003</v>
      </c>
      <c r="L35" s="76">
        <f>利润表!L12</f>
        <v>-8978982.0800000001</v>
      </c>
      <c r="M35" s="76">
        <f>利润表!M12</f>
        <v>-16154643.25</v>
      </c>
      <c r="N35" s="76">
        <f>利润表!N12</f>
        <v>-15659210.5</v>
      </c>
      <c r="O35" s="76">
        <f>利润表!O12</f>
        <v>-10606627.359999999</v>
      </c>
      <c r="P35" s="76">
        <f>利润表!P12</f>
        <v>-4552407.5</v>
      </c>
      <c r="Q35" s="76">
        <f>利润表!Q12</f>
        <v>3032932.74</v>
      </c>
      <c r="R35" s="76">
        <f>利润表!R12</f>
        <v>-1078610</v>
      </c>
      <c r="S35" s="76">
        <f>利润表!S12</f>
        <v>-3741370</v>
      </c>
      <c r="T35" s="76">
        <f>利润表!T12</f>
        <v>0</v>
      </c>
      <c r="U35" s="76">
        <f>利润表!U12</f>
        <v>0</v>
      </c>
      <c r="V35" s="76">
        <f>利润表!V12</f>
        <v>0</v>
      </c>
      <c r="W35" s="76">
        <f>利润表!W12</f>
        <v>0</v>
      </c>
      <c r="X35" s="76">
        <f>利润表!X12</f>
        <v>0</v>
      </c>
      <c r="Y35" s="76">
        <f>利润表!Y12</f>
        <v>0</v>
      </c>
      <c r="Z35" s="76">
        <f>利润表!Z12</f>
        <v>0</v>
      </c>
      <c r="AA35" s="76">
        <f>利润表!AA12</f>
        <v>0</v>
      </c>
      <c r="AB35" s="76">
        <f>利润表!AB12</f>
        <v>0</v>
      </c>
      <c r="AC35" s="76">
        <f>利润表!AC12</f>
        <v>0</v>
      </c>
      <c r="AD35" s="76">
        <f>利润表!AD12</f>
        <v>0</v>
      </c>
      <c r="AE35" s="76">
        <f>利润表!AE12</f>
        <v>0</v>
      </c>
      <c r="AF35" s="76">
        <f>利润表!AF12</f>
        <v>0</v>
      </c>
      <c r="AG35" s="76">
        <f>利润表!AG12</f>
        <v>0</v>
      </c>
      <c r="AH35" s="76">
        <f>利润表!AH12</f>
        <v>0</v>
      </c>
      <c r="AI35" s="76">
        <f>利润表!AI12</f>
        <v>0</v>
      </c>
      <c r="AJ35" s="76">
        <f>利润表!AJ12</f>
        <v>0</v>
      </c>
      <c r="AK35" s="76">
        <f>利润表!AK12</f>
        <v>0</v>
      </c>
      <c r="AL35" s="76">
        <f>利润表!AL12</f>
        <v>0</v>
      </c>
      <c r="AM35" s="76">
        <f>利润表!AM12</f>
        <v>0</v>
      </c>
      <c r="AN35" s="76">
        <f>利润表!AN12</f>
        <v>0</v>
      </c>
      <c r="AO35" s="76">
        <f>利润表!AO12</f>
        <v>0</v>
      </c>
      <c r="AP35" s="76">
        <f>利润表!AP12</f>
        <v>0</v>
      </c>
      <c r="AQ35" s="76">
        <f>利润表!AQ12</f>
        <v>0</v>
      </c>
      <c r="AR35" s="76">
        <f>利润表!AR12</f>
        <v>0</v>
      </c>
      <c r="AS35" s="76">
        <f>利润表!AS12</f>
        <v>0</v>
      </c>
      <c r="AT35" s="76">
        <f>利润表!AT12</f>
        <v>0</v>
      </c>
      <c r="AU35" s="76">
        <f>利润表!AU12</f>
        <v>0</v>
      </c>
      <c r="AV35" s="76">
        <f>利润表!AV12</f>
        <v>0</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x14ac:dyDescent="0.25">
      <c r="A36" s="147" t="s">
        <v>454</v>
      </c>
      <c r="E36" s="76">
        <f>资产资本表!E13</f>
        <v>0</v>
      </c>
      <c r="F36" s="76">
        <f>资产资本表!F13</f>
        <v>0</v>
      </c>
      <c r="G36" s="76">
        <f>资产资本表!G13</f>
        <v>0</v>
      </c>
      <c r="H36" s="76">
        <f>资产资本表!H13</f>
        <v>0</v>
      </c>
      <c r="I36" s="76">
        <f>资产资本表!I13</f>
        <v>0</v>
      </c>
      <c r="J36" s="76">
        <f>资产资本表!J13</f>
        <v>0</v>
      </c>
      <c r="K36" s="76">
        <f>资产资本表!K13</f>
        <v>0</v>
      </c>
      <c r="L36" s="76">
        <f>资产资本表!L13</f>
        <v>0</v>
      </c>
      <c r="M36" s="76">
        <f>资产资本表!M13</f>
        <v>0</v>
      </c>
      <c r="N36" s="76">
        <f>资产资本表!N13</f>
        <v>0</v>
      </c>
      <c r="O36" s="76">
        <f>资产资本表!O13</f>
        <v>0</v>
      </c>
      <c r="P36" s="76">
        <f>资产资本表!P13</f>
        <v>0</v>
      </c>
      <c r="Q36" s="76">
        <f>资产资本表!Q13</f>
        <v>0</v>
      </c>
      <c r="R36" s="76">
        <f>资产资本表!R13</f>
        <v>0</v>
      </c>
      <c r="S36" s="76">
        <f>资产资本表!S13</f>
        <v>0</v>
      </c>
      <c r="T36" s="76">
        <f>资产资本表!T13</f>
        <v>0</v>
      </c>
      <c r="U36" s="76">
        <f>资产资本表!U13</f>
        <v>0</v>
      </c>
      <c r="V36" s="76">
        <f>资产资本表!V13</f>
        <v>0</v>
      </c>
      <c r="W36" s="76">
        <f>资产资本表!W13</f>
        <v>0</v>
      </c>
      <c r="X36" s="76">
        <f>资产资本表!X13</f>
        <v>0</v>
      </c>
      <c r="Y36" s="76">
        <f>资产资本表!Y13</f>
        <v>0</v>
      </c>
      <c r="Z36" s="76">
        <f>资产资本表!Z13</f>
        <v>0</v>
      </c>
      <c r="AA36" s="76">
        <f>资产资本表!AA13</f>
        <v>0</v>
      </c>
      <c r="AB36" s="76">
        <f>资产资本表!AB13</f>
        <v>0</v>
      </c>
      <c r="AC36" s="76">
        <f>资产资本表!AC13</f>
        <v>0</v>
      </c>
      <c r="AD36" s="76">
        <f>资产资本表!AD13</f>
        <v>0</v>
      </c>
      <c r="AE36" s="76">
        <f>资产资本表!AE13</f>
        <v>0</v>
      </c>
      <c r="AF36" s="76">
        <f>资产资本表!AF13</f>
        <v>0</v>
      </c>
      <c r="AG36" s="76">
        <f>资产资本表!AG13</f>
        <v>0</v>
      </c>
      <c r="AH36" s="76">
        <f>资产资本表!AH13</f>
        <v>0</v>
      </c>
      <c r="AI36" s="76">
        <f>资产资本表!AI13</f>
        <v>0</v>
      </c>
      <c r="AJ36" s="76">
        <f>资产资本表!AJ13</f>
        <v>0</v>
      </c>
      <c r="AK36" s="76">
        <f>资产资本表!AK13</f>
        <v>0</v>
      </c>
      <c r="AL36" s="76">
        <f>资产资本表!AL13</f>
        <v>0</v>
      </c>
      <c r="AM36" s="76">
        <f>资产资本表!AM13</f>
        <v>0</v>
      </c>
      <c r="AN36" s="76">
        <f>资产资本表!AN13</f>
        <v>0</v>
      </c>
      <c r="AO36" s="76">
        <f>资产资本表!AO13</f>
        <v>0</v>
      </c>
      <c r="AP36" s="76">
        <f>资产资本表!AP13</f>
        <v>0</v>
      </c>
      <c r="AQ36" s="76">
        <f>资产资本表!AQ13</f>
        <v>0</v>
      </c>
      <c r="AR36" s="76">
        <f>资产资本表!AR13</f>
        <v>0</v>
      </c>
      <c r="AS36" s="76">
        <f>资产资本表!AS13</f>
        <v>0</v>
      </c>
      <c r="AT36" s="76">
        <f>资产资本表!AT13</f>
        <v>0</v>
      </c>
      <c r="AU36" s="76">
        <f>资产资本表!AU13</f>
        <v>0</v>
      </c>
      <c r="AV36" s="76">
        <f>资产资本表!AV13</f>
        <v>0</v>
      </c>
      <c r="AW36" s="76">
        <f>资产资本表!AW13</f>
        <v>0</v>
      </c>
      <c r="AX36" s="76">
        <f>资产资本表!AX13</f>
        <v>0</v>
      </c>
      <c r="AY36" s="76">
        <f>资产资本表!AY13</f>
        <v>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x14ac:dyDescent="0.25">
      <c r="A37" s="147" t="s">
        <v>455</v>
      </c>
      <c r="E37" s="76">
        <f>资产资本表!E11</f>
        <v>0</v>
      </c>
      <c r="F37" s="76">
        <f>资产资本表!F11</f>
        <v>0</v>
      </c>
      <c r="G37" s="76">
        <f>资产资本表!G11</f>
        <v>0</v>
      </c>
      <c r="H37" s="76">
        <f>资产资本表!H11</f>
        <v>0</v>
      </c>
      <c r="I37" s="76">
        <f>资产资本表!I11</f>
        <v>0</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0</v>
      </c>
      <c r="S37" s="76">
        <f>资产资本表!S11</f>
        <v>0</v>
      </c>
      <c r="T37" s="76">
        <f>资产资本表!T11</f>
        <v>0</v>
      </c>
      <c r="U37" s="76">
        <f>资产资本表!U11</f>
        <v>0</v>
      </c>
      <c r="V37" s="76">
        <f>资产资本表!V11</f>
        <v>0</v>
      </c>
      <c r="W37" s="76">
        <f>资产资本表!W11</f>
        <v>0</v>
      </c>
      <c r="X37" s="76">
        <f>资产资本表!X11</f>
        <v>0</v>
      </c>
      <c r="Y37" s="76">
        <f>资产资本表!Y11</f>
        <v>0</v>
      </c>
      <c r="Z37" s="76">
        <f>资产资本表!Z11</f>
        <v>0</v>
      </c>
      <c r="AA37" s="76">
        <f>资产资本表!AA11</f>
        <v>0</v>
      </c>
      <c r="AB37" s="76">
        <f>资产资本表!AB11</f>
        <v>0</v>
      </c>
      <c r="AC37" s="76">
        <f>资产资本表!AC11</f>
        <v>0</v>
      </c>
      <c r="AD37" s="76">
        <f>资产资本表!AD11</f>
        <v>0</v>
      </c>
      <c r="AE37" s="76">
        <f>资产资本表!AE11</f>
        <v>0</v>
      </c>
      <c r="AF37" s="76">
        <f>资产资本表!AF11</f>
        <v>0</v>
      </c>
      <c r="AG37" s="76">
        <f>资产资本表!AG11</f>
        <v>0</v>
      </c>
      <c r="AH37" s="76">
        <f>资产资本表!AH11</f>
        <v>0</v>
      </c>
      <c r="AI37" s="76">
        <f>资产资本表!AI11</f>
        <v>0</v>
      </c>
      <c r="AJ37" s="76">
        <f>资产资本表!AJ11</f>
        <v>0</v>
      </c>
      <c r="AK37" s="76">
        <f>资产资本表!AK11</f>
        <v>0</v>
      </c>
      <c r="AL37" s="76">
        <f>资产资本表!AL11</f>
        <v>0</v>
      </c>
      <c r="AM37" s="76">
        <f>资产资本表!AM11</f>
        <v>0</v>
      </c>
      <c r="AN37" s="76">
        <f>资产资本表!AN11</f>
        <v>0</v>
      </c>
      <c r="AO37" s="76">
        <f>资产资本表!AO11</f>
        <v>0</v>
      </c>
      <c r="AP37" s="76">
        <f>资产资本表!AP11</f>
        <v>0</v>
      </c>
      <c r="AQ37" s="76">
        <f>资产资本表!AQ11</f>
        <v>0</v>
      </c>
      <c r="AR37" s="76">
        <f>资产资本表!AR11</f>
        <v>0</v>
      </c>
      <c r="AS37" s="76">
        <f>资产资本表!AS11</f>
        <v>0</v>
      </c>
      <c r="AT37" s="76">
        <f>资产资本表!AT11</f>
        <v>0</v>
      </c>
      <c r="AU37" s="76">
        <f>资产资本表!AU11</f>
        <v>0</v>
      </c>
      <c r="AV37" s="76">
        <f>资产资本表!AV11</f>
        <v>0</v>
      </c>
      <c r="AW37" s="76">
        <f>资产资本表!AW11</f>
        <v>0</v>
      </c>
      <c r="AX37" s="76">
        <f>资产资本表!AX11</f>
        <v>0</v>
      </c>
      <c r="AY37" s="76">
        <f>资产资本表!AY11</f>
        <v>0</v>
      </c>
      <c r="AZ37" s="76">
        <f>资产资本表!AZ11</f>
        <v>0</v>
      </c>
      <c r="BA37" s="76">
        <f>资产资本表!BA11</f>
        <v>0</v>
      </c>
      <c r="BB37" s="76">
        <f>资产资本表!BB11</f>
        <v>0</v>
      </c>
      <c r="BC37" s="76">
        <f>资产资本表!BC11</f>
        <v>0</v>
      </c>
      <c r="BD37" s="76">
        <f>资产资本表!BD11</f>
        <v>0</v>
      </c>
      <c r="BE37" s="76">
        <f>资产资本表!BE11</f>
        <v>0</v>
      </c>
      <c r="BF37" s="76">
        <f>资产资本表!BF11</f>
        <v>0</v>
      </c>
      <c r="BG37" s="76">
        <f>资产资本表!BG11</f>
        <v>0</v>
      </c>
      <c r="BH37" s="76">
        <f>资产资本表!BH11</f>
        <v>0</v>
      </c>
      <c r="BI37" s="76">
        <f>资产资本表!BI11</f>
        <v>0</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x14ac:dyDescent="0.25">
      <c r="A38" s="147" t="s">
        <v>456</v>
      </c>
      <c r="E38" s="76">
        <f>资产资本表!E8</f>
        <v>287466813</v>
      </c>
      <c r="F38" s="76">
        <f>资产资本表!F8</f>
        <v>287466813</v>
      </c>
      <c r="G38" s="76">
        <f>资产资本表!G8</f>
        <v>283836013</v>
      </c>
      <c r="H38" s="76">
        <f>资产资本表!H8</f>
        <v>283836013</v>
      </c>
      <c r="I38" s="76">
        <f>资产资本表!I8</f>
        <v>283836013</v>
      </c>
      <c r="J38" s="76">
        <f>资产资本表!J8</f>
        <v>56043513</v>
      </c>
      <c r="K38" s="76">
        <f>资产资本表!K8</f>
        <v>56033513</v>
      </c>
      <c r="L38" s="76">
        <f>资产资本表!L8</f>
        <v>56033513</v>
      </c>
      <c r="M38" s="76">
        <f>资产资本表!M8</f>
        <v>56033513</v>
      </c>
      <c r="N38" s="76">
        <f>资产资本表!N8</f>
        <v>604313</v>
      </c>
      <c r="O38" s="76">
        <f>资产资本表!O8</f>
        <v>604313</v>
      </c>
      <c r="P38" s="76">
        <f>资产资本表!P8</f>
        <v>604313</v>
      </c>
      <c r="Q38" s="76">
        <f>资产资本表!Q8</f>
        <v>604313</v>
      </c>
      <c r="R38" s="76">
        <f>资产资本表!R8</f>
        <v>604313</v>
      </c>
      <c r="S38" s="76">
        <f>资产资本表!S8</f>
        <v>0</v>
      </c>
      <c r="T38" s="76">
        <f>资产资本表!T8</f>
        <v>0</v>
      </c>
      <c r="U38" s="76">
        <f>资产资本表!U8</f>
        <v>0</v>
      </c>
      <c r="V38" s="76">
        <f>资产资本表!V8</f>
        <v>0</v>
      </c>
      <c r="W38" s="76">
        <f>资产资本表!W8</f>
        <v>0</v>
      </c>
      <c r="X38" s="76">
        <f>资产资本表!X8</f>
        <v>0</v>
      </c>
      <c r="Y38" s="76">
        <f>资产资本表!Y8</f>
        <v>0</v>
      </c>
      <c r="Z38" s="76">
        <f>资产资本表!Z8</f>
        <v>0</v>
      </c>
      <c r="AA38" s="76">
        <f>资产资本表!AA8</f>
        <v>0</v>
      </c>
      <c r="AB38" s="76">
        <f>资产资本表!AB8</f>
        <v>0</v>
      </c>
      <c r="AC38" s="76">
        <f>资产资本表!AC8</f>
        <v>0</v>
      </c>
      <c r="AD38" s="76">
        <f>资产资本表!AD8</f>
        <v>0</v>
      </c>
      <c r="AE38" s="76">
        <f>资产资本表!AE8</f>
        <v>0</v>
      </c>
      <c r="AF38" s="76">
        <f>资产资本表!AF8</f>
        <v>0</v>
      </c>
      <c r="AG38" s="76">
        <f>资产资本表!AG8</f>
        <v>0</v>
      </c>
      <c r="AH38" s="76">
        <f>资产资本表!AH8</f>
        <v>0</v>
      </c>
      <c r="AI38" s="76">
        <f>资产资本表!AI8</f>
        <v>0</v>
      </c>
      <c r="AJ38" s="76">
        <f>资产资本表!AJ8</f>
        <v>0</v>
      </c>
      <c r="AK38" s="76">
        <f>资产资本表!AK8</f>
        <v>0</v>
      </c>
      <c r="AL38" s="76">
        <f>资产资本表!AL8</f>
        <v>0</v>
      </c>
      <c r="AM38" s="76">
        <f>资产资本表!AM8</f>
        <v>0</v>
      </c>
      <c r="AN38" s="76">
        <f>资产资本表!AN8</f>
        <v>0</v>
      </c>
      <c r="AO38" s="76">
        <f>资产资本表!AO8</f>
        <v>0</v>
      </c>
      <c r="AP38" s="76">
        <f>资产资本表!AP8</f>
        <v>0</v>
      </c>
      <c r="AQ38" s="76">
        <f>资产资本表!AQ8</f>
        <v>0</v>
      </c>
      <c r="AR38" s="76">
        <f>资产资本表!AR8</f>
        <v>0</v>
      </c>
      <c r="AS38" s="76">
        <f>资产资本表!AS8</f>
        <v>0</v>
      </c>
      <c r="AT38" s="76">
        <f>资产资本表!AT8</f>
        <v>0</v>
      </c>
      <c r="AU38" s="76">
        <f>资产资本表!AU8</f>
        <v>0</v>
      </c>
      <c r="AV38" s="76">
        <f>资产资本表!AV8</f>
        <v>0</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x14ac:dyDescent="0.25">
      <c r="A39" s="147" t="s">
        <v>457</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595000000</v>
      </c>
      <c r="W39" s="76">
        <f>资产资本表!W9</f>
        <v>895000000</v>
      </c>
      <c r="X39" s="76">
        <f>资产资本表!X9</f>
        <v>816500000</v>
      </c>
      <c r="Y39" s="76">
        <f>资产资本表!Y9</f>
        <v>300000000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0</v>
      </c>
      <c r="AP39" s="76">
        <f>资产资本表!AP9</f>
        <v>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0</v>
      </c>
      <c r="BN39" s="76">
        <f>资产资本表!BN9</f>
        <v>0</v>
      </c>
      <c r="BO39" s="76">
        <f>资产资本表!BO9</f>
        <v>0</v>
      </c>
      <c r="BP39" s="76">
        <f>资产资本表!BP9</f>
        <v>0</v>
      </c>
      <c r="BQ39" s="76">
        <f>资产资本表!BQ9</f>
        <v>0</v>
      </c>
      <c r="BR39" s="76">
        <f>资产资本表!BR9</f>
        <v>0</v>
      </c>
      <c r="BS39" s="76">
        <f>资产资本表!BS9</f>
        <v>0</v>
      </c>
      <c r="BT39" s="76">
        <f>资产资本表!BT9</f>
        <v>0</v>
      </c>
      <c r="BU39" s="76">
        <f>资产资本表!BU9</f>
        <v>0</v>
      </c>
      <c r="BV39" s="76">
        <f>资产资本表!BV9</f>
        <v>0</v>
      </c>
      <c r="BW39" s="76">
        <f>资产资本表!BW9</f>
        <v>0</v>
      </c>
      <c r="BX39" s="76">
        <f>资产资本表!BX9</f>
        <v>0</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x14ac:dyDescent="0.25">
      <c r="A40" s="147" t="s">
        <v>458</v>
      </c>
      <c r="E40" s="76">
        <f>资产资本表!E10</f>
        <v>0</v>
      </c>
      <c r="F40" s="76">
        <f>资产资本表!F10</f>
        <v>0</v>
      </c>
      <c r="G40" s="76">
        <f>资产资本表!G10</f>
        <v>0</v>
      </c>
      <c r="H40" s="76">
        <f>资产资本表!H10</f>
        <v>0</v>
      </c>
      <c r="I40" s="76">
        <f>资产资本表!I10</f>
        <v>0</v>
      </c>
      <c r="J40" s="76">
        <f>资产资本表!J10</f>
        <v>0</v>
      </c>
      <c r="K40" s="76">
        <f>资产资本表!K10</f>
        <v>0</v>
      </c>
      <c r="L40" s="76">
        <f>资产资本表!L10</f>
        <v>0</v>
      </c>
      <c r="M40" s="76">
        <f>资产资本表!M10</f>
        <v>0</v>
      </c>
      <c r="N40" s="76">
        <f>资产资本表!N10</f>
        <v>0</v>
      </c>
      <c r="O40" s="76">
        <f>资产资本表!O10</f>
        <v>0</v>
      </c>
      <c r="P40" s="76">
        <f>资产资本表!P10</f>
        <v>0</v>
      </c>
      <c r="Q40" s="76">
        <f>资产资本表!Q10</f>
        <v>0</v>
      </c>
      <c r="R40" s="76">
        <f>资产资本表!R10</f>
        <v>0</v>
      </c>
      <c r="S40" s="76">
        <f>资产资本表!S10</f>
        <v>0</v>
      </c>
      <c r="T40" s="76">
        <f>资产资本表!T10</f>
        <v>0</v>
      </c>
      <c r="U40" s="76">
        <f>资产资本表!U10</f>
        <v>0</v>
      </c>
      <c r="V40" s="76">
        <f>资产资本表!V10</f>
        <v>0</v>
      </c>
      <c r="W40" s="76">
        <f>资产资本表!W10</f>
        <v>0</v>
      </c>
      <c r="X40" s="76">
        <f>资产资本表!X10</f>
        <v>0</v>
      </c>
      <c r="Y40" s="76">
        <f>资产资本表!Y10</f>
        <v>0</v>
      </c>
      <c r="Z40" s="76">
        <f>资产资本表!Z10</f>
        <v>0</v>
      </c>
      <c r="AA40" s="76">
        <f>资产资本表!AA10</f>
        <v>0</v>
      </c>
      <c r="AB40" s="76">
        <f>资产资本表!AB10</f>
        <v>0</v>
      </c>
      <c r="AC40" s="76">
        <f>资产资本表!AC10</f>
        <v>0</v>
      </c>
      <c r="AD40" s="76">
        <f>资产资本表!AD10</f>
        <v>0</v>
      </c>
      <c r="AE40" s="76">
        <f>资产资本表!AE10</f>
        <v>0</v>
      </c>
      <c r="AF40" s="76">
        <f>资产资本表!AF10</f>
        <v>0</v>
      </c>
      <c r="AG40" s="76">
        <f>资产资本表!AG10</f>
        <v>0</v>
      </c>
      <c r="AH40" s="76">
        <f>资产资本表!AH10</f>
        <v>0</v>
      </c>
      <c r="AI40" s="76">
        <f>资产资本表!AI10</f>
        <v>0</v>
      </c>
      <c r="AJ40" s="76">
        <f>资产资本表!AJ10</f>
        <v>0</v>
      </c>
      <c r="AK40" s="76">
        <f>资产资本表!AK10</f>
        <v>0</v>
      </c>
      <c r="AL40" s="76">
        <f>资产资本表!AL10</f>
        <v>0</v>
      </c>
      <c r="AM40" s="76">
        <f>资产资本表!AM10</f>
        <v>0</v>
      </c>
      <c r="AN40" s="76">
        <f>资产资本表!AN10</f>
        <v>0</v>
      </c>
      <c r="AO40" s="76">
        <f>资产资本表!AO10</f>
        <v>0</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x14ac:dyDescent="0.25">
      <c r="A41" s="147" t="s">
        <v>459</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x14ac:dyDescent="0.25">
      <c r="A42" s="147" t="s">
        <v>460</v>
      </c>
      <c r="E42" s="76">
        <f>资产资本表!E6</f>
        <v>0</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x14ac:dyDescent="0.25">
      <c r="A43" s="148" t="s">
        <v>461</v>
      </c>
      <c r="E43" s="76">
        <f>SUM(E34:E42)</f>
        <v>16797987606.75</v>
      </c>
      <c r="F43" s="76">
        <f t="shared" ref="F43:BQ43" si="14">SUM(F34:F42)</f>
        <v>13493709404.799999</v>
      </c>
      <c r="G43" s="76">
        <f t="shared" si="14"/>
        <v>13502034871.15</v>
      </c>
      <c r="H43" s="76">
        <f t="shared" si="14"/>
        <v>16497077277.58</v>
      </c>
      <c r="I43" s="76">
        <f t="shared" si="14"/>
        <v>13878657588.380001</v>
      </c>
      <c r="J43" s="76">
        <f t="shared" si="14"/>
        <v>12426385502.24</v>
      </c>
      <c r="K43" s="76">
        <f t="shared" si="14"/>
        <v>10265594411.77</v>
      </c>
      <c r="L43" s="76">
        <f t="shared" si="14"/>
        <v>9416053732.3199997</v>
      </c>
      <c r="M43" s="76">
        <f t="shared" si="14"/>
        <v>10146379458.280001</v>
      </c>
      <c r="N43" s="76">
        <f t="shared" si="14"/>
        <v>6886393249.25</v>
      </c>
      <c r="O43" s="76">
        <f t="shared" si="14"/>
        <v>6313746821.6800003</v>
      </c>
      <c r="P43" s="76">
        <f t="shared" si="14"/>
        <v>6232496108.7700005</v>
      </c>
      <c r="Q43" s="76">
        <f t="shared" si="14"/>
        <v>7203296191.9299994</v>
      </c>
      <c r="R43" s="76">
        <f t="shared" si="14"/>
        <v>3501871417.3699999</v>
      </c>
      <c r="S43" s="76">
        <f t="shared" si="14"/>
        <v>4090036841.8600001</v>
      </c>
      <c r="T43" s="76">
        <f t="shared" si="14"/>
        <v>3763070125.4200001</v>
      </c>
      <c r="U43" s="76">
        <f t="shared" si="14"/>
        <v>4592606345.6000004</v>
      </c>
      <c r="V43" s="76">
        <f t="shared" si="14"/>
        <v>5214045859.7299995</v>
      </c>
      <c r="W43" s="76">
        <f t="shared" si="14"/>
        <v>5526592322.7799997</v>
      </c>
      <c r="X43" s="76">
        <f t="shared" si="14"/>
        <v>5177822598.3100004</v>
      </c>
      <c r="Y43" s="76">
        <f t="shared" si="14"/>
        <v>5834759469.1999998</v>
      </c>
      <c r="Z43" s="76">
        <f t="shared" si="14"/>
        <v>4643066329.4399996</v>
      </c>
      <c r="AA43" s="76">
        <f t="shared" si="14"/>
        <v>4592336693.79</v>
      </c>
      <c r="AB43" s="76">
        <f t="shared" si="14"/>
        <v>4700147603.8900003</v>
      </c>
      <c r="AC43" s="76">
        <f t="shared" si="14"/>
        <v>5244489946.3900003</v>
      </c>
      <c r="AD43" s="76">
        <f t="shared" si="14"/>
        <v>4128046202.0700002</v>
      </c>
      <c r="AE43" s="76">
        <f t="shared" si="14"/>
        <v>4191087673.9699998</v>
      </c>
      <c r="AF43" s="76">
        <f t="shared" si="14"/>
        <v>4380487688.2799997</v>
      </c>
      <c r="AG43" s="76">
        <f t="shared" si="14"/>
        <v>4649956978.1499996</v>
      </c>
      <c r="AH43" s="76">
        <f t="shared" si="14"/>
        <v>3813886974.6799998</v>
      </c>
      <c r="AI43" s="76">
        <f t="shared" si="14"/>
        <v>4143895458.0500002</v>
      </c>
      <c r="AJ43" s="76">
        <f t="shared" si="14"/>
        <v>762411039.29999995</v>
      </c>
      <c r="AK43" s="76">
        <f t="shared" si="14"/>
        <v>1148562390.8499999</v>
      </c>
      <c r="AL43" s="76">
        <f t="shared" si="14"/>
        <v>844381117.83000004</v>
      </c>
      <c r="AM43" s="76">
        <f t="shared" si="14"/>
        <v>448714996.70999998</v>
      </c>
      <c r="AN43" s="76">
        <f t="shared" si="14"/>
        <v>0</v>
      </c>
      <c r="AO43" s="76">
        <f t="shared" si="14"/>
        <v>0</v>
      </c>
      <c r="AP43" s="76">
        <f t="shared" si="14"/>
        <v>0</v>
      </c>
      <c r="AQ43" s="76">
        <f t="shared" si="14"/>
        <v>0</v>
      </c>
      <c r="AR43" s="76">
        <f t="shared" si="14"/>
        <v>0</v>
      </c>
      <c r="AS43" s="76">
        <f t="shared" si="14"/>
        <v>0</v>
      </c>
      <c r="AT43" s="76">
        <f t="shared" si="14"/>
        <v>0</v>
      </c>
      <c r="AU43" s="76">
        <f t="shared" si="14"/>
        <v>0</v>
      </c>
      <c r="AV43" s="76">
        <f t="shared" si="14"/>
        <v>0</v>
      </c>
      <c r="AW43" s="76">
        <f t="shared" si="14"/>
        <v>0</v>
      </c>
      <c r="AX43" s="76">
        <f t="shared" si="14"/>
        <v>0</v>
      </c>
      <c r="AY43" s="76">
        <f t="shared" si="14"/>
        <v>0</v>
      </c>
      <c r="AZ43" s="76">
        <f t="shared" si="14"/>
        <v>0</v>
      </c>
      <c r="BA43" s="76">
        <f t="shared" si="14"/>
        <v>0</v>
      </c>
      <c r="BB43" s="76">
        <f t="shared" si="14"/>
        <v>0</v>
      </c>
      <c r="BC43" s="76">
        <f t="shared" si="14"/>
        <v>0</v>
      </c>
      <c r="BD43" s="76">
        <f t="shared" si="14"/>
        <v>0</v>
      </c>
      <c r="BE43" s="76">
        <f t="shared" si="14"/>
        <v>0</v>
      </c>
      <c r="BF43" s="76">
        <f t="shared" si="14"/>
        <v>0</v>
      </c>
      <c r="BG43" s="76">
        <f t="shared" si="14"/>
        <v>0</v>
      </c>
      <c r="BH43" s="76">
        <f t="shared" si="14"/>
        <v>0</v>
      </c>
      <c r="BI43" s="76">
        <f t="shared" si="14"/>
        <v>0</v>
      </c>
      <c r="BJ43" s="76">
        <f t="shared" si="14"/>
        <v>0</v>
      </c>
      <c r="BK43" s="76">
        <f t="shared" si="14"/>
        <v>0</v>
      </c>
      <c r="BL43" s="76">
        <f t="shared" si="14"/>
        <v>0</v>
      </c>
      <c r="BM43" s="76">
        <f t="shared" si="14"/>
        <v>0</v>
      </c>
      <c r="BN43" s="76">
        <f t="shared" si="14"/>
        <v>0</v>
      </c>
      <c r="BO43" s="76">
        <f t="shared" si="14"/>
        <v>0</v>
      </c>
      <c r="BP43" s="76">
        <f t="shared" si="14"/>
        <v>0</v>
      </c>
      <c r="BQ43" s="76">
        <f t="shared" si="14"/>
        <v>0</v>
      </c>
      <c r="BR43" s="76">
        <f t="shared" ref="BR43:CJ43" si="15">SUM(BR34:BR42)</f>
        <v>0</v>
      </c>
      <c r="BS43" s="76">
        <f t="shared" si="15"/>
        <v>0</v>
      </c>
      <c r="BT43" s="76">
        <f t="shared" si="15"/>
        <v>0</v>
      </c>
      <c r="BU43" s="76">
        <f t="shared" si="15"/>
        <v>0</v>
      </c>
      <c r="BV43" s="76">
        <f t="shared" si="15"/>
        <v>0</v>
      </c>
      <c r="BW43" s="76">
        <f t="shared" si="15"/>
        <v>0</v>
      </c>
      <c r="BX43" s="76">
        <f t="shared" si="15"/>
        <v>0</v>
      </c>
      <c r="BY43" s="76">
        <f t="shared" si="15"/>
        <v>0</v>
      </c>
      <c r="BZ43" s="76">
        <f t="shared" si="15"/>
        <v>0</v>
      </c>
      <c r="CA43" s="76">
        <f t="shared" si="15"/>
        <v>0</v>
      </c>
      <c r="CB43" s="76">
        <f t="shared" si="15"/>
        <v>0</v>
      </c>
      <c r="CC43" s="76">
        <f t="shared" si="15"/>
        <v>0</v>
      </c>
      <c r="CD43" s="76">
        <f t="shared" si="15"/>
        <v>0</v>
      </c>
      <c r="CE43" s="76">
        <f t="shared" si="15"/>
        <v>0</v>
      </c>
      <c r="CF43" s="76">
        <f t="shared" si="15"/>
        <v>0</v>
      </c>
      <c r="CG43" s="76">
        <f t="shared" si="15"/>
        <v>0</v>
      </c>
      <c r="CH43" s="76">
        <f t="shared" si="15"/>
        <v>0</v>
      </c>
      <c r="CI43" s="76">
        <f t="shared" si="15"/>
        <v>0</v>
      </c>
      <c r="CJ43" s="76">
        <f t="shared" si="15"/>
        <v>0</v>
      </c>
    </row>
    <row r="44" spans="1:89" s="110" customFormat="1" x14ac:dyDescent="0.25">
      <c r="A44" s="145" t="s">
        <v>462</v>
      </c>
      <c r="E44" s="110">
        <f>E32/E43</f>
        <v>-1.5933041538812594E-2</v>
      </c>
      <c r="F44" s="110">
        <f t="shared" ref="F44:BQ44" si="16">F32/F43</f>
        <v>4.954002800385349E-3</v>
      </c>
      <c r="G44" s="110">
        <f t="shared" si="16"/>
        <v>7.5520009686663048E-3</v>
      </c>
      <c r="H44" s="110">
        <f t="shared" si="16"/>
        <v>1.7116004402623374E-3</v>
      </c>
      <c r="I44" s="110">
        <f t="shared" si="16"/>
        <v>6.6726939801469267E-3</v>
      </c>
      <c r="J44" s="110">
        <f t="shared" si="16"/>
        <v>1.0323530234350325E-2</v>
      </c>
      <c r="K44" s="110">
        <f t="shared" si="16"/>
        <v>4.1844029086337561E-4</v>
      </c>
      <c r="L44" s="110">
        <f t="shared" si="16"/>
        <v>-2.1455933260768243E-4</v>
      </c>
      <c r="M44" s="110">
        <f t="shared" si="16"/>
        <v>3.0810180997023526E-2</v>
      </c>
      <c r="N44" s="110">
        <f t="shared" si="16"/>
        <v>7.456479545161496E-3</v>
      </c>
      <c r="O44" s="110">
        <f t="shared" si="16"/>
        <v>7.4353415254958871E-3</v>
      </c>
      <c r="P44" s="110">
        <f t="shared" si="16"/>
        <v>3.5582535910130097E-3</v>
      </c>
      <c r="Q44" s="110">
        <f t="shared" si="16"/>
        <v>3.5828767475453056E-2</v>
      </c>
      <c r="R44" s="110">
        <f t="shared" si="16"/>
        <v>2.1381502960578183E-2</v>
      </c>
      <c r="S44" s="110">
        <f t="shared" si="16"/>
        <v>1.0710179598573641E-2</v>
      </c>
      <c r="T44" s="110">
        <f t="shared" si="16"/>
        <v>6.1390553743347683E-4</v>
      </c>
      <c r="U44" s="110">
        <f t="shared" si="16"/>
        <v>2.6062939741985647E-2</v>
      </c>
      <c r="V44" s="110">
        <f t="shared" si="16"/>
        <v>2.3796575986423153E-3</v>
      </c>
      <c r="W44" s="110">
        <f t="shared" si="16"/>
        <v>1.8568330944294447E-3</v>
      </c>
      <c r="X44" s="110">
        <f t="shared" si="16"/>
        <v>7.455887816922251E-4</v>
      </c>
      <c r="Y44" s="110">
        <f t="shared" si="16"/>
        <v>1.1809371569088829E-2</v>
      </c>
      <c r="Z44" s="110">
        <f t="shared" si="16"/>
        <v>1.0095778667382001E-5</v>
      </c>
      <c r="AA44" s="110">
        <f t="shared" si="16"/>
        <v>-1.1976946088116063E-4</v>
      </c>
      <c r="AB44" s="110">
        <f t="shared" si="16"/>
        <v>1.4700550455652679E-4</v>
      </c>
      <c r="AC44" s="110">
        <f t="shared" si="16"/>
        <v>1.3718855784372727E-2</v>
      </c>
      <c r="AD44" s="110">
        <f t="shared" si="16"/>
        <v>4.4765665148644671E-4</v>
      </c>
      <c r="AE44" s="110">
        <f t="shared" si="16"/>
        <v>3.8783438249104853E-4</v>
      </c>
      <c r="AF44" s="110">
        <f t="shared" si="16"/>
        <v>9.3400267074063718E-5</v>
      </c>
      <c r="AG44" s="110">
        <f t="shared" si="16"/>
        <v>4.7534809969219608E-3</v>
      </c>
      <c r="AH44" s="110">
        <f t="shared" si="16"/>
        <v>2.9650684393836351E-4</v>
      </c>
      <c r="AI44" s="110">
        <f t="shared" si="16"/>
        <v>1.9636115298692989E-4</v>
      </c>
      <c r="AJ44" s="110">
        <f t="shared" si="16"/>
        <v>8.4239554111083823E-4</v>
      </c>
      <c r="AK44" s="110">
        <f t="shared" si="16"/>
        <v>4.5837357569263829E-4</v>
      </c>
      <c r="AL44" s="110">
        <f t="shared" si="16"/>
        <v>-1.0102136132463071E-3</v>
      </c>
      <c r="AM44" s="110">
        <f t="shared" si="16"/>
        <v>5.4680900303979505E-5</v>
      </c>
      <c r="AN44" s="110" t="e">
        <f t="shared" si="16"/>
        <v>#DIV/0!</v>
      </c>
      <c r="AO44" s="110" t="e">
        <f t="shared" si="16"/>
        <v>#DIV/0!</v>
      </c>
      <c r="AP44" s="110" t="e">
        <f t="shared" si="16"/>
        <v>#DIV/0!</v>
      </c>
      <c r="AQ44" s="110" t="e">
        <f t="shared" si="16"/>
        <v>#DIV/0!</v>
      </c>
      <c r="AR44" s="110" t="e">
        <f t="shared" si="16"/>
        <v>#DIV/0!</v>
      </c>
      <c r="AS44" s="110" t="e">
        <f t="shared" si="16"/>
        <v>#DIV/0!</v>
      </c>
      <c r="AT44" s="110" t="e">
        <f t="shared" si="16"/>
        <v>#DIV/0!</v>
      </c>
      <c r="AU44" s="110" t="e">
        <f t="shared" si="16"/>
        <v>#DIV/0!</v>
      </c>
      <c r="AV44" s="110" t="e">
        <f t="shared" si="16"/>
        <v>#DIV/0!</v>
      </c>
      <c r="AW44" s="110" t="e">
        <f t="shared" si="16"/>
        <v>#DIV/0!</v>
      </c>
      <c r="AX44" s="110" t="e">
        <f t="shared" si="16"/>
        <v>#DIV/0!</v>
      </c>
      <c r="AY44" s="110" t="e">
        <f t="shared" si="16"/>
        <v>#DIV/0!</v>
      </c>
      <c r="AZ44" s="110" t="e">
        <f t="shared" si="16"/>
        <v>#DIV/0!</v>
      </c>
      <c r="BA44" s="110" t="e">
        <f t="shared" si="16"/>
        <v>#DIV/0!</v>
      </c>
      <c r="BB44" s="110" t="e">
        <f t="shared" si="16"/>
        <v>#DIV/0!</v>
      </c>
      <c r="BC44" s="110" t="e">
        <f t="shared" si="16"/>
        <v>#DIV/0!</v>
      </c>
      <c r="BD44" s="110" t="e">
        <f t="shared" si="16"/>
        <v>#DIV/0!</v>
      </c>
      <c r="BE44" s="110" t="e">
        <f t="shared" si="16"/>
        <v>#DIV/0!</v>
      </c>
      <c r="BF44" s="110" t="e">
        <f t="shared" si="16"/>
        <v>#DIV/0!</v>
      </c>
      <c r="BG44" s="110" t="e">
        <f t="shared" si="16"/>
        <v>#DIV/0!</v>
      </c>
      <c r="BH44" s="110" t="e">
        <f t="shared" si="16"/>
        <v>#DIV/0!</v>
      </c>
      <c r="BI44" s="110" t="e">
        <f t="shared" si="16"/>
        <v>#DIV/0!</v>
      </c>
      <c r="BJ44" s="110" t="e">
        <f t="shared" si="16"/>
        <v>#DIV/0!</v>
      </c>
      <c r="BK44" s="110" t="e">
        <f t="shared" si="16"/>
        <v>#DIV/0!</v>
      </c>
      <c r="BL44" s="110" t="e">
        <f t="shared" si="16"/>
        <v>#DIV/0!</v>
      </c>
      <c r="BM44" s="110" t="e">
        <f t="shared" si="16"/>
        <v>#DIV/0!</v>
      </c>
      <c r="BN44" s="110" t="e">
        <f t="shared" si="16"/>
        <v>#DIV/0!</v>
      </c>
      <c r="BO44" s="110" t="e">
        <f t="shared" si="16"/>
        <v>#DIV/0!</v>
      </c>
      <c r="BP44" s="110" t="e">
        <f t="shared" si="16"/>
        <v>#DIV/0!</v>
      </c>
      <c r="BQ44" s="110" t="e">
        <f t="shared" si="16"/>
        <v>#DIV/0!</v>
      </c>
      <c r="BR44" s="110" t="e">
        <f t="shared" ref="BR44:CK44" si="17">BR32/BR43</f>
        <v>#DIV/0!</v>
      </c>
      <c r="BS44" s="110" t="e">
        <f t="shared" si="17"/>
        <v>#DIV/0!</v>
      </c>
      <c r="BT44" s="110" t="e">
        <f t="shared" si="17"/>
        <v>#DIV/0!</v>
      </c>
      <c r="BU44" s="110" t="e">
        <f t="shared" si="17"/>
        <v>#DIV/0!</v>
      </c>
      <c r="BV44" s="110" t="e">
        <f t="shared" si="17"/>
        <v>#DIV/0!</v>
      </c>
      <c r="BW44" s="110" t="e">
        <f t="shared" si="17"/>
        <v>#DIV/0!</v>
      </c>
      <c r="BX44" s="110" t="e">
        <f t="shared" si="17"/>
        <v>#DIV/0!</v>
      </c>
      <c r="BY44" s="110" t="e">
        <f t="shared" si="17"/>
        <v>#DIV/0!</v>
      </c>
      <c r="BZ44" s="110" t="e">
        <f t="shared" si="17"/>
        <v>#DIV/0!</v>
      </c>
      <c r="CA44" s="110" t="e">
        <f t="shared" si="17"/>
        <v>#DIV/0!</v>
      </c>
      <c r="CB44" s="110" t="e">
        <f t="shared" si="17"/>
        <v>#DIV/0!</v>
      </c>
      <c r="CC44" s="110" t="e">
        <f t="shared" si="17"/>
        <v>#DIV/0!</v>
      </c>
      <c r="CD44" s="110" t="e">
        <f t="shared" si="17"/>
        <v>#DIV/0!</v>
      </c>
      <c r="CE44" s="110" t="e">
        <f t="shared" si="17"/>
        <v>#DIV/0!</v>
      </c>
      <c r="CF44" s="110" t="e">
        <f t="shared" si="17"/>
        <v>#DIV/0!</v>
      </c>
      <c r="CG44" s="110" t="e">
        <f t="shared" si="17"/>
        <v>#DIV/0!</v>
      </c>
      <c r="CH44" s="110" t="e">
        <f t="shared" si="17"/>
        <v>#DIV/0!</v>
      </c>
      <c r="CI44" s="110" t="e">
        <f t="shared" si="17"/>
        <v>#DIV/0!</v>
      </c>
      <c r="CJ44" s="110" t="e">
        <f t="shared" si="17"/>
        <v>#DIV/0!</v>
      </c>
      <c r="CK44" s="110" t="e">
        <f t="shared" si="17"/>
        <v>#DIV/0!</v>
      </c>
    </row>
    <row r="45" spans="1:89" s="16" customFormat="1" ht="81.599999999999994" customHeight="1" x14ac:dyDescent="0.25">
      <c r="A45" s="279" t="s">
        <v>697</v>
      </c>
      <c r="B45" s="278"/>
      <c r="C45" s="278"/>
      <c r="D45" s="278"/>
      <c r="E45" s="278"/>
      <c r="F45" s="278"/>
      <c r="G45" s="278"/>
      <c r="H45" s="278"/>
      <c r="I45" s="278"/>
      <c r="J45" s="278"/>
      <c r="K45" s="278"/>
      <c r="L45" s="278"/>
      <c r="M45" s="278"/>
      <c r="N45" s="278"/>
      <c r="O45" s="278"/>
      <c r="P45" s="278"/>
      <c r="Q45" s="278"/>
      <c r="R45" s="278"/>
      <c r="S45" s="278"/>
      <c r="T45" s="278"/>
      <c r="U45" s="278"/>
      <c r="V45" s="278"/>
      <c r="W45" s="278"/>
      <c r="X45" s="278"/>
      <c r="Y45" s="278"/>
      <c r="Z45" s="278"/>
      <c r="AA45" s="278"/>
      <c r="AB45" s="278"/>
      <c r="AC45" s="278"/>
      <c r="AD45" s="278"/>
      <c r="AE45" s="278"/>
      <c r="AF45" s="278"/>
      <c r="AG45" s="278"/>
    </row>
    <row r="46" spans="1:89" s="57" customFormat="1" x14ac:dyDescent="0.25">
      <c r="A46" s="57" t="s">
        <v>698</v>
      </c>
      <c r="E46" s="57">
        <f>E43/资产资本表!E70</f>
        <v>0.46615920079796797</v>
      </c>
      <c r="F46" s="57">
        <f>F43/资产资本表!F70</f>
        <v>0.40693874399282315</v>
      </c>
      <c r="G46" s="57">
        <f>G43/资产资本表!G70</f>
        <v>0.42863943798562981</v>
      </c>
      <c r="H46" s="57">
        <f>H43/资产资本表!H70</f>
        <v>0.49240836570351881</v>
      </c>
      <c r="I46" s="57">
        <f>I43/资产资本表!I70</f>
        <v>0.47287073514728034</v>
      </c>
      <c r="J46" s="57">
        <f>J43/资产资本表!J70</f>
        <v>0.47538662497637185</v>
      </c>
      <c r="K46" s="57">
        <f>K43/资产资本表!K70</f>
        <v>0.44033320892924921</v>
      </c>
      <c r="L46" s="57">
        <f>L43/资产资本表!L70</f>
        <v>0.37758730693387149</v>
      </c>
      <c r="M46" s="57">
        <f>M43/资产资本表!M70</f>
        <v>0.47076088025004931</v>
      </c>
      <c r="N46" s="57">
        <f>N43/资产资本表!N70</f>
        <v>0.35591298317069309</v>
      </c>
      <c r="O46" s="57">
        <f>O43/资产资本表!O70</f>
        <v>0.34437144358885297</v>
      </c>
      <c r="P46" s="57">
        <f>P43/资产资本表!P70</f>
        <v>0.36368938230655723</v>
      </c>
      <c r="Q46" s="57">
        <f>Q43/资产资本表!Q70</f>
        <v>0.46382214952613965</v>
      </c>
      <c r="R46" s="57">
        <f>R43/资产资本表!R70</f>
        <v>0.25254475114246877</v>
      </c>
      <c r="S46" s="57">
        <f>S43/资产资本表!S70</f>
        <v>0.29916654348487254</v>
      </c>
      <c r="T46" s="57">
        <f>T43/资产资本表!T70</f>
        <v>0.29923551413122484</v>
      </c>
      <c r="U46" s="57">
        <f>U43/资产资本表!U70</f>
        <v>0.40164385193152896</v>
      </c>
      <c r="V46" s="57">
        <f>V43/资产资本表!V70</f>
        <v>0.52076162889749844</v>
      </c>
      <c r="W46" s="57">
        <f>W43/资产资本表!W70</f>
        <v>0.56602751746156055</v>
      </c>
      <c r="X46" s="57">
        <f>X43/资产资本表!X70</f>
        <v>0.56087426216319913</v>
      </c>
      <c r="Y46" s="57">
        <f>Y43/资产资本表!Y70</f>
        <v>0.6710925214647111</v>
      </c>
      <c r="Z46" s="57">
        <f>Z43/资产资本表!Z70</f>
        <v>0.59892075774869313</v>
      </c>
      <c r="AA46" s="57">
        <f>AA43/资产资本表!AA70</f>
        <v>0.63446793880446317</v>
      </c>
      <c r="AB46" s="57">
        <f>AB43/资产资本表!AB70</f>
        <v>0.65416129823806679</v>
      </c>
      <c r="AC46" s="57">
        <f>AC43/资产资本表!AC70</f>
        <v>0.77026595121648711</v>
      </c>
      <c r="AD46" s="57">
        <f>AD43/资产资本表!AD70</f>
        <v>0.66087640481299081</v>
      </c>
      <c r="AE46" s="57">
        <f>AE43/资产资本表!AE70</f>
        <v>0.70779473630875045</v>
      </c>
      <c r="AF46" s="57">
        <f>AF43/资产资本表!AF70</f>
        <v>0.73611664885595607</v>
      </c>
      <c r="AG46" s="57">
        <f>AG43/资产资本表!AG70</f>
        <v>0.81821532878362524</v>
      </c>
      <c r="AH46" s="57">
        <f>AH43/资产资本表!AH70</f>
        <v>0.72172626502187687</v>
      </c>
      <c r="AI46" s="57">
        <f>AI43/资产资本表!AI70</f>
        <v>0.78905809251319459</v>
      </c>
      <c r="AJ46" s="57">
        <f>AJ43/资产资本表!AJ70</f>
        <v>0.43040845331371508</v>
      </c>
      <c r="AK46" s="57">
        <f>AK43/资产资本表!AK70</f>
        <v>0.73372312808645213</v>
      </c>
      <c r="AL46" s="57">
        <f>AL43/资产资本表!AL70</f>
        <v>0.86346445745451916</v>
      </c>
      <c r="AM46" s="57">
        <f>AM43/资产资本表!AM70</f>
        <v>0.72024242963476726</v>
      </c>
      <c r="AN46" s="57" t="e">
        <f>AN43/资产资本表!AN70</f>
        <v>#DIV/0!</v>
      </c>
      <c r="AO46" s="57" t="e">
        <f>AO43/资产资本表!AO70</f>
        <v>#DIV/0!</v>
      </c>
      <c r="AP46" s="57" t="e">
        <f>AP43/资产资本表!AP70</f>
        <v>#DIV/0!</v>
      </c>
      <c r="AQ46" s="57" t="e">
        <f>AQ43/资产资本表!AQ70</f>
        <v>#DIV/0!</v>
      </c>
      <c r="AR46" s="57" t="e">
        <f>AR43/资产资本表!AR70</f>
        <v>#DIV/0!</v>
      </c>
      <c r="AS46" s="57" t="e">
        <f>AS43/资产资本表!AS70</f>
        <v>#DIV/0!</v>
      </c>
      <c r="AT46" s="57" t="e">
        <f>AT43/资产资本表!AT70</f>
        <v>#DIV/0!</v>
      </c>
      <c r="AU46" s="57" t="e">
        <f>AU43/资产资本表!AU70</f>
        <v>#DIV/0!</v>
      </c>
      <c r="AV46" s="57" t="e">
        <f>AV43/资产资本表!AV70</f>
        <v>#DIV/0!</v>
      </c>
      <c r="AW46" s="57" t="e">
        <f>AW43/资产资本表!AW70</f>
        <v>#DIV/0!</v>
      </c>
      <c r="AX46" s="57" t="e">
        <f>AX43/资产资本表!AX70</f>
        <v>#DIV/0!</v>
      </c>
      <c r="AY46" s="57" t="e">
        <f>AY43/资产资本表!AY70</f>
        <v>#DIV/0!</v>
      </c>
      <c r="AZ46" s="57" t="e">
        <f>AZ43/资产资本表!AZ70</f>
        <v>#DIV/0!</v>
      </c>
      <c r="BA46" s="57" t="e">
        <f>BA43/资产资本表!BA70</f>
        <v>#DIV/0!</v>
      </c>
      <c r="BB46" s="57" t="e">
        <f>BB43/资产资本表!BB70</f>
        <v>#DIV/0!</v>
      </c>
      <c r="BC46" s="57" t="e">
        <f>BC43/资产资本表!BC70</f>
        <v>#DIV/0!</v>
      </c>
      <c r="BD46" s="57" t="e">
        <f>BD43/资产资本表!BD70</f>
        <v>#DIV/0!</v>
      </c>
      <c r="BE46" s="57" t="e">
        <f>BE43/资产资本表!BE70</f>
        <v>#DIV/0!</v>
      </c>
      <c r="BF46" s="57" t="e">
        <f>BF43/资产资本表!BF70</f>
        <v>#DIV/0!</v>
      </c>
      <c r="BG46" s="57" t="e">
        <f>BG43/资产资本表!BG70</f>
        <v>#DIV/0!</v>
      </c>
      <c r="BH46" s="57" t="e">
        <f>BH43/资产资本表!BH70</f>
        <v>#DIV/0!</v>
      </c>
      <c r="BI46" s="57" t="e">
        <f>BI43/资产资本表!BI70</f>
        <v>#DIV/0!</v>
      </c>
      <c r="BJ46" s="57" t="e">
        <f>BJ43/资产资本表!BJ70</f>
        <v>#DIV/0!</v>
      </c>
      <c r="BK46" s="57" t="e">
        <f>BK43/资产资本表!BK70</f>
        <v>#DIV/0!</v>
      </c>
      <c r="BL46" s="57" t="e">
        <f>BL43/资产资本表!BL70</f>
        <v>#DIV/0!</v>
      </c>
      <c r="BM46" s="57" t="e">
        <f>BM43/资产资本表!BM70</f>
        <v>#DIV/0!</v>
      </c>
      <c r="BN46" s="57" t="e">
        <f>BN43/资产资本表!BN70</f>
        <v>#DIV/0!</v>
      </c>
      <c r="BO46" s="57" t="e">
        <f>BO43/资产资本表!BO70</f>
        <v>#DIV/0!</v>
      </c>
      <c r="BP46" s="57" t="e">
        <f>BP43/资产资本表!BP70</f>
        <v>#DIV/0!</v>
      </c>
      <c r="BQ46" s="57" t="e">
        <f>BQ43/资产资本表!BQ70</f>
        <v>#DIV/0!</v>
      </c>
      <c r="BR46" s="57" t="e">
        <f>BR43/资产资本表!BR70</f>
        <v>#DIV/0!</v>
      </c>
      <c r="BS46" s="57" t="e">
        <f>BS43/资产资本表!BS70</f>
        <v>#DIV/0!</v>
      </c>
      <c r="BT46" s="57" t="e">
        <f>BT43/资产资本表!BT70</f>
        <v>#DIV/0!</v>
      </c>
      <c r="BU46" s="57" t="e">
        <f>BU43/资产资本表!BU70</f>
        <v>#DIV/0!</v>
      </c>
      <c r="BV46" s="57" t="e">
        <f>BV43/资产资本表!BV70</f>
        <v>#DIV/0!</v>
      </c>
      <c r="BW46" s="57" t="e">
        <f>BW43/资产资本表!BW70</f>
        <v>#DIV/0!</v>
      </c>
      <c r="BX46" s="57" t="e">
        <f>BX43/资产资本表!BX70</f>
        <v>#DIV/0!</v>
      </c>
      <c r="BY46" s="57" t="e">
        <f>BY43/资产资本表!BY70</f>
        <v>#DIV/0!</v>
      </c>
      <c r="BZ46" s="57" t="e">
        <f>BZ43/资产资本表!BZ70</f>
        <v>#DIV/0!</v>
      </c>
      <c r="CA46" s="57" t="e">
        <f>CA43/资产资本表!CA70</f>
        <v>#DIV/0!</v>
      </c>
      <c r="CB46" s="57" t="e">
        <f>CB43/资产资本表!CB70</f>
        <v>#DIV/0!</v>
      </c>
      <c r="CC46" s="57" t="e">
        <f>CC43/资产资本表!CC70</f>
        <v>#DIV/0!</v>
      </c>
      <c r="CD46" s="57" t="e">
        <f>CD43/资产资本表!CD70</f>
        <v>#DIV/0!</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6" customFormat="1" x14ac:dyDescent="0.25">
      <c r="A48" s="118" t="s">
        <v>463</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39447</v>
      </c>
      <c r="AQ48" s="1">
        <v>25569</v>
      </c>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row>
    <row r="49" spans="1:89" s="76" customFormat="1" x14ac:dyDescent="0.25">
      <c r="A49" s="147" t="s">
        <v>464</v>
      </c>
      <c r="E49" s="76">
        <f>利润表!E4</f>
        <v>41905476572.07</v>
      </c>
      <c r="F49" s="76">
        <f>利润表!F4</f>
        <v>27729742158.18</v>
      </c>
      <c r="G49" s="76">
        <f>利润表!G4</f>
        <v>16447539736.52</v>
      </c>
      <c r="H49" s="76">
        <f>利润表!H4</f>
        <v>7043724101.7299995</v>
      </c>
      <c r="I49" s="76">
        <f>利润表!I4</f>
        <v>31924020872.439999</v>
      </c>
      <c r="J49" s="76">
        <f>利润表!J4</f>
        <v>21136468968.82</v>
      </c>
      <c r="K49" s="76">
        <f>利润表!K4</f>
        <v>12548198726.120001</v>
      </c>
      <c r="L49" s="76">
        <f>利润表!L4</f>
        <v>5199710391.8999996</v>
      </c>
      <c r="M49" s="76">
        <f>利润表!M4</f>
        <v>25271390273.419998</v>
      </c>
      <c r="N49" s="76">
        <f>利润表!N4</f>
        <v>16677638479.4</v>
      </c>
      <c r="O49" s="76">
        <f>利润表!O4</f>
        <v>9796381650.8199997</v>
      </c>
      <c r="P49" s="76">
        <f>利润表!P4</f>
        <v>4287946779.6999998</v>
      </c>
      <c r="Q49" s="76">
        <f>利润表!Q4</f>
        <v>17233114021.700001</v>
      </c>
      <c r="R49" s="76">
        <f>利润表!R4</f>
        <v>10669807845.58</v>
      </c>
      <c r="S49" s="76">
        <f>利润表!S4</f>
        <v>6016055310.8500004</v>
      </c>
      <c r="T49" s="76">
        <f>利润表!T4</f>
        <v>2594659242.4200001</v>
      </c>
      <c r="U49" s="76">
        <f>利润表!U4</f>
        <v>10745907038.84</v>
      </c>
      <c r="V49" s="76">
        <f>利润表!V4</f>
        <v>6860396812.6999998</v>
      </c>
      <c r="W49" s="76">
        <f>利润表!W4</f>
        <v>3908594584.9000001</v>
      </c>
      <c r="X49" s="76">
        <f>利润表!X4</f>
        <v>1697327735.97</v>
      </c>
      <c r="Y49" s="76">
        <f>利润表!Y4</f>
        <v>7213789489.1800003</v>
      </c>
      <c r="Z49" s="76">
        <f>利润表!Z4</f>
        <v>4797847375.2799997</v>
      </c>
      <c r="AA49" s="76">
        <f>利润表!AA4</f>
        <v>2818679482.4899998</v>
      </c>
      <c r="AB49" s="76">
        <f>利润表!AB4</f>
        <v>1292678630.79</v>
      </c>
      <c r="AC49" s="76">
        <f>利润表!AC4</f>
        <v>5231639749.7700005</v>
      </c>
      <c r="AD49" s="76">
        <f>利润表!AD4</f>
        <v>3453156822.0599999</v>
      </c>
      <c r="AE49" s="76">
        <f>利润表!AE4</f>
        <v>2081678941.6300001</v>
      </c>
      <c r="AF49" s="76">
        <f>利润表!AF4</f>
        <v>929912689.30999994</v>
      </c>
      <c r="AG49" s="76">
        <f>利润表!AG4</f>
        <v>3605477285.21</v>
      </c>
      <c r="AH49" s="76">
        <f>利润表!AH4</f>
        <v>2393076338.48</v>
      </c>
      <c r="AI49" s="76">
        <f>利润表!AI4</f>
        <v>1402304573.3699999</v>
      </c>
      <c r="AJ49" s="76">
        <f>利润表!AJ4</f>
        <v>687305082.01999998</v>
      </c>
      <c r="AK49" s="76">
        <f>利润表!AK4</f>
        <v>2101513184.72</v>
      </c>
      <c r="AL49" s="76">
        <f>利润表!AL4</f>
        <v>1436572728.3599999</v>
      </c>
      <c r="AM49" s="76">
        <f>利润表!AM4</f>
        <v>836803532.27999997</v>
      </c>
      <c r="AN49" s="76">
        <f>利润表!AN4</f>
        <v>403065660.05000001</v>
      </c>
      <c r="AO49" s="76">
        <f>利润表!AO4</f>
        <v>1742471409.9100001</v>
      </c>
      <c r="AP49" s="76">
        <f>利润表!AP4</f>
        <v>1184513897.96</v>
      </c>
      <c r="AQ49" s="76">
        <f>利润表!AQ4</f>
        <v>0</v>
      </c>
      <c r="AR49" s="76">
        <f>利润表!AR4</f>
        <v>0</v>
      </c>
      <c r="AS49" s="76">
        <f>利润表!AS4</f>
        <v>0</v>
      </c>
      <c r="AT49" s="76">
        <f>利润表!AT4</f>
        <v>0</v>
      </c>
      <c r="AU49" s="76">
        <f>利润表!AU4</f>
        <v>0</v>
      </c>
      <c r="AV49" s="76">
        <f>利润表!AV4</f>
        <v>0</v>
      </c>
      <c r="AW49" s="76">
        <f>利润表!AW4</f>
        <v>0</v>
      </c>
      <c r="AX49" s="76">
        <f>利润表!AX4</f>
        <v>0</v>
      </c>
      <c r="AY49" s="76">
        <f>利润表!AY4</f>
        <v>0</v>
      </c>
      <c r="AZ49" s="76">
        <f>利润表!AZ4</f>
        <v>0</v>
      </c>
      <c r="BA49" s="76">
        <f>利润表!BA4</f>
        <v>0</v>
      </c>
      <c r="BB49" s="76">
        <f>利润表!BB4</f>
        <v>0</v>
      </c>
      <c r="BC49" s="76">
        <f>利润表!BC4</f>
        <v>0</v>
      </c>
      <c r="BD49" s="76">
        <f>利润表!BD4</f>
        <v>0</v>
      </c>
      <c r="BE49" s="76">
        <f>利润表!BE4</f>
        <v>0</v>
      </c>
      <c r="BF49" s="76">
        <f>利润表!BF4</f>
        <v>0</v>
      </c>
      <c r="BG49" s="76">
        <f>利润表!BG4</f>
        <v>0</v>
      </c>
      <c r="BH49" s="76">
        <f>利润表!BH4</f>
        <v>0</v>
      </c>
      <c r="BI49" s="76">
        <f>利润表!BI4</f>
        <v>0</v>
      </c>
      <c r="BJ49" s="76">
        <f>利润表!BJ4</f>
        <v>0</v>
      </c>
      <c r="BK49" s="76">
        <f>利润表!BK4</f>
        <v>0</v>
      </c>
      <c r="BL49" s="76">
        <f>利润表!BL4</f>
        <v>0</v>
      </c>
      <c r="BM49" s="76">
        <f>利润表!BM4</f>
        <v>0</v>
      </c>
      <c r="BN49" s="76">
        <f>利润表!BN4</f>
        <v>0</v>
      </c>
      <c r="BO49" s="76">
        <f>利润表!BO4</f>
        <v>0</v>
      </c>
      <c r="BP49" s="76">
        <f>利润表!BP4</f>
        <v>0</v>
      </c>
      <c r="BQ49" s="76">
        <f>利润表!BQ4</f>
        <v>0</v>
      </c>
      <c r="BR49" s="76">
        <f>利润表!BR4</f>
        <v>0</v>
      </c>
      <c r="BS49" s="76">
        <f>利润表!BS4</f>
        <v>0</v>
      </c>
      <c r="BT49" s="76">
        <f>利润表!BT4</f>
        <v>0</v>
      </c>
      <c r="BU49" s="76">
        <f>利润表!BU4</f>
        <v>0</v>
      </c>
      <c r="BV49" s="76">
        <f>利润表!BV4</f>
        <v>0</v>
      </c>
      <c r="BW49" s="76">
        <f>利润表!BW4</f>
        <v>0</v>
      </c>
      <c r="BX49" s="76">
        <f>利润表!BX4</f>
        <v>0</v>
      </c>
      <c r="BY49" s="76">
        <f>利润表!BY4</f>
        <v>0</v>
      </c>
      <c r="BZ49" s="76">
        <f>利润表!BZ4</f>
        <v>0</v>
      </c>
      <c r="CA49" s="76">
        <f>利润表!CA4</f>
        <v>0</v>
      </c>
      <c r="CB49" s="76">
        <f>利润表!CB4</f>
        <v>0</v>
      </c>
      <c r="CC49" s="76">
        <f>利润表!CC4</f>
        <v>0</v>
      </c>
      <c r="CD49" s="76">
        <f>利润表!CD4</f>
        <v>0</v>
      </c>
      <c r="CE49" s="76">
        <f>利润表!CE4</f>
        <v>0</v>
      </c>
      <c r="CF49" s="76">
        <f>利润表!CF4</f>
        <v>0</v>
      </c>
      <c r="CG49" s="76">
        <f>利润表!CG4</f>
        <v>0</v>
      </c>
      <c r="CH49" s="76">
        <f>利润表!CH4</f>
        <v>0</v>
      </c>
      <c r="CI49" s="76">
        <f>利润表!CI4</f>
        <v>0</v>
      </c>
      <c r="CJ49" s="76">
        <f>利润表!CJ4</f>
        <v>0</v>
      </c>
      <c r="CK49" s="76">
        <f>利润表!CK4</f>
        <v>0</v>
      </c>
    </row>
    <row r="50" spans="1:89" s="76" customFormat="1" x14ac:dyDescent="0.25">
      <c r="A50" s="147" t="s">
        <v>465</v>
      </c>
      <c r="E50" s="76">
        <f>资产资本表!E50</f>
        <v>12668063093.030005</v>
      </c>
      <c r="F50" s="76">
        <f>资产资本表!F50</f>
        <v>14299510589.690001</v>
      </c>
      <c r="G50" s="76">
        <f>资产资本表!G50</f>
        <v>13068983769.770006</v>
      </c>
      <c r="H50" s="76">
        <f>资产资本表!H50</f>
        <v>12481601220.809998</v>
      </c>
      <c r="I50" s="76">
        <f>资产资本表!I50</f>
        <v>11135313251.660002</v>
      </c>
      <c r="J50" s="76">
        <f>资产资本表!J50</f>
        <v>9557304346.7800026</v>
      </c>
      <c r="K50" s="76">
        <f>资产资本表!K50</f>
        <v>9082305646.5499973</v>
      </c>
      <c r="L50" s="76">
        <f>资产资本表!L50</f>
        <v>11854189305.5</v>
      </c>
      <c r="M50" s="76">
        <f>资产资本表!M50</f>
        <v>7912306120.9000015</v>
      </c>
      <c r="N50" s="76">
        <f>资产资本表!N50</f>
        <v>9458413446.579998</v>
      </c>
      <c r="O50" s="76">
        <f>资产资本表!O50</f>
        <v>9386164083.9899998</v>
      </c>
      <c r="P50" s="76">
        <f>资产资本表!P50</f>
        <v>8647148858.7200012</v>
      </c>
      <c r="Q50" s="76">
        <f>资产资本表!Q50</f>
        <v>6232294623.1800003</v>
      </c>
      <c r="R50" s="76">
        <f>资产资本表!R50</f>
        <v>8370661298.3799992</v>
      </c>
      <c r="S50" s="76">
        <f>资产资本表!S50</f>
        <v>7671693616.789999</v>
      </c>
      <c r="T50" s="76">
        <f>资产资本表!T50</f>
        <v>7091197137.9099998</v>
      </c>
      <c r="U50" s="76">
        <f>资产资本表!U50</f>
        <v>5254111890.960001</v>
      </c>
      <c r="V50" s="76">
        <f>资产资本表!V50</f>
        <v>3305255057.9100008</v>
      </c>
      <c r="W50" s="76">
        <f>资产资本表!W50</f>
        <v>2796437386.019999</v>
      </c>
      <c r="X50" s="76">
        <f>资产资本表!X50</f>
        <v>2709102513.9800005</v>
      </c>
      <c r="Y50" s="76">
        <f>资产资本表!Y50</f>
        <v>1553573354.7200003</v>
      </c>
      <c r="Z50" s="76">
        <f>资产资本表!Z50</f>
        <v>2113203971.3199999</v>
      </c>
      <c r="AA50" s="76">
        <f>资产资本表!AA50</f>
        <v>1666015751.1700001</v>
      </c>
      <c r="AB50" s="76">
        <f>资产资本表!AB50</f>
        <v>1652215606.3299997</v>
      </c>
      <c r="AC50" s="76">
        <f>资产资本表!AC50</f>
        <v>757038413.9599998</v>
      </c>
      <c r="AD50" s="76">
        <f>资产资本表!AD50</f>
        <v>1388708922.1499996</v>
      </c>
      <c r="AE50" s="76">
        <f>资产资本表!AE50</f>
        <v>1035677611.7900001</v>
      </c>
      <c r="AF50" s="76">
        <f>资产资本表!AF50</f>
        <v>915037064.71000004</v>
      </c>
      <c r="AG50" s="76">
        <f>资产资本表!AG50</f>
        <v>469175270.18999994</v>
      </c>
      <c r="AH50" s="76">
        <f>资产资本表!AH50</f>
        <v>990505245.7299999</v>
      </c>
      <c r="AI50" s="76">
        <f>资产资本表!AI50</f>
        <v>702468936.47000003</v>
      </c>
      <c r="AJ50" s="76">
        <f>资产资本表!AJ50</f>
        <v>660502919.30000007</v>
      </c>
      <c r="AK50" s="76">
        <f>资产资本表!AK50</f>
        <v>93334650.730000019</v>
      </c>
      <c r="AL50" s="76">
        <f>资产资本表!AL50</f>
        <v>26093952.389999986</v>
      </c>
      <c r="AM50" s="76">
        <f>资产资本表!AM50</f>
        <v>116722259.65000001</v>
      </c>
      <c r="AN50" s="76">
        <f>资产资本表!AN50</f>
        <v>0</v>
      </c>
      <c r="AO50" s="76">
        <f>资产资本表!AO50</f>
        <v>0</v>
      </c>
      <c r="AP50" s="76">
        <f>资产资本表!AP50</f>
        <v>0</v>
      </c>
      <c r="AQ50" s="76">
        <f>资产资本表!AQ50</f>
        <v>0</v>
      </c>
      <c r="AR50" s="76">
        <f>资产资本表!AR50</f>
        <v>0</v>
      </c>
      <c r="AS50" s="76">
        <f>资产资本表!AS50</f>
        <v>0</v>
      </c>
      <c r="AT50" s="76">
        <f>资产资本表!AT50</f>
        <v>0</v>
      </c>
      <c r="AU50" s="76">
        <f>资产资本表!AU50</f>
        <v>0</v>
      </c>
      <c r="AV50" s="76">
        <f>资产资本表!AV50</f>
        <v>0</v>
      </c>
      <c r="AW50" s="76">
        <f>资产资本表!AW50</f>
        <v>0</v>
      </c>
      <c r="AX50" s="76">
        <f>资产资本表!AX50</f>
        <v>0</v>
      </c>
      <c r="AY50" s="76">
        <f>资产资本表!AY50</f>
        <v>0</v>
      </c>
      <c r="AZ50" s="76">
        <f>资产资本表!AZ50</f>
        <v>0</v>
      </c>
      <c r="BA50" s="76">
        <f>资产资本表!BA50</f>
        <v>0</v>
      </c>
      <c r="BB50" s="76">
        <f>资产资本表!BB50</f>
        <v>0</v>
      </c>
      <c r="BC50" s="76">
        <f>资产资本表!BC50</f>
        <v>0</v>
      </c>
      <c r="BD50" s="76">
        <f>资产资本表!BD50</f>
        <v>0</v>
      </c>
      <c r="BE50" s="76">
        <f>资产资本表!BE50</f>
        <v>0</v>
      </c>
      <c r="BF50" s="76">
        <f>资产资本表!BF50</f>
        <v>0</v>
      </c>
      <c r="BG50" s="76">
        <f>资产资本表!BG50</f>
        <v>0</v>
      </c>
      <c r="BH50" s="76">
        <f>资产资本表!BH50</f>
        <v>0</v>
      </c>
      <c r="BI50" s="76">
        <f>资产资本表!BI50</f>
        <v>0</v>
      </c>
      <c r="BJ50" s="76">
        <f>资产资本表!BJ50</f>
        <v>0</v>
      </c>
      <c r="BK50" s="76">
        <f>资产资本表!BK50</f>
        <v>0</v>
      </c>
      <c r="BL50" s="76">
        <f>资产资本表!BL50</f>
        <v>0</v>
      </c>
      <c r="BM50" s="76">
        <f>资产资本表!BM50</f>
        <v>0</v>
      </c>
      <c r="BN50" s="76">
        <f>资产资本表!BN50</f>
        <v>0</v>
      </c>
      <c r="BO50" s="76">
        <f>资产资本表!BO50</f>
        <v>0</v>
      </c>
      <c r="BP50" s="76">
        <f>资产资本表!BP50</f>
        <v>0</v>
      </c>
      <c r="BQ50" s="76">
        <f>资产资本表!BQ50</f>
        <v>0</v>
      </c>
      <c r="BR50" s="76">
        <f>资产资本表!BR50</f>
        <v>0</v>
      </c>
      <c r="BS50" s="76">
        <f>资产资本表!BS50</f>
        <v>0</v>
      </c>
      <c r="BT50" s="76">
        <f>资产资本表!BT50</f>
        <v>0</v>
      </c>
      <c r="BU50" s="76">
        <f>资产资本表!BU50</f>
        <v>0</v>
      </c>
      <c r="BV50" s="76">
        <f>资产资本表!BV50</f>
        <v>0</v>
      </c>
      <c r="BW50" s="76">
        <f>资产资本表!BW50</f>
        <v>0</v>
      </c>
      <c r="BX50" s="76">
        <f>资产资本表!BX50</f>
        <v>0</v>
      </c>
      <c r="BY50" s="76">
        <f>资产资本表!BY50</f>
        <v>0</v>
      </c>
      <c r="BZ50" s="76">
        <f>资产资本表!BZ50</f>
        <v>0</v>
      </c>
      <c r="CA50" s="76">
        <f>资产资本表!CA50</f>
        <v>0</v>
      </c>
      <c r="CB50" s="76">
        <f>资产资本表!CB50</f>
        <v>0</v>
      </c>
      <c r="CC50" s="76">
        <f>资产资本表!CC50</f>
        <v>0</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x14ac:dyDescent="0.25">
      <c r="A51" s="143" t="s">
        <v>466</v>
      </c>
      <c r="E51" s="44">
        <f>E49/E50</f>
        <v>3.3079624141694151</v>
      </c>
      <c r="F51" s="44">
        <f t="shared" ref="F51:BQ51" si="18">F49/F50</f>
        <v>1.9392091767233801</v>
      </c>
      <c r="G51" s="44">
        <f t="shared" si="18"/>
        <v>1.2585171139752247</v>
      </c>
      <c r="H51" s="44">
        <f t="shared" si="18"/>
        <v>0.5643285646705587</v>
      </c>
      <c r="I51" s="44">
        <f t="shared" si="18"/>
        <v>2.866917180590399</v>
      </c>
      <c r="J51" s="44">
        <f t="shared" si="18"/>
        <v>2.2115513121585573</v>
      </c>
      <c r="K51" s="44">
        <f t="shared" si="18"/>
        <v>1.3816093858156555</v>
      </c>
      <c r="L51" s="44">
        <f t="shared" si="18"/>
        <v>0.43863905475910403</v>
      </c>
      <c r="M51" s="44">
        <f t="shared" si="18"/>
        <v>3.1939348512650132</v>
      </c>
      <c r="N51" s="44">
        <f t="shared" si="18"/>
        <v>1.7632596178622697</v>
      </c>
      <c r="O51" s="44">
        <f t="shared" si="18"/>
        <v>1.0437044955915173</v>
      </c>
      <c r="P51" s="44">
        <f t="shared" si="18"/>
        <v>0.49587983851763195</v>
      </c>
      <c r="Q51" s="44">
        <f t="shared" si="18"/>
        <v>2.7651314746264166</v>
      </c>
      <c r="R51" s="44">
        <f t="shared" si="18"/>
        <v>1.2746672533082855</v>
      </c>
      <c r="S51" s="44">
        <f t="shared" si="18"/>
        <v>0.78418868262458674</v>
      </c>
      <c r="T51" s="44">
        <f t="shared" si="18"/>
        <v>0.3658986193669308</v>
      </c>
      <c r="U51" s="44">
        <f t="shared" si="18"/>
        <v>2.0452375704691304</v>
      </c>
      <c r="V51" s="44">
        <f t="shared" si="18"/>
        <v>2.0756028483435731</v>
      </c>
      <c r="W51" s="44">
        <f t="shared" si="18"/>
        <v>1.3977050244142486</v>
      </c>
      <c r="X51" s="44">
        <f t="shared" si="18"/>
        <v>0.62652768849135188</v>
      </c>
      <c r="Y51" s="44">
        <f t="shared" si="18"/>
        <v>4.643352994735249</v>
      </c>
      <c r="Z51" s="44">
        <f t="shared" si="18"/>
        <v>2.2704137605245243</v>
      </c>
      <c r="AA51" s="44">
        <f t="shared" si="18"/>
        <v>1.6918684475284904</v>
      </c>
      <c r="AB51" s="44">
        <f t="shared" si="18"/>
        <v>0.782391006256971</v>
      </c>
      <c r="AC51" s="44">
        <f t="shared" si="18"/>
        <v>6.9106661607880158</v>
      </c>
      <c r="AD51" s="44">
        <f t="shared" si="18"/>
        <v>2.486595115061133</v>
      </c>
      <c r="AE51" s="44">
        <f t="shared" si="18"/>
        <v>2.0099680807352369</v>
      </c>
      <c r="AF51" s="44">
        <f t="shared" si="18"/>
        <v>1.0162568546933282</v>
      </c>
      <c r="AG51" s="44">
        <f t="shared" si="18"/>
        <v>7.6847129725100496</v>
      </c>
      <c r="AH51" s="44">
        <f t="shared" si="18"/>
        <v>2.4160158149554358</v>
      </c>
      <c r="AI51" s="44">
        <f t="shared" si="18"/>
        <v>1.9962513651020173</v>
      </c>
      <c r="AJ51" s="44">
        <f t="shared" si="18"/>
        <v>1.0405784167440242</v>
      </c>
      <c r="AK51" s="44">
        <f t="shared" si="18"/>
        <v>22.51589488237644</v>
      </c>
      <c r="AL51" s="44">
        <f t="shared" si="18"/>
        <v>55.053857188401217</v>
      </c>
      <c r="AM51" s="44">
        <f t="shared" si="18"/>
        <v>7.1691855074534612</v>
      </c>
      <c r="AN51" s="44" t="e">
        <f t="shared" si="18"/>
        <v>#DIV/0!</v>
      </c>
      <c r="AO51" s="44" t="e">
        <f t="shared" si="18"/>
        <v>#DIV/0!</v>
      </c>
      <c r="AP51" s="44" t="e">
        <f t="shared" si="18"/>
        <v>#DIV/0!</v>
      </c>
      <c r="AQ51" s="44" t="e">
        <f t="shared" si="18"/>
        <v>#DIV/0!</v>
      </c>
      <c r="AR51" s="44" t="e">
        <f t="shared" si="18"/>
        <v>#DIV/0!</v>
      </c>
      <c r="AS51" s="44" t="e">
        <f t="shared" si="18"/>
        <v>#DIV/0!</v>
      </c>
      <c r="AT51" s="44" t="e">
        <f t="shared" si="18"/>
        <v>#DIV/0!</v>
      </c>
      <c r="AU51" s="44" t="e">
        <f t="shared" si="18"/>
        <v>#DIV/0!</v>
      </c>
      <c r="AV51" s="44" t="e">
        <f t="shared" si="18"/>
        <v>#DIV/0!</v>
      </c>
      <c r="AW51" s="44" t="e">
        <f t="shared" si="18"/>
        <v>#DIV/0!</v>
      </c>
      <c r="AX51" s="44" t="e">
        <f t="shared" si="18"/>
        <v>#DIV/0!</v>
      </c>
      <c r="AY51" s="44" t="e">
        <f t="shared" si="18"/>
        <v>#DIV/0!</v>
      </c>
      <c r="AZ51" s="44" t="e">
        <f t="shared" si="18"/>
        <v>#DIV/0!</v>
      </c>
      <c r="BA51" s="44" t="e">
        <f t="shared" si="18"/>
        <v>#DIV/0!</v>
      </c>
      <c r="BB51" s="44" t="e">
        <f t="shared" si="18"/>
        <v>#DIV/0!</v>
      </c>
      <c r="BC51" s="44" t="e">
        <f t="shared" si="18"/>
        <v>#DIV/0!</v>
      </c>
      <c r="BD51" s="44" t="e">
        <f t="shared" si="18"/>
        <v>#DIV/0!</v>
      </c>
      <c r="BE51" s="44" t="e">
        <f t="shared" si="18"/>
        <v>#DIV/0!</v>
      </c>
      <c r="BF51" s="44" t="e">
        <f t="shared" si="18"/>
        <v>#DIV/0!</v>
      </c>
      <c r="BG51" s="44" t="e">
        <f t="shared" si="18"/>
        <v>#DIV/0!</v>
      </c>
      <c r="BH51" s="44" t="e">
        <f t="shared" si="18"/>
        <v>#DIV/0!</v>
      </c>
      <c r="BI51" s="44" t="e">
        <f t="shared" si="18"/>
        <v>#DIV/0!</v>
      </c>
      <c r="BJ51" s="44" t="e">
        <f t="shared" si="18"/>
        <v>#DIV/0!</v>
      </c>
      <c r="BK51" s="44" t="e">
        <f t="shared" si="18"/>
        <v>#DIV/0!</v>
      </c>
      <c r="BL51" s="44" t="e">
        <f t="shared" si="18"/>
        <v>#DIV/0!</v>
      </c>
      <c r="BM51" s="44" t="e">
        <f t="shared" si="18"/>
        <v>#DIV/0!</v>
      </c>
      <c r="BN51" s="44" t="e">
        <f t="shared" si="18"/>
        <v>#DIV/0!</v>
      </c>
      <c r="BO51" s="44" t="e">
        <f t="shared" si="18"/>
        <v>#DIV/0!</v>
      </c>
      <c r="BP51" s="44" t="e">
        <f t="shared" si="18"/>
        <v>#DIV/0!</v>
      </c>
      <c r="BQ51" s="44" t="e">
        <f t="shared" si="18"/>
        <v>#DIV/0!</v>
      </c>
      <c r="BR51" s="44" t="e">
        <f t="shared" ref="BR51:CJ51" si="19">BR49/BR50</f>
        <v>#DIV/0!</v>
      </c>
      <c r="BS51" s="44" t="e">
        <f t="shared" si="19"/>
        <v>#DIV/0!</v>
      </c>
      <c r="BT51" s="44" t="e">
        <f t="shared" si="19"/>
        <v>#DIV/0!</v>
      </c>
      <c r="BU51" s="44" t="e">
        <f t="shared" si="19"/>
        <v>#DIV/0!</v>
      </c>
      <c r="BV51" s="44" t="e">
        <f t="shared" si="19"/>
        <v>#DIV/0!</v>
      </c>
      <c r="BW51" s="44" t="e">
        <f t="shared" si="19"/>
        <v>#DIV/0!</v>
      </c>
      <c r="BX51" s="44" t="e">
        <f t="shared" si="19"/>
        <v>#DIV/0!</v>
      </c>
      <c r="BY51" s="44" t="e">
        <f t="shared" si="19"/>
        <v>#DIV/0!</v>
      </c>
      <c r="BZ51" s="44" t="e">
        <f t="shared" si="19"/>
        <v>#DIV/0!</v>
      </c>
      <c r="CA51" s="44" t="e">
        <f t="shared" si="19"/>
        <v>#DIV/0!</v>
      </c>
      <c r="CB51" s="44" t="e">
        <f t="shared" si="19"/>
        <v>#DIV/0!</v>
      </c>
      <c r="CC51" s="44" t="e">
        <f t="shared" si="19"/>
        <v>#DIV/0!</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x14ac:dyDescent="0.25">
      <c r="A52" s="147" t="s">
        <v>467</v>
      </c>
      <c r="E52" s="76">
        <f>资产资本表!E68</f>
        <v>6476337017.8299999</v>
      </c>
      <c r="F52" s="76">
        <f>资产资本表!F68</f>
        <v>5267268734.0800009</v>
      </c>
      <c r="G52" s="76">
        <f>资产资本表!G68</f>
        <v>4835156760.1300001</v>
      </c>
      <c r="H52" s="76">
        <f>资产资本表!H68</f>
        <v>4436459579.3999996</v>
      </c>
      <c r="I52" s="76">
        <f>资产资本表!I68</f>
        <v>4245101766.6200004</v>
      </c>
      <c r="J52" s="76">
        <f>资产资本表!J68</f>
        <v>4148430887.4099998</v>
      </c>
      <c r="K52" s="76">
        <f>资产资本表!K68</f>
        <v>3957059480.7099996</v>
      </c>
      <c r="L52" s="76">
        <f>资产资本表!L68</f>
        <v>3658199231.8400002</v>
      </c>
      <c r="M52" s="76">
        <f>资产资本表!M68</f>
        <v>3472148631.96</v>
      </c>
      <c r="N52" s="76">
        <f>资产资本表!N68</f>
        <v>2988064703.3200006</v>
      </c>
      <c r="O52" s="76">
        <f>资产资本表!O68</f>
        <v>2617770300.1699996</v>
      </c>
      <c r="P52" s="76">
        <f>资产资本表!P68</f>
        <v>2252600546.0900002</v>
      </c>
      <c r="Q52" s="76">
        <f>资产资本表!Q68</f>
        <v>2094707165.0299997</v>
      </c>
      <c r="R52" s="76">
        <f>资产资本表!R68</f>
        <v>1992440424.29</v>
      </c>
      <c r="S52" s="76">
        <f>资产资本表!S68</f>
        <v>1905310748.1499996</v>
      </c>
      <c r="T52" s="76">
        <f>资产资本表!T68</f>
        <v>1720338029.4200001</v>
      </c>
      <c r="U52" s="76">
        <f>资产资本表!U68</f>
        <v>1586797911.3999999</v>
      </c>
      <c r="V52" s="76">
        <f>资产资本表!V68</f>
        <v>1491953277.23</v>
      </c>
      <c r="W52" s="76">
        <f>资产资本表!W68</f>
        <v>1439544830.0899999</v>
      </c>
      <c r="X52" s="76">
        <f>资产资本表!X68</f>
        <v>1343405802.3199999</v>
      </c>
      <c r="Y52" s="76">
        <f>资产资本表!Y68</f>
        <v>1304623299.8600001</v>
      </c>
      <c r="Z52" s="76">
        <f>资产资本表!Z68</f>
        <v>994456489.31000006</v>
      </c>
      <c r="AA52" s="76">
        <f>资产资本表!AA68</f>
        <v>978076979.64999998</v>
      </c>
      <c r="AB52" s="76">
        <f>资产资本表!AB68</f>
        <v>832030452.88999999</v>
      </c>
      <c r="AC52" s="76">
        <f>资产资本表!AC68</f>
        <v>806541574.94999993</v>
      </c>
      <c r="AD52" s="76">
        <f>资产资本表!AD68</f>
        <v>728961617.67999995</v>
      </c>
      <c r="AE52" s="76">
        <f>资产资本表!AE68</f>
        <v>693962475.32000005</v>
      </c>
      <c r="AF52" s="76">
        <f>资产资本表!AF68</f>
        <v>654677365.41999996</v>
      </c>
      <c r="AG52" s="76">
        <f>资产资本表!AG68</f>
        <v>549906528.19999993</v>
      </c>
      <c r="AH52" s="76">
        <f>资产资本表!AH68</f>
        <v>469838669.94999993</v>
      </c>
      <c r="AI52" s="76">
        <f>资产资本表!AI68</f>
        <v>395169894.42999995</v>
      </c>
      <c r="AJ52" s="76">
        <f>资产资本表!AJ68</f>
        <v>337787854.40000004</v>
      </c>
      <c r="AK52" s="76">
        <f>资产资本表!AK68</f>
        <v>312827826.16000003</v>
      </c>
      <c r="AL52" s="76">
        <f>资产资本表!AL68</f>
        <v>91226187.930000007</v>
      </c>
      <c r="AM52" s="76">
        <f>资产资本表!AM68</f>
        <v>57568246.020000003</v>
      </c>
      <c r="AN52" s="76">
        <f>资产资本表!AN68</f>
        <v>0</v>
      </c>
      <c r="AO52" s="76">
        <f>资产资本表!AO68</f>
        <v>0</v>
      </c>
      <c r="AP52" s="76">
        <f>资产资本表!AP68</f>
        <v>0</v>
      </c>
      <c r="AQ52" s="76">
        <f>资产资本表!AQ68</f>
        <v>0</v>
      </c>
      <c r="AR52" s="76">
        <f>资产资本表!AR68</f>
        <v>0</v>
      </c>
      <c r="AS52" s="76">
        <f>资产资本表!AS68</f>
        <v>0</v>
      </c>
      <c r="AT52" s="76">
        <f>资产资本表!AT68</f>
        <v>0</v>
      </c>
      <c r="AU52" s="76">
        <f>资产资本表!AU68</f>
        <v>0</v>
      </c>
      <c r="AV52" s="76">
        <f>资产资本表!AV68</f>
        <v>0</v>
      </c>
      <c r="AW52" s="76">
        <f>资产资本表!AW68</f>
        <v>0</v>
      </c>
      <c r="AX52" s="76">
        <f>资产资本表!AX68</f>
        <v>0</v>
      </c>
      <c r="AY52" s="76">
        <f>资产资本表!AY68</f>
        <v>0</v>
      </c>
      <c r="AZ52" s="76">
        <f>资产资本表!AZ68</f>
        <v>0</v>
      </c>
      <c r="BA52" s="76">
        <f>资产资本表!BA68</f>
        <v>0</v>
      </c>
      <c r="BB52" s="76">
        <f>资产资本表!BB68</f>
        <v>0</v>
      </c>
      <c r="BC52" s="76">
        <f>资产资本表!BC68</f>
        <v>0</v>
      </c>
      <c r="BD52" s="76">
        <f>资产资本表!BD68</f>
        <v>0</v>
      </c>
      <c r="BE52" s="76">
        <f>资产资本表!BE68</f>
        <v>0</v>
      </c>
      <c r="BF52" s="76">
        <f>资产资本表!BF68</f>
        <v>0</v>
      </c>
      <c r="BG52" s="76">
        <f>资产资本表!BG68</f>
        <v>0</v>
      </c>
      <c r="BH52" s="76">
        <f>资产资本表!BH68</f>
        <v>0</v>
      </c>
      <c r="BI52" s="76">
        <f>资产资本表!BI68</f>
        <v>0</v>
      </c>
      <c r="BJ52" s="76">
        <f>资产资本表!BJ68</f>
        <v>0</v>
      </c>
      <c r="BK52" s="76">
        <f>资产资本表!BK68</f>
        <v>0</v>
      </c>
      <c r="BL52" s="76">
        <f>资产资本表!BL68</f>
        <v>0</v>
      </c>
      <c r="BM52" s="76">
        <f>资产资本表!BM68</f>
        <v>0</v>
      </c>
      <c r="BN52" s="76">
        <f>资产资本表!BN68</f>
        <v>0</v>
      </c>
      <c r="BO52" s="76">
        <f>资产资本表!BO68</f>
        <v>0</v>
      </c>
      <c r="BP52" s="76">
        <f>资产资本表!BP68</f>
        <v>0</v>
      </c>
      <c r="BQ52" s="76">
        <f>资产资本表!BQ68</f>
        <v>0</v>
      </c>
      <c r="BR52" s="76">
        <f>资产资本表!BR68</f>
        <v>0</v>
      </c>
      <c r="BS52" s="76">
        <f>资产资本表!BS68</f>
        <v>0</v>
      </c>
      <c r="BT52" s="76">
        <f>资产资本表!BT68</f>
        <v>0</v>
      </c>
      <c r="BU52" s="76">
        <f>资产资本表!BU68</f>
        <v>0</v>
      </c>
      <c r="BV52" s="76">
        <f>资产资本表!BV68</f>
        <v>0</v>
      </c>
      <c r="BW52" s="76">
        <f>资产资本表!BW68</f>
        <v>0</v>
      </c>
      <c r="BX52" s="76">
        <f>资产资本表!BX68</f>
        <v>0</v>
      </c>
      <c r="BY52" s="76">
        <f>资产资本表!BY68</f>
        <v>0</v>
      </c>
      <c r="BZ52" s="76">
        <f>资产资本表!BZ68</f>
        <v>0</v>
      </c>
      <c r="CA52" s="76">
        <f>资产资本表!CA68</f>
        <v>0</v>
      </c>
      <c r="CB52" s="76">
        <f>资产资本表!CB68</f>
        <v>0</v>
      </c>
      <c r="CC52" s="76">
        <f>资产资本表!CC68</f>
        <v>0</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x14ac:dyDescent="0.25">
      <c r="A53" s="143" t="s">
        <v>468</v>
      </c>
      <c r="E53" s="44">
        <f>E49/E52</f>
        <v>6.4705521742769188</v>
      </c>
      <c r="F53" s="44">
        <f t="shared" ref="F53:BQ53" si="20">F49/F52</f>
        <v>5.2645390919138988</v>
      </c>
      <c r="G53" s="44">
        <f t="shared" si="20"/>
        <v>3.4016559446725747</v>
      </c>
      <c r="H53" s="44">
        <f t="shared" si="20"/>
        <v>1.5876903588700371</v>
      </c>
      <c r="I53" s="44">
        <f t="shared" si="20"/>
        <v>7.5202015469839436</v>
      </c>
      <c r="J53" s="44">
        <f t="shared" si="20"/>
        <v>5.0950514887367895</v>
      </c>
      <c r="K53" s="44">
        <f t="shared" si="20"/>
        <v>3.1710917632879574</v>
      </c>
      <c r="L53" s="44">
        <f t="shared" si="20"/>
        <v>1.4213852396674007</v>
      </c>
      <c r="M53" s="44">
        <f t="shared" si="20"/>
        <v>7.2783146553131575</v>
      </c>
      <c r="N53" s="44">
        <f t="shared" si="20"/>
        <v>5.581418120186517</v>
      </c>
      <c r="O53" s="44">
        <f t="shared" si="20"/>
        <v>3.7422617447313145</v>
      </c>
      <c r="P53" s="44">
        <f t="shared" si="20"/>
        <v>1.9035539999059734</v>
      </c>
      <c r="Q53" s="44">
        <f t="shared" si="20"/>
        <v>8.2269800330077132</v>
      </c>
      <c r="R53" s="44">
        <f t="shared" si="20"/>
        <v>5.3551452357137119</v>
      </c>
      <c r="S53" s="44">
        <f t="shared" si="20"/>
        <v>3.1575192218337151</v>
      </c>
      <c r="T53" s="44">
        <f t="shared" si="20"/>
        <v>1.5082264055365742</v>
      </c>
      <c r="U53" s="44">
        <f t="shared" si="20"/>
        <v>6.7720703195021867</v>
      </c>
      <c r="V53" s="44">
        <f t="shared" si="20"/>
        <v>4.5982651852457437</v>
      </c>
      <c r="W53" s="44">
        <f t="shared" si="20"/>
        <v>2.7151600305880268</v>
      </c>
      <c r="X53" s="44">
        <f t="shared" si="20"/>
        <v>1.2634512468524353</v>
      </c>
      <c r="Y53" s="44">
        <f t="shared" si="20"/>
        <v>5.5294041505729021</v>
      </c>
      <c r="Z53" s="44">
        <f t="shared" si="20"/>
        <v>4.8245925556873468</v>
      </c>
      <c r="AA53" s="44">
        <f t="shared" si="20"/>
        <v>2.8818585255923828</v>
      </c>
      <c r="AB53" s="44">
        <f t="shared" si="20"/>
        <v>1.5536434108871502</v>
      </c>
      <c r="AC53" s="44">
        <f t="shared" si="20"/>
        <v>6.4865097005003447</v>
      </c>
      <c r="AD53" s="44">
        <f t="shared" si="20"/>
        <v>4.7370900446721036</v>
      </c>
      <c r="AE53" s="44">
        <f t="shared" si="20"/>
        <v>2.9996995740585195</v>
      </c>
      <c r="AF53" s="44">
        <f t="shared" si="20"/>
        <v>1.4204136853172344</v>
      </c>
      <c r="AG53" s="44">
        <f t="shared" si="20"/>
        <v>6.5565275193436054</v>
      </c>
      <c r="AH53" s="44">
        <f t="shared" si="20"/>
        <v>5.0934001212260167</v>
      </c>
      <c r="AI53" s="44">
        <f t="shared" si="20"/>
        <v>3.5486118581799073</v>
      </c>
      <c r="AJ53" s="44">
        <f t="shared" si="20"/>
        <v>2.0347240821930508</v>
      </c>
      <c r="AK53" s="44">
        <f t="shared" si="20"/>
        <v>6.717794930573576</v>
      </c>
      <c r="AL53" s="44">
        <f t="shared" si="20"/>
        <v>15.74737211931201</v>
      </c>
      <c r="AM53" s="44">
        <f t="shared" si="20"/>
        <v>14.535852490438616</v>
      </c>
      <c r="AN53" s="44" t="e">
        <f t="shared" si="20"/>
        <v>#DIV/0!</v>
      </c>
      <c r="AO53" s="44" t="e">
        <f t="shared" si="20"/>
        <v>#DIV/0!</v>
      </c>
      <c r="AP53" s="44" t="e">
        <f t="shared" si="20"/>
        <v>#DIV/0!</v>
      </c>
      <c r="AQ53" s="44" t="e">
        <f t="shared" si="20"/>
        <v>#DIV/0!</v>
      </c>
      <c r="AR53" s="44" t="e">
        <f t="shared" si="20"/>
        <v>#DIV/0!</v>
      </c>
      <c r="AS53" s="44" t="e">
        <f t="shared" si="20"/>
        <v>#DIV/0!</v>
      </c>
      <c r="AT53" s="44" t="e">
        <f t="shared" si="20"/>
        <v>#DIV/0!</v>
      </c>
      <c r="AU53" s="44" t="e">
        <f t="shared" si="20"/>
        <v>#DIV/0!</v>
      </c>
      <c r="AV53" s="44" t="e">
        <f t="shared" si="20"/>
        <v>#DIV/0!</v>
      </c>
      <c r="AW53" s="44" t="e">
        <f t="shared" si="20"/>
        <v>#DIV/0!</v>
      </c>
      <c r="AX53" s="44" t="e">
        <f t="shared" si="20"/>
        <v>#DIV/0!</v>
      </c>
      <c r="AY53" s="44" t="e">
        <f t="shared" si="20"/>
        <v>#DIV/0!</v>
      </c>
      <c r="AZ53" s="44" t="e">
        <f t="shared" si="20"/>
        <v>#DIV/0!</v>
      </c>
      <c r="BA53" s="44" t="e">
        <f t="shared" si="20"/>
        <v>#DIV/0!</v>
      </c>
      <c r="BB53" s="44" t="e">
        <f t="shared" si="20"/>
        <v>#DIV/0!</v>
      </c>
      <c r="BC53" s="44" t="e">
        <f t="shared" si="20"/>
        <v>#DIV/0!</v>
      </c>
      <c r="BD53" s="44" t="e">
        <f t="shared" si="20"/>
        <v>#DIV/0!</v>
      </c>
      <c r="BE53" s="44" t="e">
        <f t="shared" si="20"/>
        <v>#DIV/0!</v>
      </c>
      <c r="BF53" s="44" t="e">
        <f t="shared" si="20"/>
        <v>#DIV/0!</v>
      </c>
      <c r="BG53" s="44" t="e">
        <f t="shared" si="20"/>
        <v>#DIV/0!</v>
      </c>
      <c r="BH53" s="44" t="e">
        <f t="shared" si="20"/>
        <v>#DIV/0!</v>
      </c>
      <c r="BI53" s="44" t="e">
        <f t="shared" si="20"/>
        <v>#DIV/0!</v>
      </c>
      <c r="BJ53" s="44" t="e">
        <f t="shared" si="20"/>
        <v>#DIV/0!</v>
      </c>
      <c r="BK53" s="44" t="e">
        <f t="shared" si="20"/>
        <v>#DIV/0!</v>
      </c>
      <c r="BL53" s="44" t="e">
        <f t="shared" si="20"/>
        <v>#DIV/0!</v>
      </c>
      <c r="BM53" s="44" t="e">
        <f t="shared" si="20"/>
        <v>#DIV/0!</v>
      </c>
      <c r="BN53" s="44" t="e">
        <f t="shared" si="20"/>
        <v>#DIV/0!</v>
      </c>
      <c r="BO53" s="44" t="e">
        <f t="shared" si="20"/>
        <v>#DIV/0!</v>
      </c>
      <c r="BP53" s="44" t="e">
        <f t="shared" si="20"/>
        <v>#DIV/0!</v>
      </c>
      <c r="BQ53" s="44" t="e">
        <f t="shared" si="20"/>
        <v>#DIV/0!</v>
      </c>
      <c r="BR53" s="44" t="e">
        <f t="shared" ref="BR53:CK53" si="21">BR49/BR52</f>
        <v>#DIV/0!</v>
      </c>
      <c r="BS53" s="44" t="e">
        <f t="shared" si="21"/>
        <v>#DIV/0!</v>
      </c>
      <c r="BT53" s="44" t="e">
        <f t="shared" si="21"/>
        <v>#DIV/0!</v>
      </c>
      <c r="BU53" s="44" t="e">
        <f t="shared" si="21"/>
        <v>#DIV/0!</v>
      </c>
      <c r="BV53" s="44" t="e">
        <f t="shared" si="21"/>
        <v>#DIV/0!</v>
      </c>
      <c r="BW53" s="44" t="e">
        <f t="shared" si="21"/>
        <v>#DIV/0!</v>
      </c>
      <c r="BX53" s="44" t="e">
        <f t="shared" si="21"/>
        <v>#DIV/0!</v>
      </c>
      <c r="BY53" s="44" t="e">
        <f t="shared" si="21"/>
        <v>#DIV/0!</v>
      </c>
      <c r="BZ53" s="44" t="e">
        <f t="shared" si="21"/>
        <v>#DIV/0!</v>
      </c>
      <c r="CA53" s="44" t="e">
        <f t="shared" si="21"/>
        <v>#DIV/0!</v>
      </c>
      <c r="CB53" s="44" t="e">
        <f t="shared" si="21"/>
        <v>#DIV/0!</v>
      </c>
      <c r="CC53" s="44" t="e">
        <f t="shared" si="21"/>
        <v>#DIV/0!</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x14ac:dyDescent="0.25">
      <c r="A54" s="147" t="s">
        <v>469</v>
      </c>
      <c r="E54" s="76">
        <f>资产资本表!E17</f>
        <v>16759998173.18</v>
      </c>
      <c r="F54" s="76">
        <f>资产资本表!F17</f>
        <v>13467903042.66</v>
      </c>
      <c r="G54" s="76">
        <f>资产资本表!G17</f>
        <v>13466486552.66</v>
      </c>
      <c r="H54" s="76">
        <f>资产资本表!H17</f>
        <v>16504776329.720001</v>
      </c>
      <c r="I54" s="76">
        <f>资产资本表!I17</f>
        <v>13934376704.52</v>
      </c>
      <c r="J54" s="76">
        <f>资产资本表!J17</f>
        <v>12433800144.74</v>
      </c>
      <c r="K54" s="76">
        <f>资产资本表!K17</f>
        <v>10273876308.09</v>
      </c>
      <c r="L54" s="76">
        <f>资产资本表!L17</f>
        <v>9425032714.3999996</v>
      </c>
      <c r="M54" s="76">
        <f>资产资本表!M17</f>
        <v>10168694380.710001</v>
      </c>
      <c r="N54" s="76">
        <f>资产资本表!N17</f>
        <v>6902052459.75</v>
      </c>
      <c r="O54" s="76">
        <f>资产资本表!O17</f>
        <v>6330184019.7399998</v>
      </c>
      <c r="P54" s="76">
        <f>资产资本表!P17</f>
        <v>6237116316.2700005</v>
      </c>
      <c r="Q54" s="76">
        <f>资产资本表!Q17</f>
        <v>7203296191.9299994</v>
      </c>
      <c r="R54" s="76">
        <f>资产资本表!R17</f>
        <v>3503187327.3699999</v>
      </c>
      <c r="S54" s="76">
        <f>资产资本表!S17</f>
        <v>4093778211.8600001</v>
      </c>
      <c r="T54" s="76">
        <f>资产资本表!T17</f>
        <v>3763070125.4200001</v>
      </c>
      <c r="U54" s="76">
        <f>资产资本表!U17</f>
        <v>4592606345.6000004</v>
      </c>
      <c r="V54" s="76">
        <f>资产资本表!V17</f>
        <v>5214045859.7299995</v>
      </c>
      <c r="W54" s="76">
        <f>资产资本表!W17</f>
        <v>5526592322.7799997</v>
      </c>
      <c r="X54" s="76">
        <f>资产资本表!X17</f>
        <v>5177822598.3100004</v>
      </c>
      <c r="Y54" s="76">
        <f>资产资本表!Y17</f>
        <v>5834759469.1999998</v>
      </c>
      <c r="Z54" s="76">
        <f>资产资本表!Z17</f>
        <v>4643066329.4399996</v>
      </c>
      <c r="AA54" s="76">
        <f>资产资本表!AA17</f>
        <v>4592336693.79</v>
      </c>
      <c r="AB54" s="76">
        <f>资产资本表!AB17</f>
        <v>4700147603.8900003</v>
      </c>
      <c r="AC54" s="76">
        <f>资产资本表!AC17</f>
        <v>5244489946.3900003</v>
      </c>
      <c r="AD54" s="76">
        <f>资产资本表!AD17</f>
        <v>4128046202.0700002</v>
      </c>
      <c r="AE54" s="76">
        <f>资产资本表!AE17</f>
        <v>4191087673.9699998</v>
      </c>
      <c r="AF54" s="76">
        <f>资产资本表!AF17</f>
        <v>4380487688.2799997</v>
      </c>
      <c r="AG54" s="76">
        <f>资产资本表!AG17</f>
        <v>4649956978.1499996</v>
      </c>
      <c r="AH54" s="76">
        <f>资产资本表!AH17</f>
        <v>3813886974.6799998</v>
      </c>
      <c r="AI54" s="76">
        <f>资产资本表!AI17</f>
        <v>4143895458.0500002</v>
      </c>
      <c r="AJ54" s="76">
        <f>资产资本表!AJ17</f>
        <v>762411039.29999995</v>
      </c>
      <c r="AK54" s="76">
        <f>资产资本表!AK17</f>
        <v>1148562390.8499999</v>
      </c>
      <c r="AL54" s="76">
        <f>资产资本表!AL17</f>
        <v>844381117.83000004</v>
      </c>
      <c r="AM54" s="76">
        <f>资产资本表!AM17</f>
        <v>448714996.70999998</v>
      </c>
      <c r="AN54" s="76">
        <f>资产资本表!AN17</f>
        <v>0</v>
      </c>
      <c r="AO54" s="76">
        <f>资产资本表!AO17</f>
        <v>0</v>
      </c>
      <c r="AP54" s="76">
        <f>资产资本表!AP17</f>
        <v>0</v>
      </c>
      <c r="AQ54" s="76">
        <f>资产资本表!AQ17</f>
        <v>0</v>
      </c>
      <c r="AR54" s="76">
        <f>资产资本表!AR17</f>
        <v>0</v>
      </c>
      <c r="AS54" s="76">
        <f>资产资本表!AS17</f>
        <v>0</v>
      </c>
      <c r="AT54" s="76">
        <f>资产资本表!AT17</f>
        <v>0</v>
      </c>
      <c r="AU54" s="76">
        <f>资产资本表!AU17</f>
        <v>0</v>
      </c>
      <c r="AV54" s="76">
        <f>资产资本表!AV17</f>
        <v>0</v>
      </c>
      <c r="AW54" s="76">
        <f>资产资本表!AW17</f>
        <v>0</v>
      </c>
      <c r="AX54" s="76">
        <f>资产资本表!AX17</f>
        <v>0</v>
      </c>
      <c r="AY54" s="76">
        <f>资产资本表!AY17</f>
        <v>0</v>
      </c>
      <c r="AZ54" s="76">
        <f>资产资本表!AZ17</f>
        <v>0</v>
      </c>
      <c r="BA54" s="76">
        <f>资产资本表!BA17</f>
        <v>0</v>
      </c>
      <c r="BB54" s="76">
        <f>资产资本表!BB17</f>
        <v>0</v>
      </c>
      <c r="BC54" s="76">
        <f>资产资本表!BC17</f>
        <v>0</v>
      </c>
      <c r="BD54" s="76">
        <f>资产资本表!BD17</f>
        <v>0</v>
      </c>
      <c r="BE54" s="76">
        <f>资产资本表!BE17</f>
        <v>0</v>
      </c>
      <c r="BF54" s="76">
        <f>资产资本表!BF17</f>
        <v>0</v>
      </c>
      <c r="BG54" s="76">
        <f>资产资本表!BG17</f>
        <v>0</v>
      </c>
      <c r="BH54" s="76">
        <f>资产资本表!BH17</f>
        <v>0</v>
      </c>
      <c r="BI54" s="76">
        <f>资产资本表!BI17</f>
        <v>0</v>
      </c>
      <c r="BJ54" s="76">
        <f>资产资本表!BJ17</f>
        <v>0</v>
      </c>
      <c r="BK54" s="76">
        <f>资产资本表!BK17</f>
        <v>0</v>
      </c>
      <c r="BL54" s="76">
        <f>资产资本表!BL17</f>
        <v>0</v>
      </c>
      <c r="BM54" s="76">
        <f>资产资本表!BM17</f>
        <v>0</v>
      </c>
      <c r="BN54" s="76">
        <f>资产资本表!BN17</f>
        <v>0</v>
      </c>
      <c r="BO54" s="76">
        <f>资产资本表!BO17</f>
        <v>0</v>
      </c>
      <c r="BP54" s="76">
        <f>资产资本表!BP17</f>
        <v>0</v>
      </c>
      <c r="BQ54" s="76">
        <f>资产资本表!BQ17</f>
        <v>0</v>
      </c>
      <c r="BR54" s="76">
        <f>资产资本表!BR17</f>
        <v>0</v>
      </c>
      <c r="BS54" s="76">
        <f>资产资本表!BS17</f>
        <v>0</v>
      </c>
      <c r="BT54" s="76">
        <f>资产资本表!BT17</f>
        <v>0</v>
      </c>
      <c r="BU54" s="76">
        <f>资产资本表!BU17</f>
        <v>0</v>
      </c>
      <c r="BV54" s="76">
        <f>资产资本表!BV17</f>
        <v>0</v>
      </c>
      <c r="BW54" s="76">
        <f>资产资本表!BW17</f>
        <v>0</v>
      </c>
      <c r="BX54" s="76">
        <f>资产资本表!BX17</f>
        <v>0</v>
      </c>
      <c r="BY54" s="76">
        <f>资产资本表!BY17</f>
        <v>0</v>
      </c>
      <c r="BZ54" s="76">
        <f>资产资本表!BZ17</f>
        <v>0</v>
      </c>
      <c r="CA54" s="76">
        <f>资产资本表!CA17</f>
        <v>0</v>
      </c>
      <c r="CB54" s="76">
        <f>资产资本表!CB17</f>
        <v>0</v>
      </c>
      <c r="CC54" s="76">
        <f>资产资本表!CC17</f>
        <v>0</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x14ac:dyDescent="0.25">
      <c r="A55" s="143" t="s">
        <v>470</v>
      </c>
      <c r="E55" s="44">
        <f>E49/E54</f>
        <v>2.5003270369759809</v>
      </c>
      <c r="F55" s="44">
        <f t="shared" ref="F55:BQ55" si="22">F49/F54</f>
        <v>2.0589502367477093</v>
      </c>
      <c r="G55" s="44">
        <f t="shared" si="22"/>
        <v>1.2213682961923844</v>
      </c>
      <c r="H55" s="44">
        <f t="shared" si="22"/>
        <v>0.42676883109566466</v>
      </c>
      <c r="I55" s="44">
        <f t="shared" si="22"/>
        <v>2.2910261111345269</v>
      </c>
      <c r="J55" s="44">
        <f t="shared" si="22"/>
        <v>1.6999202756014686</v>
      </c>
      <c r="K55" s="44">
        <f t="shared" si="22"/>
        <v>1.2213694568464992</v>
      </c>
      <c r="L55" s="44">
        <f t="shared" si="22"/>
        <v>0.55169149534681639</v>
      </c>
      <c r="M55" s="44">
        <f t="shared" si="22"/>
        <v>2.4852148493477975</v>
      </c>
      <c r="N55" s="44">
        <f t="shared" si="22"/>
        <v>2.4163302983652026</v>
      </c>
      <c r="O55" s="44">
        <f t="shared" si="22"/>
        <v>1.5475666458148822</v>
      </c>
      <c r="P55" s="44">
        <f t="shared" si="22"/>
        <v>0.68748866659974883</v>
      </c>
      <c r="Q55" s="44">
        <f t="shared" si="22"/>
        <v>2.3923928105311862</v>
      </c>
      <c r="R55" s="44">
        <f t="shared" si="22"/>
        <v>3.0457428759855398</v>
      </c>
      <c r="S55" s="44">
        <f t="shared" si="22"/>
        <v>1.4695606355569071</v>
      </c>
      <c r="T55" s="44">
        <f t="shared" si="22"/>
        <v>0.68950595017955119</v>
      </c>
      <c r="U55" s="44">
        <f t="shared" si="22"/>
        <v>2.3398275903039765</v>
      </c>
      <c r="V55" s="44">
        <f t="shared" si="22"/>
        <v>1.315753063410005</v>
      </c>
      <c r="W55" s="44">
        <f t="shared" si="22"/>
        <v>0.70723410677303034</v>
      </c>
      <c r="X55" s="44">
        <f t="shared" si="22"/>
        <v>0.32780724015612162</v>
      </c>
      <c r="Y55" s="44">
        <f t="shared" si="22"/>
        <v>1.2363473639760987</v>
      </c>
      <c r="Z55" s="44">
        <f t="shared" si="22"/>
        <v>1.0333359540566089</v>
      </c>
      <c r="AA55" s="44">
        <f t="shared" si="22"/>
        <v>0.61377892572675841</v>
      </c>
      <c r="AB55" s="44">
        <f t="shared" si="22"/>
        <v>0.27502936923090154</v>
      </c>
      <c r="AC55" s="44">
        <f t="shared" si="22"/>
        <v>0.99754977190320571</v>
      </c>
      <c r="AD55" s="44">
        <f t="shared" si="22"/>
        <v>0.83651118544371472</v>
      </c>
      <c r="AE55" s="44">
        <f t="shared" si="22"/>
        <v>0.49669181452797756</v>
      </c>
      <c r="AF55" s="44">
        <f t="shared" si="22"/>
        <v>0.21228519641728077</v>
      </c>
      <c r="AG55" s="44">
        <f t="shared" si="22"/>
        <v>0.7753786329963962</v>
      </c>
      <c r="AH55" s="44">
        <f t="shared" si="22"/>
        <v>0.62746388510393347</v>
      </c>
      <c r="AI55" s="44">
        <f t="shared" si="22"/>
        <v>0.33840249773817527</v>
      </c>
      <c r="AJ55" s="44">
        <f t="shared" si="22"/>
        <v>0.90148889062656046</v>
      </c>
      <c r="AK55" s="44">
        <f t="shared" si="22"/>
        <v>1.8296900555526319</v>
      </c>
      <c r="AL55" s="44">
        <f t="shared" si="22"/>
        <v>1.7013321331153053</v>
      </c>
      <c r="AM55" s="44">
        <f t="shared" si="22"/>
        <v>1.8648887120231858</v>
      </c>
      <c r="AN55" s="44" t="e">
        <f t="shared" si="22"/>
        <v>#DIV/0!</v>
      </c>
      <c r="AO55" s="44" t="e">
        <f t="shared" si="22"/>
        <v>#DIV/0!</v>
      </c>
      <c r="AP55" s="44" t="e">
        <f t="shared" si="22"/>
        <v>#DIV/0!</v>
      </c>
      <c r="AQ55" s="44" t="e">
        <f t="shared" si="22"/>
        <v>#DIV/0!</v>
      </c>
      <c r="AR55" s="44" t="e">
        <f t="shared" si="22"/>
        <v>#DIV/0!</v>
      </c>
      <c r="AS55" s="44" t="e">
        <f t="shared" si="22"/>
        <v>#DIV/0!</v>
      </c>
      <c r="AT55" s="44" t="e">
        <f t="shared" si="22"/>
        <v>#DIV/0!</v>
      </c>
      <c r="AU55" s="44" t="e">
        <f t="shared" si="22"/>
        <v>#DIV/0!</v>
      </c>
      <c r="AV55" s="44" t="e">
        <f t="shared" si="22"/>
        <v>#DIV/0!</v>
      </c>
      <c r="AW55" s="44" t="e">
        <f t="shared" si="22"/>
        <v>#DIV/0!</v>
      </c>
      <c r="AX55" s="44" t="e">
        <f t="shared" si="22"/>
        <v>#DIV/0!</v>
      </c>
      <c r="AY55" s="44" t="e">
        <f t="shared" si="22"/>
        <v>#DIV/0!</v>
      </c>
      <c r="AZ55" s="44" t="e">
        <f t="shared" si="22"/>
        <v>#DIV/0!</v>
      </c>
      <c r="BA55" s="44" t="e">
        <f t="shared" si="22"/>
        <v>#DIV/0!</v>
      </c>
      <c r="BB55" s="44" t="e">
        <f t="shared" si="22"/>
        <v>#DIV/0!</v>
      </c>
      <c r="BC55" s="44" t="e">
        <f t="shared" si="22"/>
        <v>#DIV/0!</v>
      </c>
      <c r="BD55" s="44" t="e">
        <f t="shared" si="22"/>
        <v>#DIV/0!</v>
      </c>
      <c r="BE55" s="44" t="e">
        <f t="shared" si="22"/>
        <v>#DIV/0!</v>
      </c>
      <c r="BF55" s="44" t="e">
        <f t="shared" si="22"/>
        <v>#DIV/0!</v>
      </c>
      <c r="BG55" s="44" t="e">
        <f t="shared" si="22"/>
        <v>#DIV/0!</v>
      </c>
      <c r="BH55" s="44" t="e">
        <f t="shared" si="22"/>
        <v>#DIV/0!</v>
      </c>
      <c r="BI55" s="44" t="e">
        <f t="shared" si="22"/>
        <v>#DIV/0!</v>
      </c>
      <c r="BJ55" s="44" t="e">
        <f t="shared" si="22"/>
        <v>#DIV/0!</v>
      </c>
      <c r="BK55" s="44" t="e">
        <f t="shared" si="22"/>
        <v>#DIV/0!</v>
      </c>
      <c r="BL55" s="44" t="e">
        <f t="shared" si="22"/>
        <v>#DIV/0!</v>
      </c>
      <c r="BM55" s="44" t="e">
        <f t="shared" si="22"/>
        <v>#DIV/0!</v>
      </c>
      <c r="BN55" s="44" t="e">
        <f t="shared" si="22"/>
        <v>#DIV/0!</v>
      </c>
      <c r="BO55" s="44" t="e">
        <f t="shared" si="22"/>
        <v>#DIV/0!</v>
      </c>
      <c r="BP55" s="44" t="e">
        <f t="shared" si="22"/>
        <v>#DIV/0!</v>
      </c>
      <c r="BQ55" s="44" t="e">
        <f t="shared" si="22"/>
        <v>#DIV/0!</v>
      </c>
      <c r="BR55" s="44" t="e">
        <f t="shared" ref="BR55:CK55" si="23">BR49/BR54</f>
        <v>#DIV/0!</v>
      </c>
      <c r="BS55" s="44" t="e">
        <f t="shared" si="23"/>
        <v>#DIV/0!</v>
      </c>
      <c r="BT55" s="44" t="e">
        <f t="shared" si="23"/>
        <v>#DIV/0!</v>
      </c>
      <c r="BU55" s="44" t="e">
        <f t="shared" si="23"/>
        <v>#DIV/0!</v>
      </c>
      <c r="BV55" s="44" t="e">
        <f t="shared" si="23"/>
        <v>#DIV/0!</v>
      </c>
      <c r="BW55" s="44" t="e">
        <f t="shared" si="23"/>
        <v>#DIV/0!</v>
      </c>
      <c r="BX55" s="44" t="e">
        <f t="shared" si="23"/>
        <v>#DIV/0!</v>
      </c>
      <c r="BY55" s="44" t="e">
        <f t="shared" si="23"/>
        <v>#DIV/0!</v>
      </c>
      <c r="BZ55" s="44" t="e">
        <f t="shared" si="23"/>
        <v>#DIV/0!</v>
      </c>
      <c r="CA55" s="44" t="e">
        <f t="shared" si="23"/>
        <v>#DIV/0!</v>
      </c>
      <c r="CB55" s="44" t="e">
        <f t="shared" si="23"/>
        <v>#DIV/0!</v>
      </c>
      <c r="CC55" s="44" t="e">
        <f t="shared" si="23"/>
        <v>#DIV/0!</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x14ac:dyDescent="0.25">
      <c r="A56" s="147" t="s">
        <v>444</v>
      </c>
      <c r="E56" s="76">
        <f>资产资本表!E19</f>
        <v>130474733.58</v>
      </c>
      <c r="F56" s="76">
        <f>资产资本表!F19</f>
        <v>124385439.20999999</v>
      </c>
      <c r="G56" s="76">
        <f>资产资本表!G19</f>
        <v>129122297.95</v>
      </c>
      <c r="H56" s="76">
        <f>资产资本表!H19</f>
        <v>80000000</v>
      </c>
      <c r="I56" s="76">
        <f>资产资本表!I19</f>
        <v>35000000</v>
      </c>
      <c r="J56" s="76">
        <f>资产资本表!J19</f>
        <v>0</v>
      </c>
      <c r="K56" s="76">
        <f>资产资本表!K19</f>
        <v>0</v>
      </c>
      <c r="L56" s="76">
        <f>资产资本表!L19</f>
        <v>0</v>
      </c>
      <c r="M56" s="76">
        <f>资产资本表!M19</f>
        <v>0</v>
      </c>
      <c r="N56" s="76">
        <f>资产资本表!N19</f>
        <v>0</v>
      </c>
      <c r="O56" s="76">
        <f>资产资本表!O19</f>
        <v>0</v>
      </c>
      <c r="P56" s="76">
        <f>资产资本表!P19</f>
        <v>0</v>
      </c>
      <c r="Q56" s="76">
        <f>资产资本表!Q19</f>
        <v>0</v>
      </c>
      <c r="R56" s="76">
        <f>资产资本表!R19</f>
        <v>51079.89</v>
      </c>
      <c r="S56" s="76">
        <f>资产资本表!S19</f>
        <v>655392.89</v>
      </c>
      <c r="T56" s="76">
        <f>资产资本表!T19</f>
        <v>1008054.3</v>
      </c>
      <c r="U56" s="76">
        <f>资产资本表!U19</f>
        <v>1008054.3</v>
      </c>
      <c r="V56" s="76">
        <f>资产资本表!V19</f>
        <v>1092280.75</v>
      </c>
      <c r="W56" s="76">
        <f>资产资本表!W19</f>
        <v>1248159.28</v>
      </c>
      <c r="X56" s="76">
        <f>资产资本表!X19</f>
        <v>1368501.12</v>
      </c>
      <c r="Y56" s="76">
        <f>资产资本表!Y19</f>
        <v>1462726.94</v>
      </c>
      <c r="Z56" s="76">
        <f>资产资本表!Z19</f>
        <v>1661600.83</v>
      </c>
      <c r="AA56" s="76">
        <f>资产资本表!AA19</f>
        <v>1661600.83</v>
      </c>
      <c r="AB56" s="76">
        <f>资产资本表!AB19</f>
        <v>604313</v>
      </c>
      <c r="AC56" s="76">
        <f>资产资本表!AC19</f>
        <v>604313</v>
      </c>
      <c r="AD56" s="76">
        <f>资产资本表!AD19</f>
        <v>604313</v>
      </c>
      <c r="AE56" s="76">
        <f>资产资本表!AE19</f>
        <v>604313</v>
      </c>
      <c r="AF56" s="76">
        <f>资产资本表!AF19</f>
        <v>604313</v>
      </c>
      <c r="AG56" s="76">
        <f>资产资本表!AG19</f>
        <v>14009211.65</v>
      </c>
      <c r="AH56" s="76">
        <f>资产资本表!AH19</f>
        <v>10164536.99</v>
      </c>
      <c r="AI56" s="76">
        <f>资产资本表!AI19</f>
        <v>10164536.99</v>
      </c>
      <c r="AJ56" s="76">
        <f>资产资本表!AJ19</f>
        <v>10664509.92</v>
      </c>
      <c r="AK56" s="76">
        <f>资产资本表!AK19</f>
        <v>10664509.92</v>
      </c>
      <c r="AL56" s="76">
        <f>资产资本表!AL19</f>
        <v>16197844.17</v>
      </c>
      <c r="AM56" s="76">
        <f>资产资本表!AM19</f>
        <v>0</v>
      </c>
      <c r="AN56" s="76">
        <f>资产资本表!AN19</f>
        <v>0</v>
      </c>
      <c r="AO56" s="76">
        <f>资产资本表!AO19</f>
        <v>0</v>
      </c>
      <c r="AP56" s="76">
        <f>资产资本表!AP19</f>
        <v>0</v>
      </c>
      <c r="AQ56" s="76">
        <f>资产资本表!AQ19</f>
        <v>0</v>
      </c>
      <c r="AR56" s="76">
        <f>资产资本表!AR19</f>
        <v>0</v>
      </c>
      <c r="AS56" s="76">
        <f>资产资本表!AS19</f>
        <v>0</v>
      </c>
      <c r="AT56" s="76">
        <f>资产资本表!AT19</f>
        <v>0</v>
      </c>
      <c r="AU56" s="76">
        <f>资产资本表!AU19</f>
        <v>0</v>
      </c>
      <c r="AV56" s="76">
        <f>资产资本表!AV19</f>
        <v>0</v>
      </c>
      <c r="AW56" s="76">
        <f>资产资本表!AW19</f>
        <v>0</v>
      </c>
      <c r="AX56" s="76">
        <f>资产资本表!AX19</f>
        <v>0</v>
      </c>
      <c r="AY56" s="76">
        <f>资产资本表!AY19</f>
        <v>0</v>
      </c>
      <c r="AZ56" s="76">
        <f>资产资本表!AZ19</f>
        <v>0</v>
      </c>
      <c r="BA56" s="76">
        <f>资产资本表!BA19</f>
        <v>0</v>
      </c>
      <c r="BB56" s="76">
        <f>资产资本表!BB19</f>
        <v>0</v>
      </c>
      <c r="BC56" s="76">
        <f>资产资本表!BC19</f>
        <v>0</v>
      </c>
      <c r="BD56" s="76">
        <f>资产资本表!BD19</f>
        <v>0</v>
      </c>
      <c r="BE56" s="76">
        <f>资产资本表!BE19</f>
        <v>0</v>
      </c>
      <c r="BF56" s="76">
        <f>资产资本表!BF19</f>
        <v>0</v>
      </c>
      <c r="BG56" s="76">
        <f>资产资本表!BG19</f>
        <v>0</v>
      </c>
      <c r="BH56" s="76">
        <f>资产资本表!BH19</f>
        <v>0</v>
      </c>
      <c r="BI56" s="76">
        <f>资产资本表!BI19</f>
        <v>0</v>
      </c>
      <c r="BJ56" s="76">
        <f>资产资本表!BJ19</f>
        <v>0</v>
      </c>
      <c r="BK56" s="76">
        <f>资产资本表!BK19</f>
        <v>0</v>
      </c>
      <c r="BL56" s="76">
        <f>资产资本表!BL19</f>
        <v>0</v>
      </c>
      <c r="BM56" s="76">
        <f>资产资本表!BM19</f>
        <v>0</v>
      </c>
      <c r="BN56" s="76">
        <f>资产资本表!BN19</f>
        <v>0</v>
      </c>
      <c r="BO56" s="76">
        <f>资产资本表!BO19</f>
        <v>0</v>
      </c>
      <c r="BP56" s="76">
        <f>资产资本表!BP19</f>
        <v>0</v>
      </c>
      <c r="BQ56" s="76">
        <f>资产资本表!BQ19</f>
        <v>0</v>
      </c>
      <c r="BR56" s="76">
        <f>资产资本表!BR19</f>
        <v>0</v>
      </c>
      <c r="BS56" s="76">
        <f>资产资本表!BS19</f>
        <v>0</v>
      </c>
      <c r="BT56" s="76">
        <f>资产资本表!BT19</f>
        <v>0</v>
      </c>
      <c r="BU56" s="76">
        <f>资产资本表!BU19</f>
        <v>0</v>
      </c>
      <c r="BV56" s="76">
        <f>资产资本表!BV19</f>
        <v>0</v>
      </c>
      <c r="BW56" s="76">
        <f>资产资本表!BW19</f>
        <v>0</v>
      </c>
      <c r="BX56" s="76">
        <f>资产资本表!BX19</f>
        <v>0</v>
      </c>
      <c r="BY56" s="76">
        <f>资产资本表!BY19</f>
        <v>0</v>
      </c>
      <c r="BZ56" s="76">
        <f>资产资本表!BZ19</f>
        <v>0</v>
      </c>
      <c r="CA56" s="76">
        <f>资产资本表!CA19</f>
        <v>0</v>
      </c>
      <c r="CB56" s="76">
        <f>资产资本表!CB19</f>
        <v>0</v>
      </c>
      <c r="CC56" s="76">
        <f>资产资本表!CC19</f>
        <v>0</v>
      </c>
      <c r="CD56" s="76">
        <f>资产资本表!CD19</f>
        <v>0</v>
      </c>
      <c r="CE56" s="76">
        <f>资产资本表!CE19</f>
        <v>0</v>
      </c>
      <c r="CF56" s="76">
        <f>资产资本表!CF19</f>
        <v>0</v>
      </c>
      <c r="CG56" s="76">
        <f>资产资本表!CG19</f>
        <v>0</v>
      </c>
      <c r="CH56" s="76">
        <f>资产资本表!CH19</f>
        <v>0</v>
      </c>
      <c r="CI56" s="76">
        <f>资产资本表!CI19</f>
        <v>0</v>
      </c>
      <c r="CJ56" s="76">
        <f>资产资本表!CJ19</f>
        <v>0</v>
      </c>
    </row>
    <row r="57" spans="1:89" s="117" customFormat="1" x14ac:dyDescent="0.25">
      <c r="A57" s="145" t="s">
        <v>471</v>
      </c>
      <c r="E57" s="117">
        <f>E49/E56</f>
        <v>321.17694684830184</v>
      </c>
      <c r="F57" s="117">
        <f t="shared" ref="F57:BQ57" si="24">F49/F56</f>
        <v>222.93398917347443</v>
      </c>
      <c r="G57" s="117">
        <f t="shared" si="24"/>
        <v>127.37954634984096</v>
      </c>
      <c r="H57" s="117">
        <f t="shared" si="24"/>
        <v>88.046551271624992</v>
      </c>
      <c r="I57" s="117">
        <f t="shared" si="24"/>
        <v>912.11488206971421</v>
      </c>
      <c r="J57" s="117" t="e">
        <f t="shared" si="24"/>
        <v>#DIV/0!</v>
      </c>
      <c r="K57" s="117" t="e">
        <f t="shared" si="24"/>
        <v>#DIV/0!</v>
      </c>
      <c r="L57" s="117" t="e">
        <f t="shared" si="24"/>
        <v>#DIV/0!</v>
      </c>
      <c r="M57" s="117" t="e">
        <f t="shared" si="24"/>
        <v>#DIV/0!</v>
      </c>
      <c r="N57" s="117" t="e">
        <f t="shared" si="24"/>
        <v>#DIV/0!</v>
      </c>
      <c r="O57" s="117" t="e">
        <f t="shared" si="24"/>
        <v>#DIV/0!</v>
      </c>
      <c r="P57" s="117" t="e">
        <f t="shared" si="24"/>
        <v>#DIV/0!</v>
      </c>
      <c r="Q57" s="117" t="e">
        <f t="shared" si="24"/>
        <v>#DIV/0!</v>
      </c>
      <c r="R57" s="117">
        <f t="shared" si="24"/>
        <v>208884.70679126366</v>
      </c>
      <c r="S57" s="117">
        <f t="shared" si="24"/>
        <v>9179.3112233030188</v>
      </c>
      <c r="T57" s="117">
        <f t="shared" si="24"/>
        <v>2573.9280536971073</v>
      </c>
      <c r="U57" s="117">
        <f t="shared" si="24"/>
        <v>10660.047815717864</v>
      </c>
      <c r="V57" s="117">
        <f t="shared" si="24"/>
        <v>6280.7998883986556</v>
      </c>
      <c r="W57" s="117">
        <f t="shared" si="24"/>
        <v>3131.4870205507746</v>
      </c>
      <c r="X57" s="117">
        <f t="shared" si="24"/>
        <v>1240.2823141058152</v>
      </c>
      <c r="Y57" s="117">
        <f t="shared" si="24"/>
        <v>4931.7403624083117</v>
      </c>
      <c r="Z57" s="117">
        <f t="shared" si="24"/>
        <v>2887.4849414224232</v>
      </c>
      <c r="AA57" s="117">
        <f t="shared" si="24"/>
        <v>1696.3637906283423</v>
      </c>
      <c r="AB57" s="117">
        <f t="shared" si="24"/>
        <v>2139.0879077398631</v>
      </c>
      <c r="AC57" s="117">
        <f t="shared" si="24"/>
        <v>8657.168966694413</v>
      </c>
      <c r="AD57" s="117">
        <f t="shared" si="24"/>
        <v>5714.1858971427055</v>
      </c>
      <c r="AE57" s="117">
        <f t="shared" si="24"/>
        <v>3444.7032276816817</v>
      </c>
      <c r="AF57" s="117">
        <f t="shared" si="24"/>
        <v>1538.793124275003</v>
      </c>
      <c r="AG57" s="117">
        <f t="shared" si="24"/>
        <v>257.36475222786714</v>
      </c>
      <c r="AH57" s="117">
        <f t="shared" si="24"/>
        <v>235.43387572245925</v>
      </c>
      <c r="AI57" s="117">
        <f t="shared" si="24"/>
        <v>137.96049684797299</v>
      </c>
      <c r="AJ57" s="117">
        <f t="shared" si="24"/>
        <v>64.447882478972829</v>
      </c>
      <c r="AK57" s="117">
        <f t="shared" si="24"/>
        <v>197.05670494795694</v>
      </c>
      <c r="AL57" s="117">
        <f t="shared" si="24"/>
        <v>88.689131299378332</v>
      </c>
      <c r="AM57" s="117" t="e">
        <f t="shared" si="24"/>
        <v>#DIV/0!</v>
      </c>
      <c r="AN57" s="117" t="e">
        <f t="shared" si="24"/>
        <v>#DIV/0!</v>
      </c>
      <c r="AO57" s="117" t="e">
        <f t="shared" si="24"/>
        <v>#DIV/0!</v>
      </c>
      <c r="AP57" s="117" t="e">
        <f t="shared" si="24"/>
        <v>#DIV/0!</v>
      </c>
      <c r="AQ57" s="117" t="e">
        <f t="shared" si="24"/>
        <v>#DIV/0!</v>
      </c>
      <c r="AR57" s="117" t="e">
        <f t="shared" si="24"/>
        <v>#DIV/0!</v>
      </c>
      <c r="AS57" s="117" t="e">
        <f t="shared" si="24"/>
        <v>#DIV/0!</v>
      </c>
      <c r="AT57" s="117" t="e">
        <f t="shared" si="24"/>
        <v>#DIV/0!</v>
      </c>
      <c r="AU57" s="117" t="e">
        <f t="shared" si="24"/>
        <v>#DIV/0!</v>
      </c>
      <c r="AV57" s="117" t="e">
        <f t="shared" si="24"/>
        <v>#DIV/0!</v>
      </c>
      <c r="AW57" s="117" t="e">
        <f t="shared" si="24"/>
        <v>#DIV/0!</v>
      </c>
      <c r="AX57" s="117" t="e">
        <f t="shared" si="24"/>
        <v>#DIV/0!</v>
      </c>
      <c r="AY57" s="117" t="e">
        <f t="shared" si="24"/>
        <v>#DIV/0!</v>
      </c>
      <c r="AZ57" s="117" t="e">
        <f t="shared" si="24"/>
        <v>#DIV/0!</v>
      </c>
      <c r="BA57" s="117" t="e">
        <f t="shared" si="24"/>
        <v>#DIV/0!</v>
      </c>
      <c r="BB57" s="117" t="e">
        <f t="shared" si="24"/>
        <v>#DIV/0!</v>
      </c>
      <c r="BC57" s="117" t="e">
        <f t="shared" si="24"/>
        <v>#DIV/0!</v>
      </c>
      <c r="BD57" s="117" t="e">
        <f t="shared" si="24"/>
        <v>#DIV/0!</v>
      </c>
      <c r="BE57" s="117" t="e">
        <f t="shared" si="24"/>
        <v>#DIV/0!</v>
      </c>
      <c r="BF57" s="117" t="e">
        <f t="shared" si="24"/>
        <v>#DIV/0!</v>
      </c>
      <c r="BG57" s="117" t="e">
        <f t="shared" si="24"/>
        <v>#DIV/0!</v>
      </c>
      <c r="BH57" s="117" t="e">
        <f t="shared" si="24"/>
        <v>#DIV/0!</v>
      </c>
      <c r="BI57" s="117" t="e">
        <f t="shared" si="24"/>
        <v>#DIV/0!</v>
      </c>
      <c r="BJ57" s="117" t="e">
        <f t="shared" si="24"/>
        <v>#DIV/0!</v>
      </c>
      <c r="BK57" s="117" t="e">
        <f t="shared" si="24"/>
        <v>#DIV/0!</v>
      </c>
      <c r="BL57" s="117" t="e">
        <f t="shared" si="24"/>
        <v>#DIV/0!</v>
      </c>
      <c r="BM57" s="117" t="e">
        <f t="shared" si="24"/>
        <v>#DIV/0!</v>
      </c>
      <c r="BN57" s="117" t="e">
        <f t="shared" si="24"/>
        <v>#DIV/0!</v>
      </c>
      <c r="BO57" s="117" t="e">
        <f t="shared" si="24"/>
        <v>#DIV/0!</v>
      </c>
      <c r="BP57" s="117" t="e">
        <f t="shared" si="24"/>
        <v>#DIV/0!</v>
      </c>
      <c r="BQ57" s="117" t="e">
        <f t="shared" si="24"/>
        <v>#DIV/0!</v>
      </c>
      <c r="BR57" s="117" t="e">
        <f t="shared" ref="BR57:CK57" si="25">BR49/BR56</f>
        <v>#DIV/0!</v>
      </c>
      <c r="BS57" s="117" t="e">
        <f t="shared" si="25"/>
        <v>#DIV/0!</v>
      </c>
      <c r="BT57" s="117" t="e">
        <f t="shared" si="25"/>
        <v>#DIV/0!</v>
      </c>
      <c r="BU57" s="117" t="e">
        <f t="shared" si="25"/>
        <v>#DIV/0!</v>
      </c>
      <c r="BV57" s="117" t="e">
        <f t="shared" si="25"/>
        <v>#DIV/0!</v>
      </c>
      <c r="BW57" s="117" t="e">
        <f t="shared" si="25"/>
        <v>#DIV/0!</v>
      </c>
      <c r="BX57" s="117" t="e">
        <f t="shared" si="25"/>
        <v>#DIV/0!</v>
      </c>
      <c r="BY57" s="117" t="e">
        <f t="shared" si="25"/>
        <v>#DIV/0!</v>
      </c>
      <c r="BZ57" s="117" t="e">
        <f t="shared" si="25"/>
        <v>#DIV/0!</v>
      </c>
      <c r="CA57" s="117" t="e">
        <f t="shared" si="25"/>
        <v>#DIV/0!</v>
      </c>
      <c r="CB57" s="117" t="e">
        <f t="shared" si="25"/>
        <v>#DIV/0!</v>
      </c>
      <c r="CC57" s="117" t="e">
        <f t="shared" si="25"/>
        <v>#DIV/0!</v>
      </c>
      <c r="CD57" s="117" t="e">
        <f t="shared" si="25"/>
        <v>#DIV/0!</v>
      </c>
      <c r="CE57" s="117" t="e">
        <f t="shared" si="25"/>
        <v>#DIV/0!</v>
      </c>
      <c r="CF57" s="117" t="e">
        <f t="shared" si="25"/>
        <v>#DIV/0!</v>
      </c>
      <c r="CG57" s="117" t="e">
        <f t="shared" si="25"/>
        <v>#DIV/0!</v>
      </c>
      <c r="CH57" s="117" t="e">
        <f t="shared" si="25"/>
        <v>#DIV/0!</v>
      </c>
      <c r="CI57" s="117" t="e">
        <f t="shared" si="25"/>
        <v>#DIV/0!</v>
      </c>
      <c r="CJ57" s="117" t="e">
        <f t="shared" si="25"/>
        <v>#DIV/0!</v>
      </c>
      <c r="CK57" s="117" t="e">
        <f t="shared" si="25"/>
        <v>#DIV/0!</v>
      </c>
    </row>
    <row r="58" spans="1:89" s="16" customFormat="1" ht="44.4" customHeight="1" x14ac:dyDescent="0.25">
      <c r="A58" s="279" t="s">
        <v>695</v>
      </c>
      <c r="B58" s="278"/>
      <c r="C58" s="278"/>
      <c r="D58" s="278"/>
      <c r="E58" s="278"/>
      <c r="F58" s="278"/>
      <c r="G58" s="278"/>
      <c r="H58" s="278"/>
      <c r="I58" s="278"/>
      <c r="J58" s="278"/>
      <c r="K58" s="278"/>
      <c r="L58" s="278"/>
      <c r="M58" s="278"/>
      <c r="N58" s="278"/>
      <c r="O58" s="278"/>
      <c r="P58" s="278"/>
      <c r="Q58" s="278"/>
      <c r="R58" s="278"/>
      <c r="S58" s="278"/>
      <c r="T58" s="278"/>
      <c r="U58" s="278"/>
      <c r="V58" s="278"/>
      <c r="W58" s="278"/>
      <c r="X58" s="278"/>
      <c r="Y58" s="278"/>
      <c r="Z58" s="278"/>
      <c r="AA58" s="278"/>
      <c r="AB58" s="278"/>
      <c r="AC58" s="278"/>
      <c r="AD58" s="278"/>
      <c r="AE58" s="278"/>
      <c r="AF58" s="278"/>
      <c r="AG58" s="278"/>
    </row>
    <row r="61" spans="1:89" s="119" customFormat="1" x14ac:dyDescent="0.25">
      <c r="A61" s="118" t="s">
        <v>472</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39447</v>
      </c>
      <c r="AQ61" s="1">
        <v>25569</v>
      </c>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row>
    <row r="62" spans="1:89" s="76" customFormat="1" x14ac:dyDescent="0.25">
      <c r="A62" s="147" t="s">
        <v>473</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x14ac:dyDescent="0.25">
      <c r="A63" s="147" t="s">
        <v>464</v>
      </c>
      <c r="E63" s="76">
        <f>E49</f>
        <v>41905476572.07</v>
      </c>
      <c r="F63" s="76">
        <f t="shared" ref="F63:BQ63" si="26">F49</f>
        <v>27729742158.18</v>
      </c>
      <c r="G63" s="76">
        <f t="shared" si="26"/>
        <v>16447539736.52</v>
      </c>
      <c r="H63" s="76">
        <f t="shared" si="26"/>
        <v>7043724101.7299995</v>
      </c>
      <c r="I63" s="76">
        <f t="shared" si="26"/>
        <v>31924020872.439999</v>
      </c>
      <c r="J63" s="76">
        <f t="shared" si="26"/>
        <v>21136468968.82</v>
      </c>
      <c r="K63" s="76">
        <f t="shared" si="26"/>
        <v>12548198726.120001</v>
      </c>
      <c r="L63" s="76">
        <f t="shared" si="26"/>
        <v>5199710391.8999996</v>
      </c>
      <c r="M63" s="76">
        <f t="shared" si="26"/>
        <v>25271390273.419998</v>
      </c>
      <c r="N63" s="76">
        <f t="shared" si="26"/>
        <v>16677638479.4</v>
      </c>
      <c r="O63" s="76">
        <f t="shared" si="26"/>
        <v>9796381650.8199997</v>
      </c>
      <c r="P63" s="76">
        <f t="shared" si="26"/>
        <v>4287946779.6999998</v>
      </c>
      <c r="Q63" s="76">
        <f t="shared" si="26"/>
        <v>17233114021.700001</v>
      </c>
      <c r="R63" s="76">
        <f t="shared" si="26"/>
        <v>10669807845.58</v>
      </c>
      <c r="S63" s="76">
        <f t="shared" si="26"/>
        <v>6016055310.8500004</v>
      </c>
      <c r="T63" s="76">
        <f t="shared" si="26"/>
        <v>2594659242.4200001</v>
      </c>
      <c r="U63" s="76">
        <f t="shared" si="26"/>
        <v>10745907038.84</v>
      </c>
      <c r="V63" s="76">
        <f t="shared" si="26"/>
        <v>6860396812.6999998</v>
      </c>
      <c r="W63" s="76">
        <f t="shared" si="26"/>
        <v>3908594584.9000001</v>
      </c>
      <c r="X63" s="76">
        <f t="shared" si="26"/>
        <v>1697327735.97</v>
      </c>
      <c r="Y63" s="76">
        <f t="shared" si="26"/>
        <v>7213789489.1800003</v>
      </c>
      <c r="Z63" s="76">
        <f t="shared" si="26"/>
        <v>4797847375.2799997</v>
      </c>
      <c r="AA63" s="76">
        <f t="shared" si="26"/>
        <v>2818679482.4899998</v>
      </c>
      <c r="AB63" s="76">
        <f t="shared" si="26"/>
        <v>1292678630.79</v>
      </c>
      <c r="AC63" s="76">
        <f t="shared" si="26"/>
        <v>5231639749.7700005</v>
      </c>
      <c r="AD63" s="76">
        <f t="shared" si="26"/>
        <v>3453156822.0599999</v>
      </c>
      <c r="AE63" s="76">
        <f t="shared" si="26"/>
        <v>2081678941.6300001</v>
      </c>
      <c r="AF63" s="76">
        <f t="shared" si="26"/>
        <v>929912689.30999994</v>
      </c>
      <c r="AG63" s="76">
        <f t="shared" si="26"/>
        <v>3605477285.21</v>
      </c>
      <c r="AH63" s="76">
        <f t="shared" si="26"/>
        <v>2393076338.48</v>
      </c>
      <c r="AI63" s="76">
        <f t="shared" si="26"/>
        <v>1402304573.3699999</v>
      </c>
      <c r="AJ63" s="76">
        <f t="shared" si="26"/>
        <v>687305082.01999998</v>
      </c>
      <c r="AK63" s="76">
        <f t="shared" si="26"/>
        <v>2101513184.72</v>
      </c>
      <c r="AL63" s="76">
        <f t="shared" si="26"/>
        <v>1436572728.3599999</v>
      </c>
      <c r="AM63" s="76">
        <f t="shared" si="26"/>
        <v>836803532.27999997</v>
      </c>
      <c r="AN63" s="76">
        <f t="shared" si="26"/>
        <v>403065660.05000001</v>
      </c>
      <c r="AO63" s="76">
        <f t="shared" si="26"/>
        <v>1742471409.9100001</v>
      </c>
      <c r="AP63" s="76">
        <f t="shared" si="26"/>
        <v>1184513897.96</v>
      </c>
      <c r="AQ63" s="76">
        <f t="shared" si="26"/>
        <v>0</v>
      </c>
      <c r="AR63" s="76">
        <f t="shared" si="26"/>
        <v>0</v>
      </c>
      <c r="AS63" s="76">
        <f t="shared" si="26"/>
        <v>0</v>
      </c>
      <c r="AT63" s="76">
        <f t="shared" si="26"/>
        <v>0</v>
      </c>
      <c r="AU63" s="76">
        <f t="shared" si="26"/>
        <v>0</v>
      </c>
      <c r="AV63" s="76">
        <f t="shared" si="26"/>
        <v>0</v>
      </c>
      <c r="AW63" s="76">
        <f t="shared" si="26"/>
        <v>0</v>
      </c>
      <c r="AX63" s="76">
        <f t="shared" si="26"/>
        <v>0</v>
      </c>
      <c r="AY63" s="76">
        <f t="shared" si="26"/>
        <v>0</v>
      </c>
      <c r="AZ63" s="76">
        <f t="shared" si="26"/>
        <v>0</v>
      </c>
      <c r="BA63" s="76">
        <f t="shared" si="26"/>
        <v>0</v>
      </c>
      <c r="BB63" s="76">
        <f t="shared" si="26"/>
        <v>0</v>
      </c>
      <c r="BC63" s="76">
        <f t="shared" si="26"/>
        <v>0</v>
      </c>
      <c r="BD63" s="76">
        <f t="shared" si="26"/>
        <v>0</v>
      </c>
      <c r="BE63" s="76">
        <f t="shared" si="26"/>
        <v>0</v>
      </c>
      <c r="BF63" s="76">
        <f t="shared" si="26"/>
        <v>0</v>
      </c>
      <c r="BG63" s="76">
        <f t="shared" si="26"/>
        <v>0</v>
      </c>
      <c r="BH63" s="76">
        <f t="shared" si="26"/>
        <v>0</v>
      </c>
      <c r="BI63" s="76">
        <f t="shared" si="26"/>
        <v>0</v>
      </c>
      <c r="BJ63" s="76">
        <f t="shared" si="26"/>
        <v>0</v>
      </c>
      <c r="BK63" s="76">
        <f t="shared" si="26"/>
        <v>0</v>
      </c>
      <c r="BL63" s="76">
        <f t="shared" si="26"/>
        <v>0</v>
      </c>
      <c r="BM63" s="76">
        <f t="shared" si="26"/>
        <v>0</v>
      </c>
      <c r="BN63" s="76">
        <f t="shared" si="26"/>
        <v>0</v>
      </c>
      <c r="BO63" s="76">
        <f t="shared" si="26"/>
        <v>0</v>
      </c>
      <c r="BP63" s="76">
        <f t="shared" si="26"/>
        <v>0</v>
      </c>
      <c r="BQ63" s="76">
        <f t="shared" si="26"/>
        <v>0</v>
      </c>
      <c r="BR63" s="76">
        <f t="shared" ref="BR63:CJ63" si="27">BR49</f>
        <v>0</v>
      </c>
      <c r="BS63" s="76">
        <f t="shared" si="27"/>
        <v>0</v>
      </c>
      <c r="BT63" s="76">
        <f t="shared" si="27"/>
        <v>0</v>
      </c>
      <c r="BU63" s="76">
        <f t="shared" si="27"/>
        <v>0</v>
      </c>
      <c r="BV63" s="76">
        <f t="shared" si="27"/>
        <v>0</v>
      </c>
      <c r="BW63" s="76">
        <f t="shared" si="27"/>
        <v>0</v>
      </c>
      <c r="BX63" s="76">
        <f t="shared" si="27"/>
        <v>0</v>
      </c>
      <c r="BY63" s="76">
        <f t="shared" si="27"/>
        <v>0</v>
      </c>
      <c r="BZ63" s="76">
        <f t="shared" si="27"/>
        <v>0</v>
      </c>
      <c r="CA63" s="76">
        <f t="shared" si="27"/>
        <v>0</v>
      </c>
      <c r="CB63" s="76">
        <f t="shared" si="27"/>
        <v>0</v>
      </c>
      <c r="CC63" s="76">
        <f t="shared" si="27"/>
        <v>0</v>
      </c>
      <c r="CD63" s="76">
        <f t="shared" si="27"/>
        <v>0</v>
      </c>
      <c r="CE63" s="76">
        <f t="shared" si="27"/>
        <v>0</v>
      </c>
      <c r="CF63" s="76">
        <f t="shared" si="27"/>
        <v>0</v>
      </c>
      <c r="CG63" s="76">
        <f t="shared" si="27"/>
        <v>0</v>
      </c>
      <c r="CH63" s="76">
        <f t="shared" si="27"/>
        <v>0</v>
      </c>
      <c r="CI63" s="76">
        <f t="shared" si="27"/>
        <v>0</v>
      </c>
      <c r="CJ63" s="76">
        <f t="shared" si="27"/>
        <v>0</v>
      </c>
    </row>
    <row r="64" spans="1:89" s="76" customFormat="1" x14ac:dyDescent="0.25">
      <c r="A64" s="147" t="s">
        <v>474</v>
      </c>
      <c r="E64" s="76">
        <f>资产资本表!E22+资产资本表!E23-资产资本表!E37</f>
        <v>17771598480.240002</v>
      </c>
      <c r="F64" s="76">
        <f>资产资本表!F22+资产资本表!F23-资产资本表!F37</f>
        <v>18029994197.779999</v>
      </c>
      <c r="G64" s="76">
        <f>资产资本表!G22+资产资本表!G23-资产资本表!G37</f>
        <v>16141310221.250002</v>
      </c>
      <c r="H64" s="76">
        <f>资产资本表!H22+资产资本表!H23-资产资本表!H37</f>
        <v>14832319013.259998</v>
      </c>
      <c r="I64" s="76">
        <f>资产资本表!I22+资产资本表!I23-资产资本表!I37</f>
        <v>13616525880.990002</v>
      </c>
      <c r="J64" s="76">
        <f>资产资本表!J22+资产资本表!J23-资产资本表!J37</f>
        <v>13644310859.220001</v>
      </c>
      <c r="K64" s="76">
        <f>资产资本表!K22+资产资本表!K23-资产资本表!K37</f>
        <v>11956076741.870001</v>
      </c>
      <c r="L64" s="76">
        <f>资产资本表!L22+资产资本表!L23-资产资本表!L37</f>
        <v>10787720306.440001</v>
      </c>
      <c r="M64" s="76">
        <f>资产资本表!M22+资产资本表!M23-资产资本表!M37</f>
        <v>10774570012.059999</v>
      </c>
      <c r="N64" s="76">
        <f>资产资本表!N22+资产资本表!N23-资产资本表!N37</f>
        <v>10159492496.540001</v>
      </c>
      <c r="O64" s="76">
        <f>资产资本表!O22+资产资本表!O23-资产资本表!O37</f>
        <v>8317785766.3199997</v>
      </c>
      <c r="P64" s="76">
        <f>资产资本表!P22+资产资本表!P23-资产资本表!P37</f>
        <v>7031042022.4799995</v>
      </c>
      <c r="Q64" s="76">
        <f>资产资本表!Q22+资产资本表!Q23-资产资本表!Q37</f>
        <v>5654229010.9700003</v>
      </c>
      <c r="R64" s="76">
        <f>资产资本表!R22+资产资本表!R23-资产资本表!R37</f>
        <v>5207040409.46</v>
      </c>
      <c r="S64" s="76">
        <f>资产资本表!S22+资产资本表!S23-资产资本表!S37</f>
        <v>4537254495.9000006</v>
      </c>
      <c r="T64" s="76">
        <f>资产资本表!T22+资产资本表!T23-资产资本表!T37</f>
        <v>4072173282.1700001</v>
      </c>
      <c r="U64" s="76">
        <f>资产资本表!U22+资产资本表!U23-资产资本表!U37</f>
        <v>3374078418.8699999</v>
      </c>
      <c r="V64" s="76">
        <f>资产资本表!V22+资产资本表!V23-资产资本表!V37</f>
        <v>3116041541.1100001</v>
      </c>
      <c r="W64" s="76">
        <f>资产资本表!W22+资产资本表!W23-资产资本表!W37</f>
        <v>2388369278.1500001</v>
      </c>
      <c r="X64" s="76">
        <f>资产资本表!X22+资产资本表!X23-资产资本表!X37</f>
        <v>1928263224.1399999</v>
      </c>
      <c r="Y64" s="76">
        <f>资产资本表!Y22+资产资本表!Y23-资产资本表!Y37</f>
        <v>1646538614.4300001</v>
      </c>
      <c r="Z64" s="76">
        <f>资产资本表!Z22+资产资本表!Z23-资产资本表!Z37</f>
        <v>1734376696.7299998</v>
      </c>
      <c r="AA64" s="76">
        <f>资产资本表!AA22+资产资本表!AA23-资产资本表!AA37</f>
        <v>1392414686.3900001</v>
      </c>
      <c r="AB64" s="76">
        <f>资产资本表!AB22+资产资本表!AB23-资产资本表!AB37</f>
        <v>1265835690.7199998</v>
      </c>
      <c r="AC64" s="76">
        <f>资产资本表!AC22+资产资本表!AC23-资产资本表!AC37</f>
        <v>1037896999.1499999</v>
      </c>
      <c r="AD64" s="76">
        <f>资产资本表!AD22+资产资本表!AD23-资产资本表!AD37</f>
        <v>1231167102.0800002</v>
      </c>
      <c r="AE64" s="76">
        <f>资产资本表!AE22+资产资本表!AE23-资产资本表!AE37</f>
        <v>944883370.94000006</v>
      </c>
      <c r="AF64" s="76">
        <f>资产资本表!AF22+资产资本表!AF23-资产资本表!AF37</f>
        <v>762643028.61000001</v>
      </c>
      <c r="AG64" s="76">
        <f>资产资本表!AG22+资产资本表!AG23-资产资本表!AG37</f>
        <v>550850863.73000002</v>
      </c>
      <c r="AH64" s="76">
        <f>资产资本表!AH22+资产资本表!AH23-资产资本表!AH37</f>
        <v>578397388.01999998</v>
      </c>
      <c r="AI64" s="76">
        <f>资产资本表!AI22+资产资本表!AI23-资产资本表!AI37</f>
        <v>454258715.78000003</v>
      </c>
      <c r="AJ64" s="76">
        <f>资产资本表!AJ22+资产资本表!AJ23-资产资本表!AJ37</f>
        <v>512264400.34000003</v>
      </c>
      <c r="AK64" s="76">
        <f>资产资本表!AK22+资产资本表!AK23-资产资本表!AK37</f>
        <v>242885713.93000001</v>
      </c>
      <c r="AL64" s="76">
        <f>资产资本表!AL22+资产资本表!AL23-资产资本表!AL37</f>
        <v>156768563.88999999</v>
      </c>
      <c r="AM64" s="76">
        <f>资产资本表!AM22+资产资本表!AM23-资产资本表!AM37</f>
        <v>109905311.82000001</v>
      </c>
      <c r="AN64" s="76">
        <f>资产资本表!AN22+资产资本表!AN23-资产资本表!AN37</f>
        <v>0</v>
      </c>
      <c r="AO64" s="76">
        <f>资产资本表!AO22+资产资本表!AO23-资产资本表!AO37</f>
        <v>0</v>
      </c>
      <c r="AP64" s="76">
        <f>资产资本表!AP22+资产资本表!AP23-资产资本表!AP37</f>
        <v>0</v>
      </c>
      <c r="AQ64" s="76">
        <f>资产资本表!AQ22+资产资本表!AQ23-资产资本表!AQ37</f>
        <v>0</v>
      </c>
      <c r="AR64" s="76">
        <f>资产资本表!AR22+资产资本表!AR23-资产资本表!AR37</f>
        <v>0</v>
      </c>
      <c r="AS64" s="76">
        <f>资产资本表!AS22+资产资本表!AS23-资产资本表!AS37</f>
        <v>0</v>
      </c>
      <c r="AT64" s="76">
        <f>资产资本表!AT22+资产资本表!AT23-资产资本表!AT37</f>
        <v>0</v>
      </c>
      <c r="AU64" s="76">
        <f>资产资本表!AU22+资产资本表!AU23-资产资本表!AU37</f>
        <v>0</v>
      </c>
      <c r="AV64" s="76">
        <f>资产资本表!AV22+资产资本表!AV23-资产资本表!AV37</f>
        <v>0</v>
      </c>
      <c r="AW64" s="76">
        <f>资产资本表!AW22+资产资本表!AW23-资产资本表!AW37</f>
        <v>0</v>
      </c>
      <c r="AX64" s="76">
        <f>资产资本表!AX22+资产资本表!AX23-资产资本表!AX37</f>
        <v>0</v>
      </c>
      <c r="AY64" s="76">
        <f>资产资本表!AY22+资产资本表!AY23-资产资本表!AY37</f>
        <v>0</v>
      </c>
      <c r="AZ64" s="76">
        <f>资产资本表!AZ22+资产资本表!AZ23-资产资本表!AZ37</f>
        <v>0</v>
      </c>
      <c r="BA64" s="76">
        <f>资产资本表!BA22+资产资本表!BA23-资产资本表!BA37</f>
        <v>0</v>
      </c>
      <c r="BB64" s="76">
        <f>资产资本表!BB22+资产资本表!BB23-资产资本表!BB37</f>
        <v>0</v>
      </c>
      <c r="BC64" s="76">
        <f>资产资本表!BC22+资产资本表!BC23-资产资本表!BC37</f>
        <v>0</v>
      </c>
      <c r="BD64" s="76">
        <f>资产资本表!BD22+资产资本表!BD23-资产资本表!BD37</f>
        <v>0</v>
      </c>
      <c r="BE64" s="76">
        <f>资产资本表!BE22+资产资本表!BE23-资产资本表!BE37</f>
        <v>0</v>
      </c>
      <c r="BF64" s="76">
        <f>资产资本表!BF22+资产资本表!BF23-资产资本表!BF37</f>
        <v>0</v>
      </c>
      <c r="BG64" s="76">
        <f>资产资本表!BG22+资产资本表!BG23-资产资本表!BG37</f>
        <v>0</v>
      </c>
      <c r="BH64" s="76">
        <f>资产资本表!BH22+资产资本表!BH23-资产资本表!BH37</f>
        <v>0</v>
      </c>
      <c r="BI64" s="76">
        <f>资产资本表!BI22+资产资本表!BI23-资产资本表!BI37</f>
        <v>0</v>
      </c>
      <c r="BJ64" s="76">
        <f>资产资本表!BJ22+资产资本表!BJ23-资产资本表!BJ37</f>
        <v>0</v>
      </c>
      <c r="BK64" s="76">
        <f>资产资本表!BK22+资产资本表!BK23-资产资本表!BK37</f>
        <v>0</v>
      </c>
      <c r="BL64" s="76">
        <f>资产资本表!BL22+资产资本表!BL23-资产资本表!BL37</f>
        <v>0</v>
      </c>
      <c r="BM64" s="76">
        <f>资产资本表!BM22+资产资本表!BM23-资产资本表!BM37</f>
        <v>0</v>
      </c>
      <c r="BN64" s="76">
        <f>资产资本表!BN22+资产资本表!BN23-资产资本表!BN37</f>
        <v>0</v>
      </c>
      <c r="BO64" s="76">
        <f>资产资本表!BO22+资产资本表!BO23-资产资本表!BO37</f>
        <v>0</v>
      </c>
      <c r="BP64" s="76">
        <f>资产资本表!BP22+资产资本表!BP23-资产资本表!BP37</f>
        <v>0</v>
      </c>
      <c r="BQ64" s="76">
        <f>资产资本表!BQ22+资产资本表!BQ23-资产资本表!BQ37</f>
        <v>0</v>
      </c>
      <c r="BR64" s="76">
        <f>资产资本表!BR22+资产资本表!BR23-资产资本表!BR37</f>
        <v>0</v>
      </c>
      <c r="BS64" s="76">
        <f>资产资本表!BS22+资产资本表!BS23-资产资本表!BS37</f>
        <v>0</v>
      </c>
      <c r="BT64" s="76">
        <f>资产资本表!BT22+资产资本表!BT23-资产资本表!BT37</f>
        <v>0</v>
      </c>
      <c r="BU64" s="76">
        <f>资产资本表!BU22+资产资本表!BU23-资产资本表!BU37</f>
        <v>0</v>
      </c>
      <c r="BV64" s="76">
        <f>资产资本表!BV22+资产资本表!BV23-资产资本表!BV37</f>
        <v>0</v>
      </c>
      <c r="BW64" s="76">
        <f>资产资本表!BW22+资产资本表!BW23-资产资本表!BW37</f>
        <v>0</v>
      </c>
      <c r="BX64" s="76">
        <f>资产资本表!BX22+资产资本表!BX23-资产资本表!BX37</f>
        <v>0</v>
      </c>
      <c r="BY64" s="76">
        <f>资产资本表!BY22+资产资本表!BY23-资产资本表!BY37</f>
        <v>0</v>
      </c>
      <c r="BZ64" s="76">
        <f>资产资本表!BZ22+资产资本表!BZ23-资产资本表!BZ37</f>
        <v>0</v>
      </c>
      <c r="CA64" s="76">
        <f>资产资本表!CA22+资产资本表!CA23-资产资本表!CA37</f>
        <v>0</v>
      </c>
      <c r="CB64" s="76">
        <f>资产资本表!CB22+资产资本表!CB23-资产资本表!CB37</f>
        <v>0</v>
      </c>
      <c r="CC64" s="76">
        <f>资产资本表!CC22+资产资本表!CC23-资产资本表!CC37</f>
        <v>0</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5" customFormat="1" x14ac:dyDescent="0.25">
      <c r="A65" s="154" t="s">
        <v>693</v>
      </c>
      <c r="E65" s="155">
        <f>E63/(E64+I64)*2</f>
        <v>2.6701484988272077</v>
      </c>
      <c r="F65" s="155">
        <f t="shared" ref="F65:BQ65" si="28">F63/(F64+J64)*2</f>
        <v>1.7509297904581334</v>
      </c>
      <c r="G65" s="155">
        <f t="shared" si="28"/>
        <v>1.1707522666153027</v>
      </c>
      <c r="H65" s="155">
        <f t="shared" si="28"/>
        <v>0.54986052236960259</v>
      </c>
      <c r="I65" s="155">
        <f t="shared" si="28"/>
        <v>2.6176782718103637</v>
      </c>
      <c r="J65" s="155">
        <f t="shared" si="28"/>
        <v>1.7758900670556443</v>
      </c>
      <c r="K65" s="155">
        <f t="shared" si="28"/>
        <v>1.2378695693581747</v>
      </c>
      <c r="L65" s="155">
        <f t="shared" si="28"/>
        <v>0.58362194813730994</v>
      </c>
      <c r="M65" s="155">
        <f t="shared" si="28"/>
        <v>3.0764744565922801</v>
      </c>
      <c r="N65" s="155">
        <f t="shared" si="28"/>
        <v>2.17064429320788</v>
      </c>
      <c r="O65" s="155">
        <f t="shared" si="28"/>
        <v>1.5241308391092061</v>
      </c>
      <c r="P65" s="155">
        <f t="shared" si="28"/>
        <v>0.77237929051132026</v>
      </c>
      <c r="Q65" s="155">
        <f t="shared" si="28"/>
        <v>3.8175735940807249</v>
      </c>
      <c r="R65" s="155">
        <f t="shared" si="28"/>
        <v>2.5639079151081257</v>
      </c>
      <c r="S65" s="155">
        <f t="shared" si="28"/>
        <v>1.7373324070510117</v>
      </c>
      <c r="T65" s="155">
        <f t="shared" si="28"/>
        <v>0.86482349732106401</v>
      </c>
      <c r="U65" s="155">
        <f t="shared" si="28"/>
        <v>4.2807117004010262</v>
      </c>
      <c r="V65" s="155">
        <f t="shared" si="28"/>
        <v>2.8287856742659323</v>
      </c>
      <c r="W65" s="155">
        <f t="shared" si="28"/>
        <v>2.0676106445428974</v>
      </c>
      <c r="X65" s="155">
        <f t="shared" si="28"/>
        <v>1.0627897139149152</v>
      </c>
      <c r="Y65" s="155">
        <f t="shared" si="28"/>
        <v>5.3745297169259292</v>
      </c>
      <c r="Z65" s="155">
        <f t="shared" si="28"/>
        <v>3.2357285548810699</v>
      </c>
      <c r="AA65" s="155">
        <f t="shared" si="28"/>
        <v>2.4119127414240897</v>
      </c>
      <c r="AB65" s="155">
        <f t="shared" si="28"/>
        <v>1.2745301377546299</v>
      </c>
      <c r="AC65" s="155">
        <f t="shared" si="28"/>
        <v>6.5858653496928765</v>
      </c>
      <c r="AD65" s="155">
        <f t="shared" si="28"/>
        <v>3.8165612123270298</v>
      </c>
      <c r="AE65" s="155">
        <f t="shared" si="28"/>
        <v>2.9756505238293087</v>
      </c>
      <c r="AF65" s="155">
        <f t="shared" si="28"/>
        <v>1.458792486723316</v>
      </c>
      <c r="AG65" s="155">
        <f t="shared" si="28"/>
        <v>9.0848207999667601</v>
      </c>
      <c r="AH65" s="155">
        <f t="shared" si="28"/>
        <v>6.5103024215489338</v>
      </c>
      <c r="AI65" s="155">
        <f t="shared" si="28"/>
        <v>4.9712654645334915</v>
      </c>
      <c r="AJ65" s="155">
        <f t="shared" si="28"/>
        <v>2.6833997504562954</v>
      </c>
      <c r="AK65" s="155">
        <f t="shared" si="28"/>
        <v>17.304543364997244</v>
      </c>
      <c r="AL65" s="155">
        <f t="shared" si="28"/>
        <v>18.327306096495239</v>
      </c>
      <c r="AM65" s="155">
        <f t="shared" si="28"/>
        <v>15.227717722151493</v>
      </c>
      <c r="AN65" s="155" t="e">
        <f t="shared" si="28"/>
        <v>#DIV/0!</v>
      </c>
      <c r="AO65" s="155" t="e">
        <f t="shared" si="28"/>
        <v>#DIV/0!</v>
      </c>
      <c r="AP65" s="155" t="e">
        <f t="shared" si="28"/>
        <v>#DIV/0!</v>
      </c>
      <c r="AQ65" s="155" t="e">
        <f t="shared" si="28"/>
        <v>#DIV/0!</v>
      </c>
      <c r="AR65" s="155" t="e">
        <f t="shared" si="28"/>
        <v>#DIV/0!</v>
      </c>
      <c r="AS65" s="155" t="e">
        <f t="shared" si="28"/>
        <v>#DIV/0!</v>
      </c>
      <c r="AT65" s="155" t="e">
        <f t="shared" si="28"/>
        <v>#DIV/0!</v>
      </c>
      <c r="AU65" s="155" t="e">
        <f t="shared" si="28"/>
        <v>#DIV/0!</v>
      </c>
      <c r="AV65" s="155" t="e">
        <f t="shared" si="28"/>
        <v>#DIV/0!</v>
      </c>
      <c r="AW65" s="155" t="e">
        <f t="shared" si="28"/>
        <v>#DIV/0!</v>
      </c>
      <c r="AX65" s="155" t="e">
        <f t="shared" si="28"/>
        <v>#DIV/0!</v>
      </c>
      <c r="AY65" s="155" t="e">
        <f t="shared" si="28"/>
        <v>#DIV/0!</v>
      </c>
      <c r="AZ65" s="155" t="e">
        <f t="shared" si="28"/>
        <v>#DIV/0!</v>
      </c>
      <c r="BA65" s="155" t="e">
        <f t="shared" si="28"/>
        <v>#DIV/0!</v>
      </c>
      <c r="BB65" s="155" t="e">
        <f t="shared" si="28"/>
        <v>#DIV/0!</v>
      </c>
      <c r="BC65" s="155" t="e">
        <f t="shared" si="28"/>
        <v>#DIV/0!</v>
      </c>
      <c r="BD65" s="155" t="e">
        <f t="shared" si="28"/>
        <v>#DIV/0!</v>
      </c>
      <c r="BE65" s="155" t="e">
        <f t="shared" si="28"/>
        <v>#DIV/0!</v>
      </c>
      <c r="BF65" s="155" t="e">
        <f t="shared" si="28"/>
        <v>#DIV/0!</v>
      </c>
      <c r="BG65" s="155" t="e">
        <f t="shared" si="28"/>
        <v>#DIV/0!</v>
      </c>
      <c r="BH65" s="155" t="e">
        <f t="shared" si="28"/>
        <v>#DIV/0!</v>
      </c>
      <c r="BI65" s="155" t="e">
        <f t="shared" si="28"/>
        <v>#DIV/0!</v>
      </c>
      <c r="BJ65" s="155" t="e">
        <f t="shared" si="28"/>
        <v>#DIV/0!</v>
      </c>
      <c r="BK65" s="155" t="e">
        <f t="shared" si="28"/>
        <v>#DIV/0!</v>
      </c>
      <c r="BL65" s="155" t="e">
        <f t="shared" si="28"/>
        <v>#DIV/0!</v>
      </c>
      <c r="BM65" s="155" t="e">
        <f t="shared" si="28"/>
        <v>#DIV/0!</v>
      </c>
      <c r="BN65" s="155" t="e">
        <f t="shared" si="28"/>
        <v>#DIV/0!</v>
      </c>
      <c r="BO65" s="155" t="e">
        <f t="shared" si="28"/>
        <v>#DIV/0!</v>
      </c>
      <c r="BP65" s="155" t="e">
        <f t="shared" si="28"/>
        <v>#DIV/0!</v>
      </c>
      <c r="BQ65" s="155" t="e">
        <f t="shared" si="28"/>
        <v>#DIV/0!</v>
      </c>
      <c r="BR65" s="155" t="e">
        <f t="shared" ref="BR65:CK65" si="29">BR63/(BR64+BV64)*2</f>
        <v>#DIV/0!</v>
      </c>
      <c r="BS65" s="155" t="e">
        <f t="shared" si="29"/>
        <v>#DIV/0!</v>
      </c>
      <c r="BT65" s="155" t="e">
        <f t="shared" si="29"/>
        <v>#DIV/0!</v>
      </c>
      <c r="BU65" s="155" t="e">
        <f t="shared" si="29"/>
        <v>#DIV/0!</v>
      </c>
      <c r="BV65" s="155" t="e">
        <f t="shared" si="29"/>
        <v>#DIV/0!</v>
      </c>
      <c r="BW65" s="155" t="e">
        <f t="shared" si="29"/>
        <v>#DIV/0!</v>
      </c>
      <c r="BX65" s="155" t="e">
        <f t="shared" si="29"/>
        <v>#DIV/0!</v>
      </c>
      <c r="BY65" s="155" t="e">
        <f t="shared" si="29"/>
        <v>#DIV/0!</v>
      </c>
      <c r="BZ65" s="155" t="e">
        <f t="shared" si="29"/>
        <v>#DIV/0!</v>
      </c>
      <c r="CA65" s="155" t="e">
        <f t="shared" si="29"/>
        <v>#DIV/0!</v>
      </c>
      <c r="CB65" s="155" t="e">
        <f t="shared" si="29"/>
        <v>#DIV/0!</v>
      </c>
      <c r="CC65" s="155" t="e">
        <f t="shared" si="29"/>
        <v>#DIV/0!</v>
      </c>
      <c r="CD65" s="155" t="e">
        <f t="shared" si="29"/>
        <v>#DIV/0!</v>
      </c>
      <c r="CE65" s="155" t="e">
        <f t="shared" si="29"/>
        <v>#DIV/0!</v>
      </c>
      <c r="CF65" s="155" t="e">
        <f t="shared" si="29"/>
        <v>#DIV/0!</v>
      </c>
      <c r="CG65" s="155" t="e">
        <f t="shared" si="29"/>
        <v>#DIV/0!</v>
      </c>
      <c r="CH65" s="155" t="e">
        <f t="shared" si="29"/>
        <v>#DIV/0!</v>
      </c>
      <c r="CI65" s="155" t="e">
        <f t="shared" si="29"/>
        <v>#DIV/0!</v>
      </c>
      <c r="CJ65" s="155" t="e">
        <f t="shared" si="29"/>
        <v>#DIV/0!</v>
      </c>
      <c r="CK65" s="155" t="e">
        <f t="shared" si="29"/>
        <v>#DIV/0!</v>
      </c>
    </row>
    <row r="66" spans="1:89" s="83" customFormat="1" x14ac:dyDescent="0.25">
      <c r="A66" s="148" t="s">
        <v>475</v>
      </c>
      <c r="E66" s="83">
        <f>E62/E65</f>
        <v>136.69651712641323</v>
      </c>
      <c r="F66" s="83">
        <f t="shared" ref="F66:BQ66" si="30">F62/F65</f>
        <v>208.46067157524186</v>
      </c>
      <c r="G66" s="83">
        <f t="shared" si="30"/>
        <v>311.76535840091208</v>
      </c>
      <c r="H66" s="83">
        <f t="shared" si="30"/>
        <v>663.80470164878659</v>
      </c>
      <c r="I66" s="83">
        <f t="shared" si="30"/>
        <v>139.43653959719396</v>
      </c>
      <c r="J66" s="83">
        <f t="shared" si="30"/>
        <v>205.53074020237952</v>
      </c>
      <c r="K66" s="83">
        <f t="shared" si="30"/>
        <v>294.8614369680721</v>
      </c>
      <c r="L66" s="83">
        <f t="shared" si="30"/>
        <v>625.40485525764655</v>
      </c>
      <c r="M66" s="83">
        <f t="shared" si="30"/>
        <v>118.64229823780163</v>
      </c>
      <c r="N66" s="83">
        <f t="shared" si="30"/>
        <v>168.15283883320461</v>
      </c>
      <c r="O66" s="83">
        <f t="shared" si="30"/>
        <v>239.48075233050727</v>
      </c>
      <c r="P66" s="83">
        <f t="shared" si="30"/>
        <v>472.56575167670218</v>
      </c>
      <c r="Q66" s="83">
        <f t="shared" si="30"/>
        <v>95.610468535811506</v>
      </c>
      <c r="R66" s="83">
        <f t="shared" si="30"/>
        <v>142.3608070512966</v>
      </c>
      <c r="S66" s="83">
        <f t="shared" si="30"/>
        <v>210.0922071784521</v>
      </c>
      <c r="T66" s="83">
        <f t="shared" si="30"/>
        <v>422.05143723620921</v>
      </c>
      <c r="U66" s="83">
        <f t="shared" si="30"/>
        <v>85.266195330511522</v>
      </c>
      <c r="V66" s="83">
        <f t="shared" si="30"/>
        <v>129.03063081819278</v>
      </c>
      <c r="W66" s="83">
        <f t="shared" si="30"/>
        <v>176.53226973045176</v>
      </c>
      <c r="X66" s="83">
        <f t="shared" si="30"/>
        <v>343.43576647489192</v>
      </c>
      <c r="Y66" s="83">
        <f t="shared" si="30"/>
        <v>67.912918752781422</v>
      </c>
      <c r="Z66" s="83">
        <f t="shared" si="30"/>
        <v>112.80303455906414</v>
      </c>
      <c r="AA66" s="83">
        <f t="shared" si="30"/>
        <v>151.33217455640181</v>
      </c>
      <c r="AB66" s="83">
        <f t="shared" si="30"/>
        <v>286.3800464091255</v>
      </c>
      <c r="AC66" s="83">
        <f t="shared" si="30"/>
        <v>55.421722221669974</v>
      </c>
      <c r="AD66" s="83">
        <f t="shared" si="30"/>
        <v>95.635830186895546</v>
      </c>
      <c r="AE66" s="83">
        <f t="shared" si="30"/>
        <v>122.66225387593177</v>
      </c>
      <c r="AF66" s="83">
        <f t="shared" si="30"/>
        <v>250.20693712225588</v>
      </c>
      <c r="AG66" s="83">
        <f t="shared" si="30"/>
        <v>40.176906956858794</v>
      </c>
      <c r="AH66" s="83">
        <f t="shared" si="30"/>
        <v>56.064983831144218</v>
      </c>
      <c r="AI66" s="83">
        <f t="shared" si="30"/>
        <v>73.421949120202925</v>
      </c>
      <c r="AJ66" s="83">
        <f t="shared" si="30"/>
        <v>136.02147795457387</v>
      </c>
      <c r="AK66" s="83">
        <f t="shared" si="30"/>
        <v>21.092726476579763</v>
      </c>
      <c r="AL66" s="83">
        <f t="shared" si="30"/>
        <v>19.915638341949204</v>
      </c>
      <c r="AM66" s="83">
        <f t="shared" si="30"/>
        <v>23.969448781483578</v>
      </c>
      <c r="AN66" s="83" t="e">
        <f t="shared" si="30"/>
        <v>#DIV/0!</v>
      </c>
      <c r="AO66" s="83" t="e">
        <f t="shared" si="30"/>
        <v>#DIV/0!</v>
      </c>
      <c r="AP66" s="83" t="e">
        <f t="shared" si="30"/>
        <v>#DIV/0!</v>
      </c>
      <c r="AQ66" s="83" t="e">
        <f t="shared" si="30"/>
        <v>#DIV/0!</v>
      </c>
      <c r="AR66" s="83" t="e">
        <f t="shared" si="30"/>
        <v>#DIV/0!</v>
      </c>
      <c r="AS66" s="83" t="e">
        <f t="shared" si="30"/>
        <v>#DIV/0!</v>
      </c>
      <c r="AT66" s="83" t="e">
        <f t="shared" si="30"/>
        <v>#DIV/0!</v>
      </c>
      <c r="AU66" s="83" t="e">
        <f t="shared" si="30"/>
        <v>#DIV/0!</v>
      </c>
      <c r="AV66" s="83" t="e">
        <f t="shared" si="30"/>
        <v>#DIV/0!</v>
      </c>
      <c r="AW66" s="83" t="e">
        <f t="shared" si="30"/>
        <v>#DIV/0!</v>
      </c>
      <c r="AX66" s="83" t="e">
        <f t="shared" si="30"/>
        <v>#DIV/0!</v>
      </c>
      <c r="AY66" s="83" t="e">
        <f t="shared" si="30"/>
        <v>#DIV/0!</v>
      </c>
      <c r="AZ66" s="83" t="e">
        <f t="shared" si="30"/>
        <v>#DIV/0!</v>
      </c>
      <c r="BA66" s="83" t="e">
        <f t="shared" si="30"/>
        <v>#DIV/0!</v>
      </c>
      <c r="BB66" s="83" t="e">
        <f t="shared" si="30"/>
        <v>#DIV/0!</v>
      </c>
      <c r="BC66" s="83" t="e">
        <f t="shared" si="30"/>
        <v>#DIV/0!</v>
      </c>
      <c r="BD66" s="83" t="e">
        <f t="shared" si="30"/>
        <v>#DIV/0!</v>
      </c>
      <c r="BE66" s="83" t="e">
        <f t="shared" si="30"/>
        <v>#DIV/0!</v>
      </c>
      <c r="BF66" s="83" t="e">
        <f t="shared" si="30"/>
        <v>#DIV/0!</v>
      </c>
      <c r="BG66" s="83" t="e">
        <f t="shared" si="30"/>
        <v>#DIV/0!</v>
      </c>
      <c r="BH66" s="83" t="e">
        <f t="shared" si="30"/>
        <v>#DIV/0!</v>
      </c>
      <c r="BI66" s="83" t="e">
        <f t="shared" si="30"/>
        <v>#DIV/0!</v>
      </c>
      <c r="BJ66" s="83" t="e">
        <f t="shared" si="30"/>
        <v>#DIV/0!</v>
      </c>
      <c r="BK66" s="83" t="e">
        <f t="shared" si="30"/>
        <v>#DIV/0!</v>
      </c>
      <c r="BL66" s="83" t="e">
        <f t="shared" si="30"/>
        <v>#DIV/0!</v>
      </c>
      <c r="BM66" s="83" t="e">
        <f t="shared" si="30"/>
        <v>#DIV/0!</v>
      </c>
      <c r="BN66" s="83" t="e">
        <f t="shared" si="30"/>
        <v>#DIV/0!</v>
      </c>
      <c r="BO66" s="83" t="e">
        <f t="shared" si="30"/>
        <v>#DIV/0!</v>
      </c>
      <c r="BP66" s="83" t="e">
        <f t="shared" si="30"/>
        <v>#DIV/0!</v>
      </c>
      <c r="BQ66" s="83" t="e">
        <f t="shared" si="30"/>
        <v>#DIV/0!</v>
      </c>
      <c r="BR66" s="83" t="e">
        <f t="shared" ref="BR66:CJ66" si="31">BR62/BR65</f>
        <v>#DIV/0!</v>
      </c>
      <c r="BS66" s="83" t="e">
        <f t="shared" si="31"/>
        <v>#DIV/0!</v>
      </c>
      <c r="BT66" s="83" t="e">
        <f t="shared" si="31"/>
        <v>#DIV/0!</v>
      </c>
      <c r="BU66" s="83" t="e">
        <f t="shared" si="31"/>
        <v>#DIV/0!</v>
      </c>
      <c r="BV66" s="83" t="e">
        <f t="shared" si="31"/>
        <v>#DIV/0!</v>
      </c>
      <c r="BW66" s="83" t="e">
        <f t="shared" si="31"/>
        <v>#DIV/0!</v>
      </c>
      <c r="BX66" s="83" t="e">
        <f t="shared" si="31"/>
        <v>#DIV/0!</v>
      </c>
      <c r="BY66" s="83" t="e">
        <f t="shared" si="31"/>
        <v>#DIV/0!</v>
      </c>
      <c r="BZ66" s="83" t="e">
        <f t="shared" si="31"/>
        <v>#DIV/0!</v>
      </c>
      <c r="CA66" s="83" t="e">
        <f t="shared" si="31"/>
        <v>#DIV/0!</v>
      </c>
      <c r="CB66" s="83" t="e">
        <f t="shared" si="31"/>
        <v>#DIV/0!</v>
      </c>
      <c r="CC66" s="83" t="e">
        <f t="shared" si="31"/>
        <v>#DIV/0!</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x14ac:dyDescent="0.25">
      <c r="A67" s="147" t="s">
        <v>476</v>
      </c>
      <c r="E67" s="76">
        <f>股权价值增加表!E5</f>
        <v>23467310590.759998</v>
      </c>
      <c r="F67" s="76">
        <f>股权价值增加表!F5</f>
        <v>15477663755.389999</v>
      </c>
      <c r="G67" s="76">
        <f>股权价值增加表!G5</f>
        <v>9420695024.8400002</v>
      </c>
      <c r="H67" s="76">
        <f>股权价值增加表!H5</f>
        <v>4030635978.6399999</v>
      </c>
      <c r="I67" s="76">
        <f>股权价值增加表!I5</f>
        <v>18649694075.439999</v>
      </c>
      <c r="J67" s="76">
        <f>股权价值增加表!J5</f>
        <v>12354272045.639999</v>
      </c>
      <c r="K67" s="76">
        <f>股权价值增加表!K5</f>
        <v>7516381723.1400003</v>
      </c>
      <c r="L67" s="76">
        <f>股权价值增加表!L5</f>
        <v>3023844618.0300002</v>
      </c>
      <c r="M67" s="76">
        <f>股权价值增加表!M5</f>
        <v>15136793517.440001</v>
      </c>
      <c r="N67" s="76">
        <f>股权价值增加表!N5</f>
        <v>9726052589.9899998</v>
      </c>
      <c r="O67" s="76">
        <f>股权价值增加表!O5</f>
        <v>5589497558.5900002</v>
      </c>
      <c r="P67" s="76">
        <f>股权价值增加表!P5</f>
        <v>2391396043.4099998</v>
      </c>
      <c r="Q67" s="76">
        <f>股权价值增加表!Q5</f>
        <v>9578266693.2800007</v>
      </c>
      <c r="R67" s="76">
        <f>股权价值增加表!R5</f>
        <v>5677915233.6400003</v>
      </c>
      <c r="S67" s="76">
        <f>股权价值增加表!S5</f>
        <v>3147587830.75</v>
      </c>
      <c r="T67" s="76">
        <f>股权价值增加表!T5</f>
        <v>1375389877.0699999</v>
      </c>
      <c r="U67" s="76">
        <f>股权价值增加表!U5</f>
        <v>5628838417.1000004</v>
      </c>
      <c r="V67" s="76">
        <f>股权价值增加表!V5</f>
        <v>3551297173.46</v>
      </c>
      <c r="W67" s="76">
        <f>股权价值增加表!W5</f>
        <v>2033786330.8299999</v>
      </c>
      <c r="X67" s="76">
        <f>股权价值增加表!X5</f>
        <v>882546175.61000001</v>
      </c>
      <c r="Y67" s="76">
        <f>股权价值增加表!Y5</f>
        <v>3664922810.8099999</v>
      </c>
      <c r="Z67" s="76">
        <f>股权价值增加表!Z5</f>
        <v>2427344631.4699998</v>
      </c>
      <c r="AA67" s="76">
        <f>股权价值增加表!AA5</f>
        <v>1420922224.6400001</v>
      </c>
      <c r="AB67" s="76">
        <f>股权价值增加表!AB5</f>
        <v>661465729.58000004</v>
      </c>
      <c r="AC67" s="76">
        <f>股权价值增加表!AC5</f>
        <v>2634180308.6399999</v>
      </c>
      <c r="AD67" s="76">
        <f>股权价值增加表!AD5</f>
        <v>1699824066.8800001</v>
      </c>
      <c r="AE67" s="76">
        <f>股权价值增加表!AE5</f>
        <v>1021856726.88</v>
      </c>
      <c r="AF67" s="76">
        <f>股权价值增加表!AF5</f>
        <v>468282079.42000002</v>
      </c>
      <c r="AG67" s="76">
        <f>股权价值增加表!AG5</f>
        <v>1743763633.1199999</v>
      </c>
      <c r="AH67" s="76">
        <f>股权价值增加表!AH5</f>
        <v>1199655803.52</v>
      </c>
      <c r="AI67" s="76">
        <f>股权价值增加表!AI5</f>
        <v>702050596.73000002</v>
      </c>
      <c r="AJ67" s="76">
        <f>股权价值增加表!AJ5</f>
        <v>339155124.04000002</v>
      </c>
      <c r="AK67" s="76">
        <f>股权价值增加表!AK5</f>
        <v>1007090667.39</v>
      </c>
      <c r="AL67" s="76">
        <f>股权价值增加表!AL5</f>
        <v>674382814.25</v>
      </c>
      <c r="AM67" s="76">
        <f>股权价值增加表!AM5</f>
        <v>389447580.93000001</v>
      </c>
      <c r="AN67" s="76">
        <f>股权价值增加表!AN5</f>
        <v>182379908.43000001</v>
      </c>
      <c r="AO67" s="76">
        <f>股权价值增加表!AO5</f>
        <v>856519516.38</v>
      </c>
      <c r="AP67" s="76">
        <f>股权价值增加表!AP5</f>
        <v>609529706.07000005</v>
      </c>
      <c r="AQ67" s="76">
        <f>股权价值增加表!AQ5</f>
        <v>0</v>
      </c>
      <c r="AR67" s="76">
        <f>股权价值增加表!AR5</f>
        <v>0</v>
      </c>
      <c r="AS67" s="76">
        <f>股权价值增加表!AS5</f>
        <v>0</v>
      </c>
      <c r="AT67" s="76">
        <f>股权价值增加表!AT5</f>
        <v>0</v>
      </c>
      <c r="AU67" s="76">
        <f>股权价值增加表!AU5</f>
        <v>0</v>
      </c>
      <c r="AV67" s="76">
        <f>股权价值增加表!AV5</f>
        <v>0</v>
      </c>
      <c r="AW67" s="76">
        <f>股权价值增加表!AW5</f>
        <v>0</v>
      </c>
      <c r="AX67" s="76">
        <f>股权价值增加表!AX5</f>
        <v>0</v>
      </c>
      <c r="AY67" s="76">
        <f>股权价值增加表!AY5</f>
        <v>0</v>
      </c>
      <c r="AZ67" s="76">
        <f>股权价值增加表!AZ5</f>
        <v>0</v>
      </c>
      <c r="BA67" s="76">
        <f>股权价值增加表!BA5</f>
        <v>0</v>
      </c>
      <c r="BB67" s="76">
        <f>股权价值增加表!BB5</f>
        <v>0</v>
      </c>
      <c r="BC67" s="76">
        <f>股权价值增加表!BC5</f>
        <v>0</v>
      </c>
      <c r="BD67" s="76">
        <f>股权价值增加表!BD5</f>
        <v>0</v>
      </c>
      <c r="BE67" s="76">
        <f>股权价值增加表!BE5</f>
        <v>0</v>
      </c>
      <c r="BF67" s="76">
        <f>股权价值增加表!BF5</f>
        <v>0</v>
      </c>
      <c r="BG67" s="76">
        <f>股权价值增加表!BG5</f>
        <v>0</v>
      </c>
      <c r="BH67" s="76">
        <f>股权价值增加表!BH5</f>
        <v>0</v>
      </c>
      <c r="BI67" s="76">
        <f>股权价值增加表!BI5</f>
        <v>0</v>
      </c>
      <c r="BJ67" s="76">
        <f>股权价值增加表!BJ5</f>
        <v>0</v>
      </c>
      <c r="BK67" s="76">
        <f>股权价值增加表!BK5</f>
        <v>0</v>
      </c>
      <c r="BL67" s="76">
        <f>股权价值增加表!BL5</f>
        <v>0</v>
      </c>
      <c r="BM67" s="76">
        <f>股权价值增加表!BM5</f>
        <v>0</v>
      </c>
      <c r="BN67" s="76">
        <f>股权价值增加表!BN5</f>
        <v>0</v>
      </c>
      <c r="BO67" s="76">
        <f>股权价值增加表!BO5</f>
        <v>0</v>
      </c>
      <c r="BP67" s="76">
        <f>股权价值增加表!BP5</f>
        <v>0</v>
      </c>
      <c r="BQ67" s="76">
        <f>股权价值增加表!BQ5</f>
        <v>0</v>
      </c>
      <c r="BR67" s="76">
        <f>股权价值增加表!BR5</f>
        <v>0</v>
      </c>
      <c r="BS67" s="76">
        <f>股权价值增加表!BS5</f>
        <v>0</v>
      </c>
      <c r="BT67" s="76">
        <f>股权价值增加表!BT5</f>
        <v>0</v>
      </c>
      <c r="BU67" s="76">
        <f>股权价值增加表!BU5</f>
        <v>0</v>
      </c>
      <c r="BV67" s="76">
        <f>股权价值增加表!BV5</f>
        <v>0</v>
      </c>
      <c r="BW67" s="76">
        <f>股权价值增加表!BW5</f>
        <v>0</v>
      </c>
      <c r="BX67" s="76">
        <f>股权价值增加表!BX5</f>
        <v>0</v>
      </c>
      <c r="BY67" s="76">
        <f>股权价值增加表!BY5</f>
        <v>0</v>
      </c>
      <c r="BZ67" s="76">
        <f>股权价值增加表!BZ5</f>
        <v>0</v>
      </c>
      <c r="CA67" s="76">
        <f>股权价值增加表!CA5</f>
        <v>0</v>
      </c>
      <c r="CB67" s="76">
        <f>股权价值增加表!CB5</f>
        <v>0</v>
      </c>
      <c r="CC67" s="76">
        <f>股权价值增加表!CC5</f>
        <v>0</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x14ac:dyDescent="0.25">
      <c r="A68" s="147" t="s">
        <v>477</v>
      </c>
      <c r="E68" s="76">
        <f>资产资本表!E26</f>
        <v>4940332311.6499996</v>
      </c>
      <c r="F68" s="76">
        <f>资产资本表!F26</f>
        <v>5440626715.7200003</v>
      </c>
      <c r="G68" s="76">
        <f>资产资本表!G26</f>
        <v>4935820439.5100002</v>
      </c>
      <c r="H68" s="76">
        <f>资产资本表!H26</f>
        <v>4422171233.1800003</v>
      </c>
      <c r="I68" s="76">
        <f>资产资本表!I26</f>
        <v>3825159212.2800002</v>
      </c>
      <c r="J68" s="76">
        <f>资产资本表!J26</f>
        <v>4378378995.5100002</v>
      </c>
      <c r="K68" s="76">
        <f>资产资本表!K26</f>
        <v>3614090858.8699999</v>
      </c>
      <c r="L68" s="76">
        <f>资产资本表!L26</f>
        <v>3197367212.8099999</v>
      </c>
      <c r="M68" s="76">
        <f>资产资本表!M26</f>
        <v>2818665737.1100001</v>
      </c>
      <c r="N68" s="76">
        <f>资产资本表!N26</f>
        <v>2610347737.21</v>
      </c>
      <c r="O68" s="76">
        <f>资产资本表!O26</f>
        <v>2801065155.1700001</v>
      </c>
      <c r="P68" s="76">
        <f>资产资本表!P26</f>
        <v>2960221199.0999999</v>
      </c>
      <c r="Q68" s="76">
        <f>资产资本表!Q26</f>
        <v>2291934275.7600002</v>
      </c>
      <c r="R68" s="76">
        <f>资产资本表!R26</f>
        <v>2443890365.8299999</v>
      </c>
      <c r="S68" s="76">
        <f>资产资本表!S26</f>
        <v>2028352538.8199999</v>
      </c>
      <c r="T68" s="76">
        <f>资产资本表!T26</f>
        <v>1651245978.79</v>
      </c>
      <c r="U68" s="76">
        <f>资产资本表!U26</f>
        <v>1428667757.02</v>
      </c>
      <c r="V68" s="76">
        <f>资产资本表!V26</f>
        <v>1637253482.78</v>
      </c>
      <c r="W68" s="76">
        <f>资产资本表!W26</f>
        <v>1271437089.8</v>
      </c>
      <c r="X68" s="76">
        <f>资产资本表!X26</f>
        <v>1227068976.1500001</v>
      </c>
      <c r="Y68" s="76">
        <f>资产资本表!Y26</f>
        <v>1017937356.11</v>
      </c>
      <c r="Z68" s="76">
        <f>资产资本表!Z26</f>
        <v>950486204.63</v>
      </c>
      <c r="AA68" s="76">
        <f>资产资本表!AA26</f>
        <v>901823206.12</v>
      </c>
      <c r="AB68" s="76">
        <f>资产资本表!AB26</f>
        <v>819016975.83000004</v>
      </c>
      <c r="AC68" s="76">
        <f>资产资本表!AC26</f>
        <v>769097776.53999996</v>
      </c>
      <c r="AD68" s="76">
        <f>资产资本表!AD26</f>
        <v>794695575.01999998</v>
      </c>
      <c r="AE68" s="76">
        <f>资产资本表!AE26</f>
        <v>720008872.72000003</v>
      </c>
      <c r="AF68" s="76">
        <f>资产资本表!AF26</f>
        <v>630981285.64999998</v>
      </c>
      <c r="AG68" s="76">
        <f>资产资本表!AG26</f>
        <v>625345392.03999996</v>
      </c>
      <c r="AH68" s="76">
        <f>资产资本表!AH26</f>
        <v>780157123.53999996</v>
      </c>
      <c r="AI68" s="76">
        <f>资产资本表!AI26</f>
        <v>704118174.12</v>
      </c>
      <c r="AJ68" s="76">
        <f>资产资本表!AJ26</f>
        <v>456220456.87</v>
      </c>
      <c r="AK68" s="76">
        <f>资产资本表!AK26</f>
        <v>392950169.44999999</v>
      </c>
      <c r="AL68" s="76">
        <f>资产资本表!AL26</f>
        <v>219387511.16</v>
      </c>
      <c r="AM68" s="76">
        <f>资产资本表!AM26</f>
        <v>223233592.53</v>
      </c>
      <c r="AN68" s="76">
        <f>资产资本表!AN26</f>
        <v>0</v>
      </c>
      <c r="AO68" s="76">
        <f>资产资本表!AO26</f>
        <v>0</v>
      </c>
      <c r="AP68" s="76">
        <f>资产资本表!AP26</f>
        <v>0</v>
      </c>
      <c r="AQ68" s="76">
        <f>资产资本表!AQ26</f>
        <v>0</v>
      </c>
      <c r="AR68" s="76">
        <f>资产资本表!AR26</f>
        <v>0</v>
      </c>
      <c r="AS68" s="76">
        <f>资产资本表!AS26</f>
        <v>0</v>
      </c>
      <c r="AT68" s="76">
        <f>资产资本表!AT26</f>
        <v>0</v>
      </c>
      <c r="AU68" s="76">
        <f>资产资本表!AU26</f>
        <v>0</v>
      </c>
      <c r="AV68" s="76">
        <f>资产资本表!AV26</f>
        <v>0</v>
      </c>
      <c r="AW68" s="76">
        <f>资产资本表!AW26</f>
        <v>0</v>
      </c>
      <c r="AX68" s="76">
        <f>资产资本表!AX26</f>
        <v>0</v>
      </c>
      <c r="AY68" s="76">
        <f>资产资本表!AY26</f>
        <v>0</v>
      </c>
      <c r="AZ68" s="76">
        <f>资产资本表!AZ26</f>
        <v>0</v>
      </c>
      <c r="BA68" s="76">
        <f>资产资本表!BA26</f>
        <v>0</v>
      </c>
      <c r="BB68" s="76">
        <f>资产资本表!BB26</f>
        <v>0</v>
      </c>
      <c r="BC68" s="76">
        <f>资产资本表!BC26</f>
        <v>0</v>
      </c>
      <c r="BD68" s="76">
        <f>资产资本表!BD26</f>
        <v>0</v>
      </c>
      <c r="BE68" s="76">
        <f>资产资本表!BE26</f>
        <v>0</v>
      </c>
      <c r="BF68" s="76">
        <f>资产资本表!BF26</f>
        <v>0</v>
      </c>
      <c r="BG68" s="76">
        <f>资产资本表!BG26</f>
        <v>0</v>
      </c>
      <c r="BH68" s="76">
        <f>资产资本表!BH26</f>
        <v>0</v>
      </c>
      <c r="BI68" s="76">
        <f>资产资本表!BI26</f>
        <v>0</v>
      </c>
      <c r="BJ68" s="76">
        <f>资产资本表!BJ26</f>
        <v>0</v>
      </c>
      <c r="BK68" s="76">
        <f>资产资本表!BK26</f>
        <v>0</v>
      </c>
      <c r="BL68" s="76">
        <f>资产资本表!BL26</f>
        <v>0</v>
      </c>
      <c r="BM68" s="76">
        <f>资产资本表!BM26</f>
        <v>0</v>
      </c>
      <c r="BN68" s="76">
        <f>资产资本表!BN26</f>
        <v>0</v>
      </c>
      <c r="BO68" s="76">
        <f>资产资本表!BO26</f>
        <v>0</v>
      </c>
      <c r="BP68" s="76">
        <f>资产资本表!BP26</f>
        <v>0</v>
      </c>
      <c r="BQ68" s="76">
        <f>资产资本表!BQ26</f>
        <v>0</v>
      </c>
      <c r="BR68" s="76">
        <f>资产资本表!BR26</f>
        <v>0</v>
      </c>
      <c r="BS68" s="76">
        <f>资产资本表!BS26</f>
        <v>0</v>
      </c>
      <c r="BT68" s="76">
        <f>资产资本表!BT26</f>
        <v>0</v>
      </c>
      <c r="BU68" s="76">
        <f>资产资本表!BU26</f>
        <v>0</v>
      </c>
      <c r="BV68" s="76">
        <f>资产资本表!BV26</f>
        <v>0</v>
      </c>
      <c r="BW68" s="76">
        <f>资产资本表!BW26</f>
        <v>0</v>
      </c>
      <c r="BX68" s="76">
        <f>资产资本表!BX26</f>
        <v>0</v>
      </c>
      <c r="BY68" s="76">
        <f>资产资本表!BY26</f>
        <v>0</v>
      </c>
      <c r="BZ68" s="76">
        <f>资产资本表!BZ26</f>
        <v>0</v>
      </c>
      <c r="CA68" s="76">
        <f>资产资本表!CA26</f>
        <v>0</v>
      </c>
      <c r="CB68" s="76">
        <f>资产资本表!CB26</f>
        <v>0</v>
      </c>
      <c r="CC68" s="76">
        <f>资产资本表!CC26</f>
        <v>0</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55" customFormat="1" x14ac:dyDescent="0.25">
      <c r="A69" s="154" t="s">
        <v>478</v>
      </c>
      <c r="E69" s="155">
        <f>E67/(E68+I68)*2</f>
        <v>5.3544768200833195</v>
      </c>
      <c r="F69" s="155">
        <f t="shared" ref="F69:BQ69" si="32">F67/(F68+J68)*2</f>
        <v>3.1525928817188058</v>
      </c>
      <c r="G69" s="155">
        <f t="shared" si="32"/>
        <v>2.2036942129738804</v>
      </c>
      <c r="H69" s="155">
        <f t="shared" si="32"/>
        <v>1.0579737886252776</v>
      </c>
      <c r="I69" s="155">
        <f t="shared" si="32"/>
        <v>5.6141437251902042</v>
      </c>
      <c r="J69" s="155">
        <f t="shared" si="32"/>
        <v>3.5354857953736984</v>
      </c>
      <c r="K69" s="155">
        <f t="shared" si="32"/>
        <v>2.3433200086451191</v>
      </c>
      <c r="L69" s="155">
        <f t="shared" si="32"/>
        <v>0.98215223745103963</v>
      </c>
      <c r="M69" s="155">
        <f t="shared" si="32"/>
        <v>5.9236854691508167</v>
      </c>
      <c r="N69" s="155">
        <f t="shared" si="32"/>
        <v>3.8486721011976139</v>
      </c>
      <c r="O69" s="155">
        <f t="shared" si="32"/>
        <v>2.3147708120363606</v>
      </c>
      <c r="P69" s="155">
        <f t="shared" si="32"/>
        <v>1.0371519306808534</v>
      </c>
      <c r="Q69" s="155">
        <f t="shared" si="32"/>
        <v>5.1487724883723756</v>
      </c>
      <c r="R69" s="155">
        <f t="shared" si="32"/>
        <v>2.7825116899880147</v>
      </c>
      <c r="S69" s="155">
        <f t="shared" si="32"/>
        <v>1.9077506053416793</v>
      </c>
      <c r="T69" s="155">
        <f t="shared" si="32"/>
        <v>0.95569101964289427</v>
      </c>
      <c r="U69" s="155">
        <f t="shared" si="32"/>
        <v>4.6013460749282045</v>
      </c>
      <c r="V69" s="155">
        <f t="shared" si="32"/>
        <v>2.7447097486180301</v>
      </c>
      <c r="W69" s="155">
        <f t="shared" si="32"/>
        <v>1.8716454118709631</v>
      </c>
      <c r="X69" s="155">
        <f t="shared" si="32"/>
        <v>0.86266774350897524</v>
      </c>
      <c r="Y69" s="155">
        <f t="shared" si="32"/>
        <v>4.1016796411554308</v>
      </c>
      <c r="Z69" s="155">
        <f t="shared" si="32"/>
        <v>2.7817671027448028</v>
      </c>
      <c r="AA69" s="155">
        <f t="shared" si="32"/>
        <v>1.7522433341635482</v>
      </c>
      <c r="AB69" s="155">
        <f t="shared" si="32"/>
        <v>0.91236761746851747</v>
      </c>
      <c r="AC69" s="155">
        <f t="shared" si="32"/>
        <v>3.7781106724090572</v>
      </c>
      <c r="AD69" s="155">
        <f t="shared" si="32"/>
        <v>2.1587086442233874</v>
      </c>
      <c r="AE69" s="155">
        <f t="shared" si="32"/>
        <v>1.4350639981838713</v>
      </c>
      <c r="AF69" s="155">
        <f t="shared" si="32"/>
        <v>0.86144468152631859</v>
      </c>
      <c r="AG69" s="155">
        <f t="shared" si="32"/>
        <v>3.4248673942337011</v>
      </c>
      <c r="AH69" s="155">
        <f t="shared" si="32"/>
        <v>2.4004046680317797</v>
      </c>
      <c r="AI69" s="155">
        <f t="shared" si="32"/>
        <v>1.5140977177756694</v>
      </c>
      <c r="AJ69" s="155">
        <f t="shared" si="32"/>
        <v>1.4868036666608409</v>
      </c>
      <c r="AK69" s="155">
        <f t="shared" si="32"/>
        <v>5.1257932719540147</v>
      </c>
      <c r="AL69" s="155">
        <f t="shared" si="32"/>
        <v>6.147868770507821</v>
      </c>
      <c r="AM69" s="155">
        <f t="shared" si="32"/>
        <v>3.4891485328549985</v>
      </c>
      <c r="AN69" s="155" t="e">
        <f t="shared" si="32"/>
        <v>#DIV/0!</v>
      </c>
      <c r="AO69" s="155" t="e">
        <f t="shared" si="32"/>
        <v>#DIV/0!</v>
      </c>
      <c r="AP69" s="155" t="e">
        <f t="shared" si="32"/>
        <v>#DIV/0!</v>
      </c>
      <c r="AQ69" s="155" t="e">
        <f t="shared" si="32"/>
        <v>#DIV/0!</v>
      </c>
      <c r="AR69" s="155" t="e">
        <f t="shared" si="32"/>
        <v>#DIV/0!</v>
      </c>
      <c r="AS69" s="155" t="e">
        <f t="shared" si="32"/>
        <v>#DIV/0!</v>
      </c>
      <c r="AT69" s="155" t="e">
        <f t="shared" si="32"/>
        <v>#DIV/0!</v>
      </c>
      <c r="AU69" s="155" t="e">
        <f t="shared" si="32"/>
        <v>#DIV/0!</v>
      </c>
      <c r="AV69" s="155" t="e">
        <f t="shared" si="32"/>
        <v>#DIV/0!</v>
      </c>
      <c r="AW69" s="155" t="e">
        <f t="shared" si="32"/>
        <v>#DIV/0!</v>
      </c>
      <c r="AX69" s="155" t="e">
        <f t="shared" si="32"/>
        <v>#DIV/0!</v>
      </c>
      <c r="AY69" s="155" t="e">
        <f t="shared" si="32"/>
        <v>#DIV/0!</v>
      </c>
      <c r="AZ69" s="155" t="e">
        <f t="shared" si="32"/>
        <v>#DIV/0!</v>
      </c>
      <c r="BA69" s="155" t="e">
        <f t="shared" si="32"/>
        <v>#DIV/0!</v>
      </c>
      <c r="BB69" s="155" t="e">
        <f t="shared" si="32"/>
        <v>#DIV/0!</v>
      </c>
      <c r="BC69" s="155" t="e">
        <f t="shared" si="32"/>
        <v>#DIV/0!</v>
      </c>
      <c r="BD69" s="155" t="e">
        <f t="shared" si="32"/>
        <v>#DIV/0!</v>
      </c>
      <c r="BE69" s="155" t="e">
        <f t="shared" si="32"/>
        <v>#DIV/0!</v>
      </c>
      <c r="BF69" s="155" t="e">
        <f t="shared" si="32"/>
        <v>#DIV/0!</v>
      </c>
      <c r="BG69" s="155" t="e">
        <f t="shared" si="32"/>
        <v>#DIV/0!</v>
      </c>
      <c r="BH69" s="155" t="e">
        <f t="shared" si="32"/>
        <v>#DIV/0!</v>
      </c>
      <c r="BI69" s="155" t="e">
        <f t="shared" si="32"/>
        <v>#DIV/0!</v>
      </c>
      <c r="BJ69" s="155" t="e">
        <f t="shared" si="32"/>
        <v>#DIV/0!</v>
      </c>
      <c r="BK69" s="155" t="e">
        <f t="shared" si="32"/>
        <v>#DIV/0!</v>
      </c>
      <c r="BL69" s="155" t="e">
        <f t="shared" si="32"/>
        <v>#DIV/0!</v>
      </c>
      <c r="BM69" s="155" t="e">
        <f t="shared" si="32"/>
        <v>#DIV/0!</v>
      </c>
      <c r="BN69" s="155" t="e">
        <f t="shared" si="32"/>
        <v>#DIV/0!</v>
      </c>
      <c r="BO69" s="155" t="e">
        <f t="shared" si="32"/>
        <v>#DIV/0!</v>
      </c>
      <c r="BP69" s="155" t="e">
        <f t="shared" si="32"/>
        <v>#DIV/0!</v>
      </c>
      <c r="BQ69" s="155" t="e">
        <f t="shared" si="32"/>
        <v>#DIV/0!</v>
      </c>
      <c r="BR69" s="155" t="e">
        <f t="shared" ref="BR69:CJ69" si="33">BR67/(BR68+BV68)*2</f>
        <v>#DIV/0!</v>
      </c>
      <c r="BS69" s="155" t="e">
        <f t="shared" si="33"/>
        <v>#DIV/0!</v>
      </c>
      <c r="BT69" s="155" t="e">
        <f t="shared" si="33"/>
        <v>#DIV/0!</v>
      </c>
      <c r="BU69" s="155" t="e">
        <f t="shared" si="33"/>
        <v>#DIV/0!</v>
      </c>
      <c r="BV69" s="155" t="e">
        <f t="shared" si="33"/>
        <v>#DIV/0!</v>
      </c>
      <c r="BW69" s="155" t="e">
        <f t="shared" si="33"/>
        <v>#DIV/0!</v>
      </c>
      <c r="BX69" s="155" t="e">
        <f t="shared" si="33"/>
        <v>#DIV/0!</v>
      </c>
      <c r="BY69" s="155" t="e">
        <f t="shared" si="33"/>
        <v>#DIV/0!</v>
      </c>
      <c r="BZ69" s="155" t="e">
        <f t="shared" si="33"/>
        <v>#DIV/0!</v>
      </c>
      <c r="CA69" s="155" t="e">
        <f t="shared" si="33"/>
        <v>#DIV/0!</v>
      </c>
      <c r="CB69" s="155" t="e">
        <f t="shared" si="33"/>
        <v>#DIV/0!</v>
      </c>
      <c r="CC69" s="155" t="e">
        <f t="shared" si="33"/>
        <v>#DIV/0!</v>
      </c>
      <c r="CD69" s="155" t="e">
        <f t="shared" si="33"/>
        <v>#DIV/0!</v>
      </c>
      <c r="CE69" s="155" t="e">
        <f t="shared" si="33"/>
        <v>#DIV/0!</v>
      </c>
      <c r="CF69" s="155" t="e">
        <f t="shared" si="33"/>
        <v>#DIV/0!</v>
      </c>
      <c r="CG69" s="155" t="e">
        <f t="shared" si="33"/>
        <v>#DIV/0!</v>
      </c>
      <c r="CH69" s="155" t="e">
        <f t="shared" si="33"/>
        <v>#DIV/0!</v>
      </c>
      <c r="CI69" s="155" t="e">
        <f t="shared" si="33"/>
        <v>#DIV/0!</v>
      </c>
      <c r="CJ69" s="155" t="e">
        <f t="shared" si="33"/>
        <v>#DIV/0!</v>
      </c>
    </row>
    <row r="70" spans="1:89" s="83" customFormat="1" x14ac:dyDescent="0.25">
      <c r="A70" s="148" t="s">
        <v>479</v>
      </c>
      <c r="E70" s="83">
        <f>E62/E69</f>
        <v>68.167257467802486</v>
      </c>
      <c r="F70" s="83">
        <f t="shared" ref="F70:BQ70" si="34">F62/F69</f>
        <v>115.77771494586405</v>
      </c>
      <c r="G70" s="83">
        <f t="shared" si="34"/>
        <v>165.63096542665659</v>
      </c>
      <c r="H70" s="83">
        <f t="shared" si="34"/>
        <v>344.99909536915652</v>
      </c>
      <c r="I70" s="83">
        <f t="shared" si="34"/>
        <v>65.014366903767495</v>
      </c>
      <c r="J70" s="83">
        <f t="shared" si="34"/>
        <v>103.23899490067666</v>
      </c>
      <c r="K70" s="83">
        <f t="shared" si="34"/>
        <v>155.76190987719121</v>
      </c>
      <c r="L70" s="83">
        <f t="shared" si="34"/>
        <v>371.63281422366589</v>
      </c>
      <c r="M70" s="83">
        <f t="shared" si="34"/>
        <v>61.617045992876484</v>
      </c>
      <c r="N70" s="83">
        <f t="shared" si="34"/>
        <v>94.837905231370783</v>
      </c>
      <c r="O70" s="83">
        <f t="shared" si="34"/>
        <v>157.68299742768079</v>
      </c>
      <c r="P70" s="83">
        <f t="shared" si="34"/>
        <v>351.925295805399</v>
      </c>
      <c r="Q70" s="83">
        <f t="shared" si="34"/>
        <v>70.890683327781574</v>
      </c>
      <c r="R70" s="83">
        <f t="shared" si="34"/>
        <v>131.17644799600902</v>
      </c>
      <c r="S70" s="83">
        <f t="shared" si="34"/>
        <v>191.32479841862153</v>
      </c>
      <c r="T70" s="83">
        <f t="shared" si="34"/>
        <v>381.92260102683264</v>
      </c>
      <c r="U70" s="83">
        <f t="shared" si="34"/>
        <v>79.32461372310388</v>
      </c>
      <c r="V70" s="83">
        <f t="shared" si="34"/>
        <v>132.9830960026934</v>
      </c>
      <c r="W70" s="83">
        <f t="shared" si="34"/>
        <v>195.01557169161282</v>
      </c>
      <c r="X70" s="83">
        <f t="shared" si="34"/>
        <v>423.10611790737778</v>
      </c>
      <c r="Y70" s="83">
        <f t="shared" si="34"/>
        <v>88.987934683553348</v>
      </c>
      <c r="Z70" s="83">
        <f t="shared" si="34"/>
        <v>131.21155960175463</v>
      </c>
      <c r="AA70" s="83">
        <f t="shared" si="34"/>
        <v>208.30440206767094</v>
      </c>
      <c r="AB70" s="83">
        <f t="shared" si="34"/>
        <v>400.05803911885863</v>
      </c>
      <c r="AC70" s="83">
        <f t="shared" si="34"/>
        <v>96.609133942405947</v>
      </c>
      <c r="AD70" s="83">
        <f t="shared" si="34"/>
        <v>169.08256747696106</v>
      </c>
      <c r="AE70" s="83">
        <f t="shared" si="34"/>
        <v>254.34405745104158</v>
      </c>
      <c r="AF70" s="83">
        <f t="shared" si="34"/>
        <v>423.70683553735381</v>
      </c>
      <c r="AG70" s="83">
        <f t="shared" si="34"/>
        <v>106.5734692719883</v>
      </c>
      <c r="AH70" s="83">
        <f t="shared" si="34"/>
        <v>152.05769462999879</v>
      </c>
      <c r="AI70" s="83">
        <f t="shared" si="34"/>
        <v>241.06766407138781</v>
      </c>
      <c r="AJ70" s="83">
        <f t="shared" si="34"/>
        <v>245.49307227614017</v>
      </c>
      <c r="AK70" s="83">
        <f t="shared" si="34"/>
        <v>71.208490205235606</v>
      </c>
      <c r="AL70" s="83">
        <f t="shared" si="34"/>
        <v>59.370167715836033</v>
      </c>
      <c r="AM70" s="83">
        <f t="shared" si="34"/>
        <v>104.61004928940027</v>
      </c>
      <c r="AN70" s="83" t="e">
        <f t="shared" si="34"/>
        <v>#DIV/0!</v>
      </c>
      <c r="AO70" s="83" t="e">
        <f t="shared" si="34"/>
        <v>#DIV/0!</v>
      </c>
      <c r="AP70" s="83" t="e">
        <f t="shared" si="34"/>
        <v>#DIV/0!</v>
      </c>
      <c r="AQ70" s="83" t="e">
        <f t="shared" si="34"/>
        <v>#DIV/0!</v>
      </c>
      <c r="AR70" s="83" t="e">
        <f t="shared" si="34"/>
        <v>#DIV/0!</v>
      </c>
      <c r="AS70" s="83" t="e">
        <f t="shared" si="34"/>
        <v>#DIV/0!</v>
      </c>
      <c r="AT70" s="83" t="e">
        <f t="shared" si="34"/>
        <v>#DIV/0!</v>
      </c>
      <c r="AU70" s="83" t="e">
        <f t="shared" si="34"/>
        <v>#DIV/0!</v>
      </c>
      <c r="AV70" s="83" t="e">
        <f t="shared" si="34"/>
        <v>#DIV/0!</v>
      </c>
      <c r="AW70" s="83" t="e">
        <f t="shared" si="34"/>
        <v>#DIV/0!</v>
      </c>
      <c r="AX70" s="83" t="e">
        <f t="shared" si="34"/>
        <v>#DIV/0!</v>
      </c>
      <c r="AY70" s="83" t="e">
        <f t="shared" si="34"/>
        <v>#DIV/0!</v>
      </c>
      <c r="AZ70" s="83" t="e">
        <f t="shared" si="34"/>
        <v>#DIV/0!</v>
      </c>
      <c r="BA70" s="83" t="e">
        <f t="shared" si="34"/>
        <v>#DIV/0!</v>
      </c>
      <c r="BB70" s="83" t="e">
        <f t="shared" si="34"/>
        <v>#DIV/0!</v>
      </c>
      <c r="BC70" s="83" t="e">
        <f t="shared" si="34"/>
        <v>#DIV/0!</v>
      </c>
      <c r="BD70" s="83" t="e">
        <f t="shared" si="34"/>
        <v>#DIV/0!</v>
      </c>
      <c r="BE70" s="83" t="e">
        <f t="shared" si="34"/>
        <v>#DIV/0!</v>
      </c>
      <c r="BF70" s="83" t="e">
        <f t="shared" si="34"/>
        <v>#DIV/0!</v>
      </c>
      <c r="BG70" s="83" t="e">
        <f t="shared" si="34"/>
        <v>#DIV/0!</v>
      </c>
      <c r="BH70" s="83" t="e">
        <f t="shared" si="34"/>
        <v>#DIV/0!</v>
      </c>
      <c r="BI70" s="83" t="e">
        <f t="shared" si="34"/>
        <v>#DIV/0!</v>
      </c>
      <c r="BJ70" s="83" t="e">
        <f t="shared" si="34"/>
        <v>#DIV/0!</v>
      </c>
      <c r="BK70" s="83" t="e">
        <f t="shared" si="34"/>
        <v>#DIV/0!</v>
      </c>
      <c r="BL70" s="83" t="e">
        <f t="shared" si="34"/>
        <v>#DIV/0!</v>
      </c>
      <c r="BM70" s="83" t="e">
        <f t="shared" si="34"/>
        <v>#DIV/0!</v>
      </c>
      <c r="BN70" s="83" t="e">
        <f t="shared" si="34"/>
        <v>#DIV/0!</v>
      </c>
      <c r="BO70" s="83" t="e">
        <f t="shared" si="34"/>
        <v>#DIV/0!</v>
      </c>
      <c r="BP70" s="83" t="e">
        <f t="shared" si="34"/>
        <v>#DIV/0!</v>
      </c>
      <c r="BQ70" s="83" t="e">
        <f t="shared" si="34"/>
        <v>#DIV/0!</v>
      </c>
      <c r="BR70" s="83" t="e">
        <f t="shared" ref="BR70:CJ70" si="35">BR62/BR69</f>
        <v>#DIV/0!</v>
      </c>
      <c r="BS70" s="83" t="e">
        <f t="shared" si="35"/>
        <v>#DIV/0!</v>
      </c>
      <c r="BT70" s="83" t="e">
        <f t="shared" si="35"/>
        <v>#DIV/0!</v>
      </c>
      <c r="BU70" s="83" t="e">
        <f t="shared" si="35"/>
        <v>#DIV/0!</v>
      </c>
      <c r="BV70" s="83" t="e">
        <f t="shared" si="35"/>
        <v>#DIV/0!</v>
      </c>
      <c r="BW70" s="83" t="e">
        <f t="shared" si="35"/>
        <v>#DIV/0!</v>
      </c>
      <c r="BX70" s="83" t="e">
        <f t="shared" si="35"/>
        <v>#DIV/0!</v>
      </c>
      <c r="BY70" s="83" t="e">
        <f t="shared" si="35"/>
        <v>#DIV/0!</v>
      </c>
      <c r="BZ70" s="83" t="e">
        <f t="shared" si="35"/>
        <v>#DIV/0!</v>
      </c>
      <c r="CA70" s="83" t="e">
        <f t="shared" si="35"/>
        <v>#DIV/0!</v>
      </c>
      <c r="CB70" s="83" t="e">
        <f t="shared" si="35"/>
        <v>#DIV/0!</v>
      </c>
      <c r="CC70" s="83" t="e">
        <f t="shared" si="35"/>
        <v>#DIV/0!</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x14ac:dyDescent="0.25">
      <c r="A71" s="147" t="s">
        <v>480</v>
      </c>
      <c r="E71" s="76">
        <f>资产资本表!E35+资产资本表!E36-资产资本表!E24</f>
        <v>10357763583.07</v>
      </c>
      <c r="F71" s="76">
        <f>资产资本表!F35+资产资本表!F36-资产资本表!F24</f>
        <v>7074312260.499999</v>
      </c>
      <c r="G71" s="76">
        <f>资产资本表!G35+资产资本表!G36-资产资本表!G24</f>
        <v>6428832686.3499994</v>
      </c>
      <c r="H71" s="76">
        <f>资产资本表!H35+资产资本表!H36-资产资本表!H24</f>
        <v>5358080620.9799995</v>
      </c>
      <c r="I71" s="76">
        <f>资产资本表!I35+资产资本表!I36-资产资本表!I24</f>
        <v>7606168534.5200005</v>
      </c>
      <c r="J71" s="76">
        <f>资产资本表!J35+资产资本表!J36-资产资本表!J24</f>
        <v>7648282066.1800003</v>
      </c>
      <c r="K71" s="76">
        <f>资产资本表!K35+资产资本表!K36-资产资本表!K24</f>
        <v>6140435846.1499996</v>
      </c>
      <c r="L71" s="76">
        <f>资产资本表!L35+资产资本表!L36-资产资本表!L24</f>
        <v>4103952971.2399998</v>
      </c>
      <c r="M71" s="76">
        <f>资产资本表!M35+资产资本表!M36-资产资本表!M24</f>
        <v>5946818893.6799994</v>
      </c>
      <c r="N71" s="76">
        <f>资产资本表!N35+资产资本表!N36-资产资本表!N24</f>
        <v>3671361029.29</v>
      </c>
      <c r="O71" s="76">
        <f>资产资本表!O35+资产资本表!O36-资产资本表!O24</f>
        <v>2588731450.2200003</v>
      </c>
      <c r="P71" s="76">
        <f>资产资本表!P35+资产资本表!P36-资产资本表!P24</f>
        <v>2500666368.3599997</v>
      </c>
      <c r="Q71" s="76">
        <f>资产资本表!Q35+资产资本表!Q36-资产资本表!Q24</f>
        <v>3527003874.9099998</v>
      </c>
      <c r="R71" s="76">
        <f>资产资本表!R35+资产资本表!R36-资产资本表!R24</f>
        <v>2031285607.24</v>
      </c>
      <c r="S71" s="76">
        <f>资产资本表!S35+资产资本表!S36-资产资本表!S24</f>
        <v>1910212176.4499998</v>
      </c>
      <c r="T71" s="76">
        <f>资产资本表!T35+资产资本表!T36-资产资本表!T24</f>
        <v>1249953818.77</v>
      </c>
      <c r="U71" s="76">
        <f>资产资本表!U35+资产资本表!U36-资产资本表!U24</f>
        <v>1513210872.1500001</v>
      </c>
      <c r="V71" s="76">
        <f>资产资本表!V35+资产资本表!V36-资产资本表!V24</f>
        <v>1284490272.6900001</v>
      </c>
      <c r="W71" s="76">
        <f>资产资本表!W35+资产资本表!W36-资产资本表!W24</f>
        <v>845654684.96999991</v>
      </c>
      <c r="X71" s="76">
        <f>资产资本表!X35+资产资本表!X36-资产资本表!X24</f>
        <v>601422544.86000001</v>
      </c>
      <c r="Y71" s="76">
        <f>资产资本表!Y35+资产资本表!Y36-资产资本表!Y24</f>
        <v>992151411.15999985</v>
      </c>
      <c r="Z71" s="76">
        <f>资产资本表!Z35+资产资本表!Z36-资产资本表!Z24</f>
        <v>359893039.87000006</v>
      </c>
      <c r="AA71" s="76">
        <f>资产资本表!AA35+资产资本表!AA36-资产资本表!AA24</f>
        <v>458168028.08999997</v>
      </c>
      <c r="AB71" s="76">
        <f>资产资本表!AB35+资产资本表!AB36-资产资本表!AB24</f>
        <v>335432743.12</v>
      </c>
      <c r="AC71" s="76">
        <f>资产资本表!AC35+资产资本表!AC36-资产资本表!AC24</f>
        <v>627131072.68000007</v>
      </c>
      <c r="AD71" s="76">
        <f>资产资本表!AD35+资产资本表!AD36-资产资本表!AD24</f>
        <v>367423126.28999996</v>
      </c>
      <c r="AE71" s="76">
        <f>资产资本表!AE35+资产资本表!AE36-资产资本表!AE24</f>
        <v>368284228.38</v>
      </c>
      <c r="AF71" s="76">
        <f>资产资本表!AF35+资产资本表!AF36-资产资本表!AF24</f>
        <v>295248426.25</v>
      </c>
      <c r="AG71" s="76">
        <f>资产资本表!AG35+资产资本表!AG36-资产资本表!AG24</f>
        <v>376256063.55000001</v>
      </c>
      <c r="AH71" s="76">
        <f>资产资本表!AH35+资产资本表!AH36-资产资本表!AH24</f>
        <v>242194482.91000003</v>
      </c>
      <c r="AI71" s="76">
        <f>资产资本表!AI35+资产资本表!AI36-资产资本表!AI24</f>
        <v>380582921.99000001</v>
      </c>
      <c r="AJ71" s="76">
        <f>资产资本表!AJ35+资产资本表!AJ36-资产资本表!AJ24</f>
        <v>240013359.98999998</v>
      </c>
      <c r="AK71" s="76">
        <f>资产资本表!AK35+资产资本表!AK36-资产资本表!AK24</f>
        <v>394832578.52999997</v>
      </c>
      <c r="AL71" s="76">
        <f>资产资本表!AL35+资产资本表!AL36-资产资本表!AL24</f>
        <v>235068794.62</v>
      </c>
      <c r="AM71" s="76">
        <f>资产资本表!AM35+资产资本表!AM36-资产资本表!AM24</f>
        <v>150612647.22999999</v>
      </c>
      <c r="AN71" s="76">
        <f>资产资本表!AN35+资产资本表!AN36-资产资本表!AN24</f>
        <v>0</v>
      </c>
      <c r="AO71" s="76">
        <f>资产资本表!AO35+资产资本表!AO36-资产资本表!AO24</f>
        <v>0</v>
      </c>
      <c r="AP71" s="76">
        <f>资产资本表!AP35+资产资本表!AP36-资产资本表!AP24</f>
        <v>0</v>
      </c>
      <c r="AQ71" s="76">
        <f>资产资本表!AQ35+资产资本表!AQ36-资产资本表!AQ24</f>
        <v>0</v>
      </c>
      <c r="AR71" s="76">
        <f>资产资本表!AR35+资产资本表!AR36-资产资本表!AR24</f>
        <v>0</v>
      </c>
      <c r="AS71" s="76">
        <f>资产资本表!AS35+资产资本表!AS36-资产资本表!AS24</f>
        <v>0</v>
      </c>
      <c r="AT71" s="76">
        <f>资产资本表!AT35+资产资本表!AT36-资产资本表!AT24</f>
        <v>0</v>
      </c>
      <c r="AU71" s="76">
        <f>资产资本表!AU35+资产资本表!AU36-资产资本表!AU24</f>
        <v>0</v>
      </c>
      <c r="AV71" s="76">
        <f>资产资本表!AV35+资产资本表!AV36-资产资本表!AV24</f>
        <v>0</v>
      </c>
      <c r="AW71" s="76">
        <f>资产资本表!AW35+资产资本表!AW36-资产资本表!AW24</f>
        <v>0</v>
      </c>
      <c r="AX71" s="76">
        <f>资产资本表!AX35+资产资本表!AX36-资产资本表!AX24</f>
        <v>0</v>
      </c>
      <c r="AY71" s="76">
        <f>资产资本表!AY35+资产资本表!AY36-资产资本表!AY24</f>
        <v>0</v>
      </c>
      <c r="AZ71" s="76">
        <f>资产资本表!AZ35+资产资本表!AZ36-资产资本表!AZ24</f>
        <v>0</v>
      </c>
      <c r="BA71" s="76">
        <f>资产资本表!BA35+资产资本表!BA36-资产资本表!BA24</f>
        <v>0</v>
      </c>
      <c r="BB71" s="76">
        <f>资产资本表!BB35+资产资本表!BB36-资产资本表!BB24</f>
        <v>0</v>
      </c>
      <c r="BC71" s="76">
        <f>资产资本表!BC35+资产资本表!BC36-资产资本表!BC24</f>
        <v>0</v>
      </c>
      <c r="BD71" s="76">
        <f>资产资本表!BD35+资产资本表!BD36-资产资本表!BD24</f>
        <v>0</v>
      </c>
      <c r="BE71" s="76">
        <f>资产资本表!BE35+资产资本表!BE36-资产资本表!BE24</f>
        <v>0</v>
      </c>
      <c r="BF71" s="76">
        <f>资产资本表!BF35+资产资本表!BF36-资产资本表!BF24</f>
        <v>0</v>
      </c>
      <c r="BG71" s="76">
        <f>资产资本表!BG35+资产资本表!BG36-资产资本表!BG24</f>
        <v>0</v>
      </c>
      <c r="BH71" s="76">
        <f>资产资本表!BH35+资产资本表!BH36-资产资本表!BH24</f>
        <v>0</v>
      </c>
      <c r="BI71" s="76">
        <f>资产资本表!BI35+资产资本表!BI36-资产资本表!BI24</f>
        <v>0</v>
      </c>
      <c r="BJ71" s="76">
        <f>资产资本表!BJ35+资产资本表!BJ36-资产资本表!BJ24</f>
        <v>0</v>
      </c>
      <c r="BK71" s="76">
        <f>资产资本表!BK35+资产资本表!BK36-资产资本表!BK24</f>
        <v>0</v>
      </c>
      <c r="BL71" s="76">
        <f>资产资本表!BL35+资产资本表!BL36-资产资本表!BL24</f>
        <v>0</v>
      </c>
      <c r="BM71" s="76">
        <f>资产资本表!BM35+资产资本表!BM36-资产资本表!BM24</f>
        <v>0</v>
      </c>
      <c r="BN71" s="76">
        <f>资产资本表!BN35+资产资本表!BN36-资产资本表!BN24</f>
        <v>0</v>
      </c>
      <c r="BO71" s="76">
        <f>资产资本表!BO35+资产资本表!BO36-资产资本表!BO24</f>
        <v>0</v>
      </c>
      <c r="BP71" s="76">
        <f>资产资本表!BP35+资产资本表!BP36-资产资本表!BP24</f>
        <v>0</v>
      </c>
      <c r="BQ71" s="76">
        <f>资产资本表!BQ35+资产资本表!BQ36-资产资本表!BQ24</f>
        <v>0</v>
      </c>
      <c r="BR71" s="76">
        <f>资产资本表!BR35+资产资本表!BR36-资产资本表!BR24</f>
        <v>0</v>
      </c>
      <c r="BS71" s="76">
        <f>资产资本表!BS35+资产资本表!BS36-资产资本表!BS24</f>
        <v>0</v>
      </c>
      <c r="BT71" s="76">
        <f>资产资本表!BT35+资产资本表!BT36-资产资本表!BT24</f>
        <v>0</v>
      </c>
      <c r="BU71" s="76">
        <f>资产资本表!BU35+资产资本表!BU36-资产资本表!BU24</f>
        <v>0</v>
      </c>
      <c r="BV71" s="76">
        <f>资产资本表!BV35+资产资本表!BV36-资产资本表!BV24</f>
        <v>0</v>
      </c>
      <c r="BW71" s="76">
        <f>资产资本表!BW35+资产资本表!BW36-资产资本表!BW24</f>
        <v>0</v>
      </c>
      <c r="BX71" s="76">
        <f>资产资本表!BX35+资产资本表!BX36-资产资本表!BX24</f>
        <v>0</v>
      </c>
      <c r="BY71" s="76">
        <f>资产资本表!BY35+资产资本表!BY36-资产资本表!BY24</f>
        <v>0</v>
      </c>
      <c r="BZ71" s="76">
        <f>资产资本表!BZ35+资产资本表!BZ36-资产资本表!BZ24</f>
        <v>0</v>
      </c>
      <c r="CA71" s="76">
        <f>资产资本表!CA35+资产资本表!CA36-资产资本表!CA24</f>
        <v>0</v>
      </c>
      <c r="CB71" s="76">
        <f>资产资本表!CB35+资产资本表!CB36-资产资本表!CB24</f>
        <v>0</v>
      </c>
      <c r="CC71" s="76">
        <f>资产资本表!CC35+资产资本表!CC36-资产资本表!CC24</f>
        <v>0</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5" customFormat="1" x14ac:dyDescent="0.25">
      <c r="A72" s="154" t="s">
        <v>481</v>
      </c>
      <c r="E72" s="155">
        <f>E67/(E71+I71)*2</f>
        <v>2.6127142361867617</v>
      </c>
      <c r="F72" s="155">
        <f t="shared" ref="F72:BQ72" si="36">F67/(F71+J71)*2</f>
        <v>2.1025728770291083</v>
      </c>
      <c r="G72" s="155">
        <f t="shared" si="36"/>
        <v>1.4990044966389535</v>
      </c>
      <c r="H72" s="155">
        <f t="shared" si="36"/>
        <v>0.85195976939970364</v>
      </c>
      <c r="I72" s="155">
        <f t="shared" si="36"/>
        <v>2.7521156017064059</v>
      </c>
      <c r="J72" s="155">
        <f t="shared" si="36"/>
        <v>2.1828023978218969</v>
      </c>
      <c r="K72" s="155">
        <f t="shared" si="36"/>
        <v>1.7221302944361412</v>
      </c>
      <c r="L72" s="155">
        <f t="shared" si="36"/>
        <v>0.91567566957254365</v>
      </c>
      <c r="M72" s="155">
        <f t="shared" si="36"/>
        <v>3.1954985621274878</v>
      </c>
      <c r="N72" s="155">
        <f t="shared" si="36"/>
        <v>3.4110661978201056</v>
      </c>
      <c r="O72" s="155">
        <f t="shared" si="36"/>
        <v>2.4848044440722186</v>
      </c>
      <c r="P72" s="155">
        <f t="shared" si="36"/>
        <v>1.2752003263971725</v>
      </c>
      <c r="Q72" s="155">
        <f t="shared" si="36"/>
        <v>3.8007375375690433</v>
      </c>
      <c r="R72" s="155">
        <f t="shared" si="36"/>
        <v>3.4247883085269728</v>
      </c>
      <c r="S72" s="155">
        <f t="shared" si="36"/>
        <v>2.2842814903824205</v>
      </c>
      <c r="T72" s="155">
        <f t="shared" si="36"/>
        <v>1.4858025673108068</v>
      </c>
      <c r="U72" s="155">
        <f t="shared" si="36"/>
        <v>4.4934327099898459</v>
      </c>
      <c r="V72" s="155">
        <f t="shared" si="36"/>
        <v>4.319305780270037</v>
      </c>
      <c r="W72" s="155">
        <f t="shared" si="36"/>
        <v>3.1197283349310823</v>
      </c>
      <c r="X72" s="155">
        <f t="shared" si="36"/>
        <v>1.8840608297422357</v>
      </c>
      <c r="Y72" s="155">
        <f t="shared" si="36"/>
        <v>4.5266009450295863</v>
      </c>
      <c r="Z72" s="155">
        <f t="shared" si="36"/>
        <v>6.6747990610070271</v>
      </c>
      <c r="AA72" s="155">
        <f t="shared" si="36"/>
        <v>3.4386069213704884</v>
      </c>
      <c r="AB72" s="155">
        <f t="shared" si="36"/>
        <v>2.0976232102846875</v>
      </c>
      <c r="AC72" s="155">
        <f t="shared" si="36"/>
        <v>5.2505762004032377</v>
      </c>
      <c r="AD72" s="155">
        <f t="shared" si="36"/>
        <v>5.5766895221766175</v>
      </c>
      <c r="AE72" s="155">
        <f t="shared" si="36"/>
        <v>2.7290734448029172</v>
      </c>
      <c r="AF72" s="155">
        <f t="shared" si="36"/>
        <v>1.7497310342645394</v>
      </c>
      <c r="AG72" s="155">
        <f t="shared" si="36"/>
        <v>4.5228616736364415</v>
      </c>
      <c r="AH72" s="155">
        <f t="shared" si="36"/>
        <v>5.0272286178338597</v>
      </c>
      <c r="AI72" s="155">
        <f t="shared" si="36"/>
        <v>2.6432848367349187</v>
      </c>
      <c r="AJ72" s="155">
        <f t="shared" si="36"/>
        <v>2.8261353789149966</v>
      </c>
      <c r="AK72" s="155">
        <f t="shared" si="36"/>
        <v>5.1013554714228313</v>
      </c>
      <c r="AL72" s="155">
        <f t="shared" si="36"/>
        <v>5.7377485203016603</v>
      </c>
      <c r="AM72" s="155">
        <f t="shared" si="36"/>
        <v>5.1715123277167567</v>
      </c>
      <c r="AN72" s="155" t="e">
        <f t="shared" si="36"/>
        <v>#DIV/0!</v>
      </c>
      <c r="AO72" s="155" t="e">
        <f t="shared" si="36"/>
        <v>#DIV/0!</v>
      </c>
      <c r="AP72" s="155" t="e">
        <f t="shared" si="36"/>
        <v>#DIV/0!</v>
      </c>
      <c r="AQ72" s="155" t="e">
        <f t="shared" si="36"/>
        <v>#DIV/0!</v>
      </c>
      <c r="AR72" s="155" t="e">
        <f t="shared" si="36"/>
        <v>#DIV/0!</v>
      </c>
      <c r="AS72" s="155" t="e">
        <f t="shared" si="36"/>
        <v>#DIV/0!</v>
      </c>
      <c r="AT72" s="155" t="e">
        <f t="shared" si="36"/>
        <v>#DIV/0!</v>
      </c>
      <c r="AU72" s="155" t="e">
        <f t="shared" si="36"/>
        <v>#DIV/0!</v>
      </c>
      <c r="AV72" s="155" t="e">
        <f t="shared" si="36"/>
        <v>#DIV/0!</v>
      </c>
      <c r="AW72" s="155" t="e">
        <f t="shared" si="36"/>
        <v>#DIV/0!</v>
      </c>
      <c r="AX72" s="155" t="e">
        <f t="shared" si="36"/>
        <v>#DIV/0!</v>
      </c>
      <c r="AY72" s="155" t="e">
        <f t="shared" si="36"/>
        <v>#DIV/0!</v>
      </c>
      <c r="AZ72" s="155" t="e">
        <f t="shared" si="36"/>
        <v>#DIV/0!</v>
      </c>
      <c r="BA72" s="155" t="e">
        <f t="shared" si="36"/>
        <v>#DIV/0!</v>
      </c>
      <c r="BB72" s="155" t="e">
        <f t="shared" si="36"/>
        <v>#DIV/0!</v>
      </c>
      <c r="BC72" s="155" t="e">
        <f t="shared" si="36"/>
        <v>#DIV/0!</v>
      </c>
      <c r="BD72" s="155" t="e">
        <f t="shared" si="36"/>
        <v>#DIV/0!</v>
      </c>
      <c r="BE72" s="155" t="e">
        <f t="shared" si="36"/>
        <v>#DIV/0!</v>
      </c>
      <c r="BF72" s="155" t="e">
        <f t="shared" si="36"/>
        <v>#DIV/0!</v>
      </c>
      <c r="BG72" s="155" t="e">
        <f t="shared" si="36"/>
        <v>#DIV/0!</v>
      </c>
      <c r="BH72" s="155" t="e">
        <f t="shared" si="36"/>
        <v>#DIV/0!</v>
      </c>
      <c r="BI72" s="155" t="e">
        <f t="shared" si="36"/>
        <v>#DIV/0!</v>
      </c>
      <c r="BJ72" s="155" t="e">
        <f t="shared" si="36"/>
        <v>#DIV/0!</v>
      </c>
      <c r="BK72" s="155" t="e">
        <f t="shared" si="36"/>
        <v>#DIV/0!</v>
      </c>
      <c r="BL72" s="155" t="e">
        <f t="shared" si="36"/>
        <v>#DIV/0!</v>
      </c>
      <c r="BM72" s="155" t="e">
        <f t="shared" si="36"/>
        <v>#DIV/0!</v>
      </c>
      <c r="BN72" s="155" t="e">
        <f t="shared" si="36"/>
        <v>#DIV/0!</v>
      </c>
      <c r="BO72" s="155" t="e">
        <f t="shared" si="36"/>
        <v>#DIV/0!</v>
      </c>
      <c r="BP72" s="155" t="e">
        <f t="shared" si="36"/>
        <v>#DIV/0!</v>
      </c>
      <c r="BQ72" s="155" t="e">
        <f t="shared" si="36"/>
        <v>#DIV/0!</v>
      </c>
      <c r="BR72" s="155" t="e">
        <f t="shared" ref="BR72:CJ72" si="37">BR67/(BR71+BV71)*2</f>
        <v>#DIV/0!</v>
      </c>
      <c r="BS72" s="155" t="e">
        <f t="shared" si="37"/>
        <v>#DIV/0!</v>
      </c>
      <c r="BT72" s="155" t="e">
        <f t="shared" si="37"/>
        <v>#DIV/0!</v>
      </c>
      <c r="BU72" s="155" t="e">
        <f t="shared" si="37"/>
        <v>#DIV/0!</v>
      </c>
      <c r="BV72" s="155" t="e">
        <f t="shared" si="37"/>
        <v>#DIV/0!</v>
      </c>
      <c r="BW72" s="155" t="e">
        <f t="shared" si="37"/>
        <v>#DIV/0!</v>
      </c>
      <c r="BX72" s="155" t="e">
        <f t="shared" si="37"/>
        <v>#DIV/0!</v>
      </c>
      <c r="BY72" s="155" t="e">
        <f t="shared" si="37"/>
        <v>#DIV/0!</v>
      </c>
      <c r="BZ72" s="155" t="e">
        <f t="shared" si="37"/>
        <v>#DIV/0!</v>
      </c>
      <c r="CA72" s="155" t="e">
        <f t="shared" si="37"/>
        <v>#DIV/0!</v>
      </c>
      <c r="CB72" s="155" t="e">
        <f t="shared" si="37"/>
        <v>#DIV/0!</v>
      </c>
      <c r="CC72" s="155" t="e">
        <f t="shared" si="37"/>
        <v>#DIV/0!</v>
      </c>
      <c r="CD72" s="155" t="e">
        <f t="shared" si="37"/>
        <v>#DIV/0!</v>
      </c>
      <c r="CE72" s="155" t="e">
        <f t="shared" si="37"/>
        <v>#DIV/0!</v>
      </c>
      <c r="CF72" s="155" t="e">
        <f t="shared" si="37"/>
        <v>#DIV/0!</v>
      </c>
      <c r="CG72" s="155" t="e">
        <f t="shared" si="37"/>
        <v>#DIV/0!</v>
      </c>
      <c r="CH72" s="155" t="e">
        <f t="shared" si="37"/>
        <v>#DIV/0!</v>
      </c>
      <c r="CI72" s="155" t="e">
        <f t="shared" si="37"/>
        <v>#DIV/0!</v>
      </c>
      <c r="CJ72" s="155" t="e">
        <f t="shared" si="37"/>
        <v>#DIV/0!</v>
      </c>
    </row>
    <row r="73" spans="1:89" s="83" customFormat="1" x14ac:dyDescent="0.25">
      <c r="A73" s="148" t="s">
        <v>482</v>
      </c>
      <c r="E73" s="83">
        <f>E62/E72</f>
        <v>139.70146254215501</v>
      </c>
      <c r="F73" s="83">
        <f t="shared" ref="F73:BQ73" si="38">F62/F72</f>
        <v>173.59683651761807</v>
      </c>
      <c r="G73" s="83">
        <f t="shared" si="38"/>
        <v>243.49493334969827</v>
      </c>
      <c r="H73" s="83">
        <f t="shared" si="38"/>
        <v>428.42398562690511</v>
      </c>
      <c r="I73" s="83">
        <f t="shared" si="38"/>
        <v>132.62524283997647</v>
      </c>
      <c r="J73" s="83">
        <f t="shared" si="38"/>
        <v>167.21623558972365</v>
      </c>
      <c r="K73" s="83">
        <f t="shared" si="38"/>
        <v>211.94679704505637</v>
      </c>
      <c r="L73" s="83">
        <f t="shared" si="38"/>
        <v>398.61275354229906</v>
      </c>
      <c r="M73" s="83">
        <f t="shared" si="38"/>
        <v>114.22317766808557</v>
      </c>
      <c r="N73" s="83">
        <f t="shared" si="38"/>
        <v>107.00466623405282</v>
      </c>
      <c r="O73" s="83">
        <f t="shared" si="38"/>
        <v>146.89284739116943</v>
      </c>
      <c r="P73" s="83">
        <f t="shared" si="38"/>
        <v>286.22953777877052</v>
      </c>
      <c r="Q73" s="83">
        <f t="shared" si="38"/>
        <v>96.033992453331692</v>
      </c>
      <c r="R73" s="83">
        <f t="shared" si="38"/>
        <v>106.57593028194763</v>
      </c>
      <c r="S73" s="83">
        <f t="shared" si="38"/>
        <v>159.78766256994621</v>
      </c>
      <c r="T73" s="83">
        <f t="shared" si="38"/>
        <v>245.65847982119394</v>
      </c>
      <c r="U73" s="83">
        <f t="shared" si="38"/>
        <v>81.229657492929235</v>
      </c>
      <c r="V73" s="83">
        <f t="shared" si="38"/>
        <v>84.50432050151835</v>
      </c>
      <c r="W73" s="83">
        <f t="shared" si="38"/>
        <v>116.99736669797667</v>
      </c>
      <c r="X73" s="83">
        <f t="shared" si="38"/>
        <v>193.7304752787291</v>
      </c>
      <c r="Y73" s="83">
        <f t="shared" si="38"/>
        <v>80.634454954724163</v>
      </c>
      <c r="Z73" s="83">
        <f t="shared" si="38"/>
        <v>54.683294083302705</v>
      </c>
      <c r="AA73" s="83">
        <f t="shared" si="38"/>
        <v>106.14763721074752</v>
      </c>
      <c r="AB73" s="83">
        <f t="shared" si="38"/>
        <v>174.0064651317729</v>
      </c>
      <c r="AC73" s="83">
        <f t="shared" si="38"/>
        <v>69.516179952205718</v>
      </c>
      <c r="AD73" s="83">
        <f t="shared" si="38"/>
        <v>65.451016870944287</v>
      </c>
      <c r="AE73" s="83">
        <f t="shared" si="38"/>
        <v>133.74502642832275</v>
      </c>
      <c r="AF73" s="83">
        <f t="shared" si="38"/>
        <v>208.60348982346287</v>
      </c>
      <c r="AG73" s="83">
        <f t="shared" si="38"/>
        <v>80.701119410210723</v>
      </c>
      <c r="AH73" s="83">
        <f t="shared" si="38"/>
        <v>72.604615335212628</v>
      </c>
      <c r="AI73" s="83">
        <f t="shared" si="38"/>
        <v>138.08576167329028</v>
      </c>
      <c r="AJ73" s="83">
        <f t="shared" si="38"/>
        <v>129.15163325973788</v>
      </c>
      <c r="AK73" s="83">
        <f t="shared" si="38"/>
        <v>71.549611087618828</v>
      </c>
      <c r="AL73" s="83">
        <f t="shared" si="38"/>
        <v>63.6138022969348</v>
      </c>
      <c r="AM73" s="83">
        <f t="shared" si="38"/>
        <v>70.578967402587423</v>
      </c>
      <c r="AN73" s="83" t="e">
        <f t="shared" si="38"/>
        <v>#DIV/0!</v>
      </c>
      <c r="AO73" s="83" t="e">
        <f t="shared" si="38"/>
        <v>#DIV/0!</v>
      </c>
      <c r="AP73" s="83" t="e">
        <f t="shared" si="38"/>
        <v>#DIV/0!</v>
      </c>
      <c r="AQ73" s="83" t="e">
        <f t="shared" si="38"/>
        <v>#DIV/0!</v>
      </c>
      <c r="AR73" s="83" t="e">
        <f t="shared" si="38"/>
        <v>#DIV/0!</v>
      </c>
      <c r="AS73" s="83" t="e">
        <f t="shared" si="38"/>
        <v>#DIV/0!</v>
      </c>
      <c r="AT73" s="83" t="e">
        <f t="shared" si="38"/>
        <v>#DIV/0!</v>
      </c>
      <c r="AU73" s="83" t="e">
        <f t="shared" si="38"/>
        <v>#DIV/0!</v>
      </c>
      <c r="AV73" s="83" t="e">
        <f t="shared" si="38"/>
        <v>#DIV/0!</v>
      </c>
      <c r="AW73" s="83" t="e">
        <f t="shared" si="38"/>
        <v>#DIV/0!</v>
      </c>
      <c r="AX73" s="83" t="e">
        <f t="shared" si="38"/>
        <v>#DIV/0!</v>
      </c>
      <c r="AY73" s="83" t="e">
        <f t="shared" si="38"/>
        <v>#DIV/0!</v>
      </c>
      <c r="AZ73" s="83" t="e">
        <f t="shared" si="38"/>
        <v>#DIV/0!</v>
      </c>
      <c r="BA73" s="83" t="e">
        <f t="shared" si="38"/>
        <v>#DIV/0!</v>
      </c>
      <c r="BB73" s="83" t="e">
        <f t="shared" si="38"/>
        <v>#DIV/0!</v>
      </c>
      <c r="BC73" s="83" t="e">
        <f t="shared" si="38"/>
        <v>#DIV/0!</v>
      </c>
      <c r="BD73" s="83" t="e">
        <f t="shared" si="38"/>
        <v>#DIV/0!</v>
      </c>
      <c r="BE73" s="83" t="e">
        <f t="shared" si="38"/>
        <v>#DIV/0!</v>
      </c>
      <c r="BF73" s="83" t="e">
        <f t="shared" si="38"/>
        <v>#DIV/0!</v>
      </c>
      <c r="BG73" s="83" t="e">
        <f t="shared" si="38"/>
        <v>#DIV/0!</v>
      </c>
      <c r="BH73" s="83" t="e">
        <f t="shared" si="38"/>
        <v>#DIV/0!</v>
      </c>
      <c r="BI73" s="83" t="e">
        <f t="shared" si="38"/>
        <v>#DIV/0!</v>
      </c>
      <c r="BJ73" s="83" t="e">
        <f t="shared" si="38"/>
        <v>#DIV/0!</v>
      </c>
      <c r="BK73" s="83" t="e">
        <f t="shared" si="38"/>
        <v>#DIV/0!</v>
      </c>
      <c r="BL73" s="83" t="e">
        <f t="shared" si="38"/>
        <v>#DIV/0!</v>
      </c>
      <c r="BM73" s="83" t="e">
        <f t="shared" si="38"/>
        <v>#DIV/0!</v>
      </c>
      <c r="BN73" s="83" t="e">
        <f t="shared" si="38"/>
        <v>#DIV/0!</v>
      </c>
      <c r="BO73" s="83" t="e">
        <f t="shared" si="38"/>
        <v>#DIV/0!</v>
      </c>
      <c r="BP73" s="83" t="e">
        <f t="shared" si="38"/>
        <v>#DIV/0!</v>
      </c>
      <c r="BQ73" s="83" t="e">
        <f t="shared" si="38"/>
        <v>#DIV/0!</v>
      </c>
      <c r="BR73" s="83" t="e">
        <f t="shared" ref="BR73:CJ73" si="39">BR62/BR72</f>
        <v>#DIV/0!</v>
      </c>
      <c r="BS73" s="83" t="e">
        <f t="shared" si="39"/>
        <v>#DIV/0!</v>
      </c>
      <c r="BT73" s="83" t="e">
        <f t="shared" si="39"/>
        <v>#DIV/0!</v>
      </c>
      <c r="BU73" s="83" t="e">
        <f t="shared" si="39"/>
        <v>#DIV/0!</v>
      </c>
      <c r="BV73" s="83" t="e">
        <f t="shared" si="39"/>
        <v>#DIV/0!</v>
      </c>
      <c r="BW73" s="83" t="e">
        <f t="shared" si="39"/>
        <v>#DIV/0!</v>
      </c>
      <c r="BX73" s="83" t="e">
        <f t="shared" si="39"/>
        <v>#DIV/0!</v>
      </c>
      <c r="BY73" s="83" t="e">
        <f t="shared" si="39"/>
        <v>#DIV/0!</v>
      </c>
      <c r="BZ73" s="83" t="e">
        <f t="shared" si="39"/>
        <v>#DIV/0!</v>
      </c>
      <c r="CA73" s="83" t="e">
        <f t="shared" si="39"/>
        <v>#DIV/0!</v>
      </c>
      <c r="CB73" s="83" t="e">
        <f t="shared" si="39"/>
        <v>#DIV/0!</v>
      </c>
      <c r="CC73" s="83" t="e">
        <f t="shared" si="39"/>
        <v>#DIV/0!</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256" customFormat="1" x14ac:dyDescent="0.25">
      <c r="A74" s="255" t="s">
        <v>483</v>
      </c>
      <c r="E74" s="256">
        <f>E66+E70</f>
        <v>204.86377459421573</v>
      </c>
      <c r="F74" s="256">
        <f t="shared" ref="F74:BQ74" si="40">F66+F70</f>
        <v>324.23838652110589</v>
      </c>
      <c r="G74" s="256">
        <f t="shared" si="40"/>
        <v>477.39632382756866</v>
      </c>
      <c r="H74" s="256">
        <f t="shared" si="40"/>
        <v>1008.8037970179431</v>
      </c>
      <c r="I74" s="256">
        <f t="shared" si="40"/>
        <v>204.45090650096145</v>
      </c>
      <c r="J74" s="256">
        <f t="shared" si="40"/>
        <v>308.76973510305618</v>
      </c>
      <c r="K74" s="256">
        <f t="shared" si="40"/>
        <v>450.62334684526331</v>
      </c>
      <c r="L74" s="256">
        <f t="shared" si="40"/>
        <v>997.03766948131238</v>
      </c>
      <c r="M74" s="256">
        <f t="shared" si="40"/>
        <v>180.2593442306781</v>
      </c>
      <c r="N74" s="256">
        <f t="shared" si="40"/>
        <v>262.99074406457538</v>
      </c>
      <c r="O74" s="256">
        <f t="shared" si="40"/>
        <v>397.16374975818803</v>
      </c>
      <c r="P74" s="256">
        <f t="shared" si="40"/>
        <v>824.49104748210118</v>
      </c>
      <c r="Q74" s="256">
        <f t="shared" si="40"/>
        <v>166.50115186359307</v>
      </c>
      <c r="R74" s="256">
        <f t="shared" si="40"/>
        <v>273.53725504730562</v>
      </c>
      <c r="S74" s="256">
        <f t="shared" si="40"/>
        <v>401.41700559707363</v>
      </c>
      <c r="T74" s="256">
        <f t="shared" si="40"/>
        <v>803.97403826304185</v>
      </c>
      <c r="U74" s="256">
        <f t="shared" si="40"/>
        <v>164.5908090536154</v>
      </c>
      <c r="V74" s="256">
        <f t="shared" si="40"/>
        <v>262.01372682088618</v>
      </c>
      <c r="W74" s="256">
        <f t="shared" si="40"/>
        <v>371.54784142206461</v>
      </c>
      <c r="X74" s="256">
        <f t="shared" si="40"/>
        <v>766.5418843822697</v>
      </c>
      <c r="Y74" s="256">
        <f t="shared" si="40"/>
        <v>156.90085343633478</v>
      </c>
      <c r="Z74" s="256">
        <f t="shared" si="40"/>
        <v>244.01459416081877</v>
      </c>
      <c r="AA74" s="256">
        <f t="shared" si="40"/>
        <v>359.63657662407275</v>
      </c>
      <c r="AB74" s="256">
        <f t="shared" si="40"/>
        <v>686.43808552798419</v>
      </c>
      <c r="AC74" s="256">
        <f t="shared" si="40"/>
        <v>152.03085616407591</v>
      </c>
      <c r="AD74" s="256">
        <f t="shared" si="40"/>
        <v>264.71839766385659</v>
      </c>
      <c r="AE74" s="256">
        <f t="shared" si="40"/>
        <v>377.00631132697333</v>
      </c>
      <c r="AF74" s="256">
        <f t="shared" si="40"/>
        <v>673.91377265960966</v>
      </c>
      <c r="AG74" s="256">
        <f t="shared" si="40"/>
        <v>146.7503762288471</v>
      </c>
      <c r="AH74" s="256">
        <f t="shared" si="40"/>
        <v>208.12267846114301</v>
      </c>
      <c r="AI74" s="256">
        <f t="shared" si="40"/>
        <v>314.48961319159071</v>
      </c>
      <c r="AJ74" s="256">
        <f t="shared" si="40"/>
        <v>381.51455023071401</v>
      </c>
      <c r="AK74" s="256">
        <f t="shared" si="40"/>
        <v>92.301216681815362</v>
      </c>
      <c r="AL74" s="256">
        <f t="shared" si="40"/>
        <v>79.285806057785237</v>
      </c>
      <c r="AM74" s="256">
        <f t="shared" si="40"/>
        <v>128.57949807088386</v>
      </c>
      <c r="AN74" s="256" t="e">
        <f t="shared" si="40"/>
        <v>#DIV/0!</v>
      </c>
      <c r="AO74" s="256" t="e">
        <f t="shared" si="40"/>
        <v>#DIV/0!</v>
      </c>
      <c r="AP74" s="256" t="e">
        <f t="shared" si="40"/>
        <v>#DIV/0!</v>
      </c>
      <c r="AQ74" s="256" t="e">
        <f t="shared" si="40"/>
        <v>#DIV/0!</v>
      </c>
      <c r="AR74" s="256" t="e">
        <f t="shared" si="40"/>
        <v>#DIV/0!</v>
      </c>
      <c r="AS74" s="256" t="e">
        <f t="shared" si="40"/>
        <v>#DIV/0!</v>
      </c>
      <c r="AT74" s="256" t="e">
        <f t="shared" si="40"/>
        <v>#DIV/0!</v>
      </c>
      <c r="AU74" s="256" t="e">
        <f t="shared" si="40"/>
        <v>#DIV/0!</v>
      </c>
      <c r="AV74" s="256" t="e">
        <f t="shared" si="40"/>
        <v>#DIV/0!</v>
      </c>
      <c r="AW74" s="256" t="e">
        <f t="shared" si="40"/>
        <v>#DIV/0!</v>
      </c>
      <c r="AX74" s="256" t="e">
        <f t="shared" si="40"/>
        <v>#DIV/0!</v>
      </c>
      <c r="AY74" s="256" t="e">
        <f t="shared" si="40"/>
        <v>#DIV/0!</v>
      </c>
      <c r="AZ74" s="256" t="e">
        <f t="shared" si="40"/>
        <v>#DIV/0!</v>
      </c>
      <c r="BA74" s="256" t="e">
        <f t="shared" si="40"/>
        <v>#DIV/0!</v>
      </c>
      <c r="BB74" s="256" t="e">
        <f t="shared" si="40"/>
        <v>#DIV/0!</v>
      </c>
      <c r="BC74" s="256" t="e">
        <f t="shared" si="40"/>
        <v>#DIV/0!</v>
      </c>
      <c r="BD74" s="256" t="e">
        <f t="shared" si="40"/>
        <v>#DIV/0!</v>
      </c>
      <c r="BE74" s="256" t="e">
        <f t="shared" si="40"/>
        <v>#DIV/0!</v>
      </c>
      <c r="BF74" s="256" t="e">
        <f t="shared" si="40"/>
        <v>#DIV/0!</v>
      </c>
      <c r="BG74" s="256" t="e">
        <f t="shared" si="40"/>
        <v>#DIV/0!</v>
      </c>
      <c r="BH74" s="256" t="e">
        <f t="shared" si="40"/>
        <v>#DIV/0!</v>
      </c>
      <c r="BI74" s="256" t="e">
        <f t="shared" si="40"/>
        <v>#DIV/0!</v>
      </c>
      <c r="BJ74" s="256" t="e">
        <f t="shared" si="40"/>
        <v>#DIV/0!</v>
      </c>
      <c r="BK74" s="256" t="e">
        <f t="shared" si="40"/>
        <v>#DIV/0!</v>
      </c>
      <c r="BL74" s="256" t="e">
        <f t="shared" si="40"/>
        <v>#DIV/0!</v>
      </c>
      <c r="BM74" s="256" t="e">
        <f t="shared" si="40"/>
        <v>#DIV/0!</v>
      </c>
      <c r="BN74" s="256" t="e">
        <f t="shared" si="40"/>
        <v>#DIV/0!</v>
      </c>
      <c r="BO74" s="256" t="e">
        <f t="shared" si="40"/>
        <v>#DIV/0!</v>
      </c>
      <c r="BP74" s="256" t="e">
        <f t="shared" si="40"/>
        <v>#DIV/0!</v>
      </c>
      <c r="BQ74" s="256" t="e">
        <f t="shared" si="40"/>
        <v>#DIV/0!</v>
      </c>
      <c r="BR74" s="256" t="e">
        <f t="shared" ref="BR74:CK74" si="41">BR66+BR70</f>
        <v>#DIV/0!</v>
      </c>
      <c r="BS74" s="256" t="e">
        <f t="shared" si="41"/>
        <v>#DIV/0!</v>
      </c>
      <c r="BT74" s="256" t="e">
        <f t="shared" si="41"/>
        <v>#DIV/0!</v>
      </c>
      <c r="BU74" s="256" t="e">
        <f t="shared" si="41"/>
        <v>#DIV/0!</v>
      </c>
      <c r="BV74" s="256" t="e">
        <f t="shared" si="41"/>
        <v>#DIV/0!</v>
      </c>
      <c r="BW74" s="256" t="e">
        <f t="shared" si="41"/>
        <v>#DIV/0!</v>
      </c>
      <c r="BX74" s="256" t="e">
        <f t="shared" si="41"/>
        <v>#DIV/0!</v>
      </c>
      <c r="BY74" s="256" t="e">
        <f t="shared" si="41"/>
        <v>#DIV/0!</v>
      </c>
      <c r="BZ74" s="256" t="e">
        <f t="shared" si="41"/>
        <v>#DIV/0!</v>
      </c>
      <c r="CA74" s="256" t="e">
        <f t="shared" si="41"/>
        <v>#DIV/0!</v>
      </c>
      <c r="CB74" s="256" t="e">
        <f t="shared" si="41"/>
        <v>#DIV/0!</v>
      </c>
      <c r="CC74" s="256" t="e">
        <f t="shared" si="41"/>
        <v>#DIV/0!</v>
      </c>
      <c r="CD74" s="256" t="e">
        <f t="shared" si="41"/>
        <v>#DIV/0!</v>
      </c>
      <c r="CE74" s="256" t="e">
        <f t="shared" si="41"/>
        <v>#DIV/0!</v>
      </c>
      <c r="CF74" s="256" t="e">
        <f t="shared" si="41"/>
        <v>#DIV/0!</v>
      </c>
      <c r="CG74" s="256" t="e">
        <f t="shared" si="41"/>
        <v>#DIV/0!</v>
      </c>
      <c r="CH74" s="256" t="e">
        <f t="shared" si="41"/>
        <v>#DIV/0!</v>
      </c>
      <c r="CI74" s="256" t="e">
        <f t="shared" si="41"/>
        <v>#DIV/0!</v>
      </c>
      <c r="CJ74" s="256" t="e">
        <f t="shared" si="41"/>
        <v>#DIV/0!</v>
      </c>
      <c r="CK74" s="256">
        <f t="shared" si="41"/>
        <v>0</v>
      </c>
    </row>
    <row r="75" spans="1:89" s="256" customFormat="1" x14ac:dyDescent="0.25">
      <c r="A75" s="255" t="s">
        <v>484</v>
      </c>
      <c r="E75" s="256">
        <f>E74-E73</f>
        <v>65.162312052060713</v>
      </c>
      <c r="F75" s="256">
        <f t="shared" ref="F75:BQ75" si="42">F74-F73</f>
        <v>150.64155000348782</v>
      </c>
      <c r="G75" s="256">
        <f t="shared" si="42"/>
        <v>233.90139047787039</v>
      </c>
      <c r="H75" s="256">
        <f t="shared" si="42"/>
        <v>580.37981139103795</v>
      </c>
      <c r="I75" s="256">
        <f t="shared" si="42"/>
        <v>71.825663660984986</v>
      </c>
      <c r="J75" s="256">
        <f t="shared" si="42"/>
        <v>141.55349951333253</v>
      </c>
      <c r="K75" s="256">
        <f t="shared" si="42"/>
        <v>238.67654980020694</v>
      </c>
      <c r="L75" s="256">
        <f t="shared" si="42"/>
        <v>598.42491593901332</v>
      </c>
      <c r="M75" s="256">
        <f t="shared" si="42"/>
        <v>66.036166562592527</v>
      </c>
      <c r="N75" s="256">
        <f t="shared" si="42"/>
        <v>155.98607783052256</v>
      </c>
      <c r="O75" s="256">
        <f t="shared" si="42"/>
        <v>250.27090236701861</v>
      </c>
      <c r="P75" s="256">
        <f t="shared" si="42"/>
        <v>538.2615097033306</v>
      </c>
      <c r="Q75" s="256">
        <f t="shared" si="42"/>
        <v>70.467159410261374</v>
      </c>
      <c r="R75" s="256">
        <f t="shared" si="42"/>
        <v>166.96132476535797</v>
      </c>
      <c r="S75" s="256">
        <f t="shared" si="42"/>
        <v>241.62934302712742</v>
      </c>
      <c r="T75" s="256">
        <f t="shared" si="42"/>
        <v>558.31555844184788</v>
      </c>
      <c r="U75" s="256">
        <f t="shared" si="42"/>
        <v>83.361151560686167</v>
      </c>
      <c r="V75" s="256">
        <f t="shared" si="42"/>
        <v>177.50940631936783</v>
      </c>
      <c r="W75" s="256">
        <f t="shared" si="42"/>
        <v>254.55047472408793</v>
      </c>
      <c r="X75" s="256">
        <f t="shared" si="42"/>
        <v>572.81140910354065</v>
      </c>
      <c r="Y75" s="256">
        <f t="shared" si="42"/>
        <v>76.266398481610622</v>
      </c>
      <c r="Z75" s="256">
        <f t="shared" si="42"/>
        <v>189.33130007751606</v>
      </c>
      <c r="AA75" s="256">
        <f t="shared" si="42"/>
        <v>253.48893941332523</v>
      </c>
      <c r="AB75" s="256">
        <f t="shared" si="42"/>
        <v>512.43162039621131</v>
      </c>
      <c r="AC75" s="256">
        <f t="shared" si="42"/>
        <v>82.514676211870196</v>
      </c>
      <c r="AD75" s="256">
        <f t="shared" si="42"/>
        <v>199.26738079291232</v>
      </c>
      <c r="AE75" s="256">
        <f t="shared" si="42"/>
        <v>243.26128489865059</v>
      </c>
      <c r="AF75" s="256">
        <f t="shared" si="42"/>
        <v>465.31028283614683</v>
      </c>
      <c r="AG75" s="256">
        <f t="shared" si="42"/>
        <v>66.04925681863638</v>
      </c>
      <c r="AH75" s="256">
        <f t="shared" si="42"/>
        <v>135.51806312593038</v>
      </c>
      <c r="AI75" s="256">
        <f t="shared" si="42"/>
        <v>176.40385151830043</v>
      </c>
      <c r="AJ75" s="256">
        <f t="shared" si="42"/>
        <v>252.36291697097613</v>
      </c>
      <c r="AK75" s="256">
        <f t="shared" si="42"/>
        <v>20.751605594196533</v>
      </c>
      <c r="AL75" s="256">
        <f t="shared" si="42"/>
        <v>15.672003760850437</v>
      </c>
      <c r="AM75" s="256">
        <f t="shared" si="42"/>
        <v>58.000530668296435</v>
      </c>
      <c r="AN75" s="256" t="e">
        <f t="shared" si="42"/>
        <v>#DIV/0!</v>
      </c>
      <c r="AO75" s="256" t="e">
        <f t="shared" si="42"/>
        <v>#DIV/0!</v>
      </c>
      <c r="AP75" s="256" t="e">
        <f t="shared" si="42"/>
        <v>#DIV/0!</v>
      </c>
      <c r="AQ75" s="256" t="e">
        <f t="shared" si="42"/>
        <v>#DIV/0!</v>
      </c>
      <c r="AR75" s="256" t="e">
        <f t="shared" si="42"/>
        <v>#DIV/0!</v>
      </c>
      <c r="AS75" s="256" t="e">
        <f t="shared" si="42"/>
        <v>#DIV/0!</v>
      </c>
      <c r="AT75" s="256" t="e">
        <f t="shared" si="42"/>
        <v>#DIV/0!</v>
      </c>
      <c r="AU75" s="256" t="e">
        <f t="shared" si="42"/>
        <v>#DIV/0!</v>
      </c>
      <c r="AV75" s="256" t="e">
        <f t="shared" si="42"/>
        <v>#DIV/0!</v>
      </c>
      <c r="AW75" s="256" t="e">
        <f t="shared" si="42"/>
        <v>#DIV/0!</v>
      </c>
      <c r="AX75" s="256" t="e">
        <f t="shared" si="42"/>
        <v>#DIV/0!</v>
      </c>
      <c r="AY75" s="256" t="e">
        <f t="shared" si="42"/>
        <v>#DIV/0!</v>
      </c>
      <c r="AZ75" s="256" t="e">
        <f t="shared" si="42"/>
        <v>#DIV/0!</v>
      </c>
      <c r="BA75" s="256" t="e">
        <f t="shared" si="42"/>
        <v>#DIV/0!</v>
      </c>
      <c r="BB75" s="256" t="e">
        <f t="shared" si="42"/>
        <v>#DIV/0!</v>
      </c>
      <c r="BC75" s="256" t="e">
        <f t="shared" si="42"/>
        <v>#DIV/0!</v>
      </c>
      <c r="BD75" s="256" t="e">
        <f t="shared" si="42"/>
        <v>#DIV/0!</v>
      </c>
      <c r="BE75" s="256" t="e">
        <f t="shared" si="42"/>
        <v>#DIV/0!</v>
      </c>
      <c r="BF75" s="256" t="e">
        <f t="shared" si="42"/>
        <v>#DIV/0!</v>
      </c>
      <c r="BG75" s="256" t="e">
        <f t="shared" si="42"/>
        <v>#DIV/0!</v>
      </c>
      <c r="BH75" s="256" t="e">
        <f t="shared" si="42"/>
        <v>#DIV/0!</v>
      </c>
      <c r="BI75" s="256" t="e">
        <f t="shared" si="42"/>
        <v>#DIV/0!</v>
      </c>
      <c r="BJ75" s="256" t="e">
        <f t="shared" si="42"/>
        <v>#DIV/0!</v>
      </c>
      <c r="BK75" s="256" t="e">
        <f t="shared" si="42"/>
        <v>#DIV/0!</v>
      </c>
      <c r="BL75" s="256" t="e">
        <f t="shared" si="42"/>
        <v>#DIV/0!</v>
      </c>
      <c r="BM75" s="256" t="e">
        <f t="shared" si="42"/>
        <v>#DIV/0!</v>
      </c>
      <c r="BN75" s="256" t="e">
        <f t="shared" si="42"/>
        <v>#DIV/0!</v>
      </c>
      <c r="BO75" s="256" t="e">
        <f t="shared" si="42"/>
        <v>#DIV/0!</v>
      </c>
      <c r="BP75" s="256" t="e">
        <f t="shared" si="42"/>
        <v>#DIV/0!</v>
      </c>
      <c r="BQ75" s="256" t="e">
        <f t="shared" si="42"/>
        <v>#DIV/0!</v>
      </c>
      <c r="BR75" s="256" t="e">
        <f t="shared" ref="BR75:CJ75" si="43">BR74-BR73</f>
        <v>#DIV/0!</v>
      </c>
      <c r="BS75" s="256" t="e">
        <f t="shared" si="43"/>
        <v>#DIV/0!</v>
      </c>
      <c r="BT75" s="256" t="e">
        <f t="shared" si="43"/>
        <v>#DIV/0!</v>
      </c>
      <c r="BU75" s="256" t="e">
        <f t="shared" si="43"/>
        <v>#DIV/0!</v>
      </c>
      <c r="BV75" s="256" t="e">
        <f t="shared" si="43"/>
        <v>#DIV/0!</v>
      </c>
      <c r="BW75" s="256" t="e">
        <f t="shared" si="43"/>
        <v>#DIV/0!</v>
      </c>
      <c r="BX75" s="256" t="e">
        <f t="shared" si="43"/>
        <v>#DIV/0!</v>
      </c>
      <c r="BY75" s="256" t="e">
        <f t="shared" si="43"/>
        <v>#DIV/0!</v>
      </c>
      <c r="BZ75" s="256" t="e">
        <f t="shared" si="43"/>
        <v>#DIV/0!</v>
      </c>
      <c r="CA75" s="256" t="e">
        <f t="shared" si="43"/>
        <v>#DIV/0!</v>
      </c>
      <c r="CB75" s="256" t="e">
        <f t="shared" si="43"/>
        <v>#DIV/0!</v>
      </c>
      <c r="CC75" s="256" t="e">
        <f t="shared" si="43"/>
        <v>#DIV/0!</v>
      </c>
      <c r="CD75" s="256" t="e">
        <f t="shared" si="43"/>
        <v>#DIV/0!</v>
      </c>
      <c r="CE75" s="256" t="e">
        <f t="shared" si="43"/>
        <v>#DIV/0!</v>
      </c>
      <c r="CF75" s="256" t="e">
        <f t="shared" si="43"/>
        <v>#DIV/0!</v>
      </c>
      <c r="CG75" s="256" t="e">
        <f t="shared" si="43"/>
        <v>#DIV/0!</v>
      </c>
      <c r="CH75" s="256" t="e">
        <f t="shared" si="43"/>
        <v>#DIV/0!</v>
      </c>
      <c r="CI75" s="256" t="e">
        <f t="shared" si="43"/>
        <v>#DIV/0!</v>
      </c>
      <c r="CJ75" s="256" t="e">
        <f t="shared" si="43"/>
        <v>#DIV/0!</v>
      </c>
    </row>
    <row r="76" spans="1:89" s="120" customFormat="1" x14ac:dyDescent="0.25">
      <c r="A76" s="149" t="s">
        <v>485</v>
      </c>
      <c r="E76" s="120">
        <f>E71-E64-E68</f>
        <v>-12354167208.820002</v>
      </c>
      <c r="F76" s="120">
        <f t="shared" ref="F76:BQ76" si="44">F71-F64-F68</f>
        <v>-16396308653</v>
      </c>
      <c r="G76" s="120">
        <f t="shared" si="44"/>
        <v>-14648297974.410002</v>
      </c>
      <c r="H76" s="120">
        <f t="shared" si="44"/>
        <v>-13896409625.459999</v>
      </c>
      <c r="I76" s="120">
        <f t="shared" si="44"/>
        <v>-9835516558.7500019</v>
      </c>
      <c r="J76" s="120">
        <f t="shared" si="44"/>
        <v>-10374407788.550001</v>
      </c>
      <c r="K76" s="120">
        <f t="shared" si="44"/>
        <v>-9429731754.5900002</v>
      </c>
      <c r="L76" s="120">
        <f t="shared" si="44"/>
        <v>-9881134548.0100002</v>
      </c>
      <c r="M76" s="120">
        <f t="shared" si="44"/>
        <v>-7646416855.4899998</v>
      </c>
      <c r="N76" s="120">
        <f t="shared" si="44"/>
        <v>-9098479204.460001</v>
      </c>
      <c r="O76" s="120">
        <f t="shared" si="44"/>
        <v>-8530119471.2699995</v>
      </c>
      <c r="P76" s="120">
        <f t="shared" si="44"/>
        <v>-7490596853.2199993</v>
      </c>
      <c r="Q76" s="120">
        <f t="shared" si="44"/>
        <v>-4419159411.8200006</v>
      </c>
      <c r="R76" s="120">
        <f t="shared" si="44"/>
        <v>-5619645168.0500002</v>
      </c>
      <c r="S76" s="120">
        <f t="shared" si="44"/>
        <v>-4655394858.2700005</v>
      </c>
      <c r="T76" s="120">
        <f t="shared" si="44"/>
        <v>-4473465442.1900005</v>
      </c>
      <c r="U76" s="120">
        <f t="shared" si="44"/>
        <v>-3289535303.7399998</v>
      </c>
      <c r="V76" s="120">
        <f t="shared" si="44"/>
        <v>-3468804751.1999998</v>
      </c>
      <c r="W76" s="120">
        <f t="shared" si="44"/>
        <v>-2814151682.9800005</v>
      </c>
      <c r="X76" s="120">
        <f t="shared" si="44"/>
        <v>-2553909655.4299998</v>
      </c>
      <c r="Y76" s="120">
        <f t="shared" si="44"/>
        <v>-1672324559.3800001</v>
      </c>
      <c r="Z76" s="120">
        <f t="shared" si="44"/>
        <v>-2324969861.4899998</v>
      </c>
      <c r="AA76" s="120">
        <f t="shared" si="44"/>
        <v>-1836069864.4200001</v>
      </c>
      <c r="AB76" s="120">
        <f t="shared" si="44"/>
        <v>-1749419923.4299998</v>
      </c>
      <c r="AC76" s="120">
        <f t="shared" si="44"/>
        <v>-1179863703.0099998</v>
      </c>
      <c r="AD76" s="120">
        <f t="shared" si="44"/>
        <v>-1658439550.8100002</v>
      </c>
      <c r="AE76" s="120">
        <f t="shared" si="44"/>
        <v>-1296608015.2800002</v>
      </c>
      <c r="AF76" s="120">
        <f t="shared" si="44"/>
        <v>-1098375888.01</v>
      </c>
      <c r="AG76" s="120">
        <f t="shared" si="44"/>
        <v>-799940192.22000003</v>
      </c>
      <c r="AH76" s="120">
        <f t="shared" si="44"/>
        <v>-1116360028.6499999</v>
      </c>
      <c r="AI76" s="120">
        <f t="shared" si="44"/>
        <v>-777793967.91000009</v>
      </c>
      <c r="AJ76" s="120">
        <f t="shared" si="44"/>
        <v>-728471497.22000003</v>
      </c>
      <c r="AK76" s="120">
        <f t="shared" si="44"/>
        <v>-241003304.85000002</v>
      </c>
      <c r="AL76" s="120">
        <f t="shared" si="44"/>
        <v>-141087280.42999998</v>
      </c>
      <c r="AM76" s="120">
        <f t="shared" si="44"/>
        <v>-182526257.12</v>
      </c>
      <c r="AN76" s="120">
        <f t="shared" si="44"/>
        <v>0</v>
      </c>
      <c r="AO76" s="120">
        <f t="shared" si="44"/>
        <v>0</v>
      </c>
      <c r="AP76" s="120">
        <f t="shared" si="44"/>
        <v>0</v>
      </c>
      <c r="AQ76" s="120">
        <f t="shared" si="44"/>
        <v>0</v>
      </c>
      <c r="AR76" s="120">
        <f t="shared" si="44"/>
        <v>0</v>
      </c>
      <c r="AS76" s="120">
        <f t="shared" si="44"/>
        <v>0</v>
      </c>
      <c r="AT76" s="120">
        <f t="shared" si="44"/>
        <v>0</v>
      </c>
      <c r="AU76" s="120">
        <f t="shared" si="44"/>
        <v>0</v>
      </c>
      <c r="AV76" s="120">
        <f t="shared" si="44"/>
        <v>0</v>
      </c>
      <c r="AW76" s="120">
        <f t="shared" si="44"/>
        <v>0</v>
      </c>
      <c r="AX76" s="120">
        <f t="shared" si="44"/>
        <v>0</v>
      </c>
      <c r="AY76" s="120">
        <f t="shared" si="44"/>
        <v>0</v>
      </c>
      <c r="AZ76" s="120">
        <f t="shared" si="44"/>
        <v>0</v>
      </c>
      <c r="BA76" s="120">
        <f t="shared" si="44"/>
        <v>0</v>
      </c>
      <c r="BB76" s="120">
        <f t="shared" si="44"/>
        <v>0</v>
      </c>
      <c r="BC76" s="120">
        <f t="shared" si="44"/>
        <v>0</v>
      </c>
      <c r="BD76" s="120">
        <f t="shared" si="44"/>
        <v>0</v>
      </c>
      <c r="BE76" s="120">
        <f t="shared" si="44"/>
        <v>0</v>
      </c>
      <c r="BF76" s="120">
        <f t="shared" si="44"/>
        <v>0</v>
      </c>
      <c r="BG76" s="120">
        <f t="shared" si="44"/>
        <v>0</v>
      </c>
      <c r="BH76" s="120">
        <f t="shared" si="44"/>
        <v>0</v>
      </c>
      <c r="BI76" s="120">
        <f t="shared" si="44"/>
        <v>0</v>
      </c>
      <c r="BJ76" s="120">
        <f t="shared" si="44"/>
        <v>0</v>
      </c>
      <c r="BK76" s="120">
        <f t="shared" si="44"/>
        <v>0</v>
      </c>
      <c r="BL76" s="120">
        <f t="shared" si="44"/>
        <v>0</v>
      </c>
      <c r="BM76" s="120">
        <f t="shared" si="44"/>
        <v>0</v>
      </c>
      <c r="BN76" s="120">
        <f t="shared" si="44"/>
        <v>0</v>
      </c>
      <c r="BO76" s="120">
        <f t="shared" si="44"/>
        <v>0</v>
      </c>
      <c r="BP76" s="120">
        <f t="shared" si="44"/>
        <v>0</v>
      </c>
      <c r="BQ76" s="120">
        <f t="shared" si="44"/>
        <v>0</v>
      </c>
      <c r="BR76" s="120">
        <f t="shared" ref="BR76:CJ76" si="45">BR71-BR64-BR68</f>
        <v>0</v>
      </c>
      <c r="BS76" s="120">
        <f t="shared" si="45"/>
        <v>0</v>
      </c>
      <c r="BT76" s="120">
        <f t="shared" si="45"/>
        <v>0</v>
      </c>
      <c r="BU76" s="120">
        <f t="shared" si="45"/>
        <v>0</v>
      </c>
      <c r="BV76" s="120">
        <f t="shared" si="45"/>
        <v>0</v>
      </c>
      <c r="BW76" s="120">
        <f t="shared" si="45"/>
        <v>0</v>
      </c>
      <c r="BX76" s="120">
        <f t="shared" si="45"/>
        <v>0</v>
      </c>
      <c r="BY76" s="120">
        <f t="shared" si="45"/>
        <v>0</v>
      </c>
      <c r="BZ76" s="120">
        <f t="shared" si="45"/>
        <v>0</v>
      </c>
      <c r="CA76" s="120">
        <f t="shared" si="45"/>
        <v>0</v>
      </c>
      <c r="CB76" s="120">
        <f t="shared" si="45"/>
        <v>0</v>
      </c>
      <c r="CC76" s="120">
        <f t="shared" si="45"/>
        <v>0</v>
      </c>
      <c r="CD76" s="120">
        <f t="shared" si="45"/>
        <v>0</v>
      </c>
      <c r="CE76" s="120">
        <f t="shared" si="45"/>
        <v>0</v>
      </c>
      <c r="CF76" s="120">
        <f t="shared" si="45"/>
        <v>0</v>
      </c>
      <c r="CG76" s="120">
        <f t="shared" si="45"/>
        <v>0</v>
      </c>
      <c r="CH76" s="120">
        <f t="shared" si="45"/>
        <v>0</v>
      </c>
      <c r="CI76" s="120">
        <f t="shared" si="45"/>
        <v>0</v>
      </c>
      <c r="CJ76" s="120">
        <f t="shared" si="45"/>
        <v>0</v>
      </c>
    </row>
    <row r="77" spans="1:89" s="16" customFormat="1" ht="262.2" customHeight="1" x14ac:dyDescent="0.25">
      <c r="A77" s="279" t="s">
        <v>692</v>
      </c>
      <c r="B77" s="278"/>
      <c r="C77" s="278"/>
      <c r="D77" s="278"/>
      <c r="E77" s="278"/>
      <c r="F77" s="278"/>
      <c r="G77" s="278"/>
      <c r="H77" s="278"/>
      <c r="I77" s="278"/>
      <c r="J77" s="278"/>
      <c r="K77" s="278"/>
      <c r="L77" s="278"/>
      <c r="M77" s="278"/>
      <c r="N77" s="278"/>
      <c r="O77" s="278"/>
      <c r="P77" s="278"/>
      <c r="Q77" s="278"/>
      <c r="R77" s="278"/>
      <c r="S77" s="278"/>
      <c r="T77" s="278"/>
      <c r="U77" s="278"/>
      <c r="V77" s="278"/>
      <c r="W77" s="278"/>
      <c r="X77" s="278"/>
      <c r="Y77" s="278"/>
      <c r="Z77" s="278"/>
      <c r="AA77" s="278"/>
      <c r="AB77" s="278"/>
      <c r="AC77" s="278"/>
      <c r="AD77" s="278"/>
      <c r="AE77" s="278"/>
      <c r="AF77" s="278"/>
      <c r="AG77" s="278"/>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50" customFormat="1" x14ac:dyDescent="0.25">
      <c r="A80" s="249" t="s">
        <v>580</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40359</v>
      </c>
      <c r="AJ80" s="1">
        <v>40268</v>
      </c>
      <c r="AK80" s="1">
        <v>40178</v>
      </c>
      <c r="AL80" s="1">
        <v>40086</v>
      </c>
      <c r="AM80" s="1">
        <v>39994</v>
      </c>
      <c r="AN80" s="1">
        <v>39903</v>
      </c>
      <c r="AO80" s="1">
        <v>39813</v>
      </c>
      <c r="AP80" s="1">
        <v>39447</v>
      </c>
      <c r="AQ80" s="1">
        <v>25569</v>
      </c>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row>
    <row r="81" spans="1:89" s="76" customFormat="1" x14ac:dyDescent="0.25">
      <c r="A81" s="70" t="s">
        <v>581</v>
      </c>
      <c r="E81" s="76">
        <f>股权价值增加表!E4</f>
        <v>41905476572.07</v>
      </c>
      <c r="F81" s="76">
        <f>股权价值增加表!F4</f>
        <v>27729742158.18</v>
      </c>
      <c r="G81" s="76">
        <f>股权价值增加表!G4</f>
        <v>16447539736.52</v>
      </c>
      <c r="H81" s="76">
        <f>股权价值增加表!H4</f>
        <v>7043724101.7299995</v>
      </c>
      <c r="I81" s="76">
        <f>股权价值增加表!I4</f>
        <v>31924020872.439999</v>
      </c>
      <c r="J81" s="76">
        <f>股权价值增加表!J4</f>
        <v>21136468968.82</v>
      </c>
      <c r="K81" s="76">
        <f>股权价值增加表!K4</f>
        <v>12548198726.120001</v>
      </c>
      <c r="L81" s="76">
        <f>股权价值增加表!L4</f>
        <v>5199710391.8999996</v>
      </c>
      <c r="M81" s="76">
        <f>股权价值增加表!M4</f>
        <v>25271390273.419998</v>
      </c>
      <c r="N81" s="76">
        <f>股权价值增加表!N4</f>
        <v>16677638479.4</v>
      </c>
      <c r="O81" s="76">
        <f>股权价值增加表!O4</f>
        <v>9796381650.8199997</v>
      </c>
      <c r="P81" s="76">
        <f>股权价值增加表!P4</f>
        <v>4287946779.6999998</v>
      </c>
      <c r="Q81" s="76">
        <f>股权价值增加表!Q4</f>
        <v>17233114021.700001</v>
      </c>
      <c r="R81" s="76">
        <f>股权价值增加表!R4</f>
        <v>10669807845.58</v>
      </c>
      <c r="S81" s="76">
        <f>股权价值增加表!S4</f>
        <v>6016055310.8500004</v>
      </c>
      <c r="T81" s="76">
        <f>股权价值增加表!T4</f>
        <v>2594659242.4200001</v>
      </c>
      <c r="U81" s="76">
        <f>股权价值增加表!U4</f>
        <v>10745907038.84</v>
      </c>
      <c r="V81" s="76">
        <f>股权价值增加表!V4</f>
        <v>6860396812.6999998</v>
      </c>
      <c r="W81" s="76">
        <f>股权价值增加表!W4</f>
        <v>3908594584.9000001</v>
      </c>
      <c r="X81" s="76">
        <f>股权价值增加表!X4</f>
        <v>1697327735.97</v>
      </c>
      <c r="Y81" s="76">
        <f>股权价值增加表!Y4</f>
        <v>7213789489.1800003</v>
      </c>
      <c r="Z81" s="76">
        <f>股权价值增加表!Z4</f>
        <v>4797847375.2799997</v>
      </c>
      <c r="AA81" s="76">
        <f>股权价值增加表!AA4</f>
        <v>2818679482.4899998</v>
      </c>
      <c r="AB81" s="76">
        <f>股权价值增加表!AB4</f>
        <v>1292678630.79</v>
      </c>
      <c r="AC81" s="76">
        <f>股权价值增加表!AC4</f>
        <v>5231639749.7700005</v>
      </c>
      <c r="AD81" s="76">
        <f>股权价值增加表!AD4</f>
        <v>3453156822.0599999</v>
      </c>
      <c r="AE81" s="76">
        <f>股权价值增加表!AE4</f>
        <v>2081678941.6300001</v>
      </c>
      <c r="AF81" s="76">
        <f>股权价值增加表!AF4</f>
        <v>929912689.30999994</v>
      </c>
      <c r="AG81" s="76">
        <f>股权价值增加表!AG4</f>
        <v>3605477285.21</v>
      </c>
      <c r="AH81" s="76">
        <f>股权价值增加表!AH4</f>
        <v>2393076338.48</v>
      </c>
      <c r="AI81" s="76">
        <f>股权价值增加表!AI4</f>
        <v>1402304573.3699999</v>
      </c>
      <c r="AJ81" s="76">
        <f>股权价值增加表!AJ4</f>
        <v>687305082.01999998</v>
      </c>
      <c r="AK81" s="76">
        <f>股权价值增加表!AK4</f>
        <v>2101513184.72</v>
      </c>
      <c r="AL81" s="76">
        <f>股权价值增加表!AL4</f>
        <v>1436572728.3599999</v>
      </c>
      <c r="AM81" s="76">
        <f>股权价值增加表!AM4</f>
        <v>836803532.27999997</v>
      </c>
      <c r="AN81" s="76">
        <f>股权价值增加表!AN4</f>
        <v>403065660.05000001</v>
      </c>
      <c r="AO81" s="76">
        <f>股权价值增加表!AO4</f>
        <v>1742471409.9100001</v>
      </c>
      <c r="AP81" s="76">
        <f>股权价值增加表!AP4</f>
        <v>1184513897.96</v>
      </c>
      <c r="AQ81" s="76">
        <f>股权价值增加表!AQ4</f>
        <v>0</v>
      </c>
      <c r="AR81" s="76">
        <f>股权价值增加表!AR4</f>
        <v>0</v>
      </c>
      <c r="AS81" s="76">
        <f>股权价值增加表!AS4</f>
        <v>0</v>
      </c>
      <c r="AT81" s="76">
        <f>股权价值增加表!AT4</f>
        <v>0</v>
      </c>
      <c r="AU81" s="76">
        <f>股权价值增加表!AU4</f>
        <v>0</v>
      </c>
      <c r="AV81" s="76">
        <f>股权价值增加表!AV4</f>
        <v>0</v>
      </c>
      <c r="AW81" s="76">
        <f>股权价值增加表!AW4</f>
        <v>0</v>
      </c>
      <c r="AX81" s="76">
        <f>股权价值增加表!AX4</f>
        <v>0</v>
      </c>
      <c r="AY81" s="76">
        <f>股权价值增加表!AY4</f>
        <v>0</v>
      </c>
      <c r="AZ81" s="76">
        <f>股权价值增加表!AZ4</f>
        <v>0</v>
      </c>
      <c r="BA81" s="76">
        <f>股权价值增加表!BA4</f>
        <v>0</v>
      </c>
      <c r="BB81" s="76">
        <f>股权价值增加表!BB4</f>
        <v>0</v>
      </c>
      <c r="BC81" s="76">
        <f>股权价值增加表!BC4</f>
        <v>0</v>
      </c>
      <c r="BD81" s="76">
        <f>股权价值增加表!BD4</f>
        <v>0</v>
      </c>
      <c r="BE81" s="76">
        <f>股权价值增加表!BE4</f>
        <v>0</v>
      </c>
      <c r="BF81" s="76">
        <f>股权价值增加表!BF4</f>
        <v>0</v>
      </c>
      <c r="BG81" s="76">
        <f>股权价值增加表!BG4</f>
        <v>0</v>
      </c>
      <c r="BH81" s="76">
        <f>股权价值增加表!BH4</f>
        <v>0</v>
      </c>
      <c r="BI81" s="76">
        <f>股权价值增加表!BI4</f>
        <v>0</v>
      </c>
      <c r="BJ81" s="76">
        <f>股权价值增加表!BJ4</f>
        <v>0</v>
      </c>
      <c r="BK81" s="76">
        <f>股权价值增加表!BK4</f>
        <v>0</v>
      </c>
      <c r="BL81" s="76">
        <f>股权价值增加表!BL4</f>
        <v>0</v>
      </c>
      <c r="BM81" s="76">
        <f>股权价值增加表!BM4</f>
        <v>0</v>
      </c>
      <c r="BN81" s="76">
        <f>股权价值增加表!BN4</f>
        <v>0</v>
      </c>
      <c r="BO81" s="76">
        <f>股权价值增加表!BO4</f>
        <v>0</v>
      </c>
      <c r="BP81" s="76">
        <f>股权价值增加表!BP4</f>
        <v>0</v>
      </c>
      <c r="BQ81" s="76">
        <f>股权价值增加表!BQ4</f>
        <v>0</v>
      </c>
      <c r="BR81" s="76">
        <f>股权价值增加表!BR4</f>
        <v>0</v>
      </c>
      <c r="BS81" s="76">
        <f>股权价值增加表!BS4</f>
        <v>0</v>
      </c>
      <c r="BT81" s="76">
        <f>股权价值增加表!BT4</f>
        <v>0</v>
      </c>
      <c r="BU81" s="76">
        <f>股权价值增加表!BU4</f>
        <v>0</v>
      </c>
      <c r="BV81" s="76">
        <f>股权价值增加表!BV4</f>
        <v>0</v>
      </c>
      <c r="BW81" s="76">
        <f>股权价值增加表!BW4</f>
        <v>0</v>
      </c>
      <c r="BX81" s="76">
        <f>股权价值增加表!BX4</f>
        <v>0</v>
      </c>
      <c r="BY81" s="76">
        <f>股权价值增加表!BY4</f>
        <v>0</v>
      </c>
      <c r="BZ81" s="76">
        <f>股权价值增加表!BZ4</f>
        <v>0</v>
      </c>
      <c r="CA81" s="76">
        <f>股权价值增加表!CA4</f>
        <v>0</v>
      </c>
      <c r="CB81" s="76">
        <f>股权价值增加表!CB4</f>
        <v>0</v>
      </c>
      <c r="CC81" s="76">
        <f>股权价值增加表!CC4</f>
        <v>0</v>
      </c>
      <c r="CD81" s="76">
        <f>股权价值增加表!CD4</f>
        <v>0</v>
      </c>
      <c r="CE81" s="76">
        <f>股权价值增加表!CE4</f>
        <v>0</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x14ac:dyDescent="0.25">
      <c r="A82" s="70" t="s">
        <v>582</v>
      </c>
      <c r="E82" s="76">
        <f>投资和筹资活动现金流表!E34</f>
        <v>6381223329.0500002</v>
      </c>
      <c r="F82" s="76">
        <f>投资和筹资活动现金流表!F34</f>
        <v>5277573426.1499996</v>
      </c>
      <c r="G82" s="76">
        <f>投资和筹资活动现金流表!G34</f>
        <v>4887057002.5999994</v>
      </c>
      <c r="H82" s="76">
        <f>投资和筹资活动现金流表!H34</f>
        <v>4455766339.2199993</v>
      </c>
      <c r="I82" s="76">
        <f>投资和筹资活动现金流表!I34</f>
        <v>4283326284.3000002</v>
      </c>
      <c r="J82" s="76">
        <f>投资和筹资活动现金流表!J34</f>
        <v>3984901716.6800003</v>
      </c>
      <c r="K82" s="76">
        <f>投资和筹资活动现金流表!K34</f>
        <v>3817213200.1000004</v>
      </c>
      <c r="L82" s="76">
        <f>投资和筹资活动现金流表!L34</f>
        <v>3646685613.7999997</v>
      </c>
      <c r="M82" s="76">
        <f>投资和筹资活动现金流表!M34</f>
        <v>3460191697.1599998</v>
      </c>
      <c r="N82" s="76">
        <f>投资和筹资活动现金流表!N34</f>
        <v>2934613811.8299999</v>
      </c>
      <c r="O82" s="76">
        <f>投资和筹资活动现金流表!O34</f>
        <v>2567522296.1799998</v>
      </c>
      <c r="P82" s="76">
        <f>投资和筹资活动现金流表!P34</f>
        <v>2212368295.9400001</v>
      </c>
      <c r="Q82" s="76">
        <f>投资和筹资活动现金流表!Q34</f>
        <v>2064168801.6099999</v>
      </c>
      <c r="R82" s="76">
        <f>投资和筹资活动现金流表!R34</f>
        <v>1966952054.8300002</v>
      </c>
      <c r="S82" s="76">
        <f>投资和筹资活动现金流表!S34</f>
        <v>1882986044.0400002</v>
      </c>
      <c r="T82" s="76">
        <f>投资和筹资活动现金流表!T34</f>
        <v>1679236453.6400001</v>
      </c>
      <c r="U82" s="76">
        <f>投资和筹资活动现金流表!U34</f>
        <v>1563733048.0500002</v>
      </c>
      <c r="V82" s="76">
        <f>投资和筹资活动现金流表!V34</f>
        <v>2139684358.8</v>
      </c>
      <c r="W82" s="76">
        <f>投资和筹资活动现金流表!W34</f>
        <v>2370579718.79</v>
      </c>
      <c r="X82" s="76">
        <f>投资和筹资活动现金流表!X34</f>
        <v>2193579187.8299999</v>
      </c>
      <c r="Y82" s="76">
        <f>投资和筹资活动现金流表!AZ34</f>
        <v>5394582476.9899998</v>
      </c>
      <c r="Z82" s="76">
        <f>投资和筹资活动现金流表!BA34</f>
        <v>5501322858.9799995</v>
      </c>
      <c r="AA82" s="76">
        <f>投资和筹资活动现金流表!BB34</f>
        <v>5577867470.3299999</v>
      </c>
      <c r="AB82" s="76">
        <f>投资和筹资活动现金流表!BC34</f>
        <v>5696283898.6499996</v>
      </c>
      <c r="AC82" s="76">
        <f>投资和筹资活动现金流表!BD34</f>
        <v>5779603253.5100002</v>
      </c>
      <c r="AD82" s="76">
        <f>投资和筹资活动现金流表!BE34</f>
        <v>5840992847.29</v>
      </c>
      <c r="AE82" s="76">
        <f>投资和筹资活动现金流表!BF34</f>
        <v>5434316703.3800001</v>
      </c>
      <c r="AF82" s="76">
        <f>投资和筹资活动现金流表!BG34</f>
        <v>5519652065.3800001</v>
      </c>
      <c r="AG82" s="76">
        <f>投资和筹资活动现金流表!BH34</f>
        <v>5587811046.9799995</v>
      </c>
      <c r="AH82" s="76">
        <f>投资和筹资活动现金流表!BI34</f>
        <v>5587556850.7200003</v>
      </c>
      <c r="AI82" s="76">
        <f>投资和筹资活动现金流表!BJ34</f>
        <v>5175235607.8500004</v>
      </c>
      <c r="AJ82" s="76">
        <f>投资和筹资活动现金流表!BK34</f>
        <v>4543535291.6599998</v>
      </c>
      <c r="AK82" s="76">
        <f>投资和筹资活动现金流表!BL34</f>
        <v>4478639735.0500002</v>
      </c>
      <c r="AL82" s="76">
        <f>投资和筹资活动现金流表!BM34</f>
        <v>4520776529.7700005</v>
      </c>
      <c r="AM82" s="76">
        <f>投资和筹资活动现金流表!BN34</f>
        <v>3620875395.5999999</v>
      </c>
      <c r="AN82" s="76">
        <f>投资和筹资活动现金流表!BO34</f>
        <v>3684993020.0500002</v>
      </c>
      <c r="AO82" s="76">
        <f>投资和筹资活动现金流表!BP34</f>
        <v>3523637936.8200002</v>
      </c>
      <c r="AP82" s="76">
        <f>投资和筹资活动现金流表!BQ34</f>
        <v>0</v>
      </c>
      <c r="AQ82" s="76">
        <f>投资和筹资活动现金流表!BR34</f>
        <v>0</v>
      </c>
      <c r="AR82" s="76">
        <f>投资和筹资活动现金流表!BS34</f>
        <v>4983590367.6400003</v>
      </c>
      <c r="AS82" s="76">
        <f>投资和筹资活动现金流表!AS34</f>
        <v>5087759145.3900003</v>
      </c>
      <c r="AT82" s="76">
        <f>投资和筹资活动现金流表!AT34</f>
        <v>5119825755.0799999</v>
      </c>
      <c r="AU82" s="76">
        <f>投资和筹资活动现金流表!AU34</f>
        <v>5166324238.8199997</v>
      </c>
      <c r="AV82" s="76">
        <f>投资和筹资活动现金流表!AV34</f>
        <v>5229742144.5900002</v>
      </c>
      <c r="AW82" s="76">
        <f>投资和筹资活动现金流表!AW34</f>
        <v>5303368604.3599997</v>
      </c>
      <c r="AX82" s="76">
        <f>投资和筹资活动现金流表!AX34</f>
        <v>5412891640.3100004</v>
      </c>
      <c r="AY82" s="76">
        <f>投资和筹资活动现金流表!AY34</f>
        <v>5477269087.8599997</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5" customFormat="1" x14ac:dyDescent="0.25">
      <c r="A83" s="251" t="s">
        <v>583</v>
      </c>
      <c r="E83" s="155">
        <f>E81/E82</f>
        <v>6.5669973312638543</v>
      </c>
      <c r="F83" s="155">
        <f t="shared" ref="F83:BQ83" si="46">F81/F82</f>
        <v>5.2542598499494311</v>
      </c>
      <c r="G83" s="155">
        <f t="shared" si="46"/>
        <v>3.3655305693732696</v>
      </c>
      <c r="H83" s="155">
        <f t="shared" si="46"/>
        <v>1.5808109235285963</v>
      </c>
      <c r="I83" s="155">
        <f t="shared" si="46"/>
        <v>7.4530910683721494</v>
      </c>
      <c r="J83" s="155">
        <f t="shared" si="46"/>
        <v>5.3041380871068853</v>
      </c>
      <c r="K83" s="155">
        <f t="shared" si="46"/>
        <v>3.2872669322717614</v>
      </c>
      <c r="L83" s="155">
        <f t="shared" si="46"/>
        <v>1.4258729549437861</v>
      </c>
      <c r="M83" s="155">
        <f t="shared" si="46"/>
        <v>7.3034653814590218</v>
      </c>
      <c r="N83" s="155">
        <f t="shared" si="46"/>
        <v>5.6830777570013442</v>
      </c>
      <c r="O83" s="155">
        <f t="shared" si="46"/>
        <v>3.8155001284293464</v>
      </c>
      <c r="P83" s="155">
        <f t="shared" si="46"/>
        <v>1.9381704156441635</v>
      </c>
      <c r="Q83" s="155">
        <f t="shared" si="46"/>
        <v>8.3486941611842038</v>
      </c>
      <c r="R83" s="155">
        <f t="shared" si="46"/>
        <v>5.4245388541014394</v>
      </c>
      <c r="S83" s="155">
        <f t="shared" si="46"/>
        <v>3.1949548059009416</v>
      </c>
      <c r="T83" s="155">
        <f t="shared" si="46"/>
        <v>1.5451422798711176</v>
      </c>
      <c r="U83" s="155">
        <f t="shared" si="46"/>
        <v>6.871957494433155</v>
      </c>
      <c r="V83" s="155">
        <f t="shared" si="46"/>
        <v>3.2062658141537845</v>
      </c>
      <c r="W83" s="155">
        <f t="shared" si="46"/>
        <v>1.6487927210037212</v>
      </c>
      <c r="X83" s="155">
        <f t="shared" si="46"/>
        <v>0.77377089707396562</v>
      </c>
      <c r="Y83" s="155">
        <f t="shared" si="46"/>
        <v>1.337228510259993</v>
      </c>
      <c r="Z83" s="155">
        <f t="shared" si="46"/>
        <v>0.87212612280122903</v>
      </c>
      <c r="AA83" s="155">
        <f t="shared" si="46"/>
        <v>0.50533281715336986</v>
      </c>
      <c r="AB83" s="155">
        <f t="shared" si="46"/>
        <v>0.2269336735650343</v>
      </c>
      <c r="AC83" s="155">
        <f t="shared" si="46"/>
        <v>0.90519011778062497</v>
      </c>
      <c r="AD83" s="155">
        <f t="shared" si="46"/>
        <v>0.59119346870320755</v>
      </c>
      <c r="AE83" s="155">
        <f t="shared" si="46"/>
        <v>0.38306176383412682</v>
      </c>
      <c r="AF83" s="155">
        <f t="shared" si="46"/>
        <v>0.16847306284802577</v>
      </c>
      <c r="AG83" s="155">
        <f t="shared" si="46"/>
        <v>0.64523965733569755</v>
      </c>
      <c r="AH83" s="155">
        <f t="shared" si="46"/>
        <v>0.42828670963260684</v>
      </c>
      <c r="AI83" s="155">
        <f t="shared" si="46"/>
        <v>0.27096439266319183</v>
      </c>
      <c r="AJ83" s="155">
        <f t="shared" si="46"/>
        <v>0.15127099007717626</v>
      </c>
      <c r="AK83" s="155">
        <f t="shared" si="46"/>
        <v>0.46923023709040051</v>
      </c>
      <c r="AL83" s="155">
        <f t="shared" si="46"/>
        <v>0.31777123219870529</v>
      </c>
      <c r="AM83" s="155">
        <f t="shared" si="46"/>
        <v>0.23110531041660903</v>
      </c>
      <c r="AN83" s="155">
        <f t="shared" si="46"/>
        <v>0.10938030488983964</v>
      </c>
      <c r="AO83" s="155">
        <f t="shared" si="46"/>
        <v>0.49450920927549646</v>
      </c>
      <c r="AP83" s="155" t="e">
        <f t="shared" si="46"/>
        <v>#DIV/0!</v>
      </c>
      <c r="AQ83" s="155" t="e">
        <f t="shared" si="46"/>
        <v>#DIV/0!</v>
      </c>
      <c r="AR83" s="155">
        <f t="shared" si="46"/>
        <v>0</v>
      </c>
      <c r="AS83" s="155">
        <f t="shared" si="46"/>
        <v>0</v>
      </c>
      <c r="AT83" s="155">
        <f t="shared" si="46"/>
        <v>0</v>
      </c>
      <c r="AU83" s="155">
        <f t="shared" si="46"/>
        <v>0</v>
      </c>
      <c r="AV83" s="155">
        <f t="shared" si="46"/>
        <v>0</v>
      </c>
      <c r="AW83" s="155">
        <f t="shared" si="46"/>
        <v>0</v>
      </c>
      <c r="AX83" s="155">
        <f t="shared" si="46"/>
        <v>0</v>
      </c>
      <c r="AY83" s="155">
        <f t="shared" si="46"/>
        <v>0</v>
      </c>
      <c r="AZ83" s="155" t="e">
        <f t="shared" si="46"/>
        <v>#REF!</v>
      </c>
      <c r="BA83" s="155" t="e">
        <f t="shared" si="46"/>
        <v>#REF!</v>
      </c>
      <c r="BB83" s="155" t="e">
        <f t="shared" si="46"/>
        <v>#REF!</v>
      </c>
      <c r="BC83" s="155" t="e">
        <f t="shared" si="46"/>
        <v>#REF!</v>
      </c>
      <c r="BD83" s="155" t="e">
        <f t="shared" si="46"/>
        <v>#REF!</v>
      </c>
      <c r="BE83" s="155" t="e">
        <f t="shared" si="46"/>
        <v>#REF!</v>
      </c>
      <c r="BF83" s="155" t="e">
        <f t="shared" si="46"/>
        <v>#REF!</v>
      </c>
      <c r="BG83" s="155" t="e">
        <f t="shared" si="46"/>
        <v>#REF!</v>
      </c>
      <c r="BH83" s="155" t="e">
        <f t="shared" si="46"/>
        <v>#REF!</v>
      </c>
      <c r="BI83" s="155" t="e">
        <f t="shared" si="46"/>
        <v>#REF!</v>
      </c>
      <c r="BJ83" s="155" t="e">
        <f t="shared" si="46"/>
        <v>#REF!</v>
      </c>
      <c r="BK83" s="155" t="e">
        <f t="shared" si="46"/>
        <v>#REF!</v>
      </c>
      <c r="BL83" s="155" t="e">
        <f t="shared" si="46"/>
        <v>#REF!</v>
      </c>
      <c r="BM83" s="155" t="e">
        <f t="shared" si="46"/>
        <v>#REF!</v>
      </c>
      <c r="BN83" s="155" t="e">
        <f t="shared" si="46"/>
        <v>#REF!</v>
      </c>
      <c r="BO83" s="155" t="e">
        <f t="shared" si="46"/>
        <v>#REF!</v>
      </c>
      <c r="BP83" s="155" t="e">
        <f t="shared" si="46"/>
        <v>#REF!</v>
      </c>
      <c r="BQ83" s="155" t="e">
        <f t="shared" si="46"/>
        <v>#REF!</v>
      </c>
      <c r="BR83" s="155" t="e">
        <f t="shared" ref="BR83:CK83" si="47">BR81/BR82</f>
        <v>#REF!</v>
      </c>
      <c r="BS83" s="155" t="e">
        <f t="shared" si="47"/>
        <v>#REF!</v>
      </c>
      <c r="BT83" s="155" t="e">
        <f t="shared" si="47"/>
        <v>#DIV/0!</v>
      </c>
      <c r="BU83" s="155" t="e">
        <f t="shared" si="47"/>
        <v>#DIV/0!</v>
      </c>
      <c r="BV83" s="155" t="e">
        <f t="shared" si="47"/>
        <v>#DIV/0!</v>
      </c>
      <c r="BW83" s="155" t="e">
        <f t="shared" si="47"/>
        <v>#DIV/0!</v>
      </c>
      <c r="BX83" s="155" t="e">
        <f t="shared" si="47"/>
        <v>#DIV/0!</v>
      </c>
      <c r="BY83" s="155" t="e">
        <f t="shared" si="47"/>
        <v>#DIV/0!</v>
      </c>
      <c r="BZ83" s="155" t="e">
        <f t="shared" si="47"/>
        <v>#DIV/0!</v>
      </c>
      <c r="CA83" s="155" t="e">
        <f t="shared" si="47"/>
        <v>#DIV/0!</v>
      </c>
      <c r="CB83" s="155" t="e">
        <f t="shared" si="47"/>
        <v>#DIV/0!</v>
      </c>
      <c r="CC83" s="155" t="e">
        <f t="shared" si="47"/>
        <v>#DIV/0!</v>
      </c>
      <c r="CD83" s="155" t="e">
        <f t="shared" si="47"/>
        <v>#DIV/0!</v>
      </c>
      <c r="CE83" s="155" t="e">
        <f t="shared" si="47"/>
        <v>#DIV/0!</v>
      </c>
      <c r="CF83" s="155" t="e">
        <f t="shared" si="47"/>
        <v>#DIV/0!</v>
      </c>
      <c r="CG83" s="155" t="e">
        <f t="shared" si="47"/>
        <v>#DIV/0!</v>
      </c>
      <c r="CH83" s="155" t="e">
        <f t="shared" si="47"/>
        <v>#DIV/0!</v>
      </c>
      <c r="CI83" s="155" t="e">
        <f t="shared" si="47"/>
        <v>#DIV/0!</v>
      </c>
      <c r="CJ83" s="155" t="e">
        <f t="shared" si="47"/>
        <v>#DIV/0!</v>
      </c>
      <c r="CK83" s="155" t="e">
        <f t="shared" si="47"/>
        <v>#DIV/0!</v>
      </c>
    </row>
    <row r="84" spans="1:89" s="76" customFormat="1" x14ac:dyDescent="0.25">
      <c r="A84" s="70" t="s">
        <v>584</v>
      </c>
      <c r="E84" s="76">
        <f>资产资本表!E52</f>
        <v>3024025496.3099999</v>
      </c>
      <c r="F84" s="76">
        <f>资产资本表!F52</f>
        <v>2928515602.5300002</v>
      </c>
      <c r="G84" s="76">
        <f>资产资本表!G52</f>
        <v>2945144484.5100002</v>
      </c>
      <c r="H84" s="76">
        <f>资产资本表!H52</f>
        <v>2850265592.73</v>
      </c>
      <c r="I84" s="76">
        <f>资产资本表!I52</f>
        <v>2853743612.6700001</v>
      </c>
      <c r="J84" s="76">
        <f>资产资本表!J52</f>
        <v>2705660579.7199998</v>
      </c>
      <c r="K84" s="76">
        <f>资产资本表!K52</f>
        <v>2685927175.2399998</v>
      </c>
      <c r="L84" s="76">
        <f>资产资本表!L52</f>
        <v>1925449124.73</v>
      </c>
      <c r="M84" s="76">
        <f>资产资本表!M52</f>
        <v>1887240766.0799999</v>
      </c>
      <c r="N84" s="76">
        <f>资产资本表!N52</f>
        <v>1696801463.4000001</v>
      </c>
      <c r="O84" s="76">
        <f>资产资本表!O52</f>
        <v>1665303881.0999999</v>
      </c>
      <c r="P84" s="76">
        <f>资产资本表!P52</f>
        <v>1655924515.1900001</v>
      </c>
      <c r="Q84" s="76">
        <f>资产资本表!Q52</f>
        <v>1500415628.0799999</v>
      </c>
      <c r="R84" s="76">
        <f>资产资本表!R52</f>
        <v>1435866972.5899999</v>
      </c>
      <c r="S84" s="76">
        <f>资产资本表!S52</f>
        <v>1372648274.23</v>
      </c>
      <c r="T84" s="76">
        <f>资产资本表!T52</f>
        <v>733675175.29999995</v>
      </c>
      <c r="U84" s="76">
        <f>资产资本表!U52</f>
        <v>735711230.71000004</v>
      </c>
      <c r="V84" s="76">
        <f>资产资本表!V52</f>
        <v>714578555.83000004</v>
      </c>
      <c r="W84" s="76">
        <f>资产资本表!W52</f>
        <v>673717872.13999999</v>
      </c>
      <c r="X84" s="76">
        <f>资产资本表!X52</f>
        <v>653767245.26999998</v>
      </c>
      <c r="Y84" s="76">
        <f>资产资本表!Y52</f>
        <v>649280702.10000002</v>
      </c>
      <c r="Z84" s="76">
        <f>资产资本表!Z52</f>
        <v>640181860.85000002</v>
      </c>
      <c r="AA84" s="76">
        <f>资产资本表!AA52</f>
        <v>631173818.40999997</v>
      </c>
      <c r="AB84" s="76">
        <f>资产资本表!AB52</f>
        <v>598035610.60000002</v>
      </c>
      <c r="AC84" s="76">
        <f>资产资本表!AC52</f>
        <v>588574983.89999998</v>
      </c>
      <c r="AD84" s="76">
        <f>资产资本表!AD52</f>
        <v>528454615.25999999</v>
      </c>
      <c r="AE84" s="76">
        <f>资产资本表!AE52</f>
        <v>497006403.68000001</v>
      </c>
      <c r="AF84" s="76">
        <f>资产资本表!AF52</f>
        <v>292021026.56999999</v>
      </c>
      <c r="AG84" s="76">
        <f>资产资本表!AG52</f>
        <v>290756203.33999997</v>
      </c>
      <c r="AH84" s="76">
        <f>资产资本表!AH52</f>
        <v>255070332.38999999</v>
      </c>
      <c r="AI84" s="76">
        <f>资产资本表!AI52</f>
        <v>238848101.27000001</v>
      </c>
      <c r="AJ84" s="76">
        <f>资产资本表!AJ52</f>
        <v>209498584.12</v>
      </c>
      <c r="AK84" s="76">
        <f>资产资本表!AK52</f>
        <v>197635028.02000001</v>
      </c>
      <c r="AL84" s="76">
        <f>资产资本表!AL52</f>
        <v>51360938.350000001</v>
      </c>
      <c r="AM84" s="76">
        <f>资产资本表!AM52</f>
        <v>40496003.590000004</v>
      </c>
      <c r="AN84" s="76">
        <f>资产资本表!AN52</f>
        <v>0</v>
      </c>
      <c r="AO84" s="76">
        <f>资产资本表!AO52</f>
        <v>0</v>
      </c>
      <c r="AP84" s="76">
        <f>资产资本表!AP52</f>
        <v>0</v>
      </c>
      <c r="AQ84" s="76">
        <f>资产资本表!AQ52</f>
        <v>0</v>
      </c>
      <c r="AR84" s="76">
        <f>资产资本表!AR52</f>
        <v>0</v>
      </c>
      <c r="AS84" s="76">
        <f>资产资本表!AS52</f>
        <v>0</v>
      </c>
      <c r="AT84" s="76">
        <f>资产资本表!AT52</f>
        <v>0</v>
      </c>
      <c r="AU84" s="76">
        <f>资产资本表!AU52</f>
        <v>0</v>
      </c>
      <c r="AV84" s="76">
        <f>资产资本表!AV52</f>
        <v>0</v>
      </c>
      <c r="AW84" s="76">
        <f>资产资本表!AW52</f>
        <v>0</v>
      </c>
      <c r="AX84" s="76">
        <f>资产资本表!AX52</f>
        <v>0</v>
      </c>
      <c r="AY84" s="76">
        <f>资产资本表!AY52</f>
        <v>0</v>
      </c>
      <c r="AZ84" s="76">
        <f>资产资本表!AZ52</f>
        <v>0</v>
      </c>
      <c r="BA84" s="76">
        <f>资产资本表!BA52</f>
        <v>0</v>
      </c>
      <c r="BB84" s="76">
        <f>资产资本表!BB52</f>
        <v>0</v>
      </c>
      <c r="BC84" s="76">
        <f>资产资本表!BC52</f>
        <v>0</v>
      </c>
      <c r="BD84" s="76">
        <f>资产资本表!BD52</f>
        <v>0</v>
      </c>
      <c r="BE84" s="76">
        <f>资产资本表!BE52</f>
        <v>0</v>
      </c>
      <c r="BF84" s="76">
        <f>资产资本表!BF52</f>
        <v>0</v>
      </c>
      <c r="BG84" s="76">
        <f>资产资本表!BG52</f>
        <v>0</v>
      </c>
      <c r="BH84" s="76">
        <f>资产资本表!BH52</f>
        <v>0</v>
      </c>
      <c r="BI84" s="76">
        <f>资产资本表!BI52</f>
        <v>0</v>
      </c>
      <c r="BJ84" s="76">
        <f>资产资本表!BJ52</f>
        <v>0</v>
      </c>
      <c r="BK84" s="76">
        <f>资产资本表!BK52</f>
        <v>0</v>
      </c>
      <c r="BL84" s="76">
        <f>资产资本表!BL52</f>
        <v>0</v>
      </c>
      <c r="BM84" s="76">
        <f>资产资本表!BM52</f>
        <v>0</v>
      </c>
      <c r="BN84" s="76">
        <f>资产资本表!BN52</f>
        <v>0</v>
      </c>
      <c r="BO84" s="76">
        <f>资产资本表!BO52</f>
        <v>0</v>
      </c>
      <c r="BP84" s="76">
        <f>资产资本表!BP52</f>
        <v>0</v>
      </c>
      <c r="BQ84" s="76">
        <f>资产资本表!BQ52</f>
        <v>0</v>
      </c>
      <c r="BR84" s="76">
        <f>资产资本表!BR52</f>
        <v>0</v>
      </c>
      <c r="BS84" s="76">
        <f>资产资本表!BS52</f>
        <v>0</v>
      </c>
      <c r="BT84" s="76">
        <f>资产资本表!BT52</f>
        <v>0</v>
      </c>
      <c r="BU84" s="76">
        <f>资产资本表!BU52</f>
        <v>0</v>
      </c>
      <c r="BV84" s="76">
        <f>资产资本表!BV52</f>
        <v>0</v>
      </c>
      <c r="BW84" s="76">
        <f>资产资本表!BW52</f>
        <v>0</v>
      </c>
      <c r="BX84" s="76">
        <f>资产资本表!BX52</f>
        <v>0</v>
      </c>
      <c r="BY84" s="76">
        <f>资产资本表!BY52</f>
        <v>0</v>
      </c>
      <c r="BZ84" s="76">
        <f>资产资本表!BZ52</f>
        <v>0</v>
      </c>
      <c r="CA84" s="76">
        <f>资产资本表!CA52</f>
        <v>0</v>
      </c>
      <c r="CB84" s="76">
        <f>资产资本表!CB52</f>
        <v>0</v>
      </c>
      <c r="CC84" s="76">
        <f>资产资本表!CC52</f>
        <v>0</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155" customFormat="1" x14ac:dyDescent="0.25">
      <c r="A85" s="251" t="s">
        <v>585</v>
      </c>
      <c r="E85" s="155">
        <f>E81/E84</f>
        <v>13.857514304427733</v>
      </c>
      <c r="F85" s="155">
        <f t="shared" ref="F85:BQ85" si="48">F81/F84</f>
        <v>9.4688729451274742</v>
      </c>
      <c r="G85" s="155">
        <f t="shared" si="48"/>
        <v>5.5846291491048756</v>
      </c>
      <c r="H85" s="155">
        <f t="shared" si="48"/>
        <v>2.4712518439320181</v>
      </c>
      <c r="I85" s="155">
        <f t="shared" si="48"/>
        <v>11.186716539882665</v>
      </c>
      <c r="J85" s="155">
        <f t="shared" si="48"/>
        <v>7.8119440136897529</v>
      </c>
      <c r="K85" s="155">
        <f t="shared" si="48"/>
        <v>4.671831329529164</v>
      </c>
      <c r="L85" s="155">
        <f t="shared" si="48"/>
        <v>2.7005181934522104</v>
      </c>
      <c r="M85" s="155">
        <f t="shared" si="48"/>
        <v>13.39065514460636</v>
      </c>
      <c r="N85" s="155">
        <f t="shared" si="48"/>
        <v>9.8288685147535446</v>
      </c>
      <c r="O85" s="155">
        <f t="shared" si="48"/>
        <v>5.8826390558515342</v>
      </c>
      <c r="P85" s="155">
        <f t="shared" si="48"/>
        <v>2.5894578770747909</v>
      </c>
      <c r="Q85" s="155">
        <f t="shared" si="48"/>
        <v>11.485560200244166</v>
      </c>
      <c r="R85" s="155">
        <f t="shared" si="48"/>
        <v>7.4309166860589642</v>
      </c>
      <c r="S85" s="155">
        <f t="shared" si="48"/>
        <v>4.3828090733766185</v>
      </c>
      <c r="T85" s="155">
        <f t="shared" si="48"/>
        <v>3.5365231505332635</v>
      </c>
      <c r="U85" s="155">
        <f t="shared" si="48"/>
        <v>14.606147888308888</v>
      </c>
      <c r="V85" s="155">
        <f t="shared" si="48"/>
        <v>9.6006194934460147</v>
      </c>
      <c r="W85" s="155">
        <f t="shared" si="48"/>
        <v>5.8015302050466993</v>
      </c>
      <c r="X85" s="155">
        <f t="shared" si="48"/>
        <v>2.596226330165897</v>
      </c>
      <c r="Y85" s="155">
        <f t="shared" si="48"/>
        <v>11.110432615428261</v>
      </c>
      <c r="Z85" s="155">
        <f t="shared" si="48"/>
        <v>7.4945069029442175</v>
      </c>
      <c r="AA85" s="155">
        <f t="shared" si="48"/>
        <v>4.4657737698793971</v>
      </c>
      <c r="AB85" s="155">
        <f t="shared" si="48"/>
        <v>2.1615412324578385</v>
      </c>
      <c r="AC85" s="155">
        <f t="shared" si="48"/>
        <v>8.8886546198485163</v>
      </c>
      <c r="AD85" s="155">
        <f t="shared" si="48"/>
        <v>6.5344434930538826</v>
      </c>
      <c r="AE85" s="155">
        <f t="shared" si="48"/>
        <v>4.1884348495644321</v>
      </c>
      <c r="AF85" s="155">
        <f t="shared" si="48"/>
        <v>3.1844031925800103</v>
      </c>
      <c r="AG85" s="155">
        <f t="shared" si="48"/>
        <v>12.400345181952604</v>
      </c>
      <c r="AH85" s="155">
        <f t="shared" si="48"/>
        <v>9.3820254047460541</v>
      </c>
      <c r="AI85" s="155">
        <f t="shared" si="48"/>
        <v>5.8711145950655848</v>
      </c>
      <c r="AJ85" s="155">
        <f t="shared" si="48"/>
        <v>3.2807146879155717</v>
      </c>
      <c r="AK85" s="155">
        <f t="shared" si="48"/>
        <v>10.633303244743304</v>
      </c>
      <c r="AL85" s="155">
        <f t="shared" si="48"/>
        <v>27.970141794732218</v>
      </c>
      <c r="AM85" s="155">
        <f t="shared" si="48"/>
        <v>20.663854654700753</v>
      </c>
      <c r="AN85" s="155" t="e">
        <f t="shared" si="48"/>
        <v>#DIV/0!</v>
      </c>
      <c r="AO85" s="155" t="e">
        <f t="shared" si="48"/>
        <v>#DIV/0!</v>
      </c>
      <c r="AP85" s="155" t="e">
        <f t="shared" si="48"/>
        <v>#DIV/0!</v>
      </c>
      <c r="AQ85" s="155" t="e">
        <f t="shared" si="48"/>
        <v>#DIV/0!</v>
      </c>
      <c r="AR85" s="155" t="e">
        <f t="shared" si="48"/>
        <v>#DIV/0!</v>
      </c>
      <c r="AS85" s="155" t="e">
        <f t="shared" si="48"/>
        <v>#DIV/0!</v>
      </c>
      <c r="AT85" s="155" t="e">
        <f t="shared" si="48"/>
        <v>#DIV/0!</v>
      </c>
      <c r="AU85" s="155" t="e">
        <f t="shared" si="48"/>
        <v>#DIV/0!</v>
      </c>
      <c r="AV85" s="155" t="e">
        <f t="shared" si="48"/>
        <v>#DIV/0!</v>
      </c>
      <c r="AW85" s="155" t="e">
        <f t="shared" si="48"/>
        <v>#DIV/0!</v>
      </c>
      <c r="AX85" s="155" t="e">
        <f t="shared" si="48"/>
        <v>#DIV/0!</v>
      </c>
      <c r="AY85" s="155" t="e">
        <f t="shared" si="48"/>
        <v>#DIV/0!</v>
      </c>
      <c r="AZ85" s="155" t="e">
        <f t="shared" si="48"/>
        <v>#DIV/0!</v>
      </c>
      <c r="BA85" s="155" t="e">
        <f t="shared" si="48"/>
        <v>#DIV/0!</v>
      </c>
      <c r="BB85" s="155" t="e">
        <f t="shared" si="48"/>
        <v>#DIV/0!</v>
      </c>
      <c r="BC85" s="155" t="e">
        <f t="shared" si="48"/>
        <v>#DIV/0!</v>
      </c>
      <c r="BD85" s="155" t="e">
        <f t="shared" si="48"/>
        <v>#DIV/0!</v>
      </c>
      <c r="BE85" s="155" t="e">
        <f t="shared" si="48"/>
        <v>#DIV/0!</v>
      </c>
      <c r="BF85" s="155" t="e">
        <f t="shared" si="48"/>
        <v>#DIV/0!</v>
      </c>
      <c r="BG85" s="155" t="e">
        <f t="shared" si="48"/>
        <v>#DIV/0!</v>
      </c>
      <c r="BH85" s="155" t="e">
        <f t="shared" si="48"/>
        <v>#DIV/0!</v>
      </c>
      <c r="BI85" s="155" t="e">
        <f t="shared" si="48"/>
        <v>#DIV/0!</v>
      </c>
      <c r="BJ85" s="155" t="e">
        <f t="shared" si="48"/>
        <v>#DIV/0!</v>
      </c>
      <c r="BK85" s="155" t="e">
        <f t="shared" si="48"/>
        <v>#DIV/0!</v>
      </c>
      <c r="BL85" s="155" t="e">
        <f t="shared" si="48"/>
        <v>#DIV/0!</v>
      </c>
      <c r="BM85" s="155" t="e">
        <f t="shared" si="48"/>
        <v>#DIV/0!</v>
      </c>
      <c r="BN85" s="155" t="e">
        <f t="shared" si="48"/>
        <v>#DIV/0!</v>
      </c>
      <c r="BO85" s="155" t="e">
        <f t="shared" si="48"/>
        <v>#DIV/0!</v>
      </c>
      <c r="BP85" s="155" t="e">
        <f t="shared" si="48"/>
        <v>#DIV/0!</v>
      </c>
      <c r="BQ85" s="155" t="e">
        <f t="shared" si="48"/>
        <v>#DIV/0!</v>
      </c>
      <c r="BR85" s="155" t="e">
        <f t="shared" ref="BR85:CK85" si="49">BR81/BR84</f>
        <v>#DIV/0!</v>
      </c>
      <c r="BS85" s="155" t="e">
        <f t="shared" si="49"/>
        <v>#DIV/0!</v>
      </c>
      <c r="BT85" s="155" t="e">
        <f t="shared" si="49"/>
        <v>#DIV/0!</v>
      </c>
      <c r="BU85" s="155" t="e">
        <f t="shared" si="49"/>
        <v>#DIV/0!</v>
      </c>
      <c r="BV85" s="155" t="e">
        <f t="shared" si="49"/>
        <v>#DIV/0!</v>
      </c>
      <c r="BW85" s="155" t="e">
        <f t="shared" si="49"/>
        <v>#DIV/0!</v>
      </c>
      <c r="BX85" s="155" t="e">
        <f t="shared" si="49"/>
        <v>#DIV/0!</v>
      </c>
      <c r="BY85" s="155" t="e">
        <f t="shared" si="49"/>
        <v>#DIV/0!</v>
      </c>
      <c r="BZ85" s="155" t="e">
        <f t="shared" si="49"/>
        <v>#DIV/0!</v>
      </c>
      <c r="CA85" s="155" t="e">
        <f t="shared" si="49"/>
        <v>#DIV/0!</v>
      </c>
      <c r="CB85" s="155" t="e">
        <f t="shared" si="49"/>
        <v>#DIV/0!</v>
      </c>
      <c r="CC85" s="155" t="e">
        <f t="shared" si="49"/>
        <v>#DIV/0!</v>
      </c>
      <c r="CD85" s="155" t="e">
        <f t="shared" si="49"/>
        <v>#DIV/0!</v>
      </c>
      <c r="CE85" s="155" t="e">
        <f t="shared" si="49"/>
        <v>#DIV/0!</v>
      </c>
      <c r="CF85" s="155" t="e">
        <f t="shared" si="49"/>
        <v>#DIV/0!</v>
      </c>
      <c r="CG85" s="155" t="e">
        <f t="shared" si="49"/>
        <v>#DIV/0!</v>
      </c>
      <c r="CH85" s="155" t="e">
        <f t="shared" si="49"/>
        <v>#DIV/0!</v>
      </c>
      <c r="CI85" s="155" t="e">
        <f t="shared" si="49"/>
        <v>#DIV/0!</v>
      </c>
      <c r="CJ85" s="155" t="e">
        <f t="shared" si="49"/>
        <v>#DIV/0!</v>
      </c>
      <c r="CK85" s="155" t="e">
        <f t="shared" si="49"/>
        <v>#DIV/0!</v>
      </c>
    </row>
    <row r="86" spans="1:89" s="76" customFormat="1" x14ac:dyDescent="0.25">
      <c r="A86" s="70" t="s">
        <v>586</v>
      </c>
      <c r="E86" s="76">
        <f>资产资本表!E53</f>
        <v>1436319118.3</v>
      </c>
      <c r="F86" s="76">
        <f>资产资本表!F53</f>
        <v>1205329627.29</v>
      </c>
      <c r="G86" s="76">
        <f>资产资本表!G53</f>
        <v>764850814.58000004</v>
      </c>
      <c r="H86" s="76">
        <f>资产资本表!H53</f>
        <v>506796148.70999998</v>
      </c>
      <c r="I86" s="76">
        <f>资产资本表!I53</f>
        <v>316482522.36000001</v>
      </c>
      <c r="J86" s="76">
        <f>资产资本表!J53</f>
        <v>457513495.38</v>
      </c>
      <c r="K86" s="76">
        <f>资产资本表!K53</f>
        <v>333697399.00999999</v>
      </c>
      <c r="L86" s="76">
        <f>资产资本表!L53</f>
        <v>987900341.80999994</v>
      </c>
      <c r="M86" s="76">
        <f>资产资本表!M53</f>
        <v>844631051.21000004</v>
      </c>
      <c r="N86" s="76">
        <f>资产资本表!N53</f>
        <v>473205035.17000002</v>
      </c>
      <c r="O86" s="76">
        <f>资产资本表!O53</f>
        <v>223197078.65000001</v>
      </c>
      <c r="P86" s="76">
        <f>资产资本表!P53</f>
        <v>23745646.710000001</v>
      </c>
      <c r="Q86" s="76">
        <f>资产资本表!Q53</f>
        <v>28956418.82</v>
      </c>
      <c r="R86" s="76">
        <f>资产资本表!R53</f>
        <v>31393462.449999999</v>
      </c>
      <c r="S86" s="76">
        <f>资产资本表!S53</f>
        <v>11537385.84</v>
      </c>
      <c r="T86" s="76">
        <f>资产资本表!T53</f>
        <v>337147970.10000002</v>
      </c>
      <c r="U86" s="76">
        <f>资产资本表!U53</f>
        <v>294633266.23000002</v>
      </c>
      <c r="V86" s="76">
        <f>资产资本表!V53</f>
        <v>226539062.72</v>
      </c>
      <c r="W86" s="76">
        <f>资产资本表!W53</f>
        <v>194549536.50999999</v>
      </c>
      <c r="X86" s="76">
        <f>资产资本表!X53</f>
        <v>171502954.44999999</v>
      </c>
      <c r="Y86" s="76">
        <f>资产资本表!Y53</f>
        <v>147935272.83000001</v>
      </c>
      <c r="Z86" s="76">
        <f>资产资本表!Z53</f>
        <v>95645474.019999996</v>
      </c>
      <c r="AA86" s="76">
        <f>资产资本表!AA53</f>
        <v>95772517.430000007</v>
      </c>
      <c r="AB86" s="76">
        <f>资产资本表!AB53</f>
        <v>62289896.240000002</v>
      </c>
      <c r="AC86" s="76">
        <f>资产资本表!AC53</f>
        <v>46351735.479999997</v>
      </c>
      <c r="AD86" s="76">
        <f>资产资本表!AD53</f>
        <v>20874502.640000001</v>
      </c>
      <c r="AE86" s="76">
        <f>资产资本表!AE53</f>
        <v>17162532.5</v>
      </c>
      <c r="AF86" s="76">
        <f>资产资本表!AF53</f>
        <v>196257615.88</v>
      </c>
      <c r="AG86" s="76">
        <f>资产资本表!AG53</f>
        <v>167678668.21000001</v>
      </c>
      <c r="AH86" s="76">
        <f>资产资本表!AH53</f>
        <v>141753467.65000001</v>
      </c>
      <c r="AI86" s="76">
        <f>资产资本表!AI53</f>
        <v>93873467</v>
      </c>
      <c r="AJ86" s="76">
        <f>资产资本表!AJ53</f>
        <v>82440428.930000007</v>
      </c>
      <c r="AK86" s="76">
        <f>资产资本表!AK53</f>
        <v>70255531.549999997</v>
      </c>
      <c r="AL86" s="76">
        <f>资产资本表!AL53</f>
        <v>4663279.5599999996</v>
      </c>
      <c r="AM86" s="76">
        <f>资产资本表!AM53</f>
        <v>0</v>
      </c>
      <c r="AN86" s="76">
        <f>资产资本表!AN53</f>
        <v>0</v>
      </c>
      <c r="AO86" s="76">
        <f>资产资本表!AO53</f>
        <v>0</v>
      </c>
      <c r="AP86" s="76">
        <f>资产资本表!AP53</f>
        <v>0</v>
      </c>
      <c r="AQ86" s="76">
        <f>资产资本表!AQ53</f>
        <v>0</v>
      </c>
      <c r="AR86" s="76">
        <f>资产资本表!AR53</f>
        <v>0</v>
      </c>
      <c r="AS86" s="76">
        <f>资产资本表!AS53</f>
        <v>0</v>
      </c>
      <c r="AT86" s="76">
        <f>资产资本表!AT53</f>
        <v>0</v>
      </c>
      <c r="AU86" s="76">
        <f>资产资本表!AU53</f>
        <v>0</v>
      </c>
      <c r="AV86" s="76">
        <f>资产资本表!AV53</f>
        <v>0</v>
      </c>
      <c r="AW86" s="76">
        <f>资产资本表!AW53</f>
        <v>0</v>
      </c>
      <c r="AX86" s="76">
        <f>资产资本表!AX53</f>
        <v>0</v>
      </c>
      <c r="AY86" s="76">
        <f>资产资本表!AY53</f>
        <v>0</v>
      </c>
      <c r="AZ86" s="76">
        <f>资产资本表!AZ53</f>
        <v>0</v>
      </c>
      <c r="BA86" s="76">
        <f>资产资本表!BA53</f>
        <v>0</v>
      </c>
      <c r="BB86" s="76">
        <f>资产资本表!BB53</f>
        <v>0</v>
      </c>
      <c r="BC86" s="76">
        <f>资产资本表!BC53</f>
        <v>0</v>
      </c>
      <c r="BD86" s="76">
        <f>资产资本表!BD53</f>
        <v>0</v>
      </c>
      <c r="BE86" s="76">
        <f>资产资本表!BE53</f>
        <v>0</v>
      </c>
      <c r="BF86" s="76">
        <f>资产资本表!BF53</f>
        <v>0</v>
      </c>
      <c r="BG86" s="76">
        <f>资产资本表!BG53</f>
        <v>0</v>
      </c>
      <c r="BH86" s="76">
        <f>资产资本表!BH53</f>
        <v>0</v>
      </c>
      <c r="BI86" s="76">
        <f>资产资本表!BI53</f>
        <v>0</v>
      </c>
      <c r="BJ86" s="76">
        <f>资产资本表!BJ53</f>
        <v>0</v>
      </c>
      <c r="BK86" s="76">
        <f>资产资本表!BK53</f>
        <v>0</v>
      </c>
      <c r="BL86" s="76">
        <f>资产资本表!BL53</f>
        <v>0</v>
      </c>
      <c r="BM86" s="76">
        <f>资产资本表!BM53</f>
        <v>0</v>
      </c>
      <c r="BN86" s="76">
        <f>资产资本表!BN53</f>
        <v>0</v>
      </c>
      <c r="BO86" s="76">
        <f>资产资本表!BO53</f>
        <v>0</v>
      </c>
      <c r="BP86" s="76">
        <f>资产资本表!BP53</f>
        <v>0</v>
      </c>
      <c r="BQ86" s="76">
        <f>资产资本表!BQ53</f>
        <v>0</v>
      </c>
      <c r="BR86" s="76">
        <f>资产资本表!BR53</f>
        <v>0</v>
      </c>
      <c r="BS86" s="76">
        <f>资产资本表!BS53</f>
        <v>0</v>
      </c>
      <c r="BT86" s="76">
        <f>资产资本表!BT53</f>
        <v>0</v>
      </c>
      <c r="BU86" s="76">
        <f>资产资本表!BU53</f>
        <v>0</v>
      </c>
      <c r="BV86" s="76">
        <f>资产资本表!BV53</f>
        <v>0</v>
      </c>
      <c r="BW86" s="76">
        <f>资产资本表!BW53</f>
        <v>0</v>
      </c>
      <c r="BX86" s="76">
        <f>资产资本表!BX53</f>
        <v>0</v>
      </c>
      <c r="BY86" s="76">
        <f>资产资本表!BY53</f>
        <v>0</v>
      </c>
      <c r="BZ86" s="76">
        <f>资产资本表!BZ53</f>
        <v>0</v>
      </c>
      <c r="CA86" s="76">
        <f>资产资本表!CA53</f>
        <v>0</v>
      </c>
      <c r="CB86" s="76">
        <f>资产资本表!CB53</f>
        <v>0</v>
      </c>
      <c r="CC86" s="76">
        <f>资产资本表!CC53</f>
        <v>0</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54" customFormat="1" x14ac:dyDescent="0.25">
      <c r="A87" s="254" t="s">
        <v>587</v>
      </c>
      <c r="E87" s="54">
        <f>E81/E86</f>
        <v>29.175603135930213</v>
      </c>
      <c r="F87" s="54">
        <f t="shared" ref="F87:BQ87" si="50">F81/F86</f>
        <v>23.005940889817918</v>
      </c>
      <c r="G87" s="54">
        <f t="shared" si="50"/>
        <v>21.50424556395587</v>
      </c>
      <c r="H87" s="54">
        <f t="shared" si="50"/>
        <v>13.898535179596589</v>
      </c>
      <c r="I87" s="54">
        <f t="shared" si="50"/>
        <v>100.87135502581185</v>
      </c>
      <c r="J87" s="54">
        <f t="shared" si="50"/>
        <v>46.1985694023398</v>
      </c>
      <c r="K87" s="54">
        <f t="shared" si="50"/>
        <v>37.603525719251905</v>
      </c>
      <c r="L87" s="54">
        <f t="shared" si="50"/>
        <v>5.263395680553419</v>
      </c>
      <c r="M87" s="54">
        <f t="shared" si="50"/>
        <v>29.920034596427346</v>
      </c>
      <c r="N87" s="54">
        <f t="shared" si="50"/>
        <v>35.244000464636898</v>
      </c>
      <c r="O87" s="54">
        <f t="shared" si="50"/>
        <v>43.891173262988403</v>
      </c>
      <c r="P87" s="54">
        <f t="shared" si="50"/>
        <v>180.57822690902822</v>
      </c>
      <c r="Q87" s="54">
        <f t="shared" si="50"/>
        <v>595.13968660369028</v>
      </c>
      <c r="R87" s="54">
        <f t="shared" si="50"/>
        <v>339.8735600628213</v>
      </c>
      <c r="S87" s="54">
        <f t="shared" si="50"/>
        <v>521.44007267160964</v>
      </c>
      <c r="T87" s="54">
        <f t="shared" si="50"/>
        <v>7.6959064640086936</v>
      </c>
      <c r="U87" s="54">
        <f t="shared" si="50"/>
        <v>36.472144426662965</v>
      </c>
      <c r="V87" s="54">
        <f t="shared" si="50"/>
        <v>30.28350488577496</v>
      </c>
      <c r="W87" s="54">
        <f t="shared" si="50"/>
        <v>20.090485205032063</v>
      </c>
      <c r="X87" s="54">
        <f t="shared" si="50"/>
        <v>9.8967842356607303</v>
      </c>
      <c r="Y87" s="54">
        <f t="shared" si="50"/>
        <v>48.763147227705019</v>
      </c>
      <c r="Z87" s="54">
        <f t="shared" si="50"/>
        <v>50.162827090770058</v>
      </c>
      <c r="AA87" s="54">
        <f t="shared" si="50"/>
        <v>29.430984567677971</v>
      </c>
      <c r="AB87" s="54">
        <f t="shared" si="50"/>
        <v>20.752621353058139</v>
      </c>
      <c r="AC87" s="54">
        <f t="shared" si="50"/>
        <v>112.86826039183292</v>
      </c>
      <c r="AD87" s="54">
        <f t="shared" si="50"/>
        <v>165.42462743246466</v>
      </c>
      <c r="AE87" s="54">
        <f t="shared" si="50"/>
        <v>121.29206115880626</v>
      </c>
      <c r="AF87" s="54">
        <f t="shared" si="50"/>
        <v>4.7382247315109902</v>
      </c>
      <c r="AG87" s="54">
        <f t="shared" si="50"/>
        <v>21.50230153721472</v>
      </c>
      <c r="AH87" s="54">
        <f t="shared" si="50"/>
        <v>16.881959772502256</v>
      </c>
      <c r="AI87" s="54">
        <f t="shared" si="50"/>
        <v>14.938242063329779</v>
      </c>
      <c r="AJ87" s="54">
        <f t="shared" si="50"/>
        <v>8.336990611773615</v>
      </c>
      <c r="AK87" s="54">
        <f t="shared" si="50"/>
        <v>29.912423098306203</v>
      </c>
      <c r="AL87" s="54">
        <f t="shared" si="50"/>
        <v>308.06060624853467</v>
      </c>
      <c r="AM87" s="54" t="e">
        <f t="shared" si="50"/>
        <v>#DIV/0!</v>
      </c>
      <c r="AN87" s="54" t="e">
        <f t="shared" si="50"/>
        <v>#DIV/0!</v>
      </c>
      <c r="AO87" s="54" t="e">
        <f t="shared" si="50"/>
        <v>#DIV/0!</v>
      </c>
      <c r="AP87" s="54" t="e">
        <f t="shared" si="50"/>
        <v>#DIV/0!</v>
      </c>
      <c r="AQ87" s="54" t="e">
        <f t="shared" si="50"/>
        <v>#DIV/0!</v>
      </c>
      <c r="AR87" s="54" t="e">
        <f t="shared" si="50"/>
        <v>#DIV/0!</v>
      </c>
      <c r="AS87" s="54" t="e">
        <f t="shared" si="50"/>
        <v>#DIV/0!</v>
      </c>
      <c r="AT87" s="54" t="e">
        <f t="shared" si="50"/>
        <v>#DIV/0!</v>
      </c>
      <c r="AU87" s="54" t="e">
        <f t="shared" si="50"/>
        <v>#DIV/0!</v>
      </c>
      <c r="AV87" s="54" t="e">
        <f t="shared" si="50"/>
        <v>#DIV/0!</v>
      </c>
      <c r="AW87" s="54" t="e">
        <f t="shared" si="50"/>
        <v>#DIV/0!</v>
      </c>
      <c r="AX87" s="54" t="e">
        <f t="shared" si="50"/>
        <v>#DIV/0!</v>
      </c>
      <c r="AY87" s="54" t="e">
        <f t="shared" si="50"/>
        <v>#DIV/0!</v>
      </c>
      <c r="AZ87" s="54" t="e">
        <f t="shared" si="50"/>
        <v>#DIV/0!</v>
      </c>
      <c r="BA87" s="54" t="e">
        <f t="shared" si="50"/>
        <v>#DIV/0!</v>
      </c>
      <c r="BB87" s="54" t="e">
        <f t="shared" si="50"/>
        <v>#DIV/0!</v>
      </c>
      <c r="BC87" s="54" t="e">
        <f t="shared" si="50"/>
        <v>#DIV/0!</v>
      </c>
      <c r="BD87" s="54" t="e">
        <f t="shared" si="50"/>
        <v>#DIV/0!</v>
      </c>
      <c r="BE87" s="54" t="e">
        <f t="shared" si="50"/>
        <v>#DIV/0!</v>
      </c>
      <c r="BF87" s="54" t="e">
        <f t="shared" si="50"/>
        <v>#DIV/0!</v>
      </c>
      <c r="BG87" s="54" t="e">
        <f t="shared" si="50"/>
        <v>#DIV/0!</v>
      </c>
      <c r="BH87" s="54" t="e">
        <f t="shared" si="50"/>
        <v>#DIV/0!</v>
      </c>
      <c r="BI87" s="54" t="e">
        <f t="shared" si="50"/>
        <v>#DIV/0!</v>
      </c>
      <c r="BJ87" s="54" t="e">
        <f t="shared" si="50"/>
        <v>#DIV/0!</v>
      </c>
      <c r="BK87" s="54" t="e">
        <f t="shared" si="50"/>
        <v>#DIV/0!</v>
      </c>
      <c r="BL87" s="54" t="e">
        <f t="shared" si="50"/>
        <v>#DIV/0!</v>
      </c>
      <c r="BM87" s="54" t="e">
        <f t="shared" si="50"/>
        <v>#DIV/0!</v>
      </c>
      <c r="BN87" s="54" t="e">
        <f t="shared" si="50"/>
        <v>#DIV/0!</v>
      </c>
      <c r="BO87" s="54" t="e">
        <f t="shared" si="50"/>
        <v>#DIV/0!</v>
      </c>
      <c r="BP87" s="54" t="e">
        <f t="shared" si="50"/>
        <v>#DIV/0!</v>
      </c>
      <c r="BQ87" s="54" t="e">
        <f t="shared" si="50"/>
        <v>#DIV/0!</v>
      </c>
      <c r="BR87" s="54" t="e">
        <f t="shared" ref="BR87:CK87" si="51">BR81/BR86</f>
        <v>#DIV/0!</v>
      </c>
      <c r="BS87" s="54" t="e">
        <f t="shared" si="51"/>
        <v>#DIV/0!</v>
      </c>
      <c r="BT87" s="54" t="e">
        <f t="shared" si="51"/>
        <v>#DIV/0!</v>
      </c>
      <c r="BU87" s="54" t="e">
        <f t="shared" si="51"/>
        <v>#DIV/0!</v>
      </c>
      <c r="BV87" s="54" t="e">
        <f t="shared" si="51"/>
        <v>#DIV/0!</v>
      </c>
      <c r="BW87" s="54" t="e">
        <f t="shared" si="51"/>
        <v>#DIV/0!</v>
      </c>
      <c r="BX87" s="54" t="e">
        <f t="shared" si="51"/>
        <v>#DIV/0!</v>
      </c>
      <c r="BY87" s="54" t="e">
        <f t="shared" si="51"/>
        <v>#DIV/0!</v>
      </c>
      <c r="BZ87" s="54" t="e">
        <f t="shared" si="51"/>
        <v>#DIV/0!</v>
      </c>
      <c r="CA87" s="54" t="e">
        <f t="shared" si="51"/>
        <v>#DIV/0!</v>
      </c>
      <c r="CB87" s="54" t="e">
        <f t="shared" si="51"/>
        <v>#DIV/0!</v>
      </c>
      <c r="CC87" s="54" t="e">
        <f t="shared" si="51"/>
        <v>#DIV/0!</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6" customFormat="1" x14ac:dyDescent="0.25">
      <c r="A88" s="70" t="s">
        <v>588</v>
      </c>
      <c r="E88" s="76">
        <f>资产资本表!E54</f>
        <v>0</v>
      </c>
      <c r="F88" s="76">
        <f>资产资本表!F54</f>
        <v>0</v>
      </c>
      <c r="G88" s="76">
        <f>资产资本表!G54</f>
        <v>0</v>
      </c>
      <c r="H88" s="76">
        <f>资产资本表!H54</f>
        <v>0</v>
      </c>
      <c r="I88" s="76">
        <f>资产资本表!I54</f>
        <v>0</v>
      </c>
      <c r="J88" s="76">
        <f>资产资本表!J54</f>
        <v>0</v>
      </c>
      <c r="K88" s="76">
        <f>资产资本表!K54</f>
        <v>0</v>
      </c>
      <c r="L88" s="76">
        <f>资产资本表!L54</f>
        <v>1299246</v>
      </c>
      <c r="M88" s="76">
        <f>资产资本表!M54</f>
        <v>0</v>
      </c>
      <c r="N88" s="76">
        <f>资产资本表!N54</f>
        <v>0</v>
      </c>
      <c r="O88" s="76">
        <f>资产资本表!O54</f>
        <v>0</v>
      </c>
      <c r="P88" s="76">
        <f>资产资本表!P54</f>
        <v>0</v>
      </c>
      <c r="Q88" s="76">
        <f>资产资本表!Q54</f>
        <v>0</v>
      </c>
      <c r="R88" s="76">
        <f>资产资本表!R54</f>
        <v>0</v>
      </c>
      <c r="S88" s="76">
        <f>资产资本表!S54</f>
        <v>0</v>
      </c>
      <c r="T88" s="76">
        <f>资产资本表!T54</f>
        <v>0</v>
      </c>
      <c r="U88" s="76">
        <f>资产资本表!U54</f>
        <v>0</v>
      </c>
      <c r="V88" s="76">
        <f>资产资本表!V54</f>
        <v>214718</v>
      </c>
      <c r="W88" s="76">
        <f>资产资本表!W54</f>
        <v>214718</v>
      </c>
      <c r="X88" s="76">
        <f>资产资本表!X54</f>
        <v>214718</v>
      </c>
      <c r="Y88" s="76">
        <f>资产资本表!Y54</f>
        <v>214718</v>
      </c>
      <c r="Z88" s="76">
        <f>资产资本表!Z54</f>
        <v>660459</v>
      </c>
      <c r="AA88" s="76">
        <f>资产资本表!AA54</f>
        <v>660459</v>
      </c>
      <c r="AB88" s="76">
        <f>资产资本表!AB54</f>
        <v>660459</v>
      </c>
      <c r="AC88" s="76">
        <f>资产资本表!AC54</f>
        <v>660459</v>
      </c>
      <c r="AD88" s="76">
        <f>资产资本表!AD54</f>
        <v>0</v>
      </c>
      <c r="AE88" s="76">
        <f>资产资本表!AE54</f>
        <v>0</v>
      </c>
      <c r="AF88" s="76">
        <f>资产资本表!AF54</f>
        <v>0</v>
      </c>
      <c r="AG88" s="76">
        <f>资产资本表!AG54</f>
        <v>0</v>
      </c>
      <c r="AH88" s="76">
        <f>资产资本表!AH54</f>
        <v>0</v>
      </c>
      <c r="AI88" s="76">
        <f>资产资本表!AI54</f>
        <v>0</v>
      </c>
      <c r="AJ88" s="76">
        <f>资产资本表!AJ54</f>
        <v>0</v>
      </c>
      <c r="AK88" s="76">
        <f>资产资本表!AK54</f>
        <v>0</v>
      </c>
      <c r="AL88" s="76">
        <f>资产资本表!AL54</f>
        <v>0</v>
      </c>
      <c r="AM88" s="76">
        <f>资产资本表!AM54</f>
        <v>0</v>
      </c>
      <c r="AN88" s="76">
        <f>资产资本表!AN54</f>
        <v>0</v>
      </c>
      <c r="AO88" s="76">
        <f>资产资本表!AO54</f>
        <v>0</v>
      </c>
      <c r="AP88" s="76">
        <f>资产资本表!AP54</f>
        <v>0</v>
      </c>
      <c r="AQ88" s="76">
        <f>资产资本表!AQ54</f>
        <v>0</v>
      </c>
      <c r="AR88" s="76">
        <f>资产资本表!AR54</f>
        <v>0</v>
      </c>
      <c r="AS88" s="76">
        <f>资产资本表!AS54</f>
        <v>0</v>
      </c>
      <c r="AT88" s="76">
        <f>资产资本表!AT54</f>
        <v>0</v>
      </c>
      <c r="AU88" s="76">
        <f>资产资本表!AU54</f>
        <v>0</v>
      </c>
      <c r="AV88" s="76">
        <f>资产资本表!AV54</f>
        <v>0</v>
      </c>
      <c r="AW88" s="76">
        <f>资产资本表!AW54</f>
        <v>0</v>
      </c>
      <c r="AX88" s="76">
        <f>资产资本表!AX54</f>
        <v>0</v>
      </c>
      <c r="AY88" s="76">
        <f>资产资本表!AY54</f>
        <v>0</v>
      </c>
      <c r="AZ88" s="76">
        <f>资产资本表!AZ54</f>
        <v>0</v>
      </c>
      <c r="BA88" s="76">
        <f>资产资本表!BA54</f>
        <v>0</v>
      </c>
      <c r="BB88" s="76">
        <f>资产资本表!BB54</f>
        <v>0</v>
      </c>
      <c r="BC88" s="76">
        <f>资产资本表!BC54</f>
        <v>0</v>
      </c>
      <c r="BD88" s="76">
        <f>资产资本表!BD54</f>
        <v>0</v>
      </c>
      <c r="BE88" s="76">
        <f>资产资本表!BE54</f>
        <v>0</v>
      </c>
      <c r="BF88" s="76">
        <f>资产资本表!BF54</f>
        <v>0</v>
      </c>
      <c r="BG88" s="76">
        <f>资产资本表!BG54</f>
        <v>0</v>
      </c>
      <c r="BH88" s="76">
        <f>资产资本表!BH54</f>
        <v>0</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x14ac:dyDescent="0.25">
      <c r="A89" s="70" t="s">
        <v>589</v>
      </c>
      <c r="E89" s="76">
        <f>资产资本表!E55</f>
        <v>0</v>
      </c>
      <c r="F89" s="76">
        <f>资产资本表!F55</f>
        <v>0</v>
      </c>
      <c r="G89" s="76">
        <f>资产资本表!G55</f>
        <v>0</v>
      </c>
      <c r="H89" s="76">
        <f>资产资本表!H55</f>
        <v>0</v>
      </c>
      <c r="I89" s="76">
        <f>资产资本表!I55</f>
        <v>0</v>
      </c>
      <c r="J89" s="76">
        <f>资产资本表!J55</f>
        <v>0</v>
      </c>
      <c r="K89" s="76">
        <f>资产资本表!K55</f>
        <v>0</v>
      </c>
      <c r="L89" s="76">
        <f>资产资本表!L55</f>
        <v>0</v>
      </c>
      <c r="M89" s="76">
        <f>资产资本表!M55</f>
        <v>0</v>
      </c>
      <c r="N89" s="76">
        <f>资产资本表!N55</f>
        <v>0</v>
      </c>
      <c r="O89" s="76">
        <f>资产资本表!O55</f>
        <v>0</v>
      </c>
      <c r="P89" s="76">
        <f>资产资本表!P55</f>
        <v>0</v>
      </c>
      <c r="Q89" s="76">
        <f>资产资本表!Q55</f>
        <v>0</v>
      </c>
      <c r="R89" s="76">
        <f>资产资本表!R55</f>
        <v>0</v>
      </c>
      <c r="S89" s="76">
        <f>资产资本表!S55</f>
        <v>0</v>
      </c>
      <c r="T89" s="76">
        <f>资产资本表!T55</f>
        <v>0</v>
      </c>
      <c r="U89" s="76">
        <f>资产资本表!U55</f>
        <v>0</v>
      </c>
      <c r="V89" s="76">
        <f>资产资本表!V55</f>
        <v>0</v>
      </c>
      <c r="W89" s="76">
        <f>资产资本表!W55</f>
        <v>0</v>
      </c>
      <c r="X89" s="76">
        <f>资产资本表!X55</f>
        <v>0</v>
      </c>
      <c r="Y89" s="76">
        <f>资产资本表!Y55</f>
        <v>0</v>
      </c>
      <c r="Z89" s="76">
        <f>资产资本表!Z55</f>
        <v>0</v>
      </c>
      <c r="AA89" s="76">
        <f>资产资本表!AA55</f>
        <v>0</v>
      </c>
      <c r="AB89" s="76">
        <f>资产资本表!AB55</f>
        <v>0</v>
      </c>
      <c r="AC89" s="76">
        <f>资产资本表!AC55</f>
        <v>0</v>
      </c>
      <c r="AD89" s="76">
        <f>资产资本表!AD55</f>
        <v>0</v>
      </c>
      <c r="AE89" s="76">
        <f>资产资本表!AE55</f>
        <v>0</v>
      </c>
      <c r="AF89" s="76">
        <f>资产资本表!AF55</f>
        <v>0</v>
      </c>
      <c r="AG89" s="76">
        <f>资产资本表!AG55</f>
        <v>0</v>
      </c>
      <c r="AH89" s="76">
        <f>资产资本表!AH55</f>
        <v>0</v>
      </c>
      <c r="AI89" s="76">
        <f>资产资本表!AI55</f>
        <v>0</v>
      </c>
      <c r="AJ89" s="76">
        <f>资产资本表!AJ55</f>
        <v>11584</v>
      </c>
      <c r="AK89" s="76">
        <f>资产资本表!AK55</f>
        <v>0</v>
      </c>
      <c r="AL89" s="76">
        <f>资产资本表!AL55</f>
        <v>0</v>
      </c>
      <c r="AM89" s="76">
        <f>资产资本表!AM55</f>
        <v>0</v>
      </c>
      <c r="AN89" s="76">
        <f>资产资本表!AN55</f>
        <v>0</v>
      </c>
      <c r="AO89" s="76">
        <f>资产资本表!AO55</f>
        <v>0</v>
      </c>
      <c r="AP89" s="76">
        <f>资产资本表!AP55</f>
        <v>0</v>
      </c>
      <c r="AQ89" s="76">
        <f>资产资本表!AQ55</f>
        <v>0</v>
      </c>
      <c r="AR89" s="76">
        <f>资产资本表!AR55</f>
        <v>0</v>
      </c>
      <c r="AS89" s="76">
        <f>资产资本表!AS55</f>
        <v>0</v>
      </c>
      <c r="AT89" s="76">
        <f>资产资本表!AT55</f>
        <v>0</v>
      </c>
      <c r="AU89" s="76">
        <f>资产资本表!AU55</f>
        <v>0</v>
      </c>
      <c r="AV89" s="76">
        <f>资产资本表!AV55</f>
        <v>0</v>
      </c>
      <c r="AW89" s="76">
        <f>资产资本表!AW55</f>
        <v>0</v>
      </c>
      <c r="AX89" s="76">
        <f>资产资本表!AX55</f>
        <v>0</v>
      </c>
      <c r="AY89" s="76">
        <f>资产资本表!AY55</f>
        <v>0</v>
      </c>
      <c r="AZ89" s="76">
        <f>资产资本表!AZ55</f>
        <v>0</v>
      </c>
      <c r="BA89" s="76">
        <f>资产资本表!BA55</f>
        <v>0</v>
      </c>
      <c r="BB89" s="76">
        <f>资产资本表!BB55</f>
        <v>0</v>
      </c>
      <c r="BC89" s="76">
        <f>资产资本表!BC55</f>
        <v>0</v>
      </c>
      <c r="BD89" s="76">
        <f>资产资本表!BD55</f>
        <v>0</v>
      </c>
      <c r="BE89" s="76">
        <f>资产资本表!BE55</f>
        <v>0</v>
      </c>
      <c r="BF89" s="76">
        <f>资产资本表!BF55</f>
        <v>0</v>
      </c>
      <c r="BG89" s="76">
        <f>资产资本表!BG55</f>
        <v>0</v>
      </c>
      <c r="BH89" s="76">
        <f>资产资本表!BH55</f>
        <v>0</v>
      </c>
      <c r="BI89" s="76">
        <f>资产资本表!BI55</f>
        <v>0</v>
      </c>
      <c r="BJ89" s="76">
        <f>资产资本表!BJ55</f>
        <v>0</v>
      </c>
      <c r="BK89" s="76">
        <f>资产资本表!BK55</f>
        <v>0</v>
      </c>
      <c r="BL89" s="76">
        <f>资产资本表!BL55</f>
        <v>0</v>
      </c>
      <c r="BM89" s="76">
        <f>资产资本表!BM55</f>
        <v>0</v>
      </c>
      <c r="BN89" s="76">
        <f>资产资本表!BN55</f>
        <v>0</v>
      </c>
      <c r="BO89" s="76">
        <f>资产资本表!BO55</f>
        <v>0</v>
      </c>
      <c r="BP89" s="76">
        <f>资产资本表!BP55</f>
        <v>0</v>
      </c>
      <c r="BQ89" s="76">
        <f>资产资本表!BQ55</f>
        <v>0</v>
      </c>
      <c r="BR89" s="76">
        <f>资产资本表!BR55</f>
        <v>0</v>
      </c>
      <c r="BS89" s="76">
        <f>资产资本表!BS55</f>
        <v>0</v>
      </c>
      <c r="BT89" s="76">
        <f>资产资本表!BT55</f>
        <v>0</v>
      </c>
      <c r="BU89" s="76">
        <f>资产资本表!BU55</f>
        <v>0</v>
      </c>
      <c r="BV89" s="76">
        <f>资产资本表!BV55</f>
        <v>0</v>
      </c>
      <c r="BW89" s="76">
        <f>资产资本表!BW55</f>
        <v>0</v>
      </c>
      <c r="BX89" s="76">
        <f>资产资本表!BX55</f>
        <v>0</v>
      </c>
      <c r="BY89" s="76">
        <f>资产资本表!BY55</f>
        <v>0</v>
      </c>
      <c r="BZ89" s="76">
        <f>资产资本表!BZ55</f>
        <v>0</v>
      </c>
      <c r="CA89" s="76">
        <f>资产资本表!CA55</f>
        <v>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x14ac:dyDescent="0.25">
      <c r="A90" s="70" t="s">
        <v>590</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x14ac:dyDescent="0.25">
      <c r="A91" s="70" t="s">
        <v>591</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x14ac:dyDescent="0.25">
      <c r="A92" s="70" t="s">
        <v>592</v>
      </c>
      <c r="E92" s="76">
        <f>资产资本表!E58</f>
        <v>429160982.63</v>
      </c>
      <c r="F92" s="76">
        <f>资产资本表!F58</f>
        <v>409074338.19999999</v>
      </c>
      <c r="G92" s="76">
        <f>资产资本表!G58</f>
        <v>412552471.29000002</v>
      </c>
      <c r="H92" s="76">
        <f>资产资本表!H58</f>
        <v>407172194.64999998</v>
      </c>
      <c r="I92" s="76">
        <f>资产资本表!I58</f>
        <v>410256469.08999997</v>
      </c>
      <c r="J92" s="76">
        <f>资产资本表!J58</f>
        <v>410555899.19</v>
      </c>
      <c r="K92" s="76">
        <f>资产资本表!K58</f>
        <v>344833385.04000002</v>
      </c>
      <c r="L92" s="76">
        <f>资产资本表!L58</f>
        <v>346461835.56999999</v>
      </c>
      <c r="M92" s="76">
        <f>资产资本表!M58</f>
        <v>343200704.36000001</v>
      </c>
      <c r="N92" s="76">
        <f>资产资本表!N58</f>
        <v>252637691.22999999</v>
      </c>
      <c r="O92" s="76">
        <f>资产资本表!O58</f>
        <v>244927896.75999999</v>
      </c>
      <c r="P92" s="76">
        <f>资产资本表!P58</f>
        <v>137533246.97</v>
      </c>
      <c r="Q92" s="76">
        <f>资产资本表!Q58</f>
        <v>96550166.579999998</v>
      </c>
      <c r="R92" s="76">
        <f>资产资本表!R58</f>
        <v>94404007.969999999</v>
      </c>
      <c r="S92" s="76">
        <f>资产资本表!S58</f>
        <v>89187023.040000007</v>
      </c>
      <c r="T92" s="76">
        <f>资产资本表!T58</f>
        <v>90988886.030000001</v>
      </c>
      <c r="U92" s="76">
        <f>资产资本表!U58</f>
        <v>53117713.950000003</v>
      </c>
      <c r="V92" s="76">
        <f>资产资本表!V58</f>
        <v>54276012.119999997</v>
      </c>
      <c r="W92" s="76">
        <f>资产资本表!W58</f>
        <v>54728596.600000001</v>
      </c>
      <c r="X92" s="76">
        <f>资产资本表!X58</f>
        <v>55977040.280000001</v>
      </c>
      <c r="Y92" s="76">
        <f>资产资本表!Y58</f>
        <v>56735710.840000004</v>
      </c>
      <c r="Z92" s="76">
        <f>资产资本表!Z58</f>
        <v>58320785.289999999</v>
      </c>
      <c r="AA92" s="76">
        <f>资产资本表!AA58</f>
        <v>50822274.659999996</v>
      </c>
      <c r="AB92" s="76">
        <f>资产资本表!AB58</f>
        <v>49270435.130000003</v>
      </c>
      <c r="AC92" s="76">
        <f>资产资本表!AC58</f>
        <v>49180344.649999999</v>
      </c>
      <c r="AD92" s="76">
        <f>资产资本表!AD58</f>
        <v>49776499.780000001</v>
      </c>
      <c r="AE92" s="76">
        <f>资产资本表!AE58</f>
        <v>49937539.140000001</v>
      </c>
      <c r="AF92" s="76">
        <f>资产资本表!AF58</f>
        <v>49139918.530000001</v>
      </c>
      <c r="AG92" s="76">
        <f>资产资本表!AG58</f>
        <v>45173717.780000001</v>
      </c>
      <c r="AH92" s="76">
        <f>资产资本表!AH58</f>
        <v>42585812.140000001</v>
      </c>
      <c r="AI92" s="76">
        <f>资产资本表!AI58</f>
        <v>32019268.390000001</v>
      </c>
      <c r="AJ92" s="76">
        <f>资产资本表!AJ58</f>
        <v>25698926.91</v>
      </c>
      <c r="AK92" s="76">
        <f>资产资本表!AK58</f>
        <v>24866285.789999999</v>
      </c>
      <c r="AL92" s="76">
        <f>资产资本表!AL58</f>
        <v>22351108.760000002</v>
      </c>
      <c r="AM92" s="76">
        <f>资产资本表!AM58</f>
        <v>1221062.22</v>
      </c>
      <c r="AN92" s="76">
        <f>资产资本表!AN58</f>
        <v>0</v>
      </c>
      <c r="AO92" s="76">
        <f>资产资本表!AO58</f>
        <v>0</v>
      </c>
      <c r="AP92" s="76">
        <f>资产资本表!AP58</f>
        <v>0</v>
      </c>
      <c r="AQ92" s="76">
        <f>资产资本表!AQ58</f>
        <v>0</v>
      </c>
      <c r="AR92" s="76">
        <f>资产资本表!AR58</f>
        <v>0</v>
      </c>
      <c r="AS92" s="76">
        <f>资产资本表!AS58</f>
        <v>0</v>
      </c>
      <c r="AT92" s="76">
        <f>资产资本表!AT58</f>
        <v>0</v>
      </c>
      <c r="AU92" s="76">
        <f>资产资本表!AU58</f>
        <v>0</v>
      </c>
      <c r="AV92" s="76">
        <f>资产资本表!AV58</f>
        <v>0</v>
      </c>
      <c r="AW92" s="76">
        <f>资产资本表!AW58</f>
        <v>0</v>
      </c>
      <c r="AX92" s="76">
        <f>资产资本表!AX58</f>
        <v>0</v>
      </c>
      <c r="AY92" s="76">
        <f>资产资本表!AY58</f>
        <v>0</v>
      </c>
      <c r="AZ92" s="76">
        <f>资产资本表!AZ58</f>
        <v>0</v>
      </c>
      <c r="BA92" s="76">
        <f>资产资本表!BA58</f>
        <v>0</v>
      </c>
      <c r="BB92" s="76">
        <f>资产资本表!BB58</f>
        <v>0</v>
      </c>
      <c r="BC92" s="76">
        <f>资产资本表!BC58</f>
        <v>0</v>
      </c>
      <c r="BD92" s="76">
        <f>资产资本表!BD58</f>
        <v>0</v>
      </c>
      <c r="BE92" s="76">
        <f>资产资本表!BE58</f>
        <v>0</v>
      </c>
      <c r="BF92" s="76">
        <f>资产资本表!BF58</f>
        <v>0</v>
      </c>
      <c r="BG92" s="76">
        <f>资产资本表!BG58</f>
        <v>0</v>
      </c>
      <c r="BH92" s="76">
        <f>资产资本表!BH58</f>
        <v>0</v>
      </c>
      <c r="BI92" s="76">
        <f>资产资本表!BI58</f>
        <v>0</v>
      </c>
      <c r="BJ92" s="76">
        <f>资产资本表!BJ58</f>
        <v>0</v>
      </c>
      <c r="BK92" s="76">
        <f>资产资本表!BK58</f>
        <v>0</v>
      </c>
      <c r="BL92" s="76">
        <f>资产资本表!BL58</f>
        <v>0</v>
      </c>
      <c r="BM92" s="76">
        <f>资产资本表!BM58</f>
        <v>0</v>
      </c>
      <c r="BN92" s="76">
        <f>资产资本表!BN58</f>
        <v>0</v>
      </c>
      <c r="BO92" s="76">
        <f>资产资本表!BO58</f>
        <v>0</v>
      </c>
      <c r="BP92" s="76">
        <f>资产资本表!BP58</f>
        <v>0</v>
      </c>
      <c r="BQ92" s="76">
        <f>资产资本表!BQ58</f>
        <v>0</v>
      </c>
      <c r="BR92" s="76">
        <f>资产资本表!BR58</f>
        <v>0</v>
      </c>
      <c r="BS92" s="76">
        <f>资产资本表!BS58</f>
        <v>0</v>
      </c>
      <c r="BT92" s="76">
        <f>资产资本表!BT58</f>
        <v>0</v>
      </c>
      <c r="BU92" s="76">
        <f>资产资本表!BU58</f>
        <v>0</v>
      </c>
      <c r="BV92" s="76">
        <f>资产资本表!BV58</f>
        <v>0</v>
      </c>
      <c r="BW92" s="76">
        <f>资产资本表!BW58</f>
        <v>0</v>
      </c>
      <c r="BX92" s="76">
        <f>资产资本表!BX58</f>
        <v>0</v>
      </c>
      <c r="BY92" s="76">
        <f>资产资本表!BY58</f>
        <v>0</v>
      </c>
      <c r="BZ92" s="76">
        <f>资产资本表!BZ58</f>
        <v>0</v>
      </c>
      <c r="CA92" s="76">
        <f>资产资本表!CA58</f>
        <v>0</v>
      </c>
      <c r="CB92" s="76">
        <f>资产资本表!CB58</f>
        <v>0</v>
      </c>
      <c r="CC92" s="76">
        <f>资产资本表!CC58</f>
        <v>0</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155" customFormat="1" x14ac:dyDescent="0.25">
      <c r="A93" s="251" t="s">
        <v>691</v>
      </c>
      <c r="E93" s="155">
        <f>E81/E92</f>
        <v>97.645122152678766</v>
      </c>
      <c r="F93" s="155">
        <f t="shared" ref="F93:BQ93" si="52">F81/F92</f>
        <v>67.786559969016409</v>
      </c>
      <c r="G93" s="155">
        <f t="shared" si="52"/>
        <v>39.867752300914837</v>
      </c>
      <c r="H93" s="155">
        <f t="shared" si="52"/>
        <v>17.299128462798631</v>
      </c>
      <c r="I93" s="155">
        <f t="shared" si="52"/>
        <v>77.814789717396678</v>
      </c>
      <c r="J93" s="155">
        <f t="shared" si="52"/>
        <v>51.482560622124474</v>
      </c>
      <c r="K93" s="155">
        <f t="shared" si="52"/>
        <v>36.389164363144346</v>
      </c>
      <c r="L93" s="155">
        <f t="shared" si="52"/>
        <v>15.008032221919684</v>
      </c>
      <c r="M93" s="155">
        <f t="shared" si="52"/>
        <v>73.634435921528876</v>
      </c>
      <c r="N93" s="155">
        <f t="shared" si="52"/>
        <v>66.014055140397744</v>
      </c>
      <c r="O93" s="155">
        <f t="shared" si="52"/>
        <v>39.997002303168756</v>
      </c>
      <c r="P93" s="155">
        <f t="shared" si="52"/>
        <v>31.177528882418706</v>
      </c>
      <c r="Q93" s="155">
        <f t="shared" si="52"/>
        <v>178.48870314916448</v>
      </c>
      <c r="R93" s="155">
        <f t="shared" si="52"/>
        <v>113.02282683771948</v>
      </c>
      <c r="S93" s="155">
        <f t="shared" si="52"/>
        <v>67.454379637179102</v>
      </c>
      <c r="T93" s="155">
        <f t="shared" si="52"/>
        <v>28.516221657714475</v>
      </c>
      <c r="U93" s="155">
        <f t="shared" si="52"/>
        <v>202.30364297972577</v>
      </c>
      <c r="V93" s="155">
        <f t="shared" si="52"/>
        <v>126.3983211871241</v>
      </c>
      <c r="W93" s="155">
        <f t="shared" si="52"/>
        <v>71.417774759822734</v>
      </c>
      <c r="X93" s="155">
        <f t="shared" si="52"/>
        <v>30.321855665820852</v>
      </c>
      <c r="Y93" s="155">
        <f t="shared" si="52"/>
        <v>127.14724786869348</v>
      </c>
      <c r="Z93" s="155">
        <f t="shared" si="52"/>
        <v>82.266508439876318</v>
      </c>
      <c r="AA93" s="155">
        <f t="shared" si="52"/>
        <v>55.461497962200809</v>
      </c>
      <c r="AB93" s="155">
        <f t="shared" si="52"/>
        <v>26.236395667691355</v>
      </c>
      <c r="AC93" s="155">
        <f t="shared" si="52"/>
        <v>106.37663861450797</v>
      </c>
      <c r="AD93" s="155">
        <f t="shared" si="52"/>
        <v>69.373235107372182</v>
      </c>
      <c r="AE93" s="155">
        <f t="shared" si="52"/>
        <v>41.685653267655191</v>
      </c>
      <c r="AF93" s="155">
        <f t="shared" si="52"/>
        <v>18.923773525230544</v>
      </c>
      <c r="AG93" s="155">
        <f t="shared" si="52"/>
        <v>79.813605397036241</v>
      </c>
      <c r="AH93" s="155">
        <f t="shared" si="52"/>
        <v>56.194216294685418</v>
      </c>
      <c r="AI93" s="155">
        <f t="shared" si="52"/>
        <v>43.795646930145232</v>
      </c>
      <c r="AJ93" s="155">
        <f t="shared" si="52"/>
        <v>26.744505108209594</v>
      </c>
      <c r="AK93" s="155">
        <f t="shared" si="52"/>
        <v>84.512548535299373</v>
      </c>
      <c r="AL93" s="155">
        <f t="shared" si="52"/>
        <v>64.272996198332663</v>
      </c>
      <c r="AM93" s="155">
        <f t="shared" si="52"/>
        <v>685.30785620408437</v>
      </c>
      <c r="AN93" s="155" t="e">
        <f t="shared" si="52"/>
        <v>#DIV/0!</v>
      </c>
      <c r="AO93" s="155" t="e">
        <f t="shared" si="52"/>
        <v>#DIV/0!</v>
      </c>
      <c r="AP93" s="155" t="e">
        <f t="shared" si="52"/>
        <v>#DIV/0!</v>
      </c>
      <c r="AQ93" s="155" t="e">
        <f t="shared" si="52"/>
        <v>#DIV/0!</v>
      </c>
      <c r="AR93" s="155" t="e">
        <f t="shared" si="52"/>
        <v>#DIV/0!</v>
      </c>
      <c r="AS93" s="155" t="e">
        <f t="shared" si="52"/>
        <v>#DIV/0!</v>
      </c>
      <c r="AT93" s="155" t="e">
        <f t="shared" si="52"/>
        <v>#DIV/0!</v>
      </c>
      <c r="AU93" s="155" t="e">
        <f t="shared" si="52"/>
        <v>#DIV/0!</v>
      </c>
      <c r="AV93" s="155" t="e">
        <f t="shared" si="52"/>
        <v>#DIV/0!</v>
      </c>
      <c r="AW93" s="155" t="e">
        <f t="shared" si="52"/>
        <v>#DIV/0!</v>
      </c>
      <c r="AX93" s="155" t="e">
        <f t="shared" si="52"/>
        <v>#DIV/0!</v>
      </c>
      <c r="AY93" s="155" t="e">
        <f t="shared" si="52"/>
        <v>#DIV/0!</v>
      </c>
      <c r="AZ93" s="155" t="e">
        <f t="shared" si="52"/>
        <v>#DIV/0!</v>
      </c>
      <c r="BA93" s="155" t="e">
        <f t="shared" si="52"/>
        <v>#DIV/0!</v>
      </c>
      <c r="BB93" s="155" t="e">
        <f t="shared" si="52"/>
        <v>#DIV/0!</v>
      </c>
      <c r="BC93" s="155" t="e">
        <f t="shared" si="52"/>
        <v>#DIV/0!</v>
      </c>
      <c r="BD93" s="155" t="e">
        <f t="shared" si="52"/>
        <v>#DIV/0!</v>
      </c>
      <c r="BE93" s="155" t="e">
        <f t="shared" si="52"/>
        <v>#DIV/0!</v>
      </c>
      <c r="BF93" s="155" t="e">
        <f t="shared" si="52"/>
        <v>#DIV/0!</v>
      </c>
      <c r="BG93" s="155" t="e">
        <f t="shared" si="52"/>
        <v>#DIV/0!</v>
      </c>
      <c r="BH93" s="155" t="e">
        <f t="shared" si="52"/>
        <v>#DIV/0!</v>
      </c>
      <c r="BI93" s="155" t="e">
        <f t="shared" si="52"/>
        <v>#DIV/0!</v>
      </c>
      <c r="BJ93" s="155" t="e">
        <f t="shared" si="52"/>
        <v>#DIV/0!</v>
      </c>
      <c r="BK93" s="155" t="e">
        <f t="shared" si="52"/>
        <v>#DIV/0!</v>
      </c>
      <c r="BL93" s="155" t="e">
        <f t="shared" si="52"/>
        <v>#DIV/0!</v>
      </c>
      <c r="BM93" s="155" t="e">
        <f t="shared" si="52"/>
        <v>#DIV/0!</v>
      </c>
      <c r="BN93" s="155" t="e">
        <f t="shared" si="52"/>
        <v>#DIV/0!</v>
      </c>
      <c r="BO93" s="155" t="e">
        <f t="shared" si="52"/>
        <v>#DIV/0!</v>
      </c>
      <c r="BP93" s="155" t="e">
        <f t="shared" si="52"/>
        <v>#DIV/0!</v>
      </c>
      <c r="BQ93" s="155" t="e">
        <f t="shared" si="52"/>
        <v>#DIV/0!</v>
      </c>
      <c r="BR93" s="155" t="e">
        <f t="shared" ref="BR93:CK93" si="53">BR81/BR92</f>
        <v>#DIV/0!</v>
      </c>
      <c r="BS93" s="155" t="e">
        <f t="shared" si="53"/>
        <v>#DIV/0!</v>
      </c>
      <c r="BT93" s="155" t="e">
        <f t="shared" si="53"/>
        <v>#DIV/0!</v>
      </c>
      <c r="BU93" s="155" t="e">
        <f t="shared" si="53"/>
        <v>#DIV/0!</v>
      </c>
      <c r="BV93" s="155" t="e">
        <f t="shared" si="53"/>
        <v>#DIV/0!</v>
      </c>
      <c r="BW93" s="155" t="e">
        <f t="shared" si="53"/>
        <v>#DIV/0!</v>
      </c>
      <c r="BX93" s="155" t="e">
        <f t="shared" si="53"/>
        <v>#DIV/0!</v>
      </c>
      <c r="BY93" s="155" t="e">
        <f t="shared" si="53"/>
        <v>#DIV/0!</v>
      </c>
      <c r="BZ93" s="155" t="e">
        <f t="shared" si="53"/>
        <v>#DIV/0!</v>
      </c>
      <c r="CA93" s="155" t="e">
        <f t="shared" si="53"/>
        <v>#DIV/0!</v>
      </c>
      <c r="CB93" s="155" t="e">
        <f t="shared" si="53"/>
        <v>#DIV/0!</v>
      </c>
      <c r="CC93" s="155" t="e">
        <f t="shared" si="53"/>
        <v>#DIV/0!</v>
      </c>
      <c r="CD93" s="155" t="e">
        <f t="shared" si="53"/>
        <v>#DIV/0!</v>
      </c>
      <c r="CE93" s="155" t="e">
        <f t="shared" si="53"/>
        <v>#DIV/0!</v>
      </c>
      <c r="CF93" s="155" t="e">
        <f t="shared" si="53"/>
        <v>#DIV/0!</v>
      </c>
      <c r="CG93" s="155" t="e">
        <f t="shared" si="53"/>
        <v>#DIV/0!</v>
      </c>
      <c r="CH93" s="155" t="e">
        <f t="shared" si="53"/>
        <v>#DIV/0!</v>
      </c>
      <c r="CI93" s="155" t="e">
        <f t="shared" si="53"/>
        <v>#DIV/0!</v>
      </c>
      <c r="CJ93" s="155" t="e">
        <f t="shared" si="53"/>
        <v>#DIV/0!</v>
      </c>
      <c r="CK93" s="155" t="e">
        <f t="shared" si="53"/>
        <v>#DIV/0!</v>
      </c>
    </row>
    <row r="94" spans="1:89" s="76" customFormat="1" x14ac:dyDescent="0.25">
      <c r="A94" s="70" t="s">
        <v>593</v>
      </c>
      <c r="E94" s="76">
        <f>资产资本表!E59</f>
        <v>0</v>
      </c>
      <c r="F94" s="76">
        <f>资产资本表!F59</f>
        <v>0</v>
      </c>
      <c r="G94" s="76">
        <f>资产资本表!G59</f>
        <v>0</v>
      </c>
      <c r="H94" s="76">
        <f>资产资本表!H59</f>
        <v>0</v>
      </c>
      <c r="I94" s="76">
        <f>资产资本表!I59</f>
        <v>0</v>
      </c>
      <c r="J94" s="76">
        <f>资产资本表!J59</f>
        <v>0</v>
      </c>
      <c r="K94" s="76">
        <f>资产资本表!K59</f>
        <v>0</v>
      </c>
      <c r="L94" s="76">
        <f>资产资本表!L59</f>
        <v>0</v>
      </c>
      <c r="M94" s="76">
        <f>资产资本表!M59</f>
        <v>0</v>
      </c>
      <c r="N94" s="76">
        <f>资产资本表!N59</f>
        <v>0</v>
      </c>
      <c r="O94" s="76">
        <f>资产资本表!O59</f>
        <v>0</v>
      </c>
      <c r="P94" s="76">
        <f>资产资本表!P59</f>
        <v>0</v>
      </c>
      <c r="Q94" s="76">
        <f>资产资本表!Q59</f>
        <v>0</v>
      </c>
      <c r="R94" s="76">
        <f>资产资本表!R59</f>
        <v>0</v>
      </c>
      <c r="S94" s="76">
        <f>资产资本表!S59</f>
        <v>0</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x14ac:dyDescent="0.25">
      <c r="A95" s="70" t="s">
        <v>594</v>
      </c>
      <c r="E95" s="76">
        <f>资产资本表!E60</f>
        <v>248964102.97</v>
      </c>
      <c r="F95" s="76">
        <f>资产资本表!F60</f>
        <v>248364401.47</v>
      </c>
      <c r="G95" s="76">
        <f>资产资本表!G60</f>
        <v>248364401.47</v>
      </c>
      <c r="H95" s="76">
        <f>资产资本表!H60</f>
        <v>248364401.47</v>
      </c>
      <c r="I95" s="76">
        <f>资产资本表!I60</f>
        <v>248364401.47</v>
      </c>
      <c r="J95" s="76">
        <f>资产资本表!J60</f>
        <v>248364401.47</v>
      </c>
      <c r="K95" s="76">
        <f>资产资本表!K60</f>
        <v>248364401.47</v>
      </c>
      <c r="L95" s="76">
        <f>资产资本表!L60</f>
        <v>117872774.01000001</v>
      </c>
      <c r="M95" s="76">
        <f>资产资本表!M60</f>
        <v>117860200.59</v>
      </c>
      <c r="N95" s="76">
        <f>资产资本表!N60</f>
        <v>117860200.59</v>
      </c>
      <c r="O95" s="76">
        <f>资产资本表!O60</f>
        <v>117860200.59</v>
      </c>
      <c r="P95" s="76">
        <f>资产资本表!P60</f>
        <v>117860200.59</v>
      </c>
      <c r="Q95" s="76">
        <f>资产资本表!Q60</f>
        <v>117860200.59</v>
      </c>
      <c r="R95" s="76">
        <f>资产资本表!R60</f>
        <v>117860200.59</v>
      </c>
      <c r="S95" s="76">
        <f>资产资本表!S60</f>
        <v>117860200.59</v>
      </c>
      <c r="T95" s="76">
        <f>资产资本表!T60</f>
        <v>117860200.59</v>
      </c>
      <c r="U95" s="76">
        <f>资产资本表!U60</f>
        <v>117860200.59</v>
      </c>
      <c r="V95" s="76">
        <f>资产资本表!V60</f>
        <v>123118922.78</v>
      </c>
      <c r="W95" s="76">
        <f>资产资本表!W60</f>
        <v>143420026.66999999</v>
      </c>
      <c r="X95" s="76">
        <f>资产资本表!X60</f>
        <v>143420026.66999999</v>
      </c>
      <c r="Y95" s="76">
        <f>资产资本表!Y60</f>
        <v>131016265.7</v>
      </c>
      <c r="Z95" s="76">
        <f>资产资本表!Z60</f>
        <v>131016265.7</v>
      </c>
      <c r="AA95" s="76">
        <f>资产资本表!AA60</f>
        <v>131016265.7</v>
      </c>
      <c r="AB95" s="76">
        <f>资产资本表!AB60</f>
        <v>69693394.069999993</v>
      </c>
      <c r="AC95" s="76">
        <f>资产资本表!AC60</f>
        <v>69693394.069999993</v>
      </c>
      <c r="AD95" s="76">
        <f>资产资本表!AD60</f>
        <v>69693394.069999993</v>
      </c>
      <c r="AE95" s="76">
        <f>资产资本表!AE60</f>
        <v>69693394.069999993</v>
      </c>
      <c r="AF95" s="76">
        <f>资产资本表!AF60</f>
        <v>70563394.069999993</v>
      </c>
      <c r="AG95" s="76">
        <f>资产资本表!AG60</f>
        <v>67349.64</v>
      </c>
      <c r="AH95" s="76">
        <f>资产资本表!AH60</f>
        <v>67349.64</v>
      </c>
      <c r="AI95" s="76">
        <f>资产资本表!AI60</f>
        <v>67349.64</v>
      </c>
      <c r="AJ95" s="76">
        <f>资产资本表!AJ60</f>
        <v>67349.64</v>
      </c>
      <c r="AK95" s="76">
        <f>资产资本表!AK60</f>
        <v>0</v>
      </c>
      <c r="AL95" s="76">
        <f>资产资本表!AL60</f>
        <v>0</v>
      </c>
      <c r="AM95" s="76">
        <f>资产资本表!AM60</f>
        <v>2250467.4300000002</v>
      </c>
      <c r="AN95" s="76">
        <f>资产资本表!AN60</f>
        <v>0</v>
      </c>
      <c r="AO95" s="76">
        <f>资产资本表!AO60</f>
        <v>0</v>
      </c>
      <c r="AP95" s="76">
        <f>资产资本表!AP60</f>
        <v>0</v>
      </c>
      <c r="AQ95" s="76">
        <f>资产资本表!AQ60</f>
        <v>0</v>
      </c>
      <c r="AR95" s="76">
        <f>资产资本表!AR60</f>
        <v>0</v>
      </c>
      <c r="AS95" s="76">
        <f>资产资本表!AS60</f>
        <v>0</v>
      </c>
      <c r="AT95" s="76">
        <f>资产资本表!AT60</f>
        <v>0</v>
      </c>
      <c r="AU95" s="76">
        <f>资产资本表!AU60</f>
        <v>0</v>
      </c>
      <c r="AV95" s="76">
        <f>资产资本表!AV60</f>
        <v>0</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x14ac:dyDescent="0.25">
      <c r="A96" s="70" t="s">
        <v>595</v>
      </c>
      <c r="E96" s="76">
        <f>资产资本表!E61</f>
        <v>0</v>
      </c>
      <c r="F96" s="76">
        <f>资产资本表!F61</f>
        <v>0</v>
      </c>
      <c r="G96" s="76">
        <f>资产资本表!G61</f>
        <v>0</v>
      </c>
      <c r="H96" s="76">
        <f>资产资本表!H61</f>
        <v>0</v>
      </c>
      <c r="I96" s="76">
        <f>资产资本表!I61</f>
        <v>0</v>
      </c>
      <c r="J96" s="76">
        <f>资产资本表!J61</f>
        <v>0</v>
      </c>
      <c r="K96" s="76">
        <f>资产资本表!K61</f>
        <v>0</v>
      </c>
      <c r="L96" s="76">
        <f>资产资本表!L61</f>
        <v>0</v>
      </c>
      <c r="M96" s="76">
        <f>资产资本表!M61</f>
        <v>0</v>
      </c>
      <c r="N96" s="76">
        <f>资产资本表!N61</f>
        <v>0</v>
      </c>
      <c r="O96" s="76">
        <f>资产资本表!O61</f>
        <v>0</v>
      </c>
      <c r="P96" s="76">
        <f>资产资本表!P61</f>
        <v>0</v>
      </c>
      <c r="Q96" s="76">
        <f>资产资本表!Q61</f>
        <v>0</v>
      </c>
      <c r="R96" s="76">
        <f>资产资本表!R61</f>
        <v>0</v>
      </c>
      <c r="S96" s="76">
        <f>资产资本表!S61</f>
        <v>0</v>
      </c>
      <c r="T96" s="76">
        <f>资产资本表!T61</f>
        <v>311044.7</v>
      </c>
      <c r="U96" s="76">
        <f>资产资本表!U61</f>
        <v>0</v>
      </c>
      <c r="V96" s="76">
        <f>资产资本表!V61</f>
        <v>275575.23</v>
      </c>
      <c r="W96" s="76">
        <f>资产资本表!W61</f>
        <v>413362.23</v>
      </c>
      <c r="X96" s="76">
        <f>资产资本表!X61</f>
        <v>551149.23</v>
      </c>
      <c r="Y96" s="76">
        <f>资产资本表!Y61</f>
        <v>745110.92</v>
      </c>
      <c r="Z96" s="76">
        <f>资产资本表!Z61</f>
        <v>0</v>
      </c>
      <c r="AA96" s="76">
        <f>资产资本表!AA61</f>
        <v>0</v>
      </c>
      <c r="AB96" s="76">
        <f>资产资本表!AB61</f>
        <v>0</v>
      </c>
      <c r="AC96" s="76">
        <f>资产资本表!AC61</f>
        <v>0</v>
      </c>
      <c r="AD96" s="76">
        <f>资产资本表!AD61</f>
        <v>0</v>
      </c>
      <c r="AE96" s="76">
        <f>资产资本表!AE61</f>
        <v>0</v>
      </c>
      <c r="AF96" s="76">
        <f>资产资本表!AF61</f>
        <v>0</v>
      </c>
      <c r="AG96" s="76">
        <f>资产资本表!AG61</f>
        <v>0</v>
      </c>
      <c r="AH96" s="76">
        <f>资产资本表!AH61</f>
        <v>0</v>
      </c>
      <c r="AI96" s="76">
        <f>资产资本表!AI61</f>
        <v>0</v>
      </c>
      <c r="AJ96" s="76">
        <f>资产资本表!AJ61</f>
        <v>0</v>
      </c>
      <c r="AK96" s="76">
        <f>资产资本表!AK61</f>
        <v>0</v>
      </c>
      <c r="AL96" s="76">
        <f>资产资本表!AL61</f>
        <v>0</v>
      </c>
      <c r="AM96" s="76">
        <f>资产资本表!AM61</f>
        <v>0</v>
      </c>
      <c r="AN96" s="76">
        <f>资产资本表!AN61</f>
        <v>0</v>
      </c>
      <c r="AO96" s="76">
        <f>资产资本表!AO61</f>
        <v>0</v>
      </c>
      <c r="AP96" s="76">
        <f>资产资本表!AP61</f>
        <v>0</v>
      </c>
      <c r="AQ96" s="76">
        <f>资产资本表!AQ61</f>
        <v>0</v>
      </c>
      <c r="AR96" s="76">
        <f>资产资本表!AR61</f>
        <v>0</v>
      </c>
      <c r="AS96" s="76">
        <f>资产资本表!AS61</f>
        <v>0</v>
      </c>
      <c r="AT96" s="76">
        <f>资产资本表!AT61</f>
        <v>0</v>
      </c>
      <c r="AU96" s="76">
        <f>资产资本表!AU61</f>
        <v>0</v>
      </c>
      <c r="AV96" s="76">
        <f>资产资本表!AV61</f>
        <v>0</v>
      </c>
      <c r="AW96" s="76">
        <f>资产资本表!AW61</f>
        <v>0</v>
      </c>
      <c r="AX96" s="76">
        <f>资产资本表!AX61</f>
        <v>0</v>
      </c>
      <c r="AY96" s="76">
        <f>资产资本表!AY61</f>
        <v>0</v>
      </c>
      <c r="AZ96" s="76">
        <f>资产资本表!AZ61</f>
        <v>0</v>
      </c>
      <c r="BA96" s="76">
        <f>资产资本表!BA61</f>
        <v>0</v>
      </c>
      <c r="BB96" s="76">
        <f>资产资本表!BB61</f>
        <v>0</v>
      </c>
      <c r="BC96" s="76">
        <f>资产资本表!BC61</f>
        <v>0</v>
      </c>
      <c r="BD96" s="76">
        <f>资产资本表!BD61</f>
        <v>0</v>
      </c>
      <c r="BE96" s="76">
        <f>资产资本表!BE61</f>
        <v>0</v>
      </c>
      <c r="BF96" s="76">
        <f>资产资本表!BF61</f>
        <v>0</v>
      </c>
      <c r="BG96" s="76">
        <f>资产资本表!BG61</f>
        <v>0</v>
      </c>
      <c r="BH96" s="76">
        <f>资产资本表!BH61</f>
        <v>0</v>
      </c>
      <c r="BI96" s="76">
        <f>资产资本表!BI61</f>
        <v>0</v>
      </c>
      <c r="BJ96" s="76">
        <f>资产资本表!BJ61</f>
        <v>0</v>
      </c>
      <c r="BK96" s="76">
        <f>资产资本表!BK61</f>
        <v>0</v>
      </c>
      <c r="BL96" s="76">
        <f>资产资本表!BL61</f>
        <v>0</v>
      </c>
      <c r="BM96" s="76">
        <f>资产资本表!BM61</f>
        <v>0</v>
      </c>
      <c r="BN96" s="76">
        <f>资产资本表!BN61</f>
        <v>0</v>
      </c>
      <c r="BO96" s="76">
        <f>资产资本表!BO61</f>
        <v>0</v>
      </c>
      <c r="BP96" s="76">
        <f>资产资本表!BP61</f>
        <v>0</v>
      </c>
      <c r="BQ96" s="76">
        <f>资产资本表!BQ61</f>
        <v>0</v>
      </c>
      <c r="BR96" s="76">
        <f>资产资本表!BR61</f>
        <v>0</v>
      </c>
      <c r="BS96" s="76">
        <f>资产资本表!BS61</f>
        <v>0</v>
      </c>
      <c r="BT96" s="76">
        <f>资产资本表!BT61</f>
        <v>0</v>
      </c>
      <c r="BU96" s="76">
        <f>资产资本表!BU61</f>
        <v>0</v>
      </c>
      <c r="BV96" s="76">
        <f>资产资本表!BV61</f>
        <v>0</v>
      </c>
      <c r="BW96" s="76">
        <f>资产资本表!BW61</f>
        <v>0</v>
      </c>
      <c r="BX96" s="76">
        <f>资产资本表!BX61</f>
        <v>0</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x14ac:dyDescent="0.25">
      <c r="A97" s="70" t="s">
        <v>596</v>
      </c>
      <c r="E97" s="76">
        <f>资产资本表!E62</f>
        <v>479070649.49000001</v>
      </c>
      <c r="F97" s="76">
        <f>资产资本表!F62</f>
        <v>444377346.58999997</v>
      </c>
      <c r="G97" s="76">
        <f>资产资本表!G62</f>
        <v>434325165.57999998</v>
      </c>
      <c r="H97" s="76">
        <f>资产资本表!H62</f>
        <v>375255076.61000001</v>
      </c>
      <c r="I97" s="76">
        <f>资产资本表!I62</f>
        <v>375255076.61000001</v>
      </c>
      <c r="J97" s="76">
        <f>资产资本表!J62</f>
        <v>326336511.64999998</v>
      </c>
      <c r="K97" s="76">
        <f>资产资本表!K62</f>
        <v>326237119.94999999</v>
      </c>
      <c r="L97" s="76">
        <f>资产资本表!L62</f>
        <v>261215909.72</v>
      </c>
      <c r="M97" s="76">
        <f>资产资本表!M62</f>
        <v>261215909.72</v>
      </c>
      <c r="N97" s="76">
        <f>资产资本表!N62</f>
        <v>134739133.13</v>
      </c>
      <c r="O97" s="76">
        <f>资产资本表!O62</f>
        <v>134620084.93000001</v>
      </c>
      <c r="P97" s="76">
        <f>资产资本表!P62</f>
        <v>96083495.819999993</v>
      </c>
      <c r="Q97" s="76">
        <f>资产资本表!Q62</f>
        <v>96083495.819999993</v>
      </c>
      <c r="R97" s="76">
        <f>资产资本表!R62</f>
        <v>81730330</v>
      </c>
      <c r="S97" s="76">
        <f>资产资本表!S62</f>
        <v>81692060.599999994</v>
      </c>
      <c r="T97" s="76">
        <f>资产资本表!T62</f>
        <v>63674762.850000001</v>
      </c>
      <c r="U97" s="76">
        <f>资产资本表!U62</f>
        <v>63674762.850000001</v>
      </c>
      <c r="V97" s="76">
        <f>资产资本表!V62</f>
        <v>74636234.549999997</v>
      </c>
      <c r="W97" s="76">
        <f>资产资本表!W62</f>
        <v>74663257.939999998</v>
      </c>
      <c r="X97" s="76">
        <f>资产资本表!X62</f>
        <v>36640332.420000002</v>
      </c>
      <c r="Y97" s="76">
        <f>资产资本表!Y62</f>
        <v>37763183.469999999</v>
      </c>
      <c r="Z97" s="76">
        <f>资产资本表!Z62</f>
        <v>68631644.450000003</v>
      </c>
      <c r="AA97" s="76">
        <f>资产资本表!AA62</f>
        <v>68631644.450000003</v>
      </c>
      <c r="AB97" s="76">
        <f>资产资本表!AB62</f>
        <v>52080657.850000001</v>
      </c>
      <c r="AC97" s="76">
        <f>资产资本表!AC62</f>
        <v>52080657.850000001</v>
      </c>
      <c r="AD97" s="76">
        <f>资产资本表!AD62</f>
        <v>60162605.93</v>
      </c>
      <c r="AE97" s="76">
        <f>资产资本表!AE62</f>
        <v>60162605.93</v>
      </c>
      <c r="AF97" s="76">
        <f>资产资本表!AF62</f>
        <v>46695410.369999997</v>
      </c>
      <c r="AG97" s="76">
        <f>资产资本表!AG62</f>
        <v>46230589.229999997</v>
      </c>
      <c r="AH97" s="76">
        <f>资产资本表!AH62</f>
        <v>30361708.129999999</v>
      </c>
      <c r="AI97" s="76">
        <f>资产资本表!AI62</f>
        <v>30361708.129999999</v>
      </c>
      <c r="AJ97" s="76">
        <f>资产资本表!AJ62</f>
        <v>20070980.800000001</v>
      </c>
      <c r="AK97" s="76">
        <f>资产资本表!AK62</f>
        <v>20070980.800000001</v>
      </c>
      <c r="AL97" s="76">
        <f>资产资本表!AL62</f>
        <v>12850861.26</v>
      </c>
      <c r="AM97" s="76">
        <f>资产资本表!AM62</f>
        <v>13600712.779999999</v>
      </c>
      <c r="AN97" s="76">
        <f>资产资本表!AN62</f>
        <v>0</v>
      </c>
      <c r="AO97" s="76">
        <f>资产资本表!AO62</f>
        <v>0</v>
      </c>
      <c r="AP97" s="76">
        <f>资产资本表!AP62</f>
        <v>0</v>
      </c>
      <c r="AQ97" s="76">
        <f>资产资本表!AQ62</f>
        <v>0</v>
      </c>
      <c r="AR97" s="76">
        <f>资产资本表!AR62</f>
        <v>0</v>
      </c>
      <c r="AS97" s="76">
        <f>资产资本表!AS62</f>
        <v>0</v>
      </c>
      <c r="AT97" s="76">
        <f>资产资本表!AT62</f>
        <v>0</v>
      </c>
      <c r="AU97" s="76">
        <f>资产资本表!AU62</f>
        <v>0</v>
      </c>
      <c r="AV97" s="76">
        <f>资产资本表!AV62</f>
        <v>0</v>
      </c>
      <c r="AW97" s="76">
        <f>资产资本表!AW62</f>
        <v>0</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x14ac:dyDescent="0.25">
      <c r="A98" s="70" t="s">
        <v>597</v>
      </c>
      <c r="E98" s="76">
        <f>资产资本表!E63</f>
        <v>0</v>
      </c>
      <c r="F98" s="76">
        <f>资产资本表!F63</f>
        <v>0</v>
      </c>
      <c r="G98" s="76">
        <f>资产资本表!G63</f>
        <v>0</v>
      </c>
      <c r="H98" s="76">
        <f>资产资本表!H63</f>
        <v>0</v>
      </c>
      <c r="I98" s="76">
        <f>资产资本表!I63</f>
        <v>0</v>
      </c>
      <c r="J98" s="76">
        <f>资产资本表!J63</f>
        <v>0</v>
      </c>
      <c r="K98" s="76">
        <f>资产资本表!K63</f>
        <v>0</v>
      </c>
      <c r="L98" s="76">
        <f>资产资本表!L63</f>
        <v>0</v>
      </c>
      <c r="M98" s="76">
        <f>资产资本表!M63</f>
        <v>0</v>
      </c>
      <c r="N98" s="76">
        <f>资产资本表!N63</f>
        <v>0</v>
      </c>
      <c r="O98" s="76">
        <f>资产资本表!O63</f>
        <v>0</v>
      </c>
      <c r="P98" s="76">
        <f>资产资本表!P63</f>
        <v>0</v>
      </c>
      <c r="Q98" s="76">
        <f>资产资本表!Q63</f>
        <v>0</v>
      </c>
      <c r="R98" s="76">
        <f>资产资本表!R63</f>
        <v>0</v>
      </c>
      <c r="S98" s="76">
        <f>资产资本表!S63</f>
        <v>0</v>
      </c>
      <c r="T98" s="76">
        <f>资产资本表!T63</f>
        <v>0</v>
      </c>
      <c r="U98" s="76">
        <f>资产资本表!U63</f>
        <v>0</v>
      </c>
      <c r="V98" s="76">
        <f>资产资本表!V63</f>
        <v>0</v>
      </c>
      <c r="W98" s="76">
        <f>资产资本表!W63</f>
        <v>0</v>
      </c>
      <c r="X98" s="76">
        <f>资产资本表!X63</f>
        <v>0</v>
      </c>
      <c r="Y98" s="76">
        <f>资产资本表!Y63</f>
        <v>0</v>
      </c>
      <c r="Z98" s="76">
        <f>资产资本表!Z63</f>
        <v>0</v>
      </c>
      <c r="AA98" s="76">
        <f>资产资本表!AA63</f>
        <v>0</v>
      </c>
      <c r="AB98" s="76">
        <f>资产资本表!AB63</f>
        <v>0</v>
      </c>
      <c r="AC98" s="76">
        <f>资产资本表!AC63</f>
        <v>0</v>
      </c>
      <c r="AD98" s="76">
        <f>资产资本表!AD63</f>
        <v>0</v>
      </c>
      <c r="AE98" s="76">
        <f>资产资本表!AE63</f>
        <v>0</v>
      </c>
      <c r="AF98" s="76">
        <f>资产资本表!AF63</f>
        <v>0</v>
      </c>
      <c r="AG98" s="76">
        <f>资产资本表!AG63</f>
        <v>0</v>
      </c>
      <c r="AH98" s="76">
        <f>资产资本表!AH63</f>
        <v>0</v>
      </c>
      <c r="AI98" s="76">
        <f>资产资本表!AI63</f>
        <v>0</v>
      </c>
      <c r="AJ98" s="76">
        <f>资产资本表!AJ63</f>
        <v>0</v>
      </c>
      <c r="AK98" s="76">
        <f>资产资本表!AK63</f>
        <v>0</v>
      </c>
      <c r="AL98" s="76">
        <f>资产资本表!AL63</f>
        <v>0</v>
      </c>
      <c r="AM98" s="76">
        <f>资产资本表!AM63</f>
        <v>0</v>
      </c>
      <c r="AN98" s="76">
        <f>资产资本表!AN63</f>
        <v>0</v>
      </c>
      <c r="AO98" s="76">
        <f>资产资本表!AO63</f>
        <v>0</v>
      </c>
      <c r="AP98" s="76">
        <f>资产资本表!AP63</f>
        <v>0</v>
      </c>
      <c r="AQ98" s="76">
        <f>资产资本表!AQ63</f>
        <v>0</v>
      </c>
      <c r="AR98" s="76">
        <f>资产资本表!AR63</f>
        <v>0</v>
      </c>
      <c r="AS98" s="76">
        <f>资产资本表!AS63</f>
        <v>0</v>
      </c>
      <c r="AT98" s="76">
        <f>资产资本表!AT63</f>
        <v>0</v>
      </c>
      <c r="AU98" s="76">
        <f>资产资本表!AU63</f>
        <v>0</v>
      </c>
      <c r="AV98" s="76">
        <f>资产资本表!AV63</f>
        <v>0</v>
      </c>
      <c r="AW98" s="76">
        <f>资产资本表!AW63</f>
        <v>0</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0</v>
      </c>
      <c r="BO98" s="76">
        <f>资产资本表!BO63</f>
        <v>0</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5" thickBot="1" x14ac:dyDescent="0.3">
      <c r="A99" s="74" t="s">
        <v>598</v>
      </c>
      <c r="E99" s="93">
        <f>资产资本表!E64</f>
        <v>858796668.13</v>
      </c>
      <c r="F99" s="93">
        <f>资产资本表!F64</f>
        <v>31607418</v>
      </c>
      <c r="G99" s="93">
        <f>资产资本表!G64</f>
        <v>29919422.699999999</v>
      </c>
      <c r="H99" s="93">
        <f>资产资本表!H64</f>
        <v>48606165.229999997</v>
      </c>
      <c r="I99" s="93">
        <f>资产资本表!I64</f>
        <v>40999684.420000002</v>
      </c>
      <c r="J99" s="93">
        <f>资产资本表!J64</f>
        <v>0</v>
      </c>
      <c r="K99" s="93">
        <f>资产资本表!K64</f>
        <v>18000000</v>
      </c>
      <c r="L99" s="93">
        <f>资产资本表!L64</f>
        <v>18000000</v>
      </c>
      <c r="M99" s="93">
        <f>资产资本表!M64</f>
        <v>18000000</v>
      </c>
      <c r="N99" s="93">
        <f>资产资本表!N64</f>
        <v>312821179.80000001</v>
      </c>
      <c r="O99" s="93">
        <f>资产资本表!O64</f>
        <v>231861158.13999999</v>
      </c>
      <c r="P99" s="93">
        <f>资产资本表!P64</f>
        <v>221453440.81</v>
      </c>
      <c r="Q99" s="93">
        <f>资产资本表!Q64</f>
        <v>254841255.13999999</v>
      </c>
      <c r="R99" s="93">
        <f>资产资本表!R64</f>
        <v>231185450.69</v>
      </c>
      <c r="S99" s="93">
        <f>资产资本表!S64</f>
        <v>232385803.84999999</v>
      </c>
      <c r="T99" s="93">
        <f>资产资本表!T64</f>
        <v>376679989.85000002</v>
      </c>
      <c r="U99" s="93">
        <f>资产资本表!U64</f>
        <v>321800737.06999999</v>
      </c>
      <c r="V99" s="93">
        <f>资产资本表!V64</f>
        <v>298314196</v>
      </c>
      <c r="W99" s="93">
        <f>资产资本表!W64</f>
        <v>297837460</v>
      </c>
      <c r="X99" s="93">
        <f>资产资本表!X64</f>
        <v>281332336</v>
      </c>
      <c r="Y99" s="93">
        <f>资产资本表!Y64</f>
        <v>280932336</v>
      </c>
      <c r="Z99" s="93">
        <f>资产资本表!Z64</f>
        <v>0</v>
      </c>
      <c r="AA99" s="93">
        <f>资产资本表!AA64</f>
        <v>0</v>
      </c>
      <c r="AB99" s="93">
        <f>资产资本表!AB64</f>
        <v>0</v>
      </c>
      <c r="AC99" s="93">
        <f>资产资本表!AC64</f>
        <v>0</v>
      </c>
      <c r="AD99" s="93">
        <f>资产资本表!AD64</f>
        <v>0</v>
      </c>
      <c r="AE99" s="93">
        <f>资产资本表!AE64</f>
        <v>0</v>
      </c>
      <c r="AF99" s="93">
        <f>资产资本表!AF64</f>
        <v>0</v>
      </c>
      <c r="AG99" s="93">
        <f>资产资本表!AG64</f>
        <v>0</v>
      </c>
      <c r="AH99" s="93">
        <f>资产资本表!AH64</f>
        <v>0</v>
      </c>
      <c r="AI99" s="93">
        <f>资产资本表!AI64</f>
        <v>0</v>
      </c>
      <c r="AJ99" s="93">
        <f>资产资本表!AJ64</f>
        <v>0</v>
      </c>
      <c r="AK99" s="93">
        <f>资产资本表!AK64</f>
        <v>0</v>
      </c>
      <c r="AL99" s="93">
        <f>资产资本表!AL64</f>
        <v>0</v>
      </c>
      <c r="AM99" s="93">
        <f>资产资本表!AM64</f>
        <v>0</v>
      </c>
      <c r="AN99" s="93">
        <f>资产资本表!AN64</f>
        <v>0</v>
      </c>
      <c r="AO99" s="93">
        <f>资产资本表!AO64</f>
        <v>0</v>
      </c>
      <c r="AP99" s="93">
        <f>资产资本表!AP64</f>
        <v>0</v>
      </c>
      <c r="AQ99" s="93">
        <f>资产资本表!AQ64</f>
        <v>0</v>
      </c>
      <c r="AR99" s="93">
        <f>资产资本表!AR64</f>
        <v>0</v>
      </c>
      <c r="AS99" s="93">
        <f>资产资本表!AS64</f>
        <v>0</v>
      </c>
      <c r="AT99" s="93">
        <f>资产资本表!AT64</f>
        <v>0</v>
      </c>
      <c r="AU99" s="93">
        <f>资产资本表!AU64</f>
        <v>0</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0</v>
      </c>
      <c r="BW99" s="93">
        <f>资产资本表!BW64</f>
        <v>0</v>
      </c>
      <c r="BX99" s="93">
        <f>资产资本表!BX64</f>
        <v>0</v>
      </c>
      <c r="BY99" s="93">
        <f>资产资本表!BY64</f>
        <v>0</v>
      </c>
      <c r="BZ99" s="93">
        <f>资产资本表!BZ64</f>
        <v>0</v>
      </c>
      <c r="CA99" s="93">
        <f>资产资本表!CA64</f>
        <v>0</v>
      </c>
      <c r="CB99" s="93">
        <f>资产资本表!CB64</f>
        <v>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s="197" customFormat="1" x14ac:dyDescent="0.25">
      <c r="A100" s="88" t="s">
        <v>688</v>
      </c>
      <c r="E100" s="197">
        <f>(E84+I84)/2</f>
        <v>2938884554.4899998</v>
      </c>
      <c r="F100" s="197">
        <f t="shared" ref="F100:BQ100" si="54">(F84+J84)/2</f>
        <v>2817088091.125</v>
      </c>
      <c r="G100" s="197">
        <f t="shared" si="54"/>
        <v>2815535829.875</v>
      </c>
      <c r="H100" s="197">
        <f t="shared" si="54"/>
        <v>2387857358.73</v>
      </c>
      <c r="I100" s="197">
        <f t="shared" si="54"/>
        <v>2370492189.375</v>
      </c>
      <c r="J100" s="197">
        <f t="shared" si="54"/>
        <v>2201231021.5599999</v>
      </c>
      <c r="K100" s="197">
        <f t="shared" si="54"/>
        <v>2175615528.1700001</v>
      </c>
      <c r="L100" s="197">
        <f t="shared" si="54"/>
        <v>1790686819.96</v>
      </c>
      <c r="M100" s="197">
        <f t="shared" si="54"/>
        <v>1693828197.0799999</v>
      </c>
      <c r="N100" s="197">
        <f t="shared" si="54"/>
        <v>1566334217.9949999</v>
      </c>
      <c r="O100" s="197">
        <f t="shared" si="54"/>
        <v>1518976077.665</v>
      </c>
      <c r="P100" s="197">
        <f t="shared" si="54"/>
        <v>1194799845.2449999</v>
      </c>
      <c r="Q100" s="197">
        <f t="shared" si="54"/>
        <v>1118063429.395</v>
      </c>
      <c r="R100" s="197">
        <f t="shared" si="54"/>
        <v>1075222764.21</v>
      </c>
      <c r="S100" s="197">
        <f t="shared" si="54"/>
        <v>1023183073.1849999</v>
      </c>
      <c r="T100" s="197">
        <f t="shared" si="54"/>
        <v>693721210.28499997</v>
      </c>
      <c r="U100" s="197">
        <f t="shared" si="54"/>
        <v>692495966.40499997</v>
      </c>
      <c r="V100" s="197">
        <f t="shared" si="54"/>
        <v>677380208.34000003</v>
      </c>
      <c r="W100" s="197">
        <f t="shared" si="54"/>
        <v>652445845.27499998</v>
      </c>
      <c r="X100" s="197">
        <f t="shared" si="54"/>
        <v>625901427.93499994</v>
      </c>
      <c r="Y100" s="197">
        <f t="shared" si="54"/>
        <v>618927843</v>
      </c>
      <c r="Z100" s="197">
        <f t="shared" si="54"/>
        <v>584318238.05500007</v>
      </c>
      <c r="AA100" s="197">
        <f t="shared" si="54"/>
        <v>564090111.04499996</v>
      </c>
      <c r="AB100" s="197">
        <f t="shared" si="54"/>
        <v>445028318.58500004</v>
      </c>
      <c r="AC100" s="197">
        <f t="shared" si="54"/>
        <v>439665593.62</v>
      </c>
      <c r="AD100" s="197">
        <f t="shared" si="54"/>
        <v>391762473.82499999</v>
      </c>
      <c r="AE100" s="197">
        <f t="shared" si="54"/>
        <v>367927252.47500002</v>
      </c>
      <c r="AF100" s="197">
        <f t="shared" si="54"/>
        <v>250759805.345</v>
      </c>
      <c r="AG100" s="197">
        <f t="shared" si="54"/>
        <v>244195615.68000001</v>
      </c>
      <c r="AH100" s="197">
        <f t="shared" si="54"/>
        <v>153215635.37</v>
      </c>
      <c r="AI100" s="197">
        <f t="shared" si="54"/>
        <v>139672052.43000001</v>
      </c>
      <c r="AJ100" s="197">
        <f t="shared" si="54"/>
        <v>104749292.06</v>
      </c>
      <c r="AK100" s="197">
        <f t="shared" si="54"/>
        <v>98817514.010000005</v>
      </c>
      <c r="AL100" s="197">
        <f t="shared" si="54"/>
        <v>25680469.175000001</v>
      </c>
      <c r="AM100" s="197">
        <f t="shared" si="54"/>
        <v>20248001.795000002</v>
      </c>
      <c r="AN100" s="197">
        <f t="shared" si="54"/>
        <v>0</v>
      </c>
      <c r="AO100" s="197">
        <f t="shared" si="54"/>
        <v>0</v>
      </c>
      <c r="AP100" s="197">
        <f t="shared" si="54"/>
        <v>0</v>
      </c>
      <c r="AQ100" s="197">
        <f t="shared" si="54"/>
        <v>0</v>
      </c>
      <c r="AR100" s="197">
        <f t="shared" si="54"/>
        <v>0</v>
      </c>
      <c r="AS100" s="197">
        <f t="shared" si="54"/>
        <v>0</v>
      </c>
      <c r="AT100" s="197">
        <f t="shared" si="54"/>
        <v>0</v>
      </c>
      <c r="AU100" s="197">
        <f t="shared" si="54"/>
        <v>0</v>
      </c>
      <c r="AV100" s="197">
        <f t="shared" si="54"/>
        <v>0</v>
      </c>
      <c r="AW100" s="197">
        <f t="shared" si="54"/>
        <v>0</v>
      </c>
      <c r="AX100" s="197">
        <f t="shared" si="54"/>
        <v>0</v>
      </c>
      <c r="AY100" s="197">
        <f t="shared" si="54"/>
        <v>0</v>
      </c>
      <c r="AZ100" s="197">
        <f t="shared" si="54"/>
        <v>0</v>
      </c>
      <c r="BA100" s="197">
        <f t="shared" si="54"/>
        <v>0</v>
      </c>
      <c r="BB100" s="197">
        <f t="shared" si="54"/>
        <v>0</v>
      </c>
      <c r="BC100" s="197">
        <f t="shared" si="54"/>
        <v>0</v>
      </c>
      <c r="BD100" s="197">
        <f t="shared" si="54"/>
        <v>0</v>
      </c>
      <c r="BE100" s="197">
        <f t="shared" si="54"/>
        <v>0</v>
      </c>
      <c r="BF100" s="197">
        <f t="shared" si="54"/>
        <v>0</v>
      </c>
      <c r="BG100" s="197">
        <f t="shared" si="54"/>
        <v>0</v>
      </c>
      <c r="BH100" s="197">
        <f t="shared" si="54"/>
        <v>0</v>
      </c>
      <c r="BI100" s="197">
        <f t="shared" si="54"/>
        <v>0</v>
      </c>
      <c r="BJ100" s="197">
        <f t="shared" si="54"/>
        <v>0</v>
      </c>
      <c r="BK100" s="197">
        <f t="shared" si="54"/>
        <v>0</v>
      </c>
      <c r="BL100" s="197">
        <f t="shared" si="54"/>
        <v>0</v>
      </c>
      <c r="BM100" s="197">
        <f t="shared" si="54"/>
        <v>0</v>
      </c>
      <c r="BN100" s="197">
        <f t="shared" si="54"/>
        <v>0</v>
      </c>
      <c r="BO100" s="197">
        <f t="shared" si="54"/>
        <v>0</v>
      </c>
      <c r="BP100" s="197">
        <f t="shared" si="54"/>
        <v>0</v>
      </c>
      <c r="BQ100" s="197">
        <f t="shared" si="54"/>
        <v>0</v>
      </c>
      <c r="BR100" s="197">
        <f t="shared" ref="BR100:CK100" si="55">(BR84+BV84)/2</f>
        <v>0</v>
      </c>
      <c r="BS100" s="197">
        <f t="shared" si="55"/>
        <v>0</v>
      </c>
      <c r="BT100" s="197">
        <f t="shared" si="55"/>
        <v>0</v>
      </c>
      <c r="BU100" s="197">
        <f t="shared" si="55"/>
        <v>0</v>
      </c>
      <c r="BV100" s="197">
        <f t="shared" si="55"/>
        <v>0</v>
      </c>
      <c r="BW100" s="197">
        <f t="shared" si="55"/>
        <v>0</v>
      </c>
      <c r="BX100" s="197">
        <f t="shared" si="55"/>
        <v>0</v>
      </c>
      <c r="BY100" s="197">
        <f t="shared" si="55"/>
        <v>0</v>
      </c>
      <c r="BZ100" s="197">
        <f t="shared" si="55"/>
        <v>0</v>
      </c>
      <c r="CA100" s="197">
        <f t="shared" si="55"/>
        <v>0</v>
      </c>
      <c r="CB100" s="197">
        <f t="shared" si="55"/>
        <v>0</v>
      </c>
      <c r="CC100" s="197">
        <f t="shared" si="55"/>
        <v>0</v>
      </c>
      <c r="CD100" s="197">
        <f t="shared" si="55"/>
        <v>0</v>
      </c>
      <c r="CE100" s="197">
        <f t="shared" si="55"/>
        <v>0</v>
      </c>
      <c r="CF100" s="197">
        <f t="shared" si="55"/>
        <v>0</v>
      </c>
      <c r="CG100" s="197">
        <f t="shared" si="55"/>
        <v>0</v>
      </c>
      <c r="CH100" s="197">
        <f t="shared" si="55"/>
        <v>0</v>
      </c>
      <c r="CI100" s="197">
        <f t="shared" si="55"/>
        <v>0</v>
      </c>
      <c r="CJ100" s="197">
        <f t="shared" si="55"/>
        <v>0</v>
      </c>
      <c r="CK100" s="197">
        <f t="shared" si="55"/>
        <v>0</v>
      </c>
    </row>
    <row r="101" spans="1:89" s="252" customFormat="1" ht="15" thickBot="1" x14ac:dyDescent="0.3">
      <c r="A101" s="253" t="s">
        <v>689</v>
      </c>
      <c r="E101" s="252">
        <f>E100/E84</f>
        <v>0.97184516402924126</v>
      </c>
      <c r="F101" s="252">
        <f t="shared" ref="F101:BQ101" si="56">F100/F84</f>
        <v>0.96195085615772857</v>
      </c>
      <c r="G101" s="252">
        <f t="shared" si="56"/>
        <v>0.95599242912642235</v>
      </c>
      <c r="H101" s="252">
        <f t="shared" si="56"/>
        <v>0.83776661544122877</v>
      </c>
      <c r="I101" s="252">
        <f t="shared" si="56"/>
        <v>0.83066053265981254</v>
      </c>
      <c r="J101" s="252">
        <f t="shared" si="56"/>
        <v>0.81356510053740683</v>
      </c>
      <c r="K101" s="252">
        <f t="shared" si="56"/>
        <v>0.81000540454921266</v>
      </c>
      <c r="L101" s="252">
        <f t="shared" si="56"/>
        <v>0.93000993740154148</v>
      </c>
      <c r="M101" s="252">
        <f t="shared" si="56"/>
        <v>0.89751568931941916</v>
      </c>
      <c r="N101" s="252">
        <f t="shared" si="56"/>
        <v>0.9231098933969718</v>
      </c>
      <c r="O101" s="252">
        <f t="shared" si="56"/>
        <v>0.91213147036062592</v>
      </c>
      <c r="P101" s="252">
        <f t="shared" si="56"/>
        <v>0.72153038033132144</v>
      </c>
      <c r="Q101" s="252">
        <f t="shared" si="56"/>
        <v>0.74516914411623714</v>
      </c>
      <c r="R101" s="252">
        <f t="shared" si="56"/>
        <v>0.74883174049927892</v>
      </c>
      <c r="S101" s="252">
        <f t="shared" si="56"/>
        <v>0.74540804982176811</v>
      </c>
      <c r="T101" s="252">
        <f t="shared" si="56"/>
        <v>0.94554270560038667</v>
      </c>
      <c r="U101" s="252">
        <f t="shared" si="56"/>
        <v>0.94126056188744722</v>
      </c>
      <c r="V101" s="252">
        <f t="shared" si="56"/>
        <v>0.94794365547844739</v>
      </c>
      <c r="W101" s="252">
        <f t="shared" si="56"/>
        <v>0.96842591276756329</v>
      </c>
      <c r="X101" s="252">
        <f t="shared" si="56"/>
        <v>0.95737654717851195</v>
      </c>
      <c r="Y101" s="252">
        <f t="shared" si="56"/>
        <v>0.95325156130187094</v>
      </c>
      <c r="Z101" s="252">
        <f t="shared" si="56"/>
        <v>0.91273788557391</v>
      </c>
      <c r="AA101" s="252">
        <f t="shared" si="56"/>
        <v>0.89371595365918122</v>
      </c>
      <c r="AB101" s="252">
        <f t="shared" si="56"/>
        <v>0.74415019891292078</v>
      </c>
      <c r="AC101" s="252">
        <f t="shared" si="56"/>
        <v>0.74700013702026458</v>
      </c>
      <c r="AD101" s="252">
        <f t="shared" si="56"/>
        <v>0.74133608168461662</v>
      </c>
      <c r="AE101" s="252">
        <f t="shared" si="56"/>
        <v>0.7402867442969443</v>
      </c>
      <c r="AF101" s="252">
        <f t="shared" si="56"/>
        <v>0.85870462237037126</v>
      </c>
      <c r="AG101" s="252">
        <f t="shared" si="56"/>
        <v>0.83986382018631023</v>
      </c>
      <c r="AH101" s="252">
        <f t="shared" si="56"/>
        <v>0.60067995338530722</v>
      </c>
      <c r="AI101" s="252">
        <f t="shared" si="56"/>
        <v>0.58477355142175125</v>
      </c>
      <c r="AJ101" s="252">
        <f t="shared" si="56"/>
        <v>0.5</v>
      </c>
      <c r="AK101" s="252">
        <f t="shared" si="56"/>
        <v>0.5</v>
      </c>
      <c r="AL101" s="252">
        <f t="shared" si="56"/>
        <v>0.5</v>
      </c>
      <c r="AM101" s="252">
        <f t="shared" si="56"/>
        <v>0.5</v>
      </c>
      <c r="AN101" s="252" t="e">
        <f t="shared" si="56"/>
        <v>#DIV/0!</v>
      </c>
      <c r="AO101" s="252" t="e">
        <f t="shared" si="56"/>
        <v>#DIV/0!</v>
      </c>
      <c r="AP101" s="252" t="e">
        <f t="shared" si="56"/>
        <v>#DIV/0!</v>
      </c>
      <c r="AQ101" s="252" t="e">
        <f t="shared" si="56"/>
        <v>#DIV/0!</v>
      </c>
      <c r="AR101" s="252" t="e">
        <f t="shared" si="56"/>
        <v>#DIV/0!</v>
      </c>
      <c r="AS101" s="252" t="e">
        <f t="shared" si="56"/>
        <v>#DIV/0!</v>
      </c>
      <c r="AT101" s="252" t="e">
        <f t="shared" si="56"/>
        <v>#DIV/0!</v>
      </c>
      <c r="AU101" s="252" t="e">
        <f t="shared" si="56"/>
        <v>#DIV/0!</v>
      </c>
      <c r="AV101" s="252" t="e">
        <f t="shared" si="56"/>
        <v>#DIV/0!</v>
      </c>
      <c r="AW101" s="252" t="e">
        <f t="shared" si="56"/>
        <v>#DIV/0!</v>
      </c>
      <c r="AX101" s="252" t="e">
        <f t="shared" si="56"/>
        <v>#DIV/0!</v>
      </c>
      <c r="AY101" s="252" t="e">
        <f t="shared" si="56"/>
        <v>#DIV/0!</v>
      </c>
      <c r="AZ101" s="252" t="e">
        <f t="shared" si="56"/>
        <v>#DIV/0!</v>
      </c>
      <c r="BA101" s="252" t="e">
        <f t="shared" si="56"/>
        <v>#DIV/0!</v>
      </c>
      <c r="BB101" s="252" t="e">
        <f t="shared" si="56"/>
        <v>#DIV/0!</v>
      </c>
      <c r="BC101" s="252" t="e">
        <f t="shared" si="56"/>
        <v>#DIV/0!</v>
      </c>
      <c r="BD101" s="252" t="e">
        <f t="shared" si="56"/>
        <v>#DIV/0!</v>
      </c>
      <c r="BE101" s="252" t="e">
        <f t="shared" si="56"/>
        <v>#DIV/0!</v>
      </c>
      <c r="BF101" s="252" t="e">
        <f t="shared" si="56"/>
        <v>#DIV/0!</v>
      </c>
      <c r="BG101" s="252" t="e">
        <f t="shared" si="56"/>
        <v>#DIV/0!</v>
      </c>
      <c r="BH101" s="252" t="e">
        <f t="shared" si="56"/>
        <v>#DIV/0!</v>
      </c>
      <c r="BI101" s="252" t="e">
        <f t="shared" si="56"/>
        <v>#DIV/0!</v>
      </c>
      <c r="BJ101" s="252" t="e">
        <f t="shared" si="56"/>
        <v>#DIV/0!</v>
      </c>
      <c r="BK101" s="252" t="e">
        <f t="shared" si="56"/>
        <v>#DIV/0!</v>
      </c>
      <c r="BL101" s="252" t="e">
        <f t="shared" si="56"/>
        <v>#DIV/0!</v>
      </c>
      <c r="BM101" s="252" t="e">
        <f t="shared" si="56"/>
        <v>#DIV/0!</v>
      </c>
      <c r="BN101" s="252" t="e">
        <f t="shared" si="56"/>
        <v>#DIV/0!</v>
      </c>
      <c r="BO101" s="252" t="e">
        <f t="shared" si="56"/>
        <v>#DIV/0!</v>
      </c>
      <c r="BP101" s="252" t="e">
        <f t="shared" si="56"/>
        <v>#DIV/0!</v>
      </c>
      <c r="BQ101" s="252" t="e">
        <f t="shared" si="56"/>
        <v>#DIV/0!</v>
      </c>
      <c r="BR101" s="252" t="e">
        <f t="shared" ref="BR101:CK101" si="57">BR100/BR84</f>
        <v>#DIV/0!</v>
      </c>
      <c r="BS101" s="252" t="e">
        <f t="shared" si="57"/>
        <v>#DIV/0!</v>
      </c>
      <c r="BT101" s="252" t="e">
        <f t="shared" si="57"/>
        <v>#DIV/0!</v>
      </c>
      <c r="BU101" s="252" t="e">
        <f t="shared" si="57"/>
        <v>#DIV/0!</v>
      </c>
      <c r="BV101" s="252" t="e">
        <f t="shared" si="57"/>
        <v>#DIV/0!</v>
      </c>
      <c r="BW101" s="252" t="e">
        <f t="shared" si="57"/>
        <v>#DIV/0!</v>
      </c>
      <c r="BX101" s="252" t="e">
        <f t="shared" si="57"/>
        <v>#DIV/0!</v>
      </c>
      <c r="BY101" s="252" t="e">
        <f t="shared" si="57"/>
        <v>#DIV/0!</v>
      </c>
      <c r="BZ101" s="252" t="e">
        <f t="shared" si="57"/>
        <v>#DIV/0!</v>
      </c>
      <c r="CA101" s="252" t="e">
        <f t="shared" si="57"/>
        <v>#DIV/0!</v>
      </c>
      <c r="CB101" s="252" t="e">
        <f t="shared" si="57"/>
        <v>#DIV/0!</v>
      </c>
      <c r="CC101" s="252" t="e">
        <f t="shared" si="57"/>
        <v>#DIV/0!</v>
      </c>
      <c r="CD101" s="252" t="e">
        <f t="shared" si="57"/>
        <v>#DIV/0!</v>
      </c>
      <c r="CE101" s="252" t="e">
        <f t="shared" si="57"/>
        <v>#DIV/0!</v>
      </c>
      <c r="CF101" s="252" t="e">
        <f t="shared" si="57"/>
        <v>#DIV/0!</v>
      </c>
      <c r="CG101" s="252" t="e">
        <f t="shared" si="57"/>
        <v>#DIV/0!</v>
      </c>
      <c r="CH101" s="252" t="e">
        <f t="shared" si="57"/>
        <v>#DIV/0!</v>
      </c>
      <c r="CI101" s="252" t="e">
        <f t="shared" si="57"/>
        <v>#DIV/0!</v>
      </c>
      <c r="CJ101" s="252" t="e">
        <f t="shared" si="57"/>
        <v>#DIV/0!</v>
      </c>
      <c r="CK101" s="252" t="e">
        <f t="shared" si="57"/>
        <v>#DIV/0!</v>
      </c>
    </row>
    <row r="102" spans="1:89" ht="204.75" customHeight="1" x14ac:dyDescent="0.25">
      <c r="A102" s="288" t="s">
        <v>690</v>
      </c>
      <c r="B102" s="289"/>
      <c r="C102" s="289"/>
      <c r="D102" s="289"/>
      <c r="E102" s="289"/>
      <c r="F102" s="289"/>
      <c r="G102" s="289"/>
      <c r="H102" s="289"/>
      <c r="I102" s="289"/>
      <c r="J102" s="289"/>
      <c r="K102" s="289"/>
      <c r="L102" s="289"/>
      <c r="M102" s="289"/>
      <c r="N102" s="289"/>
      <c r="O102" s="289"/>
      <c r="P102" s="289"/>
      <c r="Q102" s="289"/>
      <c r="R102" s="289"/>
      <c r="S102" s="289"/>
      <c r="T102" s="289"/>
      <c r="U102" s="289"/>
      <c r="V102" s="289"/>
      <c r="W102" s="289"/>
      <c r="X102" s="289"/>
      <c r="Y102" s="289"/>
      <c r="Z102" s="289"/>
      <c r="AA102" s="289"/>
      <c r="AB102" s="289"/>
      <c r="AC102" s="289"/>
      <c r="AD102" s="289"/>
      <c r="AE102" s="289"/>
      <c r="AF102" s="289"/>
      <c r="AG102" s="289"/>
      <c r="AH102" s="289"/>
      <c r="AI102" s="289"/>
      <c r="AJ102" s="289"/>
      <c r="AK102" s="289"/>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topLeftCell="A17" workbookViewId="0">
      <selection activeCell="E27" sqref="E27"/>
    </sheetView>
  </sheetViews>
  <sheetFormatPr defaultRowHeight="14.4" x14ac:dyDescent="0.25"/>
  <cols>
    <col min="1" max="1" width="63.21875" style="17" bestFit="1" customWidth="1"/>
    <col min="2" max="4" width="9.5546875" hidden="1" customWidth="1"/>
    <col min="5" max="5" width="21.44140625" bestFit="1" customWidth="1"/>
    <col min="6" max="6" width="20.44140625" hidden="1" customWidth="1"/>
    <col min="7" max="8" width="22.6640625" hidden="1" customWidth="1"/>
    <col min="9" max="9" width="21.44140625" bestFit="1" customWidth="1"/>
    <col min="10" max="10" width="21.44140625" hidden="1" customWidth="1"/>
    <col min="11" max="11" width="20.44140625" hidden="1" customWidth="1"/>
    <col min="12" max="12" width="22.6640625" hidden="1" customWidth="1"/>
    <col min="13" max="13" width="21.44140625" bestFit="1" customWidth="1"/>
    <col min="14" max="14" width="20.44140625" hidden="1" customWidth="1"/>
    <col min="15" max="16" width="22.6640625" hidden="1" customWidth="1"/>
    <col min="17" max="17" width="21.44140625" bestFit="1" customWidth="1"/>
    <col min="18" max="18" width="20.44140625" hidden="1" customWidth="1"/>
    <col min="19" max="20" width="20.21875" hidden="1" customWidth="1"/>
    <col min="21" max="21" width="21.44140625" bestFit="1" customWidth="1"/>
    <col min="22" max="22" width="19.33203125" hidden="1" customWidth="1"/>
    <col min="23" max="24" width="20.21875" hidden="1" customWidth="1"/>
    <col min="25" max="25" width="21.44140625" bestFit="1" customWidth="1"/>
    <col min="26" max="26" width="19.33203125" hidden="1" customWidth="1"/>
    <col min="27" max="28" width="20.21875" hidden="1" customWidth="1"/>
    <col min="29" max="29" width="21.44140625" bestFit="1" customWidth="1"/>
    <col min="30" max="31" width="19.33203125" hidden="1" customWidth="1"/>
    <col min="32" max="32" width="20.21875" hidden="1" customWidth="1"/>
    <col min="33" max="33" width="19.33203125" bestFit="1" customWidth="1"/>
    <col min="34" max="36" width="20.21875" hidden="1" customWidth="1"/>
    <col min="37" max="37" width="19.33203125" bestFit="1" customWidth="1"/>
    <col min="38" max="38" width="19.33203125" hidden="1" customWidth="1"/>
    <col min="39" max="39" width="19" hidden="1" customWidth="1"/>
    <col min="40" max="40" width="20.21875" hidden="1" customWidth="1"/>
    <col min="41" max="42" width="19.33203125" bestFit="1" customWidth="1"/>
    <col min="43" max="43" width="9.5546875" hidden="1" customWidth="1"/>
    <col min="44" max="44" width="18.33203125" hidden="1" customWidth="1"/>
    <col min="45" max="45" width="18.33203125" bestFit="1" customWidth="1"/>
    <col min="46" max="48" width="18.33203125" hidden="1" customWidth="1"/>
    <col min="49" max="49" width="18.33203125" bestFit="1" customWidth="1"/>
    <col min="50" max="52" width="18.33203125" hidden="1" customWidth="1"/>
    <col min="53" max="53" width="18.33203125" bestFit="1" customWidth="1"/>
    <col min="54" max="56" width="18.33203125" hidden="1" customWidth="1"/>
    <col min="57" max="57" width="18.33203125" bestFit="1" customWidth="1"/>
    <col min="58" max="60" width="18.33203125" hidden="1" customWidth="1"/>
    <col min="61" max="61" width="18.33203125" bestFit="1" customWidth="1"/>
    <col min="62" max="64" width="18.33203125" hidden="1" customWidth="1"/>
    <col min="65" max="65" width="18.33203125" bestFit="1" customWidth="1"/>
    <col min="66" max="66" width="18.33203125" hidden="1" customWidth="1"/>
    <col min="67" max="67" width="18.33203125" bestFit="1" customWidth="1"/>
    <col min="68" max="68" width="18.33203125" hidden="1" customWidth="1"/>
    <col min="69" max="69" width="17.21875" bestFit="1" customWidth="1"/>
    <col min="70" max="70" width="18.33203125" hidden="1" customWidth="1"/>
    <col min="71" max="71" width="18.33203125" bestFit="1" customWidth="1"/>
    <col min="72" max="72" width="18.33203125" hidden="1" customWidth="1"/>
    <col min="73" max="73" width="18.33203125" bestFit="1" customWidth="1"/>
    <col min="74" max="74" width="18.33203125" hidden="1" customWidth="1"/>
    <col min="75" max="75" width="18.33203125" bestFit="1" customWidth="1"/>
    <col min="76" max="76" width="17.21875" bestFit="1" customWidth="1"/>
    <col min="77" max="77" width="18.33203125" bestFit="1" customWidth="1"/>
    <col min="78" max="78" width="17.21875" bestFit="1" customWidth="1"/>
    <col min="79" max="81" width="18.33203125" bestFit="1" customWidth="1"/>
    <col min="82" max="82" width="9.33203125" bestFit="1" customWidth="1"/>
    <col min="83" max="84" width="17.21875" bestFit="1" customWidth="1"/>
    <col min="85" max="86" width="16.109375" bestFit="1" customWidth="1"/>
    <col min="87" max="87" width="17.21875" bestFit="1" customWidth="1"/>
    <col min="88" max="88" width="16.109375" bestFit="1" customWidth="1"/>
    <col min="89" max="90" width="9.33203125" bestFit="1" customWidth="1"/>
  </cols>
  <sheetData>
    <row r="1" spans="1:90" x14ac:dyDescent="0.25">
      <c r="A1" s="17">
        <v>2415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39447</v>
      </c>
      <c r="AQ1" s="1">
        <v>25569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c r="BW1" s="40"/>
      <c r="BX1" s="40"/>
      <c r="BY1" s="40"/>
      <c r="BZ1" s="40"/>
      <c r="CA1" s="40"/>
      <c r="CB1" s="40"/>
      <c r="CC1" s="40"/>
      <c r="CD1" s="40"/>
      <c r="CE1" s="40"/>
      <c r="CF1" s="40"/>
      <c r="CG1" s="40"/>
      <c r="CH1" s="40"/>
      <c r="CI1" s="40"/>
      <c r="CJ1" s="40"/>
      <c r="CK1" s="40"/>
      <c r="CL1" s="40"/>
    </row>
    <row r="2" spans="1:90" s="26" customFormat="1" x14ac:dyDescent="0.25">
      <c r="A2" s="17" t="s">
        <v>486</v>
      </c>
      <c r="E2" s="26">
        <f>现金流量表!E4</f>
        <v>42136145087.129997</v>
      </c>
      <c r="F2" s="26">
        <f>现金流量表!F4</f>
        <v>27024807952.59</v>
      </c>
      <c r="G2" s="26">
        <f>现金流量表!G4</f>
        <v>16056237726.299999</v>
      </c>
      <c r="H2" s="26">
        <f>现金流量表!H4</f>
        <v>6909207260.75</v>
      </c>
      <c r="I2" s="26">
        <f>现金流量表!I4</f>
        <v>32660216112.459999</v>
      </c>
      <c r="J2" s="26">
        <f>现金流量表!J4</f>
        <v>21024107807.75</v>
      </c>
      <c r="K2" s="26">
        <f>现金流量表!K4</f>
        <v>12831418421.85</v>
      </c>
      <c r="L2" s="26">
        <f>现金流量表!L4</f>
        <v>5485822978.8199997</v>
      </c>
      <c r="M2" s="26">
        <f>现金流量表!M4</f>
        <v>22777510666.139999</v>
      </c>
      <c r="N2" s="26">
        <f>现金流量表!N4</f>
        <v>14081333470.809999</v>
      </c>
      <c r="O2" s="26">
        <f>现金流量表!O4</f>
        <v>8283245094.3199997</v>
      </c>
      <c r="P2" s="26">
        <f>现金流量表!P4</f>
        <v>3418163900.4400001</v>
      </c>
      <c r="Q2" s="26">
        <f>现金流量表!Q4</f>
        <v>16841500091.629999</v>
      </c>
      <c r="R2" s="26">
        <f>现金流量表!R4</f>
        <v>10042780829.65</v>
      </c>
      <c r="S2" s="26">
        <f>现金流量表!S4</f>
        <v>5639867408.75</v>
      </c>
      <c r="T2" s="26">
        <f>现金流量表!T4</f>
        <v>2237478983</v>
      </c>
      <c r="U2" s="26">
        <f>现金流量表!U4</f>
        <v>10521866815.01</v>
      </c>
      <c r="V2" s="26">
        <f>现金流量表!V4</f>
        <v>6391252346.5500002</v>
      </c>
      <c r="W2" s="26">
        <f>现金流量表!W4</f>
        <v>3674639900.3699999</v>
      </c>
      <c r="X2" s="26">
        <f>现金流量表!X4</f>
        <v>1682308704.4100001</v>
      </c>
      <c r="Y2" s="26">
        <f>现金流量表!Y4</f>
        <v>7520285340.5600004</v>
      </c>
      <c r="Z2" s="26">
        <f>现金流量表!Z4</f>
        <v>4779154387.6400003</v>
      </c>
      <c r="AA2" s="26">
        <f>现金流量表!AA4</f>
        <v>2903731457.9499998</v>
      </c>
      <c r="AB2" s="26">
        <f>现金流量表!AB4</f>
        <v>1249239988.95</v>
      </c>
      <c r="AC2" s="26">
        <f>现金流量表!AC4</f>
        <v>5356299178.1599998</v>
      </c>
      <c r="AD2" s="26">
        <f>现金流量表!AD4</f>
        <v>3303991612.3000002</v>
      </c>
      <c r="AE2" s="26">
        <f>现金流量表!AE4</f>
        <v>1991915516.02</v>
      </c>
      <c r="AF2" s="26">
        <f>现金流量表!AF4</f>
        <v>847782358.60000002</v>
      </c>
      <c r="AG2" s="26">
        <f>现金流量表!AG4</f>
        <v>3748342158.4099998</v>
      </c>
      <c r="AH2" s="26">
        <f>现金流量表!AH4</f>
        <v>2644213391.5900002</v>
      </c>
      <c r="AI2" s="26">
        <f>现金流量表!AI4</f>
        <v>1535761764.4400001</v>
      </c>
      <c r="AJ2" s="26">
        <f>现金流量表!AJ4</f>
        <v>572607605.08000004</v>
      </c>
      <c r="AK2" s="26">
        <f>现金流量表!AK4</f>
        <v>2309872642.8000002</v>
      </c>
      <c r="AL2" s="26">
        <f>现金流量表!AL4</f>
        <v>1622245573.27</v>
      </c>
      <c r="AM2" s="26">
        <f>现金流量表!AM4</f>
        <v>960790463.88</v>
      </c>
      <c r="AN2" s="26">
        <f>现金流量表!AN4</f>
        <v>376684945.77999997</v>
      </c>
      <c r="AO2" s="26">
        <f>现金流量表!AO4</f>
        <v>1925285385</v>
      </c>
      <c r="AP2" s="26">
        <f>现金流量表!AP4</f>
        <v>1319358657.73</v>
      </c>
      <c r="AQ2" s="26">
        <f>现金流量表!AQ4</f>
        <v>0</v>
      </c>
      <c r="AR2" s="26">
        <f>现金流量表!AR4</f>
        <v>0</v>
      </c>
      <c r="AS2" s="26">
        <f>现金流量表!AS4</f>
        <v>0</v>
      </c>
      <c r="AT2" s="26">
        <f>现金流量表!AT4</f>
        <v>0</v>
      </c>
      <c r="AU2" s="26">
        <f>现金流量表!AU4</f>
        <v>0</v>
      </c>
      <c r="AV2" s="26">
        <f>现金流量表!AV4</f>
        <v>0</v>
      </c>
      <c r="AW2" s="26">
        <f>现金流量表!AW4</f>
        <v>0</v>
      </c>
      <c r="AX2" s="26">
        <f>现金流量表!AX4</f>
        <v>0</v>
      </c>
      <c r="AY2" s="26">
        <f>现金流量表!AY4</f>
        <v>0</v>
      </c>
      <c r="AZ2" s="26">
        <f>现金流量表!AZ4</f>
        <v>0</v>
      </c>
      <c r="BA2" s="26">
        <f>现金流量表!BA4</f>
        <v>0</v>
      </c>
      <c r="BB2" s="26">
        <f>现金流量表!BB4</f>
        <v>0</v>
      </c>
      <c r="BC2" s="26">
        <f>现金流量表!BC4</f>
        <v>0</v>
      </c>
      <c r="BD2" s="26">
        <f>现金流量表!BD4</f>
        <v>0</v>
      </c>
      <c r="BE2" s="26">
        <f>现金流量表!BE4</f>
        <v>0</v>
      </c>
      <c r="BF2" s="26">
        <f>现金流量表!BF4</f>
        <v>0</v>
      </c>
      <c r="BG2" s="26">
        <f>现金流量表!BG4</f>
        <v>0</v>
      </c>
      <c r="BH2" s="26">
        <f>现金流量表!BH4</f>
        <v>0</v>
      </c>
      <c r="BI2" s="26">
        <f>现金流量表!BI4</f>
        <v>0</v>
      </c>
      <c r="BJ2" s="26">
        <f>现金流量表!BJ4</f>
        <v>0</v>
      </c>
      <c r="BK2" s="26">
        <f>现金流量表!BK4</f>
        <v>0</v>
      </c>
      <c r="BL2" s="26">
        <f>现金流量表!BL4</f>
        <v>0</v>
      </c>
      <c r="BM2" s="26">
        <f>现金流量表!BM4</f>
        <v>0</v>
      </c>
      <c r="BN2" s="26">
        <f>现金流量表!BN4</f>
        <v>0</v>
      </c>
      <c r="BO2" s="26">
        <f>现金流量表!BO4</f>
        <v>0</v>
      </c>
      <c r="BP2" s="26">
        <f>现金流量表!BP4</f>
        <v>0</v>
      </c>
      <c r="BQ2" s="26">
        <f>现金流量表!BQ4</f>
        <v>0</v>
      </c>
      <c r="BR2" s="26">
        <f>现金流量表!BR4</f>
        <v>0</v>
      </c>
      <c r="BS2" s="26">
        <f>现金流量表!BS4</f>
        <v>0</v>
      </c>
      <c r="BT2" s="26">
        <f>现金流量表!BT4</f>
        <v>0</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487</v>
      </c>
      <c r="E3" s="26">
        <f>利润表!E3</f>
        <v>41905476572.07</v>
      </c>
      <c r="F3" s="26">
        <f>利润表!F3</f>
        <v>27729742158.18</v>
      </c>
      <c r="G3" s="26">
        <f>利润表!G3</f>
        <v>16447539736.52</v>
      </c>
      <c r="H3" s="26">
        <f>利润表!H3</f>
        <v>7043724101.7299995</v>
      </c>
      <c r="I3" s="26">
        <f>利润表!I3</f>
        <v>31924020872.439999</v>
      </c>
      <c r="J3" s="26">
        <f>利润表!J3</f>
        <v>21136468968.82</v>
      </c>
      <c r="K3" s="26">
        <f>利润表!K3</f>
        <v>12548198726.120001</v>
      </c>
      <c r="L3" s="26">
        <f>利润表!L3</f>
        <v>5199710391.8999996</v>
      </c>
      <c r="M3" s="26">
        <f>利润表!M3</f>
        <v>25271390273.419998</v>
      </c>
      <c r="N3" s="26">
        <f>利润表!N3</f>
        <v>16677638479.4</v>
      </c>
      <c r="O3" s="26">
        <f>利润表!O3</f>
        <v>9796381650.8199997</v>
      </c>
      <c r="P3" s="26">
        <f>利润表!P3</f>
        <v>4287946779.6999998</v>
      </c>
      <c r="Q3" s="26">
        <f>利润表!Q3</f>
        <v>17233114021.700001</v>
      </c>
      <c r="R3" s="26">
        <f>利润表!R3</f>
        <v>10669807845.58</v>
      </c>
      <c r="S3" s="26">
        <f>利润表!S3</f>
        <v>6016055310.8500004</v>
      </c>
      <c r="T3" s="26">
        <f>利润表!T3</f>
        <v>2594659242.4200001</v>
      </c>
      <c r="U3" s="26">
        <f>利润表!U3</f>
        <v>10745907038.84</v>
      </c>
      <c r="V3" s="26">
        <f>利润表!V3</f>
        <v>6860396812.6999998</v>
      </c>
      <c r="W3" s="26">
        <f>利润表!W3</f>
        <v>3908594584.9000001</v>
      </c>
      <c r="X3" s="26">
        <f>利润表!X3</f>
        <v>1697327735.97</v>
      </c>
      <c r="Y3" s="26">
        <f>利润表!Y3</f>
        <v>7213789489.1800003</v>
      </c>
      <c r="Z3" s="26">
        <f>利润表!Z3</f>
        <v>4797847375.2799997</v>
      </c>
      <c r="AA3" s="26">
        <f>利润表!AA3</f>
        <v>2818679482.4899998</v>
      </c>
      <c r="AB3" s="26">
        <f>利润表!AB3</f>
        <v>1292678630.79</v>
      </c>
      <c r="AC3" s="26">
        <f>利润表!AC3</f>
        <v>5231639749.7700005</v>
      </c>
      <c r="AD3" s="26">
        <f>利润表!AD3</f>
        <v>3453156822.0599999</v>
      </c>
      <c r="AE3" s="26">
        <f>利润表!AE3</f>
        <v>2081678941.6300001</v>
      </c>
      <c r="AF3" s="26">
        <f>利润表!AF3</f>
        <v>929912689.30999994</v>
      </c>
      <c r="AG3" s="26">
        <f>利润表!AG3</f>
        <v>3605477285.21</v>
      </c>
      <c r="AH3" s="26">
        <f>利润表!AH3</f>
        <v>2393076338.48</v>
      </c>
      <c r="AI3" s="26">
        <f>利润表!AI3</f>
        <v>1402304573.3699999</v>
      </c>
      <c r="AJ3" s="26">
        <f>利润表!AJ3</f>
        <v>687305082.01999998</v>
      </c>
      <c r="AK3" s="26">
        <f>利润表!AK3</f>
        <v>2101513184.72</v>
      </c>
      <c r="AL3" s="26">
        <f>利润表!AL3</f>
        <v>1436572728.3599999</v>
      </c>
      <c r="AM3" s="26">
        <f>利润表!AM3</f>
        <v>836803532.27999997</v>
      </c>
      <c r="AN3" s="26">
        <f>利润表!AN3</f>
        <v>403065660.05000001</v>
      </c>
      <c r="AO3" s="26">
        <f>利润表!AO3</f>
        <v>1742471409.9100001</v>
      </c>
      <c r="AP3" s="26">
        <f>利润表!AP3</f>
        <v>1184513897.96</v>
      </c>
      <c r="AQ3" s="26">
        <f>利润表!AQ3</f>
        <v>0</v>
      </c>
      <c r="AR3" s="26">
        <f>利润表!AR3</f>
        <v>0</v>
      </c>
      <c r="AS3" s="26">
        <f>利润表!AS3</f>
        <v>0</v>
      </c>
      <c r="AT3" s="26">
        <f>利润表!AT3</f>
        <v>0</v>
      </c>
      <c r="AU3" s="26">
        <f>利润表!AU3</f>
        <v>0</v>
      </c>
      <c r="AV3" s="26">
        <f>利润表!AV3</f>
        <v>0</v>
      </c>
      <c r="AW3" s="26">
        <f>利润表!AW3</f>
        <v>0</v>
      </c>
      <c r="AX3" s="26">
        <f>利润表!AX3</f>
        <v>0</v>
      </c>
      <c r="AY3" s="26">
        <f>利润表!AY3</f>
        <v>0</v>
      </c>
      <c r="AZ3" s="26">
        <f>利润表!AZ3</f>
        <v>0</v>
      </c>
      <c r="BA3" s="26">
        <f>利润表!BA3</f>
        <v>0</v>
      </c>
      <c r="BB3" s="26">
        <f>利润表!BB3</f>
        <v>0</v>
      </c>
      <c r="BC3" s="26">
        <f>利润表!BC3</f>
        <v>0</v>
      </c>
      <c r="BD3" s="26">
        <f>利润表!BD3</f>
        <v>0</v>
      </c>
      <c r="BE3" s="26">
        <f>利润表!BE3</f>
        <v>0</v>
      </c>
      <c r="BF3" s="26">
        <f>利润表!BF3</f>
        <v>0</v>
      </c>
      <c r="BG3" s="26">
        <f>利润表!BG3</f>
        <v>0</v>
      </c>
      <c r="BH3" s="26">
        <f>利润表!BH3</f>
        <v>0</v>
      </c>
      <c r="BI3" s="26">
        <f>利润表!BI3</f>
        <v>0</v>
      </c>
      <c r="BJ3" s="26">
        <f>利润表!BJ3</f>
        <v>0</v>
      </c>
      <c r="BK3" s="26">
        <f>利润表!BK3</f>
        <v>0</v>
      </c>
      <c r="BL3" s="26">
        <f>利润表!BL3</f>
        <v>0</v>
      </c>
      <c r="BM3" s="26">
        <f>利润表!BM3</f>
        <v>0</v>
      </c>
      <c r="BN3" s="26">
        <f>利润表!BN3</f>
        <v>0</v>
      </c>
      <c r="BO3" s="26">
        <f>利润表!BO3</f>
        <v>0</v>
      </c>
      <c r="BP3" s="26">
        <f>利润表!BP3</f>
        <v>0</v>
      </c>
      <c r="BQ3" s="26">
        <f>利润表!BQ3</f>
        <v>0</v>
      </c>
      <c r="BR3" s="26">
        <f>利润表!BR3</f>
        <v>0</v>
      </c>
      <c r="BS3" s="26">
        <f>利润表!BS3</f>
        <v>0</v>
      </c>
      <c r="BT3" s="26">
        <f>利润表!BT3</f>
        <v>0</v>
      </c>
      <c r="BU3" s="26">
        <f>利润表!BU3</f>
        <v>0</v>
      </c>
      <c r="BV3" s="26">
        <f>利润表!BV3</f>
        <v>0</v>
      </c>
      <c r="BW3" s="26">
        <f>利润表!BW3</f>
        <v>0</v>
      </c>
      <c r="BX3" s="26">
        <f>利润表!BX3</f>
        <v>0</v>
      </c>
      <c r="BY3" s="26">
        <f>利润表!BY3</f>
        <v>0</v>
      </c>
      <c r="BZ3" s="26">
        <f>利润表!BZ3</f>
        <v>0</v>
      </c>
      <c r="CA3" s="26">
        <f>利润表!CA3</f>
        <v>0</v>
      </c>
      <c r="CB3" s="26">
        <f>利润表!CB3</f>
        <v>0</v>
      </c>
      <c r="CC3" s="26">
        <f>利润表!CC3</f>
        <v>0</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x14ac:dyDescent="0.25">
      <c r="A4" s="17" t="s">
        <v>512</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488</v>
      </c>
      <c r="E5" s="28">
        <f>(E2/(1+E4))/E3</f>
        <v>0.85940555186938095</v>
      </c>
      <c r="F5" s="28">
        <f t="shared" ref="F5:BQ5" si="2">(F2/(1+F4))/F3</f>
        <v>0.83297299785354884</v>
      </c>
      <c r="G5" s="28">
        <f t="shared" si="2"/>
        <v>0.83436673981566045</v>
      </c>
      <c r="H5" s="28">
        <f t="shared" si="2"/>
        <v>0.83837828764729472</v>
      </c>
      <c r="I5" s="28">
        <f t="shared" si="2"/>
        <v>0.87441098781303439</v>
      </c>
      <c r="J5" s="28">
        <f t="shared" si="2"/>
        <v>0.8501572774106565</v>
      </c>
      <c r="K5" s="28">
        <f t="shared" si="2"/>
        <v>0.87399191960124267</v>
      </c>
      <c r="L5" s="28">
        <f t="shared" si="2"/>
        <v>0.90173052638451945</v>
      </c>
      <c r="M5" s="28">
        <f t="shared" si="2"/>
        <v>0.77035563234460225</v>
      </c>
      <c r="N5" s="28">
        <f t="shared" si="2"/>
        <v>0.72164460020493537</v>
      </c>
      <c r="O5" s="28">
        <f t="shared" si="2"/>
        <v>0.72268485591507803</v>
      </c>
      <c r="P5" s="28">
        <f t="shared" si="2"/>
        <v>0.68133019305292652</v>
      </c>
      <c r="Q5" s="28">
        <f t="shared" si="2"/>
        <v>0.83527820361631366</v>
      </c>
      <c r="R5" s="28">
        <f t="shared" si="2"/>
        <v>0.80447309669508105</v>
      </c>
      <c r="S5" s="28">
        <f t="shared" si="2"/>
        <v>0.80125584716026366</v>
      </c>
      <c r="T5" s="28">
        <f t="shared" si="2"/>
        <v>0.73704291025192781</v>
      </c>
      <c r="U5" s="28">
        <f t="shared" si="2"/>
        <v>0.83688129139151668</v>
      </c>
      <c r="V5" s="28">
        <f t="shared" si="2"/>
        <v>0.79625260642252071</v>
      </c>
      <c r="W5" s="28">
        <f t="shared" si="2"/>
        <v>0.80354147644208962</v>
      </c>
      <c r="X5" s="28">
        <f t="shared" si="2"/>
        <v>0.84713791983620113</v>
      </c>
      <c r="Y5" s="28">
        <f t="shared" si="2"/>
        <v>0.89101495376483097</v>
      </c>
      <c r="Z5" s="28">
        <f t="shared" si="2"/>
        <v>0.85137083786973622</v>
      </c>
      <c r="AA5" s="28">
        <f t="shared" si="2"/>
        <v>0.88049094419887775</v>
      </c>
      <c r="AB5" s="28">
        <f t="shared" si="2"/>
        <v>0.82597983818261733</v>
      </c>
      <c r="AC5" s="28">
        <f t="shared" si="2"/>
        <v>0.87506665301411535</v>
      </c>
      <c r="AD5" s="28">
        <f t="shared" si="2"/>
        <v>0.81778054124765687</v>
      </c>
      <c r="AE5" s="28">
        <f t="shared" si="2"/>
        <v>0.81784556685821097</v>
      </c>
      <c r="AF5" s="28">
        <f t="shared" si="2"/>
        <v>0.77921326897193299</v>
      </c>
      <c r="AG5" s="28">
        <f t="shared" si="2"/>
        <v>0.88856786302501256</v>
      </c>
      <c r="AH5" s="28">
        <f t="shared" si="2"/>
        <v>0.94439588468744828</v>
      </c>
      <c r="AI5" s="28">
        <f t="shared" si="2"/>
        <v>0.93604265265233877</v>
      </c>
      <c r="AJ5" s="28">
        <f t="shared" si="2"/>
        <v>0.71206837003402834</v>
      </c>
      <c r="AK5" s="28">
        <f t="shared" si="2"/>
        <v>0.93944217738244939</v>
      </c>
      <c r="AL5" s="28">
        <f t="shared" si="2"/>
        <v>0.96516845310813004</v>
      </c>
      <c r="AM5" s="28">
        <f t="shared" si="2"/>
        <v>0.98133958448910052</v>
      </c>
      <c r="AN5" s="28">
        <f t="shared" si="2"/>
        <v>0.79876054206943126</v>
      </c>
      <c r="AO5" s="28">
        <f t="shared" si="2"/>
        <v>0.94437306388146569</v>
      </c>
      <c r="AP5" s="28">
        <f t="shared" si="2"/>
        <v>0.9519997818184176</v>
      </c>
      <c r="AQ5" s="28" t="e">
        <f t="shared" si="2"/>
        <v>#DIV/0!</v>
      </c>
      <c r="AR5" s="28" t="e">
        <f t="shared" si="2"/>
        <v>#DIV/0!</v>
      </c>
      <c r="AS5" s="28" t="e">
        <f t="shared" si="2"/>
        <v>#DIV/0!</v>
      </c>
      <c r="AT5" s="28" t="e">
        <f t="shared" si="2"/>
        <v>#DIV/0!</v>
      </c>
      <c r="AU5" s="28" t="e">
        <f t="shared" si="2"/>
        <v>#DIV/0!</v>
      </c>
      <c r="AV5" s="28" t="e">
        <f t="shared" si="2"/>
        <v>#DIV/0!</v>
      </c>
      <c r="AW5" s="28" t="e">
        <f t="shared" si="2"/>
        <v>#DIV/0!</v>
      </c>
      <c r="AX5" s="28" t="e">
        <f t="shared" si="2"/>
        <v>#DIV/0!</v>
      </c>
      <c r="AY5" s="28" t="e">
        <f t="shared" si="2"/>
        <v>#DIV/0!</v>
      </c>
      <c r="AZ5" s="28" t="e">
        <f t="shared" si="2"/>
        <v>#DIV/0!</v>
      </c>
      <c r="BA5" s="28" t="e">
        <f t="shared" si="2"/>
        <v>#DIV/0!</v>
      </c>
      <c r="BB5" s="28" t="e">
        <f t="shared" si="2"/>
        <v>#DIV/0!</v>
      </c>
      <c r="BC5" s="28" t="e">
        <f t="shared" si="2"/>
        <v>#DIV/0!</v>
      </c>
      <c r="BD5" s="28" t="e">
        <f t="shared" si="2"/>
        <v>#DIV/0!</v>
      </c>
      <c r="BE5" s="28" t="e">
        <f t="shared" si="2"/>
        <v>#DIV/0!</v>
      </c>
      <c r="BF5" s="28" t="e">
        <f t="shared" si="2"/>
        <v>#DIV/0!</v>
      </c>
      <c r="BG5" s="28" t="e">
        <f t="shared" si="2"/>
        <v>#DIV/0!</v>
      </c>
      <c r="BH5" s="28" t="e">
        <f t="shared" si="2"/>
        <v>#DIV/0!</v>
      </c>
      <c r="BI5" s="28" t="e">
        <f t="shared" si="2"/>
        <v>#DIV/0!</v>
      </c>
      <c r="BJ5" s="28" t="e">
        <f t="shared" si="2"/>
        <v>#DIV/0!</v>
      </c>
      <c r="BK5" s="28" t="e">
        <f t="shared" si="2"/>
        <v>#DIV/0!</v>
      </c>
      <c r="BL5" s="28" t="e">
        <f t="shared" si="2"/>
        <v>#DIV/0!</v>
      </c>
      <c r="BM5" s="28" t="e">
        <f t="shared" si="2"/>
        <v>#DIV/0!</v>
      </c>
      <c r="BN5" s="28" t="e">
        <f t="shared" si="2"/>
        <v>#DIV/0!</v>
      </c>
      <c r="BO5" s="28" t="e">
        <f t="shared" si="2"/>
        <v>#DIV/0!</v>
      </c>
      <c r="BP5" s="28" t="e">
        <f t="shared" si="2"/>
        <v>#DIV/0!</v>
      </c>
      <c r="BQ5" s="28" t="e">
        <f t="shared" si="2"/>
        <v>#DIV/0!</v>
      </c>
      <c r="BR5" s="28" t="e">
        <f t="shared" ref="BR5:CL5" si="3">(BR2/(1+BR4))/BR3</f>
        <v>#DIV/0!</v>
      </c>
      <c r="BS5" s="28" t="e">
        <f t="shared" si="3"/>
        <v>#DIV/0!</v>
      </c>
      <c r="BT5" s="28" t="e">
        <f t="shared" si="3"/>
        <v>#DIV/0!</v>
      </c>
      <c r="BU5" s="28" t="e">
        <f t="shared" si="3"/>
        <v>#DIV/0!</v>
      </c>
      <c r="BV5" s="28" t="e">
        <f t="shared" si="3"/>
        <v>#DIV/0!</v>
      </c>
      <c r="BW5" s="28" t="e">
        <f t="shared" si="3"/>
        <v>#DIV/0!</v>
      </c>
      <c r="BX5" s="28" t="e">
        <f t="shared" si="3"/>
        <v>#DIV/0!</v>
      </c>
      <c r="BY5" s="28" t="e">
        <f t="shared" si="3"/>
        <v>#DIV/0!</v>
      </c>
      <c r="BZ5" s="28" t="e">
        <f t="shared" si="3"/>
        <v>#DIV/0!</v>
      </c>
      <c r="CA5" s="28" t="e">
        <f t="shared" si="3"/>
        <v>#DIV/0!</v>
      </c>
      <c r="CB5" s="28" t="e">
        <f t="shared" si="3"/>
        <v>#DIV/0!</v>
      </c>
      <c r="CC5" s="28" t="e">
        <f t="shared" si="3"/>
        <v>#DIV/0!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489</v>
      </c>
      <c r="E6" s="26">
        <f>现金流量表!E8</f>
        <v>25634553120.830002</v>
      </c>
      <c r="F6" s="26">
        <f>现金流量表!F8</f>
        <v>21162642985.709999</v>
      </c>
      <c r="G6" s="26">
        <f>现金流量表!G8</f>
        <v>13831392836.700001</v>
      </c>
      <c r="H6" s="26">
        <f>现金流量表!H8</f>
        <v>7882506948.4499998</v>
      </c>
      <c r="I6" s="26">
        <f>现金流量表!I8</f>
        <v>20889389503.82</v>
      </c>
      <c r="J6" s="26">
        <f>现金流量表!J8</f>
        <v>14702541603.09</v>
      </c>
      <c r="K6" s="26">
        <f>现金流量表!K8</f>
        <v>9553087192.6399994</v>
      </c>
      <c r="L6" s="26">
        <f>现金流量表!L8</f>
        <v>5585834400.3400002</v>
      </c>
      <c r="M6" s="26">
        <f>现金流量表!M8</f>
        <v>15694627971.950001</v>
      </c>
      <c r="N6" s="26">
        <f>现金流量表!N8</f>
        <v>11469469061.58</v>
      </c>
      <c r="O6" s="26">
        <f>现金流量表!O8</f>
        <v>7992955241.1199999</v>
      </c>
      <c r="P6" s="26">
        <f>现金流量表!P8</f>
        <v>4564869493.6700001</v>
      </c>
      <c r="Q6" s="26">
        <f>现金流量表!Q8</f>
        <v>10097337799.309999</v>
      </c>
      <c r="R6" s="26">
        <f>现金流量表!R8</f>
        <v>6980383083.8000002</v>
      </c>
      <c r="S6" s="26">
        <f>现金流量表!S8</f>
        <v>4084204750.1500001</v>
      </c>
      <c r="T6" s="26">
        <f>现金流量表!T8</f>
        <v>2073732977.8699999</v>
      </c>
      <c r="U6" s="26">
        <f>现金流量表!U8</f>
        <v>6474837194.1300001</v>
      </c>
      <c r="V6" s="26">
        <f>现金流量表!V8</f>
        <v>4510532554.46</v>
      </c>
      <c r="W6" s="26">
        <f>现金流量表!W8</f>
        <v>2776924984.6599998</v>
      </c>
      <c r="X6" s="26">
        <f>现金流量表!X8</f>
        <v>1645037798.8900001</v>
      </c>
      <c r="Y6" s="26">
        <f>现金流量表!Y8</f>
        <v>4098398615.46</v>
      </c>
      <c r="Z6" s="26">
        <f>现金流量表!Z8</f>
        <v>3058534531.1399999</v>
      </c>
      <c r="AA6" s="26">
        <f>现金流量表!AA8</f>
        <v>2020712593.3199999</v>
      </c>
      <c r="AB6" s="26">
        <f>现金流量表!AB8</f>
        <v>1174854594.51</v>
      </c>
      <c r="AC6" s="26">
        <f>现金流量表!AC8</f>
        <v>2937818600.4000001</v>
      </c>
      <c r="AD6" s="26">
        <f>现金流量表!AD8</f>
        <v>2206110840.4499998</v>
      </c>
      <c r="AE6" s="26">
        <f>现金流量表!AE8</f>
        <v>1278529961.1300001</v>
      </c>
      <c r="AF6" s="26">
        <f>现金流量表!AF8</f>
        <v>609200167.30999994</v>
      </c>
      <c r="AG6" s="26">
        <f>现金流量表!AG8</f>
        <v>2343620088.0700002</v>
      </c>
      <c r="AH6" s="26">
        <f>现金流量表!AH8</f>
        <v>2228102161.4499998</v>
      </c>
      <c r="AI6" s="26">
        <f>现金流量表!AI8</f>
        <v>1299208438.6700001</v>
      </c>
      <c r="AJ6" s="26">
        <f>现金流量表!AJ8</f>
        <v>632348809.97000003</v>
      </c>
      <c r="AK6" s="26">
        <f>现金流量表!AK8</f>
        <v>1259593529.22</v>
      </c>
      <c r="AL6" s="26">
        <f>现金流量表!AL8</f>
        <v>1101190712.53</v>
      </c>
      <c r="AM6" s="26">
        <f>现金流量表!AM8</f>
        <v>586595830.59000003</v>
      </c>
      <c r="AN6" s="26">
        <f>现金流量表!AN8</f>
        <v>350286407.07999998</v>
      </c>
      <c r="AO6" s="26">
        <f>现金流量表!AO8</f>
        <v>936217805.25999999</v>
      </c>
      <c r="AP6" s="26">
        <f>现金流量表!AP8</f>
        <v>753993435.23000002</v>
      </c>
      <c r="AQ6" s="26">
        <f>现金流量表!AQ8</f>
        <v>0</v>
      </c>
      <c r="AR6" s="26">
        <f>现金流量表!AR8</f>
        <v>0</v>
      </c>
      <c r="AS6" s="26">
        <f>现金流量表!AS8</f>
        <v>0</v>
      </c>
      <c r="AT6" s="26">
        <f>现金流量表!AT8</f>
        <v>0</v>
      </c>
      <c r="AU6" s="26">
        <f>现金流量表!AU8</f>
        <v>0</v>
      </c>
      <c r="AV6" s="26">
        <f>现金流量表!AV8</f>
        <v>0</v>
      </c>
      <c r="AW6" s="26">
        <f>现金流量表!AW8</f>
        <v>0</v>
      </c>
      <c r="AX6" s="26">
        <f>现金流量表!AX8</f>
        <v>0</v>
      </c>
      <c r="AY6" s="26">
        <f>现金流量表!AY8</f>
        <v>0</v>
      </c>
      <c r="AZ6" s="26">
        <f>现金流量表!AZ8</f>
        <v>0</v>
      </c>
      <c r="BA6" s="26">
        <f>现金流量表!BA8</f>
        <v>0</v>
      </c>
      <c r="BB6" s="26">
        <f>现金流量表!BB8</f>
        <v>0</v>
      </c>
      <c r="BC6" s="26">
        <f>现金流量表!BC8</f>
        <v>0</v>
      </c>
      <c r="BD6" s="26">
        <f>现金流量表!BD8</f>
        <v>0</v>
      </c>
      <c r="BE6" s="26">
        <f>现金流量表!BE8</f>
        <v>0</v>
      </c>
      <c r="BF6" s="26">
        <f>现金流量表!BF8</f>
        <v>0</v>
      </c>
      <c r="BG6" s="26">
        <f>现金流量表!BG8</f>
        <v>0</v>
      </c>
      <c r="BH6" s="26">
        <f>现金流量表!BH8</f>
        <v>0</v>
      </c>
      <c r="BI6" s="26">
        <f>现金流量表!BI8</f>
        <v>0</v>
      </c>
      <c r="BJ6" s="26">
        <f>现金流量表!BJ8</f>
        <v>0</v>
      </c>
      <c r="BK6" s="26">
        <f>现金流量表!BK8</f>
        <v>0</v>
      </c>
      <c r="BL6" s="26">
        <f>现金流量表!BL8</f>
        <v>0</v>
      </c>
      <c r="BM6" s="26">
        <f>现金流量表!BM8</f>
        <v>0</v>
      </c>
      <c r="BN6" s="26">
        <f>现金流量表!BN8</f>
        <v>0</v>
      </c>
      <c r="BO6" s="26">
        <f>现金流量表!BO8</f>
        <v>0</v>
      </c>
      <c r="BP6" s="26">
        <f>现金流量表!BP8</f>
        <v>0</v>
      </c>
      <c r="BQ6" s="26">
        <f>现金流量表!BQ8</f>
        <v>0</v>
      </c>
      <c r="BR6" s="26">
        <f>现金流量表!BR8</f>
        <v>0</v>
      </c>
      <c r="BS6" s="26">
        <f>现金流量表!BS8</f>
        <v>0</v>
      </c>
      <c r="BT6" s="26">
        <f>现金流量表!BT8</f>
        <v>0</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490</v>
      </c>
      <c r="E7" s="26">
        <f>现金流量表!E9</f>
        <v>5036917567.9799995</v>
      </c>
      <c r="F7" s="26">
        <f>现金流量表!F9</f>
        <v>3498922254.1900001</v>
      </c>
      <c r="G7" s="26">
        <f>现金流量表!G9</f>
        <v>2562794533.8099999</v>
      </c>
      <c r="H7" s="26">
        <f>现金流量表!H9</f>
        <v>1532543739.3499999</v>
      </c>
      <c r="I7" s="26">
        <f>现金流量表!I9</f>
        <v>3404886547.1100001</v>
      </c>
      <c r="J7" s="26">
        <f>现金流量表!J9</f>
        <v>2370321389.0300002</v>
      </c>
      <c r="K7" s="26">
        <f>现金流量表!K9</f>
        <v>1711680529.24</v>
      </c>
      <c r="L7" s="26">
        <f>现金流量表!L9</f>
        <v>1063252704.05</v>
      </c>
      <c r="M7" s="26">
        <f>现金流量表!M9</f>
        <v>2501048931.4000001</v>
      </c>
      <c r="N7" s="26">
        <f>现金流量表!N9</f>
        <v>1790022855.48</v>
      </c>
      <c r="O7" s="26">
        <f>现金流量表!O9</f>
        <v>1339159770.8399999</v>
      </c>
      <c r="P7" s="26">
        <f>现金流量表!P9</f>
        <v>886761238</v>
      </c>
      <c r="Q7" s="26">
        <f>现金流量表!Q9</f>
        <v>1864814790.77</v>
      </c>
      <c r="R7" s="26">
        <f>现金流量表!R9</f>
        <v>1324745225.55</v>
      </c>
      <c r="S7" s="26">
        <f>现金流量表!S9</f>
        <v>985715955.46000004</v>
      </c>
      <c r="T7" s="26">
        <f>现金流量表!T9</f>
        <v>575863156.89999998</v>
      </c>
      <c r="U7" s="26">
        <f>现金流量表!U9</f>
        <v>1279918036.24</v>
      </c>
      <c r="V7" s="26">
        <f>现金流量表!V9</f>
        <v>920159848.91999996</v>
      </c>
      <c r="W7" s="26">
        <f>现金流量表!W9</f>
        <v>676614258.64999998</v>
      </c>
      <c r="X7" s="26">
        <f>现金流量表!X9</f>
        <v>454228494.87</v>
      </c>
      <c r="Y7" s="26">
        <f>现金流量表!Y9</f>
        <v>1020981945.47</v>
      </c>
      <c r="Z7" s="26">
        <f>现金流量表!Z9</f>
        <v>715402149.45000005</v>
      </c>
      <c r="AA7" s="26">
        <f>现金流量表!AA9</f>
        <v>586526954.70000005</v>
      </c>
      <c r="AB7" s="26">
        <f>现金流量表!AB9</f>
        <v>339329936.63</v>
      </c>
      <c r="AC7" s="26">
        <f>现金流量表!AC9</f>
        <v>621731941.96000004</v>
      </c>
      <c r="AD7" s="26">
        <f>现金流量表!AD9</f>
        <v>434483372.70999998</v>
      </c>
      <c r="AE7" s="26">
        <f>现金流量表!AE9</f>
        <v>333462456.27999997</v>
      </c>
      <c r="AF7" s="26">
        <f>现金流量表!AF9</f>
        <v>223305912.83000001</v>
      </c>
      <c r="AG7" s="26">
        <f>现金流量表!AG9</f>
        <v>370766592.55000001</v>
      </c>
      <c r="AH7" s="26">
        <f>现金流量表!AH9</f>
        <v>262333913.56999999</v>
      </c>
      <c r="AI7" s="26">
        <f>现金流量表!AI9</f>
        <v>205186591.12</v>
      </c>
      <c r="AJ7" s="26">
        <f>现金流量表!AJ9</f>
        <v>132318396.52</v>
      </c>
      <c r="AK7" s="26">
        <f>现金流量表!AK9</f>
        <v>205173480.31</v>
      </c>
      <c r="AL7" s="26">
        <f>现金流量表!AL9</f>
        <v>160988903.84999999</v>
      </c>
      <c r="AM7" s="26">
        <f>现金流量表!AM9</f>
        <v>125601501.62</v>
      </c>
      <c r="AN7" s="26">
        <f>现金流量表!AN9</f>
        <v>79175385.060000002</v>
      </c>
      <c r="AO7" s="26">
        <f>现金流量表!AO9</f>
        <v>131007907.42</v>
      </c>
      <c r="AP7" s="26">
        <f>现金流量表!AP9</f>
        <v>77771952.450000003</v>
      </c>
      <c r="AQ7" s="26">
        <f>现金流量表!AQ9</f>
        <v>0</v>
      </c>
      <c r="AR7" s="26">
        <f>现金流量表!AR9</f>
        <v>0</v>
      </c>
      <c r="AS7" s="26">
        <f>现金流量表!AS9</f>
        <v>0</v>
      </c>
      <c r="AT7" s="26">
        <f>现金流量表!AT9</f>
        <v>0</v>
      </c>
      <c r="AU7" s="26">
        <f>现金流量表!AU9</f>
        <v>0</v>
      </c>
      <c r="AV7" s="26">
        <f>现金流量表!AV9</f>
        <v>0</v>
      </c>
      <c r="AW7" s="26">
        <f>现金流量表!AW9</f>
        <v>0</v>
      </c>
      <c r="AX7" s="26">
        <f>现金流量表!AX9</f>
        <v>0</v>
      </c>
      <c r="AY7" s="26">
        <f>现金流量表!AY9</f>
        <v>0</v>
      </c>
      <c r="AZ7" s="26">
        <f>现金流量表!AZ9</f>
        <v>0</v>
      </c>
      <c r="BA7" s="26">
        <f>现金流量表!BA9</f>
        <v>0</v>
      </c>
      <c r="BB7" s="26">
        <f>现金流量表!BB9</f>
        <v>0</v>
      </c>
      <c r="BC7" s="26">
        <f>现金流量表!BC9</f>
        <v>0</v>
      </c>
      <c r="BD7" s="26">
        <f>现金流量表!BD9</f>
        <v>0</v>
      </c>
      <c r="BE7" s="26">
        <f>现金流量表!BE9</f>
        <v>0</v>
      </c>
      <c r="BF7" s="26">
        <f>现金流量表!BF9</f>
        <v>0</v>
      </c>
      <c r="BG7" s="26">
        <f>现金流量表!BG9</f>
        <v>0</v>
      </c>
      <c r="BH7" s="26">
        <f>现金流量表!BH9</f>
        <v>0</v>
      </c>
      <c r="BI7" s="26">
        <f>现金流量表!BI9</f>
        <v>0</v>
      </c>
      <c r="BJ7" s="26">
        <f>现金流量表!BJ9</f>
        <v>0</v>
      </c>
      <c r="BK7" s="26">
        <f>现金流量表!BK9</f>
        <v>0</v>
      </c>
      <c r="BL7" s="26">
        <f>现金流量表!BL9</f>
        <v>0</v>
      </c>
      <c r="BM7" s="26">
        <f>现金流量表!BM9</f>
        <v>0</v>
      </c>
      <c r="BN7" s="26">
        <f>现金流量表!BN9</f>
        <v>0</v>
      </c>
      <c r="BO7" s="26">
        <f>现金流量表!BO9</f>
        <v>0</v>
      </c>
      <c r="BP7" s="26">
        <f>现金流量表!BP9</f>
        <v>0</v>
      </c>
      <c r="BQ7" s="26">
        <f>现金流量表!BQ9</f>
        <v>0</v>
      </c>
      <c r="BR7" s="26">
        <f>现金流量表!BR9</f>
        <v>0</v>
      </c>
      <c r="BS7" s="26">
        <f>现金流量表!BS9</f>
        <v>0</v>
      </c>
      <c r="BT7" s="26">
        <f>现金流量表!BT9</f>
        <v>0</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6" t="s">
        <v>491</v>
      </c>
      <c r="E8" s="58">
        <f>利润表!E6</f>
        <v>23467310590.759998</v>
      </c>
      <c r="F8" s="58">
        <f>利润表!F6</f>
        <v>15477663755.389999</v>
      </c>
      <c r="G8" s="58">
        <f>利润表!G6</f>
        <v>9420695024.8400002</v>
      </c>
      <c r="H8" s="58">
        <f>利润表!H6</f>
        <v>4030635978.6399999</v>
      </c>
      <c r="I8" s="58">
        <f>利润表!I6</f>
        <v>18649694075.439999</v>
      </c>
      <c r="J8" s="58">
        <f>利润表!J6</f>
        <v>12354272045.639999</v>
      </c>
      <c r="K8" s="58">
        <f>利润表!K6</f>
        <v>7516381723.1400003</v>
      </c>
      <c r="L8" s="58">
        <f>利润表!L6</f>
        <v>3023844618.0300002</v>
      </c>
      <c r="M8" s="58">
        <f>利润表!M6</f>
        <v>15136793517.440001</v>
      </c>
      <c r="N8" s="58">
        <f>利润表!N6</f>
        <v>9726052589.9899998</v>
      </c>
      <c r="O8" s="58">
        <f>利润表!O6</f>
        <v>5589497558.5900002</v>
      </c>
      <c r="P8" s="58">
        <f>利润表!P6</f>
        <v>2391396043.4099998</v>
      </c>
      <c r="Q8" s="58">
        <f>利润表!Q6</f>
        <v>9578266693.2800007</v>
      </c>
      <c r="R8" s="58">
        <f>利润表!R6</f>
        <v>5677915233.6400003</v>
      </c>
      <c r="S8" s="58">
        <f>利润表!S6</f>
        <v>3147587830.75</v>
      </c>
      <c r="T8" s="58">
        <f>利润表!T6</f>
        <v>1375389877.0699999</v>
      </c>
      <c r="U8" s="58">
        <f>利润表!U6</f>
        <v>5628838417.1000004</v>
      </c>
      <c r="V8" s="58">
        <f>利润表!V6</f>
        <v>3551297173.46</v>
      </c>
      <c r="W8" s="58">
        <f>利润表!W6</f>
        <v>2033786330.8299999</v>
      </c>
      <c r="X8" s="58">
        <f>利润表!X6</f>
        <v>882546175.61000001</v>
      </c>
      <c r="Y8" s="58">
        <f>利润表!Y6</f>
        <v>3664922810.8099999</v>
      </c>
      <c r="Z8" s="58">
        <f>利润表!Z6</f>
        <v>2427344631.4699998</v>
      </c>
      <c r="AA8" s="58">
        <f>利润表!AA6</f>
        <v>1420922224.6400001</v>
      </c>
      <c r="AB8" s="58">
        <f>利润表!AB6</f>
        <v>661465729.58000004</v>
      </c>
      <c r="AC8" s="58">
        <f>利润表!AC6</f>
        <v>2634180308.6399999</v>
      </c>
      <c r="AD8" s="58">
        <f>利润表!AD6</f>
        <v>1699824066.8800001</v>
      </c>
      <c r="AE8" s="58">
        <f>利润表!AE6</f>
        <v>1021856726.88</v>
      </c>
      <c r="AF8" s="58">
        <f>利润表!AF6</f>
        <v>468282079.42000002</v>
      </c>
      <c r="AG8" s="58">
        <f>利润表!AG6</f>
        <v>1743763633.1199999</v>
      </c>
      <c r="AH8" s="58">
        <f>利润表!AH6</f>
        <v>1199655803.52</v>
      </c>
      <c r="AI8" s="58">
        <f>利润表!AI6</f>
        <v>702050596.73000002</v>
      </c>
      <c r="AJ8" s="58">
        <f>利润表!AJ6</f>
        <v>339155124.04000002</v>
      </c>
      <c r="AK8" s="58">
        <f>利润表!AK6</f>
        <v>1007090667.39</v>
      </c>
      <c r="AL8" s="58">
        <f>利润表!AL6</f>
        <v>674382814.25</v>
      </c>
      <c r="AM8" s="58">
        <f>利润表!AM6</f>
        <v>389447580.93000001</v>
      </c>
      <c r="AN8" s="58">
        <f>利润表!AN6</f>
        <v>182379908.43000001</v>
      </c>
      <c r="AO8" s="58">
        <f>利润表!AO6</f>
        <v>856519516.38</v>
      </c>
      <c r="AP8" s="58">
        <f>利润表!AP6</f>
        <v>609529706.07000005</v>
      </c>
      <c r="AQ8" s="58">
        <f>利润表!AQ6</f>
        <v>0</v>
      </c>
      <c r="AR8" s="58">
        <f>利润表!AR6</f>
        <v>0</v>
      </c>
      <c r="AS8" s="58">
        <f>利润表!AS6</f>
        <v>0</v>
      </c>
      <c r="AT8" s="58">
        <f>利润表!AT6</f>
        <v>0</v>
      </c>
      <c r="AU8" s="58">
        <f>利润表!AU6</f>
        <v>0</v>
      </c>
      <c r="AV8" s="58">
        <f>利润表!AV6</f>
        <v>0</v>
      </c>
      <c r="AW8" s="58">
        <f>利润表!AW6</f>
        <v>0</v>
      </c>
      <c r="AX8" s="58">
        <f>利润表!AX6</f>
        <v>0</v>
      </c>
      <c r="AY8" s="58">
        <f>利润表!AY6</f>
        <v>0</v>
      </c>
      <c r="AZ8" s="58">
        <f>利润表!AZ6</f>
        <v>0</v>
      </c>
      <c r="BA8" s="58">
        <f>利润表!BA6</f>
        <v>0</v>
      </c>
      <c r="BB8" s="58">
        <f>利润表!BB6</f>
        <v>0</v>
      </c>
      <c r="BC8" s="58">
        <f>利润表!BC6</f>
        <v>0</v>
      </c>
      <c r="BD8" s="58">
        <f>利润表!BD6</f>
        <v>0</v>
      </c>
      <c r="BE8" s="58">
        <f>利润表!BE6</f>
        <v>0</v>
      </c>
      <c r="BF8" s="58">
        <f>利润表!BF6</f>
        <v>0</v>
      </c>
      <c r="BG8" s="58">
        <f>利润表!BG6</f>
        <v>0</v>
      </c>
      <c r="BH8" s="58">
        <f>利润表!BH6</f>
        <v>0</v>
      </c>
      <c r="BI8" s="58">
        <f>利润表!BI6</f>
        <v>0</v>
      </c>
      <c r="BJ8" s="58">
        <f>利润表!BJ6</f>
        <v>0</v>
      </c>
      <c r="BK8" s="58">
        <f>利润表!BK6</f>
        <v>0</v>
      </c>
      <c r="BL8" s="58">
        <f>利润表!BL6</f>
        <v>0</v>
      </c>
      <c r="BM8" s="58">
        <f>利润表!BM6</f>
        <v>0</v>
      </c>
      <c r="BN8" s="58">
        <f>利润表!BN6</f>
        <v>0</v>
      </c>
      <c r="BO8" s="58">
        <f>利润表!BO6</f>
        <v>0</v>
      </c>
      <c r="BP8" s="58">
        <f>利润表!BP6</f>
        <v>0</v>
      </c>
      <c r="BQ8" s="58">
        <f>利润表!BQ6</f>
        <v>0</v>
      </c>
      <c r="BR8" s="58">
        <f>利润表!BR6</f>
        <v>0</v>
      </c>
      <c r="BS8" s="58">
        <f>利润表!BS6</f>
        <v>0</v>
      </c>
      <c r="BT8" s="58">
        <f>利润表!BT6</f>
        <v>0</v>
      </c>
      <c r="BU8" s="58">
        <f>利润表!BU6</f>
        <v>0</v>
      </c>
      <c r="BV8" s="58">
        <f>利润表!BV6</f>
        <v>0</v>
      </c>
      <c r="BW8" s="58">
        <f>利润表!BW6</f>
        <v>0</v>
      </c>
      <c r="BX8" s="58">
        <f>利润表!BX6</f>
        <v>0</v>
      </c>
      <c r="BY8" s="58">
        <f>利润表!BY6</f>
        <v>0</v>
      </c>
      <c r="BZ8" s="58">
        <f>利润表!BZ6</f>
        <v>0</v>
      </c>
      <c r="CA8" s="58">
        <f>利润表!CA6</f>
        <v>0</v>
      </c>
      <c r="CB8" s="58">
        <f>利润表!CB6</f>
        <v>0</v>
      </c>
      <c r="CC8" s="58">
        <f>利润表!CC6</f>
        <v>0</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46" t="s">
        <v>492</v>
      </c>
      <c r="E9" s="58">
        <f>利润表!E7</f>
        <v>370993824.44999999</v>
      </c>
      <c r="F9" s="58">
        <f>利润表!F7</f>
        <v>276908073.13999999</v>
      </c>
      <c r="G9" s="58">
        <f>利润表!G7</f>
        <v>174232595.69999999</v>
      </c>
      <c r="H9" s="58">
        <f>利润表!H7</f>
        <v>66178321.289999999</v>
      </c>
      <c r="I9" s="58">
        <f>利润表!I7</f>
        <v>255078931.5</v>
      </c>
      <c r="J9" s="58">
        <f>利润表!J7</f>
        <v>157552322.13</v>
      </c>
      <c r="K9" s="58">
        <f>利润表!K7</f>
        <v>97314853.769999996</v>
      </c>
      <c r="L9" s="58">
        <f>利润表!L7</f>
        <v>47522585.770000003</v>
      </c>
      <c r="M9" s="58">
        <f>利润表!M7</f>
        <v>196876622.43000001</v>
      </c>
      <c r="N9" s="58">
        <f>利润表!N7</f>
        <v>119875085.67</v>
      </c>
      <c r="O9" s="58">
        <f>利润表!O7</f>
        <v>70718619.5</v>
      </c>
      <c r="P9" s="58">
        <f>利润表!P7</f>
        <v>32784165.09</v>
      </c>
      <c r="Q9" s="58">
        <f>利润表!Q7</f>
        <v>151694130.11000001</v>
      </c>
      <c r="R9" s="58">
        <f>利润表!R7</f>
        <v>100473866.06</v>
      </c>
      <c r="S9" s="58">
        <f>利润表!S7</f>
        <v>62188690.600000001</v>
      </c>
      <c r="T9" s="58">
        <f>利润表!T7</f>
        <v>27607191.579999998</v>
      </c>
      <c r="U9" s="58">
        <f>利润表!U7</f>
        <v>115109356.91</v>
      </c>
      <c r="V9" s="58">
        <f>利润表!V7</f>
        <v>63767866.359999999</v>
      </c>
      <c r="W9" s="58">
        <f>利润表!W7</f>
        <v>36615084.299999997</v>
      </c>
      <c r="X9" s="58">
        <f>利润表!X7</f>
        <v>13080153.029999999</v>
      </c>
      <c r="Y9" s="58">
        <f>利润表!Y7</f>
        <v>78067696.25</v>
      </c>
      <c r="Z9" s="58">
        <f>利润表!Z7</f>
        <v>50082603.920000002</v>
      </c>
      <c r="AA9" s="58">
        <f>利润表!AA7</f>
        <v>29124088.649999999</v>
      </c>
      <c r="AB9" s="58">
        <f>利润表!AB7</f>
        <v>11502675.789999999</v>
      </c>
      <c r="AC9" s="58">
        <f>利润表!AC7</f>
        <v>51909257.399999999</v>
      </c>
      <c r="AD9" s="58">
        <f>利润表!AD7</f>
        <v>33688420.700000003</v>
      </c>
      <c r="AE9" s="58">
        <f>利润表!AE7</f>
        <v>20938376.780000001</v>
      </c>
      <c r="AF9" s="58">
        <f>利润表!AF7</f>
        <v>10335864.6</v>
      </c>
      <c r="AG9" s="58">
        <f>利润表!AG7</f>
        <v>10293468.73</v>
      </c>
      <c r="AH9" s="58">
        <f>利润表!AH7</f>
        <v>3272077.62</v>
      </c>
      <c r="AI9" s="58">
        <f>利润表!AI7</f>
        <v>2047965.07</v>
      </c>
      <c r="AJ9" s="58">
        <f>利润表!AJ7</f>
        <v>886914.7</v>
      </c>
      <c r="AK9" s="58">
        <f>利润表!AK7</f>
        <v>3317474.88</v>
      </c>
      <c r="AL9" s="58">
        <f>利润表!AL7</f>
        <v>2289914.11</v>
      </c>
      <c r="AM9" s="58">
        <f>利润表!AM7</f>
        <v>1521752.92</v>
      </c>
      <c r="AN9" s="58">
        <f>利润表!AN7</f>
        <v>843042.51</v>
      </c>
      <c r="AO9" s="58">
        <f>利润表!AO7</f>
        <v>3163455.71</v>
      </c>
      <c r="AP9" s="58">
        <f>利润表!AP7</f>
        <v>1272560.1000000001</v>
      </c>
      <c r="AQ9" s="58">
        <f>利润表!AQ7</f>
        <v>0</v>
      </c>
      <c r="AR9" s="58">
        <f>利润表!AR7</f>
        <v>0</v>
      </c>
      <c r="AS9" s="58">
        <f>利润表!AS7</f>
        <v>0</v>
      </c>
      <c r="AT9" s="58">
        <f>利润表!AT7</f>
        <v>0</v>
      </c>
      <c r="AU9" s="58">
        <f>利润表!AU7</f>
        <v>0</v>
      </c>
      <c r="AV9" s="58">
        <f>利润表!AV7</f>
        <v>0</v>
      </c>
      <c r="AW9" s="58">
        <f>利润表!AW7</f>
        <v>0</v>
      </c>
      <c r="AX9" s="58">
        <f>利润表!AX7</f>
        <v>0</v>
      </c>
      <c r="AY9" s="58">
        <f>利润表!AY7</f>
        <v>0</v>
      </c>
      <c r="AZ9" s="58">
        <f>利润表!AZ7</f>
        <v>0</v>
      </c>
      <c r="BA9" s="58">
        <f>利润表!BA7</f>
        <v>0</v>
      </c>
      <c r="BB9" s="58">
        <f>利润表!BB7</f>
        <v>0</v>
      </c>
      <c r="BC9" s="58">
        <f>利润表!BC7</f>
        <v>0</v>
      </c>
      <c r="BD9" s="58">
        <f>利润表!BD7</f>
        <v>0</v>
      </c>
      <c r="BE9" s="58">
        <f>利润表!BE7</f>
        <v>0</v>
      </c>
      <c r="BF9" s="58">
        <f>利润表!BF7</f>
        <v>0</v>
      </c>
      <c r="BG9" s="58">
        <f>利润表!BG7</f>
        <v>0</v>
      </c>
      <c r="BH9" s="58">
        <f>利润表!BH7</f>
        <v>0</v>
      </c>
      <c r="BI9" s="58">
        <f>利润表!BI7</f>
        <v>0</v>
      </c>
      <c r="BJ9" s="58">
        <f>利润表!BJ7</f>
        <v>0</v>
      </c>
      <c r="BK9" s="58">
        <f>利润表!BK7</f>
        <v>0</v>
      </c>
      <c r="BL9" s="58">
        <f>利润表!BL7</f>
        <v>0</v>
      </c>
      <c r="BM9" s="58">
        <f>利润表!BM7</f>
        <v>0</v>
      </c>
      <c r="BN9" s="58">
        <f>利润表!BN7</f>
        <v>0</v>
      </c>
      <c r="BO9" s="58">
        <f>利润表!BO7</f>
        <v>0</v>
      </c>
      <c r="BP9" s="58">
        <f>利润表!BP7</f>
        <v>0</v>
      </c>
      <c r="BQ9" s="58">
        <f>利润表!BQ7</f>
        <v>0</v>
      </c>
      <c r="BR9" s="58">
        <f>利润表!BR7</f>
        <v>0</v>
      </c>
      <c r="BS9" s="58">
        <f>利润表!BS7</f>
        <v>0</v>
      </c>
      <c r="BT9" s="58">
        <f>利润表!BT7</f>
        <v>0</v>
      </c>
      <c r="BU9" s="58">
        <f>利润表!BU7</f>
        <v>0</v>
      </c>
      <c r="BV9" s="58">
        <f>利润表!BV7</f>
        <v>0</v>
      </c>
      <c r="BW9" s="58">
        <f>利润表!BW7</f>
        <v>0</v>
      </c>
      <c r="BX9" s="58">
        <f>利润表!BX7</f>
        <v>0</v>
      </c>
      <c r="BY9" s="58">
        <f>利润表!BY7</f>
        <v>0</v>
      </c>
      <c r="BZ9" s="58">
        <f>利润表!BZ7</f>
        <v>0</v>
      </c>
      <c r="CA9" s="58">
        <f>利润表!CA7</f>
        <v>0</v>
      </c>
      <c r="CB9" s="58">
        <f>利润表!CB7</f>
        <v>0</v>
      </c>
      <c r="CC9" s="58">
        <f>利润表!CC7</f>
        <v>0</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x14ac:dyDescent="0.25">
      <c r="A10" s="146" t="s">
        <v>493</v>
      </c>
      <c r="E10" s="58">
        <f>利润表!E8</f>
        <v>4430220065.1300001</v>
      </c>
      <c r="F10" s="58">
        <f>利润表!F8</f>
        <v>2960426405.5999999</v>
      </c>
      <c r="G10" s="58">
        <f>利润表!G8</f>
        <v>1726924956.22</v>
      </c>
      <c r="H10" s="58">
        <f>利润表!H8</f>
        <v>700619566.14999998</v>
      </c>
      <c r="I10" s="58">
        <f>利润表!I8</f>
        <v>2991273819.8099999</v>
      </c>
      <c r="J10" s="58">
        <f>利润表!J8</f>
        <v>2007702021.3099999</v>
      </c>
      <c r="K10" s="58">
        <f>利润表!K8</f>
        <v>1211831544.28</v>
      </c>
      <c r="L10" s="58">
        <f>利润表!L8</f>
        <v>520294932.05000001</v>
      </c>
      <c r="M10" s="58">
        <f>利润表!M8</f>
        <v>2179045314.71</v>
      </c>
      <c r="N10" s="58">
        <f>利润表!N8</f>
        <v>1446377402.1199999</v>
      </c>
      <c r="O10" s="58">
        <f>利润表!O8</f>
        <v>913527801.58000004</v>
      </c>
      <c r="P10" s="58">
        <f>利润表!P8</f>
        <v>428031683.13999999</v>
      </c>
      <c r="Q10" s="58">
        <f>利润表!Q8</f>
        <v>1533250114.26</v>
      </c>
      <c r="R10" s="58">
        <f>利润表!R8</f>
        <v>1046928112.37</v>
      </c>
      <c r="S10" s="58">
        <f>利润表!S8</f>
        <v>645126817.09000003</v>
      </c>
      <c r="T10" s="58">
        <f>利润表!T8</f>
        <v>261613832.13999999</v>
      </c>
      <c r="U10" s="58">
        <f>利润表!U8</f>
        <v>927426449.51999998</v>
      </c>
      <c r="V10" s="58">
        <f>利润表!V8</f>
        <v>683757988.33000004</v>
      </c>
      <c r="W10" s="58">
        <f>利润表!W8</f>
        <v>418855245.33999997</v>
      </c>
      <c r="X10" s="58">
        <f>利润表!X8</f>
        <v>175978641.00999999</v>
      </c>
      <c r="Y10" s="58">
        <f>利润表!Y8</f>
        <v>731872615.79999995</v>
      </c>
      <c r="Z10" s="58">
        <f>利润表!Z8</f>
        <v>575914393.08000004</v>
      </c>
      <c r="AA10" s="58">
        <f>利润表!AA8</f>
        <v>335648461.39999998</v>
      </c>
      <c r="AB10" s="58">
        <f>利润表!AB8</f>
        <v>150137800.27000001</v>
      </c>
      <c r="AC10" s="58">
        <f>利润表!AC8</f>
        <v>625552479.17999995</v>
      </c>
      <c r="AD10" s="58">
        <f>利润表!AD8</f>
        <v>431972473.22000003</v>
      </c>
      <c r="AE10" s="58">
        <f>利润表!AE8</f>
        <v>267129765.16</v>
      </c>
      <c r="AF10" s="58">
        <f>利润表!AF8</f>
        <v>103932820.8</v>
      </c>
      <c r="AG10" s="58">
        <f>利润表!AG8</f>
        <v>464914629.86000001</v>
      </c>
      <c r="AH10" s="58">
        <f>利润表!AH8</f>
        <v>274116683.08999997</v>
      </c>
      <c r="AI10" s="58">
        <f>利润表!AI8</f>
        <v>167302097.61000001</v>
      </c>
      <c r="AJ10" s="58">
        <f>利润表!AJ8</f>
        <v>74114125.689999998</v>
      </c>
      <c r="AK10" s="58">
        <f>利润表!AK8</f>
        <v>226804562.78999999</v>
      </c>
      <c r="AL10" s="58">
        <f>利润表!AL8</f>
        <v>156827955.06999999</v>
      </c>
      <c r="AM10" s="58">
        <f>利润表!AM8</f>
        <v>104909623.48999999</v>
      </c>
      <c r="AN10" s="58">
        <f>利润表!AN8</f>
        <v>49107483.899999999</v>
      </c>
      <c r="AO10" s="58">
        <f>利润表!AO8</f>
        <v>190881516.88999999</v>
      </c>
      <c r="AP10" s="58">
        <f>利润表!AP8</f>
        <v>117771764.23</v>
      </c>
      <c r="AQ10" s="58">
        <f>利润表!AQ8</f>
        <v>0</v>
      </c>
      <c r="AR10" s="58">
        <f>利润表!AR8</f>
        <v>0</v>
      </c>
      <c r="AS10" s="58">
        <f>利润表!AS8</f>
        <v>0</v>
      </c>
      <c r="AT10" s="58">
        <f>利润表!AT8</f>
        <v>0</v>
      </c>
      <c r="AU10" s="58">
        <f>利润表!AU8</f>
        <v>0</v>
      </c>
      <c r="AV10" s="58">
        <f>利润表!AV8</f>
        <v>0</v>
      </c>
      <c r="AW10" s="58">
        <f>利润表!AW8</f>
        <v>0</v>
      </c>
      <c r="AX10" s="58">
        <f>利润表!AX8</f>
        <v>0</v>
      </c>
      <c r="AY10" s="58">
        <f>利润表!AY8</f>
        <v>0</v>
      </c>
      <c r="AZ10" s="58">
        <f>利润表!AZ8</f>
        <v>0</v>
      </c>
      <c r="BA10" s="58">
        <f>利润表!BA8</f>
        <v>0</v>
      </c>
      <c r="BB10" s="58">
        <f>利润表!BB8</f>
        <v>0</v>
      </c>
      <c r="BC10" s="58">
        <f>利润表!BC8</f>
        <v>0</v>
      </c>
      <c r="BD10" s="58">
        <f>利润表!BD8</f>
        <v>0</v>
      </c>
      <c r="BE10" s="58">
        <f>利润表!BE8</f>
        <v>0</v>
      </c>
      <c r="BF10" s="58">
        <f>利润表!BF8</f>
        <v>0</v>
      </c>
      <c r="BG10" s="58">
        <f>利润表!BG8</f>
        <v>0</v>
      </c>
      <c r="BH10" s="58">
        <f>利润表!BH8</f>
        <v>0</v>
      </c>
      <c r="BI10" s="58">
        <f>利润表!BI8</f>
        <v>0</v>
      </c>
      <c r="BJ10" s="58">
        <f>利润表!BJ8</f>
        <v>0</v>
      </c>
      <c r="BK10" s="58">
        <f>利润表!BK8</f>
        <v>0</v>
      </c>
      <c r="BL10" s="58">
        <f>利润表!BL8</f>
        <v>0</v>
      </c>
      <c r="BM10" s="58">
        <f>利润表!BM8</f>
        <v>0</v>
      </c>
      <c r="BN10" s="58">
        <f>利润表!BN8</f>
        <v>0</v>
      </c>
      <c r="BO10" s="58">
        <f>利润表!BO8</f>
        <v>0</v>
      </c>
      <c r="BP10" s="58">
        <f>利润表!BP8</f>
        <v>0</v>
      </c>
      <c r="BQ10" s="58">
        <f>利润表!BQ8</f>
        <v>0</v>
      </c>
      <c r="BR10" s="58">
        <f>利润表!BR8</f>
        <v>0</v>
      </c>
      <c r="BS10" s="58">
        <f>利润表!BS8</f>
        <v>0</v>
      </c>
      <c r="BT10" s="58">
        <f>利润表!BT8</f>
        <v>0</v>
      </c>
      <c r="BU10" s="58">
        <f>利润表!BU8</f>
        <v>0</v>
      </c>
      <c r="BV10" s="58">
        <f>利润表!BV8</f>
        <v>0</v>
      </c>
      <c r="BW10" s="58">
        <f>利润表!BW8</f>
        <v>0</v>
      </c>
      <c r="BX10" s="58">
        <f>利润表!BX8</f>
        <v>0</v>
      </c>
      <c r="BY10" s="58">
        <f>利润表!BY8</f>
        <v>0</v>
      </c>
      <c r="BZ10" s="58">
        <f>利润表!BZ8</f>
        <v>0</v>
      </c>
      <c r="CA10" s="58">
        <f>利润表!CA8</f>
        <v>0</v>
      </c>
      <c r="CB10" s="58">
        <f>利润表!CB8</f>
        <v>0</v>
      </c>
      <c r="CC10" s="58">
        <f>利润表!CC8</f>
        <v>0</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6" t="s">
        <v>494</v>
      </c>
      <c r="E11" s="58">
        <f>利润表!E9</f>
        <v>4205437565.4499998</v>
      </c>
      <c r="F11" s="58">
        <f>利润表!F9</f>
        <v>2862065389.8400002</v>
      </c>
      <c r="G11" s="58">
        <f>利润表!G9</f>
        <v>1761709877.1300001</v>
      </c>
      <c r="H11" s="58">
        <f>利润表!H9</f>
        <v>747817353.51999998</v>
      </c>
      <c r="I11" s="58">
        <f>利润表!I9</f>
        <v>3106761432.9400001</v>
      </c>
      <c r="J11" s="58">
        <f>利润表!J9</f>
        <v>2123824265.51</v>
      </c>
      <c r="K11" s="58">
        <f>利润表!K9</f>
        <v>1270629581.95</v>
      </c>
      <c r="L11" s="58">
        <f>利润表!L9</f>
        <v>520661382.88999999</v>
      </c>
      <c r="M11" s="58">
        <f>利润表!M9</f>
        <v>2211221871.1500001</v>
      </c>
      <c r="N11" s="58">
        <f>利润表!N9</f>
        <v>1599941807.8499999</v>
      </c>
      <c r="O11" s="58">
        <f>利润表!O9</f>
        <v>994900083.46000004</v>
      </c>
      <c r="P11" s="58">
        <f>利润表!P9</f>
        <v>422461730.31999999</v>
      </c>
      <c r="Q11" s="58">
        <f>利润表!Q9</f>
        <v>1645518222.73</v>
      </c>
      <c r="R11" s="58">
        <f>利润表!R9</f>
        <v>1181965027.46</v>
      </c>
      <c r="S11" s="58">
        <f>利润表!S9</f>
        <v>688030171.40999997</v>
      </c>
      <c r="T11" s="58">
        <f>利润表!T9</f>
        <v>283729975.93000001</v>
      </c>
      <c r="U11" s="58">
        <f>利润表!U9</f>
        <v>1095698834.46</v>
      </c>
      <c r="V11" s="58">
        <f>利润表!V9</f>
        <v>743303671.50999999</v>
      </c>
      <c r="W11" s="58">
        <f>利润表!W9</f>
        <v>418586961.36000001</v>
      </c>
      <c r="X11" s="58">
        <f>利润表!X9</f>
        <v>185628502.99000001</v>
      </c>
      <c r="Y11" s="58">
        <f>利润表!Y9</f>
        <v>770532075.27999997</v>
      </c>
      <c r="Z11" s="58">
        <f>利润表!Z9</f>
        <v>475099388.19</v>
      </c>
      <c r="AA11" s="58">
        <f>利润表!AA9</f>
        <v>274578299.18000001</v>
      </c>
      <c r="AB11" s="58">
        <f>利润表!AB9</f>
        <v>122625833.27</v>
      </c>
      <c r="AC11" s="58">
        <f>利润表!AC9</f>
        <v>502992679.58999997</v>
      </c>
      <c r="AD11" s="58">
        <f>利润表!AD9</f>
        <v>328771758.27999997</v>
      </c>
      <c r="AE11" s="58">
        <f>利润表!AE9</f>
        <v>203447348.58000001</v>
      </c>
      <c r="AF11" s="58">
        <f>利润表!AF9</f>
        <v>83340672.030000001</v>
      </c>
      <c r="AG11" s="58">
        <f>利润表!AG9</f>
        <v>373449292.55000001</v>
      </c>
      <c r="AH11" s="58">
        <f>利润表!AH9</f>
        <v>209246100.88999999</v>
      </c>
      <c r="AI11" s="58">
        <f>利润表!AI9</f>
        <v>133447973.09999999</v>
      </c>
      <c r="AJ11" s="58">
        <f>利润表!AJ9</f>
        <v>58617992.060000002</v>
      </c>
      <c r="AK11" s="58">
        <f>利润表!AK9</f>
        <v>200796259.97999999</v>
      </c>
      <c r="AL11" s="58">
        <f>利润表!AL9</f>
        <v>132847105.28</v>
      </c>
      <c r="AM11" s="58">
        <f>利润表!AM9</f>
        <v>86942806.219999999</v>
      </c>
      <c r="AN11" s="58">
        <f>利润表!AN9</f>
        <v>41422624.090000004</v>
      </c>
      <c r="AO11" s="58">
        <f>利润表!AO9</f>
        <v>145495368.33000001</v>
      </c>
      <c r="AP11" s="58">
        <f>利润表!AP9</f>
        <v>97040615.739999995</v>
      </c>
      <c r="AQ11" s="58">
        <f>利润表!AQ9</f>
        <v>0</v>
      </c>
      <c r="AR11" s="58">
        <f>利润表!AR9</f>
        <v>0</v>
      </c>
      <c r="AS11" s="58">
        <f>利润表!AS9</f>
        <v>0</v>
      </c>
      <c r="AT11" s="58">
        <f>利润表!AT9</f>
        <v>0</v>
      </c>
      <c r="AU11" s="58">
        <f>利润表!AU9</f>
        <v>0</v>
      </c>
      <c r="AV11" s="58">
        <f>利润表!AV9</f>
        <v>0</v>
      </c>
      <c r="AW11" s="58">
        <f>利润表!AW9</f>
        <v>0</v>
      </c>
      <c r="AX11" s="58">
        <f>利润表!AX9</f>
        <v>0</v>
      </c>
      <c r="AY11" s="58">
        <f>利润表!AY9</f>
        <v>0</v>
      </c>
      <c r="AZ11" s="58">
        <f>利润表!AZ9</f>
        <v>0</v>
      </c>
      <c r="BA11" s="58">
        <f>利润表!BA9</f>
        <v>0</v>
      </c>
      <c r="BB11" s="58">
        <f>利润表!BB9</f>
        <v>0</v>
      </c>
      <c r="BC11" s="58">
        <f>利润表!BC9</f>
        <v>0</v>
      </c>
      <c r="BD11" s="58">
        <f>利润表!BD9</f>
        <v>0</v>
      </c>
      <c r="BE11" s="58">
        <f>利润表!BE9</f>
        <v>0</v>
      </c>
      <c r="BF11" s="58">
        <f>利润表!BF9</f>
        <v>0</v>
      </c>
      <c r="BG11" s="58">
        <f>利润表!BG9</f>
        <v>0</v>
      </c>
      <c r="BH11" s="58">
        <f>利润表!BH9</f>
        <v>0</v>
      </c>
      <c r="BI11" s="58">
        <f>利润表!BI9</f>
        <v>0</v>
      </c>
      <c r="BJ11" s="58">
        <f>利润表!BJ9</f>
        <v>0</v>
      </c>
      <c r="BK11" s="58">
        <f>利润表!BK9</f>
        <v>0</v>
      </c>
      <c r="BL11" s="58">
        <f>利润表!BL9</f>
        <v>0</v>
      </c>
      <c r="BM11" s="58">
        <f>利润表!BM9</f>
        <v>0</v>
      </c>
      <c r="BN11" s="58">
        <f>利润表!BN9</f>
        <v>0</v>
      </c>
      <c r="BO11" s="58">
        <f>利润表!BO9</f>
        <v>0</v>
      </c>
      <c r="BP11" s="58">
        <f>利润表!BP9</f>
        <v>0</v>
      </c>
      <c r="BQ11" s="58">
        <f>利润表!BQ9</f>
        <v>0</v>
      </c>
      <c r="BR11" s="58">
        <f>利润表!BR9</f>
        <v>0</v>
      </c>
      <c r="BS11" s="58">
        <f>利润表!BS9</f>
        <v>0</v>
      </c>
      <c r="BT11" s="58">
        <f>利润表!BT9</f>
        <v>0</v>
      </c>
      <c r="BU11" s="58">
        <f>利润表!BU9</f>
        <v>0</v>
      </c>
      <c r="BV11" s="58">
        <f>利润表!BV9</f>
        <v>0</v>
      </c>
      <c r="BW11" s="58">
        <f>利润表!BW9</f>
        <v>0</v>
      </c>
      <c r="BX11" s="58">
        <f>利润表!BX9</f>
        <v>0</v>
      </c>
      <c r="BY11" s="58">
        <f>利润表!BY9</f>
        <v>0</v>
      </c>
      <c r="BZ11" s="58">
        <f>利润表!BZ9</f>
        <v>0</v>
      </c>
      <c r="CA11" s="58">
        <f>利润表!CA9</f>
        <v>0</v>
      </c>
      <c r="CB11" s="58">
        <f>利润表!CB9</f>
        <v>0</v>
      </c>
      <c r="CC11" s="58">
        <f>利润表!CC9</f>
        <v>0</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6" t="s">
        <v>495</v>
      </c>
      <c r="E12" s="58">
        <f>SUM(E8:E11)</f>
        <v>32473962045.790001</v>
      </c>
      <c r="F12" s="58">
        <f t="shared" ref="F12:BQ12" si="4">SUM(F8:F11)</f>
        <v>21577063623.969997</v>
      </c>
      <c r="G12" s="58">
        <f t="shared" si="4"/>
        <v>13083562453.889999</v>
      </c>
      <c r="H12" s="58">
        <f t="shared" si="4"/>
        <v>5545251219.6000004</v>
      </c>
      <c r="I12" s="58">
        <f t="shared" si="4"/>
        <v>25002808259.689999</v>
      </c>
      <c r="J12" s="58">
        <f t="shared" si="4"/>
        <v>16643350654.589998</v>
      </c>
      <c r="K12" s="58">
        <f t="shared" si="4"/>
        <v>10096157703.140001</v>
      </c>
      <c r="L12" s="58">
        <f t="shared" si="4"/>
        <v>4112323518.7400002</v>
      </c>
      <c r="M12" s="58">
        <f t="shared" si="4"/>
        <v>19723937325.730003</v>
      </c>
      <c r="N12" s="58">
        <f t="shared" si="4"/>
        <v>12892246885.629999</v>
      </c>
      <c r="O12" s="58">
        <f t="shared" si="4"/>
        <v>7568644063.1300001</v>
      </c>
      <c r="P12" s="58">
        <f t="shared" si="4"/>
        <v>3274673621.96</v>
      </c>
      <c r="Q12" s="58">
        <f t="shared" si="4"/>
        <v>12908729160.380001</v>
      </c>
      <c r="R12" s="58">
        <f t="shared" si="4"/>
        <v>8007282239.5300007</v>
      </c>
      <c r="S12" s="58">
        <f t="shared" si="4"/>
        <v>4542933509.8500004</v>
      </c>
      <c r="T12" s="58">
        <f t="shared" si="4"/>
        <v>1948340876.72</v>
      </c>
      <c r="U12" s="58">
        <f t="shared" si="4"/>
        <v>7767073057.9900007</v>
      </c>
      <c r="V12" s="58">
        <f t="shared" si="4"/>
        <v>5042126699.6600008</v>
      </c>
      <c r="W12" s="58">
        <f t="shared" si="4"/>
        <v>2907843621.8299999</v>
      </c>
      <c r="X12" s="58">
        <f t="shared" si="4"/>
        <v>1257233472.6399999</v>
      </c>
      <c r="Y12" s="58">
        <f t="shared" si="4"/>
        <v>5245395198.1399994</v>
      </c>
      <c r="Z12" s="58">
        <f t="shared" si="4"/>
        <v>3528441016.6599998</v>
      </c>
      <c r="AA12" s="58">
        <f t="shared" si="4"/>
        <v>2060273073.8700001</v>
      </c>
      <c r="AB12" s="58">
        <f t="shared" si="4"/>
        <v>945732038.90999997</v>
      </c>
      <c r="AC12" s="58">
        <f t="shared" si="4"/>
        <v>3814634724.8099999</v>
      </c>
      <c r="AD12" s="58">
        <f t="shared" si="4"/>
        <v>2494256719.0799999</v>
      </c>
      <c r="AE12" s="58">
        <f t="shared" si="4"/>
        <v>1513372217.3999999</v>
      </c>
      <c r="AF12" s="58">
        <f t="shared" si="4"/>
        <v>665891436.85000002</v>
      </c>
      <c r="AG12" s="58">
        <f t="shared" si="4"/>
        <v>2592421024.2600002</v>
      </c>
      <c r="AH12" s="58">
        <f t="shared" si="4"/>
        <v>1686290665.1199999</v>
      </c>
      <c r="AI12" s="58">
        <f t="shared" si="4"/>
        <v>1004848632.5100001</v>
      </c>
      <c r="AJ12" s="58">
        <f t="shared" si="4"/>
        <v>472774156.49000001</v>
      </c>
      <c r="AK12" s="58">
        <f t="shared" si="4"/>
        <v>1438008965.04</v>
      </c>
      <c r="AL12" s="58">
        <f t="shared" si="4"/>
        <v>966347788.71000004</v>
      </c>
      <c r="AM12" s="58">
        <f t="shared" si="4"/>
        <v>582821763.56000006</v>
      </c>
      <c r="AN12" s="58">
        <f t="shared" si="4"/>
        <v>273753058.93000001</v>
      </c>
      <c r="AO12" s="58">
        <f t="shared" si="4"/>
        <v>1196059857.3099999</v>
      </c>
      <c r="AP12" s="58">
        <f t="shared" si="4"/>
        <v>825614646.1400001</v>
      </c>
      <c r="AQ12" s="58">
        <f t="shared" si="4"/>
        <v>0</v>
      </c>
      <c r="AR12" s="58">
        <f t="shared" si="4"/>
        <v>0</v>
      </c>
      <c r="AS12" s="58">
        <f t="shared" si="4"/>
        <v>0</v>
      </c>
      <c r="AT12" s="58">
        <f t="shared" si="4"/>
        <v>0</v>
      </c>
      <c r="AU12" s="58">
        <f t="shared" si="4"/>
        <v>0</v>
      </c>
      <c r="AV12" s="58">
        <f t="shared" si="4"/>
        <v>0</v>
      </c>
      <c r="AW12" s="58">
        <f t="shared" si="4"/>
        <v>0</v>
      </c>
      <c r="AX12" s="58">
        <f t="shared" si="4"/>
        <v>0</v>
      </c>
      <c r="AY12" s="58">
        <f t="shared" si="4"/>
        <v>0</v>
      </c>
      <c r="AZ12" s="58">
        <f t="shared" si="4"/>
        <v>0</v>
      </c>
      <c r="BA12" s="58">
        <f t="shared" si="4"/>
        <v>0</v>
      </c>
      <c r="BB12" s="58">
        <f t="shared" si="4"/>
        <v>0</v>
      </c>
      <c r="BC12" s="58">
        <f t="shared" si="4"/>
        <v>0</v>
      </c>
      <c r="BD12" s="58">
        <f t="shared" si="4"/>
        <v>0</v>
      </c>
      <c r="BE12" s="58">
        <f t="shared" si="4"/>
        <v>0</v>
      </c>
      <c r="BF12" s="58">
        <f t="shared" si="4"/>
        <v>0</v>
      </c>
      <c r="BG12" s="58">
        <f t="shared" si="4"/>
        <v>0</v>
      </c>
      <c r="BH12" s="58">
        <f t="shared" si="4"/>
        <v>0</v>
      </c>
      <c r="BI12" s="58">
        <f t="shared" si="4"/>
        <v>0</v>
      </c>
      <c r="BJ12" s="58">
        <f t="shared" si="4"/>
        <v>0</v>
      </c>
      <c r="BK12" s="58">
        <f t="shared" si="4"/>
        <v>0</v>
      </c>
      <c r="BL12" s="58">
        <f t="shared" si="4"/>
        <v>0</v>
      </c>
      <c r="BM12" s="58">
        <f t="shared" si="4"/>
        <v>0</v>
      </c>
      <c r="BN12" s="58">
        <f t="shared" si="4"/>
        <v>0</v>
      </c>
      <c r="BO12" s="58">
        <f t="shared" si="4"/>
        <v>0</v>
      </c>
      <c r="BP12" s="58">
        <f t="shared" si="4"/>
        <v>0</v>
      </c>
      <c r="BQ12" s="58">
        <f t="shared" si="4"/>
        <v>0</v>
      </c>
      <c r="BR12" s="58">
        <f t="shared" ref="BR12:CL12" si="5">SUM(BR8:BR11)</f>
        <v>0</v>
      </c>
      <c r="BS12" s="58">
        <f t="shared" si="5"/>
        <v>0</v>
      </c>
      <c r="BT12" s="58">
        <f t="shared" si="5"/>
        <v>0</v>
      </c>
      <c r="BU12" s="58">
        <f t="shared" si="5"/>
        <v>0</v>
      </c>
      <c r="BV12" s="58">
        <f t="shared" si="5"/>
        <v>0</v>
      </c>
      <c r="BW12" s="58">
        <f t="shared" si="5"/>
        <v>0</v>
      </c>
      <c r="BX12" s="58">
        <f t="shared" si="5"/>
        <v>0</v>
      </c>
      <c r="BY12" s="58">
        <f t="shared" si="5"/>
        <v>0</v>
      </c>
      <c r="BZ12" s="58">
        <f t="shared" si="5"/>
        <v>0</v>
      </c>
      <c r="CA12" s="58">
        <f t="shared" si="5"/>
        <v>0</v>
      </c>
      <c r="CB12" s="58">
        <f t="shared" si="5"/>
        <v>0</v>
      </c>
      <c r="CC12" s="58">
        <f t="shared" si="5"/>
        <v>0</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496</v>
      </c>
      <c r="E13" s="28">
        <f>(E6/(1+E4)+E7)/E12</f>
        <v>0.82979686901867622</v>
      </c>
      <c r="F13" s="28">
        <f t="shared" ref="F13:BQ13" si="6">(F6/(1+F4)+F7)/F12</f>
        <v>1.0004443458110182</v>
      </c>
      <c r="G13" s="28">
        <f t="shared" si="6"/>
        <v>1.0994328084369696</v>
      </c>
      <c r="H13" s="28">
        <f t="shared" si="6"/>
        <v>1.491317316002893</v>
      </c>
      <c r="I13" s="28">
        <f t="shared" si="6"/>
        <v>0.85026711357372953</v>
      </c>
      <c r="J13" s="28">
        <f t="shared" si="6"/>
        <v>0.89745127489377263</v>
      </c>
      <c r="K13" s="28">
        <f t="shared" si="6"/>
        <v>0.97826446537670919</v>
      </c>
      <c r="L13" s="28">
        <f t="shared" si="6"/>
        <v>1.4195065426240134</v>
      </c>
      <c r="M13" s="28">
        <f t="shared" si="6"/>
        <v>0.80690080334396763</v>
      </c>
      <c r="N13" s="28">
        <f t="shared" si="6"/>
        <v>0.89922167704523659</v>
      </c>
      <c r="O13" s="28">
        <f t="shared" si="6"/>
        <v>1.0795520807767967</v>
      </c>
      <c r="P13" s="28">
        <f t="shared" si="6"/>
        <v>1.4622401034798747</v>
      </c>
      <c r="Q13" s="28">
        <f t="shared" si="6"/>
        <v>0.81301713806617326</v>
      </c>
      <c r="R13" s="28">
        <f t="shared" si="6"/>
        <v>0.91053173789977437</v>
      </c>
      <c r="S13" s="28">
        <f t="shared" si="6"/>
        <v>0.98537415009058815</v>
      </c>
      <c r="T13" s="28">
        <f t="shared" si="6"/>
        <v>1.2052739505522956</v>
      </c>
      <c r="U13" s="28">
        <f t="shared" si="6"/>
        <v>0.87728889238427554</v>
      </c>
      <c r="V13" s="28">
        <f t="shared" si="6"/>
        <v>0.94708367377896296</v>
      </c>
      <c r="W13" s="28">
        <f t="shared" si="6"/>
        <v>1.0489059293221423</v>
      </c>
      <c r="X13" s="28">
        <f t="shared" si="6"/>
        <v>1.4796326601854357</v>
      </c>
      <c r="Y13" s="28">
        <f t="shared" si="6"/>
        <v>0.86244917191608705</v>
      </c>
      <c r="Z13" s="28">
        <f t="shared" si="6"/>
        <v>0.94362757139104803</v>
      </c>
      <c r="AA13" s="28">
        <f t="shared" si="6"/>
        <v>1.1229733401162585</v>
      </c>
      <c r="AB13" s="28">
        <f t="shared" si="6"/>
        <v>1.4205706346327709</v>
      </c>
      <c r="AC13" s="28">
        <f t="shared" si="6"/>
        <v>0.82122882967096733</v>
      </c>
      <c r="AD13" s="28">
        <f t="shared" si="6"/>
        <v>0.93015613663984809</v>
      </c>
      <c r="AE13" s="28">
        <f t="shared" si="6"/>
        <v>0.94241396162851332</v>
      </c>
      <c r="AF13" s="28">
        <f t="shared" si="6"/>
        <v>1.1172839525211573</v>
      </c>
      <c r="AG13" s="28">
        <f t="shared" si="6"/>
        <v>0.91569257566684559</v>
      </c>
      <c r="AH13" s="28">
        <f t="shared" si="6"/>
        <v>1.2848880564537493</v>
      </c>
      <c r="AI13" s="28">
        <f t="shared" si="6"/>
        <v>1.3092729705961152</v>
      </c>
      <c r="AJ13" s="28">
        <f t="shared" si="6"/>
        <v>1.4230631172088146</v>
      </c>
      <c r="AK13" s="28">
        <f t="shared" si="6"/>
        <v>0.89133599127064311</v>
      </c>
      <c r="AL13" s="28">
        <f t="shared" si="6"/>
        <v>1.1405599101223758</v>
      </c>
      <c r="AM13" s="28">
        <f t="shared" si="6"/>
        <v>1.0757413305220307</v>
      </c>
      <c r="AN13" s="28">
        <f t="shared" si="6"/>
        <v>1.3828721332321938</v>
      </c>
      <c r="AO13" s="28">
        <f t="shared" si="6"/>
        <v>0.77855139111196636</v>
      </c>
      <c r="AP13" s="28">
        <f t="shared" si="6"/>
        <v>0.87475529819688891</v>
      </c>
      <c r="AQ13" s="28" t="e">
        <f t="shared" si="6"/>
        <v>#DIV/0!</v>
      </c>
      <c r="AR13" s="28" t="e">
        <f t="shared" si="6"/>
        <v>#DIV/0!</v>
      </c>
      <c r="AS13" s="28" t="e">
        <f t="shared" si="6"/>
        <v>#DIV/0!</v>
      </c>
      <c r="AT13" s="28" t="e">
        <f t="shared" si="6"/>
        <v>#DIV/0!</v>
      </c>
      <c r="AU13" s="28" t="e">
        <f t="shared" si="6"/>
        <v>#DIV/0!</v>
      </c>
      <c r="AV13" s="28" t="e">
        <f t="shared" si="6"/>
        <v>#DIV/0!</v>
      </c>
      <c r="AW13" s="28" t="e">
        <f t="shared" si="6"/>
        <v>#DIV/0!</v>
      </c>
      <c r="AX13" s="28" t="e">
        <f t="shared" si="6"/>
        <v>#DIV/0!</v>
      </c>
      <c r="AY13" s="28" t="e">
        <f t="shared" si="6"/>
        <v>#DIV/0!</v>
      </c>
      <c r="AZ13" s="28" t="e">
        <f t="shared" si="6"/>
        <v>#DIV/0!</v>
      </c>
      <c r="BA13" s="28" t="e">
        <f t="shared" si="6"/>
        <v>#DIV/0!</v>
      </c>
      <c r="BB13" s="28" t="e">
        <f t="shared" si="6"/>
        <v>#DIV/0!</v>
      </c>
      <c r="BC13" s="28" t="e">
        <f t="shared" si="6"/>
        <v>#DIV/0!</v>
      </c>
      <c r="BD13" s="28" t="e">
        <f t="shared" si="6"/>
        <v>#DIV/0!</v>
      </c>
      <c r="BE13" s="28" t="e">
        <f t="shared" si="6"/>
        <v>#DIV/0!</v>
      </c>
      <c r="BF13" s="28" t="e">
        <f t="shared" si="6"/>
        <v>#DIV/0!</v>
      </c>
      <c r="BG13" s="28" t="e">
        <f t="shared" si="6"/>
        <v>#DIV/0!</v>
      </c>
      <c r="BH13" s="28" t="e">
        <f t="shared" si="6"/>
        <v>#DIV/0!</v>
      </c>
      <c r="BI13" s="28" t="e">
        <f t="shared" si="6"/>
        <v>#DIV/0!</v>
      </c>
      <c r="BJ13" s="28" t="e">
        <f t="shared" si="6"/>
        <v>#DIV/0!</v>
      </c>
      <c r="BK13" s="28" t="e">
        <f t="shared" si="6"/>
        <v>#DIV/0!</v>
      </c>
      <c r="BL13" s="28" t="e">
        <f t="shared" si="6"/>
        <v>#DIV/0!</v>
      </c>
      <c r="BM13" s="28" t="e">
        <f t="shared" si="6"/>
        <v>#DIV/0!</v>
      </c>
      <c r="BN13" s="28" t="e">
        <f t="shared" si="6"/>
        <v>#DIV/0!</v>
      </c>
      <c r="BO13" s="28" t="e">
        <f t="shared" si="6"/>
        <v>#DIV/0!</v>
      </c>
      <c r="BP13" s="28" t="e">
        <f t="shared" si="6"/>
        <v>#DIV/0!</v>
      </c>
      <c r="BQ13" s="28" t="e">
        <f t="shared" si="6"/>
        <v>#DIV/0!</v>
      </c>
      <c r="BR13" s="28" t="e">
        <f t="shared" ref="BR13:CK13" si="7">(BR6/(1+BR4)+BR7)/BR12</f>
        <v>#DIV/0!</v>
      </c>
      <c r="BS13" s="28" t="e">
        <f t="shared" si="7"/>
        <v>#DIV/0!</v>
      </c>
      <c r="BT13" s="28" t="e">
        <f t="shared" si="7"/>
        <v>#DIV/0!</v>
      </c>
      <c r="BU13" s="28" t="e">
        <f t="shared" si="7"/>
        <v>#DIV/0!</v>
      </c>
      <c r="BV13" s="28" t="e">
        <f t="shared" si="7"/>
        <v>#DIV/0!</v>
      </c>
      <c r="BW13" s="28" t="e">
        <f t="shared" si="7"/>
        <v>#DIV/0!</v>
      </c>
      <c r="BX13" s="28" t="e">
        <f t="shared" si="7"/>
        <v>#DIV/0!</v>
      </c>
      <c r="BY13" s="28" t="e">
        <f t="shared" si="7"/>
        <v>#DIV/0!</v>
      </c>
      <c r="BZ13" s="28" t="e">
        <f t="shared" si="7"/>
        <v>#DIV/0!</v>
      </c>
      <c r="CA13" s="28" t="e">
        <f t="shared" si="7"/>
        <v>#DIV/0!</v>
      </c>
      <c r="CB13" s="28" t="e">
        <f t="shared" si="7"/>
        <v>#DIV/0!</v>
      </c>
      <c r="CC13" s="28" t="e">
        <f t="shared" si="7"/>
        <v>#DIV/0!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x14ac:dyDescent="0.25">
      <c r="A14" s="20" t="s">
        <v>497</v>
      </c>
      <c r="E14" s="26">
        <f>现金流量表!E13</f>
        <v>7373160250.6800003</v>
      </c>
      <c r="F14" s="26">
        <f>现金流量表!F13</f>
        <v>95849570.760000005</v>
      </c>
      <c r="G14" s="26">
        <f>现金流量表!G13</f>
        <v>-1942800802.4200001</v>
      </c>
      <c r="H14" s="26">
        <f>现金流量表!H13</f>
        <v>-3034652490.3600001</v>
      </c>
      <c r="I14" s="26">
        <f>现金流量表!I13</f>
        <v>6213692160.5600004</v>
      </c>
      <c r="J14" s="26">
        <f>现金流量表!J13</f>
        <v>1954013323.9100001</v>
      </c>
      <c r="K14" s="26">
        <f>现金流量表!K13</f>
        <v>397807256.48000002</v>
      </c>
      <c r="L14" s="26">
        <f>现金流量表!L13</f>
        <v>-1432111768.75</v>
      </c>
      <c r="M14" s="26">
        <f>现金流量表!M13</f>
        <v>3216722169.1700001</v>
      </c>
      <c r="N14" s="26">
        <f>现金流量表!N13</f>
        <v>-685185464.41999996</v>
      </c>
      <c r="O14" s="26">
        <f>现金流量表!O13</f>
        <v>-1919159126.2</v>
      </c>
      <c r="P14" s="26">
        <f>现金流量表!P13</f>
        <v>-2610480167.9499998</v>
      </c>
      <c r="Q14" s="26">
        <f>现金流量表!Q13</f>
        <v>3706420782.04</v>
      </c>
      <c r="R14" s="26">
        <f>现金流量表!R13</f>
        <v>332060450.81999999</v>
      </c>
      <c r="S14" s="26">
        <f>现金流量表!S13</f>
        <v>-242521748.16</v>
      </c>
      <c r="T14" s="26">
        <f>现金流量表!T13</f>
        <v>-971831568.29999995</v>
      </c>
      <c r="U14" s="26">
        <f>现金流量表!U13</f>
        <v>1863365811.6300001</v>
      </c>
      <c r="V14" s="26">
        <f>现金流量表!V13</f>
        <v>100634494.68000001</v>
      </c>
      <c r="W14" s="26">
        <f>现金流量表!W13</f>
        <v>-202269204.16</v>
      </c>
      <c r="X14" s="26">
        <f>现金流量表!X13</f>
        <v>-668663665.37</v>
      </c>
      <c r="Y14" s="26">
        <f>现金流量表!Y13</f>
        <v>1436789861.4200001</v>
      </c>
      <c r="Z14" s="26">
        <f>现金流量表!Z13</f>
        <v>116950668.23</v>
      </c>
      <c r="AA14" s="26">
        <f>现金流量表!AA13</f>
        <v>-166218584.12</v>
      </c>
      <c r="AB14" s="26">
        <f>现金流量表!AB13</f>
        <v>-520821438.00999999</v>
      </c>
      <c r="AC14" s="26">
        <f>现金流量表!AC13</f>
        <v>1170461433.24</v>
      </c>
      <c r="AD14" s="26">
        <f>现金流量表!AD13</f>
        <v>-25313659.199999999</v>
      </c>
      <c r="AE14" s="26">
        <f>现金流量表!AE13</f>
        <v>-23340255.57</v>
      </c>
      <c r="AF14" s="26">
        <f>现金流量表!AF13</f>
        <v>-189966007.61000001</v>
      </c>
      <c r="AG14" s="26">
        <f>现金流量表!AG13</f>
        <v>663926032.74000001</v>
      </c>
      <c r="AH14" s="26">
        <f>现金流量表!AH13</f>
        <v>-219647789.25999999</v>
      </c>
      <c r="AI14" s="26">
        <f>现金流量表!AI13</f>
        <v>-205173007.93000001</v>
      </c>
      <c r="AJ14" s="26">
        <f>现金流量表!AJ13</f>
        <v>-319923618.54000002</v>
      </c>
      <c r="AK14" s="26">
        <f>现金流量表!AK13</f>
        <v>654000395.26999998</v>
      </c>
      <c r="AL14" s="26">
        <f>现金流量表!AL13</f>
        <v>242866241.19999999</v>
      </c>
      <c r="AM14" s="26">
        <f>现金流量表!AM13</f>
        <v>168225609.65000001</v>
      </c>
      <c r="AN14" s="26">
        <f>现金流量表!AN13</f>
        <v>-136892888.84</v>
      </c>
      <c r="AO14" s="26">
        <f>现金流量表!AO13</f>
        <v>647042066.62</v>
      </c>
      <c r="AP14" s="26">
        <f>现金流量表!AP13</f>
        <v>356650987.49000001</v>
      </c>
      <c r="AQ14" s="26">
        <f>现金流量表!AQ13</f>
        <v>0</v>
      </c>
      <c r="AR14" s="26">
        <f>现金流量表!AR13</f>
        <v>0</v>
      </c>
      <c r="AS14" s="26">
        <f>现金流量表!AS13</f>
        <v>0</v>
      </c>
      <c r="AT14" s="26">
        <f>现金流量表!AT13</f>
        <v>0</v>
      </c>
      <c r="AU14" s="26">
        <f>现金流量表!AU13</f>
        <v>0</v>
      </c>
      <c r="AV14" s="26">
        <f>现金流量表!AV13</f>
        <v>0</v>
      </c>
      <c r="AW14" s="26">
        <f>现金流量表!AW13</f>
        <v>0</v>
      </c>
      <c r="AX14" s="26">
        <f>现金流量表!AX13</f>
        <v>0</v>
      </c>
      <c r="AY14" s="26">
        <f>现金流量表!AY13</f>
        <v>0</v>
      </c>
      <c r="AZ14" s="26">
        <f>现金流量表!AZ13</f>
        <v>0</v>
      </c>
      <c r="BA14" s="26">
        <f>现金流量表!BA13</f>
        <v>0</v>
      </c>
      <c r="BB14" s="26">
        <f>现金流量表!BB13</f>
        <v>0</v>
      </c>
      <c r="BC14" s="26">
        <f>现金流量表!BC13</f>
        <v>0</v>
      </c>
      <c r="BD14" s="26">
        <f>现金流量表!BD13</f>
        <v>0</v>
      </c>
      <c r="BE14" s="26">
        <f>现金流量表!BE13</f>
        <v>0</v>
      </c>
      <c r="BF14" s="26">
        <f>现金流量表!BF13</f>
        <v>0</v>
      </c>
      <c r="BG14" s="26">
        <f>现金流量表!BG13</f>
        <v>0</v>
      </c>
      <c r="BH14" s="26">
        <f>现金流量表!BH13</f>
        <v>0</v>
      </c>
      <c r="BI14" s="26">
        <f>现金流量表!BI13</f>
        <v>0</v>
      </c>
      <c r="BJ14" s="26">
        <f>现金流量表!BJ13</f>
        <v>0</v>
      </c>
      <c r="BK14" s="26">
        <f>现金流量表!BK13</f>
        <v>0</v>
      </c>
      <c r="BL14" s="26">
        <f>现金流量表!BL13</f>
        <v>0</v>
      </c>
      <c r="BM14" s="26">
        <f>现金流量表!BM13</f>
        <v>0</v>
      </c>
      <c r="BN14" s="26">
        <f>现金流量表!BN13</f>
        <v>0</v>
      </c>
      <c r="BO14" s="26">
        <f>现金流量表!BO13</f>
        <v>0</v>
      </c>
      <c r="BP14" s="26">
        <f>现金流量表!BP13</f>
        <v>0</v>
      </c>
      <c r="BQ14" s="26">
        <f>现金流量表!BQ13</f>
        <v>0</v>
      </c>
      <c r="BR14" s="26">
        <f>现金流量表!BR13</f>
        <v>0</v>
      </c>
      <c r="BS14" s="26">
        <f>现金流量表!BS13</f>
        <v>0</v>
      </c>
      <c r="BT14" s="26">
        <f>现金流量表!BT13</f>
        <v>0</v>
      </c>
      <c r="BU14" s="26">
        <f>现金流量表!BU13</f>
        <v>0</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x14ac:dyDescent="0.25">
      <c r="A15" s="17" t="s">
        <v>498</v>
      </c>
      <c r="E15" s="26">
        <f>股权价值增加表!E17</f>
        <v>7747861829.6412401</v>
      </c>
      <c r="F15" s="26">
        <f>股权价值增加表!F17</f>
        <v>5198170403.9470339</v>
      </c>
      <c r="G15" s="26">
        <f>股权价值增加表!G17</f>
        <v>2585090613.2036266</v>
      </c>
      <c r="H15" s="26">
        <f>股权价值增加表!H17</f>
        <v>1473240798.0727448</v>
      </c>
      <c r="I15" s="26">
        <f>股权价值增加表!I17</f>
        <v>7235192253.7845078</v>
      </c>
      <c r="J15" s="26">
        <f>股权价值增加表!J17</f>
        <v>4711244320.9261093</v>
      </c>
      <c r="K15" s="26">
        <f>股权价值增加表!K17</f>
        <v>2509372204.4831424</v>
      </c>
      <c r="L15" s="26">
        <f>股权价值增加表!L17</f>
        <v>1130719462.0293686</v>
      </c>
      <c r="M15" s="26">
        <f>股权价值增加表!M17</f>
        <v>5624501923.0369005</v>
      </c>
      <c r="N15" s="26">
        <f>股权价值增加表!N17</f>
        <v>3632042146.1611905</v>
      </c>
      <c r="O15" s="26">
        <f>股权价值增加表!O17</f>
        <v>2122633012.999887</v>
      </c>
      <c r="P15" s="26">
        <f>股权价值增加表!P17</f>
        <v>1002071723.913475</v>
      </c>
      <c r="Q15" s="26">
        <f>股权价值增加表!Q17</f>
        <v>4457368227.1929827</v>
      </c>
      <c r="R15" s="26">
        <f>股权价值增加表!R17</f>
        <v>2585062195.3580022</v>
      </c>
      <c r="S15" s="26">
        <f>股权价值增加表!S17</f>
        <v>1448134501.4962809</v>
      </c>
      <c r="T15" s="26">
        <f>股权价值增加表!T17</f>
        <v>672732680.20506442</v>
      </c>
      <c r="U15" s="26">
        <f>股权价值增加表!U17</f>
        <v>2956232188.7639647</v>
      </c>
      <c r="V15" s="26">
        <f>股权价值增加表!V17</f>
        <v>1700702280.8909385</v>
      </c>
      <c r="W15" s="26">
        <f>股权价值增加表!W17</f>
        <v>942000555.74694157</v>
      </c>
      <c r="X15" s="26">
        <f>股权价值增加表!X17</f>
        <v>422138618.3564412</v>
      </c>
      <c r="Y15" s="26">
        <f>股权价值增加表!Y17</f>
        <v>2070883253.8309031</v>
      </c>
      <c r="Z15" s="26">
        <f>股权价值增加表!Z17</f>
        <v>1197653781.9139941</v>
      </c>
      <c r="AA15" s="26">
        <f>股权价值增加表!AA17</f>
        <v>700378492.57080543</v>
      </c>
      <c r="AB15" s="26">
        <f>股权价值增加表!AB17</f>
        <v>340310961.44933069</v>
      </c>
      <c r="AC15" s="26">
        <f>股权价值增加表!AC17</f>
        <v>1407669831.4786239</v>
      </c>
      <c r="AD15" s="26">
        <f>股权价值增加表!AD17</f>
        <v>826746006.47127163</v>
      </c>
      <c r="AE15" s="26">
        <f>股权价值增加表!AE17</f>
        <v>497377672.31600881</v>
      </c>
      <c r="AF15" s="26">
        <f>股权价值增加表!AF17</f>
        <v>246652937.60032842</v>
      </c>
      <c r="AG15" s="26">
        <f>股权价值增加表!AG17</f>
        <v>1029069097.2735004</v>
      </c>
      <c r="AH15" s="26">
        <f>股权价值增加表!AH17</f>
        <v>653806366.862517</v>
      </c>
      <c r="AI15" s="26">
        <f>股权价值增加表!AI17</f>
        <v>372301839.12449437</v>
      </c>
      <c r="AJ15" s="26">
        <f>股权价值增加表!AJ17</f>
        <v>204487191.33814475</v>
      </c>
      <c r="AK15" s="26">
        <f>股权价值增加表!AK17</f>
        <v>698620924.44489491</v>
      </c>
      <c r="AL15" s="26">
        <f>股权价值增加表!AL17</f>
        <v>470676697.32173109</v>
      </c>
      <c r="AM15" s="26">
        <f>股权价值增加表!AM17</f>
        <v>243573482.53892973</v>
      </c>
      <c r="AN15" s="26">
        <f>股权价值增加表!AN17</f>
        <v>132994277.50921516</v>
      </c>
      <c r="AO15" s="26">
        <f>股权价值增加表!AO17</f>
        <v>545952972.04744172</v>
      </c>
      <c r="AP15" s="26">
        <f>股权价值增加表!AP17</f>
        <v>361564809.52664793</v>
      </c>
      <c r="AQ15" s="26" t="e">
        <f>股权价值增加表!AQ17</f>
        <v>#DIV/0!</v>
      </c>
      <c r="AR15" s="26">
        <f>股权价值增加表!AR17</f>
        <v>0</v>
      </c>
      <c r="AS15" s="26">
        <f>股权价值增加表!AS17</f>
        <v>0</v>
      </c>
      <c r="AT15" s="26">
        <f>股权价值增加表!AT17</f>
        <v>0</v>
      </c>
      <c r="AU15" s="26">
        <f>股权价值增加表!AU17</f>
        <v>0</v>
      </c>
      <c r="AV15" s="26">
        <f>股权价值增加表!AV17</f>
        <v>0</v>
      </c>
      <c r="AW15" s="26">
        <f>股权价值增加表!AW17</f>
        <v>0</v>
      </c>
      <c r="AX15" s="26">
        <f>股权价值增加表!AX17</f>
        <v>0</v>
      </c>
      <c r="AY15" s="26">
        <f>股权价值增加表!AY17</f>
        <v>0</v>
      </c>
      <c r="AZ15" s="26">
        <f>股权价值增加表!AZ17</f>
        <v>0</v>
      </c>
      <c r="BA15" s="26">
        <f>股权价值增加表!BA17</f>
        <v>0</v>
      </c>
      <c r="BB15" s="26">
        <f>股权价值增加表!BB17</f>
        <v>0</v>
      </c>
      <c r="BC15" s="26">
        <f>股权价值增加表!BC17</f>
        <v>0</v>
      </c>
      <c r="BD15" s="26">
        <f>股权价值增加表!BD17</f>
        <v>0</v>
      </c>
      <c r="BE15" s="26">
        <f>股权价值增加表!BE17</f>
        <v>0</v>
      </c>
      <c r="BF15" s="26">
        <f>股权价值增加表!BF17</f>
        <v>0</v>
      </c>
      <c r="BG15" s="26">
        <f>股权价值增加表!BG17</f>
        <v>0</v>
      </c>
      <c r="BH15" s="26">
        <f>股权价值增加表!BH17</f>
        <v>0</v>
      </c>
      <c r="BI15" s="26">
        <f>股权价值增加表!BI17</f>
        <v>0</v>
      </c>
      <c r="BJ15" s="26">
        <f>股权价值增加表!BJ17</f>
        <v>0</v>
      </c>
      <c r="BK15" s="26">
        <f>股权价值增加表!BK17</f>
        <v>0</v>
      </c>
      <c r="BL15" s="26">
        <f>股权价值增加表!BL17</f>
        <v>0</v>
      </c>
      <c r="BM15" s="26">
        <f>股权价值增加表!BM17</f>
        <v>0</v>
      </c>
      <c r="BN15" s="26">
        <f>股权价值增加表!BN17</f>
        <v>0</v>
      </c>
      <c r="BO15" s="26">
        <f>股权价值增加表!BO17</f>
        <v>0</v>
      </c>
      <c r="BP15" s="26">
        <f>股权价值增加表!BP17</f>
        <v>0</v>
      </c>
      <c r="BQ15" s="26">
        <f>股权价值增加表!BQ17</f>
        <v>0</v>
      </c>
      <c r="BR15" s="26">
        <f>股权价值增加表!BR17</f>
        <v>0</v>
      </c>
      <c r="BS15" s="26">
        <f>股权价值增加表!BS17</f>
        <v>0</v>
      </c>
      <c r="BT15" s="26">
        <f>股权价值增加表!BT17</f>
        <v>0</v>
      </c>
      <c r="BU15" s="26">
        <f>股权价值增加表!BU17</f>
        <v>0</v>
      </c>
      <c r="BV15" s="26">
        <f>股权价值增加表!BV17</f>
        <v>0</v>
      </c>
      <c r="BW15" s="26">
        <f>股权价值增加表!BW17</f>
        <v>0</v>
      </c>
      <c r="BX15" s="26">
        <f>股权价值增加表!BX17</f>
        <v>0</v>
      </c>
      <c r="BY15" s="26">
        <f>股权价值增加表!BY17</f>
        <v>0</v>
      </c>
      <c r="BZ15" s="26">
        <f>股权价值增加表!BZ17</f>
        <v>0</v>
      </c>
      <c r="CA15" s="26">
        <f>股权价值增加表!CA17</f>
        <v>0</v>
      </c>
      <c r="CB15" s="26">
        <f>股权价值增加表!CB17</f>
        <v>0</v>
      </c>
      <c r="CC15" s="26">
        <f>股权价值增加表!CC17</f>
        <v>0</v>
      </c>
      <c r="CD15" s="26" t="e">
        <f>股权价值增加表!CD17</f>
        <v>#DIV/0!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499</v>
      </c>
      <c r="E16" s="28">
        <f>E14/E15</f>
        <v>0.95163806644980009</v>
      </c>
      <c r="F16" s="28">
        <f t="shared" ref="F16:BQ16" si="8">F14/F15</f>
        <v>1.8439097473068652E-2</v>
      </c>
      <c r="G16" s="28">
        <f t="shared" si="8"/>
        <v>-0.75154069745057961</v>
      </c>
      <c r="H16" s="28">
        <f t="shared" si="8"/>
        <v>-2.0598482572094481</v>
      </c>
      <c r="I16" s="28">
        <f t="shared" si="8"/>
        <v>0.85881507257942014</v>
      </c>
      <c r="J16" s="28">
        <f t="shared" si="8"/>
        <v>0.41475525164992744</v>
      </c>
      <c r="K16" s="28">
        <f t="shared" si="8"/>
        <v>0.1585285976186768</v>
      </c>
      <c r="L16" s="28">
        <f t="shared" si="8"/>
        <v>-1.2665491457798956</v>
      </c>
      <c r="M16" s="28">
        <f t="shared" si="8"/>
        <v>0.57191236009626234</v>
      </c>
      <c r="N16" s="28">
        <f t="shared" si="8"/>
        <v>-0.1886501964588137</v>
      </c>
      <c r="O16" s="28">
        <f t="shared" si="8"/>
        <v>-0.90414080740583591</v>
      </c>
      <c r="P16" s="28">
        <f t="shared" si="8"/>
        <v>-2.605083154881441</v>
      </c>
      <c r="Q16" s="28">
        <f t="shared" si="8"/>
        <v>0.83152672005608785</v>
      </c>
      <c r="R16" s="28">
        <f t="shared" si="8"/>
        <v>0.12845356348341683</v>
      </c>
      <c r="S16" s="28">
        <f t="shared" si="8"/>
        <v>-0.16747183905183882</v>
      </c>
      <c r="T16" s="28">
        <f t="shared" si="8"/>
        <v>-1.4446028814948655</v>
      </c>
      <c r="U16" s="28">
        <f t="shared" si="8"/>
        <v>0.63031781424756594</v>
      </c>
      <c r="V16" s="28">
        <f t="shared" si="8"/>
        <v>5.9172317113187566E-2</v>
      </c>
      <c r="W16" s="28">
        <f t="shared" si="8"/>
        <v>-0.21472301998762033</v>
      </c>
      <c r="X16" s="28">
        <f t="shared" si="8"/>
        <v>-1.5839907468626822</v>
      </c>
      <c r="Y16" s="28">
        <f t="shared" si="8"/>
        <v>0.69380534067388833</v>
      </c>
      <c r="Z16" s="28">
        <f t="shared" si="8"/>
        <v>9.7649813323428786E-2</v>
      </c>
      <c r="AA16" s="28">
        <f t="shared" si="8"/>
        <v>-0.23732679670085097</v>
      </c>
      <c r="AB16" s="28">
        <f t="shared" si="8"/>
        <v>-1.5304280408480047</v>
      </c>
      <c r="AC16" s="28">
        <f t="shared" si="8"/>
        <v>0.83148861122536177</v>
      </c>
      <c r="AD16" s="28">
        <f t="shared" si="8"/>
        <v>-3.0618423314851071E-2</v>
      </c>
      <c r="AE16" s="28">
        <f t="shared" si="8"/>
        <v>-4.6926625116317594E-2</v>
      </c>
      <c r="AF16" s="28">
        <f t="shared" si="8"/>
        <v>-0.77017532999269289</v>
      </c>
      <c r="AG16" s="28">
        <f t="shared" si="8"/>
        <v>0.64517148022330062</v>
      </c>
      <c r="AH16" s="28">
        <f t="shared" si="8"/>
        <v>-0.33595235591547506</v>
      </c>
      <c r="AI16" s="28">
        <f t="shared" si="8"/>
        <v>-0.5510931893661476</v>
      </c>
      <c r="AJ16" s="28">
        <f t="shared" si="8"/>
        <v>-1.5645166645717528</v>
      </c>
      <c r="AK16" s="28">
        <f t="shared" si="8"/>
        <v>0.93613055719688154</v>
      </c>
      <c r="AL16" s="28">
        <f t="shared" si="8"/>
        <v>0.51599376510876793</v>
      </c>
      <c r="AM16" s="28">
        <f t="shared" si="8"/>
        <v>0.69065650290200586</v>
      </c>
      <c r="AN16" s="28">
        <f t="shared" si="8"/>
        <v>-1.0293141284256739</v>
      </c>
      <c r="AO16" s="28">
        <f t="shared" si="8"/>
        <v>1.1851608100848912</v>
      </c>
      <c r="AP16" s="28">
        <f t="shared" si="8"/>
        <v>0.98640956778099897</v>
      </c>
      <c r="AQ16" s="28" t="e">
        <f t="shared" si="8"/>
        <v>#DIV/0!</v>
      </c>
      <c r="AR16" s="28" t="e">
        <f t="shared" si="8"/>
        <v>#DIV/0!</v>
      </c>
      <c r="AS16" s="28" t="e">
        <f t="shared" si="8"/>
        <v>#DIV/0!</v>
      </c>
      <c r="AT16" s="28" t="e">
        <f t="shared" si="8"/>
        <v>#DIV/0!</v>
      </c>
      <c r="AU16" s="28" t="e">
        <f t="shared" si="8"/>
        <v>#DIV/0!</v>
      </c>
      <c r="AV16" s="28" t="e">
        <f t="shared" si="8"/>
        <v>#DIV/0!</v>
      </c>
      <c r="AW16" s="28" t="e">
        <f t="shared" si="8"/>
        <v>#DIV/0!</v>
      </c>
      <c r="AX16" s="28" t="e">
        <f t="shared" si="8"/>
        <v>#DIV/0!</v>
      </c>
      <c r="AY16" s="28" t="e">
        <f t="shared" si="8"/>
        <v>#DIV/0!</v>
      </c>
      <c r="AZ16" s="28" t="e">
        <f t="shared" si="8"/>
        <v>#DIV/0!</v>
      </c>
      <c r="BA16" s="28" t="e">
        <f t="shared" si="8"/>
        <v>#DIV/0!</v>
      </c>
      <c r="BB16" s="28" t="e">
        <f t="shared" si="8"/>
        <v>#DIV/0!</v>
      </c>
      <c r="BC16" s="28" t="e">
        <f t="shared" si="8"/>
        <v>#DIV/0!</v>
      </c>
      <c r="BD16" s="28" t="e">
        <f t="shared" si="8"/>
        <v>#DIV/0!</v>
      </c>
      <c r="BE16" s="28" t="e">
        <f t="shared" si="8"/>
        <v>#DIV/0!</v>
      </c>
      <c r="BF16" s="28" t="e">
        <f t="shared" si="8"/>
        <v>#DIV/0!</v>
      </c>
      <c r="BG16" s="28" t="e">
        <f t="shared" si="8"/>
        <v>#DIV/0!</v>
      </c>
      <c r="BH16" s="28" t="e">
        <f t="shared" si="8"/>
        <v>#DIV/0!</v>
      </c>
      <c r="BI16" s="28" t="e">
        <f t="shared" si="8"/>
        <v>#DIV/0!</v>
      </c>
      <c r="BJ16" s="28" t="e">
        <f t="shared" si="8"/>
        <v>#DIV/0!</v>
      </c>
      <c r="BK16" s="28" t="e">
        <f t="shared" si="8"/>
        <v>#DIV/0!</v>
      </c>
      <c r="BL16" s="28" t="e">
        <f t="shared" si="8"/>
        <v>#DIV/0!</v>
      </c>
      <c r="BM16" s="28" t="e">
        <f t="shared" si="8"/>
        <v>#DIV/0!</v>
      </c>
      <c r="BN16" s="28" t="e">
        <f t="shared" si="8"/>
        <v>#DIV/0!</v>
      </c>
      <c r="BO16" s="28" t="e">
        <f t="shared" si="8"/>
        <v>#DIV/0!</v>
      </c>
      <c r="BP16" s="28" t="e">
        <f t="shared" si="8"/>
        <v>#DIV/0!</v>
      </c>
      <c r="BQ16" s="28" t="e">
        <f t="shared" si="8"/>
        <v>#DIV/0!</v>
      </c>
      <c r="BR16" s="28" t="e">
        <f t="shared" ref="BR16:CL16" si="9">BR14/BR15</f>
        <v>#DIV/0!</v>
      </c>
      <c r="BS16" s="28" t="e">
        <f t="shared" si="9"/>
        <v>#DIV/0!</v>
      </c>
      <c r="BT16" s="28" t="e">
        <f t="shared" si="9"/>
        <v>#DIV/0!</v>
      </c>
      <c r="BU16" s="28" t="e">
        <f t="shared" si="9"/>
        <v>#DIV/0!</v>
      </c>
      <c r="BV16" s="28" t="e">
        <f t="shared" si="9"/>
        <v>#DIV/0!</v>
      </c>
      <c r="BW16" s="28" t="e">
        <f t="shared" si="9"/>
        <v>#DIV/0!</v>
      </c>
      <c r="BX16" s="28" t="e">
        <f t="shared" si="9"/>
        <v>#DIV/0!</v>
      </c>
      <c r="BY16" s="28" t="e">
        <f t="shared" si="9"/>
        <v>#DIV/0!</v>
      </c>
      <c r="BZ16" s="28" t="e">
        <f t="shared" si="9"/>
        <v>#DIV/0!</v>
      </c>
      <c r="CA16" s="28" t="e">
        <f t="shared" si="9"/>
        <v>#DIV/0!</v>
      </c>
      <c r="CB16" s="28" t="e">
        <f t="shared" si="9"/>
        <v>#DIV/0!</v>
      </c>
      <c r="CC16" s="28" t="e">
        <f t="shared" si="9"/>
        <v>#DIV/0!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x14ac:dyDescent="0.25">
      <c r="A17" s="17" t="s">
        <v>500</v>
      </c>
      <c r="E17" s="26">
        <f>股权价值增加表!E42</f>
        <v>7013718897.090003</v>
      </c>
      <c r="F17" s="26">
        <f>股权价值增加表!F42</f>
        <v>5075614776.2799997</v>
      </c>
      <c r="G17" s="26">
        <f>股权价值增加表!G42</f>
        <v>2627954185.9400001</v>
      </c>
      <c r="H17" s="26">
        <f>股权价值增加表!H42</f>
        <v>1483176136.1899993</v>
      </c>
      <c r="I17" s="26">
        <f>股权价值增加表!I42</f>
        <v>7697168004.7400007</v>
      </c>
      <c r="J17" s="26">
        <f>股权价值增加表!J42</f>
        <v>4945074002.0099993</v>
      </c>
      <c r="K17" s="26">
        <f>股权价值增加表!K42</f>
        <v>2598920332.3100009</v>
      </c>
      <c r="L17" s="26">
        <f>股权价值增加表!L42</f>
        <v>1137504493.3299992</v>
      </c>
      <c r="M17" s="26">
        <f>股权价值增加表!M42</f>
        <v>5933705767.6999969</v>
      </c>
      <c r="N17" s="26">
        <f>股权价值增加表!N42</f>
        <v>3768187750.6799994</v>
      </c>
      <c r="O17" s="26">
        <f>股权价值增加表!O42</f>
        <v>2206994015.1099997</v>
      </c>
      <c r="P17" s="26">
        <f>股权价值增加表!P42</f>
        <v>1034645007.98</v>
      </c>
      <c r="Q17" s="26">
        <f>股权价值增加表!Q42</f>
        <v>4651590834.9799995</v>
      </c>
      <c r="R17" s="26">
        <f>股权价值增加表!R42</f>
        <v>2711338397.8299999</v>
      </c>
      <c r="S17" s="26">
        <f>股权价值增加表!S42</f>
        <v>1520798549.8200004</v>
      </c>
      <c r="T17" s="26">
        <f>股权价值增加表!T42</f>
        <v>691456644.43000007</v>
      </c>
      <c r="U17" s="26">
        <f>股权价值增加表!U42</f>
        <v>3048355009.6300001</v>
      </c>
      <c r="V17" s="26">
        <f>股权价值增加表!V42</f>
        <v>1761024041.7399995</v>
      </c>
      <c r="W17" s="26">
        <f>股权价值增加表!W42</f>
        <v>990084698.76000023</v>
      </c>
      <c r="X17" s="26">
        <f>股权价值增加表!X42</f>
        <v>451275655.76000005</v>
      </c>
      <c r="Y17" s="26">
        <f>股权价值增加表!Y42</f>
        <v>2134715545.3900006</v>
      </c>
      <c r="Z17" s="26">
        <f>股权价值增加表!Z42</f>
        <v>1242843332.7099998</v>
      </c>
      <c r="AA17" s="26">
        <f>股权价值增加表!AA42</f>
        <v>731859624.3999995</v>
      </c>
      <c r="AB17" s="26">
        <f>股权价值增加表!AB42</f>
        <v>349067439.08999991</v>
      </c>
      <c r="AC17" s="26">
        <f>股权价值增加表!AC42</f>
        <v>1459210734.0500007</v>
      </c>
      <c r="AD17" s="26">
        <f>股权价值增加表!AD42</f>
        <v>873963494.10000002</v>
      </c>
      <c r="AE17" s="26">
        <f>股权价值增加表!AE42</f>
        <v>531333482.5600003</v>
      </c>
      <c r="AF17" s="26">
        <f>股权价值增加表!AF42</f>
        <v>261256171.32999992</v>
      </c>
      <c r="AG17" s="26">
        <f>股权价值增加表!AG42</f>
        <v>1043326068.3899999</v>
      </c>
      <c r="AH17" s="26">
        <f>股权价值增加表!AH42</f>
        <v>657821216.68000031</v>
      </c>
      <c r="AI17" s="26">
        <f>股权价值增加表!AI42</f>
        <v>375124615.26999986</v>
      </c>
      <c r="AJ17" s="26">
        <f>股权价值增加表!AJ42</f>
        <v>206018270.25999996</v>
      </c>
      <c r="AK17" s="26">
        <f>股权价值增加表!AK42</f>
        <v>706545979.32999992</v>
      </c>
      <c r="AL17" s="26">
        <f>股权价值增加表!AL42</f>
        <v>474316525.83999979</v>
      </c>
      <c r="AM17" s="26">
        <f>股权价值增加表!AM42</f>
        <v>247272055.84999993</v>
      </c>
      <c r="AN17" s="26">
        <f>股权价值增加表!AN42</f>
        <v>135712078.41</v>
      </c>
      <c r="AO17" s="26">
        <f>股权价值增加表!AO42</f>
        <v>549100997.6500001</v>
      </c>
      <c r="AP17" s="26">
        <f>股权价值增加表!AP42</f>
        <v>365241349.77999997</v>
      </c>
      <c r="AQ17" s="26">
        <f>股权价值增加表!AQ42</f>
        <v>0</v>
      </c>
      <c r="AR17" s="26">
        <f>股权价值增加表!AR42</f>
        <v>-320202934.91000003</v>
      </c>
      <c r="AS17" s="26">
        <f>股权价值增加表!AS42</f>
        <v>-610135253.33999991</v>
      </c>
      <c r="AT17" s="26">
        <f>股权价值增加表!AT42</f>
        <v>-606675948.97000003</v>
      </c>
      <c r="AU17" s="26">
        <f>股权价值增加表!AU42</f>
        <v>-525244177.46999997</v>
      </c>
      <c r="AV17" s="26">
        <f>股权价值增加表!AV42</f>
        <v>-370504198.70999998</v>
      </c>
      <c r="AW17" s="26">
        <f>股权价值增加表!AW42</f>
        <v>-550836582.15999997</v>
      </c>
      <c r="AX17" s="26">
        <f>股权价值增加表!AX42</f>
        <v>-497364124.85000002</v>
      </c>
      <c r="AY17" s="26">
        <f>股权价值增加表!AY42</f>
        <v>-393993423.18000001</v>
      </c>
      <c r="AZ17" s="26">
        <f>股权价值增加表!AZ42</f>
        <v>-277925918.08999997</v>
      </c>
      <c r="BA17" s="26">
        <f>股权价值增加表!BA42</f>
        <v>-375599127.04999995</v>
      </c>
      <c r="BB17" s="26">
        <f>股权价值增加表!BB42</f>
        <v>-376909155.56</v>
      </c>
      <c r="BC17" s="26">
        <f>股权价值增加表!BC42</f>
        <v>-331126120.21999997</v>
      </c>
      <c r="BD17" s="26">
        <f>股权价值增加表!BD42</f>
        <v>-232460368.78999999</v>
      </c>
      <c r="BE17" s="26">
        <f>股权价值增加表!BE42</f>
        <v>-415071515.56999999</v>
      </c>
      <c r="BF17" s="26">
        <f>股权价值增加表!BF42</f>
        <v>-341885591.56999999</v>
      </c>
      <c r="BG17" s="26">
        <f>股权价值增加表!BG42</f>
        <v>-266868592.27000001</v>
      </c>
      <c r="BH17" s="26">
        <f>股权价值增加表!BH42</f>
        <v>-190592880.15000001</v>
      </c>
      <c r="BI17" s="26">
        <f>股权价值增加表!BI42</f>
        <v>-355643656.85000002</v>
      </c>
      <c r="BJ17" s="26">
        <f>股权价值增加表!BJ42</f>
        <v>-291496615.11000001</v>
      </c>
      <c r="BK17" s="26">
        <f>股权价值增加表!BK42</f>
        <v>-237870081.79999998</v>
      </c>
      <c r="BL17" s="26">
        <f>股权价值增加表!BL42</f>
        <v>-204685096.5</v>
      </c>
      <c r="BM17" s="26">
        <f>股权价值增加表!BM42</f>
        <v>-223212941.22</v>
      </c>
      <c r="BN17" s="26">
        <f>股权价值增加表!BN42</f>
        <v>-167173236.28999999</v>
      </c>
      <c r="BO17" s="26">
        <f>股权价值增加表!BO42</f>
        <v>-113551397.55</v>
      </c>
      <c r="BP17" s="26">
        <f>股权价值增加表!BP42</f>
        <v>-114049159.08</v>
      </c>
      <c r="BQ17" s="26">
        <f>股权价值增加表!BQ42</f>
        <v>-79004755.060000002</v>
      </c>
      <c r="BR17" s="26">
        <f>股权价值增加表!BR42</f>
        <v>-147870000</v>
      </c>
      <c r="BS17" s="26">
        <f>股权价值增加表!BS42</f>
        <v>-152979249.54999998</v>
      </c>
      <c r="BT17" s="26">
        <f>股权价值增加表!BT42</f>
        <v>-128012163.46000001</v>
      </c>
      <c r="BU17" s="26">
        <f>股权价值增加表!BU42</f>
        <v>-222157134.44</v>
      </c>
      <c r="BV17" s="26">
        <f>股权价值增加表!BV42</f>
        <v>-287911344.69999999</v>
      </c>
      <c r="BW17" s="26">
        <f>股权价值增加表!BW42</f>
        <v>-288342438.87</v>
      </c>
      <c r="BX17" s="26">
        <f>股权价值增加表!BX42</f>
        <v>-57060547.329999998</v>
      </c>
      <c r="BY17" s="26">
        <f>股权价值增加表!BY42</f>
        <v>-217786839.49000001</v>
      </c>
      <c r="BZ17" s="26">
        <f>股权价值增加表!BZ42</f>
        <v>-40798540.960000001</v>
      </c>
      <c r="CA17" s="26">
        <f>股权价值增加表!CA42</f>
        <v>-179937260.47</v>
      </c>
      <c r="CB17" s="26">
        <f>股权价值增加表!CB42</f>
        <v>-144282576.27000001</v>
      </c>
      <c r="CC17" s="26">
        <f>股权价值增加表!CC42</f>
        <v>-119252620.25</v>
      </c>
      <c r="CD17" s="26">
        <f>股权价值增加表!CD42</f>
        <v>0</v>
      </c>
      <c r="CE17" s="26">
        <f>股权价值增加表!CE42</f>
        <v>-20081000</v>
      </c>
      <c r="CF17" s="26">
        <f>股权价值增加表!CF42</f>
        <v>-14354563.84</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x14ac:dyDescent="0.25">
      <c r="A18" s="20" t="s">
        <v>501</v>
      </c>
      <c r="E18" s="28">
        <f>E14/E17</f>
        <v>1.0512483261539225</v>
      </c>
      <c r="F18" s="28">
        <f t="shared" ref="F18:BQ18" si="10">F14/F17</f>
        <v>1.8884327314975961E-2</v>
      </c>
      <c r="G18" s="28">
        <f t="shared" si="10"/>
        <v>-0.73928259967936782</v>
      </c>
      <c r="H18" s="28">
        <f t="shared" si="10"/>
        <v>-2.0460499709464393</v>
      </c>
      <c r="I18" s="28">
        <f t="shared" si="10"/>
        <v>0.80726991495229683</v>
      </c>
      <c r="J18" s="28">
        <f t="shared" si="10"/>
        <v>0.39514339383308766</v>
      </c>
      <c r="K18" s="28">
        <f t="shared" si="10"/>
        <v>0.15306635279828551</v>
      </c>
      <c r="L18" s="28">
        <f t="shared" si="10"/>
        <v>-1.2589943838881459</v>
      </c>
      <c r="M18" s="28">
        <f t="shared" si="10"/>
        <v>0.54211015764889448</v>
      </c>
      <c r="N18" s="28">
        <f t="shared" si="10"/>
        <v>-0.18183421574372263</v>
      </c>
      <c r="O18" s="28">
        <f t="shared" si="10"/>
        <v>-0.86958057568830627</v>
      </c>
      <c r="P18" s="28">
        <f t="shared" si="10"/>
        <v>-2.5230684416547837</v>
      </c>
      <c r="Q18" s="28">
        <f t="shared" si="10"/>
        <v>0.79680713835956651</v>
      </c>
      <c r="R18" s="28">
        <f t="shared" si="10"/>
        <v>0.12247104643439645</v>
      </c>
      <c r="S18" s="28">
        <f t="shared" si="10"/>
        <v>-0.15947000224895305</v>
      </c>
      <c r="T18" s="28">
        <f t="shared" si="10"/>
        <v>-1.4054844596961333</v>
      </c>
      <c r="U18" s="28">
        <f t="shared" si="10"/>
        <v>0.6112692930263951</v>
      </c>
      <c r="V18" s="28">
        <f t="shared" si="10"/>
        <v>5.7145440547516302E-2</v>
      </c>
      <c r="W18" s="28">
        <f t="shared" si="10"/>
        <v>-0.20429484913091331</v>
      </c>
      <c r="X18" s="28">
        <f t="shared" si="10"/>
        <v>-1.4817188936192305</v>
      </c>
      <c r="Y18" s="28">
        <f t="shared" si="10"/>
        <v>0.67305916449749126</v>
      </c>
      <c r="Z18" s="28">
        <f t="shared" si="10"/>
        <v>9.4099284400545449E-2</v>
      </c>
      <c r="AA18" s="28">
        <f t="shared" si="10"/>
        <v>-0.22711812289996322</v>
      </c>
      <c r="AB18" s="28">
        <f t="shared" si="10"/>
        <v>-1.4920367232410836</v>
      </c>
      <c r="AC18" s="28">
        <f t="shared" si="10"/>
        <v>0.80211953347643994</v>
      </c>
      <c r="AD18" s="28">
        <f t="shared" si="10"/>
        <v>-2.8964206595457152E-2</v>
      </c>
      <c r="AE18" s="28">
        <f t="shared" si="10"/>
        <v>-4.3927695761887778E-2</v>
      </c>
      <c r="AF18" s="28">
        <f t="shared" si="10"/>
        <v>-0.72712543647456529</v>
      </c>
      <c r="AG18" s="28">
        <f t="shared" si="10"/>
        <v>0.6363552611740374</v>
      </c>
      <c r="AH18" s="28">
        <f t="shared" si="10"/>
        <v>-0.33390195343433032</v>
      </c>
      <c r="AI18" s="28">
        <f t="shared" si="10"/>
        <v>-0.54694626686207881</v>
      </c>
      <c r="AJ18" s="28">
        <f t="shared" si="10"/>
        <v>-1.5528895477874307</v>
      </c>
      <c r="AK18" s="28">
        <f t="shared" si="10"/>
        <v>0.92563034027901814</v>
      </c>
      <c r="AL18" s="28">
        <f t="shared" si="10"/>
        <v>0.51203411217834216</v>
      </c>
      <c r="AM18" s="28">
        <f t="shared" si="10"/>
        <v>0.68032600397049703</v>
      </c>
      <c r="AN18" s="28">
        <f t="shared" si="10"/>
        <v>-1.008700849945225</v>
      </c>
      <c r="AO18" s="28">
        <f t="shared" si="10"/>
        <v>1.1783662193096724</v>
      </c>
      <c r="AP18" s="28">
        <f t="shared" si="10"/>
        <v>0.9764803128255487</v>
      </c>
      <c r="AQ18" s="28" t="e">
        <f t="shared" si="10"/>
        <v>#DIV/0!</v>
      </c>
      <c r="AR18" s="28">
        <f t="shared" si="10"/>
        <v>0</v>
      </c>
      <c r="AS18" s="28">
        <f t="shared" si="10"/>
        <v>0</v>
      </c>
      <c r="AT18" s="28">
        <f t="shared" si="10"/>
        <v>0</v>
      </c>
      <c r="AU18" s="28">
        <f t="shared" si="10"/>
        <v>0</v>
      </c>
      <c r="AV18" s="28">
        <f t="shared" si="10"/>
        <v>0</v>
      </c>
      <c r="AW18" s="28">
        <f t="shared" si="10"/>
        <v>0</v>
      </c>
      <c r="AX18" s="28">
        <f t="shared" si="10"/>
        <v>0</v>
      </c>
      <c r="AY18" s="28">
        <f t="shared" si="10"/>
        <v>0</v>
      </c>
      <c r="AZ18" s="28">
        <f t="shared" si="10"/>
        <v>0</v>
      </c>
      <c r="BA18" s="28">
        <f t="shared" si="10"/>
        <v>0</v>
      </c>
      <c r="BB18" s="28">
        <f t="shared" si="10"/>
        <v>0</v>
      </c>
      <c r="BC18" s="28">
        <f t="shared" si="10"/>
        <v>0</v>
      </c>
      <c r="BD18" s="28">
        <f t="shared" si="10"/>
        <v>0</v>
      </c>
      <c r="BE18" s="28">
        <f t="shared" si="10"/>
        <v>0</v>
      </c>
      <c r="BF18" s="28">
        <f t="shared" si="10"/>
        <v>0</v>
      </c>
      <c r="BG18" s="28">
        <f t="shared" si="10"/>
        <v>0</v>
      </c>
      <c r="BH18" s="28">
        <f t="shared" si="10"/>
        <v>0</v>
      </c>
      <c r="BI18" s="28">
        <f t="shared" si="10"/>
        <v>0</v>
      </c>
      <c r="BJ18" s="28">
        <f t="shared" si="10"/>
        <v>0</v>
      </c>
      <c r="BK18" s="28">
        <f t="shared" si="10"/>
        <v>0</v>
      </c>
      <c r="BL18" s="28">
        <f t="shared" si="10"/>
        <v>0</v>
      </c>
      <c r="BM18" s="28">
        <f t="shared" si="10"/>
        <v>0</v>
      </c>
      <c r="BN18" s="28">
        <f t="shared" si="10"/>
        <v>0</v>
      </c>
      <c r="BO18" s="28">
        <f t="shared" si="10"/>
        <v>0</v>
      </c>
      <c r="BP18" s="28">
        <f t="shared" si="10"/>
        <v>0</v>
      </c>
      <c r="BQ18" s="28">
        <f t="shared" si="10"/>
        <v>0</v>
      </c>
      <c r="BR18" s="28">
        <f t="shared" ref="BR18:CK18" si="11">BR14/BR17</f>
        <v>0</v>
      </c>
      <c r="BS18" s="28">
        <f t="shared" si="11"/>
        <v>0</v>
      </c>
      <c r="BT18" s="28">
        <f t="shared" si="11"/>
        <v>0</v>
      </c>
      <c r="BU18" s="28">
        <f t="shared" si="11"/>
        <v>0</v>
      </c>
      <c r="BV18" s="28">
        <f t="shared" si="11"/>
        <v>0</v>
      </c>
      <c r="BW18" s="28">
        <f t="shared" si="11"/>
        <v>0</v>
      </c>
      <c r="BX18" s="28">
        <f t="shared" si="11"/>
        <v>0</v>
      </c>
      <c r="BY18" s="28">
        <f t="shared" si="11"/>
        <v>0</v>
      </c>
      <c r="BZ18" s="28">
        <f t="shared" si="11"/>
        <v>0</v>
      </c>
      <c r="CA18" s="28">
        <f t="shared" si="11"/>
        <v>0</v>
      </c>
      <c r="CB18" s="28">
        <f t="shared" si="11"/>
        <v>0</v>
      </c>
      <c r="CC18" s="28">
        <f t="shared" si="11"/>
        <v>0</v>
      </c>
      <c r="CD18" s="28" t="e">
        <f t="shared" si="11"/>
        <v>#DIV/0!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x14ac:dyDescent="0.25">
      <c r="A19" s="17" t="s">
        <v>502</v>
      </c>
      <c r="E19" s="26">
        <f>现金流量表!E48</f>
        <v>484568899.16000003</v>
      </c>
      <c r="F19" s="26">
        <f>现金流量表!F48</f>
        <v>0</v>
      </c>
      <c r="G19" s="26">
        <f>现金流量表!G48</f>
        <v>251738374.96000001</v>
      </c>
      <c r="H19" s="26">
        <f>现金流量表!H48</f>
        <v>0</v>
      </c>
      <c r="I19" s="26">
        <f>现金流量表!I48</f>
        <v>317497358.88</v>
      </c>
      <c r="J19" s="26">
        <f>现金流量表!J48</f>
        <v>0</v>
      </c>
      <c r="K19" s="26">
        <f>现金流量表!K48</f>
        <v>158985960.69999999</v>
      </c>
      <c r="L19" s="26">
        <f>现金流量表!L48</f>
        <v>0</v>
      </c>
      <c r="M19" s="26">
        <f>现金流量表!M48</f>
        <v>338874649.43000001</v>
      </c>
      <c r="N19" s="26">
        <f>现金流量表!N48</f>
        <v>0</v>
      </c>
      <c r="O19" s="26">
        <f>现金流量表!O48</f>
        <v>166576278.11000001</v>
      </c>
      <c r="P19" s="26">
        <f>现金流量表!P48</f>
        <v>0</v>
      </c>
      <c r="Q19" s="26">
        <f>现金流量表!Q48</f>
        <v>182907411.02000001</v>
      </c>
      <c r="R19" s="26">
        <f>现金流量表!R48</f>
        <v>0</v>
      </c>
      <c r="S19" s="26">
        <f>现金流量表!S48</f>
        <v>110207838</v>
      </c>
      <c r="T19" s="26">
        <f>现金流量表!T48</f>
        <v>0</v>
      </c>
      <c r="U19" s="26">
        <f>现金流量表!U48</f>
        <v>157113213.55000001</v>
      </c>
      <c r="V19" s="26">
        <f>现金流量表!V48</f>
        <v>0</v>
      </c>
      <c r="W19" s="26">
        <f>现金流量表!W48</f>
        <v>81669242.909999996</v>
      </c>
      <c r="X19" s="26">
        <f>现金流量表!X48</f>
        <v>0</v>
      </c>
      <c r="Y19" s="26">
        <f>现金流量表!Y48</f>
        <v>50325290.75</v>
      </c>
      <c r="Z19" s="26">
        <f>现金流量表!Z48</f>
        <v>0</v>
      </c>
      <c r="AA19" s="26">
        <f>现金流量表!AA48</f>
        <v>55113151.090000004</v>
      </c>
      <c r="AB19" s="26">
        <f>现金流量表!AB48</f>
        <v>0</v>
      </c>
      <c r="AC19" s="26">
        <f>现金流量表!AC48</f>
        <v>26063331.170000002</v>
      </c>
      <c r="AD19" s="26">
        <f>现金流量表!AD48</f>
        <v>0</v>
      </c>
      <c r="AE19" s="26">
        <f>现金流量表!AE48</f>
        <v>27940111.93</v>
      </c>
      <c r="AF19" s="26">
        <f>现金流量表!AF48</f>
        <v>0</v>
      </c>
      <c r="AG19" s="26">
        <f>现金流量表!AG48</f>
        <v>49337089.689999998</v>
      </c>
      <c r="AH19" s="26">
        <f>现金流量表!AH48</f>
        <v>0</v>
      </c>
      <c r="AI19" s="26">
        <f>现金流量表!AI48</f>
        <v>18450601.030000001</v>
      </c>
      <c r="AJ19" s="26">
        <f>现金流量表!AJ48</f>
        <v>0</v>
      </c>
      <c r="AK19" s="26">
        <f>现金流量表!AK48</f>
        <v>13204903.32</v>
      </c>
      <c r="AL19" s="26">
        <f>现金流量表!AL48</f>
        <v>0</v>
      </c>
      <c r="AM19" s="26">
        <f>现金流量表!AM48</f>
        <v>13673218.58</v>
      </c>
      <c r="AN19" s="26">
        <f>现金流量表!AN48</f>
        <v>0</v>
      </c>
      <c r="AO19" s="26">
        <f>现金流量表!AO48</f>
        <v>14295094.5</v>
      </c>
      <c r="AP19" s="26">
        <f>现金流量表!AP48</f>
        <v>19000489.170000002</v>
      </c>
      <c r="AQ19" s="26">
        <f>现金流量表!AQ48</f>
        <v>0</v>
      </c>
      <c r="AR19" s="26">
        <f>现金流量表!AR48</f>
        <v>0</v>
      </c>
      <c r="AS19" s="26">
        <f>现金流量表!AS48</f>
        <v>0</v>
      </c>
      <c r="AT19" s="26">
        <f>现金流量表!AT48</f>
        <v>0</v>
      </c>
      <c r="AU19" s="26">
        <f>现金流量表!AU48</f>
        <v>0</v>
      </c>
      <c r="AV19" s="26">
        <f>现金流量表!AV48</f>
        <v>0</v>
      </c>
      <c r="AW19" s="26">
        <f>现金流量表!AW48</f>
        <v>0</v>
      </c>
      <c r="AX19" s="26">
        <f>现金流量表!AX48</f>
        <v>0</v>
      </c>
      <c r="AY19" s="26">
        <f>现金流量表!AY48</f>
        <v>0</v>
      </c>
      <c r="AZ19" s="26">
        <f>现金流量表!AZ48</f>
        <v>0</v>
      </c>
      <c r="BA19" s="26">
        <f>现金流量表!BA48</f>
        <v>0</v>
      </c>
      <c r="BB19" s="26">
        <f>现金流量表!BB48</f>
        <v>0</v>
      </c>
      <c r="BC19" s="26">
        <f>现金流量表!BC48</f>
        <v>0</v>
      </c>
      <c r="BD19" s="26">
        <f>现金流量表!BD48</f>
        <v>0</v>
      </c>
      <c r="BE19" s="26">
        <f>现金流量表!BE48</f>
        <v>0</v>
      </c>
      <c r="BF19" s="26">
        <f>现金流量表!BF48</f>
        <v>0</v>
      </c>
      <c r="BG19" s="26">
        <f>现金流量表!BG48</f>
        <v>0</v>
      </c>
      <c r="BH19" s="26">
        <f>现金流量表!BH48</f>
        <v>0</v>
      </c>
      <c r="BI19" s="26">
        <f>现金流量表!BI48</f>
        <v>0</v>
      </c>
      <c r="BJ19" s="26">
        <f>现金流量表!BJ48</f>
        <v>0</v>
      </c>
      <c r="BK19" s="26">
        <f>现金流量表!BK48</f>
        <v>0</v>
      </c>
      <c r="BL19" s="26">
        <f>现金流量表!BL48</f>
        <v>0</v>
      </c>
      <c r="BM19" s="26">
        <f>现金流量表!BM48</f>
        <v>0</v>
      </c>
      <c r="BN19" s="26">
        <f>现金流量表!BN48</f>
        <v>0</v>
      </c>
      <c r="BO19" s="26">
        <f>现金流量表!BO48</f>
        <v>0</v>
      </c>
      <c r="BP19" s="26">
        <f>现金流量表!BP48</f>
        <v>0</v>
      </c>
      <c r="BQ19" s="26">
        <f>现金流量表!BQ48</f>
        <v>0</v>
      </c>
      <c r="BR19" s="26">
        <f>现金流量表!BR48</f>
        <v>0</v>
      </c>
      <c r="BS19" s="26">
        <f>现金流量表!BS48</f>
        <v>0</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503</v>
      </c>
      <c r="E20" s="26">
        <f>现金流量表!E49</f>
        <v>301861330.86000001</v>
      </c>
      <c r="F20" s="26">
        <f>现金流量表!F49</f>
        <v>0</v>
      </c>
      <c r="G20" s="26">
        <f>现金流量表!G49</f>
        <v>162308009.16</v>
      </c>
      <c r="H20" s="26">
        <f>现金流量表!H49</f>
        <v>0</v>
      </c>
      <c r="I20" s="26">
        <f>现金流量表!I49</f>
        <v>211545008.25</v>
      </c>
      <c r="J20" s="26">
        <f>现金流量表!J49</f>
        <v>0</v>
      </c>
      <c r="K20" s="26">
        <f>现金流量表!K49</f>
        <v>90317400.920000002</v>
      </c>
      <c r="L20" s="26">
        <f>现金流量表!L49</f>
        <v>0</v>
      </c>
      <c r="M20" s="26">
        <f>现金流量表!M49</f>
        <v>132614495.73</v>
      </c>
      <c r="N20" s="26">
        <f>现金流量表!N49</f>
        <v>0</v>
      </c>
      <c r="O20" s="26">
        <f>现金流量表!O49</f>
        <v>61441674.289999999</v>
      </c>
      <c r="P20" s="26">
        <f>现金流量表!P49</f>
        <v>0</v>
      </c>
      <c r="Q20" s="26">
        <f>现金流量表!Q49</f>
        <v>96713691.319999993</v>
      </c>
      <c r="R20" s="26">
        <f>现金流量表!R49</f>
        <v>0</v>
      </c>
      <c r="S20" s="26">
        <f>现金流量表!S49</f>
        <v>35892279.280000001</v>
      </c>
      <c r="T20" s="26">
        <f>现金流量表!T49</f>
        <v>0</v>
      </c>
      <c r="U20" s="26">
        <f>现金流量表!U49</f>
        <v>66233752.909999996</v>
      </c>
      <c r="V20" s="26">
        <f>现金流量表!V49</f>
        <v>0</v>
      </c>
      <c r="W20" s="26">
        <f>现金流量表!W49</f>
        <v>31329083.129999999</v>
      </c>
      <c r="X20" s="26">
        <f>现金流量表!X49</f>
        <v>0</v>
      </c>
      <c r="Y20" s="26">
        <f>现金流量表!Y49</f>
        <v>55492100.969999999</v>
      </c>
      <c r="Z20" s="26">
        <f>现金流量表!Z49</f>
        <v>0</v>
      </c>
      <c r="AA20" s="26">
        <f>现金流量表!AA49</f>
        <v>25489694</v>
      </c>
      <c r="AB20" s="26">
        <f>现金流量表!AB49</f>
        <v>0</v>
      </c>
      <c r="AC20" s="26">
        <f>现金流量表!AC49</f>
        <v>34602088.369999997</v>
      </c>
      <c r="AD20" s="26">
        <f>现金流量表!AD49</f>
        <v>0</v>
      </c>
      <c r="AE20" s="26">
        <f>现金流量表!AE49</f>
        <v>14298817.5</v>
      </c>
      <c r="AF20" s="26">
        <f>现金流量表!AF49</f>
        <v>0</v>
      </c>
      <c r="AG20" s="26">
        <f>现金流量表!AG49</f>
        <v>17916254.739999998</v>
      </c>
      <c r="AH20" s="26">
        <f>现金流量表!AH49</f>
        <v>0</v>
      </c>
      <c r="AI20" s="26">
        <f>现金流量表!AI49</f>
        <v>7032845.1799999997</v>
      </c>
      <c r="AJ20" s="26">
        <f>现金流量表!AJ49</f>
        <v>0</v>
      </c>
      <c r="AK20" s="26">
        <f>现金流量表!AK49</f>
        <v>8222150.8200000003</v>
      </c>
      <c r="AL20" s="26">
        <f>现金流量表!AL49</f>
        <v>0</v>
      </c>
      <c r="AM20" s="26">
        <f>现金流量表!AM49</f>
        <v>3664783.35</v>
      </c>
      <c r="AN20" s="26">
        <f>现金流量表!AN49</f>
        <v>0</v>
      </c>
      <c r="AO20" s="26">
        <f>现金流量表!AO49</f>
        <v>7651305.4400000004</v>
      </c>
      <c r="AP20" s="26">
        <f>现金流量表!AP49</f>
        <v>4748432.37</v>
      </c>
      <c r="AQ20" s="26">
        <f>现金流量表!AQ49</f>
        <v>0</v>
      </c>
      <c r="AR20" s="26">
        <f>现金流量表!AR49</f>
        <v>0</v>
      </c>
      <c r="AS20" s="26">
        <f>现金流量表!AS49</f>
        <v>0</v>
      </c>
      <c r="AT20" s="26">
        <f>现金流量表!AT49</f>
        <v>0</v>
      </c>
      <c r="AU20" s="26">
        <f>现金流量表!AU49</f>
        <v>0</v>
      </c>
      <c r="AV20" s="26">
        <f>现金流量表!AV49</f>
        <v>0</v>
      </c>
      <c r="AW20" s="26">
        <f>现金流量表!AW49</f>
        <v>0</v>
      </c>
      <c r="AX20" s="26">
        <f>现金流量表!AX49</f>
        <v>0</v>
      </c>
      <c r="AY20" s="26">
        <f>现金流量表!AY49</f>
        <v>0</v>
      </c>
      <c r="AZ20" s="26">
        <f>现金流量表!AZ49</f>
        <v>0</v>
      </c>
      <c r="BA20" s="26">
        <f>现金流量表!BA49</f>
        <v>0</v>
      </c>
      <c r="BB20" s="26">
        <f>现金流量表!BB49</f>
        <v>0</v>
      </c>
      <c r="BC20" s="26">
        <f>现金流量表!BC49</f>
        <v>0</v>
      </c>
      <c r="BD20" s="26">
        <f>现金流量表!BD49</f>
        <v>0</v>
      </c>
      <c r="BE20" s="26">
        <f>现金流量表!BE49</f>
        <v>0</v>
      </c>
      <c r="BF20" s="26">
        <f>现金流量表!BF49</f>
        <v>0</v>
      </c>
      <c r="BG20" s="26">
        <f>现金流量表!BG49</f>
        <v>0</v>
      </c>
      <c r="BH20" s="26">
        <f>现金流量表!BH49</f>
        <v>0</v>
      </c>
      <c r="BI20" s="26">
        <f>现金流量表!BI49</f>
        <v>0</v>
      </c>
      <c r="BJ20" s="26">
        <f>现金流量表!BJ49</f>
        <v>0</v>
      </c>
      <c r="BK20" s="26">
        <f>现金流量表!BK49</f>
        <v>0</v>
      </c>
      <c r="BL20" s="26">
        <f>现金流量表!BL49</f>
        <v>0</v>
      </c>
      <c r="BM20" s="26">
        <f>现金流量表!BM49</f>
        <v>0</v>
      </c>
      <c r="BN20" s="26">
        <f>现金流量表!BN49</f>
        <v>0</v>
      </c>
      <c r="BO20" s="26">
        <f>现金流量表!BO49</f>
        <v>0</v>
      </c>
      <c r="BP20" s="26">
        <f>现金流量表!BP49</f>
        <v>0</v>
      </c>
      <c r="BQ20" s="26">
        <f>现金流量表!BQ49</f>
        <v>0</v>
      </c>
      <c r="BR20" s="26">
        <f>现金流量表!BR49</f>
        <v>0</v>
      </c>
      <c r="BS20" s="26">
        <f>现金流量表!BS49</f>
        <v>0</v>
      </c>
      <c r="BT20" s="26">
        <f>现金流量表!BT49</f>
        <v>0</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504</v>
      </c>
      <c r="E21" s="26">
        <f>现金流量表!E50</f>
        <v>39412000.700000003</v>
      </c>
      <c r="F21" s="26">
        <f>现金流量表!F50</f>
        <v>0</v>
      </c>
      <c r="G21" s="26">
        <f>现金流量表!G50</f>
        <v>21115783.510000002</v>
      </c>
      <c r="H21" s="26">
        <f>现金流量表!H50</f>
        <v>0</v>
      </c>
      <c r="I21" s="26">
        <f>现金流量表!I50</f>
        <v>29127775.780000001</v>
      </c>
      <c r="J21" s="26">
        <f>现金流量表!J50</f>
        <v>0</v>
      </c>
      <c r="K21" s="26">
        <f>现金流量表!K50</f>
        <v>16488748.289999999</v>
      </c>
      <c r="L21" s="26">
        <f>现金流量表!L50</f>
        <v>0</v>
      </c>
      <c r="M21" s="26">
        <f>现金流量表!M50</f>
        <v>22864330.359999999</v>
      </c>
      <c r="N21" s="26">
        <f>现金流量表!N50</f>
        <v>0</v>
      </c>
      <c r="O21" s="26">
        <f>现金流量表!O50</f>
        <v>9311049.4299999997</v>
      </c>
      <c r="P21" s="26">
        <f>现金流量表!P50</f>
        <v>0</v>
      </c>
      <c r="Q21" s="26">
        <f>现金流量表!Q50</f>
        <v>12662696.57</v>
      </c>
      <c r="R21" s="26">
        <f>现金流量表!R50</f>
        <v>0</v>
      </c>
      <c r="S21" s="26">
        <f>现金流量表!S50</f>
        <v>5846929.1399999997</v>
      </c>
      <c r="T21" s="26">
        <f>现金流量表!T50</f>
        <v>0</v>
      </c>
      <c r="U21" s="26">
        <f>现金流量表!U50</f>
        <v>5441954.21</v>
      </c>
      <c r="V21" s="26">
        <f>现金流量表!V50</f>
        <v>0</v>
      </c>
      <c r="W21" s="26">
        <f>现金流量表!W50</f>
        <v>3044601.62</v>
      </c>
      <c r="X21" s="26">
        <f>现金流量表!X50</f>
        <v>0</v>
      </c>
      <c r="Y21" s="26">
        <f>现金流量表!Y50</f>
        <v>4951166.1900000004</v>
      </c>
      <c r="Z21" s="26">
        <f>现金流量表!Z50</f>
        <v>0</v>
      </c>
      <c r="AA21" s="26">
        <f>现金流量表!AA50</f>
        <v>1968467.67</v>
      </c>
      <c r="AB21" s="26">
        <f>现金流量表!AB50</f>
        <v>0</v>
      </c>
      <c r="AC21" s="26">
        <f>现金流量表!AC50</f>
        <v>3289630.76</v>
      </c>
      <c r="AD21" s="26">
        <f>现金流量表!AD50</f>
        <v>0</v>
      </c>
      <c r="AE21" s="26">
        <f>现金流量表!AE50</f>
        <v>1647879.85</v>
      </c>
      <c r="AF21" s="26">
        <f>现金流量表!AF50</f>
        <v>0</v>
      </c>
      <c r="AG21" s="26">
        <f>现金流量表!AG50</f>
        <v>2025971.64</v>
      </c>
      <c r="AH21" s="26">
        <f>现金流量表!AH50</f>
        <v>0</v>
      </c>
      <c r="AI21" s="26">
        <f>现金流量表!AI50</f>
        <v>732223.4</v>
      </c>
      <c r="AJ21" s="26">
        <f>现金流量表!AJ50</f>
        <v>0</v>
      </c>
      <c r="AK21" s="26">
        <f>现金流量表!AK50</f>
        <v>1076164.26</v>
      </c>
      <c r="AL21" s="26">
        <f>现金流量表!AL50</f>
        <v>0</v>
      </c>
      <c r="AM21" s="26">
        <f>现金流量表!AM50</f>
        <v>601253.18000000005</v>
      </c>
      <c r="AN21" s="26">
        <f>现金流量表!AN50</f>
        <v>0</v>
      </c>
      <c r="AO21" s="26">
        <f>现金流量表!AO50</f>
        <v>1075475.46</v>
      </c>
      <c r="AP21" s="26">
        <f>现金流量表!AP50</f>
        <v>582581.89</v>
      </c>
      <c r="AQ21" s="26">
        <f>现金流量表!AQ50</f>
        <v>0</v>
      </c>
      <c r="AR21" s="26">
        <f>现金流量表!AR50</f>
        <v>0</v>
      </c>
      <c r="AS21" s="26">
        <f>现金流量表!AS50</f>
        <v>0</v>
      </c>
      <c r="AT21" s="26">
        <f>现金流量表!AT50</f>
        <v>0</v>
      </c>
      <c r="AU21" s="26">
        <f>现金流量表!AU50</f>
        <v>0</v>
      </c>
      <c r="AV21" s="26">
        <f>现金流量表!AV50</f>
        <v>0</v>
      </c>
      <c r="AW21" s="26">
        <f>现金流量表!AW50</f>
        <v>0</v>
      </c>
      <c r="AX21" s="26">
        <f>现金流量表!AX50</f>
        <v>0</v>
      </c>
      <c r="AY21" s="26">
        <f>现金流量表!AY50</f>
        <v>0</v>
      </c>
      <c r="AZ21" s="26">
        <f>现金流量表!AZ50</f>
        <v>0</v>
      </c>
      <c r="BA21" s="26">
        <f>现金流量表!BA50</f>
        <v>0</v>
      </c>
      <c r="BB21" s="26">
        <f>现金流量表!BB50</f>
        <v>0</v>
      </c>
      <c r="BC21" s="26">
        <f>现金流量表!BC50</f>
        <v>0</v>
      </c>
      <c r="BD21" s="26">
        <f>现金流量表!BD50</f>
        <v>0</v>
      </c>
      <c r="BE21" s="26">
        <f>现金流量表!BE50</f>
        <v>0</v>
      </c>
      <c r="BF21" s="26">
        <f>现金流量表!BF50</f>
        <v>0</v>
      </c>
      <c r="BG21" s="26">
        <f>现金流量表!BG50</f>
        <v>0</v>
      </c>
      <c r="BH21" s="26">
        <f>现金流量表!BH50</f>
        <v>0</v>
      </c>
      <c r="BI21" s="26">
        <f>现金流量表!BI50</f>
        <v>0</v>
      </c>
      <c r="BJ21" s="26">
        <f>现金流量表!BJ50</f>
        <v>0</v>
      </c>
      <c r="BK21" s="26">
        <f>现金流量表!BK50</f>
        <v>0</v>
      </c>
      <c r="BL21" s="26">
        <f>现金流量表!BL50</f>
        <v>0</v>
      </c>
      <c r="BM21" s="26">
        <f>现金流量表!BM50</f>
        <v>0</v>
      </c>
      <c r="BN21" s="26">
        <f>现金流量表!BN50</f>
        <v>0</v>
      </c>
      <c r="BO21" s="26">
        <f>现金流量表!BO50</f>
        <v>0</v>
      </c>
      <c r="BP21" s="26">
        <f>现金流量表!BP50</f>
        <v>0</v>
      </c>
      <c r="BQ21" s="26">
        <f>现金流量表!BQ50</f>
        <v>0</v>
      </c>
      <c r="BR21" s="26">
        <f>现金流量表!BR50</f>
        <v>0</v>
      </c>
      <c r="BS21" s="26">
        <f>现金流量表!BS50</f>
        <v>0</v>
      </c>
      <c r="BT21" s="26">
        <f>现金流量表!BT50</f>
        <v>0</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505</v>
      </c>
      <c r="E22" s="26">
        <f>现金流量表!E51</f>
        <v>0</v>
      </c>
      <c r="F22" s="26">
        <f>现金流量表!F51</f>
        <v>0</v>
      </c>
      <c r="G22" s="26">
        <f>现金流量表!G51</f>
        <v>0</v>
      </c>
      <c r="H22" s="26">
        <f>现金流量表!H51</f>
        <v>0</v>
      </c>
      <c r="I22" s="26">
        <f>现金流量表!I51</f>
        <v>0</v>
      </c>
      <c r="J22" s="26">
        <f>现金流量表!J51</f>
        <v>0</v>
      </c>
      <c r="K22" s="26">
        <f>现金流量表!K51</f>
        <v>0</v>
      </c>
      <c r="L22" s="26">
        <f>现金流量表!L51</f>
        <v>0</v>
      </c>
      <c r="M22" s="26">
        <f>现金流量表!M51</f>
        <v>0</v>
      </c>
      <c r="N22" s="26">
        <f>现金流量表!N51</f>
        <v>0</v>
      </c>
      <c r="O22" s="26">
        <f>现金流量表!O51</f>
        <v>0</v>
      </c>
      <c r="P22" s="26">
        <f>现金流量表!P51</f>
        <v>0</v>
      </c>
      <c r="Q22" s="26">
        <f>现金流量表!Q51</f>
        <v>0</v>
      </c>
      <c r="R22" s="26">
        <f>现金流量表!R51</f>
        <v>0</v>
      </c>
      <c r="S22" s="26">
        <f>现金流量表!S51</f>
        <v>317287.46999999997</v>
      </c>
      <c r="T22" s="26">
        <f>现金流量表!T51</f>
        <v>0</v>
      </c>
      <c r="U22" s="26">
        <f>现金流量表!U51</f>
        <v>607322.68999999994</v>
      </c>
      <c r="V22" s="26">
        <f>现金流量表!V51</f>
        <v>0</v>
      </c>
      <c r="W22" s="26">
        <f>现金流量表!W51</f>
        <v>331748.69</v>
      </c>
      <c r="X22" s="26">
        <f>现金流量表!X51</f>
        <v>0</v>
      </c>
      <c r="Y22" s="26">
        <f>现金流量表!Y51</f>
        <v>456480</v>
      </c>
      <c r="Z22" s="26">
        <f>现金流量表!Z51</f>
        <v>0</v>
      </c>
      <c r="AA22" s="26">
        <f>现金流量表!AA51</f>
        <v>0</v>
      </c>
      <c r="AB22" s="26">
        <f>现金流量表!AB51</f>
        <v>0</v>
      </c>
      <c r="AC22" s="26">
        <f>现金流量表!AC51</f>
        <v>0</v>
      </c>
      <c r="AD22" s="26">
        <f>现金流量表!AD51</f>
        <v>0</v>
      </c>
      <c r="AE22" s="26">
        <f>现金流量表!AE51</f>
        <v>0</v>
      </c>
      <c r="AF22" s="26">
        <f>现金流量表!AF51</f>
        <v>0</v>
      </c>
      <c r="AG22" s="26">
        <f>现金流量表!AG51</f>
        <v>0</v>
      </c>
      <c r="AH22" s="26">
        <f>现金流量表!AH51</f>
        <v>0</v>
      </c>
      <c r="AI22" s="26">
        <f>现金流量表!AI51</f>
        <v>0</v>
      </c>
      <c r="AJ22" s="26">
        <f>现金流量表!AJ51</f>
        <v>0</v>
      </c>
      <c r="AK22" s="26">
        <f>现金流量表!AK51</f>
        <v>192333.74</v>
      </c>
      <c r="AL22" s="26">
        <f>现金流量表!AL51</f>
        <v>0</v>
      </c>
      <c r="AM22" s="26">
        <f>现金流量表!AM51</f>
        <v>0</v>
      </c>
      <c r="AN22" s="26">
        <f>现金流量表!AN51</f>
        <v>0</v>
      </c>
      <c r="AO22" s="26">
        <f>现金流量表!AO51</f>
        <v>0</v>
      </c>
      <c r="AP22" s="26">
        <f>现金流量表!AP51</f>
        <v>0</v>
      </c>
      <c r="AQ22" s="26">
        <f>现金流量表!AQ51</f>
        <v>0</v>
      </c>
      <c r="AR22" s="26">
        <f>现金流量表!AR51</f>
        <v>0</v>
      </c>
      <c r="AS22" s="26">
        <f>现金流量表!AS51</f>
        <v>0</v>
      </c>
      <c r="AT22" s="26">
        <f>现金流量表!AT51</f>
        <v>0</v>
      </c>
      <c r="AU22" s="26">
        <f>现金流量表!AU51</f>
        <v>0</v>
      </c>
      <c r="AV22" s="26">
        <f>现金流量表!AV51</f>
        <v>0</v>
      </c>
      <c r="AW22" s="26">
        <f>现金流量表!AW51</f>
        <v>0</v>
      </c>
      <c r="AX22" s="26">
        <f>现金流量表!AX51</f>
        <v>0</v>
      </c>
      <c r="AY22" s="26">
        <f>现金流量表!AY51</f>
        <v>0</v>
      </c>
      <c r="AZ22" s="26">
        <f>现金流量表!AZ51</f>
        <v>0</v>
      </c>
      <c r="BA22" s="26">
        <f>现金流量表!BA51</f>
        <v>0</v>
      </c>
      <c r="BB22" s="26">
        <f>现金流量表!BB51</f>
        <v>0</v>
      </c>
      <c r="BC22" s="26">
        <f>现金流量表!BC51</f>
        <v>0</v>
      </c>
      <c r="BD22" s="26">
        <f>现金流量表!BD51</f>
        <v>0</v>
      </c>
      <c r="BE22" s="26">
        <f>现金流量表!BE51</f>
        <v>0</v>
      </c>
      <c r="BF22" s="26">
        <f>现金流量表!BF51</f>
        <v>0</v>
      </c>
      <c r="BG22" s="26">
        <f>现金流量表!BG51</f>
        <v>0</v>
      </c>
      <c r="BH22" s="26">
        <f>现金流量表!BH51</f>
        <v>0</v>
      </c>
      <c r="BI22" s="26">
        <f>现金流量表!BI51</f>
        <v>0</v>
      </c>
      <c r="BJ22" s="26">
        <f>现金流量表!BJ51</f>
        <v>0</v>
      </c>
      <c r="BK22" s="26">
        <f>现金流量表!BK51</f>
        <v>0</v>
      </c>
      <c r="BL22" s="26">
        <f>现金流量表!BL51</f>
        <v>0</v>
      </c>
      <c r="BM22" s="26">
        <f>现金流量表!BM51</f>
        <v>0</v>
      </c>
      <c r="BN22" s="26">
        <f>现金流量表!BN51</f>
        <v>0</v>
      </c>
      <c r="BO22" s="26">
        <f>现金流量表!BO51</f>
        <v>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506</v>
      </c>
      <c r="E23" s="26">
        <f>现金流量表!E54</f>
        <v>-1585222.5</v>
      </c>
      <c r="F23" s="26">
        <f>现金流量表!F54</f>
        <v>0</v>
      </c>
      <c r="G23" s="26">
        <f>现金流量表!G54</f>
        <v>-2226974.5499999998</v>
      </c>
      <c r="H23" s="26">
        <f>现金流量表!H54</f>
        <v>0</v>
      </c>
      <c r="I23" s="26">
        <f>现金流量表!I54</f>
        <v>736149.02</v>
      </c>
      <c r="J23" s="26">
        <f>现金流量表!J54</f>
        <v>0</v>
      </c>
      <c r="K23" s="26">
        <f>现金流量表!K54</f>
        <v>299151.65000000002</v>
      </c>
      <c r="L23" s="26">
        <f>现金流量表!L54</f>
        <v>0</v>
      </c>
      <c r="M23" s="26">
        <f>现金流量表!M54</f>
        <v>-1679868.58</v>
      </c>
      <c r="N23" s="26">
        <f>现金流量表!N54</f>
        <v>0</v>
      </c>
      <c r="O23" s="26">
        <f>现金流量表!O54</f>
        <v>235695.32</v>
      </c>
      <c r="P23" s="26">
        <f>现金流量表!P54</f>
        <v>0</v>
      </c>
      <c r="Q23" s="26">
        <f>现金流量表!Q54</f>
        <v>467280.37</v>
      </c>
      <c r="R23" s="26">
        <f>现金流量表!R54</f>
        <v>0</v>
      </c>
      <c r="S23" s="26">
        <f>现金流量表!S54</f>
        <v>103329.34</v>
      </c>
      <c r="T23" s="26">
        <f>现金流量表!T54</f>
        <v>0</v>
      </c>
      <c r="U23" s="26">
        <f>现金流量表!U54</f>
        <v>205710.43</v>
      </c>
      <c r="V23" s="26">
        <f>现金流量表!V54</f>
        <v>0</v>
      </c>
      <c r="W23" s="26">
        <f>现金流量表!W54</f>
        <v>127202.96</v>
      </c>
      <c r="X23" s="26">
        <f>现金流量表!X54</f>
        <v>0</v>
      </c>
      <c r="Y23" s="26">
        <f>现金流量表!Y54</f>
        <v>98281.8</v>
      </c>
      <c r="Z23" s="26">
        <f>现金流量表!Z54</f>
        <v>0</v>
      </c>
      <c r="AA23" s="26">
        <f>现金流量表!AA54</f>
        <v>62879.44</v>
      </c>
      <c r="AB23" s="26">
        <f>现金流量表!AB54</f>
        <v>0</v>
      </c>
      <c r="AC23" s="26">
        <f>现金流量表!AC54</f>
        <v>-994268.3</v>
      </c>
      <c r="AD23" s="26">
        <f>现金流量表!AD54</f>
        <v>0</v>
      </c>
      <c r="AE23" s="26">
        <f>现金流量表!AE54</f>
        <v>-239750</v>
      </c>
      <c r="AF23" s="26">
        <f>现金流量表!AF54</f>
        <v>0</v>
      </c>
      <c r="AG23" s="26">
        <f>现金流量表!AG54</f>
        <v>195054.77</v>
      </c>
      <c r="AH23" s="26">
        <f>现金流量表!AH54</f>
        <v>0</v>
      </c>
      <c r="AI23" s="26">
        <f>现金流量表!AI54</f>
        <v>184655.52</v>
      </c>
      <c r="AJ23" s="26">
        <f>现金流量表!AJ54</f>
        <v>0</v>
      </c>
      <c r="AK23" s="26">
        <f>现金流量表!AK54</f>
        <v>894764.74</v>
      </c>
      <c r="AL23" s="26">
        <f>现金流量表!AL54</f>
        <v>0</v>
      </c>
      <c r="AM23" s="26">
        <f>现金流量表!AM54</f>
        <v>6766.91</v>
      </c>
      <c r="AN23" s="26">
        <f>现金流量表!AN54</f>
        <v>0</v>
      </c>
      <c r="AO23" s="26">
        <f>现金流量表!AO54</f>
        <v>12283.16</v>
      </c>
      <c r="AP23" s="26">
        <f>现金流量表!AP54</f>
        <v>12015.35</v>
      </c>
      <c r="AQ23" s="26">
        <f>现金流量表!AQ54</f>
        <v>0</v>
      </c>
      <c r="AR23" s="26">
        <f>现金流量表!AR54</f>
        <v>0</v>
      </c>
      <c r="AS23" s="26">
        <f>现金流量表!AS54</f>
        <v>0</v>
      </c>
      <c r="AT23" s="26">
        <f>现金流量表!AT54</f>
        <v>0</v>
      </c>
      <c r="AU23" s="26">
        <f>现金流量表!AU54</f>
        <v>0</v>
      </c>
      <c r="AV23" s="26">
        <f>现金流量表!AV54</f>
        <v>0</v>
      </c>
      <c r="AW23" s="26">
        <f>现金流量表!AW54</f>
        <v>0</v>
      </c>
      <c r="AX23" s="26">
        <f>现金流量表!AX54</f>
        <v>0</v>
      </c>
      <c r="AY23" s="26">
        <f>现金流量表!AY54</f>
        <v>0</v>
      </c>
      <c r="AZ23" s="26">
        <f>现金流量表!AZ54</f>
        <v>0</v>
      </c>
      <c r="BA23" s="26">
        <f>现金流量表!BA54</f>
        <v>0</v>
      </c>
      <c r="BB23" s="26">
        <f>现金流量表!BB54</f>
        <v>0</v>
      </c>
      <c r="BC23" s="26">
        <f>现金流量表!BC54</f>
        <v>0</v>
      </c>
      <c r="BD23" s="26">
        <f>现金流量表!BD54</f>
        <v>0</v>
      </c>
      <c r="BE23" s="26">
        <f>现金流量表!BE54</f>
        <v>0</v>
      </c>
      <c r="BF23" s="26">
        <f>现金流量表!BF54</f>
        <v>0</v>
      </c>
      <c r="BG23" s="26">
        <f>现金流量表!BG54</f>
        <v>0</v>
      </c>
      <c r="BH23" s="26">
        <f>现金流量表!BH54</f>
        <v>0</v>
      </c>
      <c r="BI23" s="26">
        <f>现金流量表!BI54</f>
        <v>0</v>
      </c>
      <c r="BJ23" s="26">
        <f>现金流量表!BJ54</f>
        <v>0</v>
      </c>
      <c r="BK23" s="26">
        <f>现金流量表!BK54</f>
        <v>0</v>
      </c>
      <c r="BL23" s="26">
        <f>现金流量表!BL54</f>
        <v>0</v>
      </c>
      <c r="BM23" s="26">
        <f>现金流量表!BM54</f>
        <v>0</v>
      </c>
      <c r="BN23" s="26">
        <f>现金流量表!BN54</f>
        <v>0</v>
      </c>
      <c r="BO23" s="26">
        <f>现金流量表!BO54</f>
        <v>0</v>
      </c>
      <c r="BP23" s="26">
        <f>现金流量表!BP54</f>
        <v>0</v>
      </c>
      <c r="BQ23" s="26">
        <f>现金流量表!BQ54</f>
        <v>0</v>
      </c>
      <c r="BR23" s="26">
        <f>现金流量表!BR54</f>
        <v>0</v>
      </c>
      <c r="BS23" s="26">
        <f>现金流量表!BS54</f>
        <v>0</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507</v>
      </c>
      <c r="E24" s="26">
        <f>现金流量表!E55</f>
        <v>0</v>
      </c>
      <c r="F24" s="26">
        <f>现金流量表!F55</f>
        <v>0</v>
      </c>
      <c r="G24" s="26">
        <f>现金流量表!G55</f>
        <v>0</v>
      </c>
      <c r="H24" s="26">
        <f>现金流量表!H55</f>
        <v>0</v>
      </c>
      <c r="I24" s="26">
        <f>现金流量表!I55</f>
        <v>0</v>
      </c>
      <c r="J24" s="26">
        <f>现金流量表!J55</f>
        <v>0</v>
      </c>
      <c r="K24" s="26">
        <f>现金流量表!K55</f>
        <v>0</v>
      </c>
      <c r="L24" s="26">
        <f>现金流量表!L55</f>
        <v>0</v>
      </c>
      <c r="M24" s="26">
        <f>现金流量表!M55</f>
        <v>-35554.46</v>
      </c>
      <c r="N24" s="26">
        <f>现金流量表!N55</f>
        <v>0</v>
      </c>
      <c r="O24" s="26">
        <f>现金流量表!O55</f>
        <v>0</v>
      </c>
      <c r="P24" s="26">
        <f>现金流量表!P55</f>
        <v>0</v>
      </c>
      <c r="Q24" s="26">
        <f>现金流量表!Q55</f>
        <v>0</v>
      </c>
      <c r="R24" s="26">
        <f>现金流量表!R55</f>
        <v>0</v>
      </c>
      <c r="S24" s="26">
        <f>现金流量表!S55</f>
        <v>0</v>
      </c>
      <c r="T24" s="26">
        <f>现金流量表!T55</f>
        <v>0</v>
      </c>
      <c r="U24" s="26">
        <f>现金流量表!U55</f>
        <v>0</v>
      </c>
      <c r="V24" s="26">
        <f>现金流量表!V55</f>
        <v>0</v>
      </c>
      <c r="W24" s="26">
        <f>现金流量表!W55</f>
        <v>0</v>
      </c>
      <c r="X24" s="26">
        <f>现金流量表!X55</f>
        <v>0</v>
      </c>
      <c r="Y24" s="26">
        <f>现金流量表!Y55</f>
        <v>0</v>
      </c>
      <c r="Z24" s="26">
        <f>现金流量表!Z55</f>
        <v>0</v>
      </c>
      <c r="AA24" s="26">
        <f>现金流量表!AA55</f>
        <v>0</v>
      </c>
      <c r="AB24" s="26">
        <f>现金流量表!AB55</f>
        <v>0</v>
      </c>
      <c r="AC24" s="26">
        <f>现金流量表!AC55</f>
        <v>0</v>
      </c>
      <c r="AD24" s="26">
        <f>现金流量表!AD55</f>
        <v>0</v>
      </c>
      <c r="AE24" s="26">
        <f>现金流量表!AE55</f>
        <v>0</v>
      </c>
      <c r="AF24" s="26">
        <f>现金流量表!AF55</f>
        <v>0</v>
      </c>
      <c r="AG24" s="26">
        <f>现金流量表!AG55</f>
        <v>0</v>
      </c>
      <c r="AH24" s="26">
        <f>现金流量表!AH55</f>
        <v>0</v>
      </c>
      <c r="AI24" s="26">
        <f>现金流量表!AI55</f>
        <v>0</v>
      </c>
      <c r="AJ24" s="26">
        <f>现金流量表!AJ55</f>
        <v>0</v>
      </c>
      <c r="AK24" s="26">
        <f>现金流量表!AK55</f>
        <v>0</v>
      </c>
      <c r="AL24" s="26">
        <f>现金流量表!AL55</f>
        <v>0</v>
      </c>
      <c r="AM24" s="26">
        <f>现金流量表!AM55</f>
        <v>0</v>
      </c>
      <c r="AN24" s="26">
        <f>现金流量表!AN55</f>
        <v>0</v>
      </c>
      <c r="AO24" s="26">
        <f>现金流量表!AO55</f>
        <v>0</v>
      </c>
      <c r="AP24" s="26">
        <f>现金流量表!AP55</f>
        <v>11725.25</v>
      </c>
      <c r="AQ24" s="26">
        <f>现金流量表!AQ55</f>
        <v>0</v>
      </c>
      <c r="AR24" s="26">
        <f>现金流量表!AR55</f>
        <v>0</v>
      </c>
      <c r="AS24" s="26">
        <f>现金流量表!AS55</f>
        <v>0</v>
      </c>
      <c r="AT24" s="26">
        <f>现金流量表!AT55</f>
        <v>0</v>
      </c>
      <c r="AU24" s="26">
        <f>现金流量表!AU55</f>
        <v>0</v>
      </c>
      <c r="AV24" s="26">
        <f>现金流量表!AV55</f>
        <v>0</v>
      </c>
      <c r="AW24" s="26">
        <f>现金流量表!AW55</f>
        <v>0</v>
      </c>
      <c r="AX24" s="26">
        <f>现金流量表!AX55</f>
        <v>0</v>
      </c>
      <c r="AY24" s="26">
        <f>现金流量表!AY55</f>
        <v>0</v>
      </c>
      <c r="AZ24" s="26">
        <f>现金流量表!AZ55</f>
        <v>0</v>
      </c>
      <c r="BA24" s="26">
        <f>现金流量表!BA55</f>
        <v>0</v>
      </c>
      <c r="BB24" s="26">
        <f>现金流量表!BB55</f>
        <v>0</v>
      </c>
      <c r="BC24" s="26">
        <f>现金流量表!BC55</f>
        <v>0</v>
      </c>
      <c r="BD24" s="26">
        <f>现金流量表!BD55</f>
        <v>0</v>
      </c>
      <c r="BE24" s="26">
        <f>现金流量表!BE55</f>
        <v>0</v>
      </c>
      <c r="BF24" s="26">
        <f>现金流量表!BF55</f>
        <v>0</v>
      </c>
      <c r="BG24" s="26">
        <f>现金流量表!BG55</f>
        <v>0</v>
      </c>
      <c r="BH24" s="26">
        <f>现金流量表!BH55</f>
        <v>0</v>
      </c>
      <c r="BI24" s="26">
        <f>现金流量表!BI55</f>
        <v>0</v>
      </c>
      <c r="BJ24" s="26">
        <f>现金流量表!BJ55</f>
        <v>0</v>
      </c>
      <c r="BK24" s="26">
        <f>现金流量表!BK55</f>
        <v>0</v>
      </c>
      <c r="BL24" s="26">
        <f>现金流量表!BL55</f>
        <v>0</v>
      </c>
      <c r="BM24" s="26">
        <f>现金流量表!BM55</f>
        <v>0</v>
      </c>
      <c r="BN24" s="26">
        <f>现金流量表!BN55</f>
        <v>0</v>
      </c>
      <c r="BO24" s="26">
        <f>现金流量表!BO55</f>
        <v>0</v>
      </c>
      <c r="BP24" s="26">
        <f>现金流量表!BP55</f>
        <v>0</v>
      </c>
      <c r="BQ24" s="26">
        <f>现金流量表!BQ55</f>
        <v>0</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508</v>
      </c>
      <c r="E25" s="28">
        <f>SUM(E19:E24)</f>
        <v>824257008.22000003</v>
      </c>
      <c r="F25" s="28">
        <f t="shared" ref="F25:BQ25" si="12">SUM(F19:F24)</f>
        <v>0</v>
      </c>
      <c r="G25" s="28">
        <f t="shared" si="12"/>
        <v>432935193.07999998</v>
      </c>
      <c r="H25" s="28">
        <f t="shared" si="12"/>
        <v>0</v>
      </c>
      <c r="I25" s="28">
        <f t="shared" si="12"/>
        <v>558906291.92999995</v>
      </c>
      <c r="J25" s="28">
        <f t="shared" si="12"/>
        <v>0</v>
      </c>
      <c r="K25" s="28">
        <f t="shared" si="12"/>
        <v>266091261.56</v>
      </c>
      <c r="L25" s="28">
        <f t="shared" si="12"/>
        <v>0</v>
      </c>
      <c r="M25" s="28">
        <f t="shared" si="12"/>
        <v>492638052.48000008</v>
      </c>
      <c r="N25" s="28">
        <f t="shared" si="12"/>
        <v>0</v>
      </c>
      <c r="O25" s="28">
        <f t="shared" si="12"/>
        <v>237564697.15000001</v>
      </c>
      <c r="P25" s="28">
        <f t="shared" si="12"/>
        <v>0</v>
      </c>
      <c r="Q25" s="28">
        <f t="shared" si="12"/>
        <v>292751079.28000003</v>
      </c>
      <c r="R25" s="28">
        <f t="shared" si="12"/>
        <v>0</v>
      </c>
      <c r="S25" s="28">
        <f t="shared" si="12"/>
        <v>152367663.22999999</v>
      </c>
      <c r="T25" s="28">
        <f t="shared" si="12"/>
        <v>0</v>
      </c>
      <c r="U25" s="28">
        <f t="shared" si="12"/>
        <v>229601953.79000002</v>
      </c>
      <c r="V25" s="28">
        <f t="shared" si="12"/>
        <v>0</v>
      </c>
      <c r="W25" s="28">
        <f t="shared" si="12"/>
        <v>116501879.30999999</v>
      </c>
      <c r="X25" s="28">
        <f t="shared" si="12"/>
        <v>0</v>
      </c>
      <c r="Y25" s="28">
        <f t="shared" si="12"/>
        <v>111323319.70999999</v>
      </c>
      <c r="Z25" s="28">
        <f t="shared" si="12"/>
        <v>0</v>
      </c>
      <c r="AA25" s="28">
        <f t="shared" si="12"/>
        <v>82634192.200000003</v>
      </c>
      <c r="AB25" s="28">
        <f t="shared" si="12"/>
        <v>0</v>
      </c>
      <c r="AC25" s="28">
        <f t="shared" si="12"/>
        <v>62960782</v>
      </c>
      <c r="AD25" s="28">
        <f t="shared" si="12"/>
        <v>0</v>
      </c>
      <c r="AE25" s="28">
        <f t="shared" si="12"/>
        <v>43647059.280000001</v>
      </c>
      <c r="AF25" s="28">
        <f t="shared" si="12"/>
        <v>0</v>
      </c>
      <c r="AG25" s="28">
        <f t="shared" si="12"/>
        <v>69474370.839999989</v>
      </c>
      <c r="AH25" s="28">
        <f t="shared" si="12"/>
        <v>0</v>
      </c>
      <c r="AI25" s="28">
        <f t="shared" si="12"/>
        <v>26400325.129999999</v>
      </c>
      <c r="AJ25" s="28">
        <f t="shared" si="12"/>
        <v>0</v>
      </c>
      <c r="AK25" s="28">
        <f t="shared" si="12"/>
        <v>23590316.879999999</v>
      </c>
      <c r="AL25" s="28">
        <f t="shared" si="12"/>
        <v>0</v>
      </c>
      <c r="AM25" s="28">
        <f t="shared" si="12"/>
        <v>17946022.02</v>
      </c>
      <c r="AN25" s="28">
        <f t="shared" si="12"/>
        <v>0</v>
      </c>
      <c r="AO25" s="28">
        <f t="shared" si="12"/>
        <v>23034158.560000002</v>
      </c>
      <c r="AP25" s="28">
        <f t="shared" si="12"/>
        <v>24355244.030000005</v>
      </c>
      <c r="AQ25" s="28">
        <f t="shared" si="12"/>
        <v>0</v>
      </c>
      <c r="AR25" s="28">
        <f t="shared" si="12"/>
        <v>0</v>
      </c>
      <c r="AS25" s="28">
        <f t="shared" si="12"/>
        <v>0</v>
      </c>
      <c r="AT25" s="28">
        <f t="shared" si="12"/>
        <v>0</v>
      </c>
      <c r="AU25" s="28">
        <f t="shared" si="12"/>
        <v>0</v>
      </c>
      <c r="AV25" s="28">
        <f t="shared" si="12"/>
        <v>0</v>
      </c>
      <c r="AW25" s="28">
        <f t="shared" si="12"/>
        <v>0</v>
      </c>
      <c r="AX25" s="28">
        <f t="shared" si="12"/>
        <v>0</v>
      </c>
      <c r="AY25" s="28">
        <f t="shared" si="12"/>
        <v>0</v>
      </c>
      <c r="AZ25" s="28">
        <f t="shared" si="12"/>
        <v>0</v>
      </c>
      <c r="BA25" s="28">
        <f t="shared" si="12"/>
        <v>0</v>
      </c>
      <c r="BB25" s="28">
        <f t="shared" si="12"/>
        <v>0</v>
      </c>
      <c r="BC25" s="28">
        <f t="shared" si="12"/>
        <v>0</v>
      </c>
      <c r="BD25" s="28">
        <f t="shared" si="12"/>
        <v>0</v>
      </c>
      <c r="BE25" s="28">
        <f t="shared" si="12"/>
        <v>0</v>
      </c>
      <c r="BF25" s="28">
        <f t="shared" si="12"/>
        <v>0</v>
      </c>
      <c r="BG25" s="28">
        <f t="shared" si="12"/>
        <v>0</v>
      </c>
      <c r="BH25" s="28">
        <f t="shared" si="12"/>
        <v>0</v>
      </c>
      <c r="BI25" s="28">
        <f t="shared" si="12"/>
        <v>0</v>
      </c>
      <c r="BJ25" s="28">
        <f t="shared" si="12"/>
        <v>0</v>
      </c>
      <c r="BK25" s="28">
        <f t="shared" si="12"/>
        <v>0</v>
      </c>
      <c r="BL25" s="28">
        <f t="shared" si="12"/>
        <v>0</v>
      </c>
      <c r="BM25" s="28">
        <f t="shared" si="12"/>
        <v>0</v>
      </c>
      <c r="BN25" s="28">
        <f t="shared" si="12"/>
        <v>0</v>
      </c>
      <c r="BO25" s="28">
        <f t="shared" si="12"/>
        <v>0</v>
      </c>
      <c r="BP25" s="28">
        <f t="shared" si="12"/>
        <v>0</v>
      </c>
      <c r="BQ25" s="28">
        <f t="shared" si="12"/>
        <v>0</v>
      </c>
      <c r="BR25" s="28">
        <f t="shared" ref="BR25:CK25" si="13">SUM(BR19:BR24)</f>
        <v>0</v>
      </c>
      <c r="BS25" s="28">
        <f t="shared" si="13"/>
        <v>0</v>
      </c>
      <c r="BT25" s="28">
        <f t="shared" si="13"/>
        <v>0</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509</v>
      </c>
      <c r="E26" s="28">
        <f>E14-E25</f>
        <v>6548903242.46</v>
      </c>
      <c r="F26" s="28">
        <f t="shared" ref="F26:BQ26" si="14">F14-F25</f>
        <v>95849570.760000005</v>
      </c>
      <c r="G26" s="28">
        <f t="shared" si="14"/>
        <v>-2375735995.5</v>
      </c>
      <c r="H26" s="28">
        <f t="shared" si="14"/>
        <v>-3034652490.3600001</v>
      </c>
      <c r="I26" s="28">
        <f t="shared" si="14"/>
        <v>5654785868.6300001</v>
      </c>
      <c r="J26" s="28">
        <f t="shared" si="14"/>
        <v>1954013323.9100001</v>
      </c>
      <c r="K26" s="28">
        <f t="shared" si="14"/>
        <v>131715994.92000002</v>
      </c>
      <c r="L26" s="28">
        <f t="shared" si="14"/>
        <v>-1432111768.75</v>
      </c>
      <c r="M26" s="28">
        <f t="shared" si="14"/>
        <v>2724084116.6900001</v>
      </c>
      <c r="N26" s="28">
        <f t="shared" si="14"/>
        <v>-685185464.41999996</v>
      </c>
      <c r="O26" s="28">
        <f t="shared" si="14"/>
        <v>-2156723823.3499999</v>
      </c>
      <c r="P26" s="28">
        <f t="shared" si="14"/>
        <v>-2610480167.9499998</v>
      </c>
      <c r="Q26" s="28">
        <f t="shared" si="14"/>
        <v>3413669702.7599998</v>
      </c>
      <c r="R26" s="28">
        <f t="shared" si="14"/>
        <v>332060450.81999999</v>
      </c>
      <c r="S26" s="28">
        <f t="shared" si="14"/>
        <v>-394889411.38999999</v>
      </c>
      <c r="T26" s="28">
        <f t="shared" si="14"/>
        <v>-971831568.29999995</v>
      </c>
      <c r="U26" s="28">
        <f t="shared" si="14"/>
        <v>1633763857.8400002</v>
      </c>
      <c r="V26" s="28">
        <f t="shared" si="14"/>
        <v>100634494.68000001</v>
      </c>
      <c r="W26" s="28">
        <f t="shared" si="14"/>
        <v>-318771083.46999997</v>
      </c>
      <c r="X26" s="28">
        <f t="shared" si="14"/>
        <v>-668663665.37</v>
      </c>
      <c r="Y26" s="28">
        <f t="shared" si="14"/>
        <v>1325466541.71</v>
      </c>
      <c r="Z26" s="28">
        <f t="shared" si="14"/>
        <v>116950668.23</v>
      </c>
      <c r="AA26" s="28">
        <f t="shared" si="14"/>
        <v>-248852776.31999999</v>
      </c>
      <c r="AB26" s="28">
        <f t="shared" si="14"/>
        <v>-520821438.00999999</v>
      </c>
      <c r="AC26" s="28">
        <f t="shared" si="14"/>
        <v>1107500651.24</v>
      </c>
      <c r="AD26" s="28">
        <f t="shared" si="14"/>
        <v>-25313659.199999999</v>
      </c>
      <c r="AE26" s="28">
        <f t="shared" si="14"/>
        <v>-66987314.850000001</v>
      </c>
      <c r="AF26" s="28">
        <f t="shared" si="14"/>
        <v>-189966007.61000001</v>
      </c>
      <c r="AG26" s="28">
        <f t="shared" si="14"/>
        <v>594451661.89999998</v>
      </c>
      <c r="AH26" s="28">
        <f t="shared" si="14"/>
        <v>-219647789.25999999</v>
      </c>
      <c r="AI26" s="28">
        <f t="shared" si="14"/>
        <v>-231573333.06</v>
      </c>
      <c r="AJ26" s="28">
        <f t="shared" si="14"/>
        <v>-319923618.54000002</v>
      </c>
      <c r="AK26" s="28">
        <f t="shared" si="14"/>
        <v>630410078.38999999</v>
      </c>
      <c r="AL26" s="28">
        <f t="shared" si="14"/>
        <v>242866241.19999999</v>
      </c>
      <c r="AM26" s="28">
        <f t="shared" si="14"/>
        <v>150279587.63</v>
      </c>
      <c r="AN26" s="28">
        <f t="shared" si="14"/>
        <v>-136892888.84</v>
      </c>
      <c r="AO26" s="28">
        <f t="shared" si="14"/>
        <v>624007908.05999994</v>
      </c>
      <c r="AP26" s="28">
        <f t="shared" si="14"/>
        <v>332295743.45999998</v>
      </c>
      <c r="AQ26" s="28">
        <f t="shared" si="14"/>
        <v>0</v>
      </c>
      <c r="AR26" s="28">
        <f t="shared" si="14"/>
        <v>0</v>
      </c>
      <c r="AS26" s="28">
        <f t="shared" si="14"/>
        <v>0</v>
      </c>
      <c r="AT26" s="28">
        <f t="shared" si="14"/>
        <v>0</v>
      </c>
      <c r="AU26" s="28">
        <f t="shared" si="14"/>
        <v>0</v>
      </c>
      <c r="AV26" s="28">
        <f t="shared" si="14"/>
        <v>0</v>
      </c>
      <c r="AW26" s="28">
        <f t="shared" si="14"/>
        <v>0</v>
      </c>
      <c r="AX26" s="28">
        <f t="shared" si="14"/>
        <v>0</v>
      </c>
      <c r="AY26" s="28">
        <f t="shared" si="14"/>
        <v>0</v>
      </c>
      <c r="AZ26" s="28">
        <f t="shared" si="14"/>
        <v>0</v>
      </c>
      <c r="BA26" s="28">
        <f t="shared" si="14"/>
        <v>0</v>
      </c>
      <c r="BB26" s="28">
        <f t="shared" si="14"/>
        <v>0</v>
      </c>
      <c r="BC26" s="28">
        <f t="shared" si="14"/>
        <v>0</v>
      </c>
      <c r="BD26" s="28">
        <f t="shared" si="14"/>
        <v>0</v>
      </c>
      <c r="BE26" s="28">
        <f t="shared" si="14"/>
        <v>0</v>
      </c>
      <c r="BF26" s="28">
        <f t="shared" si="14"/>
        <v>0</v>
      </c>
      <c r="BG26" s="28">
        <f t="shared" si="14"/>
        <v>0</v>
      </c>
      <c r="BH26" s="28">
        <f t="shared" si="14"/>
        <v>0</v>
      </c>
      <c r="BI26" s="28">
        <f t="shared" si="14"/>
        <v>0</v>
      </c>
      <c r="BJ26" s="28">
        <f t="shared" si="14"/>
        <v>0</v>
      </c>
      <c r="BK26" s="28">
        <f t="shared" si="14"/>
        <v>0</v>
      </c>
      <c r="BL26" s="28">
        <f t="shared" si="14"/>
        <v>0</v>
      </c>
      <c r="BM26" s="28">
        <f t="shared" si="14"/>
        <v>0</v>
      </c>
      <c r="BN26" s="28">
        <f t="shared" si="14"/>
        <v>0</v>
      </c>
      <c r="BO26" s="28">
        <f t="shared" si="14"/>
        <v>0</v>
      </c>
      <c r="BP26" s="28">
        <f t="shared" si="14"/>
        <v>0</v>
      </c>
      <c r="BQ26" s="28">
        <f t="shared" si="14"/>
        <v>0</v>
      </c>
      <c r="BR26" s="28">
        <f t="shared" ref="BR26:CK26" si="15">BR14-BR25</f>
        <v>0</v>
      </c>
      <c r="BS26" s="28">
        <f t="shared" si="15"/>
        <v>0</v>
      </c>
      <c r="BT26" s="28">
        <f t="shared" si="15"/>
        <v>0</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x14ac:dyDescent="0.25">
      <c r="A27" s="17" t="s">
        <v>510</v>
      </c>
      <c r="E27" s="26">
        <f>E26-E24</f>
        <v>6548903242.46</v>
      </c>
      <c r="F27" s="26">
        <f t="shared" ref="F27:BQ27" si="16">F26-F24</f>
        <v>95849570.760000005</v>
      </c>
      <c r="G27" s="26">
        <f t="shared" si="16"/>
        <v>-2375735995.5</v>
      </c>
      <c r="H27" s="26">
        <f t="shared" si="16"/>
        <v>-3034652490.3600001</v>
      </c>
      <c r="I27" s="26">
        <f t="shared" si="16"/>
        <v>5654785868.6300001</v>
      </c>
      <c r="J27" s="26">
        <f t="shared" si="16"/>
        <v>1954013323.9100001</v>
      </c>
      <c r="K27" s="26">
        <f t="shared" si="16"/>
        <v>131715994.92000002</v>
      </c>
      <c r="L27" s="26">
        <f t="shared" si="16"/>
        <v>-1432111768.75</v>
      </c>
      <c r="M27" s="26">
        <f t="shared" si="16"/>
        <v>2724119671.1500001</v>
      </c>
      <c r="N27" s="26">
        <f t="shared" si="16"/>
        <v>-685185464.41999996</v>
      </c>
      <c r="O27" s="26">
        <f t="shared" si="16"/>
        <v>-2156723823.3499999</v>
      </c>
      <c r="P27" s="26">
        <f t="shared" si="16"/>
        <v>-2610480167.9499998</v>
      </c>
      <c r="Q27" s="26">
        <f t="shared" si="16"/>
        <v>3413669702.7599998</v>
      </c>
      <c r="R27" s="26">
        <f t="shared" si="16"/>
        <v>332060450.81999999</v>
      </c>
      <c r="S27" s="26">
        <f t="shared" si="16"/>
        <v>-394889411.38999999</v>
      </c>
      <c r="T27" s="26">
        <f t="shared" si="16"/>
        <v>-971831568.29999995</v>
      </c>
      <c r="U27" s="26">
        <f t="shared" si="16"/>
        <v>1633763857.8400002</v>
      </c>
      <c r="V27" s="26">
        <f t="shared" si="16"/>
        <v>100634494.68000001</v>
      </c>
      <c r="W27" s="26">
        <f t="shared" si="16"/>
        <v>-318771083.46999997</v>
      </c>
      <c r="X27" s="26">
        <f t="shared" si="16"/>
        <v>-668663665.37</v>
      </c>
      <c r="Y27" s="26">
        <f t="shared" si="16"/>
        <v>1325466541.71</v>
      </c>
      <c r="Z27" s="26">
        <f t="shared" si="16"/>
        <v>116950668.23</v>
      </c>
      <c r="AA27" s="26">
        <f t="shared" si="16"/>
        <v>-248852776.31999999</v>
      </c>
      <c r="AB27" s="26">
        <f t="shared" si="16"/>
        <v>-520821438.00999999</v>
      </c>
      <c r="AC27" s="26">
        <f t="shared" si="16"/>
        <v>1107500651.24</v>
      </c>
      <c r="AD27" s="26">
        <f t="shared" si="16"/>
        <v>-25313659.199999999</v>
      </c>
      <c r="AE27" s="26">
        <f t="shared" si="16"/>
        <v>-66987314.850000001</v>
      </c>
      <c r="AF27" s="26">
        <f t="shared" si="16"/>
        <v>-189966007.61000001</v>
      </c>
      <c r="AG27" s="26">
        <f t="shared" si="16"/>
        <v>594451661.89999998</v>
      </c>
      <c r="AH27" s="26">
        <f t="shared" si="16"/>
        <v>-219647789.25999999</v>
      </c>
      <c r="AI27" s="26">
        <f t="shared" si="16"/>
        <v>-231573333.06</v>
      </c>
      <c r="AJ27" s="26">
        <f t="shared" si="16"/>
        <v>-319923618.54000002</v>
      </c>
      <c r="AK27" s="26">
        <f t="shared" si="16"/>
        <v>630410078.38999999</v>
      </c>
      <c r="AL27" s="26">
        <f t="shared" si="16"/>
        <v>242866241.19999999</v>
      </c>
      <c r="AM27" s="26">
        <f t="shared" si="16"/>
        <v>150279587.63</v>
      </c>
      <c r="AN27" s="26">
        <f t="shared" si="16"/>
        <v>-136892888.84</v>
      </c>
      <c r="AO27" s="26">
        <f t="shared" si="16"/>
        <v>624007908.05999994</v>
      </c>
      <c r="AP27" s="26">
        <f t="shared" si="16"/>
        <v>332284018.20999998</v>
      </c>
      <c r="AQ27" s="26">
        <f t="shared" si="16"/>
        <v>0</v>
      </c>
      <c r="AR27" s="26">
        <f t="shared" si="16"/>
        <v>0</v>
      </c>
      <c r="AS27" s="26">
        <f t="shared" si="16"/>
        <v>0</v>
      </c>
      <c r="AT27" s="26">
        <f t="shared" si="16"/>
        <v>0</v>
      </c>
      <c r="AU27" s="26">
        <f t="shared" si="16"/>
        <v>0</v>
      </c>
      <c r="AV27" s="26">
        <f t="shared" si="16"/>
        <v>0</v>
      </c>
      <c r="AW27" s="26">
        <f t="shared" si="16"/>
        <v>0</v>
      </c>
      <c r="AX27" s="26">
        <f t="shared" si="16"/>
        <v>0</v>
      </c>
      <c r="AY27" s="26">
        <f t="shared" si="16"/>
        <v>0</v>
      </c>
      <c r="AZ27" s="26">
        <f t="shared" si="16"/>
        <v>0</v>
      </c>
      <c r="BA27" s="26">
        <f t="shared" si="16"/>
        <v>0</v>
      </c>
      <c r="BB27" s="26">
        <f t="shared" si="16"/>
        <v>0</v>
      </c>
      <c r="BC27" s="26">
        <f t="shared" si="16"/>
        <v>0</v>
      </c>
      <c r="BD27" s="26">
        <f t="shared" si="16"/>
        <v>0</v>
      </c>
      <c r="BE27" s="26">
        <f t="shared" si="16"/>
        <v>0</v>
      </c>
      <c r="BF27" s="26">
        <f t="shared" si="16"/>
        <v>0</v>
      </c>
      <c r="BG27" s="26">
        <f t="shared" si="16"/>
        <v>0</v>
      </c>
      <c r="BH27" s="26">
        <f t="shared" si="16"/>
        <v>0</v>
      </c>
      <c r="BI27" s="26">
        <f t="shared" si="16"/>
        <v>0</v>
      </c>
      <c r="BJ27" s="26">
        <f t="shared" si="16"/>
        <v>0</v>
      </c>
      <c r="BK27" s="26">
        <f t="shared" si="16"/>
        <v>0</v>
      </c>
      <c r="BL27" s="26">
        <f t="shared" si="16"/>
        <v>0</v>
      </c>
      <c r="BM27" s="26">
        <f t="shared" si="16"/>
        <v>0</v>
      </c>
      <c r="BN27" s="26">
        <f t="shared" si="16"/>
        <v>0</v>
      </c>
      <c r="BO27" s="26">
        <f t="shared" si="16"/>
        <v>0</v>
      </c>
      <c r="BP27" s="26">
        <f t="shared" si="16"/>
        <v>0</v>
      </c>
      <c r="BQ27" s="26">
        <f t="shared" si="16"/>
        <v>0</v>
      </c>
      <c r="BR27" s="26">
        <f t="shared" ref="BR27:CL27" si="17">BR26-BR24</f>
        <v>0</v>
      </c>
      <c r="BS27" s="26">
        <f t="shared" si="17"/>
        <v>0</v>
      </c>
      <c r="BT27" s="26">
        <f t="shared" si="17"/>
        <v>0</v>
      </c>
      <c r="BU27" s="26">
        <f t="shared" si="17"/>
        <v>0</v>
      </c>
      <c r="BV27" s="26">
        <f t="shared" si="17"/>
        <v>0</v>
      </c>
      <c r="BW27" s="26">
        <f t="shared" si="17"/>
        <v>0</v>
      </c>
      <c r="BX27" s="26">
        <f t="shared" si="17"/>
        <v>0</v>
      </c>
      <c r="BY27" s="26">
        <f t="shared" si="17"/>
        <v>0</v>
      </c>
      <c r="BZ27" s="26">
        <f t="shared" si="17"/>
        <v>0</v>
      </c>
      <c r="CA27" s="26">
        <f t="shared" si="17"/>
        <v>0</v>
      </c>
      <c r="CB27" s="26">
        <f t="shared" si="17"/>
        <v>0</v>
      </c>
      <c r="CC27" s="26">
        <f t="shared" si="17"/>
        <v>0</v>
      </c>
      <c r="CD27" s="26">
        <f t="shared" si="17"/>
        <v>0</v>
      </c>
      <c r="CE27" s="26">
        <f t="shared" si="17"/>
        <v>0</v>
      </c>
      <c r="CF27" s="26">
        <f t="shared" si="17"/>
        <v>0</v>
      </c>
      <c r="CG27" s="26">
        <f t="shared" si="17"/>
        <v>0</v>
      </c>
      <c r="CH27" s="26">
        <f t="shared" si="17"/>
        <v>0</v>
      </c>
      <c r="CI27" s="26">
        <f t="shared" si="17"/>
        <v>0</v>
      </c>
      <c r="CJ27" s="26">
        <f t="shared" si="17"/>
        <v>0</v>
      </c>
      <c r="CK27" s="26">
        <f t="shared" si="17"/>
        <v>0</v>
      </c>
      <c r="CL27" s="26">
        <f t="shared" si="17"/>
        <v>0</v>
      </c>
    </row>
    <row r="28" spans="1:90" s="63" customFormat="1" x14ac:dyDescent="0.25">
      <c r="A28" s="17" t="s">
        <v>511</v>
      </c>
      <c r="E28" s="63">
        <f>(E27-I27)/I27</f>
        <v>0.15811692866924068</v>
      </c>
      <c r="F28" s="63">
        <f t="shared" ref="F28:BQ28" si="18">(F27-J27)/J27</f>
        <v>-0.95094732999660203</v>
      </c>
      <c r="G28" s="63">
        <f t="shared" si="18"/>
        <v>-19.036807123864829</v>
      </c>
      <c r="H28" s="63">
        <f t="shared" si="18"/>
        <v>1.1190053434228509</v>
      </c>
      <c r="I28" s="63">
        <f t="shared" si="18"/>
        <v>1.0758213849844582</v>
      </c>
      <c r="J28" s="63">
        <f t="shared" si="18"/>
        <v>-3.8518020672899786</v>
      </c>
      <c r="K28" s="63">
        <f t="shared" si="18"/>
        <v>-1.0610722585311865</v>
      </c>
      <c r="L28" s="63">
        <f t="shared" si="18"/>
        <v>-0.45139910031393499</v>
      </c>
      <c r="M28" s="63">
        <f t="shared" si="18"/>
        <v>-0.20199670491040442</v>
      </c>
      <c r="N28" s="63">
        <f t="shared" si="18"/>
        <v>-3.0634359277896013</v>
      </c>
      <c r="O28" s="63">
        <f t="shared" si="18"/>
        <v>4.4615893998230813</v>
      </c>
      <c r="P28" s="63">
        <f t="shared" si="18"/>
        <v>1.68614465006158</v>
      </c>
      <c r="Q28" s="63">
        <f t="shared" si="18"/>
        <v>1.0894511078689266</v>
      </c>
      <c r="R28" s="63">
        <f t="shared" si="18"/>
        <v>2.299668288452124</v>
      </c>
      <c r="S28" s="63">
        <f t="shared" si="18"/>
        <v>0.23878680302933947</v>
      </c>
      <c r="T28" s="63">
        <f t="shared" si="18"/>
        <v>0.45339371440534948</v>
      </c>
      <c r="U28" s="63">
        <f t="shared" si="18"/>
        <v>0.2325953212913712</v>
      </c>
      <c r="V28" s="63">
        <f t="shared" si="18"/>
        <v>-0.13951329904256671</v>
      </c>
      <c r="W28" s="63">
        <f t="shared" si="18"/>
        <v>0.28096253609841976</v>
      </c>
      <c r="X28" s="63">
        <f t="shared" si="18"/>
        <v>0.28386355969694432</v>
      </c>
      <c r="Y28" s="63">
        <f t="shared" si="18"/>
        <v>0.19680881471803841</v>
      </c>
      <c r="Z28" s="63">
        <f t="shared" si="18"/>
        <v>-5.620061734496292</v>
      </c>
      <c r="AA28" s="63">
        <f t="shared" si="18"/>
        <v>2.7149238908476714</v>
      </c>
      <c r="AB28" s="63">
        <f t="shared" si="18"/>
        <v>1.7416559655201356</v>
      </c>
      <c r="AC28" s="63">
        <f t="shared" si="18"/>
        <v>0.86306258729293672</v>
      </c>
      <c r="AD28" s="63">
        <f t="shared" si="18"/>
        <v>-0.88475340778396871</v>
      </c>
      <c r="AE28" s="63">
        <f t="shared" si="18"/>
        <v>-0.71072958200828862</v>
      </c>
      <c r="AF28" s="63">
        <f t="shared" si="18"/>
        <v>-0.40621449433171941</v>
      </c>
      <c r="AG28" s="63">
        <f t="shared" si="18"/>
        <v>-5.7039723384235803E-2</v>
      </c>
      <c r="AH28" s="63">
        <f t="shared" si="18"/>
        <v>-1.9043981912624914</v>
      </c>
      <c r="AI28" s="63">
        <f t="shared" si="18"/>
        <v>-2.5409500166459833</v>
      </c>
      <c r="AJ28" s="63">
        <f t="shared" si="18"/>
        <v>1.3370360670372423</v>
      </c>
      <c r="AK28" s="63">
        <f t="shared" si="18"/>
        <v>1.0259758325666056E-2</v>
      </c>
      <c r="AL28" s="63">
        <f t="shared" si="18"/>
        <v>-0.26910044452841814</v>
      </c>
      <c r="AM28" s="63" t="e">
        <f t="shared" si="18"/>
        <v>#DIV/0!</v>
      </c>
      <c r="AN28" s="63" t="e">
        <f t="shared" si="18"/>
        <v>#DIV/0!</v>
      </c>
      <c r="AO28" s="63" t="e">
        <f t="shared" si="18"/>
        <v>#DIV/0!</v>
      </c>
      <c r="AP28" s="63" t="e">
        <f t="shared" si="18"/>
        <v>#DIV/0!</v>
      </c>
      <c r="AQ28" s="63" t="e">
        <f t="shared" si="18"/>
        <v>#DIV/0!</v>
      </c>
      <c r="AR28" s="63" t="e">
        <f t="shared" si="18"/>
        <v>#DIV/0!</v>
      </c>
      <c r="AS28" s="63" t="e">
        <f t="shared" si="18"/>
        <v>#DIV/0!</v>
      </c>
      <c r="AT28" s="63" t="e">
        <f t="shared" si="18"/>
        <v>#DIV/0!</v>
      </c>
      <c r="AU28" s="63" t="e">
        <f t="shared" si="18"/>
        <v>#DIV/0!</v>
      </c>
      <c r="AV28" s="63" t="e">
        <f t="shared" si="18"/>
        <v>#DIV/0!</v>
      </c>
      <c r="AW28" s="63" t="e">
        <f t="shared" si="18"/>
        <v>#DIV/0!</v>
      </c>
      <c r="AX28" s="63" t="e">
        <f t="shared" si="18"/>
        <v>#DIV/0!</v>
      </c>
      <c r="AY28" s="63" t="e">
        <f t="shared" si="18"/>
        <v>#DIV/0!</v>
      </c>
      <c r="AZ28" s="63" t="e">
        <f t="shared" si="18"/>
        <v>#DIV/0!</v>
      </c>
      <c r="BA28" s="63" t="e">
        <f t="shared" si="18"/>
        <v>#DIV/0!</v>
      </c>
      <c r="BB28" s="63" t="e">
        <f t="shared" si="18"/>
        <v>#DIV/0!</v>
      </c>
      <c r="BC28" s="63" t="e">
        <f t="shared" si="18"/>
        <v>#DIV/0!</v>
      </c>
      <c r="BD28" s="63" t="e">
        <f t="shared" si="18"/>
        <v>#DIV/0!</v>
      </c>
      <c r="BE28" s="63" t="e">
        <f t="shared" si="18"/>
        <v>#DIV/0!</v>
      </c>
      <c r="BF28" s="63" t="e">
        <f t="shared" si="18"/>
        <v>#DIV/0!</v>
      </c>
      <c r="BG28" s="63" t="e">
        <f t="shared" si="18"/>
        <v>#DIV/0!</v>
      </c>
      <c r="BH28" s="63" t="e">
        <f t="shared" si="18"/>
        <v>#DIV/0!</v>
      </c>
      <c r="BI28" s="63" t="e">
        <f t="shared" si="18"/>
        <v>#DIV/0!</v>
      </c>
      <c r="BJ28" s="63" t="e">
        <f t="shared" si="18"/>
        <v>#DIV/0!</v>
      </c>
      <c r="BK28" s="63" t="e">
        <f t="shared" si="18"/>
        <v>#DIV/0!</v>
      </c>
      <c r="BL28" s="63" t="e">
        <f t="shared" si="18"/>
        <v>#DIV/0!</v>
      </c>
      <c r="BM28" s="63" t="e">
        <f t="shared" si="18"/>
        <v>#DIV/0!</v>
      </c>
      <c r="BN28" s="63" t="e">
        <f t="shared" si="18"/>
        <v>#DIV/0!</v>
      </c>
      <c r="BO28" s="63" t="e">
        <f t="shared" si="18"/>
        <v>#DIV/0!</v>
      </c>
      <c r="BP28" s="63" t="e">
        <f t="shared" si="18"/>
        <v>#DIV/0!</v>
      </c>
      <c r="BQ28" s="63" t="e">
        <f t="shared" si="18"/>
        <v>#DIV/0!</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2" customHeight="1" x14ac:dyDescent="0.25">
      <c r="A29" s="279" t="s">
        <v>738</v>
      </c>
      <c r="B29" s="278"/>
      <c r="C29" s="278"/>
      <c r="D29" s="278"/>
      <c r="E29" s="278"/>
      <c r="F29" s="278"/>
      <c r="G29" s="278"/>
      <c r="H29" s="278"/>
      <c r="I29" s="278"/>
      <c r="J29" s="278"/>
      <c r="K29" s="278"/>
      <c r="L29" s="278"/>
      <c r="M29" s="278"/>
      <c r="N29" s="278"/>
      <c r="O29" s="278"/>
      <c r="P29" s="278"/>
      <c r="Q29" s="278"/>
      <c r="R29" s="278"/>
      <c r="S29" s="278"/>
      <c r="T29" s="278"/>
      <c r="U29" s="278"/>
      <c r="V29" s="278"/>
      <c r="W29" s="278"/>
      <c r="X29" s="278"/>
      <c r="Y29" s="278"/>
      <c r="Z29" s="278"/>
      <c r="AA29" s="278"/>
      <c r="AB29" s="278"/>
      <c r="AC29" s="278"/>
    </row>
    <row r="30" spans="1:90" x14ac:dyDescent="0.25">
      <c r="A30" s="111" t="s">
        <v>569</v>
      </c>
      <c r="B30" s="96"/>
      <c r="C30" s="96"/>
      <c r="D30" s="96"/>
      <c r="E30" s="96" t="s">
        <v>568</v>
      </c>
      <c r="F30" s="96"/>
      <c r="G30" s="96"/>
      <c r="H30" s="96"/>
      <c r="I30" s="96" t="s">
        <v>602</v>
      </c>
      <c r="M30" s="96" t="s">
        <v>570</v>
      </c>
      <c r="Q30" s="114" t="s">
        <v>608</v>
      </c>
      <c r="R30" s="114"/>
      <c r="S30" s="114"/>
      <c r="T30" s="114"/>
      <c r="U30" s="114" t="s">
        <v>605</v>
      </c>
      <c r="V30" s="114"/>
      <c r="W30" s="114"/>
      <c r="X30" s="114"/>
      <c r="Y30" s="114" t="s">
        <v>606</v>
      </c>
      <c r="Z30" s="114"/>
      <c r="AA30" s="114"/>
      <c r="AB30" s="114"/>
      <c r="AC30" s="114" t="s">
        <v>607</v>
      </c>
    </row>
    <row r="31" spans="1:90" s="63" customFormat="1" x14ac:dyDescent="0.25">
      <c r="A31" s="111" t="s">
        <v>571</v>
      </c>
      <c r="B31" s="112"/>
      <c r="C31" s="112"/>
      <c r="D31" s="112"/>
      <c r="E31" s="112">
        <f>POWER(E27/U27,1/5)-1</f>
        <v>0.32006664599760892</v>
      </c>
      <c r="F31" s="112"/>
      <c r="G31" s="112"/>
      <c r="H31" s="112"/>
      <c r="I31" s="112">
        <f>POWER(E27/Y27,1/6)-1</f>
        <v>0.30506848007647047</v>
      </c>
      <c r="M31" s="112">
        <f>POWER(E27/AC27,1/7)-1</f>
        <v>0.28902296522454152</v>
      </c>
      <c r="Q31" s="115" t="s">
        <v>604</v>
      </c>
      <c r="R31" s="115"/>
      <c r="S31" s="115"/>
      <c r="T31" s="115"/>
      <c r="U31" s="115">
        <f>POWER(E14/U14,1/5)-1</f>
        <v>0.31665232397530585</v>
      </c>
      <c r="V31" s="115"/>
      <c r="W31" s="115"/>
      <c r="X31" s="115"/>
      <c r="Y31" s="115">
        <f>POWER(E14/Y14,1/6)-1</f>
        <v>0.31333868376383234</v>
      </c>
      <c r="Z31" s="115"/>
      <c r="AA31" s="115"/>
      <c r="AB31" s="115"/>
      <c r="AC31" s="115">
        <f>POWER(E14/AC14,1/7)-1</f>
        <v>0.3007242095067133</v>
      </c>
    </row>
    <row r="32" spans="1:90" s="66" customFormat="1" x14ac:dyDescent="0.25">
      <c r="A32" s="46" t="s">
        <v>513</v>
      </c>
      <c r="E32" s="66">
        <v>0.17</v>
      </c>
    </row>
    <row r="39" spans="1:13" ht="43.2" x14ac:dyDescent="0.25">
      <c r="A39" s="67" t="s">
        <v>514</v>
      </c>
    </row>
    <row r="41" spans="1:13" ht="111" customHeight="1" x14ac:dyDescent="0.25">
      <c r="A41" s="279" t="s">
        <v>737</v>
      </c>
      <c r="B41" s="278"/>
      <c r="C41" s="278"/>
      <c r="D41" s="278"/>
      <c r="E41" s="278"/>
      <c r="F41" s="278"/>
      <c r="G41" s="278"/>
      <c r="H41" s="278"/>
      <c r="I41" s="278"/>
      <c r="J41" s="278"/>
      <c r="K41" s="278"/>
      <c r="L41" s="278"/>
      <c r="M41" s="278"/>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tabSelected="1" topLeftCell="A11" workbookViewId="0">
      <selection activeCell="I18" sqref="I18"/>
    </sheetView>
  </sheetViews>
  <sheetFormatPr defaultRowHeight="14.4" x14ac:dyDescent="0.25"/>
  <cols>
    <col min="1" max="1" width="43.5546875" style="17" bestFit="1" customWidth="1"/>
    <col min="2" max="2" width="23.88671875" style="26" bestFit="1" customWidth="1"/>
    <col min="3" max="3" width="38" bestFit="1" customWidth="1"/>
    <col min="4" max="4" width="22.6640625" bestFit="1" customWidth="1"/>
    <col min="5" max="7" width="19.33203125" bestFit="1" customWidth="1"/>
    <col min="8" max="8" width="20.44140625" bestFit="1" customWidth="1"/>
    <col min="9" max="9" width="21.5546875" bestFit="1" customWidth="1"/>
    <col min="10" max="11" width="20.44140625" bestFit="1" customWidth="1"/>
    <col min="12" max="12" width="40.21875" bestFit="1" customWidth="1"/>
    <col min="13" max="18" width="20.44140625" bestFit="1" customWidth="1"/>
    <col min="19" max="19" width="21.5546875" bestFit="1" customWidth="1"/>
    <col min="20" max="74" width="9.44140625" bestFit="1" customWidth="1"/>
  </cols>
  <sheetData>
    <row r="1" spans="1:10" ht="16.2" customHeight="1" x14ac:dyDescent="0.25">
      <c r="A1" s="68" t="s">
        <v>515</v>
      </c>
      <c r="B1" s="69">
        <f>自由现金流分析表!E1</f>
        <v>43100</v>
      </c>
      <c r="C1" s="191" t="s">
        <v>751</v>
      </c>
      <c r="D1" s="274">
        <v>0.08</v>
      </c>
      <c r="E1" s="262" t="s">
        <v>752</v>
      </c>
      <c r="F1" s="63">
        <f>平均资本成本表!E13</f>
        <v>0.19826251262916306</v>
      </c>
    </row>
    <row r="2" spans="1:10" x14ac:dyDescent="0.25">
      <c r="A2" s="70" t="s">
        <v>516</v>
      </c>
      <c r="B2" s="71">
        <f>(自由现金流分析表!E27+自由现金流分析表!I27+自由现金流分析表!M27)/3</f>
        <v>4975936260.7466669</v>
      </c>
      <c r="C2" t="s">
        <v>549</v>
      </c>
      <c r="D2" s="63"/>
      <c r="E2" s="63"/>
      <c r="F2" s="56"/>
    </row>
    <row r="3" spans="1:10" s="63" customFormat="1" x14ac:dyDescent="0.25">
      <c r="A3" s="72" t="s">
        <v>517</v>
      </c>
      <c r="B3" s="98">
        <v>0.05</v>
      </c>
      <c r="D3" s="190"/>
      <c r="E3" s="190"/>
      <c r="F3" s="260"/>
    </row>
    <row r="4" spans="1:10" s="63" customFormat="1" x14ac:dyDescent="0.25">
      <c r="A4" s="72" t="s">
        <v>518</v>
      </c>
      <c r="B4" s="98">
        <f>MIN(平均资本成本表!E13,D1)</f>
        <v>0.08</v>
      </c>
      <c r="D4" s="190"/>
      <c r="E4" s="190"/>
      <c r="F4" s="261"/>
    </row>
    <row r="5" spans="1:10" x14ac:dyDescent="0.25">
      <c r="A5" s="70" t="s">
        <v>519</v>
      </c>
      <c r="B5" s="71">
        <f>B2*(1+B3)/(B4-B3)</f>
        <v>174157769126.13336</v>
      </c>
      <c r="D5" s="63"/>
      <c r="E5" s="63"/>
    </row>
    <row r="6" spans="1:10" x14ac:dyDescent="0.25">
      <c r="A6" s="70" t="s">
        <v>520</v>
      </c>
      <c r="B6" s="71">
        <f>资产资本表!E17</f>
        <v>16759998173.18</v>
      </c>
      <c r="D6" s="190"/>
      <c r="E6" s="190"/>
      <c r="F6" s="190"/>
      <c r="G6" s="190"/>
    </row>
    <row r="7" spans="1:10" x14ac:dyDescent="0.25">
      <c r="A7" s="70" t="s">
        <v>521</v>
      </c>
      <c r="B7" s="71">
        <f>资产资本表!E19</f>
        <v>130474733.58</v>
      </c>
      <c r="D7" s="190"/>
      <c r="E7" s="190"/>
      <c r="F7" s="190"/>
      <c r="G7" s="190"/>
    </row>
    <row r="8" spans="1:10" x14ac:dyDescent="0.25">
      <c r="A8" s="70" t="s">
        <v>522</v>
      </c>
      <c r="B8" s="197">
        <f>资产资本表!E89</f>
        <v>5272825801.8800001</v>
      </c>
      <c r="C8" s="272" t="s">
        <v>749</v>
      </c>
      <c r="D8" s="273">
        <f>B2/B4</f>
        <v>62199203259.333336</v>
      </c>
      <c r="E8" s="63"/>
      <c r="F8" s="190"/>
      <c r="G8" s="190"/>
    </row>
    <row r="9" spans="1:10" x14ac:dyDescent="0.25">
      <c r="A9" s="70" t="s">
        <v>523</v>
      </c>
      <c r="B9" s="197">
        <f>B5+B6+B7-B8</f>
        <v>185775416231.01334</v>
      </c>
      <c r="C9" s="272" t="s">
        <v>750</v>
      </c>
      <c r="D9" s="273">
        <f>(D8+资产资本结构分析表!$E$2+资产资本结构分析表!$E$3)/B55</f>
        <v>8.5712970479751682</v>
      </c>
      <c r="E9" s="190"/>
      <c r="F9" s="190"/>
      <c r="G9" s="190"/>
    </row>
    <row r="10" spans="1:10" x14ac:dyDescent="0.25">
      <c r="A10" s="70" t="s">
        <v>524</v>
      </c>
      <c r="B10" s="73">
        <f>资产资本表!E103/资产资本表!E107</f>
        <v>8.0397198909218509E-3</v>
      </c>
      <c r="D10" s="190"/>
      <c r="E10" s="190"/>
      <c r="F10" s="190"/>
      <c r="G10" s="190"/>
    </row>
    <row r="11" spans="1:10" x14ac:dyDescent="0.25">
      <c r="A11" s="70" t="s">
        <v>550</v>
      </c>
      <c r="B11" s="197">
        <f>B9*(1-B10)</f>
        <v>184281833921.89658</v>
      </c>
      <c r="C11" s="269" t="s">
        <v>746</v>
      </c>
      <c r="D11" s="270">
        <f>资产资本结构分析表!E2</f>
        <v>16759998173.18</v>
      </c>
      <c r="E11" s="63"/>
      <c r="F11" s="190"/>
      <c r="G11" s="190"/>
    </row>
    <row r="12" spans="1:10" x14ac:dyDescent="0.25">
      <c r="A12" s="70" t="s">
        <v>525</v>
      </c>
      <c r="B12" s="268">
        <f>B55</f>
        <v>9227270473</v>
      </c>
      <c r="C12" s="269" t="s">
        <v>747</v>
      </c>
      <c r="D12" s="271">
        <f>D11/B55</f>
        <v>1.8163549255678137</v>
      </c>
      <c r="E12" s="190"/>
      <c r="F12" s="190"/>
      <c r="G12" s="190"/>
    </row>
    <row r="13" spans="1:10" ht="15" thickBot="1" x14ac:dyDescent="0.3">
      <c r="A13" s="74" t="s">
        <v>526</v>
      </c>
      <c r="B13" s="75">
        <f>B11/B12</f>
        <v>19.971435156379705</v>
      </c>
      <c r="D13" s="190"/>
      <c r="E13" s="190"/>
    </row>
    <row r="14" spans="1:10" s="16" customFormat="1" ht="53.25" customHeight="1" x14ac:dyDescent="0.25">
      <c r="A14" s="279" t="s">
        <v>739</v>
      </c>
      <c r="B14" s="278"/>
      <c r="C14" s="278"/>
      <c r="D14" s="278"/>
      <c r="E14" s="278"/>
      <c r="F14" s="278"/>
      <c r="G14" s="278"/>
      <c r="H14" s="278"/>
      <c r="I14" s="278"/>
    </row>
    <row r="16" spans="1:10" x14ac:dyDescent="0.25">
      <c r="A16" s="88"/>
      <c r="B16" s="76"/>
      <c r="C16" s="77"/>
      <c r="D16" s="77"/>
      <c r="E16" s="77"/>
      <c r="F16" s="77"/>
      <c r="G16" s="77"/>
      <c r="H16" s="77"/>
      <c r="I16" s="78"/>
      <c r="J16" s="77"/>
    </row>
    <row r="17" spans="1:10" s="63" customFormat="1" x14ac:dyDescent="0.25">
      <c r="A17" s="90"/>
      <c r="B17" s="90"/>
      <c r="C17" s="90" t="s">
        <v>542</v>
      </c>
      <c r="D17" s="90">
        <v>7.0000000000000007E-2</v>
      </c>
      <c r="E17" s="90"/>
      <c r="F17" s="90"/>
      <c r="G17" s="90"/>
      <c r="H17" s="90" t="s">
        <v>543</v>
      </c>
      <c r="I17" s="90">
        <v>0.06</v>
      </c>
      <c r="J17" s="78"/>
    </row>
    <row r="18" spans="1:10" s="2" customFormat="1" x14ac:dyDescent="0.25">
      <c r="A18" s="300" t="s">
        <v>527</v>
      </c>
      <c r="B18" s="300"/>
      <c r="C18" s="65" t="s">
        <v>541</v>
      </c>
      <c r="D18" s="97">
        <v>1</v>
      </c>
      <c r="E18" s="97">
        <v>2</v>
      </c>
      <c r="F18" s="97">
        <v>3</v>
      </c>
      <c r="G18" s="97">
        <v>4</v>
      </c>
      <c r="H18" s="97">
        <v>5</v>
      </c>
      <c r="I18" s="96">
        <v>6</v>
      </c>
      <c r="J18" s="80"/>
    </row>
    <row r="19" spans="1:10" s="26" customFormat="1" x14ac:dyDescent="0.25">
      <c r="A19" s="99" t="s">
        <v>528</v>
      </c>
      <c r="B19" s="94"/>
      <c r="C19" s="89">
        <f>B2</f>
        <v>4975936260.7466669</v>
      </c>
      <c r="D19" s="89">
        <f>C19*(1+$D$17)</f>
        <v>5324251798.9989338</v>
      </c>
      <c r="E19" s="89">
        <f>D19*(1+$D$17)</f>
        <v>5696949424.9288597</v>
      </c>
      <c r="F19" s="89">
        <f>E19*(1+$D$17)</f>
        <v>6095735884.6738806</v>
      </c>
      <c r="G19" s="89">
        <f>F19*(1+$D$17)</f>
        <v>6522437396.6010523</v>
      </c>
      <c r="H19" s="89">
        <f>G19*(1+$D$17)</f>
        <v>6979008014.3631268</v>
      </c>
      <c r="I19" s="89">
        <f>H19*(1+I17)</f>
        <v>7397748495.2249146</v>
      </c>
      <c r="J19" s="76"/>
    </row>
    <row r="20" spans="1:10" s="26" customFormat="1" x14ac:dyDescent="0.25">
      <c r="A20" s="99" t="s">
        <v>529</v>
      </c>
      <c r="B20" s="95">
        <f>B4</f>
        <v>0.08</v>
      </c>
      <c r="C20" s="89"/>
      <c r="D20" s="89">
        <f t="shared" ref="D20:I20" si="0">(1+$B$20)^D18</f>
        <v>1.08</v>
      </c>
      <c r="E20" s="89">
        <f t="shared" si="0"/>
        <v>1.1664000000000001</v>
      </c>
      <c r="F20" s="89">
        <f t="shared" si="0"/>
        <v>1.2597120000000002</v>
      </c>
      <c r="G20" s="89">
        <f t="shared" si="0"/>
        <v>1.3604889600000003</v>
      </c>
      <c r="H20" s="89">
        <f t="shared" si="0"/>
        <v>1.4693280768000003</v>
      </c>
      <c r="I20" s="89">
        <f t="shared" si="0"/>
        <v>1.5868743229440005</v>
      </c>
      <c r="J20" s="76"/>
    </row>
    <row r="21" spans="1:10" s="26" customFormat="1" x14ac:dyDescent="0.25">
      <c r="A21" s="301" t="s">
        <v>530</v>
      </c>
      <c r="B21" s="301"/>
      <c r="C21" s="89"/>
      <c r="D21" s="89">
        <f>D19/D20</f>
        <v>4929862776.8508644</v>
      </c>
      <c r="E21" s="89">
        <f>E19/E20</f>
        <v>4884215899.2874308</v>
      </c>
      <c r="F21" s="89">
        <f>F19/F20</f>
        <v>4838991677.9977331</v>
      </c>
      <c r="G21" s="89">
        <f>G19/G20</f>
        <v>4794186199.4977531</v>
      </c>
      <c r="H21" s="89">
        <f>H19/H20</f>
        <v>4749795586.5394411</v>
      </c>
      <c r="I21" s="89">
        <f>I19/((B20-I17)*I20)</f>
        <v>233091820450.54657</v>
      </c>
      <c r="J21" s="76"/>
    </row>
    <row r="22" spans="1:10" s="26" customFormat="1" x14ac:dyDescent="0.25">
      <c r="A22" s="301" t="s">
        <v>548</v>
      </c>
      <c r="B22" s="301"/>
      <c r="C22" s="89"/>
      <c r="D22" s="297">
        <f>SUM(D21:H21)</f>
        <v>24197052140.173222</v>
      </c>
      <c r="E22" s="298"/>
      <c r="F22" s="298"/>
      <c r="G22" s="298"/>
      <c r="H22" s="299"/>
      <c r="I22" s="89">
        <f>I21</f>
        <v>233091820450.54657</v>
      </c>
      <c r="J22" s="76"/>
    </row>
    <row r="23" spans="1:10" x14ac:dyDescent="0.25">
      <c r="A23" s="92" t="s">
        <v>531</v>
      </c>
      <c r="B23" s="76">
        <f>D22+I22</f>
        <v>257288872590.71979</v>
      </c>
      <c r="C23" s="77"/>
      <c r="D23" s="77"/>
      <c r="E23" s="77"/>
      <c r="F23" s="77"/>
      <c r="G23" s="77"/>
      <c r="H23" s="77"/>
      <c r="I23" s="79"/>
      <c r="J23" s="77"/>
    </row>
    <row r="24" spans="1:10" x14ac:dyDescent="0.25">
      <c r="A24" s="92" t="s">
        <v>532</v>
      </c>
      <c r="B24" s="76">
        <f>B23</f>
        <v>257288872590.71979</v>
      </c>
      <c r="C24" s="77"/>
      <c r="D24" s="77"/>
      <c r="E24" s="77"/>
      <c r="F24" s="77"/>
      <c r="G24" s="77"/>
      <c r="H24" s="77"/>
      <c r="I24" s="79"/>
      <c r="J24" s="77"/>
    </row>
    <row r="25" spans="1:10" x14ac:dyDescent="0.25">
      <c r="A25" s="70" t="s">
        <v>533</v>
      </c>
      <c r="B25" s="71">
        <f>资产资本表!E17</f>
        <v>16759998173.18</v>
      </c>
      <c r="C25" s="77"/>
      <c r="D25" s="77"/>
      <c r="E25" s="77"/>
      <c r="F25" s="77"/>
      <c r="G25" s="77"/>
      <c r="H25" s="77"/>
      <c r="I25" s="79"/>
      <c r="J25" s="77"/>
    </row>
    <row r="26" spans="1:10" x14ac:dyDescent="0.25">
      <c r="A26" s="70" t="s">
        <v>534</v>
      </c>
      <c r="B26" s="71">
        <f>资产资本表!E19</f>
        <v>130474733.58</v>
      </c>
      <c r="C26" s="77"/>
      <c r="D26" s="77"/>
      <c r="E26" s="77"/>
      <c r="F26" s="77"/>
      <c r="G26" s="77"/>
      <c r="H26" s="77"/>
      <c r="I26" s="79"/>
      <c r="J26" s="77"/>
    </row>
    <row r="27" spans="1:10" x14ac:dyDescent="0.25">
      <c r="A27" s="70" t="s">
        <v>535</v>
      </c>
      <c r="B27" s="71">
        <f>资产资本表!E89</f>
        <v>5272825801.8800001</v>
      </c>
      <c r="C27" s="77"/>
      <c r="D27" s="77"/>
      <c r="E27" s="77"/>
      <c r="F27" s="77"/>
      <c r="G27" s="77"/>
      <c r="H27" s="77"/>
      <c r="I27" s="79"/>
      <c r="J27" s="77"/>
    </row>
    <row r="28" spans="1:10" s="2" customFormat="1" x14ac:dyDescent="0.25">
      <c r="A28" s="82" t="s">
        <v>536</v>
      </c>
      <c r="B28" s="83">
        <f>B24+B25+B26-B27</f>
        <v>268906519695.59976</v>
      </c>
      <c r="C28" s="80"/>
      <c r="D28" s="80"/>
      <c r="E28" s="80"/>
      <c r="F28" s="80"/>
      <c r="G28" s="80"/>
      <c r="H28" s="80"/>
      <c r="I28" s="81"/>
      <c r="J28" s="80"/>
    </row>
    <row r="29" spans="1:10" x14ac:dyDescent="0.25">
      <c r="A29" s="70" t="s">
        <v>537</v>
      </c>
      <c r="B29" s="78">
        <f>资产资本表!E103/资产资本表!E107</f>
        <v>8.0397198909218509E-3</v>
      </c>
      <c r="C29" s="302" t="s">
        <v>544</v>
      </c>
      <c r="D29" s="302"/>
      <c r="E29" s="302"/>
      <c r="F29" s="77"/>
      <c r="G29" s="77"/>
      <c r="H29" s="77"/>
      <c r="I29" s="79"/>
      <c r="J29" s="77"/>
    </row>
    <row r="30" spans="1:10" s="2" customFormat="1" x14ac:dyDescent="0.25">
      <c r="A30" s="82" t="s">
        <v>538</v>
      </c>
      <c r="B30" s="83">
        <f>B28*(1-B29)</f>
        <v>266744586600.40448</v>
      </c>
      <c r="C30" s="91">
        <v>0.4</v>
      </c>
      <c r="D30" s="91">
        <v>0.3</v>
      </c>
      <c r="E30" s="91">
        <v>0.2</v>
      </c>
      <c r="F30" s="80"/>
      <c r="G30" s="80"/>
      <c r="H30" s="80"/>
      <c r="I30" s="81"/>
      <c r="J30" s="80"/>
    </row>
    <row r="31" spans="1:10" x14ac:dyDescent="0.25">
      <c r="A31" s="70" t="s">
        <v>748</v>
      </c>
      <c r="B31" s="101">
        <f>B55</f>
        <v>9227270473</v>
      </c>
      <c r="C31" s="215">
        <f>$B$32*(1-C30)</f>
        <v>17.344972430206411</v>
      </c>
      <c r="D31" s="215">
        <f>$B$32*(1-D30)</f>
        <v>20.235801168574145</v>
      </c>
      <c r="E31" s="215">
        <f>$B$32*(1-E30)</f>
        <v>23.126629906941886</v>
      </c>
      <c r="F31" s="77"/>
      <c r="G31" s="77"/>
      <c r="H31" s="77"/>
      <c r="I31" s="79"/>
      <c r="J31" s="77"/>
    </row>
    <row r="32" spans="1:10" s="2" customFormat="1" ht="15" thickBot="1" x14ac:dyDescent="0.3">
      <c r="A32" s="84" t="s">
        <v>539</v>
      </c>
      <c r="B32" s="85">
        <f>B30/B31</f>
        <v>28.908287383677354</v>
      </c>
      <c r="C32" s="86"/>
      <c r="D32" s="86"/>
      <c r="E32" s="86"/>
      <c r="F32" s="86"/>
      <c r="G32" s="86"/>
      <c r="H32" s="86"/>
      <c r="I32" s="87"/>
      <c r="J32" s="80"/>
    </row>
    <row r="33" spans="1:19" ht="63" customHeight="1" x14ac:dyDescent="0.25">
      <c r="A33" s="303" t="s">
        <v>740</v>
      </c>
      <c r="B33" s="304"/>
      <c r="C33" s="304"/>
      <c r="D33" s="304"/>
      <c r="E33" s="304"/>
      <c r="F33" s="304"/>
      <c r="G33" s="304"/>
      <c r="H33" s="304"/>
      <c r="I33" s="304"/>
    </row>
    <row r="37" spans="1:19" s="63" customFormat="1" x14ac:dyDescent="0.25">
      <c r="A37" s="204"/>
      <c r="B37" s="204"/>
      <c r="C37" s="214" t="s">
        <v>542</v>
      </c>
      <c r="D37" s="214">
        <v>0.15</v>
      </c>
      <c r="E37" s="214"/>
      <c r="F37" s="214"/>
      <c r="G37" s="214"/>
      <c r="H37" s="214" t="s">
        <v>637</v>
      </c>
      <c r="I37" s="214">
        <v>0.09</v>
      </c>
      <c r="J37" s="214"/>
      <c r="K37" s="214"/>
      <c r="L37" s="214"/>
      <c r="M37" s="214"/>
      <c r="N37" s="214"/>
      <c r="O37" s="214"/>
      <c r="P37" s="214"/>
      <c r="Q37" s="214"/>
      <c r="R37" s="214" t="s">
        <v>547</v>
      </c>
      <c r="S37" s="214">
        <v>0.02</v>
      </c>
    </row>
    <row r="38" spans="1:19" s="24" customFormat="1" x14ac:dyDescent="0.25">
      <c r="A38" s="311" t="s">
        <v>545</v>
      </c>
      <c r="B38" s="312"/>
      <c r="C38" s="216" t="s">
        <v>541</v>
      </c>
      <c r="D38" s="217">
        <v>1</v>
      </c>
      <c r="E38" s="217">
        <v>2</v>
      </c>
      <c r="F38" s="217">
        <v>3</v>
      </c>
      <c r="G38" s="217">
        <v>4</v>
      </c>
      <c r="H38" s="217">
        <v>5</v>
      </c>
      <c r="I38" s="218">
        <v>6</v>
      </c>
      <c r="J38" s="218">
        <v>7</v>
      </c>
      <c r="K38" s="218">
        <v>8</v>
      </c>
      <c r="L38" s="218">
        <v>9</v>
      </c>
      <c r="M38" s="218">
        <v>10</v>
      </c>
      <c r="N38" s="218">
        <v>11</v>
      </c>
      <c r="O38" s="218">
        <v>12</v>
      </c>
      <c r="P38" s="218">
        <v>13</v>
      </c>
      <c r="Q38" s="218">
        <v>14</v>
      </c>
      <c r="R38" s="218">
        <v>15</v>
      </c>
      <c r="S38" s="219">
        <v>16</v>
      </c>
    </row>
    <row r="39" spans="1:19" s="193" customFormat="1" x14ac:dyDescent="0.25">
      <c r="A39" s="99" t="s">
        <v>528</v>
      </c>
      <c r="B39" s="94"/>
      <c r="C39" s="89">
        <f>B2</f>
        <v>4975936260.7466669</v>
      </c>
      <c r="D39" s="89">
        <f>$C$39*(1+$D$37)^D38</f>
        <v>5722326699.8586664</v>
      </c>
      <c r="E39" s="89">
        <f>$C$39*(1+$D$37)^E38</f>
        <v>6580675704.8374662</v>
      </c>
      <c r="F39" s="89">
        <f>$C$39*(1+$D$37)^F38</f>
        <v>7567777060.5630846</v>
      </c>
      <c r="G39" s="89">
        <f>$C$39*(1+$D$37)^G38</f>
        <v>8702943619.6475468</v>
      </c>
      <c r="H39" s="89">
        <f>$C$39*(1+$D$37)^H38</f>
        <v>10008385162.594679</v>
      </c>
      <c r="I39" s="89">
        <f>H39*(1+$I$37)</f>
        <v>10909139827.228201</v>
      </c>
      <c r="J39" s="89">
        <f t="shared" ref="J39:N39" si="1">I39*(1+$I$37)</f>
        <v>11890962411.67874</v>
      </c>
      <c r="K39" s="89">
        <f t="shared" si="1"/>
        <v>12961149028.729828</v>
      </c>
      <c r="L39" s="89">
        <f t="shared" si="1"/>
        <v>14127652441.315514</v>
      </c>
      <c r="M39" s="89">
        <f t="shared" si="1"/>
        <v>15399141161.033911</v>
      </c>
      <c r="N39" s="89">
        <f t="shared" si="1"/>
        <v>16785063865.526964</v>
      </c>
      <c r="O39" s="89">
        <f t="shared" ref="O39" si="2">N39*(1+$I$37)</f>
        <v>18295719613.424393</v>
      </c>
      <c r="P39" s="89">
        <f t="shared" ref="P39" si="3">O39*(1+$I$37)</f>
        <v>19942334378.632591</v>
      </c>
      <c r="Q39" s="89">
        <f t="shared" ref="Q39" si="4">P39*(1+$I$37)</f>
        <v>21737144472.709526</v>
      </c>
      <c r="R39" s="89">
        <f t="shared" ref="R39" si="5">Q39*(1+$I$37)</f>
        <v>23693487475.253384</v>
      </c>
      <c r="S39" s="89">
        <f>R39*(1+S37)</f>
        <v>24167357224.758453</v>
      </c>
    </row>
    <row r="40" spans="1:19" s="23" customFormat="1" x14ac:dyDescent="0.25">
      <c r="A40" s="210" t="s">
        <v>529</v>
      </c>
      <c r="B40" s="209">
        <f>B4</f>
        <v>0.08</v>
      </c>
      <c r="C40" s="215"/>
      <c r="D40" s="215">
        <f>(1+$B$40)^D38</f>
        <v>1.08</v>
      </c>
      <c r="E40" s="215">
        <f t="shared" ref="E40:R40" si="6">(1+$B$40)^E38</f>
        <v>1.1664000000000001</v>
      </c>
      <c r="F40" s="215">
        <f t="shared" si="6"/>
        <v>1.2597120000000002</v>
      </c>
      <c r="G40" s="215">
        <f t="shared" si="6"/>
        <v>1.3604889600000003</v>
      </c>
      <c r="H40" s="215">
        <f t="shared" si="6"/>
        <v>1.4693280768000003</v>
      </c>
      <c r="I40" s="215">
        <f t="shared" si="6"/>
        <v>1.5868743229440005</v>
      </c>
      <c r="J40" s="215">
        <f t="shared" si="6"/>
        <v>1.7138242687795207</v>
      </c>
      <c r="K40" s="215">
        <f t="shared" si="6"/>
        <v>1.8509302102818823</v>
      </c>
      <c r="L40" s="215">
        <f t="shared" si="6"/>
        <v>1.9990046271044331</v>
      </c>
      <c r="M40" s="215">
        <f t="shared" si="6"/>
        <v>2.1589249972727877</v>
      </c>
      <c r="N40" s="215">
        <f t="shared" si="6"/>
        <v>2.3316389970546108</v>
      </c>
      <c r="O40" s="215">
        <f t="shared" si="6"/>
        <v>2.5181701168189798</v>
      </c>
      <c r="P40" s="215">
        <f t="shared" si="6"/>
        <v>2.7196237261644982</v>
      </c>
      <c r="Q40" s="215">
        <f t="shared" si="6"/>
        <v>2.9371936242576586</v>
      </c>
      <c r="R40" s="215">
        <f t="shared" si="6"/>
        <v>3.1721691141982715</v>
      </c>
      <c r="S40" s="183">
        <f>(1+$B$40)^S38</f>
        <v>3.4259426433341331</v>
      </c>
    </row>
    <row r="41" spans="1:19" s="193" customFormat="1" x14ac:dyDescent="0.25">
      <c r="A41" s="313" t="s">
        <v>530</v>
      </c>
      <c r="B41" s="314"/>
      <c r="C41" s="89"/>
      <c r="D41" s="89">
        <f t="shared" ref="D41:R41" si="7">D39/D40</f>
        <v>5298450648.0172834</v>
      </c>
      <c r="E41" s="89">
        <f t="shared" si="7"/>
        <v>5641868745.5739594</v>
      </c>
      <c r="F41" s="89">
        <f t="shared" si="7"/>
        <v>6007545423.5278254</v>
      </c>
      <c r="G41" s="89">
        <f t="shared" si="7"/>
        <v>6396923367.6453686</v>
      </c>
      <c r="H41" s="89">
        <f t="shared" si="7"/>
        <v>6811538771.1038647</v>
      </c>
      <c r="I41" s="89">
        <f t="shared" si="7"/>
        <v>6874608574.5400114</v>
      </c>
      <c r="J41" s="89">
        <f t="shared" si="7"/>
        <v>6938262357.6376038</v>
      </c>
      <c r="K41" s="89">
        <f t="shared" si="7"/>
        <v>7002505527.6157312</v>
      </c>
      <c r="L41" s="89">
        <f t="shared" si="7"/>
        <v>7067343541.7603207</v>
      </c>
      <c r="M41" s="89">
        <f t="shared" si="7"/>
        <v>7132781907.8877316</v>
      </c>
      <c r="N41" s="89">
        <f t="shared" si="7"/>
        <v>7198826184.8126183</v>
      </c>
      <c r="O41" s="89">
        <f t="shared" si="7"/>
        <v>7265481982.8201427</v>
      </c>
      <c r="P41" s="89">
        <f t="shared" si="7"/>
        <v>7332754964.1425533</v>
      </c>
      <c r="Q41" s="89">
        <f t="shared" si="7"/>
        <v>7400650843.4401684</v>
      </c>
      <c r="R41" s="89">
        <f t="shared" si="7"/>
        <v>7469175388.2868357</v>
      </c>
      <c r="S41" s="89">
        <f>S39/((B40-S37)*S40)</f>
        <v>117570353334.14465</v>
      </c>
    </row>
    <row r="42" spans="1:19" s="23" customFormat="1" x14ac:dyDescent="0.25">
      <c r="A42" s="315" t="s">
        <v>548</v>
      </c>
      <c r="B42" s="316"/>
      <c r="C42" s="215"/>
      <c r="D42" s="308">
        <f>SUM(D41:H41)</f>
        <v>30156326955.868301</v>
      </c>
      <c r="E42" s="309"/>
      <c r="F42" s="309"/>
      <c r="G42" s="309"/>
      <c r="H42" s="310"/>
      <c r="I42" s="308">
        <f>SUM(I41:R41)</f>
        <v>71682391272.943726</v>
      </c>
      <c r="J42" s="309"/>
      <c r="K42" s="309"/>
      <c r="L42" s="309"/>
      <c r="M42" s="309"/>
      <c r="N42" s="309"/>
      <c r="O42" s="309"/>
      <c r="P42" s="309"/>
      <c r="Q42" s="309"/>
      <c r="R42" s="310"/>
      <c r="S42" s="215">
        <f>S41</f>
        <v>117570353334.14465</v>
      </c>
    </row>
    <row r="43" spans="1:19" x14ac:dyDescent="0.25">
      <c r="A43" s="206" t="s">
        <v>546</v>
      </c>
      <c r="B43" s="197">
        <f>D42+I42+S42</f>
        <v>219409071562.95667</v>
      </c>
      <c r="C43" s="198"/>
      <c r="D43" s="198"/>
      <c r="E43" s="198"/>
      <c r="F43" s="198"/>
      <c r="G43" s="198"/>
      <c r="H43" s="198"/>
      <c r="I43" s="198"/>
      <c r="J43" s="198"/>
      <c r="K43" s="198"/>
      <c r="L43" s="198"/>
      <c r="M43" s="198"/>
      <c r="N43" s="198"/>
      <c r="O43" s="198"/>
      <c r="P43" s="198"/>
      <c r="Q43" s="198"/>
      <c r="R43" s="198"/>
      <c r="S43" s="200"/>
    </row>
    <row r="44" spans="1:19" x14ac:dyDescent="0.25">
      <c r="A44" s="206" t="s">
        <v>532</v>
      </c>
      <c r="B44" s="197">
        <f>B43</f>
        <v>219409071562.95667</v>
      </c>
      <c r="C44" s="198"/>
      <c r="D44" s="198"/>
      <c r="E44" s="198"/>
      <c r="F44" s="198"/>
      <c r="G44" s="198"/>
      <c r="H44" s="198"/>
      <c r="I44" s="198"/>
      <c r="J44" s="198"/>
      <c r="K44" s="198"/>
      <c r="L44" s="198"/>
      <c r="M44" s="198"/>
      <c r="N44" s="198"/>
      <c r="O44" s="198"/>
      <c r="P44" s="198"/>
      <c r="Q44" s="198"/>
      <c r="R44" s="198"/>
      <c r="S44" s="200"/>
    </row>
    <row r="45" spans="1:19" x14ac:dyDescent="0.25">
      <c r="A45" s="196" t="s">
        <v>533</v>
      </c>
      <c r="B45" s="197">
        <f>资产资本表!E17</f>
        <v>16759998173.18</v>
      </c>
      <c r="C45" s="198"/>
      <c r="D45" s="198"/>
      <c r="E45" s="198"/>
      <c r="F45" s="198"/>
      <c r="G45" s="198"/>
      <c r="H45" s="198"/>
      <c r="I45" s="198"/>
      <c r="J45" s="198"/>
      <c r="K45" s="198"/>
      <c r="L45" s="198"/>
      <c r="M45" s="198"/>
      <c r="N45" s="198"/>
      <c r="O45" s="198"/>
      <c r="P45" s="198"/>
      <c r="Q45" s="198"/>
      <c r="R45" s="198"/>
      <c r="S45" s="200"/>
    </row>
    <row r="46" spans="1:19" x14ac:dyDescent="0.25">
      <c r="A46" s="196" t="s">
        <v>534</v>
      </c>
      <c r="B46" s="197">
        <f>资产资本表!E19</f>
        <v>130474733.58</v>
      </c>
      <c r="C46" s="198"/>
      <c r="D46" s="198"/>
      <c r="E46" s="198"/>
      <c r="F46" s="198"/>
      <c r="G46" s="198"/>
      <c r="H46" s="198"/>
      <c r="I46" s="198"/>
      <c r="J46" s="198"/>
      <c r="K46" s="198"/>
      <c r="L46" s="198"/>
      <c r="M46" s="198"/>
      <c r="N46" s="198"/>
      <c r="O46" s="198"/>
      <c r="P46" s="198"/>
      <c r="Q46" s="198"/>
      <c r="R46" s="198"/>
      <c r="S46" s="200"/>
    </row>
    <row r="47" spans="1:19" x14ac:dyDescent="0.25">
      <c r="A47" s="196" t="s">
        <v>535</v>
      </c>
      <c r="B47" s="197">
        <f>资产资本表!E89</f>
        <v>5272825801.8800001</v>
      </c>
      <c r="C47" s="198"/>
      <c r="D47" s="198"/>
      <c r="E47" s="198"/>
      <c r="F47" s="198"/>
      <c r="G47" s="198"/>
      <c r="H47" s="198"/>
      <c r="I47" s="198"/>
      <c r="J47" s="198"/>
      <c r="K47" s="198"/>
      <c r="L47" s="198"/>
      <c r="M47" s="198"/>
      <c r="N47" s="198"/>
      <c r="O47" s="198"/>
      <c r="P47" s="198"/>
      <c r="Q47" s="198"/>
      <c r="R47" s="198"/>
      <c r="S47" s="200"/>
    </row>
    <row r="48" spans="1:19" x14ac:dyDescent="0.25">
      <c r="A48" s="201" t="s">
        <v>536</v>
      </c>
      <c r="B48" s="197">
        <f>B44+B45+B46-B47</f>
        <v>231026718667.83664</v>
      </c>
      <c r="C48" s="198"/>
      <c r="D48" s="198"/>
      <c r="E48" s="198"/>
      <c r="F48" s="198"/>
      <c r="G48" s="198"/>
      <c r="H48" s="198"/>
      <c r="I48" s="198"/>
      <c r="J48" s="198"/>
      <c r="K48" s="198"/>
      <c r="L48" s="198"/>
      <c r="M48" s="198"/>
      <c r="N48" s="198"/>
      <c r="O48" s="198"/>
      <c r="P48" s="198"/>
      <c r="Q48" s="198"/>
      <c r="R48" s="198"/>
      <c r="S48" s="200"/>
    </row>
    <row r="49" spans="1:74" x14ac:dyDescent="0.25">
      <c r="A49" s="196" t="s">
        <v>537</v>
      </c>
      <c r="B49" s="199">
        <f>资产资本表!E103/资产资本表!E107</f>
        <v>8.0397198909218509E-3</v>
      </c>
      <c r="C49" s="198"/>
      <c r="D49" s="198"/>
      <c r="E49" s="198"/>
      <c r="F49" s="198"/>
      <c r="G49" s="198"/>
      <c r="H49" s="198"/>
      <c r="I49" s="198"/>
      <c r="J49" s="198"/>
      <c r="K49" s="198"/>
      <c r="L49" s="198"/>
      <c r="M49" s="198"/>
      <c r="N49" s="198"/>
      <c r="O49" s="198"/>
      <c r="P49" s="198"/>
      <c r="Q49" s="198"/>
      <c r="R49" s="198"/>
      <c r="S49" s="200"/>
      <c r="T49" s="190"/>
      <c r="U49" s="190"/>
      <c r="V49" s="190"/>
      <c r="W49" s="190"/>
      <c r="X49" s="190"/>
      <c r="Y49" s="190"/>
      <c r="Z49" s="190"/>
      <c r="AA49" s="190"/>
      <c r="AB49" s="190"/>
      <c r="AC49" s="190"/>
      <c r="AD49" s="190"/>
      <c r="AE49" s="190"/>
      <c r="AF49" s="190"/>
      <c r="AG49" s="190"/>
      <c r="AH49" s="190"/>
      <c r="AI49" s="190"/>
      <c r="AJ49" s="190"/>
      <c r="AK49" s="190"/>
      <c r="AL49" s="190"/>
      <c r="AM49" s="190"/>
      <c r="AN49" s="190"/>
      <c r="AO49" s="190"/>
      <c r="AP49" s="190"/>
      <c r="AQ49" s="190"/>
      <c r="AR49" s="190"/>
      <c r="AS49" s="190"/>
      <c r="AT49" s="190"/>
      <c r="AU49" s="190"/>
      <c r="AV49" s="190"/>
      <c r="AW49" s="190"/>
      <c r="AX49" s="190"/>
      <c r="AY49" s="190"/>
      <c r="AZ49" s="190"/>
      <c r="BA49" s="190"/>
      <c r="BB49" s="190"/>
      <c r="BC49" s="190"/>
      <c r="BD49" s="190"/>
      <c r="BE49" s="190"/>
      <c r="BF49" s="190"/>
      <c r="BG49" s="190"/>
      <c r="BH49" s="190"/>
      <c r="BI49" s="190"/>
      <c r="BJ49" s="190"/>
      <c r="BK49" s="190"/>
      <c r="BL49" s="190"/>
      <c r="BM49" s="190"/>
      <c r="BN49" s="190"/>
      <c r="BO49" s="190"/>
      <c r="BP49" s="190"/>
      <c r="BQ49" s="190"/>
      <c r="BR49" s="190"/>
      <c r="BS49" s="190"/>
      <c r="BT49" s="190"/>
      <c r="BU49" s="190"/>
      <c r="BV49" s="190"/>
    </row>
    <row r="50" spans="1:74" x14ac:dyDescent="0.25">
      <c r="A50" s="201" t="s">
        <v>538</v>
      </c>
      <c r="B50" s="197">
        <f>B48*(1-B49)</f>
        <v>229169328562.42841</v>
      </c>
      <c r="C50" s="305" t="s">
        <v>544</v>
      </c>
      <c r="D50" s="306"/>
      <c r="E50" s="307"/>
      <c r="F50" s="198"/>
      <c r="G50" s="198"/>
      <c r="H50" s="198"/>
      <c r="I50" s="198"/>
      <c r="J50" s="198"/>
      <c r="K50" s="198"/>
      <c r="L50" s="198"/>
      <c r="M50" s="198"/>
      <c r="N50" s="198"/>
      <c r="O50" s="198"/>
      <c r="P50" s="198"/>
      <c r="Q50" s="198"/>
      <c r="R50" s="198"/>
      <c r="S50" s="200"/>
      <c r="T50" s="190"/>
      <c r="U50" s="190"/>
      <c r="V50" s="190"/>
      <c r="W50" s="190"/>
      <c r="X50" s="190"/>
      <c r="Y50" s="190"/>
      <c r="Z50" s="190"/>
      <c r="AA50" s="190"/>
      <c r="AB50" s="190"/>
      <c r="AC50" s="190"/>
      <c r="AD50" s="190"/>
      <c r="AE50" s="190"/>
      <c r="AF50" s="190"/>
      <c r="AG50" s="190"/>
      <c r="AH50" s="190"/>
      <c r="AI50" s="190"/>
      <c r="AJ50" s="190"/>
      <c r="AK50" s="190"/>
      <c r="AL50" s="190"/>
      <c r="AM50" s="190"/>
      <c r="AN50" s="190"/>
      <c r="AO50" s="190"/>
      <c r="AP50" s="190"/>
      <c r="AQ50" s="190"/>
      <c r="AR50" s="190"/>
      <c r="AS50" s="190"/>
      <c r="AT50" s="190"/>
      <c r="AU50" s="190"/>
      <c r="AV50" s="190"/>
      <c r="AW50" s="190"/>
      <c r="AX50" s="190"/>
      <c r="AY50" s="190"/>
      <c r="AZ50" s="190"/>
      <c r="BA50" s="190"/>
      <c r="BB50" s="190"/>
      <c r="BC50" s="190"/>
      <c r="BD50" s="190"/>
      <c r="BE50" s="190"/>
      <c r="BF50" s="190"/>
      <c r="BG50" s="190"/>
      <c r="BH50" s="190"/>
      <c r="BI50" s="190"/>
      <c r="BJ50" s="190"/>
      <c r="BK50" s="190"/>
      <c r="BL50" s="190"/>
      <c r="BM50" s="190"/>
      <c r="BN50" s="190"/>
      <c r="BO50" s="190"/>
      <c r="BP50" s="190"/>
      <c r="BQ50" s="190"/>
      <c r="BR50" s="190"/>
      <c r="BS50" s="190"/>
      <c r="BT50" s="190"/>
      <c r="BU50" s="190"/>
      <c r="BV50" s="190"/>
    </row>
    <row r="51" spans="1:74" x14ac:dyDescent="0.25">
      <c r="A51" s="196" t="s">
        <v>540</v>
      </c>
      <c r="B51" s="211">
        <f>B55</f>
        <v>9227270473</v>
      </c>
      <c r="C51" s="205">
        <v>0.4</v>
      </c>
      <c r="D51" s="205">
        <v>0.3</v>
      </c>
      <c r="E51" s="205">
        <v>0.2</v>
      </c>
      <c r="F51" s="198"/>
      <c r="G51" s="198"/>
      <c r="H51" s="198"/>
      <c r="I51" s="198"/>
      <c r="J51" s="198"/>
      <c r="K51" s="198"/>
      <c r="L51" s="198"/>
      <c r="M51" s="198"/>
      <c r="N51" s="198"/>
      <c r="O51" s="198"/>
      <c r="P51" s="198"/>
      <c r="Q51" s="198"/>
      <c r="R51" s="198"/>
      <c r="S51" s="200"/>
      <c r="T51" s="190"/>
      <c r="U51" s="190"/>
      <c r="V51" s="190"/>
      <c r="W51" s="190"/>
      <c r="X51" s="190"/>
      <c r="Y51" s="190"/>
      <c r="Z51" s="190"/>
      <c r="AA51" s="190"/>
      <c r="AB51" s="190"/>
      <c r="AC51" s="190"/>
      <c r="AD51" s="190"/>
      <c r="AE51" s="190"/>
      <c r="AF51" s="190"/>
      <c r="AG51" s="190"/>
      <c r="AH51" s="190"/>
      <c r="AI51" s="190"/>
      <c r="AJ51" s="190"/>
      <c r="AK51" s="190"/>
      <c r="AL51" s="190"/>
      <c r="AM51" s="190"/>
      <c r="AN51" s="190"/>
      <c r="AO51" s="190"/>
      <c r="AP51" s="190"/>
      <c r="AQ51" s="190"/>
      <c r="AR51" s="190"/>
      <c r="AS51" s="190"/>
      <c r="AT51" s="190"/>
      <c r="AU51" s="190"/>
      <c r="AV51" s="190"/>
      <c r="AW51" s="190"/>
      <c r="AX51" s="190"/>
      <c r="AY51" s="190"/>
      <c r="AZ51" s="190"/>
      <c r="BA51" s="190"/>
      <c r="BB51" s="190"/>
      <c r="BC51" s="190"/>
      <c r="BD51" s="190"/>
      <c r="BE51" s="190"/>
      <c r="BF51" s="190"/>
      <c r="BG51" s="190"/>
      <c r="BH51" s="190"/>
      <c r="BI51" s="190"/>
      <c r="BJ51" s="190"/>
      <c r="BK51" s="190"/>
      <c r="BL51" s="190"/>
      <c r="BM51" s="190"/>
      <c r="BN51" s="190"/>
      <c r="BO51" s="190"/>
      <c r="BP51" s="190"/>
      <c r="BQ51" s="190"/>
      <c r="BR51" s="190"/>
      <c r="BS51" s="190"/>
      <c r="BT51" s="190"/>
      <c r="BU51" s="190"/>
      <c r="BV51" s="190"/>
    </row>
    <row r="52" spans="1:74" ht="15" thickBot="1" x14ac:dyDescent="0.3">
      <c r="A52" s="202" t="s">
        <v>539</v>
      </c>
      <c r="B52" s="207">
        <f>B50/B51</f>
        <v>24.836090936426203</v>
      </c>
      <c r="C52" s="208">
        <f>$B$52*(1-C51)</f>
        <v>14.901654561855722</v>
      </c>
      <c r="D52" s="208">
        <f>$B$52*(1-D51)</f>
        <v>17.385263655498342</v>
      </c>
      <c r="E52" s="208">
        <f>$B$52*(1-E51)</f>
        <v>19.868872749140962</v>
      </c>
      <c r="F52" s="194"/>
      <c r="G52" s="194"/>
      <c r="H52" s="194"/>
      <c r="I52" s="194"/>
      <c r="J52" s="194"/>
      <c r="K52" s="194"/>
      <c r="L52" s="194"/>
      <c r="M52" s="194"/>
      <c r="N52" s="194"/>
      <c r="O52" s="194"/>
      <c r="P52" s="194"/>
      <c r="Q52" s="194"/>
      <c r="R52" s="194"/>
      <c r="S52" s="203"/>
      <c r="T52" s="190"/>
      <c r="U52" s="190"/>
      <c r="V52" s="190"/>
      <c r="W52" s="190"/>
      <c r="X52" s="190"/>
      <c r="Y52" s="190"/>
      <c r="Z52" s="190"/>
      <c r="AA52" s="190"/>
      <c r="AB52" s="190"/>
      <c r="AC52" s="190"/>
      <c r="AD52" s="190"/>
      <c r="AE52" s="190"/>
      <c r="AF52" s="190"/>
      <c r="AG52" s="190"/>
      <c r="AH52" s="190"/>
      <c r="AI52" s="190"/>
      <c r="AJ52" s="190"/>
      <c r="AK52" s="190"/>
      <c r="AL52" s="190"/>
      <c r="AM52" s="190"/>
      <c r="AN52" s="190"/>
      <c r="AO52" s="190"/>
      <c r="AP52" s="190"/>
      <c r="AQ52" s="190"/>
      <c r="AR52" s="190"/>
      <c r="AS52" s="190"/>
      <c r="AT52" s="190"/>
      <c r="AU52" s="190"/>
      <c r="AV52" s="190"/>
      <c r="AW52" s="190"/>
      <c r="AX52" s="190"/>
      <c r="AY52" s="190"/>
      <c r="AZ52" s="190"/>
      <c r="BA52" s="190"/>
      <c r="BB52" s="190"/>
      <c r="BC52" s="190"/>
      <c r="BD52" s="190"/>
      <c r="BE52" s="190"/>
      <c r="BF52" s="190"/>
      <c r="BG52" s="190"/>
      <c r="BH52" s="190"/>
      <c r="BI52" s="190"/>
      <c r="BJ52" s="190"/>
      <c r="BK52" s="190"/>
      <c r="BL52" s="190"/>
      <c r="BM52" s="190"/>
      <c r="BN52" s="190"/>
      <c r="BO52" s="190"/>
      <c r="BP52" s="190"/>
      <c r="BQ52" s="190"/>
      <c r="BR52" s="190"/>
      <c r="BS52" s="190"/>
      <c r="BT52" s="190"/>
      <c r="BU52" s="190"/>
      <c r="BV52" s="190"/>
    </row>
    <row r="53" spans="1:74" ht="12.75" customHeight="1" thickBot="1" x14ac:dyDescent="0.3">
      <c r="A53" s="192"/>
      <c r="B53" s="193"/>
      <c r="C53" s="190"/>
      <c r="D53" s="190"/>
      <c r="E53" s="190"/>
      <c r="F53" s="190"/>
      <c r="G53" s="190"/>
      <c r="H53" s="190"/>
      <c r="I53" s="190"/>
      <c r="J53" s="190"/>
      <c r="K53" s="190"/>
      <c r="L53" s="190"/>
      <c r="M53" s="190"/>
      <c r="N53" s="190"/>
      <c r="O53" s="190"/>
      <c r="P53" s="190"/>
      <c r="Q53" s="190"/>
      <c r="R53" s="190"/>
      <c r="S53" s="190"/>
      <c r="T53" s="190"/>
      <c r="U53" s="190"/>
      <c r="V53" s="190"/>
      <c r="W53" s="190"/>
      <c r="X53" s="190"/>
      <c r="Y53" s="190"/>
      <c r="Z53" s="190"/>
      <c r="AA53" s="190"/>
      <c r="AB53" s="190"/>
      <c r="AC53" s="190"/>
      <c r="AD53" s="190"/>
      <c r="AE53" s="190"/>
      <c r="AF53" s="190"/>
      <c r="AG53" s="190"/>
      <c r="AH53" s="190"/>
      <c r="AI53" s="190"/>
      <c r="AJ53" s="190"/>
      <c r="AK53" s="190"/>
      <c r="AL53" s="190"/>
      <c r="AM53" s="190"/>
      <c r="AN53" s="190"/>
      <c r="AO53" s="190"/>
      <c r="AP53" s="190"/>
      <c r="AQ53" s="190"/>
      <c r="AR53" s="190"/>
      <c r="AS53" s="190"/>
      <c r="AT53" s="190"/>
      <c r="AU53" s="190"/>
      <c r="AV53" s="190"/>
      <c r="AW53" s="190"/>
      <c r="AX53" s="190"/>
      <c r="AY53" s="190"/>
      <c r="AZ53" s="190"/>
      <c r="BA53" s="190"/>
      <c r="BB53" s="190"/>
      <c r="BC53" s="190"/>
      <c r="BD53" s="190"/>
      <c r="BE53" s="190"/>
      <c r="BF53" s="190"/>
      <c r="BG53" s="190"/>
      <c r="BH53" s="190"/>
      <c r="BI53" s="190"/>
      <c r="BJ53" s="190"/>
      <c r="BK53" s="190"/>
      <c r="BL53" s="190"/>
      <c r="BM53" s="190"/>
      <c r="BN53" s="190"/>
      <c r="BO53" s="190"/>
      <c r="BP53" s="190"/>
      <c r="BQ53" s="190"/>
      <c r="BR53" s="190"/>
      <c r="BS53" s="190"/>
      <c r="BT53" s="190"/>
      <c r="BU53" s="190"/>
      <c r="BV53" s="190"/>
    </row>
    <row r="54" spans="1:74" s="103" customFormat="1" x14ac:dyDescent="0.25">
      <c r="A54" s="195">
        <v>2415</v>
      </c>
      <c r="B54" s="180">
        <f>自由现金流分析表!E1</f>
        <v>43100</v>
      </c>
      <c r="C54" s="191"/>
      <c r="D54" s="191"/>
      <c r="E54" s="191"/>
      <c r="F54" s="191"/>
      <c r="G54" s="191"/>
      <c r="H54" s="191"/>
      <c r="I54" s="191"/>
      <c r="J54" s="191"/>
      <c r="K54" s="191"/>
      <c r="L54" s="191"/>
      <c r="M54" s="191"/>
      <c r="N54" s="191"/>
      <c r="O54" s="191"/>
      <c r="P54" s="191"/>
      <c r="Q54" s="191"/>
      <c r="R54" s="191"/>
      <c r="S54" s="191"/>
      <c r="T54" s="191"/>
      <c r="U54" s="191"/>
      <c r="V54" s="191"/>
      <c r="W54" s="191"/>
      <c r="X54" s="191"/>
      <c r="Y54" s="191"/>
      <c r="Z54" s="191"/>
      <c r="AA54" s="191"/>
      <c r="AB54" s="191"/>
      <c r="AC54" s="191"/>
      <c r="AD54" s="191"/>
      <c r="AE54" s="191"/>
      <c r="AF54" s="191"/>
      <c r="AG54" s="191"/>
      <c r="AH54" s="191"/>
      <c r="AI54" s="191"/>
      <c r="AJ54" s="191"/>
      <c r="AK54" s="191"/>
      <c r="AL54" s="191"/>
      <c r="AM54" s="191"/>
      <c r="AN54" s="191"/>
      <c r="AO54" s="191"/>
      <c r="AP54" s="191"/>
      <c r="AQ54" s="191"/>
      <c r="AR54" s="191"/>
      <c r="AS54" s="191"/>
      <c r="AT54" s="191"/>
      <c r="AU54" s="191"/>
      <c r="AV54" s="191"/>
      <c r="AW54" s="191"/>
      <c r="AX54" s="191"/>
      <c r="AY54" s="191"/>
      <c r="AZ54" s="191"/>
      <c r="BA54" s="191"/>
      <c r="BB54" s="191"/>
      <c r="BC54" s="191"/>
      <c r="BD54" s="191"/>
      <c r="BE54" s="191"/>
      <c r="BF54" s="191"/>
      <c r="BG54" s="191"/>
      <c r="BH54" s="191"/>
      <c r="BI54" s="191"/>
      <c r="BJ54" s="191"/>
      <c r="BK54" s="191"/>
      <c r="BL54" s="191"/>
      <c r="BM54" s="191"/>
      <c r="BN54" s="191"/>
      <c r="BO54" s="191"/>
      <c r="BP54" s="191"/>
      <c r="BQ54" s="191"/>
      <c r="BR54" s="191"/>
      <c r="BS54" s="191"/>
      <c r="BT54" s="191"/>
      <c r="BU54" s="191"/>
      <c r="BV54" s="191"/>
    </row>
    <row r="55" spans="1:74" s="102" customFormat="1" x14ac:dyDescent="0.25">
      <c r="A55" s="212" t="s">
        <v>551</v>
      </c>
      <c r="B55" s="100">
        <v>9227270473</v>
      </c>
      <c r="C55" s="213"/>
      <c r="D55" s="213"/>
      <c r="E55" s="213"/>
      <c r="F55" s="213"/>
      <c r="G55" s="213"/>
      <c r="H55" s="213"/>
      <c r="I55" s="213"/>
      <c r="J55" s="213"/>
      <c r="K55" s="213"/>
      <c r="L55" s="213"/>
      <c r="M55" s="213"/>
      <c r="N55" s="213"/>
      <c r="O55" s="213"/>
      <c r="P55" s="213"/>
      <c r="Q55" s="213"/>
      <c r="R55" s="213"/>
      <c r="S55" s="213"/>
      <c r="T55" s="213"/>
      <c r="U55" s="213"/>
      <c r="V55" s="213"/>
      <c r="W55" s="213"/>
      <c r="X55" s="213"/>
      <c r="Y55" s="213"/>
      <c r="Z55" s="213"/>
      <c r="AA55" s="213"/>
      <c r="AB55" s="213"/>
      <c r="AC55" s="213"/>
      <c r="AD55" s="213"/>
      <c r="AE55" s="213"/>
      <c r="AF55" s="213"/>
      <c r="AG55" s="213"/>
      <c r="AH55" s="213"/>
      <c r="AI55" s="213"/>
      <c r="AJ55" s="213"/>
      <c r="AK55" s="213"/>
      <c r="AL55" s="213"/>
      <c r="AM55" s="213"/>
      <c r="AN55" s="213"/>
      <c r="AO55" s="213"/>
      <c r="AP55" s="213"/>
      <c r="AQ55" s="213"/>
      <c r="AR55" s="213"/>
      <c r="AS55" s="213"/>
      <c r="AT55" s="213"/>
      <c r="AU55" s="213"/>
      <c r="AV55" s="213"/>
      <c r="AW55" s="213"/>
      <c r="AX55" s="213"/>
      <c r="AY55" s="213"/>
      <c r="AZ55" s="213"/>
      <c r="BA55" s="213"/>
      <c r="BB55" s="213"/>
      <c r="BC55" s="213"/>
      <c r="BD55" s="213"/>
      <c r="BE55" s="213"/>
      <c r="BF55" s="213"/>
      <c r="BG55" s="213"/>
      <c r="BH55" s="213"/>
      <c r="BI55" s="213"/>
      <c r="BJ55" s="213"/>
      <c r="BK55" s="213"/>
      <c r="BL55" s="213"/>
      <c r="BM55" s="213"/>
      <c r="BN55" s="213"/>
      <c r="BO55" s="213"/>
      <c r="BP55" s="213"/>
      <c r="BQ55" s="213"/>
      <c r="BR55" s="213"/>
      <c r="BS55" s="213"/>
      <c r="BT55" s="213"/>
      <c r="BU55" s="213"/>
      <c r="BV55" s="213"/>
    </row>
    <row r="56" spans="1:74" s="62" customFormat="1" ht="15" thickBot="1" x14ac:dyDescent="0.3">
      <c r="A56" s="74"/>
      <c r="B56" s="93"/>
    </row>
    <row r="57" spans="1:74" ht="52.8" customHeight="1" x14ac:dyDescent="0.25">
      <c r="A57" s="295" t="s">
        <v>741</v>
      </c>
      <c r="B57" s="296"/>
      <c r="C57" s="296"/>
      <c r="D57" s="296"/>
      <c r="E57" s="296"/>
      <c r="F57" s="296"/>
      <c r="G57" s="296"/>
      <c r="H57" s="296"/>
      <c r="I57" s="296"/>
    </row>
    <row r="60" spans="1:74" s="156" customFormat="1" ht="51" customHeight="1" x14ac:dyDescent="0.25">
      <c r="A60" s="293" t="s">
        <v>609</v>
      </c>
      <c r="B60" s="294"/>
      <c r="C60" s="294"/>
      <c r="D60" s="294"/>
      <c r="E60" s="294"/>
      <c r="F60" s="294"/>
      <c r="G60" s="294"/>
      <c r="H60" s="294"/>
      <c r="I60" s="294"/>
    </row>
    <row r="63" spans="1:74" s="4" customFormat="1" x14ac:dyDescent="0.25">
      <c r="A63" s="178" t="s">
        <v>611</v>
      </c>
      <c r="B63" s="177" t="s">
        <v>612</v>
      </c>
      <c r="C63" s="96" t="s">
        <v>613</v>
      </c>
      <c r="D63" s="96" t="s">
        <v>614</v>
      </c>
      <c r="E63" s="96" t="s">
        <v>629</v>
      </c>
      <c r="F63" s="96" t="s">
        <v>615</v>
      </c>
      <c r="G63" s="96" t="s">
        <v>616</v>
      </c>
      <c r="H63" s="96" t="s">
        <v>625</v>
      </c>
      <c r="I63" s="96" t="s">
        <v>618</v>
      </c>
      <c r="J63" s="96" t="s">
        <v>624</v>
      </c>
      <c r="K63" s="96" t="s">
        <v>620</v>
      </c>
      <c r="L63" s="96" t="s">
        <v>626</v>
      </c>
    </row>
    <row r="64" spans="1:74" s="26" customFormat="1" x14ac:dyDescent="0.25">
      <c r="A64" s="179">
        <f>股权价值增加表!M1</f>
        <v>42369</v>
      </c>
      <c r="B64" s="167">
        <v>42366</v>
      </c>
      <c r="C64" s="166">
        <v>17.39</v>
      </c>
      <c r="D64" s="166">
        <v>3.4</v>
      </c>
      <c r="E64" s="168">
        <f>股权价值增加表!M42/100000000</f>
        <v>59.337057676999969</v>
      </c>
      <c r="F64" s="168">
        <v>0</v>
      </c>
      <c r="G64" s="166">
        <v>16.47</v>
      </c>
      <c r="H64" s="168">
        <f>G64*D64</f>
        <v>55.997999999999998</v>
      </c>
      <c r="I64" s="168">
        <f>C64*D64</f>
        <v>59.125999999999998</v>
      </c>
      <c r="J64" s="168">
        <f>H64/E64</f>
        <v>0.94372727924636812</v>
      </c>
      <c r="K64" s="168">
        <f>I64/E64</f>
        <v>0.99644307140827815</v>
      </c>
      <c r="L64" s="263">
        <v>0</v>
      </c>
    </row>
    <row r="65" spans="1:12" s="26" customFormat="1" x14ac:dyDescent="0.25">
      <c r="A65" s="179">
        <f>股权价值增加表!I1</f>
        <v>42735</v>
      </c>
      <c r="B65" s="167">
        <v>42543</v>
      </c>
      <c r="C65" s="166">
        <v>23.13</v>
      </c>
      <c r="D65" s="166">
        <v>3.64</v>
      </c>
      <c r="E65" s="168">
        <f>股权价值增加表!I42/100000000</f>
        <v>76.971680047400014</v>
      </c>
      <c r="F65" s="168">
        <f>(E65-E64)/E64*100</f>
        <v>29.719408175568368</v>
      </c>
      <c r="G65" s="166">
        <v>23.11</v>
      </c>
      <c r="H65" s="168">
        <f t="shared" ref="H65:H66" si="8">G65*D65</f>
        <v>84.120400000000004</v>
      </c>
      <c r="I65" s="168">
        <f t="shared" ref="I65:I66" si="9">C65*D65</f>
        <v>84.193200000000004</v>
      </c>
      <c r="J65" s="168">
        <f t="shared" ref="J65:J66" si="10">H65/E65</f>
        <v>1.0928746773904081</v>
      </c>
      <c r="K65" s="168">
        <f t="shared" ref="K65:K66" si="11">I65/E65</f>
        <v>1.0938204797940345</v>
      </c>
      <c r="L65" s="263">
        <f>K65/F65</f>
        <v>3.6804921327243618E-2</v>
      </c>
    </row>
    <row r="66" spans="1:12" s="26" customFormat="1" x14ac:dyDescent="0.25">
      <c r="A66" s="179">
        <f>股权价值增加表!E1</f>
        <v>43100</v>
      </c>
      <c r="B66" s="167">
        <v>42872</v>
      </c>
      <c r="C66" s="166">
        <v>16.399999999999999</v>
      </c>
      <c r="D66" s="166">
        <v>9.09</v>
      </c>
      <c r="E66" s="168">
        <f>股权价值增加表!E42/100000000</f>
        <v>70.137188970900027</v>
      </c>
      <c r="F66" s="168">
        <f t="shared" ref="F66" si="12">(E66-E65)/E65*100</f>
        <v>-8.8792281424690636</v>
      </c>
      <c r="G66" s="166">
        <v>15.76</v>
      </c>
      <c r="H66" s="168">
        <f t="shared" si="8"/>
        <v>143.25839999999999</v>
      </c>
      <c r="I66" s="168">
        <f t="shared" si="9"/>
        <v>149.07599999999999</v>
      </c>
      <c r="J66" s="168">
        <f t="shared" si="10"/>
        <v>2.0425455040611622</v>
      </c>
      <c r="K66" s="168">
        <f t="shared" si="11"/>
        <v>2.1254915143783668</v>
      </c>
      <c r="L66" s="263">
        <f t="shared" ref="L66" si="13">K66/F66</f>
        <v>-0.23937795946611723</v>
      </c>
    </row>
    <row r="67" spans="1:12" s="26" customFormat="1" x14ac:dyDescent="0.25">
      <c r="A67" s="162"/>
      <c r="B67" s="163"/>
      <c r="C67" s="83"/>
      <c r="D67" s="83"/>
      <c r="E67" s="83"/>
      <c r="F67" s="165"/>
      <c r="G67" s="83"/>
      <c r="H67" s="165"/>
      <c r="I67" s="165"/>
      <c r="J67" s="165"/>
      <c r="K67" s="165"/>
      <c r="L67" s="264"/>
    </row>
    <row r="68" spans="1:12" s="157" customFormat="1" ht="15" thickBot="1" x14ac:dyDescent="0.3">
      <c r="A68" s="164" t="s">
        <v>623</v>
      </c>
      <c r="B68" s="44" t="s">
        <v>612</v>
      </c>
      <c r="C68" s="44" t="s">
        <v>613</v>
      </c>
      <c r="D68" s="44" t="s">
        <v>614</v>
      </c>
      <c r="E68" s="44" t="s">
        <v>622</v>
      </c>
      <c r="F68" s="44" t="s">
        <v>615</v>
      </c>
      <c r="G68" s="44" t="s">
        <v>616</v>
      </c>
      <c r="H68" s="44" t="s">
        <v>617</v>
      </c>
      <c r="I68" s="44" t="s">
        <v>618</v>
      </c>
      <c r="J68" s="44" t="s">
        <v>619</v>
      </c>
      <c r="K68" s="44" t="s">
        <v>620</v>
      </c>
      <c r="L68" s="265" t="s">
        <v>621</v>
      </c>
    </row>
    <row r="69" spans="1:12" s="26" customFormat="1" ht="15" thickBot="1" x14ac:dyDescent="0.3">
      <c r="A69" s="169" t="s">
        <v>628</v>
      </c>
      <c r="B69" s="170">
        <v>43305</v>
      </c>
      <c r="C69" s="171">
        <v>11.65</v>
      </c>
      <c r="D69" s="171">
        <v>9.09</v>
      </c>
      <c r="E69" s="171">
        <v>4.33</v>
      </c>
      <c r="F69" s="172">
        <f>(E69-E66)/E66*100</f>
        <v>-93.826385026926985</v>
      </c>
      <c r="G69" s="171">
        <v>10.119999999999999</v>
      </c>
      <c r="H69" s="172">
        <f>G69*D69</f>
        <v>91.990799999999993</v>
      </c>
      <c r="I69" s="172">
        <f>C69*D69</f>
        <v>105.8985</v>
      </c>
      <c r="J69" s="172">
        <f>H69/E69</f>
        <v>21.244988452655885</v>
      </c>
      <c r="K69" s="172">
        <f>I69/E69</f>
        <v>24.456928406466513</v>
      </c>
      <c r="L69" s="266">
        <f>K69/F69</f>
        <v>-0.26066152286958177</v>
      </c>
    </row>
    <row r="70" spans="1:12" s="26" customFormat="1" ht="15" thickBot="1" x14ac:dyDescent="0.3">
      <c r="A70" s="173" t="s">
        <v>627</v>
      </c>
      <c r="B70" s="174">
        <v>43305</v>
      </c>
      <c r="C70" s="175">
        <v>11.65</v>
      </c>
      <c r="D70" s="175">
        <v>9.09</v>
      </c>
      <c r="E70" s="175">
        <v>3.86</v>
      </c>
      <c r="F70" s="176">
        <f>(E70-E66)/E66*100</f>
        <v>-94.496500278045772</v>
      </c>
      <c r="G70" s="171">
        <v>10.119999999999999</v>
      </c>
      <c r="H70" s="176">
        <f t="shared" ref="H70" si="14">G70*D70</f>
        <v>91.990799999999993</v>
      </c>
      <c r="I70" s="176">
        <f t="shared" ref="I70" si="15">C70*D70</f>
        <v>105.8985</v>
      </c>
      <c r="J70" s="176">
        <f t="shared" ref="J70" si="16">H70/E70</f>
        <v>23.831813471502588</v>
      </c>
      <c r="K70" s="176">
        <f t="shared" ref="K70" si="17">I70/E70</f>
        <v>27.434844559585493</v>
      </c>
      <c r="L70" s="267">
        <f t="shared" ref="L70" si="18">K70/F70</f>
        <v>-0.29032656742695673</v>
      </c>
    </row>
    <row r="71" spans="1:12" s="88" customFormat="1" ht="138" customHeight="1" x14ac:dyDescent="0.25">
      <c r="A71" s="291" t="s">
        <v>630</v>
      </c>
      <c r="B71" s="292"/>
      <c r="C71" s="292"/>
      <c r="D71" s="292"/>
      <c r="E71" s="292"/>
      <c r="F71" s="292"/>
      <c r="G71" s="292"/>
      <c r="H71" s="292"/>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2019-02-09T05:51:07Z</dcterms:modified>
</cp:coreProperties>
</file>